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aardvark_prototype\aardvark_prototype\Calibration data\2026-04-17\"/>
    </mc:Choice>
  </mc:AlternateContent>
  <xr:revisionPtr revIDLastSave="0" documentId="8_{F474EE8D-184C-4A26-8B60-28F45850F459}" xr6:coauthVersionLast="47" xr6:coauthVersionMax="47" xr10:uidLastSave="{00000000-0000-0000-0000-000000000000}"/>
  <bookViews>
    <workbookView xWindow="-108" yWindow="-108" windowWidth="23256" windowHeight="12456" tabRatio="908" xr2:uid="{D9B19C8F-7188-4FBF-936E-732292BB6C26}"/>
  </bookViews>
  <sheets>
    <sheet name="Summary" sheetId="19" r:id="rId1"/>
    <sheet name="2026-04-17_16-42-00_-22_high" sheetId="18" r:id="rId2"/>
    <sheet name="2026-04-17_16-41-07_-19_high" sheetId="17" r:id="rId3"/>
    <sheet name="2026-04-17_16-43-51_-14_high" sheetId="16" r:id="rId4"/>
    <sheet name="2026-04-17_16-40-13_-12_high" sheetId="15" r:id="rId5"/>
    <sheet name="2026-04-17_16-38-14_-7_high" sheetId="14" r:id="rId6"/>
    <sheet name="2026-04-17_16-36-46_-5_high" sheetId="13" r:id="rId7"/>
    <sheet name="2026-04-17_16-35-28_-2_high" sheetId="12" r:id="rId8"/>
    <sheet name="2026-04-17_16-32-27_0_high" sheetId="11" r:id="rId9"/>
    <sheet name="2026-04-17_16-31-51_5_high" sheetId="10" r:id="rId10"/>
    <sheet name="2026-04-17_16-31-16_7_high" sheetId="9" r:id="rId11"/>
    <sheet name="2026-04-17_16-30-28_9_high" sheetId="8" r:id="rId12"/>
    <sheet name="2026-04-17_16-29-45_13_high" sheetId="7" r:id="rId13"/>
    <sheet name="2026-04-17_16-29-05_14_high" sheetId="6" r:id="rId14"/>
    <sheet name="2026-04-17_16-28-20_16_high" sheetId="5" r:id="rId15"/>
    <sheet name="2026-04-17_16-26-30_19_high" sheetId="4" r:id="rId16"/>
    <sheet name="2026-04-17_16-25-21_23_high" sheetId="3" r:id="rId17"/>
    <sheet name="Sheet1" sheetId="1" r:id="rId18"/>
  </sheets>
  <definedNames>
    <definedName name="ExternalData_1" localSheetId="16" hidden="1">'2026-04-17_16-25-21_23_high'!$A$1:$J$502</definedName>
    <definedName name="ExternalData_10" localSheetId="7" hidden="1">'2026-04-17_16-35-28_-2_high'!$A$1:$J$502</definedName>
    <definedName name="ExternalData_11" localSheetId="6" hidden="1">'2026-04-17_16-36-46_-5_high'!$A$1:$J$502</definedName>
    <definedName name="ExternalData_12" localSheetId="5" hidden="1">'2026-04-17_16-38-14_-7_high'!$A$1:$J$502</definedName>
    <definedName name="ExternalData_13" localSheetId="4" hidden="1">'2026-04-17_16-40-13_-12_high'!$A$1:$J$502</definedName>
    <definedName name="ExternalData_14" localSheetId="3" hidden="1">'2026-04-17_16-43-51_-14_high'!$A$1:$J$502</definedName>
    <definedName name="ExternalData_15" localSheetId="2" hidden="1">'2026-04-17_16-41-07_-19_high'!$A$1:$J$502</definedName>
    <definedName name="ExternalData_16" localSheetId="1" hidden="1">'2026-04-17_16-42-00_-22_high'!$A$1:$J$502</definedName>
    <definedName name="ExternalData_2" localSheetId="15" hidden="1">'2026-04-17_16-26-30_19_high'!$A$1:$J$502</definedName>
    <definedName name="ExternalData_3" localSheetId="14" hidden="1">'2026-04-17_16-28-20_16_high'!$A$1:$J$502</definedName>
    <definedName name="ExternalData_4" localSheetId="13" hidden="1">'2026-04-17_16-29-05_14_high'!$A$1:$J$502</definedName>
    <definedName name="ExternalData_5" localSheetId="12" hidden="1">'2026-04-17_16-29-45_13_high'!$A$1:$J$502</definedName>
    <definedName name="ExternalData_6" localSheetId="11" hidden="1">'2026-04-17_16-30-28_9_high'!$A$1:$J$502</definedName>
    <definedName name="ExternalData_7" localSheetId="10" hidden="1">'2026-04-17_16-31-16_7_high'!$A$1:$J$502</definedName>
    <definedName name="ExternalData_8" localSheetId="9" hidden="1">'2026-04-17_16-31-51_5_high'!$A$1:$J$502</definedName>
    <definedName name="ExternalData_9" localSheetId="8" hidden="1">'2026-04-17_16-32-27_0_high'!$A$1:$J$502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9" l="1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J2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D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2" i="3"/>
  <c r="E505" i="4"/>
  <c r="D505" i="4"/>
  <c r="H504" i="4"/>
  <c r="G504" i="4"/>
  <c r="F504" i="4"/>
  <c r="E504" i="4"/>
  <c r="D504" i="4"/>
  <c r="H503" i="4"/>
  <c r="G503" i="4"/>
  <c r="F503" i="4"/>
  <c r="E503" i="4"/>
  <c r="D503" i="4"/>
  <c r="G17" i="19"/>
  <c r="H17" i="19" s="1"/>
  <c r="F17" i="19"/>
  <c r="I17" i="19" s="1"/>
  <c r="E17" i="19"/>
  <c r="C17" i="19"/>
  <c r="B17" i="19"/>
  <c r="I16" i="19"/>
  <c r="H16" i="19"/>
  <c r="G16" i="19"/>
  <c r="F16" i="19"/>
  <c r="E16" i="19"/>
  <c r="C16" i="19"/>
  <c r="B16" i="19"/>
  <c r="I15" i="19"/>
  <c r="H15" i="19"/>
  <c r="G15" i="19"/>
  <c r="F15" i="19"/>
  <c r="E15" i="19"/>
  <c r="C15" i="19"/>
  <c r="B15" i="19"/>
  <c r="I14" i="19"/>
  <c r="H14" i="19"/>
  <c r="G14" i="19"/>
  <c r="F14" i="19"/>
  <c r="E14" i="19"/>
  <c r="C14" i="19"/>
  <c r="B14" i="19"/>
  <c r="I11" i="19"/>
  <c r="H11" i="19"/>
  <c r="G11" i="19"/>
  <c r="F11" i="19"/>
  <c r="E11" i="19"/>
  <c r="C11" i="19"/>
  <c r="B11" i="19"/>
  <c r="I10" i="19"/>
  <c r="H10" i="19"/>
  <c r="G10" i="19"/>
  <c r="F10" i="19"/>
  <c r="E10" i="19"/>
  <c r="C10" i="19"/>
  <c r="B10" i="19"/>
  <c r="I9" i="19"/>
  <c r="H9" i="19"/>
  <c r="G9" i="19"/>
  <c r="F9" i="19"/>
  <c r="E9" i="19"/>
  <c r="C9" i="19"/>
  <c r="B9" i="19"/>
  <c r="I8" i="19"/>
  <c r="H8" i="19"/>
  <c r="G8" i="19"/>
  <c r="F8" i="19"/>
  <c r="E8" i="19"/>
  <c r="C8" i="19"/>
  <c r="B8" i="19"/>
  <c r="I7" i="19"/>
  <c r="H7" i="19"/>
  <c r="G7" i="19"/>
  <c r="F7" i="19"/>
  <c r="E7" i="19"/>
  <c r="C7" i="19"/>
  <c r="B7" i="19"/>
  <c r="I6" i="19"/>
  <c r="H6" i="19"/>
  <c r="G6" i="19"/>
  <c r="F6" i="19"/>
  <c r="E6" i="19"/>
  <c r="C6" i="19"/>
  <c r="B6" i="19"/>
  <c r="I2" i="19"/>
  <c r="H2" i="19"/>
  <c r="G2" i="19"/>
  <c r="F2" i="19"/>
  <c r="E2" i="19"/>
  <c r="C2" i="19"/>
  <c r="B2" i="19"/>
  <c r="I5" i="19"/>
  <c r="H5" i="19"/>
  <c r="G5" i="19"/>
  <c r="F5" i="19"/>
  <c r="E5" i="19"/>
  <c r="C5" i="19"/>
  <c r="B5" i="19"/>
  <c r="I4" i="19"/>
  <c r="H4" i="19"/>
  <c r="G4" i="19"/>
  <c r="F4" i="19"/>
  <c r="E4" i="19"/>
  <c r="C4" i="19"/>
  <c r="B4" i="19"/>
  <c r="I13" i="19"/>
  <c r="H13" i="19"/>
  <c r="G13" i="19"/>
  <c r="F13" i="19"/>
  <c r="E13" i="19"/>
  <c r="C13" i="19"/>
  <c r="B13" i="19"/>
  <c r="I3" i="19"/>
  <c r="H3" i="19"/>
  <c r="G3" i="19"/>
  <c r="F3" i="19"/>
  <c r="E3" i="19"/>
  <c r="C3" i="19"/>
  <c r="B3" i="19"/>
  <c r="I12" i="19"/>
  <c r="H12" i="19"/>
  <c r="G12" i="19"/>
  <c r="F12" i="19"/>
  <c r="E12" i="19"/>
  <c r="C12" i="19"/>
  <c r="B1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942E85-EA2B-4D87-822E-21EE1DD70C54}" keepAlive="1" name="Query - 2026-04-17" description="Connection to the '2026-04-17' query in the workbook." type="5" refreshedVersion="0" background="1">
    <dbPr connection="Provider=Microsoft.Mashup.OleDb.1;Data Source=$Workbook$;Location=2026-04-17;Extended Properties=&quot;&quot;" command="SELECT * FROM [2026-04-17]"/>
  </connection>
  <connection id="2" xr16:uid="{D70E5AB7-65DB-41A3-B777-C7E3431ED8DB}" keepAlive="1" name="Query - 2026-04-17_16-25-21_23_high" description="Connection to the '2026-04-17_16-25-21_23_high' query in the workbook." type="5" refreshedVersion="8" background="1" saveData="1">
    <dbPr connection="Provider=Microsoft.Mashup.OleDb.1;Data Source=$Workbook$;Location=2026-04-17_16-25-21_23_high;Extended Properties=&quot;&quot;" command="SELECT * FROM [2026-04-17_16-25-21_23_high]"/>
  </connection>
  <connection id="3" xr16:uid="{62B57E54-61CE-478C-9070-D24518294466}" keepAlive="1" name="Query - 2026-04-17_16-26-30_19_high" description="Connection to the '2026-04-17_16-26-30_19_high' query in the workbook." type="5" refreshedVersion="8" background="1" saveData="1">
    <dbPr connection="Provider=Microsoft.Mashup.OleDb.1;Data Source=$Workbook$;Location=2026-04-17_16-26-30_19_high;Extended Properties=&quot;&quot;" command="SELECT * FROM [2026-04-17_16-26-30_19_high]"/>
  </connection>
  <connection id="4" xr16:uid="{66053DA1-E79C-4CBD-A458-0B29AB9351D4}" keepAlive="1" name="Query - 2026-04-17_16-28-20_16_high" description="Connection to the '2026-04-17_16-28-20_16_high' query in the workbook." type="5" refreshedVersion="8" background="1" saveData="1">
    <dbPr connection="Provider=Microsoft.Mashup.OleDb.1;Data Source=$Workbook$;Location=2026-04-17_16-28-20_16_high;Extended Properties=&quot;&quot;" command="SELECT * FROM [2026-04-17_16-28-20_16_high]"/>
  </connection>
  <connection id="5" xr16:uid="{EECC044E-991F-45FB-91FC-36428A1FBE45}" keepAlive="1" name="Query - 2026-04-17_16-29-05_14_high" description="Connection to the '2026-04-17_16-29-05_14_high' query in the workbook." type="5" refreshedVersion="8" background="1" saveData="1">
    <dbPr connection="Provider=Microsoft.Mashup.OleDb.1;Data Source=$Workbook$;Location=2026-04-17_16-29-05_14_high;Extended Properties=&quot;&quot;" command="SELECT * FROM [2026-04-17_16-29-05_14_high]"/>
  </connection>
  <connection id="6" xr16:uid="{01C6F6C8-5C55-4084-9414-122F8FBA3F8F}" keepAlive="1" name="Query - 2026-04-17_16-29-45_13_high" description="Connection to the '2026-04-17_16-29-45_13_high' query in the workbook." type="5" refreshedVersion="8" background="1" saveData="1">
    <dbPr connection="Provider=Microsoft.Mashup.OleDb.1;Data Source=$Workbook$;Location=2026-04-17_16-29-45_13_high;Extended Properties=&quot;&quot;" command="SELECT * FROM [2026-04-17_16-29-45_13_high]"/>
  </connection>
  <connection id="7" xr16:uid="{8A64A06D-6854-4F6E-AC95-8BD4C4764577}" keepAlive="1" name="Query - 2026-04-17_16-30-28_9_high" description="Connection to the '2026-04-17_16-30-28_9_high' query in the workbook." type="5" refreshedVersion="8" background="1" saveData="1">
    <dbPr connection="Provider=Microsoft.Mashup.OleDb.1;Data Source=$Workbook$;Location=2026-04-17_16-30-28_9_high;Extended Properties=&quot;&quot;" command="SELECT * FROM [2026-04-17_16-30-28_9_high]"/>
  </connection>
  <connection id="8" xr16:uid="{4AD3DA27-0799-40A3-AB0A-98E71D1757D9}" keepAlive="1" name="Query - 2026-04-17_16-31-16_7_high" description="Connection to the '2026-04-17_16-31-16_7_high' query in the workbook." type="5" refreshedVersion="8" background="1" saveData="1">
    <dbPr connection="Provider=Microsoft.Mashup.OleDb.1;Data Source=$Workbook$;Location=2026-04-17_16-31-16_7_high;Extended Properties=&quot;&quot;" command="SELECT * FROM [2026-04-17_16-31-16_7_high]"/>
  </connection>
  <connection id="9" xr16:uid="{045B47A0-C38E-4C84-A861-E3E50B0D4AE6}" keepAlive="1" name="Query - 2026-04-17_16-31-51_5_high" description="Connection to the '2026-04-17_16-31-51_5_high' query in the workbook." type="5" refreshedVersion="8" background="1" saveData="1">
    <dbPr connection="Provider=Microsoft.Mashup.OleDb.1;Data Source=$Workbook$;Location=2026-04-17_16-31-51_5_high;Extended Properties=&quot;&quot;" command="SELECT * FROM [2026-04-17_16-31-51_5_high]"/>
  </connection>
  <connection id="10" xr16:uid="{5D7CA3D4-305D-4DBA-B18A-8C1F2025A9D7}" keepAlive="1" name="Query - 2026-04-17_16-32-27_0_high" description="Connection to the '2026-04-17_16-32-27_0_high' query in the workbook." type="5" refreshedVersion="8" background="1" saveData="1">
    <dbPr connection="Provider=Microsoft.Mashup.OleDb.1;Data Source=$Workbook$;Location=2026-04-17_16-32-27_0_high;Extended Properties=&quot;&quot;" command="SELECT * FROM [2026-04-17_16-32-27_0_high]"/>
  </connection>
  <connection id="11" xr16:uid="{EEEADC10-B53B-476E-961D-2D29E953A47F}" keepAlive="1" name="Query - 2026-04-17_16-35-28_-2_high" description="Connection to the '2026-04-17_16-35-28_-2_high' query in the workbook." type="5" refreshedVersion="8" background="1" saveData="1">
    <dbPr connection="Provider=Microsoft.Mashup.OleDb.1;Data Source=$Workbook$;Location=2026-04-17_16-35-28_-2_high;Extended Properties=&quot;&quot;" command="SELECT * FROM [2026-04-17_16-35-28_-2_high]"/>
  </connection>
  <connection id="12" xr16:uid="{194DA6D1-B568-4A69-B4C8-351EE3ADB8AF}" keepAlive="1" name="Query - 2026-04-17_16-36-46_-5_high" description="Connection to the '2026-04-17_16-36-46_-5_high' query in the workbook." type="5" refreshedVersion="8" background="1" saveData="1">
    <dbPr connection="Provider=Microsoft.Mashup.OleDb.1;Data Source=$Workbook$;Location=2026-04-17_16-36-46_-5_high;Extended Properties=&quot;&quot;" command="SELECT * FROM [2026-04-17_16-36-46_-5_high]"/>
  </connection>
  <connection id="13" xr16:uid="{C66A6974-E666-4C94-AB28-83038F32720B}" keepAlive="1" name="Query - 2026-04-17_16-38-14_-7_high" description="Connection to the '2026-04-17_16-38-14_-7_high' query in the workbook." type="5" refreshedVersion="8" background="1" saveData="1">
    <dbPr connection="Provider=Microsoft.Mashup.OleDb.1;Data Source=$Workbook$;Location=2026-04-17_16-38-14_-7_high;Extended Properties=&quot;&quot;" command="SELECT * FROM [2026-04-17_16-38-14_-7_high]"/>
  </connection>
  <connection id="14" xr16:uid="{EAC83C35-37F2-4139-8C04-AD5FF95CCCA1}" keepAlive="1" name="Query - 2026-04-17_16-40-13_-12_high" description="Connection to the '2026-04-17_16-40-13_-12_high' query in the workbook." type="5" refreshedVersion="8" background="1" saveData="1">
    <dbPr connection="Provider=Microsoft.Mashup.OleDb.1;Data Source=$Workbook$;Location=2026-04-17_16-40-13_-12_high;Extended Properties=&quot;&quot;" command="SELECT * FROM [2026-04-17_16-40-13_-12_high]"/>
  </connection>
  <connection id="15" xr16:uid="{C97F0CEF-74CA-4FD1-A128-C19BD2AEDD61}" keepAlive="1" name="Query - 2026-04-17_16-41-07_-19_high" description="Connection to the '2026-04-17_16-41-07_-19_high' query in the workbook." type="5" refreshedVersion="8" background="1" saveData="1">
    <dbPr connection="Provider=Microsoft.Mashup.OleDb.1;Data Source=$Workbook$;Location=2026-04-17_16-41-07_-19_high;Extended Properties=&quot;&quot;" command="SELECT * FROM [2026-04-17_16-41-07_-19_high]"/>
  </connection>
  <connection id="16" xr16:uid="{7B9262EB-6ED6-4D0F-9987-B94C2870F951}" keepAlive="1" name="Query - 2026-04-17_16-42-00_-22_high" description="Connection to the '2026-04-17_16-42-00_-22_high' query in the workbook." type="5" refreshedVersion="8" background="1" saveData="1">
    <dbPr connection="Provider=Microsoft.Mashup.OleDb.1;Data Source=$Workbook$;Location=2026-04-17_16-42-00_-22_high;Extended Properties=&quot;&quot;" command="SELECT * FROM [2026-04-17_16-42-00_-22_high]"/>
  </connection>
  <connection id="17" xr16:uid="{32BB57D0-F442-42BF-91BB-93037CA5A3FF}" keepAlive="1" name="Query - 2026-04-17_16-43-51_-14_high" description="Connection to the '2026-04-17_16-43-51_-14_high' query in the workbook." type="5" refreshedVersion="8" background="1" saveData="1">
    <dbPr connection="Provider=Microsoft.Mashup.OleDb.1;Data Source=$Workbook$;Location=2026-04-17_16-43-51_-14_high;Extended Properties=&quot;&quot;" command="SELECT * FROM [2026-04-17_16-43-51_-14_high]"/>
  </connection>
</connections>
</file>

<file path=xl/sharedStrings.xml><?xml version="1.0" encoding="utf-8"?>
<sst xmlns="http://schemas.openxmlformats.org/spreadsheetml/2006/main" count="179" uniqueCount="29">
  <si>
    <t>count</t>
  </si>
  <si>
    <t>timestamp_ms</t>
  </si>
  <si>
    <t>aoa_valid</t>
  </si>
  <si>
    <t>pfd_raw</t>
  </si>
  <si>
    <t>p45_raw</t>
  </si>
  <si>
    <t>pfwd_filt</t>
  </si>
  <si>
    <t>p45_filt</t>
  </si>
  <si>
    <t>coeff</t>
  </si>
  <si>
    <t>aoa_raw</t>
  </si>
  <si>
    <t>aoa_filt</t>
  </si>
  <si>
    <t>angle</t>
  </si>
  <si>
    <t>pfwd_filt_mean</t>
  </si>
  <si>
    <t>pfwd_filt_median</t>
  </si>
  <si>
    <t>p45_filt_median</t>
  </si>
  <si>
    <t>coeff_median</t>
  </si>
  <si>
    <t>predicted_angle</t>
  </si>
  <si>
    <t>p45_filt_mean</t>
  </si>
  <si>
    <t>coeff_mean</t>
  </si>
  <si>
    <t>predicted_angle_mean</t>
  </si>
  <si>
    <t>min</t>
  </si>
  <si>
    <t>max</t>
  </si>
  <si>
    <t>diff</t>
  </si>
  <si>
    <t>avg</t>
  </si>
  <si>
    <t>median</t>
  </si>
  <si>
    <t>new_pfwd_filt</t>
  </si>
  <si>
    <t>new_p45_filt</t>
  </si>
  <si>
    <t>new_coeff</t>
  </si>
  <si>
    <t>pfwd_filt_median2</t>
  </si>
  <si>
    <t>p45_filt_median2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</si>
</sst>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coeff_mean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217863652066183"/>
                  <c:y val="-4.64351851851851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Summary!$F$2:$F$17</c:f>
              <c:numCache>
                <c:formatCode>General</c:formatCode>
                <c:ptCount val="16"/>
                <c:pt idx="0">
                  <c:v>1.2456148147504986</c:v>
                </c:pt>
                <c:pt idx="1">
                  <c:v>1.4202058195209575</c:v>
                </c:pt>
                <c:pt idx="2">
                  <c:v>1.1076779949301412</c:v>
                </c:pt>
                <c:pt idx="3">
                  <c:v>1.3071228637724563</c:v>
                </c:pt>
                <c:pt idx="4">
                  <c:v>1.1814357233333326</c:v>
                </c:pt>
                <c:pt idx="5">
                  <c:v>1.1256429761876232</c:v>
                </c:pt>
                <c:pt idx="6">
                  <c:v>1.1653845194011974</c:v>
                </c:pt>
                <c:pt idx="7">
                  <c:v>1.118960427485028</c:v>
                </c:pt>
                <c:pt idx="8">
                  <c:v>1.0069459090419137</c:v>
                </c:pt>
                <c:pt idx="9">
                  <c:v>1.0106362838922145</c:v>
                </c:pt>
                <c:pt idx="10">
                  <c:v>1.1167531475449113</c:v>
                </c:pt>
                <c:pt idx="11">
                  <c:v>1.0763353275648699</c:v>
                </c:pt>
                <c:pt idx="12">
                  <c:v>0.86124794596806176</c:v>
                </c:pt>
                <c:pt idx="13">
                  <c:v>0.86179116830339264</c:v>
                </c:pt>
                <c:pt idx="14">
                  <c:v>0.78786904862275386</c:v>
                </c:pt>
                <c:pt idx="15">
                  <c:v>0.74184627970059858</c:v>
                </c:pt>
              </c:numCache>
            </c:numRef>
          </c:xVal>
          <c:yVal>
            <c:numRef>
              <c:f>Summary!$A$2:$A$17</c:f>
              <c:numCache>
                <c:formatCode>General</c:formatCode>
                <c:ptCount val="16"/>
                <c:pt idx="0">
                  <c:v>-22</c:v>
                </c:pt>
                <c:pt idx="1">
                  <c:v>-19</c:v>
                </c:pt>
                <c:pt idx="2">
                  <c:v>-14</c:v>
                </c:pt>
                <c:pt idx="3">
                  <c:v>-12</c:v>
                </c:pt>
                <c:pt idx="4">
                  <c:v>-7</c:v>
                </c:pt>
                <c:pt idx="5">
                  <c:v>-5</c:v>
                </c:pt>
                <c:pt idx="6">
                  <c:v>-2</c:v>
                </c:pt>
                <c:pt idx="7">
                  <c:v>0</c:v>
                </c:pt>
                <c:pt idx="8">
                  <c:v>5</c:v>
                </c:pt>
                <c:pt idx="9">
                  <c:v>7</c:v>
                </c:pt>
                <c:pt idx="10">
                  <c:v>9</c:v>
                </c:pt>
                <c:pt idx="11">
                  <c:v>13</c:v>
                </c:pt>
                <c:pt idx="12">
                  <c:v>14</c:v>
                </c:pt>
                <c:pt idx="13">
                  <c:v>16</c:v>
                </c:pt>
                <c:pt idx="14">
                  <c:v>19</c:v>
                </c:pt>
                <c:pt idx="15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9-422B-AF44-A5FE8A53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38527"/>
        <c:axId val="535537567"/>
      </c:scatterChart>
      <c:valAx>
        <c:axId val="53553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7567"/>
        <c:crosses val="autoZero"/>
        <c:crossBetween val="midCat"/>
      </c:valAx>
      <c:valAx>
        <c:axId val="53553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coeff_median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95778652668417"/>
                  <c:y val="-4.18055555555555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Summary!$G$2:$G$17</c:f>
              <c:numCache>
                <c:formatCode>General</c:formatCode>
                <c:ptCount val="16"/>
                <c:pt idx="0">
                  <c:v>1.1764705</c:v>
                </c:pt>
                <c:pt idx="1">
                  <c:v>1.2777778</c:v>
                </c:pt>
                <c:pt idx="2">
                  <c:v>1.0476190999999999</c:v>
                </c:pt>
                <c:pt idx="3">
                  <c:v>1.1764705</c:v>
                </c:pt>
                <c:pt idx="4">
                  <c:v>1.1000000000000001</c:v>
                </c:pt>
                <c:pt idx="5">
                  <c:v>1.0526316</c:v>
                </c:pt>
                <c:pt idx="6">
                  <c:v>1.1111112000000001</c:v>
                </c:pt>
                <c:pt idx="7">
                  <c:v>1.05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0.86956524999999996</c:v>
                </c:pt>
                <c:pt idx="13">
                  <c:v>0.87499994000000003</c:v>
                </c:pt>
                <c:pt idx="14">
                  <c:v>0.74074070000000003</c:v>
                </c:pt>
                <c:pt idx="15">
                  <c:v>0.74074070000000003</c:v>
                </c:pt>
              </c:numCache>
            </c:numRef>
          </c:xVal>
          <c:yVal>
            <c:numRef>
              <c:f>Summary!$A$2:$A$17</c:f>
              <c:numCache>
                <c:formatCode>General</c:formatCode>
                <c:ptCount val="16"/>
                <c:pt idx="0">
                  <c:v>-22</c:v>
                </c:pt>
                <c:pt idx="1">
                  <c:v>-19</c:v>
                </c:pt>
                <c:pt idx="2">
                  <c:v>-14</c:v>
                </c:pt>
                <c:pt idx="3">
                  <c:v>-12</c:v>
                </c:pt>
                <c:pt idx="4">
                  <c:v>-7</c:v>
                </c:pt>
                <c:pt idx="5">
                  <c:v>-5</c:v>
                </c:pt>
                <c:pt idx="6">
                  <c:v>-2</c:v>
                </c:pt>
                <c:pt idx="7">
                  <c:v>0</c:v>
                </c:pt>
                <c:pt idx="8">
                  <c:v>5</c:v>
                </c:pt>
                <c:pt idx="9">
                  <c:v>7</c:v>
                </c:pt>
                <c:pt idx="10">
                  <c:v>9</c:v>
                </c:pt>
                <c:pt idx="11">
                  <c:v>13</c:v>
                </c:pt>
                <c:pt idx="12">
                  <c:v>14</c:v>
                </c:pt>
                <c:pt idx="13">
                  <c:v>16</c:v>
                </c:pt>
                <c:pt idx="14">
                  <c:v>19</c:v>
                </c:pt>
                <c:pt idx="15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1-4597-96C6-CA71D789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598095"/>
        <c:axId val="1416601935"/>
      </c:scatterChart>
      <c:valAx>
        <c:axId val="141659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01935"/>
        <c:crosses val="autoZero"/>
        <c:crossBetween val="midCat"/>
      </c:valAx>
      <c:valAx>
        <c:axId val="14166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9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'2026-04-17_16-25-21_23_high'!$D$1</c:f>
              <c:strCache>
                <c:ptCount val="1"/>
                <c:pt idx="0">
                  <c:v>pfd_raw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'2026-04-17_16-25-21_23_high'!$A$2:$A$502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cat>
          <c:val>
            <c:numRef>
              <c:f>'2026-04-17_16-25-21_23_high'!$D$2:$D$502</c:f>
              <c:numCache>
                <c:formatCode>General</c:formatCode>
                <c:ptCount val="501"/>
                <c:pt idx="0">
                  <c:v>8042</c:v>
                </c:pt>
                <c:pt idx="1">
                  <c:v>8048</c:v>
                </c:pt>
                <c:pt idx="2">
                  <c:v>8042</c:v>
                </c:pt>
                <c:pt idx="3">
                  <c:v>8048</c:v>
                </c:pt>
                <c:pt idx="4">
                  <c:v>8042</c:v>
                </c:pt>
                <c:pt idx="5">
                  <c:v>8042</c:v>
                </c:pt>
                <c:pt idx="6">
                  <c:v>8042</c:v>
                </c:pt>
                <c:pt idx="7">
                  <c:v>8048</c:v>
                </c:pt>
                <c:pt idx="8">
                  <c:v>8048</c:v>
                </c:pt>
                <c:pt idx="9">
                  <c:v>8042</c:v>
                </c:pt>
                <c:pt idx="10">
                  <c:v>8042</c:v>
                </c:pt>
                <c:pt idx="11">
                  <c:v>8048</c:v>
                </c:pt>
                <c:pt idx="12">
                  <c:v>8048</c:v>
                </c:pt>
                <c:pt idx="13">
                  <c:v>8048</c:v>
                </c:pt>
                <c:pt idx="14">
                  <c:v>8042</c:v>
                </c:pt>
                <c:pt idx="15">
                  <c:v>8042</c:v>
                </c:pt>
                <c:pt idx="16">
                  <c:v>8042</c:v>
                </c:pt>
                <c:pt idx="17">
                  <c:v>8048</c:v>
                </c:pt>
                <c:pt idx="18">
                  <c:v>8042</c:v>
                </c:pt>
                <c:pt idx="19">
                  <c:v>8042</c:v>
                </c:pt>
                <c:pt idx="20">
                  <c:v>8048</c:v>
                </c:pt>
                <c:pt idx="21">
                  <c:v>8048</c:v>
                </c:pt>
                <c:pt idx="22">
                  <c:v>8048</c:v>
                </c:pt>
                <c:pt idx="23">
                  <c:v>8048</c:v>
                </c:pt>
                <c:pt idx="24">
                  <c:v>8042</c:v>
                </c:pt>
                <c:pt idx="25">
                  <c:v>8048</c:v>
                </c:pt>
                <c:pt idx="26">
                  <c:v>8048</c:v>
                </c:pt>
                <c:pt idx="27">
                  <c:v>8048</c:v>
                </c:pt>
                <c:pt idx="28">
                  <c:v>8048</c:v>
                </c:pt>
                <c:pt idx="29">
                  <c:v>8048</c:v>
                </c:pt>
                <c:pt idx="30">
                  <c:v>8048</c:v>
                </c:pt>
                <c:pt idx="31">
                  <c:v>8042</c:v>
                </c:pt>
                <c:pt idx="32">
                  <c:v>8048</c:v>
                </c:pt>
                <c:pt idx="33">
                  <c:v>8048</c:v>
                </c:pt>
                <c:pt idx="34">
                  <c:v>8042</c:v>
                </c:pt>
                <c:pt idx="35">
                  <c:v>8048</c:v>
                </c:pt>
                <c:pt idx="36">
                  <c:v>8042</c:v>
                </c:pt>
                <c:pt idx="37">
                  <c:v>8042</c:v>
                </c:pt>
                <c:pt idx="38">
                  <c:v>8042</c:v>
                </c:pt>
                <c:pt idx="39">
                  <c:v>8048</c:v>
                </c:pt>
                <c:pt idx="40">
                  <c:v>8042</c:v>
                </c:pt>
                <c:pt idx="41">
                  <c:v>8042</c:v>
                </c:pt>
                <c:pt idx="42">
                  <c:v>8042</c:v>
                </c:pt>
                <c:pt idx="43">
                  <c:v>8042</c:v>
                </c:pt>
                <c:pt idx="44">
                  <c:v>8042</c:v>
                </c:pt>
                <c:pt idx="45">
                  <c:v>8048</c:v>
                </c:pt>
                <c:pt idx="46">
                  <c:v>8048</c:v>
                </c:pt>
                <c:pt idx="47">
                  <c:v>8048</c:v>
                </c:pt>
                <c:pt idx="48">
                  <c:v>8042</c:v>
                </c:pt>
                <c:pt idx="49">
                  <c:v>8048</c:v>
                </c:pt>
                <c:pt idx="50">
                  <c:v>8048</c:v>
                </c:pt>
                <c:pt idx="51">
                  <c:v>8042</c:v>
                </c:pt>
                <c:pt idx="52">
                  <c:v>8048</c:v>
                </c:pt>
                <c:pt idx="53">
                  <c:v>8048</c:v>
                </c:pt>
                <c:pt idx="54">
                  <c:v>8048</c:v>
                </c:pt>
                <c:pt idx="55">
                  <c:v>8048</c:v>
                </c:pt>
                <c:pt idx="56">
                  <c:v>8042</c:v>
                </c:pt>
                <c:pt idx="57">
                  <c:v>8042</c:v>
                </c:pt>
                <c:pt idx="58">
                  <c:v>8048</c:v>
                </c:pt>
                <c:pt idx="59">
                  <c:v>8048</c:v>
                </c:pt>
                <c:pt idx="60">
                  <c:v>8048</c:v>
                </c:pt>
                <c:pt idx="61">
                  <c:v>8048</c:v>
                </c:pt>
                <c:pt idx="62">
                  <c:v>8048</c:v>
                </c:pt>
                <c:pt idx="63">
                  <c:v>8048</c:v>
                </c:pt>
                <c:pt idx="64">
                  <c:v>8042</c:v>
                </c:pt>
                <c:pt idx="65">
                  <c:v>8048</c:v>
                </c:pt>
                <c:pt idx="66">
                  <c:v>8048</c:v>
                </c:pt>
                <c:pt idx="67">
                  <c:v>8048</c:v>
                </c:pt>
                <c:pt idx="68">
                  <c:v>8042</c:v>
                </c:pt>
                <c:pt idx="69">
                  <c:v>8042</c:v>
                </c:pt>
                <c:pt idx="70">
                  <c:v>8048</c:v>
                </c:pt>
                <c:pt idx="71">
                  <c:v>8042</c:v>
                </c:pt>
                <c:pt idx="72">
                  <c:v>8048</c:v>
                </c:pt>
                <c:pt idx="73">
                  <c:v>8048</c:v>
                </c:pt>
                <c:pt idx="74">
                  <c:v>8048</c:v>
                </c:pt>
                <c:pt idx="75">
                  <c:v>8048</c:v>
                </c:pt>
                <c:pt idx="76">
                  <c:v>8048</c:v>
                </c:pt>
                <c:pt idx="77">
                  <c:v>8048</c:v>
                </c:pt>
                <c:pt idx="78">
                  <c:v>8048</c:v>
                </c:pt>
                <c:pt idx="79">
                  <c:v>8048</c:v>
                </c:pt>
                <c:pt idx="80">
                  <c:v>8048</c:v>
                </c:pt>
                <c:pt idx="81">
                  <c:v>8042</c:v>
                </c:pt>
                <c:pt idx="82">
                  <c:v>8042</c:v>
                </c:pt>
                <c:pt idx="83">
                  <c:v>8048</c:v>
                </c:pt>
                <c:pt idx="84">
                  <c:v>8048</c:v>
                </c:pt>
                <c:pt idx="85">
                  <c:v>8048</c:v>
                </c:pt>
                <c:pt idx="86">
                  <c:v>8048</c:v>
                </c:pt>
                <c:pt idx="87">
                  <c:v>8042</c:v>
                </c:pt>
                <c:pt idx="88">
                  <c:v>8042</c:v>
                </c:pt>
                <c:pt idx="89">
                  <c:v>8048</c:v>
                </c:pt>
                <c:pt idx="90">
                  <c:v>8042</c:v>
                </c:pt>
                <c:pt idx="91">
                  <c:v>8048</c:v>
                </c:pt>
                <c:pt idx="92">
                  <c:v>8042</c:v>
                </c:pt>
                <c:pt idx="93">
                  <c:v>8042</c:v>
                </c:pt>
                <c:pt idx="94">
                  <c:v>8048</c:v>
                </c:pt>
                <c:pt idx="95">
                  <c:v>8048</c:v>
                </c:pt>
                <c:pt idx="96">
                  <c:v>8048</c:v>
                </c:pt>
                <c:pt idx="97">
                  <c:v>8042</c:v>
                </c:pt>
                <c:pt idx="98">
                  <c:v>8048</c:v>
                </c:pt>
                <c:pt idx="99">
                  <c:v>8048</c:v>
                </c:pt>
                <c:pt idx="100">
                  <c:v>8048</c:v>
                </c:pt>
                <c:pt idx="101">
                  <c:v>8042</c:v>
                </c:pt>
                <c:pt idx="102">
                  <c:v>8042</c:v>
                </c:pt>
                <c:pt idx="103">
                  <c:v>8042</c:v>
                </c:pt>
                <c:pt idx="104">
                  <c:v>8042</c:v>
                </c:pt>
                <c:pt idx="105">
                  <c:v>8042</c:v>
                </c:pt>
                <c:pt idx="106">
                  <c:v>8042</c:v>
                </c:pt>
                <c:pt idx="107">
                  <c:v>8042</c:v>
                </c:pt>
                <c:pt idx="108">
                  <c:v>8048</c:v>
                </c:pt>
                <c:pt idx="109">
                  <c:v>8048</c:v>
                </c:pt>
                <c:pt idx="110">
                  <c:v>8048</c:v>
                </c:pt>
                <c:pt idx="111">
                  <c:v>8048</c:v>
                </c:pt>
                <c:pt idx="112">
                  <c:v>8048</c:v>
                </c:pt>
                <c:pt idx="113">
                  <c:v>8048</c:v>
                </c:pt>
                <c:pt idx="114">
                  <c:v>8048</c:v>
                </c:pt>
                <c:pt idx="115">
                  <c:v>8042</c:v>
                </c:pt>
                <c:pt idx="116">
                  <c:v>8048</c:v>
                </c:pt>
                <c:pt idx="117">
                  <c:v>8042</c:v>
                </c:pt>
                <c:pt idx="118">
                  <c:v>8048</c:v>
                </c:pt>
                <c:pt idx="119">
                  <c:v>8042</c:v>
                </c:pt>
                <c:pt idx="120">
                  <c:v>8048</c:v>
                </c:pt>
                <c:pt idx="121">
                  <c:v>8048</c:v>
                </c:pt>
                <c:pt idx="122">
                  <c:v>8048</c:v>
                </c:pt>
                <c:pt idx="123">
                  <c:v>8048</c:v>
                </c:pt>
                <c:pt idx="124">
                  <c:v>8048</c:v>
                </c:pt>
                <c:pt idx="125">
                  <c:v>8042</c:v>
                </c:pt>
                <c:pt idx="126">
                  <c:v>8048</c:v>
                </c:pt>
                <c:pt idx="127">
                  <c:v>8048</c:v>
                </c:pt>
                <c:pt idx="128">
                  <c:v>8042</c:v>
                </c:pt>
                <c:pt idx="129">
                  <c:v>8048</c:v>
                </c:pt>
                <c:pt idx="130">
                  <c:v>8042</c:v>
                </c:pt>
                <c:pt idx="131">
                  <c:v>8042</c:v>
                </c:pt>
                <c:pt idx="132">
                  <c:v>8042</c:v>
                </c:pt>
                <c:pt idx="133">
                  <c:v>8042</c:v>
                </c:pt>
                <c:pt idx="134">
                  <c:v>8048</c:v>
                </c:pt>
                <c:pt idx="135">
                  <c:v>8042</c:v>
                </c:pt>
                <c:pt idx="136">
                  <c:v>8042</c:v>
                </c:pt>
                <c:pt idx="137">
                  <c:v>8048</c:v>
                </c:pt>
                <c:pt idx="138">
                  <c:v>8042</c:v>
                </c:pt>
                <c:pt idx="139">
                  <c:v>8048</c:v>
                </c:pt>
                <c:pt idx="140">
                  <c:v>8042</c:v>
                </c:pt>
                <c:pt idx="141">
                  <c:v>8042</c:v>
                </c:pt>
                <c:pt idx="142">
                  <c:v>8048</c:v>
                </c:pt>
                <c:pt idx="143">
                  <c:v>8042</c:v>
                </c:pt>
                <c:pt idx="144">
                  <c:v>8048</c:v>
                </c:pt>
                <c:pt idx="145">
                  <c:v>8042</c:v>
                </c:pt>
                <c:pt idx="146">
                  <c:v>8048</c:v>
                </c:pt>
                <c:pt idx="147">
                  <c:v>8042</c:v>
                </c:pt>
                <c:pt idx="148">
                  <c:v>8048</c:v>
                </c:pt>
                <c:pt idx="149">
                  <c:v>8048</c:v>
                </c:pt>
                <c:pt idx="150">
                  <c:v>8048</c:v>
                </c:pt>
                <c:pt idx="151">
                  <c:v>8048</c:v>
                </c:pt>
                <c:pt idx="152">
                  <c:v>8048</c:v>
                </c:pt>
                <c:pt idx="153">
                  <c:v>8048</c:v>
                </c:pt>
                <c:pt idx="154">
                  <c:v>8042</c:v>
                </c:pt>
                <c:pt idx="155">
                  <c:v>8042</c:v>
                </c:pt>
                <c:pt idx="156">
                  <c:v>8042</c:v>
                </c:pt>
                <c:pt idx="157">
                  <c:v>8042</c:v>
                </c:pt>
                <c:pt idx="158">
                  <c:v>8048</c:v>
                </c:pt>
                <c:pt idx="159">
                  <c:v>8048</c:v>
                </c:pt>
                <c:pt idx="160">
                  <c:v>8042</c:v>
                </c:pt>
                <c:pt idx="161">
                  <c:v>8042</c:v>
                </c:pt>
                <c:pt idx="162">
                  <c:v>8042</c:v>
                </c:pt>
                <c:pt idx="163">
                  <c:v>8048</c:v>
                </c:pt>
                <c:pt idx="164">
                  <c:v>8048</c:v>
                </c:pt>
                <c:pt idx="165">
                  <c:v>8048</c:v>
                </c:pt>
                <c:pt idx="166">
                  <c:v>8042</c:v>
                </c:pt>
                <c:pt idx="167">
                  <c:v>8048</c:v>
                </c:pt>
                <c:pt idx="168">
                  <c:v>8048</c:v>
                </c:pt>
                <c:pt idx="169">
                  <c:v>8042</c:v>
                </c:pt>
                <c:pt idx="170">
                  <c:v>8048</c:v>
                </c:pt>
                <c:pt idx="171">
                  <c:v>8048</c:v>
                </c:pt>
                <c:pt idx="172">
                  <c:v>8048</c:v>
                </c:pt>
                <c:pt idx="173">
                  <c:v>8048</c:v>
                </c:pt>
                <c:pt idx="174">
                  <c:v>8048</c:v>
                </c:pt>
                <c:pt idx="175">
                  <c:v>8048</c:v>
                </c:pt>
                <c:pt idx="176">
                  <c:v>8042</c:v>
                </c:pt>
                <c:pt idx="177">
                  <c:v>8048</c:v>
                </c:pt>
                <c:pt idx="178">
                  <c:v>8048</c:v>
                </c:pt>
                <c:pt idx="179">
                  <c:v>8048</c:v>
                </c:pt>
                <c:pt idx="180">
                  <c:v>8048</c:v>
                </c:pt>
                <c:pt idx="181">
                  <c:v>8048</c:v>
                </c:pt>
                <c:pt idx="182">
                  <c:v>8042</c:v>
                </c:pt>
                <c:pt idx="183">
                  <c:v>8042</c:v>
                </c:pt>
                <c:pt idx="184">
                  <c:v>8048</c:v>
                </c:pt>
                <c:pt idx="185">
                  <c:v>8054</c:v>
                </c:pt>
                <c:pt idx="186">
                  <c:v>8048</c:v>
                </c:pt>
                <c:pt idx="187">
                  <c:v>8048</c:v>
                </c:pt>
                <c:pt idx="188">
                  <c:v>8048</c:v>
                </c:pt>
                <c:pt idx="189">
                  <c:v>8048</c:v>
                </c:pt>
                <c:pt idx="190">
                  <c:v>8048</c:v>
                </c:pt>
                <c:pt idx="191">
                  <c:v>8048</c:v>
                </c:pt>
                <c:pt idx="192">
                  <c:v>8042</c:v>
                </c:pt>
                <c:pt idx="193">
                  <c:v>8048</c:v>
                </c:pt>
                <c:pt idx="194">
                  <c:v>8042</c:v>
                </c:pt>
                <c:pt idx="195">
                  <c:v>8042</c:v>
                </c:pt>
                <c:pt idx="196">
                  <c:v>8048</c:v>
                </c:pt>
                <c:pt idx="197">
                  <c:v>8048</c:v>
                </c:pt>
                <c:pt idx="198">
                  <c:v>8048</c:v>
                </c:pt>
                <c:pt idx="199">
                  <c:v>8048</c:v>
                </c:pt>
                <c:pt idx="200">
                  <c:v>8048</c:v>
                </c:pt>
                <c:pt idx="201">
                  <c:v>8048</c:v>
                </c:pt>
                <c:pt idx="202">
                  <c:v>8048</c:v>
                </c:pt>
                <c:pt idx="203">
                  <c:v>8048</c:v>
                </c:pt>
                <c:pt idx="204">
                  <c:v>8048</c:v>
                </c:pt>
                <c:pt idx="205">
                  <c:v>8048</c:v>
                </c:pt>
                <c:pt idx="206">
                  <c:v>8042</c:v>
                </c:pt>
                <c:pt idx="207">
                  <c:v>8048</c:v>
                </c:pt>
                <c:pt idx="208">
                  <c:v>8048</c:v>
                </c:pt>
                <c:pt idx="209">
                  <c:v>8042</c:v>
                </c:pt>
                <c:pt idx="210">
                  <c:v>8048</c:v>
                </c:pt>
                <c:pt idx="211">
                  <c:v>8042</c:v>
                </c:pt>
                <c:pt idx="212">
                  <c:v>8048</c:v>
                </c:pt>
                <c:pt idx="213">
                  <c:v>8048</c:v>
                </c:pt>
                <c:pt idx="214">
                  <c:v>8048</c:v>
                </c:pt>
                <c:pt idx="215">
                  <c:v>8048</c:v>
                </c:pt>
                <c:pt idx="216">
                  <c:v>8048</c:v>
                </c:pt>
                <c:pt idx="217">
                  <c:v>8048</c:v>
                </c:pt>
                <c:pt idx="218">
                  <c:v>8048</c:v>
                </c:pt>
                <c:pt idx="219">
                  <c:v>8042</c:v>
                </c:pt>
                <c:pt idx="220">
                  <c:v>8048</c:v>
                </c:pt>
                <c:pt idx="221">
                  <c:v>8042</c:v>
                </c:pt>
                <c:pt idx="222">
                  <c:v>8048</c:v>
                </c:pt>
                <c:pt idx="223">
                  <c:v>8042</c:v>
                </c:pt>
                <c:pt idx="224">
                  <c:v>8048</c:v>
                </c:pt>
                <c:pt idx="225">
                  <c:v>8048</c:v>
                </c:pt>
                <c:pt idx="226">
                  <c:v>8042</c:v>
                </c:pt>
                <c:pt idx="227">
                  <c:v>8042</c:v>
                </c:pt>
                <c:pt idx="228">
                  <c:v>8042</c:v>
                </c:pt>
                <c:pt idx="229">
                  <c:v>8048</c:v>
                </c:pt>
                <c:pt idx="230">
                  <c:v>8048</c:v>
                </c:pt>
                <c:pt idx="231">
                  <c:v>8048</c:v>
                </c:pt>
                <c:pt idx="232">
                  <c:v>8048</c:v>
                </c:pt>
                <c:pt idx="233">
                  <c:v>8048</c:v>
                </c:pt>
                <c:pt idx="234">
                  <c:v>8048</c:v>
                </c:pt>
                <c:pt idx="235">
                  <c:v>8048</c:v>
                </c:pt>
                <c:pt idx="236">
                  <c:v>8048</c:v>
                </c:pt>
                <c:pt idx="237">
                  <c:v>8042</c:v>
                </c:pt>
                <c:pt idx="238">
                  <c:v>8048</c:v>
                </c:pt>
                <c:pt idx="239">
                  <c:v>8048</c:v>
                </c:pt>
                <c:pt idx="240">
                  <c:v>8048</c:v>
                </c:pt>
                <c:pt idx="241">
                  <c:v>8042</c:v>
                </c:pt>
                <c:pt idx="242">
                  <c:v>8048</c:v>
                </c:pt>
                <c:pt idx="243">
                  <c:v>8048</c:v>
                </c:pt>
                <c:pt idx="244">
                  <c:v>8048</c:v>
                </c:pt>
                <c:pt idx="245">
                  <c:v>8048</c:v>
                </c:pt>
                <c:pt idx="246">
                  <c:v>8042</c:v>
                </c:pt>
                <c:pt idx="247">
                  <c:v>8054</c:v>
                </c:pt>
                <c:pt idx="248">
                  <c:v>8042</c:v>
                </c:pt>
                <c:pt idx="249">
                  <c:v>8048</c:v>
                </c:pt>
                <c:pt idx="250">
                  <c:v>8048</c:v>
                </c:pt>
                <c:pt idx="251">
                  <c:v>8048</c:v>
                </c:pt>
                <c:pt idx="252">
                  <c:v>8048</c:v>
                </c:pt>
                <c:pt idx="253">
                  <c:v>8042</c:v>
                </c:pt>
                <c:pt idx="254">
                  <c:v>8048</c:v>
                </c:pt>
                <c:pt idx="255">
                  <c:v>8042</c:v>
                </c:pt>
                <c:pt idx="256">
                  <c:v>8048</c:v>
                </c:pt>
                <c:pt idx="257">
                  <c:v>8048</c:v>
                </c:pt>
                <c:pt idx="258">
                  <c:v>8048</c:v>
                </c:pt>
                <c:pt idx="259">
                  <c:v>8048</c:v>
                </c:pt>
                <c:pt idx="260">
                  <c:v>8048</c:v>
                </c:pt>
                <c:pt idx="261">
                  <c:v>8048</c:v>
                </c:pt>
                <c:pt idx="262">
                  <c:v>8048</c:v>
                </c:pt>
                <c:pt idx="263">
                  <c:v>8042</c:v>
                </c:pt>
                <c:pt idx="264">
                  <c:v>8048</c:v>
                </c:pt>
                <c:pt idx="265">
                  <c:v>8048</c:v>
                </c:pt>
                <c:pt idx="266">
                  <c:v>8048</c:v>
                </c:pt>
                <c:pt idx="267">
                  <c:v>8048</c:v>
                </c:pt>
                <c:pt idx="268">
                  <c:v>8048</c:v>
                </c:pt>
                <c:pt idx="269">
                  <c:v>8048</c:v>
                </c:pt>
                <c:pt idx="270">
                  <c:v>8048</c:v>
                </c:pt>
                <c:pt idx="271">
                  <c:v>8048</c:v>
                </c:pt>
                <c:pt idx="272">
                  <c:v>8048</c:v>
                </c:pt>
                <c:pt idx="273">
                  <c:v>8048</c:v>
                </c:pt>
                <c:pt idx="274">
                  <c:v>8042</c:v>
                </c:pt>
                <c:pt idx="275">
                  <c:v>8042</c:v>
                </c:pt>
                <c:pt idx="276">
                  <c:v>8048</c:v>
                </c:pt>
                <c:pt idx="277">
                  <c:v>8048</c:v>
                </c:pt>
                <c:pt idx="278">
                  <c:v>8048</c:v>
                </c:pt>
                <c:pt idx="279">
                  <c:v>8048</c:v>
                </c:pt>
                <c:pt idx="280">
                  <c:v>8048</c:v>
                </c:pt>
                <c:pt idx="281">
                  <c:v>8048</c:v>
                </c:pt>
                <c:pt idx="282">
                  <c:v>8048</c:v>
                </c:pt>
                <c:pt idx="283">
                  <c:v>8048</c:v>
                </c:pt>
                <c:pt idx="284">
                  <c:v>8048</c:v>
                </c:pt>
                <c:pt idx="285">
                  <c:v>8048</c:v>
                </c:pt>
                <c:pt idx="286">
                  <c:v>8048</c:v>
                </c:pt>
                <c:pt idx="287">
                  <c:v>8048</c:v>
                </c:pt>
                <c:pt idx="288">
                  <c:v>8048</c:v>
                </c:pt>
                <c:pt idx="289">
                  <c:v>8048</c:v>
                </c:pt>
                <c:pt idx="290">
                  <c:v>8042</c:v>
                </c:pt>
                <c:pt idx="291">
                  <c:v>8042</c:v>
                </c:pt>
                <c:pt idx="292">
                  <c:v>8042</c:v>
                </c:pt>
                <c:pt idx="293">
                  <c:v>8048</c:v>
                </c:pt>
                <c:pt idx="294">
                  <c:v>8048</c:v>
                </c:pt>
                <c:pt idx="295">
                  <c:v>8048</c:v>
                </c:pt>
                <c:pt idx="296">
                  <c:v>8048</c:v>
                </c:pt>
                <c:pt idx="297">
                  <c:v>8048</c:v>
                </c:pt>
                <c:pt idx="298">
                  <c:v>8048</c:v>
                </c:pt>
                <c:pt idx="299">
                  <c:v>8042</c:v>
                </c:pt>
                <c:pt idx="300">
                  <c:v>8042</c:v>
                </c:pt>
                <c:pt idx="301">
                  <c:v>8042</c:v>
                </c:pt>
                <c:pt idx="302">
                  <c:v>8048</c:v>
                </c:pt>
                <c:pt idx="303">
                  <c:v>8048</c:v>
                </c:pt>
                <c:pt idx="304">
                  <c:v>8042</c:v>
                </c:pt>
                <c:pt idx="305">
                  <c:v>8048</c:v>
                </c:pt>
                <c:pt idx="306">
                  <c:v>8048</c:v>
                </c:pt>
                <c:pt idx="307">
                  <c:v>8048</c:v>
                </c:pt>
                <c:pt idx="308">
                  <c:v>8048</c:v>
                </c:pt>
                <c:pt idx="309">
                  <c:v>8042</c:v>
                </c:pt>
                <c:pt idx="310">
                  <c:v>8048</c:v>
                </c:pt>
                <c:pt idx="311">
                  <c:v>8042</c:v>
                </c:pt>
                <c:pt idx="312">
                  <c:v>8048</c:v>
                </c:pt>
                <c:pt idx="313">
                  <c:v>8042</c:v>
                </c:pt>
                <c:pt idx="314">
                  <c:v>8042</c:v>
                </c:pt>
                <c:pt idx="315">
                  <c:v>8048</c:v>
                </c:pt>
                <c:pt idx="316">
                  <c:v>8048</c:v>
                </c:pt>
                <c:pt idx="317">
                  <c:v>8042</c:v>
                </c:pt>
                <c:pt idx="318">
                  <c:v>8048</c:v>
                </c:pt>
                <c:pt idx="319">
                  <c:v>8048</c:v>
                </c:pt>
                <c:pt idx="320">
                  <c:v>8048</c:v>
                </c:pt>
                <c:pt idx="321">
                  <c:v>8048</c:v>
                </c:pt>
                <c:pt idx="322">
                  <c:v>8048</c:v>
                </c:pt>
                <c:pt idx="323">
                  <c:v>8048</c:v>
                </c:pt>
                <c:pt idx="324">
                  <c:v>8048</c:v>
                </c:pt>
                <c:pt idx="325">
                  <c:v>8048</c:v>
                </c:pt>
                <c:pt idx="326">
                  <c:v>8042</c:v>
                </c:pt>
                <c:pt idx="327">
                  <c:v>8042</c:v>
                </c:pt>
                <c:pt idx="328">
                  <c:v>8042</c:v>
                </c:pt>
                <c:pt idx="329">
                  <c:v>8042</c:v>
                </c:pt>
                <c:pt idx="330">
                  <c:v>8042</c:v>
                </c:pt>
                <c:pt idx="331">
                  <c:v>8048</c:v>
                </c:pt>
                <c:pt idx="332">
                  <c:v>8048</c:v>
                </c:pt>
                <c:pt idx="333">
                  <c:v>8048</c:v>
                </c:pt>
                <c:pt idx="334">
                  <c:v>8054</c:v>
                </c:pt>
                <c:pt idx="335">
                  <c:v>8048</c:v>
                </c:pt>
                <c:pt idx="336">
                  <c:v>8048</c:v>
                </c:pt>
                <c:pt idx="337">
                  <c:v>8042</c:v>
                </c:pt>
                <c:pt idx="338">
                  <c:v>8048</c:v>
                </c:pt>
                <c:pt idx="339">
                  <c:v>8048</c:v>
                </c:pt>
                <c:pt idx="340">
                  <c:v>8048</c:v>
                </c:pt>
                <c:pt idx="341">
                  <c:v>8048</c:v>
                </c:pt>
                <c:pt idx="342">
                  <c:v>8042</c:v>
                </c:pt>
                <c:pt idx="343">
                  <c:v>8042</c:v>
                </c:pt>
                <c:pt idx="344">
                  <c:v>8042</c:v>
                </c:pt>
                <c:pt idx="345">
                  <c:v>8048</c:v>
                </c:pt>
                <c:pt idx="346">
                  <c:v>8048</c:v>
                </c:pt>
                <c:pt idx="347">
                  <c:v>8048</c:v>
                </c:pt>
                <c:pt idx="348">
                  <c:v>8048</c:v>
                </c:pt>
                <c:pt idx="349">
                  <c:v>8048</c:v>
                </c:pt>
                <c:pt idx="350">
                  <c:v>8042</c:v>
                </c:pt>
                <c:pt idx="351">
                  <c:v>8037</c:v>
                </c:pt>
                <c:pt idx="352">
                  <c:v>8042</c:v>
                </c:pt>
                <c:pt idx="353">
                  <c:v>8042</c:v>
                </c:pt>
                <c:pt idx="354">
                  <c:v>8037</c:v>
                </c:pt>
                <c:pt idx="355">
                  <c:v>8042</c:v>
                </c:pt>
                <c:pt idx="356">
                  <c:v>8042</c:v>
                </c:pt>
                <c:pt idx="357">
                  <c:v>8048</c:v>
                </c:pt>
                <c:pt idx="358">
                  <c:v>8048</c:v>
                </c:pt>
                <c:pt idx="359">
                  <c:v>8048</c:v>
                </c:pt>
                <c:pt idx="360">
                  <c:v>8042</c:v>
                </c:pt>
                <c:pt idx="361">
                  <c:v>8048</c:v>
                </c:pt>
                <c:pt idx="362">
                  <c:v>8048</c:v>
                </c:pt>
                <c:pt idx="363">
                  <c:v>8048</c:v>
                </c:pt>
                <c:pt idx="364">
                  <c:v>8048</c:v>
                </c:pt>
                <c:pt idx="365">
                  <c:v>8048</c:v>
                </c:pt>
                <c:pt idx="366">
                  <c:v>8048</c:v>
                </c:pt>
                <c:pt idx="367">
                  <c:v>8048</c:v>
                </c:pt>
                <c:pt idx="368">
                  <c:v>8042</c:v>
                </c:pt>
                <c:pt idx="369">
                  <c:v>8054</c:v>
                </c:pt>
                <c:pt idx="370">
                  <c:v>8054</c:v>
                </c:pt>
                <c:pt idx="371">
                  <c:v>8048</c:v>
                </c:pt>
                <c:pt idx="372">
                  <c:v>8054</c:v>
                </c:pt>
                <c:pt idx="373">
                  <c:v>8054</c:v>
                </c:pt>
                <c:pt idx="374">
                  <c:v>8054</c:v>
                </c:pt>
                <c:pt idx="375">
                  <c:v>8054</c:v>
                </c:pt>
                <c:pt idx="376">
                  <c:v>8042</c:v>
                </c:pt>
                <c:pt idx="377">
                  <c:v>8042</c:v>
                </c:pt>
                <c:pt idx="378">
                  <c:v>8048</c:v>
                </c:pt>
                <c:pt idx="379">
                  <c:v>8042</c:v>
                </c:pt>
                <c:pt idx="380">
                  <c:v>8048</c:v>
                </c:pt>
                <c:pt idx="381">
                  <c:v>8048</c:v>
                </c:pt>
                <c:pt idx="382">
                  <c:v>8048</c:v>
                </c:pt>
                <c:pt idx="383">
                  <c:v>8048</c:v>
                </c:pt>
                <c:pt idx="384">
                  <c:v>8048</c:v>
                </c:pt>
                <c:pt idx="385">
                  <c:v>8048</c:v>
                </c:pt>
                <c:pt idx="386">
                  <c:v>8048</c:v>
                </c:pt>
                <c:pt idx="387">
                  <c:v>8048</c:v>
                </c:pt>
                <c:pt idx="388">
                  <c:v>8048</c:v>
                </c:pt>
                <c:pt idx="389">
                  <c:v>8048</c:v>
                </c:pt>
                <c:pt idx="390">
                  <c:v>8042</c:v>
                </c:pt>
                <c:pt idx="391">
                  <c:v>8042</c:v>
                </c:pt>
                <c:pt idx="392">
                  <c:v>8042</c:v>
                </c:pt>
                <c:pt idx="393">
                  <c:v>8048</c:v>
                </c:pt>
                <c:pt idx="394">
                  <c:v>8042</c:v>
                </c:pt>
                <c:pt idx="395">
                  <c:v>8048</c:v>
                </c:pt>
                <c:pt idx="396">
                  <c:v>8048</c:v>
                </c:pt>
                <c:pt idx="397">
                  <c:v>8042</c:v>
                </c:pt>
                <c:pt idx="398">
                  <c:v>8042</c:v>
                </c:pt>
                <c:pt idx="399">
                  <c:v>8048</c:v>
                </c:pt>
                <c:pt idx="400">
                  <c:v>8048</c:v>
                </c:pt>
                <c:pt idx="401">
                  <c:v>8037</c:v>
                </c:pt>
                <c:pt idx="402">
                  <c:v>8042</c:v>
                </c:pt>
                <c:pt idx="403">
                  <c:v>8042</c:v>
                </c:pt>
                <c:pt idx="404">
                  <c:v>8042</c:v>
                </c:pt>
                <c:pt idx="405">
                  <c:v>8037</c:v>
                </c:pt>
                <c:pt idx="406">
                  <c:v>8042</c:v>
                </c:pt>
                <c:pt idx="407">
                  <c:v>8042</c:v>
                </c:pt>
                <c:pt idx="408">
                  <c:v>8042</c:v>
                </c:pt>
                <c:pt idx="409">
                  <c:v>8054</c:v>
                </c:pt>
                <c:pt idx="410">
                  <c:v>8048</c:v>
                </c:pt>
                <c:pt idx="411">
                  <c:v>8048</c:v>
                </c:pt>
                <c:pt idx="412">
                  <c:v>8048</c:v>
                </c:pt>
                <c:pt idx="413">
                  <c:v>8042</c:v>
                </c:pt>
                <c:pt idx="414">
                  <c:v>8042</c:v>
                </c:pt>
                <c:pt idx="415">
                  <c:v>8048</c:v>
                </c:pt>
                <c:pt idx="416">
                  <c:v>8048</c:v>
                </c:pt>
                <c:pt idx="417">
                  <c:v>8048</c:v>
                </c:pt>
                <c:pt idx="418">
                  <c:v>8048</c:v>
                </c:pt>
                <c:pt idx="419">
                  <c:v>8048</c:v>
                </c:pt>
                <c:pt idx="420">
                  <c:v>8048</c:v>
                </c:pt>
                <c:pt idx="421">
                  <c:v>8048</c:v>
                </c:pt>
                <c:pt idx="422">
                  <c:v>8048</c:v>
                </c:pt>
                <c:pt idx="423">
                  <c:v>8048</c:v>
                </c:pt>
                <c:pt idx="424">
                  <c:v>8048</c:v>
                </c:pt>
                <c:pt idx="425">
                  <c:v>8048</c:v>
                </c:pt>
                <c:pt idx="426">
                  <c:v>8048</c:v>
                </c:pt>
                <c:pt idx="427">
                  <c:v>8042</c:v>
                </c:pt>
                <c:pt idx="428">
                  <c:v>8042</c:v>
                </c:pt>
                <c:pt idx="429">
                  <c:v>8042</c:v>
                </c:pt>
                <c:pt idx="430">
                  <c:v>8042</c:v>
                </c:pt>
                <c:pt idx="431">
                  <c:v>8042</c:v>
                </c:pt>
                <c:pt idx="432">
                  <c:v>8042</c:v>
                </c:pt>
                <c:pt idx="433">
                  <c:v>8042</c:v>
                </c:pt>
                <c:pt idx="434">
                  <c:v>8048</c:v>
                </c:pt>
                <c:pt idx="435">
                  <c:v>8048</c:v>
                </c:pt>
                <c:pt idx="436">
                  <c:v>8048</c:v>
                </c:pt>
                <c:pt idx="437">
                  <c:v>8048</c:v>
                </c:pt>
                <c:pt idx="438">
                  <c:v>8048</c:v>
                </c:pt>
                <c:pt idx="439">
                  <c:v>8042</c:v>
                </c:pt>
                <c:pt idx="440">
                  <c:v>8042</c:v>
                </c:pt>
                <c:pt idx="441">
                  <c:v>8048</c:v>
                </c:pt>
                <c:pt idx="442">
                  <c:v>8048</c:v>
                </c:pt>
                <c:pt idx="443">
                  <c:v>8048</c:v>
                </c:pt>
                <c:pt idx="444">
                  <c:v>8048</c:v>
                </c:pt>
                <c:pt idx="445">
                  <c:v>8042</c:v>
                </c:pt>
                <c:pt idx="446">
                  <c:v>8048</c:v>
                </c:pt>
                <c:pt idx="447">
                  <c:v>8048</c:v>
                </c:pt>
                <c:pt idx="448">
                  <c:v>8048</c:v>
                </c:pt>
                <c:pt idx="449">
                  <c:v>8048</c:v>
                </c:pt>
                <c:pt idx="450">
                  <c:v>8048</c:v>
                </c:pt>
                <c:pt idx="451">
                  <c:v>8042</c:v>
                </c:pt>
                <c:pt idx="452">
                  <c:v>8037</c:v>
                </c:pt>
                <c:pt idx="453">
                  <c:v>8042</c:v>
                </c:pt>
                <c:pt idx="454">
                  <c:v>8037</c:v>
                </c:pt>
                <c:pt idx="455">
                  <c:v>8042</c:v>
                </c:pt>
                <c:pt idx="456">
                  <c:v>8037</c:v>
                </c:pt>
                <c:pt idx="457">
                  <c:v>8042</c:v>
                </c:pt>
                <c:pt idx="458">
                  <c:v>8037</c:v>
                </c:pt>
                <c:pt idx="459">
                  <c:v>8054</c:v>
                </c:pt>
                <c:pt idx="460">
                  <c:v>8048</c:v>
                </c:pt>
                <c:pt idx="461">
                  <c:v>8054</c:v>
                </c:pt>
                <c:pt idx="462">
                  <c:v>8054</c:v>
                </c:pt>
                <c:pt idx="463">
                  <c:v>8054</c:v>
                </c:pt>
                <c:pt idx="464">
                  <c:v>8054</c:v>
                </c:pt>
                <c:pt idx="465">
                  <c:v>8048</c:v>
                </c:pt>
                <c:pt idx="466">
                  <c:v>8048</c:v>
                </c:pt>
                <c:pt idx="467">
                  <c:v>8048</c:v>
                </c:pt>
                <c:pt idx="468">
                  <c:v>8048</c:v>
                </c:pt>
                <c:pt idx="469">
                  <c:v>8048</c:v>
                </c:pt>
                <c:pt idx="470">
                  <c:v>8048</c:v>
                </c:pt>
                <c:pt idx="471">
                  <c:v>8048</c:v>
                </c:pt>
                <c:pt idx="472">
                  <c:v>8048</c:v>
                </c:pt>
                <c:pt idx="473">
                  <c:v>8054</c:v>
                </c:pt>
                <c:pt idx="474">
                  <c:v>8048</c:v>
                </c:pt>
                <c:pt idx="475">
                  <c:v>8048</c:v>
                </c:pt>
                <c:pt idx="476">
                  <c:v>8048</c:v>
                </c:pt>
                <c:pt idx="477">
                  <c:v>8048</c:v>
                </c:pt>
                <c:pt idx="478">
                  <c:v>8048</c:v>
                </c:pt>
                <c:pt idx="479">
                  <c:v>8048</c:v>
                </c:pt>
                <c:pt idx="480">
                  <c:v>8048</c:v>
                </c:pt>
                <c:pt idx="481">
                  <c:v>8048</c:v>
                </c:pt>
                <c:pt idx="482">
                  <c:v>8048</c:v>
                </c:pt>
                <c:pt idx="483">
                  <c:v>8042</c:v>
                </c:pt>
                <c:pt idx="484">
                  <c:v>8048</c:v>
                </c:pt>
                <c:pt idx="485">
                  <c:v>8048</c:v>
                </c:pt>
                <c:pt idx="486">
                  <c:v>8048</c:v>
                </c:pt>
                <c:pt idx="487">
                  <c:v>8048</c:v>
                </c:pt>
                <c:pt idx="488">
                  <c:v>8042</c:v>
                </c:pt>
                <c:pt idx="489">
                  <c:v>8048</c:v>
                </c:pt>
                <c:pt idx="490">
                  <c:v>8048</c:v>
                </c:pt>
                <c:pt idx="491">
                  <c:v>8048</c:v>
                </c:pt>
                <c:pt idx="492">
                  <c:v>8048</c:v>
                </c:pt>
                <c:pt idx="493">
                  <c:v>8042</c:v>
                </c:pt>
                <c:pt idx="494">
                  <c:v>8048</c:v>
                </c:pt>
                <c:pt idx="495">
                  <c:v>8048</c:v>
                </c:pt>
                <c:pt idx="496">
                  <c:v>8048</c:v>
                </c:pt>
                <c:pt idx="497">
                  <c:v>8048</c:v>
                </c:pt>
                <c:pt idx="498">
                  <c:v>8042</c:v>
                </c:pt>
                <c:pt idx="499">
                  <c:v>8048</c:v>
                </c:pt>
                <c:pt idx="500">
                  <c:v>8048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A6-40DD-B035-E3C85AD43132}"/>
            </c:ext>
          </c:extLst>
        </c:ser>
        <c:ser>
          <c:idx val="1"/>
          <c:order val="1"/>
          <c:tx>
            <c:strRef>
              <c:f>'2026-04-17_16-25-21_23_high'!$E$1</c:f>
              <c:strCache>
                <c:ptCount val="1"/>
                <c:pt idx="0">
                  <c:v>p45_raw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'2026-04-17_16-25-21_23_high'!$A$2:$A$502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cat>
          <c:val>
            <c:numRef>
              <c:f>'2026-04-17_16-25-21_23_high'!$E$2:$E$502</c:f>
              <c:numCache>
                <c:formatCode>General</c:formatCode>
                <c:ptCount val="501"/>
                <c:pt idx="0">
                  <c:v>8134</c:v>
                </c:pt>
                <c:pt idx="1">
                  <c:v>8129</c:v>
                </c:pt>
                <c:pt idx="2">
                  <c:v>8123</c:v>
                </c:pt>
                <c:pt idx="3">
                  <c:v>8123</c:v>
                </c:pt>
                <c:pt idx="4">
                  <c:v>8123</c:v>
                </c:pt>
                <c:pt idx="5">
                  <c:v>8123</c:v>
                </c:pt>
                <c:pt idx="6">
                  <c:v>8123</c:v>
                </c:pt>
                <c:pt idx="7">
                  <c:v>8123</c:v>
                </c:pt>
                <c:pt idx="8">
                  <c:v>8123</c:v>
                </c:pt>
                <c:pt idx="9">
                  <c:v>8134</c:v>
                </c:pt>
                <c:pt idx="10">
                  <c:v>8129</c:v>
                </c:pt>
                <c:pt idx="11">
                  <c:v>8123</c:v>
                </c:pt>
                <c:pt idx="12">
                  <c:v>8123</c:v>
                </c:pt>
                <c:pt idx="13">
                  <c:v>8129</c:v>
                </c:pt>
                <c:pt idx="14">
                  <c:v>8134</c:v>
                </c:pt>
                <c:pt idx="15">
                  <c:v>8129</c:v>
                </c:pt>
                <c:pt idx="16">
                  <c:v>8123</c:v>
                </c:pt>
                <c:pt idx="17">
                  <c:v>8134</c:v>
                </c:pt>
                <c:pt idx="18">
                  <c:v>8129</c:v>
                </c:pt>
                <c:pt idx="19">
                  <c:v>8129</c:v>
                </c:pt>
                <c:pt idx="20">
                  <c:v>8123</c:v>
                </c:pt>
                <c:pt idx="21">
                  <c:v>8123</c:v>
                </c:pt>
                <c:pt idx="22">
                  <c:v>8123</c:v>
                </c:pt>
                <c:pt idx="23">
                  <c:v>8123</c:v>
                </c:pt>
                <c:pt idx="24">
                  <c:v>8129</c:v>
                </c:pt>
                <c:pt idx="25">
                  <c:v>8123</c:v>
                </c:pt>
                <c:pt idx="26">
                  <c:v>8123</c:v>
                </c:pt>
                <c:pt idx="27">
                  <c:v>8129</c:v>
                </c:pt>
                <c:pt idx="28">
                  <c:v>8123</c:v>
                </c:pt>
                <c:pt idx="29">
                  <c:v>8123</c:v>
                </c:pt>
                <c:pt idx="30">
                  <c:v>8123</c:v>
                </c:pt>
                <c:pt idx="31">
                  <c:v>8123</c:v>
                </c:pt>
                <c:pt idx="32">
                  <c:v>8129</c:v>
                </c:pt>
                <c:pt idx="33">
                  <c:v>8134</c:v>
                </c:pt>
                <c:pt idx="34">
                  <c:v>8129</c:v>
                </c:pt>
                <c:pt idx="35">
                  <c:v>8129</c:v>
                </c:pt>
                <c:pt idx="36">
                  <c:v>8129</c:v>
                </c:pt>
                <c:pt idx="37">
                  <c:v>8123</c:v>
                </c:pt>
                <c:pt idx="38">
                  <c:v>8117</c:v>
                </c:pt>
                <c:pt idx="39">
                  <c:v>8117</c:v>
                </c:pt>
                <c:pt idx="40">
                  <c:v>8117</c:v>
                </c:pt>
                <c:pt idx="41">
                  <c:v>8117</c:v>
                </c:pt>
                <c:pt idx="42">
                  <c:v>8123</c:v>
                </c:pt>
                <c:pt idx="43">
                  <c:v>8129</c:v>
                </c:pt>
                <c:pt idx="44">
                  <c:v>8134</c:v>
                </c:pt>
                <c:pt idx="45">
                  <c:v>8123</c:v>
                </c:pt>
                <c:pt idx="46">
                  <c:v>8123</c:v>
                </c:pt>
                <c:pt idx="47">
                  <c:v>8134</c:v>
                </c:pt>
                <c:pt idx="48">
                  <c:v>8123</c:v>
                </c:pt>
                <c:pt idx="49">
                  <c:v>8129</c:v>
                </c:pt>
                <c:pt idx="50">
                  <c:v>8123</c:v>
                </c:pt>
                <c:pt idx="51">
                  <c:v>8123</c:v>
                </c:pt>
                <c:pt idx="52">
                  <c:v>8129</c:v>
                </c:pt>
                <c:pt idx="53">
                  <c:v>8123</c:v>
                </c:pt>
                <c:pt idx="54">
                  <c:v>8123</c:v>
                </c:pt>
                <c:pt idx="55">
                  <c:v>8134</c:v>
                </c:pt>
                <c:pt idx="56">
                  <c:v>8123</c:v>
                </c:pt>
                <c:pt idx="57">
                  <c:v>8134</c:v>
                </c:pt>
                <c:pt idx="58">
                  <c:v>8123</c:v>
                </c:pt>
                <c:pt idx="59">
                  <c:v>8129</c:v>
                </c:pt>
                <c:pt idx="60">
                  <c:v>8123</c:v>
                </c:pt>
                <c:pt idx="61">
                  <c:v>8134</c:v>
                </c:pt>
                <c:pt idx="62">
                  <c:v>8129</c:v>
                </c:pt>
                <c:pt idx="63">
                  <c:v>8117</c:v>
                </c:pt>
                <c:pt idx="64">
                  <c:v>8117</c:v>
                </c:pt>
                <c:pt idx="65">
                  <c:v>8117</c:v>
                </c:pt>
                <c:pt idx="66">
                  <c:v>8123</c:v>
                </c:pt>
                <c:pt idx="67">
                  <c:v>8129</c:v>
                </c:pt>
                <c:pt idx="68">
                  <c:v>8123</c:v>
                </c:pt>
                <c:pt idx="69">
                  <c:v>8134</c:v>
                </c:pt>
                <c:pt idx="70">
                  <c:v>8123</c:v>
                </c:pt>
                <c:pt idx="71">
                  <c:v>8129</c:v>
                </c:pt>
                <c:pt idx="72">
                  <c:v>8129</c:v>
                </c:pt>
                <c:pt idx="73">
                  <c:v>8129</c:v>
                </c:pt>
                <c:pt idx="74">
                  <c:v>8129</c:v>
                </c:pt>
                <c:pt idx="75">
                  <c:v>8123</c:v>
                </c:pt>
                <c:pt idx="76">
                  <c:v>8129</c:v>
                </c:pt>
                <c:pt idx="77">
                  <c:v>8129</c:v>
                </c:pt>
                <c:pt idx="78">
                  <c:v>8129</c:v>
                </c:pt>
                <c:pt idx="79">
                  <c:v>8134</c:v>
                </c:pt>
                <c:pt idx="80">
                  <c:v>8123</c:v>
                </c:pt>
                <c:pt idx="81">
                  <c:v>8134</c:v>
                </c:pt>
                <c:pt idx="82">
                  <c:v>8123</c:v>
                </c:pt>
                <c:pt idx="83">
                  <c:v>8123</c:v>
                </c:pt>
                <c:pt idx="84">
                  <c:v>8129</c:v>
                </c:pt>
                <c:pt idx="85">
                  <c:v>8123</c:v>
                </c:pt>
                <c:pt idx="86">
                  <c:v>8123</c:v>
                </c:pt>
                <c:pt idx="87">
                  <c:v>8134</c:v>
                </c:pt>
                <c:pt idx="88">
                  <c:v>8129</c:v>
                </c:pt>
                <c:pt idx="89">
                  <c:v>8123</c:v>
                </c:pt>
                <c:pt idx="90">
                  <c:v>8123</c:v>
                </c:pt>
                <c:pt idx="91">
                  <c:v>8123</c:v>
                </c:pt>
                <c:pt idx="92">
                  <c:v>8123</c:v>
                </c:pt>
                <c:pt idx="93">
                  <c:v>8123</c:v>
                </c:pt>
                <c:pt idx="94">
                  <c:v>8123</c:v>
                </c:pt>
                <c:pt idx="95">
                  <c:v>8129</c:v>
                </c:pt>
                <c:pt idx="96">
                  <c:v>8123</c:v>
                </c:pt>
                <c:pt idx="97">
                  <c:v>8123</c:v>
                </c:pt>
                <c:pt idx="98">
                  <c:v>8123</c:v>
                </c:pt>
                <c:pt idx="99">
                  <c:v>8123</c:v>
                </c:pt>
                <c:pt idx="100">
                  <c:v>8129</c:v>
                </c:pt>
                <c:pt idx="101">
                  <c:v>8123</c:v>
                </c:pt>
                <c:pt idx="102">
                  <c:v>8123</c:v>
                </c:pt>
                <c:pt idx="103">
                  <c:v>8134</c:v>
                </c:pt>
                <c:pt idx="104">
                  <c:v>8123</c:v>
                </c:pt>
                <c:pt idx="105">
                  <c:v>8123</c:v>
                </c:pt>
                <c:pt idx="106">
                  <c:v>8123</c:v>
                </c:pt>
                <c:pt idx="107">
                  <c:v>8117</c:v>
                </c:pt>
                <c:pt idx="108">
                  <c:v>8129</c:v>
                </c:pt>
                <c:pt idx="109">
                  <c:v>8117</c:v>
                </c:pt>
                <c:pt idx="110">
                  <c:v>8117</c:v>
                </c:pt>
                <c:pt idx="111">
                  <c:v>8117</c:v>
                </c:pt>
                <c:pt idx="112">
                  <c:v>8123</c:v>
                </c:pt>
                <c:pt idx="113">
                  <c:v>8129</c:v>
                </c:pt>
                <c:pt idx="114">
                  <c:v>8123</c:v>
                </c:pt>
                <c:pt idx="115">
                  <c:v>8129</c:v>
                </c:pt>
                <c:pt idx="116">
                  <c:v>8123</c:v>
                </c:pt>
                <c:pt idx="117">
                  <c:v>8123</c:v>
                </c:pt>
                <c:pt idx="118">
                  <c:v>8123</c:v>
                </c:pt>
                <c:pt idx="119">
                  <c:v>8129</c:v>
                </c:pt>
                <c:pt idx="120">
                  <c:v>8134</c:v>
                </c:pt>
                <c:pt idx="121">
                  <c:v>8123</c:v>
                </c:pt>
                <c:pt idx="122">
                  <c:v>8123</c:v>
                </c:pt>
                <c:pt idx="123">
                  <c:v>8123</c:v>
                </c:pt>
                <c:pt idx="124">
                  <c:v>8123</c:v>
                </c:pt>
                <c:pt idx="125">
                  <c:v>8123</c:v>
                </c:pt>
                <c:pt idx="126">
                  <c:v>8123</c:v>
                </c:pt>
                <c:pt idx="127">
                  <c:v>8129</c:v>
                </c:pt>
                <c:pt idx="128">
                  <c:v>8123</c:v>
                </c:pt>
                <c:pt idx="129">
                  <c:v>8123</c:v>
                </c:pt>
                <c:pt idx="130">
                  <c:v>8134</c:v>
                </c:pt>
                <c:pt idx="131">
                  <c:v>8123</c:v>
                </c:pt>
                <c:pt idx="132">
                  <c:v>8123</c:v>
                </c:pt>
                <c:pt idx="133">
                  <c:v>8129</c:v>
                </c:pt>
                <c:pt idx="134">
                  <c:v>8129</c:v>
                </c:pt>
                <c:pt idx="135">
                  <c:v>8123</c:v>
                </c:pt>
                <c:pt idx="136">
                  <c:v>8129</c:v>
                </c:pt>
                <c:pt idx="137">
                  <c:v>8123</c:v>
                </c:pt>
                <c:pt idx="138">
                  <c:v>8117</c:v>
                </c:pt>
                <c:pt idx="139">
                  <c:v>8117</c:v>
                </c:pt>
                <c:pt idx="140">
                  <c:v>8123</c:v>
                </c:pt>
                <c:pt idx="141">
                  <c:v>8123</c:v>
                </c:pt>
                <c:pt idx="142">
                  <c:v>8123</c:v>
                </c:pt>
                <c:pt idx="143">
                  <c:v>8123</c:v>
                </c:pt>
                <c:pt idx="144">
                  <c:v>8117</c:v>
                </c:pt>
                <c:pt idx="145">
                  <c:v>8123</c:v>
                </c:pt>
                <c:pt idx="146">
                  <c:v>8129</c:v>
                </c:pt>
                <c:pt idx="147">
                  <c:v>8123</c:v>
                </c:pt>
                <c:pt idx="148">
                  <c:v>8123</c:v>
                </c:pt>
                <c:pt idx="149">
                  <c:v>8123</c:v>
                </c:pt>
                <c:pt idx="150">
                  <c:v>8123</c:v>
                </c:pt>
                <c:pt idx="151">
                  <c:v>8123</c:v>
                </c:pt>
                <c:pt idx="152">
                  <c:v>8123</c:v>
                </c:pt>
                <c:pt idx="153">
                  <c:v>8123</c:v>
                </c:pt>
                <c:pt idx="154">
                  <c:v>8123</c:v>
                </c:pt>
                <c:pt idx="155">
                  <c:v>8123</c:v>
                </c:pt>
                <c:pt idx="156">
                  <c:v>8123</c:v>
                </c:pt>
                <c:pt idx="157">
                  <c:v>8123</c:v>
                </c:pt>
                <c:pt idx="158">
                  <c:v>8129</c:v>
                </c:pt>
                <c:pt idx="159">
                  <c:v>8129</c:v>
                </c:pt>
                <c:pt idx="160">
                  <c:v>8123</c:v>
                </c:pt>
                <c:pt idx="161">
                  <c:v>8123</c:v>
                </c:pt>
                <c:pt idx="162">
                  <c:v>8123</c:v>
                </c:pt>
                <c:pt idx="163">
                  <c:v>8123</c:v>
                </c:pt>
                <c:pt idx="164">
                  <c:v>8123</c:v>
                </c:pt>
                <c:pt idx="165">
                  <c:v>8129</c:v>
                </c:pt>
                <c:pt idx="166">
                  <c:v>8129</c:v>
                </c:pt>
                <c:pt idx="167">
                  <c:v>8123</c:v>
                </c:pt>
                <c:pt idx="168">
                  <c:v>8117</c:v>
                </c:pt>
                <c:pt idx="169">
                  <c:v>8123</c:v>
                </c:pt>
                <c:pt idx="170">
                  <c:v>8123</c:v>
                </c:pt>
                <c:pt idx="171">
                  <c:v>8123</c:v>
                </c:pt>
                <c:pt idx="172">
                  <c:v>8134</c:v>
                </c:pt>
                <c:pt idx="173">
                  <c:v>8129</c:v>
                </c:pt>
                <c:pt idx="174">
                  <c:v>8123</c:v>
                </c:pt>
                <c:pt idx="175">
                  <c:v>8123</c:v>
                </c:pt>
                <c:pt idx="176">
                  <c:v>8123</c:v>
                </c:pt>
                <c:pt idx="177">
                  <c:v>8129</c:v>
                </c:pt>
                <c:pt idx="178">
                  <c:v>8129</c:v>
                </c:pt>
                <c:pt idx="179">
                  <c:v>8123</c:v>
                </c:pt>
                <c:pt idx="180">
                  <c:v>8123</c:v>
                </c:pt>
                <c:pt idx="181">
                  <c:v>8123</c:v>
                </c:pt>
                <c:pt idx="182">
                  <c:v>8129</c:v>
                </c:pt>
                <c:pt idx="183">
                  <c:v>8129</c:v>
                </c:pt>
                <c:pt idx="184">
                  <c:v>8134</c:v>
                </c:pt>
                <c:pt idx="185">
                  <c:v>8129</c:v>
                </c:pt>
                <c:pt idx="186">
                  <c:v>8123</c:v>
                </c:pt>
                <c:pt idx="187">
                  <c:v>8123</c:v>
                </c:pt>
                <c:pt idx="188">
                  <c:v>8123</c:v>
                </c:pt>
                <c:pt idx="189">
                  <c:v>8123</c:v>
                </c:pt>
                <c:pt idx="190">
                  <c:v>8123</c:v>
                </c:pt>
                <c:pt idx="191">
                  <c:v>8123</c:v>
                </c:pt>
                <c:pt idx="192">
                  <c:v>8123</c:v>
                </c:pt>
                <c:pt idx="193">
                  <c:v>8123</c:v>
                </c:pt>
                <c:pt idx="194">
                  <c:v>8123</c:v>
                </c:pt>
                <c:pt idx="195">
                  <c:v>8123</c:v>
                </c:pt>
                <c:pt idx="196">
                  <c:v>8123</c:v>
                </c:pt>
                <c:pt idx="197">
                  <c:v>8123</c:v>
                </c:pt>
                <c:pt idx="198">
                  <c:v>8123</c:v>
                </c:pt>
                <c:pt idx="199">
                  <c:v>8129</c:v>
                </c:pt>
                <c:pt idx="200">
                  <c:v>8117</c:v>
                </c:pt>
                <c:pt idx="201">
                  <c:v>8129</c:v>
                </c:pt>
                <c:pt idx="202">
                  <c:v>8123</c:v>
                </c:pt>
                <c:pt idx="203">
                  <c:v>8123</c:v>
                </c:pt>
                <c:pt idx="204">
                  <c:v>8123</c:v>
                </c:pt>
                <c:pt idx="205">
                  <c:v>8123</c:v>
                </c:pt>
                <c:pt idx="206">
                  <c:v>8123</c:v>
                </c:pt>
                <c:pt idx="207">
                  <c:v>8117</c:v>
                </c:pt>
                <c:pt idx="208">
                  <c:v>8123</c:v>
                </c:pt>
                <c:pt idx="209">
                  <c:v>8123</c:v>
                </c:pt>
                <c:pt idx="210">
                  <c:v>8123</c:v>
                </c:pt>
                <c:pt idx="211">
                  <c:v>8129</c:v>
                </c:pt>
                <c:pt idx="212">
                  <c:v>8123</c:v>
                </c:pt>
                <c:pt idx="213">
                  <c:v>8129</c:v>
                </c:pt>
                <c:pt idx="214">
                  <c:v>8129</c:v>
                </c:pt>
                <c:pt idx="215">
                  <c:v>8123</c:v>
                </c:pt>
                <c:pt idx="216">
                  <c:v>8123</c:v>
                </c:pt>
                <c:pt idx="217">
                  <c:v>8123</c:v>
                </c:pt>
                <c:pt idx="218">
                  <c:v>8123</c:v>
                </c:pt>
                <c:pt idx="219">
                  <c:v>8123</c:v>
                </c:pt>
                <c:pt idx="220">
                  <c:v>8123</c:v>
                </c:pt>
                <c:pt idx="221">
                  <c:v>8123</c:v>
                </c:pt>
                <c:pt idx="222">
                  <c:v>8123</c:v>
                </c:pt>
                <c:pt idx="223">
                  <c:v>8123</c:v>
                </c:pt>
                <c:pt idx="224">
                  <c:v>8129</c:v>
                </c:pt>
                <c:pt idx="225">
                  <c:v>8123</c:v>
                </c:pt>
                <c:pt idx="226">
                  <c:v>8123</c:v>
                </c:pt>
                <c:pt idx="227">
                  <c:v>8123</c:v>
                </c:pt>
                <c:pt idx="228">
                  <c:v>8123</c:v>
                </c:pt>
                <c:pt idx="229">
                  <c:v>8123</c:v>
                </c:pt>
                <c:pt idx="230">
                  <c:v>8123</c:v>
                </c:pt>
                <c:pt idx="231">
                  <c:v>8123</c:v>
                </c:pt>
                <c:pt idx="232">
                  <c:v>8123</c:v>
                </c:pt>
                <c:pt idx="233">
                  <c:v>8123</c:v>
                </c:pt>
                <c:pt idx="234">
                  <c:v>8129</c:v>
                </c:pt>
                <c:pt idx="235">
                  <c:v>8123</c:v>
                </c:pt>
                <c:pt idx="236">
                  <c:v>8129</c:v>
                </c:pt>
                <c:pt idx="237">
                  <c:v>8134</c:v>
                </c:pt>
                <c:pt idx="238">
                  <c:v>8129</c:v>
                </c:pt>
                <c:pt idx="239">
                  <c:v>8129</c:v>
                </c:pt>
                <c:pt idx="240">
                  <c:v>8129</c:v>
                </c:pt>
                <c:pt idx="241">
                  <c:v>8134</c:v>
                </c:pt>
                <c:pt idx="242">
                  <c:v>8123</c:v>
                </c:pt>
                <c:pt idx="243">
                  <c:v>8123</c:v>
                </c:pt>
                <c:pt idx="244">
                  <c:v>8123</c:v>
                </c:pt>
                <c:pt idx="245">
                  <c:v>8129</c:v>
                </c:pt>
                <c:pt idx="246">
                  <c:v>8123</c:v>
                </c:pt>
                <c:pt idx="247">
                  <c:v>8123</c:v>
                </c:pt>
                <c:pt idx="248">
                  <c:v>8123</c:v>
                </c:pt>
                <c:pt idx="249">
                  <c:v>8123</c:v>
                </c:pt>
                <c:pt idx="250">
                  <c:v>8123</c:v>
                </c:pt>
                <c:pt idx="251">
                  <c:v>8123</c:v>
                </c:pt>
                <c:pt idx="252">
                  <c:v>8123</c:v>
                </c:pt>
                <c:pt idx="253">
                  <c:v>8123</c:v>
                </c:pt>
                <c:pt idx="254">
                  <c:v>8129</c:v>
                </c:pt>
                <c:pt idx="255">
                  <c:v>8123</c:v>
                </c:pt>
                <c:pt idx="256">
                  <c:v>8123</c:v>
                </c:pt>
                <c:pt idx="257">
                  <c:v>8123</c:v>
                </c:pt>
                <c:pt idx="258">
                  <c:v>8123</c:v>
                </c:pt>
                <c:pt idx="259">
                  <c:v>8123</c:v>
                </c:pt>
                <c:pt idx="260">
                  <c:v>8123</c:v>
                </c:pt>
                <c:pt idx="261">
                  <c:v>8123</c:v>
                </c:pt>
                <c:pt idx="262">
                  <c:v>8129</c:v>
                </c:pt>
                <c:pt idx="263">
                  <c:v>8129</c:v>
                </c:pt>
                <c:pt idx="264">
                  <c:v>8134</c:v>
                </c:pt>
                <c:pt idx="265">
                  <c:v>8123</c:v>
                </c:pt>
                <c:pt idx="266">
                  <c:v>8123</c:v>
                </c:pt>
                <c:pt idx="267">
                  <c:v>8123</c:v>
                </c:pt>
                <c:pt idx="268">
                  <c:v>8123</c:v>
                </c:pt>
                <c:pt idx="269">
                  <c:v>8123</c:v>
                </c:pt>
                <c:pt idx="270">
                  <c:v>8123</c:v>
                </c:pt>
                <c:pt idx="271">
                  <c:v>8123</c:v>
                </c:pt>
                <c:pt idx="272">
                  <c:v>8123</c:v>
                </c:pt>
                <c:pt idx="273">
                  <c:v>8123</c:v>
                </c:pt>
                <c:pt idx="274">
                  <c:v>8123</c:v>
                </c:pt>
                <c:pt idx="275">
                  <c:v>8123</c:v>
                </c:pt>
                <c:pt idx="276">
                  <c:v>8123</c:v>
                </c:pt>
                <c:pt idx="277">
                  <c:v>8134</c:v>
                </c:pt>
                <c:pt idx="278">
                  <c:v>8117</c:v>
                </c:pt>
                <c:pt idx="279">
                  <c:v>8123</c:v>
                </c:pt>
                <c:pt idx="280">
                  <c:v>8123</c:v>
                </c:pt>
                <c:pt idx="281">
                  <c:v>8123</c:v>
                </c:pt>
                <c:pt idx="282">
                  <c:v>8123</c:v>
                </c:pt>
                <c:pt idx="283">
                  <c:v>8123</c:v>
                </c:pt>
                <c:pt idx="284">
                  <c:v>8123</c:v>
                </c:pt>
                <c:pt idx="285">
                  <c:v>8123</c:v>
                </c:pt>
                <c:pt idx="286">
                  <c:v>8123</c:v>
                </c:pt>
                <c:pt idx="287">
                  <c:v>8123</c:v>
                </c:pt>
                <c:pt idx="288">
                  <c:v>8123</c:v>
                </c:pt>
                <c:pt idx="289">
                  <c:v>8123</c:v>
                </c:pt>
                <c:pt idx="290">
                  <c:v>8123</c:v>
                </c:pt>
                <c:pt idx="291">
                  <c:v>8123</c:v>
                </c:pt>
                <c:pt idx="292">
                  <c:v>8129</c:v>
                </c:pt>
                <c:pt idx="293">
                  <c:v>8129</c:v>
                </c:pt>
                <c:pt idx="294">
                  <c:v>8129</c:v>
                </c:pt>
                <c:pt idx="295">
                  <c:v>8129</c:v>
                </c:pt>
                <c:pt idx="296">
                  <c:v>8123</c:v>
                </c:pt>
                <c:pt idx="297">
                  <c:v>8123</c:v>
                </c:pt>
                <c:pt idx="298">
                  <c:v>8129</c:v>
                </c:pt>
                <c:pt idx="299">
                  <c:v>8129</c:v>
                </c:pt>
                <c:pt idx="300">
                  <c:v>8129</c:v>
                </c:pt>
                <c:pt idx="301">
                  <c:v>8123</c:v>
                </c:pt>
                <c:pt idx="302">
                  <c:v>8123</c:v>
                </c:pt>
                <c:pt idx="303">
                  <c:v>8123</c:v>
                </c:pt>
                <c:pt idx="304">
                  <c:v>8117</c:v>
                </c:pt>
                <c:pt idx="305">
                  <c:v>8123</c:v>
                </c:pt>
                <c:pt idx="306">
                  <c:v>8129</c:v>
                </c:pt>
                <c:pt idx="307">
                  <c:v>8123</c:v>
                </c:pt>
                <c:pt idx="308">
                  <c:v>8129</c:v>
                </c:pt>
                <c:pt idx="309">
                  <c:v>8123</c:v>
                </c:pt>
                <c:pt idx="310">
                  <c:v>8117</c:v>
                </c:pt>
                <c:pt idx="311">
                  <c:v>8123</c:v>
                </c:pt>
                <c:pt idx="312">
                  <c:v>8123</c:v>
                </c:pt>
                <c:pt idx="313">
                  <c:v>8123</c:v>
                </c:pt>
                <c:pt idx="314">
                  <c:v>8123</c:v>
                </c:pt>
                <c:pt idx="315">
                  <c:v>8129</c:v>
                </c:pt>
                <c:pt idx="316">
                  <c:v>8123</c:v>
                </c:pt>
                <c:pt idx="317">
                  <c:v>8123</c:v>
                </c:pt>
                <c:pt idx="318">
                  <c:v>8123</c:v>
                </c:pt>
                <c:pt idx="319">
                  <c:v>8129</c:v>
                </c:pt>
                <c:pt idx="320">
                  <c:v>8123</c:v>
                </c:pt>
                <c:pt idx="321">
                  <c:v>8129</c:v>
                </c:pt>
                <c:pt idx="322">
                  <c:v>8123</c:v>
                </c:pt>
                <c:pt idx="323">
                  <c:v>8123</c:v>
                </c:pt>
                <c:pt idx="324">
                  <c:v>8123</c:v>
                </c:pt>
                <c:pt idx="325">
                  <c:v>8123</c:v>
                </c:pt>
                <c:pt idx="326">
                  <c:v>8123</c:v>
                </c:pt>
                <c:pt idx="327">
                  <c:v>8123</c:v>
                </c:pt>
                <c:pt idx="328">
                  <c:v>8123</c:v>
                </c:pt>
                <c:pt idx="329">
                  <c:v>8123</c:v>
                </c:pt>
                <c:pt idx="330">
                  <c:v>8123</c:v>
                </c:pt>
                <c:pt idx="331">
                  <c:v>8123</c:v>
                </c:pt>
                <c:pt idx="332">
                  <c:v>8123</c:v>
                </c:pt>
                <c:pt idx="333">
                  <c:v>8123</c:v>
                </c:pt>
                <c:pt idx="334">
                  <c:v>8123</c:v>
                </c:pt>
                <c:pt idx="335">
                  <c:v>8123</c:v>
                </c:pt>
                <c:pt idx="336">
                  <c:v>8117</c:v>
                </c:pt>
                <c:pt idx="337">
                  <c:v>8123</c:v>
                </c:pt>
                <c:pt idx="338">
                  <c:v>8134</c:v>
                </c:pt>
                <c:pt idx="339">
                  <c:v>8123</c:v>
                </c:pt>
                <c:pt idx="340">
                  <c:v>8123</c:v>
                </c:pt>
                <c:pt idx="341">
                  <c:v>8129</c:v>
                </c:pt>
                <c:pt idx="342">
                  <c:v>8129</c:v>
                </c:pt>
                <c:pt idx="343">
                  <c:v>8129</c:v>
                </c:pt>
                <c:pt idx="344">
                  <c:v>8129</c:v>
                </c:pt>
                <c:pt idx="345">
                  <c:v>8129</c:v>
                </c:pt>
                <c:pt idx="346">
                  <c:v>8129</c:v>
                </c:pt>
                <c:pt idx="347">
                  <c:v>8129</c:v>
                </c:pt>
                <c:pt idx="348">
                  <c:v>8123</c:v>
                </c:pt>
                <c:pt idx="349">
                  <c:v>8123</c:v>
                </c:pt>
                <c:pt idx="350">
                  <c:v>8123</c:v>
                </c:pt>
                <c:pt idx="351">
                  <c:v>8123</c:v>
                </c:pt>
                <c:pt idx="352">
                  <c:v>8123</c:v>
                </c:pt>
                <c:pt idx="353">
                  <c:v>8123</c:v>
                </c:pt>
                <c:pt idx="354">
                  <c:v>8123</c:v>
                </c:pt>
                <c:pt idx="355">
                  <c:v>8123</c:v>
                </c:pt>
                <c:pt idx="356">
                  <c:v>8123</c:v>
                </c:pt>
                <c:pt idx="357">
                  <c:v>8123</c:v>
                </c:pt>
                <c:pt idx="358">
                  <c:v>8123</c:v>
                </c:pt>
                <c:pt idx="359">
                  <c:v>8123</c:v>
                </c:pt>
                <c:pt idx="360">
                  <c:v>8123</c:v>
                </c:pt>
                <c:pt idx="361">
                  <c:v>8123</c:v>
                </c:pt>
                <c:pt idx="362">
                  <c:v>8123</c:v>
                </c:pt>
                <c:pt idx="363">
                  <c:v>8123</c:v>
                </c:pt>
                <c:pt idx="364">
                  <c:v>8123</c:v>
                </c:pt>
                <c:pt idx="365">
                  <c:v>8129</c:v>
                </c:pt>
                <c:pt idx="366">
                  <c:v>8134</c:v>
                </c:pt>
                <c:pt idx="367">
                  <c:v>8134</c:v>
                </c:pt>
                <c:pt idx="368">
                  <c:v>8129</c:v>
                </c:pt>
                <c:pt idx="369">
                  <c:v>8123</c:v>
                </c:pt>
                <c:pt idx="370">
                  <c:v>8123</c:v>
                </c:pt>
                <c:pt idx="371">
                  <c:v>8129</c:v>
                </c:pt>
                <c:pt idx="372">
                  <c:v>8123</c:v>
                </c:pt>
                <c:pt idx="373">
                  <c:v>8123</c:v>
                </c:pt>
                <c:pt idx="374">
                  <c:v>8123</c:v>
                </c:pt>
                <c:pt idx="375">
                  <c:v>8123</c:v>
                </c:pt>
                <c:pt idx="376">
                  <c:v>8123</c:v>
                </c:pt>
                <c:pt idx="377">
                  <c:v>8123</c:v>
                </c:pt>
                <c:pt idx="378">
                  <c:v>8123</c:v>
                </c:pt>
                <c:pt idx="379">
                  <c:v>8117</c:v>
                </c:pt>
                <c:pt idx="380">
                  <c:v>8129</c:v>
                </c:pt>
                <c:pt idx="381">
                  <c:v>8117</c:v>
                </c:pt>
                <c:pt idx="382">
                  <c:v>8129</c:v>
                </c:pt>
                <c:pt idx="383">
                  <c:v>8117</c:v>
                </c:pt>
                <c:pt idx="384">
                  <c:v>8117</c:v>
                </c:pt>
                <c:pt idx="385">
                  <c:v>8123</c:v>
                </c:pt>
                <c:pt idx="386">
                  <c:v>8129</c:v>
                </c:pt>
                <c:pt idx="387">
                  <c:v>8123</c:v>
                </c:pt>
                <c:pt idx="388">
                  <c:v>8129</c:v>
                </c:pt>
                <c:pt idx="389">
                  <c:v>8123</c:v>
                </c:pt>
                <c:pt idx="390">
                  <c:v>8123</c:v>
                </c:pt>
                <c:pt idx="391">
                  <c:v>8123</c:v>
                </c:pt>
                <c:pt idx="392">
                  <c:v>8123</c:v>
                </c:pt>
                <c:pt idx="393">
                  <c:v>8134</c:v>
                </c:pt>
                <c:pt idx="394">
                  <c:v>8123</c:v>
                </c:pt>
                <c:pt idx="395">
                  <c:v>8129</c:v>
                </c:pt>
                <c:pt idx="396">
                  <c:v>8123</c:v>
                </c:pt>
                <c:pt idx="397">
                  <c:v>8123</c:v>
                </c:pt>
                <c:pt idx="398">
                  <c:v>8123</c:v>
                </c:pt>
                <c:pt idx="399">
                  <c:v>8123</c:v>
                </c:pt>
                <c:pt idx="400">
                  <c:v>8123</c:v>
                </c:pt>
                <c:pt idx="401">
                  <c:v>8123</c:v>
                </c:pt>
                <c:pt idx="402">
                  <c:v>8123</c:v>
                </c:pt>
                <c:pt idx="403">
                  <c:v>8123</c:v>
                </c:pt>
                <c:pt idx="404">
                  <c:v>8123</c:v>
                </c:pt>
                <c:pt idx="405">
                  <c:v>8129</c:v>
                </c:pt>
                <c:pt idx="406">
                  <c:v>8134</c:v>
                </c:pt>
                <c:pt idx="407">
                  <c:v>8134</c:v>
                </c:pt>
                <c:pt idx="408">
                  <c:v>8123</c:v>
                </c:pt>
                <c:pt idx="409">
                  <c:v>8129</c:v>
                </c:pt>
                <c:pt idx="410">
                  <c:v>8129</c:v>
                </c:pt>
                <c:pt idx="411">
                  <c:v>8123</c:v>
                </c:pt>
                <c:pt idx="412">
                  <c:v>8123</c:v>
                </c:pt>
                <c:pt idx="413">
                  <c:v>8123</c:v>
                </c:pt>
                <c:pt idx="414">
                  <c:v>8123</c:v>
                </c:pt>
                <c:pt idx="415">
                  <c:v>8129</c:v>
                </c:pt>
                <c:pt idx="416">
                  <c:v>8129</c:v>
                </c:pt>
                <c:pt idx="417">
                  <c:v>8129</c:v>
                </c:pt>
                <c:pt idx="418">
                  <c:v>8123</c:v>
                </c:pt>
                <c:pt idx="419">
                  <c:v>8129</c:v>
                </c:pt>
                <c:pt idx="420">
                  <c:v>8123</c:v>
                </c:pt>
                <c:pt idx="421">
                  <c:v>8129</c:v>
                </c:pt>
                <c:pt idx="422">
                  <c:v>8123</c:v>
                </c:pt>
                <c:pt idx="423">
                  <c:v>8129</c:v>
                </c:pt>
                <c:pt idx="424">
                  <c:v>8129</c:v>
                </c:pt>
                <c:pt idx="425">
                  <c:v>8129</c:v>
                </c:pt>
                <c:pt idx="426">
                  <c:v>8123</c:v>
                </c:pt>
                <c:pt idx="427">
                  <c:v>8123</c:v>
                </c:pt>
                <c:pt idx="428">
                  <c:v>8123</c:v>
                </c:pt>
                <c:pt idx="429">
                  <c:v>8123</c:v>
                </c:pt>
                <c:pt idx="430">
                  <c:v>8117</c:v>
                </c:pt>
                <c:pt idx="431">
                  <c:v>8123</c:v>
                </c:pt>
                <c:pt idx="432">
                  <c:v>8129</c:v>
                </c:pt>
                <c:pt idx="433">
                  <c:v>8129</c:v>
                </c:pt>
                <c:pt idx="434">
                  <c:v>8123</c:v>
                </c:pt>
                <c:pt idx="435">
                  <c:v>8129</c:v>
                </c:pt>
                <c:pt idx="436">
                  <c:v>8117</c:v>
                </c:pt>
                <c:pt idx="437">
                  <c:v>8117</c:v>
                </c:pt>
                <c:pt idx="438">
                  <c:v>8117</c:v>
                </c:pt>
                <c:pt idx="439">
                  <c:v>8129</c:v>
                </c:pt>
                <c:pt idx="440">
                  <c:v>8117</c:v>
                </c:pt>
                <c:pt idx="441">
                  <c:v>8117</c:v>
                </c:pt>
                <c:pt idx="442">
                  <c:v>8117</c:v>
                </c:pt>
                <c:pt idx="443">
                  <c:v>8117</c:v>
                </c:pt>
                <c:pt idx="444">
                  <c:v>8123</c:v>
                </c:pt>
                <c:pt idx="445">
                  <c:v>8123</c:v>
                </c:pt>
                <c:pt idx="446">
                  <c:v>8123</c:v>
                </c:pt>
                <c:pt idx="447">
                  <c:v>8117</c:v>
                </c:pt>
                <c:pt idx="448">
                  <c:v>8117</c:v>
                </c:pt>
                <c:pt idx="449">
                  <c:v>8117</c:v>
                </c:pt>
                <c:pt idx="450">
                  <c:v>8123</c:v>
                </c:pt>
                <c:pt idx="451">
                  <c:v>8117</c:v>
                </c:pt>
                <c:pt idx="452">
                  <c:v>8123</c:v>
                </c:pt>
                <c:pt idx="453">
                  <c:v>8129</c:v>
                </c:pt>
                <c:pt idx="454">
                  <c:v>8123</c:v>
                </c:pt>
                <c:pt idx="455">
                  <c:v>8129</c:v>
                </c:pt>
                <c:pt idx="456">
                  <c:v>8123</c:v>
                </c:pt>
                <c:pt idx="457">
                  <c:v>8123</c:v>
                </c:pt>
                <c:pt idx="458">
                  <c:v>8123</c:v>
                </c:pt>
                <c:pt idx="459">
                  <c:v>8129</c:v>
                </c:pt>
                <c:pt idx="460">
                  <c:v>8134</c:v>
                </c:pt>
                <c:pt idx="461">
                  <c:v>8134</c:v>
                </c:pt>
                <c:pt idx="462">
                  <c:v>8129</c:v>
                </c:pt>
                <c:pt idx="463">
                  <c:v>8134</c:v>
                </c:pt>
                <c:pt idx="464">
                  <c:v>8134</c:v>
                </c:pt>
                <c:pt idx="465">
                  <c:v>8123</c:v>
                </c:pt>
                <c:pt idx="466">
                  <c:v>8129</c:v>
                </c:pt>
                <c:pt idx="467">
                  <c:v>8129</c:v>
                </c:pt>
                <c:pt idx="468">
                  <c:v>8123</c:v>
                </c:pt>
                <c:pt idx="469">
                  <c:v>8123</c:v>
                </c:pt>
                <c:pt idx="470">
                  <c:v>8123</c:v>
                </c:pt>
                <c:pt idx="471">
                  <c:v>8134</c:v>
                </c:pt>
                <c:pt idx="472">
                  <c:v>8123</c:v>
                </c:pt>
                <c:pt idx="473">
                  <c:v>8129</c:v>
                </c:pt>
                <c:pt idx="474">
                  <c:v>8123</c:v>
                </c:pt>
                <c:pt idx="475">
                  <c:v>8123</c:v>
                </c:pt>
                <c:pt idx="476">
                  <c:v>8123</c:v>
                </c:pt>
                <c:pt idx="477">
                  <c:v>8129</c:v>
                </c:pt>
                <c:pt idx="478">
                  <c:v>8129</c:v>
                </c:pt>
                <c:pt idx="479">
                  <c:v>8123</c:v>
                </c:pt>
                <c:pt idx="480">
                  <c:v>8123</c:v>
                </c:pt>
                <c:pt idx="481">
                  <c:v>8129</c:v>
                </c:pt>
                <c:pt idx="482">
                  <c:v>8129</c:v>
                </c:pt>
                <c:pt idx="483">
                  <c:v>8129</c:v>
                </c:pt>
                <c:pt idx="484">
                  <c:v>8134</c:v>
                </c:pt>
                <c:pt idx="485">
                  <c:v>8123</c:v>
                </c:pt>
                <c:pt idx="486">
                  <c:v>8134</c:v>
                </c:pt>
                <c:pt idx="487">
                  <c:v>8123</c:v>
                </c:pt>
                <c:pt idx="488">
                  <c:v>8123</c:v>
                </c:pt>
                <c:pt idx="489">
                  <c:v>8123</c:v>
                </c:pt>
                <c:pt idx="490">
                  <c:v>8129</c:v>
                </c:pt>
                <c:pt idx="491">
                  <c:v>8123</c:v>
                </c:pt>
                <c:pt idx="492">
                  <c:v>8129</c:v>
                </c:pt>
                <c:pt idx="493">
                  <c:v>8134</c:v>
                </c:pt>
                <c:pt idx="494">
                  <c:v>8123</c:v>
                </c:pt>
                <c:pt idx="495">
                  <c:v>8134</c:v>
                </c:pt>
                <c:pt idx="496">
                  <c:v>8123</c:v>
                </c:pt>
                <c:pt idx="497">
                  <c:v>8129</c:v>
                </c:pt>
                <c:pt idx="498">
                  <c:v>8129</c:v>
                </c:pt>
                <c:pt idx="499">
                  <c:v>8129</c:v>
                </c:pt>
                <c:pt idx="500">
                  <c:v>8123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A6-40DD-B035-E3C85AD43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71424"/>
        <c:axId val="270183904"/>
      </c:lineChart>
      <c:catAx>
        <c:axId val="2701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83904"/>
        <c:crosses val="autoZero"/>
        <c:auto val="1"/>
        <c:lblAlgn val="ctr"/>
        <c:lblOffset val="100"/>
        <c:noMultiLvlLbl val="0"/>
      </c:catAx>
      <c:valAx>
        <c:axId val="2701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64770</xdr:rowOff>
    </xdr:from>
    <xdr:to>
      <xdr:col>5</xdr:col>
      <xdr:colOff>68580</xdr:colOff>
      <xdr:row>33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50684-903A-FE7C-0369-29C6D893A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220980</xdr:colOff>
      <xdr:row>18</xdr:row>
      <xdr:rowOff>118110</xdr:rowOff>
    </xdr:from>
    <xdr:to>
      <xdr:col>11</xdr:col>
      <xdr:colOff>190500</xdr:colOff>
      <xdr:row>33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98C759-3D3B-A86C-8941-569C67D96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225083</xdr:colOff>
      <xdr:row>2</xdr:row>
      <xdr:rowOff>9736</xdr:rowOff>
    </xdr:from>
    <xdr:to>
      <xdr:col>24</xdr:col>
      <xdr:colOff>530990</xdr:colOff>
      <xdr:row>17</xdr:row>
      <xdr:rowOff>9736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6FED8-557D-3809-0276-ED495AE10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3E895A0B-7F87-4677-BD92-C67D76DA6FC5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381B0868-5CB8-428C-B3B9-7D2318B5828E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7" xr16:uid="{04B32C25-28CE-4933-A0E3-829E88E0CC47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1A2D3650-BD1A-483C-8F47-BE4EF2BC2816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574C2C81-11EE-4F74-B6B6-AC8B5F56CCF5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520DE611-1FD7-46FB-A7F0-D261D7522340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CFB3416D-0109-45E2-807B-E668FA556949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354FFFAD-09A3-4C5B-A5AC-96F254F344F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691766B3-C287-48DE-A924-0509EF6F1E6B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D5474E6C-0DF8-40EB-B93C-C7FC484CB761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F9CCA58B-F977-4E3A-95DA-7217FD38494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569D005-9B53-4C09-B869-836D69D44E4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3F788E0-2F0B-421C-8F9B-FEA724C78900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0D1B15B-817C-48C0-A918-4F4FBCB2072E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2F41AB0-A43B-4174-BF53-AD87553D16D4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A71332-961C-4F57-96D7-3053B3956D89}" autoFormatId="16" applyNumberFormats="0" applyBorderFormats="0" applyFontFormats="0" applyPatternFormats="0" applyAlignmentFormats="0" applyWidthHeightFormats="0">
  <queryTableRefresh nextId="14" unboundColumnsRight="3">
    <queryTableFields count="13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90569DF-1CB2-4837-B77D-D5836B34A2A5}" name="Table18" displayName="Table18" ref="A1:K17" totalsRowShown="0">
  <autoFilter ref="A1:K17" xr:uid="{E90569DF-1CB2-4837-B77D-D5836B34A2A5}"/>
  <tableColumns count="11">
    <tableColumn id="1" xr3:uid="{F3493AEE-6699-4ECD-82D6-C2F332A4A7F7}" name="angle"/>
    <tableColumn id="2" xr3:uid="{C776B506-DEBF-42AC-8130-EEADA39B3113}" name="pfwd_filt_mean"/>
    <tableColumn id="3" xr3:uid="{589CCD64-EA9D-4050-8B86-147291725B64}" name="p45_filt_mean"/>
    <tableColumn id="4" xr3:uid="{BD7A8F8A-F91E-4E7C-8996-C1341FEA91FD}" name="pfwd_filt_median"/>
    <tableColumn id="5" xr3:uid="{41591598-AF6C-48CC-9CD3-0CABA77D5AEE}" name="p45_filt_median"/>
    <tableColumn id="6" xr3:uid="{93027C87-5D8A-4445-BD6E-28B1A1E334E7}" name="coeff_mean"/>
    <tableColumn id="7" xr3:uid="{E59EC160-EE2A-4918-8FDC-E81FE5F9EE1C}" name="coeff_median"/>
    <tableColumn id="8" xr3:uid="{5798799A-F3B7-46C1-ABBD-F59A9EB28773}" name="predicted_angle" dataDxfId="6">
      <calculatedColumnFormula xml:space="preserve"> -84.534 *Table18[[#This Row],[coeff_median]] + 87.249</calculatedColumnFormula>
    </tableColumn>
    <tableColumn id="9" xr3:uid="{FA1632B3-65B0-45CF-995A-DB7B6ABFCE38}" name="predicted_angle_mean" dataDxfId="5">
      <calculatedColumnFormula xml:space="preserve"> -66.186 *Table18[[#This Row],[coeff_mean]] + 72.445</calculatedColumnFormula>
    </tableColumn>
    <tableColumn id="10" xr3:uid="{FDC883B8-A9B1-499E-BB36-AF19925F9B2C}" name="pfwd_filt_median2" dataDxfId="1">
      <calculatedColumnFormula>Table18[[#This Row],[pfwd_filt_median]]+200</calculatedColumnFormula>
    </tableColumn>
    <tableColumn id="11" xr3:uid="{3F9EADC8-D6BD-40D0-B2D2-1B8E437811EB}" name="p45_filt_median2" dataDxfId="0">
      <calculatedColumnFormula>Table18[[#This Row],[p45_filt_median]]+200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1EC333-0C97-4986-9F4B-1D28EFC70893}" name="_2026_04_17_16_42_00__22_high" displayName="_2026_04_17_16_42_00__22_high" ref="A1:J502" tableType="queryTable" totalsRowShown="0">
  <autoFilter ref="A1:J502" xr:uid="{A11EC333-0C97-4986-9F4B-1D28EFC70893}"/>
  <tableColumns count="10">
    <tableColumn id="1" xr3:uid="{5FEFDEA1-9147-4053-80E2-D5E0C07F428F}" uniqueName="1" name="count" queryTableFieldId="1"/>
    <tableColumn id="2" xr3:uid="{122D4C3D-5CE5-4AEE-89A7-3C2F8AEA0F8A}" uniqueName="2" name="timestamp_ms" queryTableFieldId="2"/>
    <tableColumn id="3" xr3:uid="{C0AD3097-D59C-4F76-81D3-D1E9DEB6FF6B}" uniqueName="3" name="aoa_valid" queryTableFieldId="3"/>
    <tableColumn id="4" xr3:uid="{061D09E3-3A4F-4C3C-BF82-DB2A287E475E}" uniqueName="4" name="pfd_raw" queryTableFieldId="4"/>
    <tableColumn id="5" xr3:uid="{3BE3A789-801D-43FD-B7D1-662D565B6F34}" uniqueName="5" name="p45_raw" queryTableFieldId="5"/>
    <tableColumn id="6" xr3:uid="{78C1630C-DBA7-4E68-9CFF-1E1C0105A995}" uniqueName="6" name="pfwd_filt" queryTableFieldId="6"/>
    <tableColumn id="7" xr3:uid="{7BBED7EB-28AF-486B-B87E-020408F484A7}" uniqueName="7" name="p45_filt" queryTableFieldId="7"/>
    <tableColumn id="8" xr3:uid="{719F6EF3-C565-4F4F-B739-47336BDAE10F}" uniqueName="8" name="coeff" queryTableFieldId="8"/>
    <tableColumn id="9" xr3:uid="{C37D4A47-619D-4F25-993D-3FEEE7BCF3BB}" uniqueName="9" name="aoa_raw" queryTableFieldId="9"/>
    <tableColumn id="10" xr3:uid="{C72865CA-8C10-4D50-BCDF-997B5117B29A}" uniqueName="10" name="aoa_fil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964CDD-9F0A-4B45-A28E-45B3DDBD8E02}" name="_2026_04_17_16_41_07__19_high" displayName="_2026_04_17_16_41_07__19_high" ref="A1:J502" tableType="queryTable" totalsRowShown="0">
  <autoFilter ref="A1:J502" xr:uid="{FC964CDD-9F0A-4B45-A28E-45B3DDBD8E02}"/>
  <tableColumns count="10">
    <tableColumn id="1" xr3:uid="{9A9B08BE-A7D9-4E21-98FC-23552CCA7430}" uniqueName="1" name="count" queryTableFieldId="1"/>
    <tableColumn id="2" xr3:uid="{0DEBAC0B-5F6C-47B5-9518-BBBA80DA54A4}" uniqueName="2" name="timestamp_ms" queryTableFieldId="2"/>
    <tableColumn id="3" xr3:uid="{C9FC1321-054D-4786-A644-380FFF19488D}" uniqueName="3" name="aoa_valid" queryTableFieldId="3"/>
    <tableColumn id="4" xr3:uid="{25A900AE-2582-42B8-9000-401DDC7BBCE4}" uniqueName="4" name="pfd_raw" queryTableFieldId="4"/>
    <tableColumn id="5" xr3:uid="{EBB31F77-EB17-4264-98F8-71B3C751A373}" uniqueName="5" name="p45_raw" queryTableFieldId="5"/>
    <tableColumn id="6" xr3:uid="{DFBF2508-0EFF-4C22-9D31-63FC91AA31DF}" uniqueName="6" name="pfwd_filt" queryTableFieldId="6"/>
    <tableColumn id="7" xr3:uid="{12DFD7E8-9920-458F-A2DF-ADAD32AD5D97}" uniqueName="7" name="p45_filt" queryTableFieldId="7"/>
    <tableColumn id="8" xr3:uid="{97AD6FE8-921F-4B99-B507-0AD56AF3CC23}" uniqueName="8" name="coeff" queryTableFieldId="8"/>
    <tableColumn id="9" xr3:uid="{F4D89B97-E289-4024-B825-5E5B977B8C9A}" uniqueName="9" name="aoa_raw" queryTableFieldId="9"/>
    <tableColumn id="10" xr3:uid="{878A9745-7AA7-467B-89FE-5359D2E6049C}" uniqueName="10" name="aoa_filt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8569464-3775-47BB-8095-E2B98A3C4139}" name="_2026_04_17_16_43_51__14_high" displayName="_2026_04_17_16_43_51__14_high" ref="A1:J502" tableType="queryTable" totalsRowShown="0">
  <autoFilter ref="A1:J502" xr:uid="{D8569464-3775-47BB-8095-E2B98A3C4139}"/>
  <tableColumns count="10">
    <tableColumn id="1" xr3:uid="{272E85D6-3824-4899-AEFC-72A1D78776CF}" uniqueName="1" name="count" queryTableFieldId="1"/>
    <tableColumn id="2" xr3:uid="{55F3FAE5-0F69-4517-8C76-A3CA74E87DCD}" uniqueName="2" name="timestamp_ms" queryTableFieldId="2"/>
    <tableColumn id="3" xr3:uid="{FAB4F428-DD0D-4F8C-AD8D-8DD3E4254676}" uniqueName="3" name="aoa_valid" queryTableFieldId="3"/>
    <tableColumn id="4" xr3:uid="{EE214A52-8593-4884-9ADC-122197DF27E4}" uniqueName="4" name="pfd_raw" queryTableFieldId="4"/>
    <tableColumn id="5" xr3:uid="{1B97D0F1-4963-4A1B-A1D2-567805886F8C}" uniqueName="5" name="p45_raw" queryTableFieldId="5"/>
    <tableColumn id="6" xr3:uid="{348D0C91-2FE5-4C8E-8925-4CF8F2818FF3}" uniqueName="6" name="pfwd_filt" queryTableFieldId="6"/>
    <tableColumn id="7" xr3:uid="{67F45708-9287-45EA-86F7-BB4ACC2BB768}" uniqueName="7" name="p45_filt" queryTableFieldId="7"/>
    <tableColumn id="8" xr3:uid="{0B6807F8-3D22-4601-821E-2260FDC83ED7}" uniqueName="8" name="coeff" queryTableFieldId="8"/>
    <tableColumn id="9" xr3:uid="{FC7232D9-4480-45B5-8F23-34FF2052EC73}" uniqueName="9" name="aoa_raw" queryTableFieldId="9"/>
    <tableColumn id="10" xr3:uid="{FC6ABAA1-E065-4C22-85EA-8135B773029E}" uniqueName="10" name="aoa_filt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2075E0-3E89-41E1-9937-502B9F971F5B}" name="_2026_04_17_16_40_13__12_high" displayName="_2026_04_17_16_40_13__12_high" ref="A1:J502" tableType="queryTable" totalsRowShown="0">
  <autoFilter ref="A1:J502" xr:uid="{2D2075E0-3E89-41E1-9937-502B9F971F5B}"/>
  <tableColumns count="10">
    <tableColumn id="1" xr3:uid="{F7D133AF-BA89-401B-9BD0-D23DE236A0C4}" uniqueName="1" name="count" queryTableFieldId="1"/>
    <tableColumn id="2" xr3:uid="{D6937718-D5E0-47F9-A67D-7E3B1E410716}" uniqueName="2" name="timestamp_ms" queryTableFieldId="2"/>
    <tableColumn id="3" xr3:uid="{7DE13CBC-8A31-456D-94F3-901A8B4E4760}" uniqueName="3" name="aoa_valid" queryTableFieldId="3"/>
    <tableColumn id="4" xr3:uid="{92B03A8C-7AB1-4E35-96FB-713F6200F7F9}" uniqueName="4" name="pfd_raw" queryTableFieldId="4"/>
    <tableColumn id="5" xr3:uid="{E96FF091-67E8-4860-BD49-47F214B1B084}" uniqueName="5" name="p45_raw" queryTableFieldId="5"/>
    <tableColumn id="6" xr3:uid="{A3CB76D6-FB7E-4BC2-99C0-54D2C56C470F}" uniqueName="6" name="pfwd_filt" queryTableFieldId="6"/>
    <tableColumn id="7" xr3:uid="{0809A39C-7296-4028-89B4-7DF513C64E02}" uniqueName="7" name="p45_filt" queryTableFieldId="7"/>
    <tableColumn id="8" xr3:uid="{EE210835-7DED-4B1C-91E1-F6FFC744DB2F}" uniqueName="8" name="coeff" queryTableFieldId="8"/>
    <tableColumn id="9" xr3:uid="{D765C272-160E-49C9-858E-EEE47B978275}" uniqueName="9" name="aoa_raw" queryTableFieldId="9"/>
    <tableColumn id="10" xr3:uid="{9747BBE0-F8B7-455B-93BD-F9DCF8C5EFF4}" uniqueName="10" name="aoa_filt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A948E0-B7EF-4654-9251-5A1D3ADE1240}" name="_2026_04_17_16_38_14__7_high" displayName="_2026_04_17_16_38_14__7_high" ref="A1:J502" tableType="queryTable" totalsRowShown="0">
  <autoFilter ref="A1:J502" xr:uid="{A7A948E0-B7EF-4654-9251-5A1D3ADE1240}"/>
  <tableColumns count="10">
    <tableColumn id="1" xr3:uid="{CAAFF6A0-8E87-4A49-9CC6-665ADB1A1FD8}" uniqueName="1" name="count" queryTableFieldId="1"/>
    <tableColumn id="2" xr3:uid="{CCF9162A-7496-4C4D-A5E8-BF00243C3FED}" uniqueName="2" name="timestamp_ms" queryTableFieldId="2"/>
    <tableColumn id="3" xr3:uid="{7B07B8E5-8675-4CF7-9506-2C8D6364C6B7}" uniqueName="3" name="aoa_valid" queryTableFieldId="3"/>
    <tableColumn id="4" xr3:uid="{F54F7922-2DDA-451E-B01C-26C8B95CF980}" uniqueName="4" name="pfd_raw" queryTableFieldId="4"/>
    <tableColumn id="5" xr3:uid="{8D7808F8-821E-45FA-A8D9-7A68EB632665}" uniqueName="5" name="p45_raw" queryTableFieldId="5"/>
    <tableColumn id="6" xr3:uid="{4AFDC496-9DCE-493F-8C8C-664D877BFB79}" uniqueName="6" name="pfwd_filt" queryTableFieldId="6"/>
    <tableColumn id="7" xr3:uid="{EC84C978-D8D2-4B26-8FDF-5EA7CE97254D}" uniqueName="7" name="p45_filt" queryTableFieldId="7"/>
    <tableColumn id="8" xr3:uid="{554A3B08-6C6C-48C0-8C16-746CA0B1A6F3}" uniqueName="8" name="coeff" queryTableFieldId="8"/>
    <tableColumn id="9" xr3:uid="{5117A7B3-7739-4488-9C7A-78833F1CE52F}" uniqueName="9" name="aoa_raw" queryTableFieldId="9"/>
    <tableColumn id="10" xr3:uid="{9B92D2F5-6ADE-40DC-A000-1037749EA175}" uniqueName="10" name="aoa_filt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0C15AF-CC39-44A9-B9F2-019B967BEFB9}" name="_2026_04_17_16_36_46__5_high" displayName="_2026_04_17_16_36_46__5_high" ref="A1:J502" tableType="queryTable" totalsRowShown="0">
  <autoFilter ref="A1:J502" xr:uid="{4B0C15AF-CC39-44A9-B9F2-019B967BEFB9}"/>
  <tableColumns count="10">
    <tableColumn id="1" xr3:uid="{DA06A7F8-2F18-4908-9398-7EE5BE86312C}" uniqueName="1" name="count" queryTableFieldId="1"/>
    <tableColumn id="2" xr3:uid="{81F85893-CDB1-4904-9EB4-1067C55BA689}" uniqueName="2" name="timestamp_ms" queryTableFieldId="2"/>
    <tableColumn id="3" xr3:uid="{2A89F1FD-80FB-4238-BD1F-AFDEDC1E0408}" uniqueName="3" name="aoa_valid" queryTableFieldId="3"/>
    <tableColumn id="4" xr3:uid="{C5824D40-DCF4-4E31-8C68-79F156B90A2C}" uniqueName="4" name="pfd_raw" queryTableFieldId="4"/>
    <tableColumn id="5" xr3:uid="{30DB8DA2-A08C-4F1E-A064-21CCA7EAABFB}" uniqueName="5" name="p45_raw" queryTableFieldId="5"/>
    <tableColumn id="6" xr3:uid="{630B356D-2136-44EA-AB29-BE10A20EBBED}" uniqueName="6" name="pfwd_filt" queryTableFieldId="6"/>
    <tableColumn id="7" xr3:uid="{5FA033DE-FDDF-4E37-87FA-8ADC6BA2C0C3}" uniqueName="7" name="p45_filt" queryTableFieldId="7"/>
    <tableColumn id="8" xr3:uid="{96B2CC2C-7203-43BE-BF60-1EB799CA5DDE}" uniqueName="8" name="coeff" queryTableFieldId="8"/>
    <tableColumn id="9" xr3:uid="{8F863E5C-7375-43DB-A5BD-1BC49A9F98FD}" uniqueName="9" name="aoa_raw" queryTableFieldId="9"/>
    <tableColumn id="10" xr3:uid="{8223606E-2D43-4B14-B6DB-D613D6E7D69E}" uniqueName="10" name="aoa_filt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AB920C-6F52-4B61-A862-CDA78BE16D1D}" name="_2026_04_17_16_35_28__2_high" displayName="_2026_04_17_16_35_28__2_high" ref="A1:J502" tableType="queryTable" totalsRowShown="0">
  <autoFilter ref="A1:J502" xr:uid="{76AB920C-6F52-4B61-A862-CDA78BE16D1D}"/>
  <tableColumns count="10">
    <tableColumn id="1" xr3:uid="{0883F901-A063-412E-A7BB-9D30BE8BC2F5}" uniqueName="1" name="count" queryTableFieldId="1"/>
    <tableColumn id="2" xr3:uid="{C094537F-9175-45A9-B0B2-DBEF150C25E1}" uniqueName="2" name="timestamp_ms" queryTableFieldId="2"/>
    <tableColumn id="3" xr3:uid="{4723767A-5A01-4593-8F11-2426780CEBA2}" uniqueName="3" name="aoa_valid" queryTableFieldId="3"/>
    <tableColumn id="4" xr3:uid="{D64D5756-AC4C-4875-84E7-A01495242C1D}" uniqueName="4" name="pfd_raw" queryTableFieldId="4"/>
    <tableColumn id="5" xr3:uid="{E2A8026D-4699-44D0-88E6-4E6FC873D41C}" uniqueName="5" name="p45_raw" queryTableFieldId="5"/>
    <tableColumn id="6" xr3:uid="{FF08E420-425C-4A3D-BE5F-0867E45C054D}" uniqueName="6" name="pfwd_filt" queryTableFieldId="6"/>
    <tableColumn id="7" xr3:uid="{6ADAA385-22AF-46C8-8B68-590569F53FC8}" uniqueName="7" name="p45_filt" queryTableFieldId="7"/>
    <tableColumn id="8" xr3:uid="{68704E6E-BEF0-4A23-9B81-13A217B630AD}" uniqueName="8" name="coeff" queryTableFieldId="8"/>
    <tableColumn id="9" xr3:uid="{D213F861-196C-4381-85C9-8442EDCC4879}" uniqueName="9" name="aoa_raw" queryTableFieldId="9"/>
    <tableColumn id="10" xr3:uid="{DAACA2C9-DD96-48FB-96E6-6CE664A77AC0}" uniqueName="10" name="aoa_filt" queryTableFieldId="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68E6AC-36F7-4A0E-B995-EE2B2AE4B43A}" name="_2026_04_17_16_32_27_0_high" displayName="_2026_04_17_16_32_27_0_high" ref="A1:J502" tableType="queryTable" totalsRowShown="0">
  <autoFilter ref="A1:J502" xr:uid="{6168E6AC-36F7-4A0E-B995-EE2B2AE4B43A}"/>
  <tableColumns count="10">
    <tableColumn id="1" xr3:uid="{9BDA639D-4F87-4E77-A700-4D6D49A50640}" uniqueName="1" name="count" queryTableFieldId="1"/>
    <tableColumn id="2" xr3:uid="{7B0A8DC4-0335-4AC4-93FF-AD98838C8C1A}" uniqueName="2" name="timestamp_ms" queryTableFieldId="2"/>
    <tableColumn id="3" xr3:uid="{18507CFB-E9C9-4F86-AB9D-8C153C76FD64}" uniqueName="3" name="aoa_valid" queryTableFieldId="3"/>
    <tableColumn id="4" xr3:uid="{C334BEA1-E9EA-4B18-8933-A8C01A6720F4}" uniqueName="4" name="pfd_raw" queryTableFieldId="4"/>
    <tableColumn id="5" xr3:uid="{9E1AED6A-92FD-4340-819B-AAF83E5F4E8A}" uniqueName="5" name="p45_raw" queryTableFieldId="5"/>
    <tableColumn id="6" xr3:uid="{014D4330-036D-421E-9628-CD26D8D0153A}" uniqueName="6" name="pfwd_filt" queryTableFieldId="6"/>
    <tableColumn id="7" xr3:uid="{0794F741-7C24-4975-A21A-1AF8FB8685E4}" uniqueName="7" name="p45_filt" queryTableFieldId="7"/>
    <tableColumn id="8" xr3:uid="{60BE1DCA-0190-45AF-B6B1-86DDD79022EA}" uniqueName="8" name="coeff" queryTableFieldId="8"/>
    <tableColumn id="9" xr3:uid="{78E77989-0380-43F9-9BE4-DC3BA42F1246}" uniqueName="9" name="aoa_raw" queryTableFieldId="9"/>
    <tableColumn id="10" xr3:uid="{30EF1DA7-5D5A-4319-AE42-26680A7F6E8F}" uniqueName="10" name="aoa_filt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F11FFE-AE1B-495F-A81E-AC474F7490A4}" name="_2026_04_17_16_31_51_5_high" displayName="_2026_04_17_16_31_51_5_high" ref="A1:J502" tableType="queryTable" totalsRowShown="0">
  <autoFilter ref="A1:J502" xr:uid="{15F11FFE-AE1B-495F-A81E-AC474F7490A4}"/>
  <tableColumns count="10">
    <tableColumn id="1" xr3:uid="{2AE26EE6-D88D-45B6-AC35-F47B3458088F}" uniqueName="1" name="count" queryTableFieldId="1"/>
    <tableColumn id="2" xr3:uid="{ED2F4F4B-32C7-4D52-B814-F918EC2FF611}" uniqueName="2" name="timestamp_ms" queryTableFieldId="2"/>
    <tableColumn id="3" xr3:uid="{CD91BF31-795C-4A49-A64C-D5F7B2E0B9B7}" uniqueName="3" name="aoa_valid" queryTableFieldId="3"/>
    <tableColumn id="4" xr3:uid="{BE201EBD-043C-4A70-9741-3F34EBCC125F}" uniqueName="4" name="pfd_raw" queryTableFieldId="4"/>
    <tableColumn id="5" xr3:uid="{3393B7D5-E0D6-4F9C-A661-797F8FDDBD92}" uniqueName="5" name="p45_raw" queryTableFieldId="5"/>
    <tableColumn id="6" xr3:uid="{D56CE0D0-4EAB-4F8B-9F68-5568EAAC5871}" uniqueName="6" name="pfwd_filt" queryTableFieldId="6"/>
    <tableColumn id="7" xr3:uid="{E8E99302-0A9E-4650-8658-E8539741029E}" uniqueName="7" name="p45_filt" queryTableFieldId="7"/>
    <tableColumn id="8" xr3:uid="{F61FB454-0F4C-4FA2-AF3E-E8317B110A3A}" uniqueName="8" name="coeff" queryTableFieldId="8"/>
    <tableColumn id="9" xr3:uid="{20543BF7-C06A-405A-AA93-9D80DC26FA55}" uniqueName="9" name="aoa_raw" queryTableFieldId="9"/>
    <tableColumn id="10" xr3:uid="{71276CE0-7851-4560-8E28-DED769D8F579}" uniqueName="10" name="aoa_filt" queryTableField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635EC5-E8D1-46C7-A942-31908DCE6C9D}" name="_2026_04_17_16_31_16_7_high" displayName="_2026_04_17_16_31_16_7_high" ref="A1:J502" tableType="queryTable" totalsRowShown="0">
  <autoFilter ref="A1:J502" xr:uid="{B6635EC5-E8D1-46C7-A942-31908DCE6C9D}"/>
  <tableColumns count="10">
    <tableColumn id="1" xr3:uid="{06BE4A96-7172-460C-97EC-DF6634C48F8E}" uniqueName="1" name="count" queryTableFieldId="1"/>
    <tableColumn id="2" xr3:uid="{E4A01DF7-E010-4A04-B158-4D530CA31033}" uniqueName="2" name="timestamp_ms" queryTableFieldId="2"/>
    <tableColumn id="3" xr3:uid="{8B900823-C275-49BF-965D-3053453777F9}" uniqueName="3" name="aoa_valid" queryTableFieldId="3"/>
    <tableColumn id="4" xr3:uid="{537A3D84-C637-43A8-9923-401291D96274}" uniqueName="4" name="pfd_raw" queryTableFieldId="4"/>
    <tableColumn id="5" xr3:uid="{53AF5F8C-B9AC-497E-AAC7-8418552CCCE8}" uniqueName="5" name="p45_raw" queryTableFieldId="5"/>
    <tableColumn id="6" xr3:uid="{4EB2642E-772D-4F70-AAFC-F80E6CE56C0B}" uniqueName="6" name="pfwd_filt" queryTableFieldId="6"/>
    <tableColumn id="7" xr3:uid="{069069F3-D226-418A-8EF1-4ACE757C226A}" uniqueName="7" name="p45_filt" queryTableFieldId="7"/>
    <tableColumn id="8" xr3:uid="{FC858ACE-A2B0-48CA-964A-5DA6B9467A73}" uniqueName="8" name="coeff" queryTableFieldId="8"/>
    <tableColumn id="9" xr3:uid="{2B9C1E75-CE18-4F68-A866-037FDE7E123E}" uniqueName="9" name="aoa_raw" queryTableFieldId="9"/>
    <tableColumn id="10" xr3:uid="{9367F971-55D9-44EA-B775-428601C2A463}" uniqueName="10" name="aoa_filt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B3BCF0-7278-4B13-A71B-E868BB4215F1}" name="_2026_04_17_16_30_28_9_high" displayName="_2026_04_17_16_30_28_9_high" ref="A1:J502" tableType="queryTable" totalsRowShown="0">
  <autoFilter ref="A1:J502" xr:uid="{83B3BCF0-7278-4B13-A71B-E868BB4215F1}"/>
  <tableColumns count="10">
    <tableColumn id="1" xr3:uid="{C1D699BF-2FA7-48A6-96D9-8A6016EEFD16}" uniqueName="1" name="count" queryTableFieldId="1"/>
    <tableColumn id="2" xr3:uid="{35C909C0-0C5D-4BCD-B9D8-BEA426EACBDE}" uniqueName="2" name="timestamp_ms" queryTableFieldId="2"/>
    <tableColumn id="3" xr3:uid="{E20C0DA6-B135-4E25-BA1A-2CD53D31890F}" uniqueName="3" name="aoa_valid" queryTableFieldId="3"/>
    <tableColumn id="4" xr3:uid="{F090165F-74E4-48A0-BFC7-1FA811F3A370}" uniqueName="4" name="pfd_raw" queryTableFieldId="4"/>
    <tableColumn id="5" xr3:uid="{8F44EFB9-91DF-4CDD-B15E-06C79DB17F25}" uniqueName="5" name="p45_raw" queryTableFieldId="5"/>
    <tableColumn id="6" xr3:uid="{3D25B5F6-50C0-406B-A28C-1BC93CA18655}" uniqueName="6" name="pfwd_filt" queryTableFieldId="6"/>
    <tableColumn id="7" xr3:uid="{3289D4FE-795C-4994-9EDE-465B06D5BED4}" uniqueName="7" name="p45_filt" queryTableFieldId="7"/>
    <tableColumn id="8" xr3:uid="{A86A3C61-D2A1-4982-8D61-1DC2E7347BD2}" uniqueName="8" name="coeff" queryTableFieldId="8"/>
    <tableColumn id="9" xr3:uid="{4CAE4E31-79B6-43CB-BCDD-14E5381F20C3}" uniqueName="9" name="aoa_raw" queryTableFieldId="9"/>
    <tableColumn id="10" xr3:uid="{6F06DDC6-0CBB-4C31-BB03-EACEF2F5DB5B}" uniqueName="10" name="aoa_filt" queryTableFieldId="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7F7E6E-ECCA-4886-9AAA-02D6ADF2D9E4}" name="_2026_04_17_16_29_45_13_high" displayName="_2026_04_17_16_29_45_13_high" ref="A1:J502" tableType="queryTable" totalsRowShown="0">
  <autoFilter ref="A1:J502" xr:uid="{277F7E6E-ECCA-4886-9AAA-02D6ADF2D9E4}"/>
  <tableColumns count="10">
    <tableColumn id="1" xr3:uid="{2CCD9F2B-1004-4BFE-BA39-AE3E6E383412}" uniqueName="1" name="count" queryTableFieldId="1"/>
    <tableColumn id="2" xr3:uid="{9DCA7DB6-B03F-4354-9C48-3790B455855B}" uniqueName="2" name="timestamp_ms" queryTableFieldId="2"/>
    <tableColumn id="3" xr3:uid="{4962F62C-0617-4053-B5C3-F1A2EA8A6090}" uniqueName="3" name="aoa_valid" queryTableFieldId="3"/>
    <tableColumn id="4" xr3:uid="{FC57C9E7-58CB-418E-905E-066AD70A7FF1}" uniqueName="4" name="pfd_raw" queryTableFieldId="4"/>
    <tableColumn id="5" xr3:uid="{EF9DD1ED-05E3-47CD-A1A7-FA27E74AE744}" uniqueName="5" name="p45_raw" queryTableFieldId="5"/>
    <tableColumn id="6" xr3:uid="{B4435608-331B-42BD-A1A5-2AC5A6CEC455}" uniqueName="6" name="pfwd_filt" queryTableFieldId="6"/>
    <tableColumn id="7" xr3:uid="{B1687BA4-7AC4-4120-8E8D-AD2FCD7259C4}" uniqueName="7" name="p45_filt" queryTableFieldId="7"/>
    <tableColumn id="8" xr3:uid="{3D056CB4-490C-4052-B8B2-7225FDDC6575}" uniqueName="8" name="coeff" queryTableFieldId="8"/>
    <tableColumn id="9" xr3:uid="{B3F81F29-C0B5-4840-B436-D377783A719A}" uniqueName="9" name="aoa_raw" queryTableFieldId="9"/>
    <tableColumn id="10" xr3:uid="{83D2E904-9D8C-4CAE-A7AF-DBF97F2A5C69}" uniqueName="10" name="aoa_filt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51A31F-3245-4E0F-A863-9B91B3D78515}" name="_2026_04_17_16_29_05_14_high" displayName="_2026_04_17_16_29_05_14_high" ref="A1:J502" tableType="queryTable" totalsRowShown="0">
  <autoFilter ref="A1:J502" xr:uid="{7751A31F-3245-4E0F-A863-9B91B3D78515}"/>
  <tableColumns count="10">
    <tableColumn id="1" xr3:uid="{3CE4E3E6-A562-4A49-AEF8-62EF5CAC984B}" uniqueName="1" name="count" queryTableFieldId="1"/>
    <tableColumn id="2" xr3:uid="{C2694783-DC44-4B86-A7F3-FE1EBF93B3EC}" uniqueName="2" name="timestamp_ms" queryTableFieldId="2"/>
    <tableColumn id="3" xr3:uid="{925ABC44-95C9-4675-B71F-345445C9DEE4}" uniqueName="3" name="aoa_valid" queryTableFieldId="3"/>
    <tableColumn id="4" xr3:uid="{DD33D92A-4862-4D99-B292-86344C03305D}" uniqueName="4" name="pfd_raw" queryTableFieldId="4"/>
    <tableColumn id="5" xr3:uid="{2BA71A54-C2E2-4A47-A5A9-F5CE2EBF08EB}" uniqueName="5" name="p45_raw" queryTableFieldId="5"/>
    <tableColumn id="6" xr3:uid="{287111F2-A765-4ECC-8E4F-CADE61C5A5BB}" uniqueName="6" name="pfwd_filt" queryTableFieldId="6"/>
    <tableColumn id="7" xr3:uid="{C3116210-E41F-46BA-BF11-EC363EB90C96}" uniqueName="7" name="p45_filt" queryTableFieldId="7"/>
    <tableColumn id="8" xr3:uid="{78ECECF0-AC49-486B-98F5-3F9248AAF74D}" uniqueName="8" name="coeff" queryTableFieldId="8"/>
    <tableColumn id="9" xr3:uid="{6563478E-588B-46DC-A3F2-778FCC2FA0E8}" uniqueName="9" name="aoa_raw" queryTableFieldId="9"/>
    <tableColumn id="10" xr3:uid="{44061CE1-9879-439E-938D-C4FDB221669A}" uniqueName="10" name="aoa_filt" queryTableFieldId="1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C16C3A-613B-45A3-9208-81A16D5C5E36}" name="_2026_04_17_16_28_20_16_high" displayName="_2026_04_17_16_28_20_16_high" ref="A1:J502" tableType="queryTable" totalsRowShown="0">
  <autoFilter ref="A1:J502" xr:uid="{15C16C3A-613B-45A3-9208-81A16D5C5E36}"/>
  <tableColumns count="10">
    <tableColumn id="1" xr3:uid="{AAEFF784-A65D-4495-9EEB-F8E790A947E7}" uniqueName="1" name="count" queryTableFieldId="1"/>
    <tableColumn id="2" xr3:uid="{EB9CD30B-8809-4171-ADA8-1958FFA335C2}" uniqueName="2" name="timestamp_ms" queryTableFieldId="2"/>
    <tableColumn id="3" xr3:uid="{C1804B77-69E2-44A4-A671-5C183989F7B4}" uniqueName="3" name="aoa_valid" queryTableFieldId="3"/>
    <tableColumn id="4" xr3:uid="{27E986EB-9AEC-45E6-B69A-2416F0938399}" uniqueName="4" name="pfd_raw" queryTableFieldId="4"/>
    <tableColumn id="5" xr3:uid="{67356BF1-1C38-4065-8BB6-82B28EE9BA99}" uniqueName="5" name="p45_raw" queryTableFieldId="5"/>
    <tableColumn id="6" xr3:uid="{F16A60C7-0A7A-434D-9002-E0FED89EE4A7}" uniqueName="6" name="pfwd_filt" queryTableFieldId="6"/>
    <tableColumn id="7" xr3:uid="{145C614E-24E8-4445-A63B-0B147147BE90}" uniqueName="7" name="p45_filt" queryTableFieldId="7"/>
    <tableColumn id="8" xr3:uid="{204C2A2E-C580-425D-8640-98B85B06F909}" uniqueName="8" name="coeff" queryTableFieldId="8"/>
    <tableColumn id="9" xr3:uid="{EF130E7F-D977-43E9-B330-970B0C886990}" uniqueName="9" name="aoa_raw" queryTableFieldId="9"/>
    <tableColumn id="10" xr3:uid="{3EE22329-BA64-4D6F-8565-DA845D20C45A}" uniqueName="10" name="aoa_filt" queryTableField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224220-46E3-4D60-ACA8-A2AF3793B546}" name="_2026_04_17_16_26_30_19_high" displayName="_2026_04_17_16_26_30_19_high" ref="A1:J503" tableType="queryTable" totalsRowCount="1">
  <autoFilter ref="A1:J502" xr:uid="{A8224220-46E3-4D60-ACA8-A2AF3793B546}"/>
  <tableColumns count="10">
    <tableColumn id="1" xr3:uid="{FEC04CDA-2BF1-44EF-90A6-20D5C0BEF4F3}" uniqueName="1" name="count" queryTableFieldId="1"/>
    <tableColumn id="2" xr3:uid="{56D9EB01-57F1-418B-B4D6-0251640F95B1}" uniqueName="2" name="timestamp_ms" queryTableFieldId="2"/>
    <tableColumn id="3" xr3:uid="{4210359D-395D-4EF7-A567-FAAD088BA9F3}" uniqueName="3" name="aoa_valid" totalsRowLabel="min" queryTableFieldId="3" totalsRowDxfId="9"/>
    <tableColumn id="4" xr3:uid="{25B0DCB2-DBD0-486A-B935-A83EE3648A42}" uniqueName="4" name="pfd_raw" totalsRowFunction="custom" queryTableFieldId="4" totalsRowDxfId="8">
      <totalsRowFormula>MIN(D2:D502)</totalsRowFormula>
    </tableColumn>
    <tableColumn id="5" xr3:uid="{4E0678C1-8DAD-4A4F-A5FB-5F0E76A72F73}" uniqueName="5" name="p45_raw" totalsRowFunction="custom" queryTableFieldId="5" totalsRowDxfId="7">
      <totalsRowFormula>MIN(E2:E502)</totalsRowFormula>
    </tableColumn>
    <tableColumn id="6" xr3:uid="{2DBEFF86-6B18-4354-9601-1D297FF587C8}" uniqueName="6" name="pfwd_filt" totalsRowFunction="custom" queryTableFieldId="6">
      <totalsRowFormula>AVERAGE(F2:F502)</totalsRowFormula>
    </tableColumn>
    <tableColumn id="7" xr3:uid="{7EE3ADC3-3B00-4BED-B923-E008D28552D4}" uniqueName="7" name="p45_filt" totalsRowFunction="custom" queryTableFieldId="7">
      <totalsRowFormula>AVERAGE(G2:G502)</totalsRowFormula>
    </tableColumn>
    <tableColumn id="8" xr3:uid="{D4BD5447-C987-4D2A-B5DC-DC3AC23605B9}" uniqueName="8" name="coeff" totalsRowFunction="custom" queryTableFieldId="8">
      <totalsRowFormula>AVERAGE(H2:H502)</totalsRowFormula>
    </tableColumn>
    <tableColumn id="9" xr3:uid="{D433DE34-2794-440D-94E9-44E8A7BF5E4A}" uniqueName="9" name="aoa_raw" totalsRowLabel="avg" queryTableFieldId="9"/>
    <tableColumn id="10" xr3:uid="{E6717426-0ADB-400B-A9D0-414477904B22}" uniqueName="10" name="aoa_filt" queryTableFieldId="1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264C8-DFC3-44C2-A71A-645EA66D71F0}" name="_2026_04_17_16_25_21_23_high" displayName="_2026_04_17_16_25_21_23_high" ref="A1:M502" tableType="queryTable" totalsRowShown="0">
  <autoFilter ref="A1:M502" xr:uid="{642264C8-DFC3-44C2-A71A-645EA66D71F0}"/>
  <tableColumns count="13">
    <tableColumn id="1" xr3:uid="{947EBD83-2758-4273-BF58-B4C89F3E0AE5}" uniqueName="1" name="count" queryTableFieldId="1"/>
    <tableColumn id="2" xr3:uid="{78D1E392-9CB5-4D89-B93F-9C5EEC969866}" uniqueName="2" name="timestamp_ms" queryTableFieldId="2"/>
    <tableColumn id="3" xr3:uid="{94CE3766-27F1-4B03-92B1-14990CDA31B7}" uniqueName="3" name="aoa_valid" queryTableFieldId="3"/>
    <tableColumn id="4" xr3:uid="{FF5BDCAF-A3C2-4D7F-BB6C-D0916A1D5247}" uniqueName="4" name="pfd_raw" queryTableFieldId="4"/>
    <tableColumn id="5" xr3:uid="{B495A30F-1357-45F1-87EE-8C4D8DC92C5A}" uniqueName="5" name="p45_raw" queryTableFieldId="5"/>
    <tableColumn id="6" xr3:uid="{46DD8505-5080-49E4-AE92-C464114EE276}" uniqueName="6" name="pfwd_filt" queryTableFieldId="6"/>
    <tableColumn id="7" xr3:uid="{353D2286-2968-40DA-A487-FCCF2C5A1C5B}" uniqueName="7" name="p45_filt" queryTableFieldId="7"/>
    <tableColumn id="8" xr3:uid="{0D42DDF1-4FA5-464B-9686-DB404DAC948B}" uniqueName="8" name="coeff" queryTableFieldId="8"/>
    <tableColumn id="9" xr3:uid="{98C02632-B2CD-4A0A-A713-CECC81CC0B79}" uniqueName="9" name="aoa_raw" queryTableFieldId="9"/>
    <tableColumn id="10" xr3:uid="{CD02D085-2125-4885-A05C-AE1C85F06AFC}" uniqueName="10" name="aoa_filt" queryTableFieldId="10"/>
    <tableColumn id="11" xr3:uid="{FB2EFDCA-2B49-49F8-A8D3-3AFBAC77D27D}" uniqueName="11" name="new_pfwd_filt" queryTableFieldId="11" dataDxfId="4">
      <calculatedColumnFormula>_2026_04_17_16_25_21_23_high[[#This Row],[pfwd_filt]]+200</calculatedColumnFormula>
    </tableColumn>
    <tableColumn id="12" xr3:uid="{91123882-981F-41FA-95AF-68984E956D9B}" uniqueName="12" name="new_p45_filt" queryTableFieldId="12" dataDxfId="3">
      <calculatedColumnFormula>_2026_04_17_16_25_21_23_high[[#This Row],[p45_filt]]+200</calculatedColumnFormula>
    </tableColumn>
    <tableColumn id="13" xr3:uid="{69142A56-9FCE-41A9-A2E6-3F7515EBBDDC}" uniqueName="13" name="new_coeff" queryTableFieldId="13" dataDxfId="2">
      <calculatedColumnFormula>_2026_04_17_16_25_21_23_high[[#This Row],[new_pfwd_filt]]/_2026_04_17_16_25_21_23_high[[#This Row],[new_p45_filt]]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F91D-291F-4F64-9DC1-297448E85CBA}">
  <dimension ref="A1:K17"/>
  <sheetViews>
    <sheetView tabSelected="1" workbookViewId="0">
      <selection activeCell="K3" sqref="K3"/>
    </sheetView>
  </sheetViews>
  <sheetFormatPr defaultRowHeight="14.4" x14ac:dyDescent="0.3"/>
  <cols>
    <col min="2" max="2" width="15.5546875" customWidth="1"/>
    <col min="3" max="3" width="14.5546875" bestFit="1" customWidth="1"/>
    <col min="4" max="4" width="17.21875" customWidth="1"/>
    <col min="5" max="5" width="16.21875" customWidth="1"/>
    <col min="6" max="6" width="12.44140625" customWidth="1"/>
    <col min="7" max="7" width="14.109375" customWidth="1"/>
    <col min="8" max="8" width="13.88671875" bestFit="1" customWidth="1"/>
    <col min="9" max="9" width="22.44140625" customWidth="1"/>
    <col min="10" max="10" width="18.6640625" bestFit="1" customWidth="1"/>
    <col min="11" max="11" width="19.6640625" customWidth="1"/>
  </cols>
  <sheetData>
    <row r="1" spans="1:11" x14ac:dyDescent="0.3">
      <c r="A1" t="s">
        <v>10</v>
      </c>
      <c r="B1" t="s">
        <v>11</v>
      </c>
      <c r="C1" t="s">
        <v>16</v>
      </c>
      <c r="D1" t="s">
        <v>12</v>
      </c>
      <c r="E1" t="s">
        <v>13</v>
      </c>
      <c r="F1" t="s">
        <v>17</v>
      </c>
      <c r="G1" t="s">
        <v>14</v>
      </c>
      <c r="H1" t="s">
        <v>15</v>
      </c>
      <c r="I1" t="s">
        <v>18</v>
      </c>
      <c r="J1" t="s">
        <v>27</v>
      </c>
      <c r="K1" t="s">
        <v>28</v>
      </c>
    </row>
    <row r="2" spans="1:11" x14ac:dyDescent="0.3">
      <c r="A2" s="1">
        <v>-22</v>
      </c>
      <c r="B2" s="2">
        <f>AVERAGE(_2026_04_17_16_42_00__22_high[pfwd_filt])</f>
        <v>8.6393400678642838</v>
      </c>
      <c r="C2" s="2">
        <f>AVERAGE(_2026_04_17_16_42_00__22_high[p45_filt])</f>
        <v>7.2581547864271387</v>
      </c>
      <c r="D2" s="2">
        <f>MEDIAN(_2026_04_17_16_42_00__22_high[pfwd_filt])</f>
        <v>8</v>
      </c>
      <c r="E2" s="2">
        <f>MEDIAN(_2026_04_17_16_42_00__22_high[p45_filt])</f>
        <v>8</v>
      </c>
      <c r="F2" s="2">
        <f>AVERAGE(_2026_04_17_16_42_00__22_high[coeff])</f>
        <v>1.2456148147504986</v>
      </c>
      <c r="G2" s="2">
        <f>MEDIAN(_2026_04_17_16_42_00__22_high[coeff])</f>
        <v>1.1764705</v>
      </c>
      <c r="H2" s="2">
        <f xml:space="preserve"> -84.534 *Table18[[#This Row],[coeff_median]] + 87.249</f>
        <v>-12.202757247000008</v>
      </c>
      <c r="I2" s="3">
        <f xml:space="preserve"> -66.186 *Table18[[#This Row],[coeff_mean]] + 72.445</f>
        <v>-9.9972621290765176</v>
      </c>
      <c r="J2">
        <f>Table18[[#This Row],[pfwd_filt_median]]+200</f>
        <v>208</v>
      </c>
      <c r="K2" s="9">
        <f>Table18[[#This Row],[p45_filt_median]]+200</f>
        <v>208</v>
      </c>
    </row>
    <row r="3" spans="1:11" x14ac:dyDescent="0.3">
      <c r="A3">
        <v>-19</v>
      </c>
      <c r="B3">
        <f>AVERAGE(_2026_04_17_16_41_07__19_high[pfwd_filt])</f>
        <v>8.6826347305389184</v>
      </c>
      <c r="C3">
        <f>AVERAGE(_2026_04_17_16_41_07__19_high[p45_filt])</f>
        <v>6.646090237524942</v>
      </c>
      <c r="D3">
        <f>MEDIAN(_2026_04_17_16_41_07__19_high[pfwd_filt])</f>
        <v>8.4</v>
      </c>
      <c r="E3">
        <f>MEDIAN(_2026_04_17_16_41_07__19_high[p45_filt])</f>
        <v>6.8</v>
      </c>
      <c r="F3">
        <f>AVERAGE(_2026_04_17_16_41_07__19_high[coeff])</f>
        <v>1.4202058195209575</v>
      </c>
      <c r="G3">
        <f>MEDIAN(_2026_04_17_16_41_07__19_high[coeff])</f>
        <v>1.2777778</v>
      </c>
      <c r="H3">
        <f xml:space="preserve"> -84.534 *Table18[[#This Row],[coeff_median]] + 87.249</f>
        <v>-20.766668545200005</v>
      </c>
      <c r="I3">
        <f xml:space="preserve"> -66.186 *Table18[[#This Row],[coeff_mean]] + 72.445</f>
        <v>-21.552742370814101</v>
      </c>
      <c r="J3">
        <f>Table18[[#This Row],[pfwd_filt_median]]+200</f>
        <v>208.4</v>
      </c>
      <c r="K3" s="9">
        <f>Table18[[#This Row],[p45_filt_median]]+200</f>
        <v>206.8</v>
      </c>
    </row>
    <row r="4" spans="1:11" x14ac:dyDescent="0.3">
      <c r="A4" s="1">
        <v>-14</v>
      </c>
      <c r="B4" s="2">
        <f>AVERAGE(_2026_04_17_16_43_51__14_high[pfwd_filt])</f>
        <v>8.1880613712574828</v>
      </c>
      <c r="C4" s="2">
        <f>AVERAGE(_2026_04_17_16_43_51__14_high[p45_filt])</f>
        <v>7.6279441117764515</v>
      </c>
      <c r="D4" s="2">
        <f>MEDIAN(_2026_04_17_16_43_51__14_high[pfwd_filt])</f>
        <v>8</v>
      </c>
      <c r="E4" s="2">
        <f>MEDIAN(_2026_04_17_16_43_51__14_high[p45_filt])</f>
        <v>8</v>
      </c>
      <c r="F4" s="2">
        <f>AVERAGE(_2026_04_17_16_43_51__14_high[coeff])</f>
        <v>1.1076779949301412</v>
      </c>
      <c r="G4" s="2">
        <f>MEDIAN(_2026_04_17_16_43_51__14_high[coeff])</f>
        <v>1.0476190999999999</v>
      </c>
      <c r="H4" s="2">
        <f xml:space="preserve"> -84.534 *Table18[[#This Row],[coeff_median]] + 87.249</f>
        <v>-1.3104329994000068</v>
      </c>
      <c r="I4" s="3">
        <f xml:space="preserve"> -66.186 *Table18[[#This Row],[coeff_mean]] + 72.445</f>
        <v>-0.86777577244633619</v>
      </c>
      <c r="J4">
        <f>Table18[[#This Row],[pfwd_filt_median]]+200</f>
        <v>208</v>
      </c>
      <c r="K4" s="9">
        <f>Table18[[#This Row],[p45_filt_median]]+200</f>
        <v>208</v>
      </c>
    </row>
    <row r="5" spans="1:11" x14ac:dyDescent="0.3">
      <c r="A5">
        <v>-12</v>
      </c>
      <c r="B5">
        <f>AVERAGE(_2026_04_17_16_40_13__12_high[pfwd_filt])</f>
        <v>8.4156062814371282</v>
      </c>
      <c r="C5">
        <f>AVERAGE(_2026_04_17_16_40_13__12_high[p45_filt])</f>
        <v>6.9149700598802308</v>
      </c>
      <c r="D5">
        <f>MEDIAN(_2026_04_17_16_40_13__12_high[pfwd_filt])</f>
        <v>8</v>
      </c>
      <c r="E5">
        <f>MEDIAN(_2026_04_17_16_40_13__12_high[p45_filt])</f>
        <v>7.6</v>
      </c>
      <c r="F5">
        <f>AVERAGE(_2026_04_17_16_40_13__12_high[coeff])</f>
        <v>1.3071228637724563</v>
      </c>
      <c r="G5">
        <f>MEDIAN(_2026_04_17_16_40_13__12_high[coeff])</f>
        <v>1.1764705</v>
      </c>
      <c r="H5">
        <f xml:space="preserve"> -84.534 *Table18[[#This Row],[coeff_median]] + 87.249</f>
        <v>-12.202757247000008</v>
      </c>
      <c r="I5">
        <f xml:space="preserve"> -66.186 *Table18[[#This Row],[coeff_mean]] + 72.445</f>
        <v>-14.068233861643819</v>
      </c>
      <c r="J5">
        <f>Table18[[#This Row],[pfwd_filt_median]]+200</f>
        <v>208</v>
      </c>
      <c r="K5" s="9">
        <f>Table18[[#This Row],[p45_filt_median]]+200</f>
        <v>207.6</v>
      </c>
    </row>
    <row r="6" spans="1:11" x14ac:dyDescent="0.3">
      <c r="A6">
        <v>-7</v>
      </c>
      <c r="B6">
        <f>AVERAGE(_2026_04_17_16_38_14__7_high[pfwd_filt])</f>
        <v>7.8497193093812374</v>
      </c>
      <c r="C6">
        <f>AVERAGE(_2026_04_17_16_38_14__7_high[p45_filt])</f>
        <v>7.0586826347305349</v>
      </c>
      <c r="D6">
        <f>MEDIAN(_2026_04_17_16_38_14__7_high[pfwd_filt])</f>
        <v>8</v>
      </c>
      <c r="E6">
        <f>MEDIAN(_2026_04_17_16_38_14__7_high[p45_filt])</f>
        <v>7.6</v>
      </c>
      <c r="F6">
        <f>AVERAGE(_2026_04_17_16_38_14__7_high[coeff])</f>
        <v>1.1814357233333326</v>
      </c>
      <c r="G6">
        <f>MEDIAN(_2026_04_17_16_38_14__7_high[coeff])</f>
        <v>1.1000000000000001</v>
      </c>
      <c r="H6">
        <f xml:space="preserve"> -84.534 *Table18[[#This Row],[coeff_median]] + 87.249</f>
        <v>-5.7384000000000128</v>
      </c>
      <c r="I6">
        <f xml:space="preserve"> -66.186 *Table18[[#This Row],[coeff_mean]] + 72.445</f>
        <v>-5.7495047845399654</v>
      </c>
      <c r="J6">
        <f>Table18[[#This Row],[pfwd_filt_median]]+200</f>
        <v>208</v>
      </c>
      <c r="K6" s="9">
        <f>Table18[[#This Row],[p45_filt_median]]+200</f>
        <v>207.6</v>
      </c>
    </row>
    <row r="7" spans="1:11" x14ac:dyDescent="0.3">
      <c r="A7">
        <v>-5</v>
      </c>
      <c r="B7">
        <f>AVERAGE(_2026_04_17_16_36_46__5_high[pfwd_filt])</f>
        <v>7.928143712574844</v>
      </c>
      <c r="C7">
        <f>AVERAGE(_2026_04_17_16_36_46__5_high[p45_filt])</f>
        <v>7.2392652257484844</v>
      </c>
      <c r="D7">
        <f>MEDIAN(_2026_04_17_16_36_46__5_high[pfwd_filt])</f>
        <v>8</v>
      </c>
      <c r="E7">
        <f>MEDIAN(_2026_04_17_16_36_46__5_high[p45_filt])</f>
        <v>8</v>
      </c>
      <c r="F7">
        <f>AVERAGE(_2026_04_17_16_36_46__5_high[coeff])</f>
        <v>1.1256429761876232</v>
      </c>
      <c r="G7">
        <f>MEDIAN(_2026_04_17_16_36_46__5_high[coeff])</f>
        <v>1.0526316</v>
      </c>
      <c r="H7">
        <f xml:space="preserve"> -84.534 *Table18[[#This Row],[coeff_median]] + 87.249</f>
        <v>-1.7341596744000043</v>
      </c>
      <c r="I7">
        <f xml:space="preserve"> -66.186 *Table18[[#This Row],[coeff_mean]] + 72.445</f>
        <v>-2.0568060219540456</v>
      </c>
      <c r="J7">
        <f>Table18[[#This Row],[pfwd_filt_median]]+200</f>
        <v>208</v>
      </c>
      <c r="K7" s="9">
        <f>Table18[[#This Row],[p45_filt_median]]+200</f>
        <v>208</v>
      </c>
    </row>
    <row r="8" spans="1:11" x14ac:dyDescent="0.3">
      <c r="A8">
        <v>-2</v>
      </c>
      <c r="B8">
        <f>AVERAGE(_2026_04_17_16_35_28__2_high[pfwd_filt])</f>
        <v>8.3497005988023894</v>
      </c>
      <c r="C8">
        <f>AVERAGE(_2026_04_17_16_35_28__2_high[p45_filt])</f>
        <v>7.3772455089820248</v>
      </c>
      <c r="D8">
        <f>MEDIAN(_2026_04_17_16_35_28__2_high[pfwd_filt])</f>
        <v>8</v>
      </c>
      <c r="E8">
        <f>MEDIAN(_2026_04_17_16_35_28__2_high[p45_filt])</f>
        <v>7.6</v>
      </c>
      <c r="F8">
        <f>AVERAGE(_2026_04_17_16_35_28__2_high[coeff])</f>
        <v>1.1653845194011974</v>
      </c>
      <c r="G8">
        <f>MEDIAN(_2026_04_17_16_35_28__2_high[coeff])</f>
        <v>1.1111112000000001</v>
      </c>
      <c r="H8">
        <f xml:space="preserve"> -84.534 *Table18[[#This Row],[coeff_median]] + 87.249</f>
        <v>-6.6776741808000111</v>
      </c>
      <c r="I8">
        <f xml:space="preserve"> -66.186 *Table18[[#This Row],[coeff_mean]] + 72.445</f>
        <v>-4.6871398010876675</v>
      </c>
      <c r="J8">
        <f>Table18[[#This Row],[pfwd_filt_median]]+200</f>
        <v>208</v>
      </c>
      <c r="K8" s="9">
        <f>Table18[[#This Row],[p45_filt_median]]+200</f>
        <v>207.6</v>
      </c>
    </row>
    <row r="9" spans="1:11" x14ac:dyDescent="0.3">
      <c r="A9">
        <v>0</v>
      </c>
      <c r="B9">
        <f>AVERAGE(_2026_04_17_16_32_27_0_high[pfwd_filt])</f>
        <v>8.0690992954091794</v>
      </c>
      <c r="C9">
        <f>AVERAGE(_2026_04_17_16_32_27_0_high[p45_filt])</f>
        <v>7.3628742514969945</v>
      </c>
      <c r="D9">
        <f>MEDIAN(_2026_04_17_16_32_27_0_high[pfwd_filt])</f>
        <v>8</v>
      </c>
      <c r="E9">
        <f>MEDIAN(_2026_04_17_16_32_27_0_high[p45_filt])</f>
        <v>8</v>
      </c>
      <c r="F9">
        <f>AVERAGE(_2026_04_17_16_32_27_0_high[coeff])</f>
        <v>1.118960427485028</v>
      </c>
      <c r="G9">
        <f>MEDIAN(_2026_04_17_16_32_27_0_high[coeff])</f>
        <v>1.05</v>
      </c>
      <c r="H9">
        <f xml:space="preserve"> -84.534 *Table18[[#This Row],[coeff_median]] + 87.249</f>
        <v>-1.5117000000000189</v>
      </c>
      <c r="I9">
        <f xml:space="preserve"> -66.186 *Table18[[#This Row],[coeff_mean]] + 72.445</f>
        <v>-1.6145148535240708</v>
      </c>
      <c r="J9">
        <f>Table18[[#This Row],[pfwd_filt_median]]+200</f>
        <v>208</v>
      </c>
      <c r="K9" s="9">
        <f>Table18[[#This Row],[p45_filt_median]]+200</f>
        <v>208</v>
      </c>
    </row>
    <row r="10" spans="1:11" x14ac:dyDescent="0.3">
      <c r="A10">
        <v>5</v>
      </c>
      <c r="B10">
        <f>AVERAGE(_2026_04_17_16_31_51_5_high[pfwd_filt])</f>
        <v>7.2705651299401142</v>
      </c>
      <c r="C10">
        <f>AVERAGE(_2026_04_17_16_31_51_5_high[p45_filt])</f>
        <v>7.4825777025948064</v>
      </c>
      <c r="D10">
        <f>MEDIAN(_2026_04_17_16_31_51_5_high[pfwd_filt])</f>
        <v>8</v>
      </c>
      <c r="E10">
        <f>MEDIAN(_2026_04_17_16_31_51_5_high[p45_filt])</f>
        <v>8</v>
      </c>
      <c r="F10">
        <f>AVERAGE(_2026_04_17_16_31_51_5_high[coeff])</f>
        <v>1.0069459090419137</v>
      </c>
      <c r="G10">
        <f>MEDIAN(_2026_04_17_16_31_51_5_high[coeff])</f>
        <v>1</v>
      </c>
      <c r="H10">
        <f xml:space="preserve"> -84.534 *Table18[[#This Row],[coeff_median]] + 87.249</f>
        <v>2.7149999999999892</v>
      </c>
      <c r="I10">
        <f xml:space="preserve"> -66.186 *Table18[[#This Row],[coeff_mean]] + 72.445</f>
        <v>5.7992780641518777</v>
      </c>
      <c r="J10">
        <f>Table18[[#This Row],[pfwd_filt_median]]+200</f>
        <v>208</v>
      </c>
      <c r="K10" s="9">
        <f>Table18[[#This Row],[p45_filt_median]]+200</f>
        <v>208</v>
      </c>
    </row>
    <row r="11" spans="1:11" x14ac:dyDescent="0.3">
      <c r="A11">
        <v>7</v>
      </c>
      <c r="B11">
        <f>AVERAGE(_2026_04_17_16_31_16_7_high[pfwd_filt])</f>
        <v>7.4850299401197526</v>
      </c>
      <c r="C11">
        <f>AVERAGE(_2026_04_17_16_31_16_7_high[p45_filt])</f>
        <v>7.8306075269461211</v>
      </c>
      <c r="D11">
        <f>MEDIAN(_2026_04_17_16_31_16_7_high[pfwd_filt])</f>
        <v>8</v>
      </c>
      <c r="E11">
        <f>MEDIAN(_2026_04_17_16_31_16_7_high[p45_filt])</f>
        <v>8</v>
      </c>
      <c r="F11">
        <f>AVERAGE(_2026_04_17_16_31_16_7_high[coeff])</f>
        <v>1.0106362838922145</v>
      </c>
      <c r="G11">
        <f>MEDIAN(_2026_04_17_16_31_16_7_high[coeff])</f>
        <v>1</v>
      </c>
      <c r="H11">
        <f xml:space="preserve"> -84.534 *Table18[[#This Row],[coeff_median]] + 87.249</f>
        <v>2.7149999999999892</v>
      </c>
      <c r="I11">
        <f xml:space="preserve"> -66.186 *Table18[[#This Row],[coeff_mean]] + 72.445</f>
        <v>5.5550269143098774</v>
      </c>
      <c r="J11">
        <f>Table18[[#This Row],[pfwd_filt_median]]+200</f>
        <v>208</v>
      </c>
      <c r="K11" s="9">
        <f>Table18[[#This Row],[p45_filt_median]]+200</f>
        <v>208</v>
      </c>
    </row>
    <row r="12" spans="1:11" x14ac:dyDescent="0.3">
      <c r="A12" s="1">
        <v>9</v>
      </c>
      <c r="B12" s="2">
        <f>AVERAGE(_2026_04_17_16_30_28_9_high[pfwd_filt])</f>
        <v>7.9844685568862221</v>
      </c>
      <c r="C12" s="2">
        <f>AVERAGE(_2026_04_17_16_30_28_9_high[p45_filt])</f>
        <v>7.8129367638722487</v>
      </c>
      <c r="D12" s="2">
        <f>MEDIAN(_2026_04_17_16_30_28_9_high[pfwd_filt])</f>
        <v>8</v>
      </c>
      <c r="E12" s="2">
        <f>MEDIAN(_2026_04_17_16_30_28_9_high[p45_filt])</f>
        <v>8</v>
      </c>
      <c r="F12" s="2">
        <f>AVERAGE(_2026_04_17_16_30_28_9_high[coeff])</f>
        <v>1.1167531475449113</v>
      </c>
      <c r="G12" s="2">
        <f>MEDIAN(_2026_04_17_16_30_28_9_high[coeff])</f>
        <v>1</v>
      </c>
      <c r="H12" s="2">
        <f xml:space="preserve"> -84.534 *Table18[[#This Row],[coeff_median]] + 87.249</f>
        <v>2.7149999999999892</v>
      </c>
      <c r="I12" s="3">
        <f xml:space="preserve"> -66.186 *Table18[[#This Row],[coeff_mean]] + 72.445</f>
        <v>-1.4684238234075195</v>
      </c>
      <c r="J12">
        <f>Table18[[#This Row],[pfwd_filt_median]]+200</f>
        <v>208</v>
      </c>
      <c r="K12" s="9">
        <f>Table18[[#This Row],[p45_filt_median]]+200</f>
        <v>208</v>
      </c>
    </row>
    <row r="13" spans="1:11" x14ac:dyDescent="0.3">
      <c r="A13" s="4">
        <v>13</v>
      </c>
      <c r="B13" s="5">
        <f>AVERAGE(_2026_04_17_16_29_45_13_high[pfwd_filt])</f>
        <v>7.8942115834331288</v>
      </c>
      <c r="C13" s="5">
        <f>AVERAGE(_2026_04_17_16_29_45_13_high[p45_filt])</f>
        <v>7.967340310978031</v>
      </c>
      <c r="D13" s="5">
        <f>MEDIAN(_2026_04_17_16_29_45_13_high[pfwd_filt])</f>
        <v>8</v>
      </c>
      <c r="E13" s="5">
        <f>MEDIAN(_2026_04_17_16_29_45_13_high[p45_filt])</f>
        <v>8</v>
      </c>
      <c r="F13" s="5">
        <f>AVERAGE(_2026_04_17_16_29_45_13_high[coeff])</f>
        <v>1.0763353275648699</v>
      </c>
      <c r="G13" s="5">
        <f>MEDIAN(_2026_04_17_16_29_45_13_high[coeff])</f>
        <v>1</v>
      </c>
      <c r="H13" s="5">
        <f xml:space="preserve"> -84.534 *Table18[[#This Row],[coeff_median]] + 87.249</f>
        <v>2.7149999999999892</v>
      </c>
      <c r="I13" s="6">
        <f xml:space="preserve"> -66.186 *Table18[[#This Row],[coeff_mean]] + 72.445</f>
        <v>1.2066700097915088</v>
      </c>
      <c r="J13">
        <f>Table18[[#This Row],[pfwd_filt_median]]+200</f>
        <v>208</v>
      </c>
      <c r="K13" s="9">
        <f>Table18[[#This Row],[p45_filt_median]]+200</f>
        <v>208</v>
      </c>
    </row>
    <row r="14" spans="1:11" x14ac:dyDescent="0.3">
      <c r="A14">
        <v>14</v>
      </c>
      <c r="B14">
        <f>AVERAGE(_2026_04_17_16_29_05_14_high[pfwd_filt])</f>
        <v>7.1042682504989978</v>
      </c>
      <c r="C14">
        <f>AVERAGE(_2026_04_17_16_29_05_14_high[p45_filt])</f>
        <v>8.5089820359281401</v>
      </c>
      <c r="D14">
        <f>MEDIAN(_2026_04_17_16_29_05_14_high[pfwd_filt])</f>
        <v>8</v>
      </c>
      <c r="E14">
        <f>MEDIAN(_2026_04_17_16_29_05_14_high[p45_filt])</f>
        <v>8.4</v>
      </c>
      <c r="F14">
        <f>AVERAGE(_2026_04_17_16_29_05_14_high[coeff])</f>
        <v>0.86124794596806176</v>
      </c>
      <c r="G14">
        <f>MEDIAN(_2026_04_17_16_29_05_14_high[coeff])</f>
        <v>0.86956524999999996</v>
      </c>
      <c r="H14">
        <f xml:space="preserve"> -84.534 *Table18[[#This Row],[coeff_median]] + 87.249</f>
        <v>13.741171156499988</v>
      </c>
      <c r="I14">
        <f xml:space="preserve"> -66.186 *Table18[[#This Row],[coeff_mean]] + 72.445</f>
        <v>15.442443448157853</v>
      </c>
      <c r="J14">
        <f>Table18[[#This Row],[pfwd_filt_median]]+200</f>
        <v>208</v>
      </c>
      <c r="K14" s="9">
        <f>Table18[[#This Row],[p45_filt_median]]+200</f>
        <v>208.4</v>
      </c>
    </row>
    <row r="15" spans="1:11" x14ac:dyDescent="0.3">
      <c r="A15">
        <v>16</v>
      </c>
      <c r="B15">
        <f>AVERAGE(_2026_04_17_16_28_20_16_high[pfwd_filt])</f>
        <v>7.1585379700598759</v>
      </c>
      <c r="C15">
        <f>AVERAGE(_2026_04_17_16_28_20_16_high[p45_filt])</f>
        <v>8.4981866746507091</v>
      </c>
      <c r="D15">
        <f>MEDIAN(_2026_04_17_16_28_20_16_high[pfwd_filt])</f>
        <v>7.6</v>
      </c>
      <c r="E15">
        <f>MEDIAN(_2026_04_17_16_28_20_16_high[p45_filt])</f>
        <v>8</v>
      </c>
      <c r="F15">
        <f>AVERAGE(_2026_04_17_16_28_20_16_high[coeff])</f>
        <v>0.86179116830339264</v>
      </c>
      <c r="G15">
        <f>MEDIAN(_2026_04_17_16_28_20_16_high[coeff])</f>
        <v>0.87499994000000003</v>
      </c>
      <c r="H15">
        <f xml:space="preserve"> -84.534 *Table18[[#This Row],[coeff_median]] + 87.249</f>
        <v>13.281755072039985</v>
      </c>
      <c r="I15">
        <f xml:space="preserve"> -66.186 *Table18[[#This Row],[coeff_mean]] + 72.445</f>
        <v>15.406489734671645</v>
      </c>
      <c r="J15">
        <f>Table18[[#This Row],[pfwd_filt_median]]+200</f>
        <v>207.6</v>
      </c>
      <c r="K15" s="9">
        <f>Table18[[#This Row],[p45_filt_median]]+200</f>
        <v>208</v>
      </c>
    </row>
    <row r="16" spans="1:11" x14ac:dyDescent="0.3">
      <c r="A16">
        <v>19</v>
      </c>
      <c r="B16">
        <f>AVERAGE(_2026_04_17_16_26_30_19_high[pfwd_filt])</f>
        <v>7.1504990005988081</v>
      </c>
      <c r="C16">
        <f>AVERAGE(_2026_04_17_16_26_30_19_high[p45_filt])</f>
        <v>9.5469631836327551</v>
      </c>
      <c r="D16">
        <f>MEDIAN(_2026_04_17_16_26_30_19_high[pfwd_filt])</f>
        <v>7.6</v>
      </c>
      <c r="E16">
        <f>MEDIAN(_2026_04_17_16_26_30_19_high[p45_filt])</f>
        <v>9.6</v>
      </c>
      <c r="F16">
        <f>AVERAGE(_2026_04_17_16_26_30_19_high[coeff])</f>
        <v>0.78786904862275386</v>
      </c>
      <c r="G16">
        <f>MEDIAN(_2026_04_17_16_26_30_19_high[coeff])</f>
        <v>0.74074070000000003</v>
      </c>
      <c r="H16">
        <f xml:space="preserve"> -84.534 *Table18[[#This Row],[coeff_median]] + 87.249</f>
        <v>24.631225666199988</v>
      </c>
      <c r="I16">
        <f xml:space="preserve"> -66.186 *Table18[[#This Row],[coeff_mean]] + 72.445</f>
        <v>20.299099147854399</v>
      </c>
      <c r="J16">
        <f>Table18[[#This Row],[pfwd_filt_median]]+200</f>
        <v>207.6</v>
      </c>
      <c r="K16" s="9">
        <f>Table18[[#This Row],[p45_filt_median]]+200</f>
        <v>209.6</v>
      </c>
    </row>
    <row r="17" spans="1:11" x14ac:dyDescent="0.3">
      <c r="A17">
        <v>23</v>
      </c>
      <c r="B17">
        <f>AVERAGE(_2026_04_17_16_25_21_23_high[pfwd_filt])</f>
        <v>6.5084381972055887</v>
      </c>
      <c r="C17">
        <f>AVERAGE(_2026_04_17_16_25_21_23_high[p45_filt])</f>
        <v>9.1728177473053947</v>
      </c>
      <c r="D17">
        <f>MEDIAN(_2026_04_17_16_25_21_23_high[pfwd_filt])</f>
        <v>6.4</v>
      </c>
      <c r="E17">
        <f>MEDIAN(_2026_04_17_16_25_21_23_high[p45_filt])</f>
        <v>8.8000000000000007</v>
      </c>
      <c r="F17">
        <f>AVERAGE(_2026_04_17_16_25_21_23_high[coeff])</f>
        <v>0.74184627970059858</v>
      </c>
      <c r="G17">
        <f>MEDIAN(_2026_04_17_16_25_21_23_high[coeff])</f>
        <v>0.74074070000000003</v>
      </c>
      <c r="H17">
        <f xml:space="preserve"> -84.534 *Table18[[#This Row],[coeff_median]] + 87.249</f>
        <v>24.631225666199988</v>
      </c>
      <c r="I17">
        <f xml:space="preserve"> -66.186 *Table18[[#This Row],[coeff_mean]] + 72.445</f>
        <v>23.345162131736167</v>
      </c>
      <c r="J17">
        <f>Table18[[#This Row],[pfwd_filt_median]]+200</f>
        <v>206.4</v>
      </c>
      <c r="K17" s="9">
        <f>Table18[[#This Row],[p45_filt_median]]+200</f>
        <v>208.8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3D1E-0431-4B4C-A4D3-7A9C96D8B6B7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17</v>
      </c>
      <c r="C3" t="b">
        <v>1</v>
      </c>
      <c r="D3">
        <v>8054</v>
      </c>
      <c r="E3">
        <v>8123</v>
      </c>
      <c r="F3">
        <v>11</v>
      </c>
      <c r="G3">
        <v>8</v>
      </c>
      <c r="H3">
        <v>1.375</v>
      </c>
      <c r="I3">
        <v>-0.375</v>
      </c>
      <c r="J3">
        <v>0.42105262999999998</v>
      </c>
    </row>
    <row r="4" spans="1:10" x14ac:dyDescent="0.3">
      <c r="A4">
        <v>2</v>
      </c>
      <c r="B4">
        <v>33</v>
      </c>
      <c r="C4" t="b">
        <v>1</v>
      </c>
      <c r="D4">
        <v>8048</v>
      </c>
      <c r="E4">
        <v>8123</v>
      </c>
      <c r="F4">
        <v>10</v>
      </c>
      <c r="G4">
        <v>8</v>
      </c>
      <c r="H4">
        <v>1.25</v>
      </c>
      <c r="I4">
        <v>-0.25</v>
      </c>
      <c r="J4">
        <v>0.44444444999999999</v>
      </c>
    </row>
    <row r="5" spans="1:10" x14ac:dyDescent="0.3">
      <c r="A5">
        <v>3</v>
      </c>
      <c r="B5">
        <v>49</v>
      </c>
      <c r="C5" t="b">
        <v>1</v>
      </c>
      <c r="D5">
        <v>8048</v>
      </c>
      <c r="E5">
        <v>8134</v>
      </c>
      <c r="F5">
        <v>9.5</v>
      </c>
      <c r="G5">
        <v>8</v>
      </c>
      <c r="H5">
        <v>1.1875</v>
      </c>
      <c r="I5">
        <v>-0.1875</v>
      </c>
      <c r="J5">
        <v>0.45714285999999998</v>
      </c>
    </row>
    <row r="6" spans="1:10" x14ac:dyDescent="0.3">
      <c r="A6">
        <v>4</v>
      </c>
      <c r="B6">
        <v>65</v>
      </c>
      <c r="C6" t="b">
        <v>1</v>
      </c>
      <c r="D6">
        <v>8048</v>
      </c>
      <c r="E6">
        <v>8129</v>
      </c>
      <c r="F6">
        <v>9.1999999999999993</v>
      </c>
      <c r="G6">
        <v>8</v>
      </c>
      <c r="H6">
        <v>1.1499999999999999</v>
      </c>
      <c r="I6">
        <v>-0.14999998</v>
      </c>
      <c r="J6">
        <v>0.46511626</v>
      </c>
    </row>
    <row r="7" spans="1:10" x14ac:dyDescent="0.3">
      <c r="A7">
        <v>5</v>
      </c>
      <c r="B7">
        <v>80</v>
      </c>
      <c r="C7" t="b">
        <v>1</v>
      </c>
      <c r="D7">
        <v>8048</v>
      </c>
      <c r="E7">
        <v>8129</v>
      </c>
      <c r="F7">
        <v>9</v>
      </c>
      <c r="G7">
        <v>9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96</v>
      </c>
      <c r="C8" t="b">
        <v>1</v>
      </c>
      <c r="D8">
        <v>8054</v>
      </c>
      <c r="E8">
        <v>8129</v>
      </c>
      <c r="F8">
        <v>8.8571419999999996</v>
      </c>
      <c r="G8">
        <v>9.7142859999999995</v>
      </c>
      <c r="H8">
        <v>0.91176460000000004</v>
      </c>
      <c r="I8">
        <v>8.8235350000000004E-2</v>
      </c>
      <c r="J8">
        <v>0.52307694999999998</v>
      </c>
    </row>
    <row r="9" spans="1:10" x14ac:dyDescent="0.3">
      <c r="A9">
        <v>7</v>
      </c>
      <c r="B9">
        <v>112</v>
      </c>
      <c r="C9" t="b">
        <v>1</v>
      </c>
      <c r="D9">
        <v>8048</v>
      </c>
      <c r="E9">
        <v>8134</v>
      </c>
      <c r="F9">
        <v>8.75</v>
      </c>
      <c r="G9">
        <v>10.25</v>
      </c>
      <c r="H9">
        <v>0.85365855999999996</v>
      </c>
      <c r="I9">
        <v>0.14634146000000001</v>
      </c>
      <c r="J9">
        <v>0.53947369999999994</v>
      </c>
    </row>
    <row r="10" spans="1:10" x14ac:dyDescent="0.3">
      <c r="A10">
        <v>8</v>
      </c>
      <c r="B10">
        <v>128</v>
      </c>
      <c r="C10" t="b">
        <v>1</v>
      </c>
      <c r="D10">
        <v>8048</v>
      </c>
      <c r="E10">
        <v>8129</v>
      </c>
      <c r="F10">
        <v>8.6666670000000003</v>
      </c>
      <c r="G10">
        <v>10.666667</v>
      </c>
      <c r="H10">
        <v>0.8125</v>
      </c>
      <c r="I10">
        <v>0.1875</v>
      </c>
      <c r="J10">
        <v>0.55172414000000003</v>
      </c>
    </row>
    <row r="11" spans="1:10" x14ac:dyDescent="0.3">
      <c r="A11">
        <v>9</v>
      </c>
      <c r="B11">
        <v>144</v>
      </c>
      <c r="C11" t="b">
        <v>1</v>
      </c>
      <c r="D11">
        <v>8048</v>
      </c>
      <c r="E11">
        <v>8117</v>
      </c>
      <c r="F11">
        <v>8.6</v>
      </c>
      <c r="G11">
        <v>11</v>
      </c>
      <c r="H11">
        <v>0.78181820000000002</v>
      </c>
      <c r="I11">
        <v>0.21818178999999999</v>
      </c>
      <c r="J11">
        <v>0.56122446000000004</v>
      </c>
    </row>
    <row r="12" spans="1:10" x14ac:dyDescent="0.3">
      <c r="A12">
        <v>10</v>
      </c>
      <c r="B12">
        <v>160</v>
      </c>
      <c r="C12" t="b">
        <v>1</v>
      </c>
      <c r="D12">
        <v>8054</v>
      </c>
      <c r="E12">
        <v>8117</v>
      </c>
      <c r="F12">
        <v>8.5454550000000005</v>
      </c>
      <c r="G12">
        <v>11.272727</v>
      </c>
      <c r="H12">
        <v>0.75806457000000005</v>
      </c>
      <c r="I12">
        <v>0.24193543000000001</v>
      </c>
      <c r="J12">
        <v>0.56880730000000002</v>
      </c>
    </row>
    <row r="13" spans="1:10" x14ac:dyDescent="0.3">
      <c r="A13">
        <v>11</v>
      </c>
      <c r="B13">
        <v>175</v>
      </c>
      <c r="C13" t="b">
        <v>1</v>
      </c>
      <c r="D13">
        <v>8048</v>
      </c>
      <c r="E13">
        <v>8117</v>
      </c>
      <c r="F13">
        <v>8.5</v>
      </c>
      <c r="G13">
        <v>10.5</v>
      </c>
      <c r="H13">
        <v>0.80952380000000002</v>
      </c>
      <c r="I13">
        <v>0.19047620000000001</v>
      </c>
      <c r="J13">
        <v>0.55263156000000002</v>
      </c>
    </row>
    <row r="14" spans="1:10" x14ac:dyDescent="0.3">
      <c r="A14">
        <v>12</v>
      </c>
      <c r="B14">
        <v>191</v>
      </c>
      <c r="C14" t="b">
        <v>1</v>
      </c>
      <c r="D14">
        <v>8048</v>
      </c>
      <c r="E14">
        <v>8123</v>
      </c>
      <c r="F14">
        <v>8.4615379999999991</v>
      </c>
      <c r="G14">
        <v>9.8461540000000003</v>
      </c>
      <c r="H14">
        <v>0.85937494000000003</v>
      </c>
      <c r="I14">
        <v>0.14062504000000001</v>
      </c>
      <c r="J14">
        <v>0.53781509999999999</v>
      </c>
    </row>
    <row r="15" spans="1:10" x14ac:dyDescent="0.3">
      <c r="A15">
        <v>13</v>
      </c>
      <c r="B15">
        <v>207</v>
      </c>
      <c r="C15" t="b">
        <v>1</v>
      </c>
      <c r="D15">
        <v>8054</v>
      </c>
      <c r="E15">
        <v>8111</v>
      </c>
      <c r="F15">
        <v>8.4285720000000008</v>
      </c>
      <c r="G15">
        <v>9.2857140000000005</v>
      </c>
      <c r="H15">
        <v>0.90769239999999995</v>
      </c>
      <c r="I15">
        <v>9.2307650000000005E-2</v>
      </c>
      <c r="J15">
        <v>0.52419349999999998</v>
      </c>
    </row>
    <row r="16" spans="1:10" x14ac:dyDescent="0.3">
      <c r="A16">
        <v>14</v>
      </c>
      <c r="B16">
        <v>223</v>
      </c>
      <c r="C16" t="b">
        <v>1</v>
      </c>
      <c r="D16">
        <v>8048</v>
      </c>
      <c r="E16">
        <v>8117</v>
      </c>
      <c r="F16">
        <v>8.4</v>
      </c>
      <c r="G16">
        <v>8.8000000000000007</v>
      </c>
      <c r="H16">
        <v>0.95454539999999999</v>
      </c>
      <c r="I16">
        <v>4.5454609999999999E-2</v>
      </c>
      <c r="J16">
        <v>0.51162790000000002</v>
      </c>
    </row>
    <row r="17" spans="1:10" x14ac:dyDescent="0.3">
      <c r="A17">
        <v>15</v>
      </c>
      <c r="B17">
        <v>239</v>
      </c>
      <c r="C17" t="b">
        <v>1</v>
      </c>
      <c r="D17">
        <v>8048</v>
      </c>
      <c r="E17">
        <v>8123</v>
      </c>
      <c r="F17">
        <v>8.4</v>
      </c>
      <c r="G17">
        <v>8.4</v>
      </c>
      <c r="H17">
        <v>1</v>
      </c>
      <c r="I17">
        <v>0</v>
      </c>
      <c r="J17">
        <v>0.5</v>
      </c>
    </row>
    <row r="18" spans="1:10" x14ac:dyDescent="0.3">
      <c r="A18">
        <v>16</v>
      </c>
      <c r="B18">
        <v>255</v>
      </c>
      <c r="C18" t="b">
        <v>1</v>
      </c>
      <c r="D18">
        <v>8048</v>
      </c>
      <c r="E18">
        <v>8123</v>
      </c>
      <c r="F18">
        <v>8</v>
      </c>
      <c r="G18">
        <v>8.4</v>
      </c>
      <c r="H18">
        <v>0.95238100000000003</v>
      </c>
      <c r="I18">
        <v>4.7619003999999999E-2</v>
      </c>
      <c r="J18">
        <v>0.51219510000000001</v>
      </c>
    </row>
    <row r="19" spans="1:10" x14ac:dyDescent="0.3">
      <c r="A19">
        <v>17</v>
      </c>
      <c r="B19">
        <v>271</v>
      </c>
      <c r="C19" t="b">
        <v>1</v>
      </c>
      <c r="D19">
        <v>8048</v>
      </c>
      <c r="E19">
        <v>8123</v>
      </c>
      <c r="F19">
        <v>8</v>
      </c>
      <c r="G19">
        <v>8.4</v>
      </c>
      <c r="H19">
        <v>0.95238100000000003</v>
      </c>
      <c r="I19">
        <v>4.7619003999999999E-2</v>
      </c>
      <c r="J19">
        <v>0.51219510000000001</v>
      </c>
    </row>
    <row r="20" spans="1:10" x14ac:dyDescent="0.3">
      <c r="A20">
        <v>18</v>
      </c>
      <c r="B20">
        <v>286</v>
      </c>
      <c r="C20" t="b">
        <v>1</v>
      </c>
      <c r="D20">
        <v>8042</v>
      </c>
      <c r="E20">
        <v>8129</v>
      </c>
      <c r="F20">
        <v>8</v>
      </c>
      <c r="G20">
        <v>8.4</v>
      </c>
      <c r="H20">
        <v>0.95238100000000003</v>
      </c>
      <c r="I20">
        <v>4.7619003999999999E-2</v>
      </c>
      <c r="J20">
        <v>0.51219510000000001</v>
      </c>
    </row>
    <row r="21" spans="1:10" x14ac:dyDescent="0.3">
      <c r="A21">
        <v>19</v>
      </c>
      <c r="B21">
        <v>302</v>
      </c>
      <c r="C21" t="b">
        <v>1</v>
      </c>
      <c r="D21">
        <v>8048</v>
      </c>
      <c r="E21">
        <v>8129</v>
      </c>
      <c r="F21">
        <v>8</v>
      </c>
      <c r="G21">
        <v>8.4</v>
      </c>
      <c r="H21">
        <v>0.95238100000000003</v>
      </c>
      <c r="I21">
        <v>4.7619003999999999E-2</v>
      </c>
      <c r="J21">
        <v>0.51219510000000001</v>
      </c>
    </row>
    <row r="22" spans="1:10" x14ac:dyDescent="0.3">
      <c r="A22">
        <v>20</v>
      </c>
      <c r="B22">
        <v>318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334</v>
      </c>
      <c r="C23" t="b">
        <v>1</v>
      </c>
      <c r="D23">
        <v>8048</v>
      </c>
      <c r="E23">
        <v>8123</v>
      </c>
      <c r="F23">
        <v>8</v>
      </c>
      <c r="G23">
        <v>7.6</v>
      </c>
      <c r="H23">
        <v>1.0526316</v>
      </c>
      <c r="I23">
        <v>-5.2631589999999999E-2</v>
      </c>
      <c r="J23">
        <v>0.48717946000000001</v>
      </c>
    </row>
    <row r="24" spans="1:10" x14ac:dyDescent="0.3">
      <c r="A24">
        <v>22</v>
      </c>
      <c r="B24">
        <v>350</v>
      </c>
      <c r="C24" t="b">
        <v>1</v>
      </c>
      <c r="D24">
        <v>8048</v>
      </c>
      <c r="E24">
        <v>8117</v>
      </c>
      <c r="F24">
        <v>8</v>
      </c>
      <c r="G24">
        <v>7.2</v>
      </c>
      <c r="H24">
        <v>1.1111112000000001</v>
      </c>
      <c r="I24">
        <v>-0.11111114</v>
      </c>
      <c r="J24">
        <v>0.4736842</v>
      </c>
    </row>
    <row r="25" spans="1:10" x14ac:dyDescent="0.3">
      <c r="A25">
        <v>23</v>
      </c>
      <c r="B25">
        <v>366</v>
      </c>
      <c r="C25" t="b">
        <v>1</v>
      </c>
      <c r="D25">
        <v>8048</v>
      </c>
      <c r="E25">
        <v>8123</v>
      </c>
      <c r="F25">
        <v>8</v>
      </c>
      <c r="G25">
        <v>6.8</v>
      </c>
      <c r="H25">
        <v>1.1764705</v>
      </c>
      <c r="I25">
        <v>-0.17647055</v>
      </c>
      <c r="J25">
        <v>0.45945944999999999</v>
      </c>
    </row>
    <row r="26" spans="1:10" x14ac:dyDescent="0.3">
      <c r="A26">
        <v>24</v>
      </c>
      <c r="B26">
        <v>381</v>
      </c>
      <c r="C26" t="b">
        <v>1</v>
      </c>
      <c r="D26">
        <v>8054</v>
      </c>
      <c r="E26">
        <v>8123</v>
      </c>
      <c r="F26">
        <v>8</v>
      </c>
      <c r="G26">
        <v>6.4</v>
      </c>
      <c r="H26">
        <v>1.25</v>
      </c>
      <c r="I26">
        <v>-0.24999999000000001</v>
      </c>
      <c r="J26">
        <v>0.44444447999999998</v>
      </c>
    </row>
    <row r="27" spans="1:10" x14ac:dyDescent="0.3">
      <c r="A27">
        <v>25</v>
      </c>
      <c r="B27">
        <v>397</v>
      </c>
      <c r="C27" t="b">
        <v>1</v>
      </c>
      <c r="D27">
        <v>8048</v>
      </c>
      <c r="E27">
        <v>8123</v>
      </c>
      <c r="F27">
        <v>8</v>
      </c>
      <c r="G27">
        <v>6</v>
      </c>
      <c r="H27">
        <v>1.3333333999999999</v>
      </c>
      <c r="I27">
        <v>-0.33333333999999998</v>
      </c>
      <c r="J27">
        <v>0.42857142999999998</v>
      </c>
    </row>
    <row r="28" spans="1:10" x14ac:dyDescent="0.3">
      <c r="A28">
        <v>26</v>
      </c>
      <c r="B28">
        <v>413</v>
      </c>
      <c r="C28" t="b">
        <v>1</v>
      </c>
      <c r="D28">
        <v>8048</v>
      </c>
      <c r="E28">
        <v>8123</v>
      </c>
      <c r="F28">
        <v>8</v>
      </c>
      <c r="G28">
        <v>6.4</v>
      </c>
      <c r="H28">
        <v>1.25</v>
      </c>
      <c r="I28">
        <v>-0.24999999000000001</v>
      </c>
      <c r="J28">
        <v>0.44444447999999998</v>
      </c>
    </row>
    <row r="29" spans="1:10" x14ac:dyDescent="0.3">
      <c r="A29">
        <v>27</v>
      </c>
      <c r="B29">
        <v>429</v>
      </c>
      <c r="C29" t="b">
        <v>1</v>
      </c>
      <c r="D29">
        <v>8048</v>
      </c>
      <c r="E29">
        <v>8123</v>
      </c>
      <c r="F29">
        <v>8</v>
      </c>
      <c r="G29">
        <v>6.8</v>
      </c>
      <c r="H29">
        <v>1.1764705</v>
      </c>
      <c r="I29">
        <v>-0.17647055</v>
      </c>
      <c r="J29">
        <v>0.45945944999999999</v>
      </c>
    </row>
    <row r="30" spans="1:10" x14ac:dyDescent="0.3">
      <c r="A30">
        <v>28</v>
      </c>
      <c r="B30">
        <v>445</v>
      </c>
      <c r="C30" t="b">
        <v>1</v>
      </c>
      <c r="D30">
        <v>8048</v>
      </c>
      <c r="E30">
        <v>8123</v>
      </c>
      <c r="F30">
        <v>8</v>
      </c>
      <c r="G30">
        <v>7.2</v>
      </c>
      <c r="H30">
        <v>1.1111112000000001</v>
      </c>
      <c r="I30">
        <v>-0.11111114</v>
      </c>
      <c r="J30">
        <v>0.4736842</v>
      </c>
    </row>
    <row r="31" spans="1:10" x14ac:dyDescent="0.3">
      <c r="A31">
        <v>29</v>
      </c>
      <c r="B31">
        <v>461</v>
      </c>
      <c r="C31" t="b">
        <v>1</v>
      </c>
      <c r="D31">
        <v>8048</v>
      </c>
      <c r="E31">
        <v>8123</v>
      </c>
      <c r="F31">
        <v>8</v>
      </c>
      <c r="G31">
        <v>7.6</v>
      </c>
      <c r="H31">
        <v>1.0526316</v>
      </c>
      <c r="I31">
        <v>-5.2631589999999999E-2</v>
      </c>
      <c r="J31">
        <v>0.48717946000000001</v>
      </c>
    </row>
    <row r="32" spans="1:10" x14ac:dyDescent="0.3">
      <c r="A32">
        <v>30</v>
      </c>
      <c r="B32">
        <v>476</v>
      </c>
      <c r="C32" t="b">
        <v>1</v>
      </c>
      <c r="D32">
        <v>8048</v>
      </c>
      <c r="E32">
        <v>8123</v>
      </c>
      <c r="F32">
        <v>8</v>
      </c>
      <c r="G32">
        <v>8</v>
      </c>
      <c r="H32">
        <v>1</v>
      </c>
      <c r="I32">
        <v>0</v>
      </c>
      <c r="J32">
        <v>0.5</v>
      </c>
    </row>
    <row r="33" spans="1:10" x14ac:dyDescent="0.3">
      <c r="A33">
        <v>31</v>
      </c>
      <c r="B33">
        <v>492</v>
      </c>
      <c r="C33" t="b">
        <v>1</v>
      </c>
      <c r="D33">
        <v>8048</v>
      </c>
      <c r="E33">
        <v>8123</v>
      </c>
      <c r="F33">
        <v>8</v>
      </c>
      <c r="G33">
        <v>8</v>
      </c>
      <c r="H33">
        <v>1</v>
      </c>
      <c r="I33">
        <v>0</v>
      </c>
      <c r="J33">
        <v>0.5</v>
      </c>
    </row>
    <row r="34" spans="1:10" x14ac:dyDescent="0.3">
      <c r="A34">
        <v>32</v>
      </c>
      <c r="B34">
        <v>508</v>
      </c>
      <c r="C34" t="b">
        <v>1</v>
      </c>
      <c r="D34">
        <v>8048</v>
      </c>
      <c r="E34">
        <v>8129</v>
      </c>
      <c r="F34">
        <v>8</v>
      </c>
      <c r="G34">
        <v>8</v>
      </c>
      <c r="H34">
        <v>1</v>
      </c>
      <c r="I34">
        <v>0</v>
      </c>
      <c r="J34">
        <v>0.5</v>
      </c>
    </row>
    <row r="35" spans="1:10" x14ac:dyDescent="0.3">
      <c r="A35">
        <v>33</v>
      </c>
      <c r="B35">
        <v>524</v>
      </c>
      <c r="C35" t="b">
        <v>1</v>
      </c>
      <c r="D35">
        <v>8054</v>
      </c>
      <c r="E35">
        <v>8123</v>
      </c>
      <c r="F35">
        <v>8</v>
      </c>
      <c r="G35">
        <v>8</v>
      </c>
      <c r="H35">
        <v>1</v>
      </c>
      <c r="I35">
        <v>0</v>
      </c>
      <c r="J35">
        <v>0.5</v>
      </c>
    </row>
    <row r="36" spans="1:10" x14ac:dyDescent="0.3">
      <c r="A36">
        <v>34</v>
      </c>
      <c r="B36">
        <v>540</v>
      </c>
      <c r="C36" t="b">
        <v>1</v>
      </c>
      <c r="D36">
        <v>8048</v>
      </c>
      <c r="E36">
        <v>8123</v>
      </c>
      <c r="F36">
        <v>8</v>
      </c>
      <c r="G36">
        <v>8</v>
      </c>
      <c r="H36">
        <v>1</v>
      </c>
      <c r="I36">
        <v>0</v>
      </c>
      <c r="J36">
        <v>0.5</v>
      </c>
    </row>
    <row r="37" spans="1:10" x14ac:dyDescent="0.3">
      <c r="A37">
        <v>35</v>
      </c>
      <c r="B37">
        <v>556</v>
      </c>
      <c r="C37" t="b">
        <v>1</v>
      </c>
      <c r="D37">
        <v>8048</v>
      </c>
      <c r="E37">
        <v>8123</v>
      </c>
      <c r="F37">
        <v>8</v>
      </c>
      <c r="G37">
        <v>8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572</v>
      </c>
      <c r="C38" t="b">
        <v>1</v>
      </c>
      <c r="D38">
        <v>8048</v>
      </c>
      <c r="E38">
        <v>8117</v>
      </c>
      <c r="F38">
        <v>8</v>
      </c>
      <c r="G38">
        <v>8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588</v>
      </c>
      <c r="C39" t="b">
        <v>1</v>
      </c>
      <c r="D39">
        <v>8054</v>
      </c>
      <c r="E39">
        <v>8123</v>
      </c>
      <c r="F39">
        <v>8</v>
      </c>
      <c r="G39">
        <v>8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604</v>
      </c>
      <c r="C40" t="b">
        <v>1</v>
      </c>
      <c r="D40">
        <v>8060</v>
      </c>
      <c r="E40">
        <v>8123</v>
      </c>
      <c r="F40">
        <v>8</v>
      </c>
      <c r="G40">
        <v>8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620</v>
      </c>
      <c r="C41" t="b">
        <v>1</v>
      </c>
      <c r="D41">
        <v>8054</v>
      </c>
      <c r="E41">
        <v>8123</v>
      </c>
      <c r="F41">
        <v>8.4</v>
      </c>
      <c r="G41">
        <v>8</v>
      </c>
      <c r="H41">
        <v>1.05</v>
      </c>
      <c r="I41">
        <v>-4.9999952E-2</v>
      </c>
      <c r="J41">
        <v>0.48780489999999999</v>
      </c>
    </row>
    <row r="42" spans="1:10" x14ac:dyDescent="0.3">
      <c r="A42">
        <v>40</v>
      </c>
      <c r="B42">
        <v>636</v>
      </c>
      <c r="C42" t="b">
        <v>1</v>
      </c>
      <c r="D42">
        <v>8054</v>
      </c>
      <c r="E42">
        <v>8123</v>
      </c>
      <c r="F42">
        <v>8.8000000000000007</v>
      </c>
      <c r="G42">
        <v>8</v>
      </c>
      <c r="H42">
        <v>1.1000000000000001</v>
      </c>
      <c r="I42">
        <v>-0.10000002400000001</v>
      </c>
      <c r="J42">
        <v>0.47619050000000002</v>
      </c>
    </row>
    <row r="43" spans="1:10" x14ac:dyDescent="0.3">
      <c r="A43">
        <v>41</v>
      </c>
      <c r="B43">
        <v>652</v>
      </c>
      <c r="C43" t="b">
        <v>1</v>
      </c>
      <c r="D43">
        <v>8054</v>
      </c>
      <c r="E43">
        <v>8123</v>
      </c>
      <c r="F43">
        <v>9.1999999999999993</v>
      </c>
      <c r="G43">
        <v>8</v>
      </c>
      <c r="H43">
        <v>1.1499999999999999</v>
      </c>
      <c r="I43">
        <v>-0.14999998</v>
      </c>
      <c r="J43">
        <v>0.46511626</v>
      </c>
    </row>
    <row r="44" spans="1:10" x14ac:dyDescent="0.3">
      <c r="A44">
        <v>42</v>
      </c>
      <c r="B44">
        <v>668</v>
      </c>
      <c r="C44" t="b">
        <v>1</v>
      </c>
      <c r="D44">
        <v>8054</v>
      </c>
      <c r="E44">
        <v>8123</v>
      </c>
      <c r="F44">
        <v>9.6</v>
      </c>
      <c r="G44">
        <v>8</v>
      </c>
      <c r="H44">
        <v>1.2</v>
      </c>
      <c r="I44">
        <v>-0.20000005000000001</v>
      </c>
      <c r="J44">
        <v>0.45454544000000002</v>
      </c>
    </row>
    <row r="45" spans="1:10" x14ac:dyDescent="0.3">
      <c r="A45">
        <v>43</v>
      </c>
      <c r="B45">
        <v>683</v>
      </c>
      <c r="C45" t="b">
        <v>1</v>
      </c>
      <c r="D45">
        <v>8054</v>
      </c>
      <c r="E45">
        <v>8123</v>
      </c>
      <c r="F45">
        <v>10</v>
      </c>
      <c r="G45">
        <v>8</v>
      </c>
      <c r="H45">
        <v>1.25</v>
      </c>
      <c r="I45">
        <v>-0.25</v>
      </c>
      <c r="J45">
        <v>0.44444444999999999</v>
      </c>
    </row>
    <row r="46" spans="1:10" x14ac:dyDescent="0.3">
      <c r="A46">
        <v>44</v>
      </c>
      <c r="B46">
        <v>699</v>
      </c>
      <c r="C46" t="b">
        <v>1</v>
      </c>
      <c r="D46">
        <v>8048</v>
      </c>
      <c r="E46">
        <v>8123</v>
      </c>
      <c r="F46">
        <v>10.4</v>
      </c>
      <c r="G46">
        <v>8</v>
      </c>
      <c r="H46">
        <v>1.3</v>
      </c>
      <c r="I46">
        <v>-0.29999995000000002</v>
      </c>
      <c r="J46">
        <v>0.43478262000000001</v>
      </c>
    </row>
    <row r="47" spans="1:10" x14ac:dyDescent="0.3">
      <c r="A47">
        <v>45</v>
      </c>
      <c r="B47">
        <v>715</v>
      </c>
      <c r="C47" t="b">
        <v>1</v>
      </c>
      <c r="D47">
        <v>8048</v>
      </c>
      <c r="E47">
        <v>8123</v>
      </c>
      <c r="F47">
        <v>10.8</v>
      </c>
      <c r="G47">
        <v>8</v>
      </c>
      <c r="H47">
        <v>1.35</v>
      </c>
      <c r="I47">
        <v>-0.35000002000000002</v>
      </c>
      <c r="J47">
        <v>0.42553192000000001</v>
      </c>
    </row>
    <row r="48" spans="1:10" x14ac:dyDescent="0.3">
      <c r="A48">
        <v>46</v>
      </c>
      <c r="B48">
        <v>731</v>
      </c>
      <c r="C48" t="b">
        <v>1</v>
      </c>
      <c r="D48">
        <v>8054</v>
      </c>
      <c r="E48">
        <v>8123</v>
      </c>
      <c r="F48">
        <v>11.2</v>
      </c>
      <c r="G48">
        <v>8</v>
      </c>
      <c r="H48">
        <v>1.4</v>
      </c>
      <c r="I48">
        <v>-0.39999997999999998</v>
      </c>
      <c r="J48">
        <v>0.41666666000000002</v>
      </c>
    </row>
    <row r="49" spans="1:10" x14ac:dyDescent="0.3">
      <c r="A49">
        <v>47</v>
      </c>
      <c r="B49">
        <v>746</v>
      </c>
      <c r="C49" t="b">
        <v>1</v>
      </c>
      <c r="D49">
        <v>8048</v>
      </c>
      <c r="E49">
        <v>8123</v>
      </c>
      <c r="F49">
        <v>11.2</v>
      </c>
      <c r="G49">
        <v>8</v>
      </c>
      <c r="H49">
        <v>1.4</v>
      </c>
      <c r="I49">
        <v>-0.39999997999999998</v>
      </c>
      <c r="J49">
        <v>0.41666666000000002</v>
      </c>
    </row>
    <row r="50" spans="1:10" x14ac:dyDescent="0.3">
      <c r="A50">
        <v>48</v>
      </c>
      <c r="B50">
        <v>763</v>
      </c>
      <c r="C50" t="b">
        <v>1</v>
      </c>
      <c r="D50">
        <v>8042</v>
      </c>
      <c r="E50">
        <v>8117</v>
      </c>
      <c r="F50">
        <v>11.2</v>
      </c>
      <c r="G50">
        <v>8</v>
      </c>
      <c r="H50">
        <v>1.4</v>
      </c>
      <c r="I50">
        <v>-0.39999997999999998</v>
      </c>
      <c r="J50">
        <v>0.41666666000000002</v>
      </c>
    </row>
    <row r="51" spans="1:10" x14ac:dyDescent="0.3">
      <c r="A51">
        <v>49</v>
      </c>
      <c r="B51">
        <v>779</v>
      </c>
      <c r="C51" t="b">
        <v>1</v>
      </c>
      <c r="D51">
        <v>8048</v>
      </c>
      <c r="E51">
        <v>8129</v>
      </c>
      <c r="F51">
        <v>11.2</v>
      </c>
      <c r="G51">
        <v>8</v>
      </c>
      <c r="H51">
        <v>1.4</v>
      </c>
      <c r="I51">
        <v>-0.39999997999999998</v>
      </c>
      <c r="J51">
        <v>0.41666666000000002</v>
      </c>
    </row>
    <row r="52" spans="1:10" x14ac:dyDescent="0.3">
      <c r="A52">
        <v>50</v>
      </c>
      <c r="B52">
        <v>795</v>
      </c>
      <c r="C52" t="b">
        <v>1</v>
      </c>
      <c r="D52">
        <v>8048</v>
      </c>
      <c r="E52">
        <v>8123</v>
      </c>
      <c r="F52">
        <v>11.2</v>
      </c>
      <c r="G52">
        <v>8</v>
      </c>
      <c r="H52">
        <v>1.4</v>
      </c>
      <c r="I52">
        <v>-0.39999997999999998</v>
      </c>
      <c r="J52">
        <v>0.41666666000000002</v>
      </c>
    </row>
    <row r="53" spans="1:10" x14ac:dyDescent="0.3">
      <c r="A53">
        <v>51</v>
      </c>
      <c r="B53">
        <v>811</v>
      </c>
      <c r="C53" t="b">
        <v>1</v>
      </c>
      <c r="D53">
        <v>8048</v>
      </c>
      <c r="E53">
        <v>8123</v>
      </c>
      <c r="F53">
        <v>11.2</v>
      </c>
      <c r="G53">
        <v>8</v>
      </c>
      <c r="H53">
        <v>1.4</v>
      </c>
      <c r="I53">
        <v>-0.39999997999999998</v>
      </c>
      <c r="J53">
        <v>0.41666666000000002</v>
      </c>
    </row>
    <row r="54" spans="1:10" x14ac:dyDescent="0.3">
      <c r="A54">
        <v>52</v>
      </c>
      <c r="B54">
        <v>826</v>
      </c>
      <c r="C54" t="b">
        <v>1</v>
      </c>
      <c r="D54">
        <v>8054</v>
      </c>
      <c r="E54">
        <v>8117</v>
      </c>
      <c r="F54">
        <v>11.2</v>
      </c>
      <c r="G54">
        <v>8</v>
      </c>
      <c r="H54">
        <v>1.4</v>
      </c>
      <c r="I54">
        <v>-0.39999997999999998</v>
      </c>
      <c r="J54">
        <v>0.41666666000000002</v>
      </c>
    </row>
    <row r="55" spans="1:10" x14ac:dyDescent="0.3">
      <c r="A55">
        <v>53</v>
      </c>
      <c r="B55">
        <v>842</v>
      </c>
      <c r="C55" t="b">
        <v>1</v>
      </c>
      <c r="D55">
        <v>8048</v>
      </c>
      <c r="E55">
        <v>8123</v>
      </c>
      <c r="F55">
        <v>11.2</v>
      </c>
      <c r="G55">
        <v>8</v>
      </c>
      <c r="H55">
        <v>1.4</v>
      </c>
      <c r="I55">
        <v>-0.39999997999999998</v>
      </c>
      <c r="J55">
        <v>0.41666666000000002</v>
      </c>
    </row>
    <row r="56" spans="1:10" x14ac:dyDescent="0.3">
      <c r="A56">
        <v>54</v>
      </c>
      <c r="B56">
        <v>858</v>
      </c>
      <c r="C56" t="b">
        <v>1</v>
      </c>
      <c r="D56">
        <v>8048</v>
      </c>
      <c r="E56">
        <v>8123</v>
      </c>
      <c r="F56">
        <v>10.8</v>
      </c>
      <c r="G56">
        <v>8</v>
      </c>
      <c r="H56">
        <v>1.35</v>
      </c>
      <c r="I56">
        <v>-0.35000002000000002</v>
      </c>
      <c r="J56">
        <v>0.42553192000000001</v>
      </c>
    </row>
    <row r="57" spans="1:10" x14ac:dyDescent="0.3">
      <c r="A57">
        <v>55</v>
      </c>
      <c r="B57">
        <v>874</v>
      </c>
      <c r="C57" t="b">
        <v>1</v>
      </c>
      <c r="D57">
        <v>8048</v>
      </c>
      <c r="E57">
        <v>8123</v>
      </c>
      <c r="F57">
        <v>10.4</v>
      </c>
      <c r="G57">
        <v>8</v>
      </c>
      <c r="H57">
        <v>1.3</v>
      </c>
      <c r="I57">
        <v>-0.29999995000000002</v>
      </c>
      <c r="J57">
        <v>0.43478262000000001</v>
      </c>
    </row>
    <row r="58" spans="1:10" x14ac:dyDescent="0.3">
      <c r="A58">
        <v>56</v>
      </c>
      <c r="B58">
        <v>890</v>
      </c>
      <c r="C58" t="b">
        <v>1</v>
      </c>
      <c r="D58">
        <v>8048</v>
      </c>
      <c r="E58">
        <v>8123</v>
      </c>
      <c r="F58">
        <v>10</v>
      </c>
      <c r="G58">
        <v>8</v>
      </c>
      <c r="H58">
        <v>1.25</v>
      </c>
      <c r="I58">
        <v>-0.25</v>
      </c>
      <c r="J58">
        <v>0.44444444999999999</v>
      </c>
    </row>
    <row r="59" spans="1:10" x14ac:dyDescent="0.3">
      <c r="A59">
        <v>57</v>
      </c>
      <c r="B59">
        <v>905</v>
      </c>
      <c r="C59" t="b">
        <v>1</v>
      </c>
      <c r="D59">
        <v>8042</v>
      </c>
      <c r="E59">
        <v>8123</v>
      </c>
      <c r="F59">
        <v>9.6</v>
      </c>
      <c r="G59">
        <v>8</v>
      </c>
      <c r="H59">
        <v>1.2</v>
      </c>
      <c r="I59">
        <v>-0.20000005000000001</v>
      </c>
      <c r="J59">
        <v>0.45454544000000002</v>
      </c>
    </row>
    <row r="60" spans="1:10" x14ac:dyDescent="0.3">
      <c r="A60">
        <v>58</v>
      </c>
      <c r="B60">
        <v>921</v>
      </c>
      <c r="C60" t="b">
        <v>1</v>
      </c>
      <c r="D60">
        <v>8042</v>
      </c>
      <c r="E60">
        <v>8123</v>
      </c>
      <c r="F60">
        <v>9.1999999999999993</v>
      </c>
      <c r="G60">
        <v>8</v>
      </c>
      <c r="H60">
        <v>1.1499999999999999</v>
      </c>
      <c r="I60">
        <v>-0.14999998</v>
      </c>
      <c r="J60">
        <v>0.46511626</v>
      </c>
    </row>
    <row r="61" spans="1:10" x14ac:dyDescent="0.3">
      <c r="A61">
        <v>59</v>
      </c>
      <c r="B61">
        <v>937</v>
      </c>
      <c r="C61" t="b">
        <v>1</v>
      </c>
      <c r="D61">
        <v>8048</v>
      </c>
      <c r="E61">
        <v>8123</v>
      </c>
      <c r="F61">
        <v>8.8000000000000007</v>
      </c>
      <c r="G61">
        <v>8</v>
      </c>
      <c r="H61">
        <v>1.1000000000000001</v>
      </c>
      <c r="I61">
        <v>-0.10000002400000001</v>
      </c>
      <c r="J61">
        <v>0.47619050000000002</v>
      </c>
    </row>
    <row r="62" spans="1:10" x14ac:dyDescent="0.3">
      <c r="A62">
        <v>60</v>
      </c>
      <c r="B62">
        <v>953</v>
      </c>
      <c r="C62" t="b">
        <v>1</v>
      </c>
      <c r="D62">
        <v>8048</v>
      </c>
      <c r="E62">
        <v>8123</v>
      </c>
      <c r="F62">
        <v>8.4</v>
      </c>
      <c r="G62">
        <v>8</v>
      </c>
      <c r="H62">
        <v>1.05</v>
      </c>
      <c r="I62">
        <v>-4.9999952E-2</v>
      </c>
      <c r="J62">
        <v>0.48780489999999999</v>
      </c>
    </row>
    <row r="63" spans="1:10" x14ac:dyDescent="0.3">
      <c r="A63">
        <v>61</v>
      </c>
      <c r="B63">
        <v>969</v>
      </c>
      <c r="C63" t="b">
        <v>1</v>
      </c>
      <c r="D63">
        <v>8048</v>
      </c>
      <c r="E63">
        <v>8123</v>
      </c>
      <c r="F63">
        <v>8</v>
      </c>
      <c r="G63">
        <v>8</v>
      </c>
      <c r="H63">
        <v>1</v>
      </c>
      <c r="I63">
        <v>0</v>
      </c>
      <c r="J63">
        <v>0.5</v>
      </c>
    </row>
    <row r="64" spans="1:10" x14ac:dyDescent="0.3">
      <c r="A64">
        <v>62</v>
      </c>
      <c r="B64">
        <v>985</v>
      </c>
      <c r="C64" t="b">
        <v>1</v>
      </c>
      <c r="D64">
        <v>8048</v>
      </c>
      <c r="E64">
        <v>8123</v>
      </c>
      <c r="F64">
        <v>8</v>
      </c>
      <c r="G64">
        <v>8</v>
      </c>
      <c r="H64">
        <v>1</v>
      </c>
      <c r="I64">
        <v>0</v>
      </c>
      <c r="J64">
        <v>0.5</v>
      </c>
    </row>
    <row r="65" spans="1:10" x14ac:dyDescent="0.3">
      <c r="A65">
        <v>63</v>
      </c>
      <c r="B65">
        <v>1001</v>
      </c>
      <c r="C65" t="b">
        <v>1</v>
      </c>
      <c r="D65">
        <v>8054</v>
      </c>
      <c r="E65">
        <v>8123</v>
      </c>
      <c r="F65">
        <v>8</v>
      </c>
      <c r="G65">
        <v>8</v>
      </c>
      <c r="H65">
        <v>1</v>
      </c>
      <c r="I65">
        <v>0</v>
      </c>
      <c r="J65">
        <v>0.5</v>
      </c>
    </row>
    <row r="66" spans="1:10" x14ac:dyDescent="0.3">
      <c r="A66">
        <v>64</v>
      </c>
      <c r="B66">
        <v>1017</v>
      </c>
      <c r="C66" t="b">
        <v>1</v>
      </c>
      <c r="D66">
        <v>8048</v>
      </c>
      <c r="E66">
        <v>8117</v>
      </c>
      <c r="F66">
        <v>8</v>
      </c>
      <c r="G66">
        <v>8</v>
      </c>
      <c r="H66">
        <v>1</v>
      </c>
      <c r="I66">
        <v>0</v>
      </c>
      <c r="J66">
        <v>0.5</v>
      </c>
    </row>
    <row r="67" spans="1:10" x14ac:dyDescent="0.3">
      <c r="A67">
        <v>65</v>
      </c>
      <c r="B67">
        <v>1033</v>
      </c>
      <c r="C67" t="b">
        <v>1</v>
      </c>
      <c r="D67">
        <v>8048</v>
      </c>
      <c r="E67">
        <v>8117</v>
      </c>
      <c r="F67">
        <v>8</v>
      </c>
      <c r="G67">
        <v>8</v>
      </c>
      <c r="H67">
        <v>1</v>
      </c>
      <c r="I67">
        <v>0</v>
      </c>
      <c r="J67">
        <v>0.5</v>
      </c>
    </row>
    <row r="68" spans="1:10" x14ac:dyDescent="0.3">
      <c r="A68">
        <v>66</v>
      </c>
      <c r="B68">
        <v>1048</v>
      </c>
      <c r="C68" t="b">
        <v>1</v>
      </c>
      <c r="D68">
        <v>8048</v>
      </c>
      <c r="E68">
        <v>8117</v>
      </c>
      <c r="F68">
        <v>8</v>
      </c>
      <c r="G68">
        <v>7.6</v>
      </c>
      <c r="H68">
        <v>1.0526316</v>
      </c>
      <c r="I68">
        <v>-5.2631589999999999E-2</v>
      </c>
      <c r="J68">
        <v>0.48717946000000001</v>
      </c>
    </row>
    <row r="69" spans="1:10" x14ac:dyDescent="0.3">
      <c r="A69">
        <v>67</v>
      </c>
      <c r="B69">
        <v>1064</v>
      </c>
      <c r="C69" t="b">
        <v>1</v>
      </c>
      <c r="D69">
        <v>8048</v>
      </c>
      <c r="E69">
        <v>8123</v>
      </c>
      <c r="F69">
        <v>8</v>
      </c>
      <c r="G69">
        <v>7.2</v>
      </c>
      <c r="H69">
        <v>1.1111112000000001</v>
      </c>
      <c r="I69">
        <v>-0.11111114</v>
      </c>
      <c r="J69">
        <v>0.4736842</v>
      </c>
    </row>
    <row r="70" spans="1:10" x14ac:dyDescent="0.3">
      <c r="A70">
        <v>68</v>
      </c>
      <c r="B70">
        <v>1080</v>
      </c>
      <c r="C70" t="b">
        <v>1</v>
      </c>
      <c r="D70">
        <v>8048</v>
      </c>
      <c r="E70">
        <v>8117</v>
      </c>
      <c r="F70">
        <v>8</v>
      </c>
      <c r="G70">
        <v>6.8</v>
      </c>
      <c r="H70">
        <v>1.1764705</v>
      </c>
      <c r="I70">
        <v>-0.17647055</v>
      </c>
      <c r="J70">
        <v>0.45945944999999999</v>
      </c>
    </row>
    <row r="71" spans="1:10" x14ac:dyDescent="0.3">
      <c r="A71">
        <v>69</v>
      </c>
      <c r="B71">
        <v>1096</v>
      </c>
      <c r="C71" t="b">
        <v>1</v>
      </c>
      <c r="D71">
        <v>8048</v>
      </c>
      <c r="E71">
        <v>8117</v>
      </c>
      <c r="F71">
        <v>8</v>
      </c>
      <c r="G71">
        <v>6.4</v>
      </c>
      <c r="H71">
        <v>1.25</v>
      </c>
      <c r="I71">
        <v>-0.24999999000000001</v>
      </c>
      <c r="J71">
        <v>0.44444447999999998</v>
      </c>
    </row>
    <row r="72" spans="1:10" x14ac:dyDescent="0.3">
      <c r="A72">
        <v>70</v>
      </c>
      <c r="B72">
        <v>1112</v>
      </c>
      <c r="C72" t="b">
        <v>1</v>
      </c>
      <c r="D72">
        <v>8048</v>
      </c>
      <c r="E72">
        <v>8117</v>
      </c>
      <c r="F72">
        <v>8</v>
      </c>
      <c r="G72">
        <v>6</v>
      </c>
      <c r="H72">
        <v>1.3333333999999999</v>
      </c>
      <c r="I72">
        <v>-0.33333333999999998</v>
      </c>
      <c r="J72">
        <v>0.42857142999999998</v>
      </c>
    </row>
    <row r="73" spans="1:10" x14ac:dyDescent="0.3">
      <c r="A73">
        <v>71</v>
      </c>
      <c r="B73">
        <v>1128</v>
      </c>
      <c r="C73" t="b">
        <v>1</v>
      </c>
      <c r="D73">
        <v>8042</v>
      </c>
      <c r="E73">
        <v>8117</v>
      </c>
      <c r="F73">
        <v>8</v>
      </c>
      <c r="G73">
        <v>5.6</v>
      </c>
      <c r="H73">
        <v>1.4285715000000001</v>
      </c>
      <c r="I73">
        <v>-0.42857146000000002</v>
      </c>
      <c r="J73">
        <v>0.41176467999999999</v>
      </c>
    </row>
    <row r="74" spans="1:10" x14ac:dyDescent="0.3">
      <c r="A74">
        <v>72</v>
      </c>
      <c r="B74">
        <v>1144</v>
      </c>
      <c r="C74" t="b">
        <v>1</v>
      </c>
      <c r="D74">
        <v>8048</v>
      </c>
      <c r="E74">
        <v>8129</v>
      </c>
      <c r="F74">
        <v>8</v>
      </c>
      <c r="G74">
        <v>5.2</v>
      </c>
      <c r="H74">
        <v>1.5384616</v>
      </c>
      <c r="I74">
        <v>-0.53846156999999994</v>
      </c>
      <c r="J74">
        <v>0.39393938000000001</v>
      </c>
    </row>
    <row r="75" spans="1:10" x14ac:dyDescent="0.3">
      <c r="A75">
        <v>73</v>
      </c>
      <c r="B75">
        <v>1160</v>
      </c>
      <c r="C75" t="b">
        <v>1</v>
      </c>
      <c r="D75">
        <v>8048</v>
      </c>
      <c r="E75">
        <v>8123</v>
      </c>
      <c r="F75">
        <v>8</v>
      </c>
      <c r="G75">
        <v>4.8</v>
      </c>
      <c r="H75">
        <v>1.6666666000000001</v>
      </c>
      <c r="I75">
        <v>-0.6666666</v>
      </c>
      <c r="J75">
        <v>0.375</v>
      </c>
    </row>
    <row r="76" spans="1:10" x14ac:dyDescent="0.3">
      <c r="A76">
        <v>74</v>
      </c>
      <c r="B76">
        <v>1176</v>
      </c>
      <c r="C76" t="b">
        <v>1</v>
      </c>
      <c r="D76">
        <v>8048</v>
      </c>
      <c r="E76">
        <v>8123</v>
      </c>
      <c r="F76">
        <v>8</v>
      </c>
      <c r="G76">
        <v>4.8</v>
      </c>
      <c r="H76">
        <v>1.6666666000000001</v>
      </c>
      <c r="I76">
        <v>-0.6666666</v>
      </c>
      <c r="J76">
        <v>0.375</v>
      </c>
    </row>
    <row r="77" spans="1:10" x14ac:dyDescent="0.3">
      <c r="A77">
        <v>75</v>
      </c>
      <c r="B77">
        <v>1191</v>
      </c>
      <c r="C77" t="b">
        <v>1</v>
      </c>
      <c r="D77">
        <v>8048</v>
      </c>
      <c r="E77">
        <v>8123</v>
      </c>
      <c r="F77">
        <v>8</v>
      </c>
      <c r="G77">
        <v>4.8</v>
      </c>
      <c r="H77">
        <v>1.6666666000000001</v>
      </c>
      <c r="I77">
        <v>-0.6666666</v>
      </c>
      <c r="J77">
        <v>0.375</v>
      </c>
    </row>
    <row r="78" spans="1:10" x14ac:dyDescent="0.3">
      <c r="A78">
        <v>76</v>
      </c>
      <c r="B78">
        <v>1207</v>
      </c>
      <c r="C78" t="b">
        <v>1</v>
      </c>
      <c r="D78">
        <v>8048</v>
      </c>
      <c r="E78">
        <v>8123</v>
      </c>
      <c r="F78">
        <v>8</v>
      </c>
      <c r="G78">
        <v>4.8</v>
      </c>
      <c r="H78">
        <v>1.6666666000000001</v>
      </c>
      <c r="I78">
        <v>-0.6666666</v>
      </c>
      <c r="J78">
        <v>0.375</v>
      </c>
    </row>
    <row r="79" spans="1:10" x14ac:dyDescent="0.3">
      <c r="A79">
        <v>77</v>
      </c>
      <c r="B79">
        <v>1224</v>
      </c>
      <c r="C79" t="b">
        <v>1</v>
      </c>
      <c r="D79">
        <v>8048</v>
      </c>
      <c r="E79">
        <v>8123</v>
      </c>
      <c r="F79">
        <v>8</v>
      </c>
      <c r="G79">
        <v>4.8</v>
      </c>
      <c r="H79">
        <v>1.6666666000000001</v>
      </c>
      <c r="I79">
        <v>-0.6666666</v>
      </c>
      <c r="J79">
        <v>0.375</v>
      </c>
    </row>
    <row r="80" spans="1:10" x14ac:dyDescent="0.3">
      <c r="A80">
        <v>78</v>
      </c>
      <c r="B80">
        <v>1239</v>
      </c>
      <c r="C80" t="b">
        <v>1</v>
      </c>
      <c r="D80">
        <v>8048</v>
      </c>
      <c r="E80">
        <v>8123</v>
      </c>
      <c r="F80">
        <v>8</v>
      </c>
      <c r="G80">
        <v>4.8</v>
      </c>
      <c r="H80">
        <v>1.6666666000000001</v>
      </c>
      <c r="I80">
        <v>-0.6666666</v>
      </c>
      <c r="J80">
        <v>0.375</v>
      </c>
    </row>
    <row r="81" spans="1:10" x14ac:dyDescent="0.3">
      <c r="A81">
        <v>79</v>
      </c>
      <c r="B81">
        <v>1255</v>
      </c>
      <c r="C81" t="b">
        <v>1</v>
      </c>
      <c r="D81">
        <v>8048</v>
      </c>
      <c r="E81">
        <v>8123</v>
      </c>
      <c r="F81">
        <v>8</v>
      </c>
      <c r="G81">
        <v>4.8</v>
      </c>
      <c r="H81">
        <v>1.6666666000000001</v>
      </c>
      <c r="I81">
        <v>-0.6666666</v>
      </c>
      <c r="J81">
        <v>0.375</v>
      </c>
    </row>
    <row r="82" spans="1:10" x14ac:dyDescent="0.3">
      <c r="A82">
        <v>80</v>
      </c>
      <c r="B82">
        <v>1271</v>
      </c>
      <c r="C82" t="b">
        <v>1</v>
      </c>
      <c r="D82">
        <v>8048</v>
      </c>
      <c r="E82">
        <v>8123</v>
      </c>
      <c r="F82">
        <v>8</v>
      </c>
      <c r="G82">
        <v>4.8</v>
      </c>
      <c r="H82">
        <v>1.6666666000000001</v>
      </c>
      <c r="I82">
        <v>-0.6666666</v>
      </c>
      <c r="J82">
        <v>0.375</v>
      </c>
    </row>
    <row r="83" spans="1:10" x14ac:dyDescent="0.3">
      <c r="A83">
        <v>81</v>
      </c>
      <c r="B83">
        <v>1286</v>
      </c>
      <c r="C83" t="b">
        <v>1</v>
      </c>
      <c r="D83">
        <v>8054</v>
      </c>
      <c r="E83">
        <v>8123</v>
      </c>
      <c r="F83">
        <v>8</v>
      </c>
      <c r="G83">
        <v>5.2</v>
      </c>
      <c r="H83">
        <v>1.5384616</v>
      </c>
      <c r="I83">
        <v>-0.53846156999999994</v>
      </c>
      <c r="J83">
        <v>0.39393938000000001</v>
      </c>
    </row>
    <row r="84" spans="1:10" x14ac:dyDescent="0.3">
      <c r="A84">
        <v>82</v>
      </c>
      <c r="B84">
        <v>1303</v>
      </c>
      <c r="C84" t="b">
        <v>1</v>
      </c>
      <c r="D84">
        <v>8042</v>
      </c>
      <c r="E84">
        <v>8123</v>
      </c>
      <c r="F84">
        <v>8</v>
      </c>
      <c r="G84">
        <v>5.6</v>
      </c>
      <c r="H84">
        <v>1.4285715000000001</v>
      </c>
      <c r="I84">
        <v>-0.42857146000000002</v>
      </c>
      <c r="J84">
        <v>0.41176467999999999</v>
      </c>
    </row>
    <row r="85" spans="1:10" x14ac:dyDescent="0.3">
      <c r="A85">
        <v>83</v>
      </c>
      <c r="B85">
        <v>1318</v>
      </c>
      <c r="C85" t="b">
        <v>1</v>
      </c>
      <c r="D85">
        <v>8042</v>
      </c>
      <c r="E85">
        <v>8134</v>
      </c>
      <c r="F85">
        <v>8</v>
      </c>
      <c r="G85">
        <v>6</v>
      </c>
      <c r="H85">
        <v>1.3333333999999999</v>
      </c>
      <c r="I85">
        <v>-0.33333333999999998</v>
      </c>
      <c r="J85">
        <v>0.42857142999999998</v>
      </c>
    </row>
    <row r="86" spans="1:10" x14ac:dyDescent="0.3">
      <c r="A86">
        <v>84</v>
      </c>
      <c r="B86">
        <v>1334</v>
      </c>
      <c r="C86" t="b">
        <v>1</v>
      </c>
      <c r="D86">
        <v>8048</v>
      </c>
      <c r="E86">
        <v>8123</v>
      </c>
      <c r="F86">
        <v>8</v>
      </c>
      <c r="G86">
        <v>6.4</v>
      </c>
      <c r="H86">
        <v>1.25</v>
      </c>
      <c r="I86">
        <v>-0.24999999000000001</v>
      </c>
      <c r="J86">
        <v>0.44444447999999998</v>
      </c>
    </row>
    <row r="87" spans="1:10" x14ac:dyDescent="0.3">
      <c r="A87">
        <v>85</v>
      </c>
      <c r="B87">
        <v>1350</v>
      </c>
      <c r="C87" t="b">
        <v>1</v>
      </c>
      <c r="D87">
        <v>8048</v>
      </c>
      <c r="E87">
        <v>8117</v>
      </c>
      <c r="F87">
        <v>8</v>
      </c>
      <c r="G87">
        <v>6.8</v>
      </c>
      <c r="H87">
        <v>1.1764705</v>
      </c>
      <c r="I87">
        <v>-0.17647055</v>
      </c>
      <c r="J87">
        <v>0.45945944999999999</v>
      </c>
    </row>
    <row r="88" spans="1:10" x14ac:dyDescent="0.3">
      <c r="A88">
        <v>86</v>
      </c>
      <c r="B88">
        <v>1366</v>
      </c>
      <c r="C88" t="b">
        <v>1</v>
      </c>
      <c r="D88">
        <v>8048</v>
      </c>
      <c r="E88">
        <v>8117</v>
      </c>
      <c r="F88">
        <v>8</v>
      </c>
      <c r="G88">
        <v>7.2</v>
      </c>
      <c r="H88">
        <v>1.1111112000000001</v>
      </c>
      <c r="I88">
        <v>-0.11111114</v>
      </c>
      <c r="J88">
        <v>0.4736842</v>
      </c>
    </row>
    <row r="89" spans="1:10" x14ac:dyDescent="0.3">
      <c r="A89">
        <v>87</v>
      </c>
      <c r="B89">
        <v>1382</v>
      </c>
      <c r="C89" t="b">
        <v>1</v>
      </c>
      <c r="D89">
        <v>8048</v>
      </c>
      <c r="E89">
        <v>8123</v>
      </c>
      <c r="F89">
        <v>8</v>
      </c>
      <c r="G89">
        <v>7.6</v>
      </c>
      <c r="H89">
        <v>1.0526316</v>
      </c>
      <c r="I89">
        <v>-5.2631589999999999E-2</v>
      </c>
      <c r="J89">
        <v>0.48717946000000001</v>
      </c>
    </row>
    <row r="90" spans="1:10" x14ac:dyDescent="0.3">
      <c r="A90">
        <v>88</v>
      </c>
      <c r="B90">
        <v>1398</v>
      </c>
      <c r="C90" t="b">
        <v>1</v>
      </c>
      <c r="D90">
        <v>8048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1414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1429</v>
      </c>
      <c r="C92" t="b">
        <v>1</v>
      </c>
      <c r="D92">
        <v>8048</v>
      </c>
      <c r="E92">
        <v>8123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1446</v>
      </c>
      <c r="C93" t="b">
        <v>1</v>
      </c>
      <c r="D93">
        <v>8048</v>
      </c>
      <c r="E93">
        <v>8123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1462</v>
      </c>
      <c r="C94" t="b">
        <v>1</v>
      </c>
      <c r="D94">
        <v>8048</v>
      </c>
      <c r="E94">
        <v>8123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1477</v>
      </c>
      <c r="C95" t="b">
        <v>1</v>
      </c>
      <c r="D95">
        <v>8042</v>
      </c>
      <c r="E95">
        <v>8123</v>
      </c>
      <c r="F95">
        <v>8</v>
      </c>
      <c r="G95">
        <v>8</v>
      </c>
      <c r="H95">
        <v>1</v>
      </c>
      <c r="I95">
        <v>0</v>
      </c>
      <c r="J95">
        <v>0.5</v>
      </c>
    </row>
    <row r="96" spans="1:10" x14ac:dyDescent="0.3">
      <c r="A96">
        <v>94</v>
      </c>
      <c r="B96">
        <v>1493</v>
      </c>
      <c r="C96" t="b">
        <v>1</v>
      </c>
      <c r="D96">
        <v>8042</v>
      </c>
      <c r="E96">
        <v>8123</v>
      </c>
      <c r="F96">
        <v>8</v>
      </c>
      <c r="G96">
        <v>8</v>
      </c>
      <c r="H96">
        <v>1</v>
      </c>
      <c r="I96">
        <v>0</v>
      </c>
      <c r="J96">
        <v>0.5</v>
      </c>
    </row>
    <row r="97" spans="1:10" x14ac:dyDescent="0.3">
      <c r="A97">
        <v>95</v>
      </c>
      <c r="B97">
        <v>1509</v>
      </c>
      <c r="C97" t="b">
        <v>1</v>
      </c>
      <c r="D97">
        <v>8054</v>
      </c>
      <c r="E97">
        <v>8117</v>
      </c>
      <c r="F97">
        <v>8</v>
      </c>
      <c r="G97">
        <v>8</v>
      </c>
      <c r="H97">
        <v>1</v>
      </c>
      <c r="I97">
        <v>0</v>
      </c>
      <c r="J97">
        <v>0.5</v>
      </c>
    </row>
    <row r="98" spans="1:10" x14ac:dyDescent="0.3">
      <c r="A98">
        <v>96</v>
      </c>
      <c r="B98">
        <v>1525</v>
      </c>
      <c r="C98" t="b">
        <v>1</v>
      </c>
      <c r="D98">
        <v>8048</v>
      </c>
      <c r="E98">
        <v>8117</v>
      </c>
      <c r="F98">
        <v>8</v>
      </c>
      <c r="G98">
        <v>8</v>
      </c>
      <c r="H98">
        <v>1</v>
      </c>
      <c r="I98">
        <v>0</v>
      </c>
      <c r="J98">
        <v>0.5</v>
      </c>
    </row>
    <row r="99" spans="1:10" x14ac:dyDescent="0.3">
      <c r="A99">
        <v>97</v>
      </c>
      <c r="B99">
        <v>1540</v>
      </c>
      <c r="C99" t="b">
        <v>1</v>
      </c>
      <c r="D99">
        <v>8048</v>
      </c>
      <c r="E99">
        <v>8117</v>
      </c>
      <c r="F99">
        <v>8</v>
      </c>
      <c r="G99">
        <v>7.6</v>
      </c>
      <c r="H99">
        <v>1.0526316</v>
      </c>
      <c r="I99">
        <v>-5.2631589999999999E-2</v>
      </c>
      <c r="J99">
        <v>0.48717946000000001</v>
      </c>
    </row>
    <row r="100" spans="1:10" x14ac:dyDescent="0.3">
      <c r="A100">
        <v>98</v>
      </c>
      <c r="B100">
        <v>1556</v>
      </c>
      <c r="C100" t="b">
        <v>1</v>
      </c>
      <c r="D100">
        <v>8048</v>
      </c>
      <c r="E100">
        <v>8117</v>
      </c>
      <c r="F100">
        <v>8</v>
      </c>
      <c r="G100">
        <v>7.2</v>
      </c>
      <c r="H100">
        <v>1.1111112000000001</v>
      </c>
      <c r="I100">
        <v>-0.11111114</v>
      </c>
      <c r="J100">
        <v>0.4736842</v>
      </c>
    </row>
    <row r="101" spans="1:10" x14ac:dyDescent="0.3">
      <c r="A101">
        <v>99</v>
      </c>
      <c r="B101">
        <v>1572</v>
      </c>
      <c r="C101" t="b">
        <v>1</v>
      </c>
      <c r="D101">
        <v>8048</v>
      </c>
      <c r="E101">
        <v>8123</v>
      </c>
      <c r="F101">
        <v>8</v>
      </c>
      <c r="G101">
        <v>6.8</v>
      </c>
      <c r="H101">
        <v>1.1764705</v>
      </c>
      <c r="I101">
        <v>-0.17647055</v>
      </c>
      <c r="J101">
        <v>0.45945944999999999</v>
      </c>
    </row>
    <row r="102" spans="1:10" x14ac:dyDescent="0.3">
      <c r="A102">
        <v>100</v>
      </c>
      <c r="B102">
        <v>1588</v>
      </c>
      <c r="C102" t="b">
        <v>1</v>
      </c>
      <c r="D102">
        <v>8048</v>
      </c>
      <c r="E102">
        <v>8117</v>
      </c>
      <c r="F102">
        <v>8</v>
      </c>
      <c r="G102">
        <v>6.4</v>
      </c>
      <c r="H102">
        <v>1.25</v>
      </c>
      <c r="I102">
        <v>-0.24999999000000001</v>
      </c>
      <c r="J102">
        <v>0.44444447999999998</v>
      </c>
    </row>
    <row r="103" spans="1:10" x14ac:dyDescent="0.3">
      <c r="A103">
        <v>101</v>
      </c>
      <c r="B103">
        <v>1604</v>
      </c>
      <c r="C103" t="b">
        <v>1</v>
      </c>
      <c r="D103">
        <v>8048</v>
      </c>
      <c r="E103">
        <v>8117</v>
      </c>
      <c r="F103">
        <v>8</v>
      </c>
      <c r="G103">
        <v>6</v>
      </c>
      <c r="H103">
        <v>1.3333333999999999</v>
      </c>
      <c r="I103">
        <v>-0.33333333999999998</v>
      </c>
      <c r="J103">
        <v>0.42857142999999998</v>
      </c>
    </row>
    <row r="104" spans="1:10" x14ac:dyDescent="0.3">
      <c r="A104">
        <v>102</v>
      </c>
      <c r="B104">
        <v>1620</v>
      </c>
      <c r="C104" t="b">
        <v>1</v>
      </c>
      <c r="D104">
        <v>8048</v>
      </c>
      <c r="E104">
        <v>8117</v>
      </c>
      <c r="F104">
        <v>8</v>
      </c>
      <c r="G104">
        <v>5.6</v>
      </c>
      <c r="H104">
        <v>1.4285715000000001</v>
      </c>
      <c r="I104">
        <v>-0.42857146000000002</v>
      </c>
      <c r="J104">
        <v>0.41176467999999999</v>
      </c>
    </row>
    <row r="105" spans="1:10" x14ac:dyDescent="0.3">
      <c r="A105">
        <v>103</v>
      </c>
      <c r="B105">
        <v>1636</v>
      </c>
      <c r="C105" t="b">
        <v>1</v>
      </c>
      <c r="D105">
        <v>8048</v>
      </c>
      <c r="E105">
        <v>8111</v>
      </c>
      <c r="F105">
        <v>8</v>
      </c>
      <c r="G105">
        <v>5.2</v>
      </c>
      <c r="H105">
        <v>1.5384616</v>
      </c>
      <c r="I105">
        <v>-0.53846156999999994</v>
      </c>
      <c r="J105">
        <v>0.39393938000000001</v>
      </c>
    </row>
    <row r="106" spans="1:10" x14ac:dyDescent="0.3">
      <c r="A106">
        <v>104</v>
      </c>
      <c r="B106">
        <v>1652</v>
      </c>
      <c r="C106" t="b">
        <v>1</v>
      </c>
      <c r="D106">
        <v>8048</v>
      </c>
      <c r="E106">
        <v>8117</v>
      </c>
      <c r="F106">
        <v>8</v>
      </c>
      <c r="G106">
        <v>4.8</v>
      </c>
      <c r="H106">
        <v>1.6666666000000001</v>
      </c>
      <c r="I106">
        <v>-0.6666666</v>
      </c>
      <c r="J106">
        <v>0.375</v>
      </c>
    </row>
    <row r="107" spans="1:10" x14ac:dyDescent="0.3">
      <c r="A107">
        <v>105</v>
      </c>
      <c r="B107">
        <v>1668</v>
      </c>
      <c r="C107" t="b">
        <v>1</v>
      </c>
      <c r="D107">
        <v>8042</v>
      </c>
      <c r="E107">
        <v>8117</v>
      </c>
      <c r="F107">
        <v>8</v>
      </c>
      <c r="G107">
        <v>4.4000000000000004</v>
      </c>
      <c r="H107">
        <v>1.8181818000000001</v>
      </c>
      <c r="I107">
        <v>-0.81818175000000004</v>
      </c>
      <c r="J107">
        <v>0.35483872999999999</v>
      </c>
    </row>
    <row r="108" spans="1:10" x14ac:dyDescent="0.3">
      <c r="A108">
        <v>106</v>
      </c>
      <c r="B108">
        <v>1684</v>
      </c>
      <c r="C108" t="b">
        <v>1</v>
      </c>
      <c r="D108">
        <v>8048</v>
      </c>
      <c r="E108">
        <v>8111</v>
      </c>
      <c r="F108">
        <v>8</v>
      </c>
      <c r="G108">
        <v>4</v>
      </c>
      <c r="H108">
        <v>2</v>
      </c>
      <c r="I108">
        <v>-1</v>
      </c>
      <c r="J108">
        <v>0.33333333999999998</v>
      </c>
    </row>
    <row r="109" spans="1:10" x14ac:dyDescent="0.3">
      <c r="A109">
        <v>107</v>
      </c>
      <c r="B109">
        <v>1700</v>
      </c>
      <c r="C109" t="b">
        <v>1</v>
      </c>
      <c r="D109">
        <v>8048</v>
      </c>
      <c r="E109">
        <v>8117</v>
      </c>
      <c r="F109">
        <v>8</v>
      </c>
      <c r="G109">
        <v>3.6</v>
      </c>
      <c r="H109">
        <v>2.2222222999999999</v>
      </c>
      <c r="I109">
        <v>-1.2222223000000001</v>
      </c>
      <c r="J109">
        <v>0.31034482000000002</v>
      </c>
    </row>
    <row r="110" spans="1:10" x14ac:dyDescent="0.3">
      <c r="A110">
        <v>108</v>
      </c>
      <c r="B110">
        <v>1715</v>
      </c>
      <c r="C110" t="b">
        <v>1</v>
      </c>
      <c r="D110">
        <v>8054</v>
      </c>
      <c r="E110">
        <v>8123</v>
      </c>
      <c r="F110">
        <v>8</v>
      </c>
      <c r="G110">
        <v>3.2</v>
      </c>
      <c r="H110">
        <v>2.5</v>
      </c>
      <c r="I110">
        <v>-1.5</v>
      </c>
      <c r="J110">
        <v>0.28571429999999998</v>
      </c>
    </row>
    <row r="111" spans="1:10" x14ac:dyDescent="0.3">
      <c r="A111">
        <v>109</v>
      </c>
      <c r="B111">
        <v>1731</v>
      </c>
      <c r="C111" t="b">
        <v>1</v>
      </c>
      <c r="D111">
        <v>8054</v>
      </c>
      <c r="E111">
        <v>8123</v>
      </c>
      <c r="F111">
        <v>8</v>
      </c>
      <c r="G111">
        <v>2.8</v>
      </c>
      <c r="H111">
        <v>2.8571430000000002</v>
      </c>
      <c r="I111">
        <v>-1.8571428000000001</v>
      </c>
      <c r="J111">
        <v>0.25925925</v>
      </c>
    </row>
    <row r="112" spans="1:10" x14ac:dyDescent="0.3">
      <c r="A112">
        <v>110</v>
      </c>
      <c r="B112">
        <v>1747</v>
      </c>
      <c r="C112" t="b">
        <v>1</v>
      </c>
      <c r="D112">
        <v>8060</v>
      </c>
      <c r="E112">
        <v>8123</v>
      </c>
      <c r="F112">
        <v>8.4</v>
      </c>
      <c r="G112">
        <v>2.8</v>
      </c>
      <c r="H112">
        <v>3</v>
      </c>
      <c r="I112">
        <v>-1.9999998999999999</v>
      </c>
      <c r="J112">
        <v>0.25</v>
      </c>
    </row>
    <row r="113" spans="1:10" x14ac:dyDescent="0.3">
      <c r="A113">
        <v>111</v>
      </c>
      <c r="B113">
        <v>1763</v>
      </c>
      <c r="C113" t="b">
        <v>1</v>
      </c>
      <c r="D113">
        <v>8054</v>
      </c>
      <c r="E113">
        <v>8123</v>
      </c>
      <c r="F113">
        <v>8.8000000000000007</v>
      </c>
      <c r="G113">
        <v>2.8</v>
      </c>
      <c r="H113">
        <v>3.1428573000000002</v>
      </c>
      <c r="I113">
        <v>-2.1428569999999998</v>
      </c>
      <c r="J113">
        <v>0.24137929999999999</v>
      </c>
    </row>
    <row r="114" spans="1:10" x14ac:dyDescent="0.3">
      <c r="A114">
        <v>112</v>
      </c>
      <c r="B114">
        <v>1779</v>
      </c>
      <c r="C114" t="b">
        <v>1</v>
      </c>
      <c r="D114">
        <v>8054</v>
      </c>
      <c r="E114">
        <v>8123</v>
      </c>
      <c r="F114">
        <v>9.1999999999999993</v>
      </c>
      <c r="G114">
        <v>3.2</v>
      </c>
      <c r="H114">
        <v>2.875</v>
      </c>
      <c r="I114">
        <v>-1.875</v>
      </c>
      <c r="J114">
        <v>0.25806454000000001</v>
      </c>
    </row>
    <row r="115" spans="1:10" x14ac:dyDescent="0.3">
      <c r="A115">
        <v>113</v>
      </c>
      <c r="B115">
        <v>1795</v>
      </c>
      <c r="C115" t="b">
        <v>1</v>
      </c>
      <c r="D115">
        <v>8060</v>
      </c>
      <c r="E115">
        <v>8123</v>
      </c>
      <c r="F115">
        <v>9.6</v>
      </c>
      <c r="G115">
        <v>3.6</v>
      </c>
      <c r="H115">
        <v>2.6666666999999999</v>
      </c>
      <c r="I115">
        <v>-1.6666669000000001</v>
      </c>
      <c r="J115">
        <v>0.27272724999999998</v>
      </c>
    </row>
    <row r="116" spans="1:10" x14ac:dyDescent="0.3">
      <c r="A116">
        <v>114</v>
      </c>
      <c r="B116">
        <v>1810</v>
      </c>
      <c r="C116" t="b">
        <v>1</v>
      </c>
      <c r="D116">
        <v>8048</v>
      </c>
      <c r="E116">
        <v>8123</v>
      </c>
      <c r="F116">
        <v>10</v>
      </c>
      <c r="G116">
        <v>4</v>
      </c>
      <c r="H116">
        <v>2.5</v>
      </c>
      <c r="I116">
        <v>-1.5</v>
      </c>
      <c r="J116">
        <v>0.28571429999999998</v>
      </c>
    </row>
    <row r="117" spans="1:10" x14ac:dyDescent="0.3">
      <c r="A117">
        <v>115</v>
      </c>
      <c r="B117">
        <v>1826</v>
      </c>
      <c r="C117" t="b">
        <v>1</v>
      </c>
      <c r="D117">
        <v>8048</v>
      </c>
      <c r="E117">
        <v>8123</v>
      </c>
      <c r="F117">
        <v>10.4</v>
      </c>
      <c r="G117">
        <v>4.4000000000000004</v>
      </c>
      <c r="H117">
        <v>2.3636363</v>
      </c>
      <c r="I117">
        <v>-1.3636363</v>
      </c>
      <c r="J117">
        <v>0.29729733000000003</v>
      </c>
    </row>
    <row r="118" spans="1:10" x14ac:dyDescent="0.3">
      <c r="A118">
        <v>116</v>
      </c>
      <c r="B118">
        <v>1842</v>
      </c>
      <c r="C118" t="b">
        <v>1</v>
      </c>
      <c r="D118">
        <v>8048</v>
      </c>
      <c r="E118">
        <v>8123</v>
      </c>
      <c r="F118">
        <v>10.4</v>
      </c>
      <c r="G118">
        <v>4.8</v>
      </c>
      <c r="H118">
        <v>2.1666664999999998</v>
      </c>
      <c r="I118">
        <v>-1.1666665000000001</v>
      </c>
      <c r="J118">
        <v>0.3157895</v>
      </c>
    </row>
    <row r="119" spans="1:10" x14ac:dyDescent="0.3">
      <c r="A119">
        <v>117</v>
      </c>
      <c r="B119">
        <v>1858</v>
      </c>
      <c r="C119" t="b">
        <v>1</v>
      </c>
      <c r="D119">
        <v>8048</v>
      </c>
      <c r="E119">
        <v>8123</v>
      </c>
      <c r="F119">
        <v>10.4</v>
      </c>
      <c r="G119">
        <v>5.2</v>
      </c>
      <c r="H119">
        <v>2</v>
      </c>
      <c r="I119">
        <v>-1</v>
      </c>
      <c r="J119">
        <v>0.33333333999999998</v>
      </c>
    </row>
    <row r="120" spans="1:10" x14ac:dyDescent="0.3">
      <c r="A120">
        <v>118</v>
      </c>
      <c r="B120">
        <v>1874</v>
      </c>
      <c r="C120" t="b">
        <v>1</v>
      </c>
      <c r="D120">
        <v>8048</v>
      </c>
      <c r="E120">
        <v>8123</v>
      </c>
      <c r="F120">
        <v>10.4</v>
      </c>
      <c r="G120">
        <v>5.6</v>
      </c>
      <c r="H120">
        <v>1.8571428000000001</v>
      </c>
      <c r="I120">
        <v>-0.85714279999999998</v>
      </c>
      <c r="J120">
        <v>0.35</v>
      </c>
    </row>
    <row r="121" spans="1:10" x14ac:dyDescent="0.3">
      <c r="A121">
        <v>119</v>
      </c>
      <c r="B121">
        <v>1889</v>
      </c>
      <c r="C121" t="b">
        <v>1</v>
      </c>
      <c r="D121">
        <v>8048</v>
      </c>
      <c r="E121">
        <v>8123</v>
      </c>
      <c r="F121">
        <v>10.4</v>
      </c>
      <c r="G121">
        <v>6</v>
      </c>
      <c r="H121">
        <v>1.7333331999999999</v>
      </c>
      <c r="I121">
        <v>-0.73333329999999997</v>
      </c>
      <c r="J121">
        <v>0.36585367000000002</v>
      </c>
    </row>
    <row r="122" spans="1:10" x14ac:dyDescent="0.3">
      <c r="A122">
        <v>120</v>
      </c>
      <c r="B122">
        <v>1905</v>
      </c>
      <c r="C122" t="b">
        <v>1</v>
      </c>
      <c r="D122">
        <v>8048</v>
      </c>
      <c r="E122">
        <v>8123</v>
      </c>
      <c r="F122">
        <v>10.4</v>
      </c>
      <c r="G122">
        <v>6.4</v>
      </c>
      <c r="H122">
        <v>1.6249998999999999</v>
      </c>
      <c r="I122">
        <v>-0.62499994000000003</v>
      </c>
      <c r="J122">
        <v>0.38095242000000001</v>
      </c>
    </row>
    <row r="123" spans="1:10" x14ac:dyDescent="0.3">
      <c r="A123">
        <v>121</v>
      </c>
      <c r="B123">
        <v>1922</v>
      </c>
      <c r="C123" t="b">
        <v>1</v>
      </c>
      <c r="D123">
        <v>8054</v>
      </c>
      <c r="E123">
        <v>8129</v>
      </c>
      <c r="F123">
        <v>10.4</v>
      </c>
      <c r="G123">
        <v>6.8</v>
      </c>
      <c r="H123">
        <v>1.5294117</v>
      </c>
      <c r="I123">
        <v>-0.52941170000000004</v>
      </c>
      <c r="J123">
        <v>0.39534881999999999</v>
      </c>
    </row>
    <row r="124" spans="1:10" x14ac:dyDescent="0.3">
      <c r="A124">
        <v>122</v>
      </c>
      <c r="B124">
        <v>1938</v>
      </c>
      <c r="C124" t="b">
        <v>1</v>
      </c>
      <c r="D124">
        <v>8048</v>
      </c>
      <c r="E124">
        <v>8123</v>
      </c>
      <c r="F124">
        <v>10.4</v>
      </c>
      <c r="G124">
        <v>7.2</v>
      </c>
      <c r="H124">
        <v>1.4444444000000001</v>
      </c>
      <c r="I124">
        <v>-0.44444442000000001</v>
      </c>
      <c r="J124">
        <v>0.40909094000000001</v>
      </c>
    </row>
    <row r="125" spans="1:10" x14ac:dyDescent="0.3">
      <c r="A125">
        <v>123</v>
      </c>
      <c r="B125">
        <v>1953</v>
      </c>
      <c r="C125" t="b">
        <v>1</v>
      </c>
      <c r="D125">
        <v>8054</v>
      </c>
      <c r="E125">
        <v>8123</v>
      </c>
      <c r="F125">
        <v>10.4</v>
      </c>
      <c r="G125">
        <v>7.6</v>
      </c>
      <c r="H125">
        <v>1.3684210999999999</v>
      </c>
      <c r="I125">
        <v>-0.36842101999999999</v>
      </c>
      <c r="J125">
        <v>0.42222222999999998</v>
      </c>
    </row>
    <row r="126" spans="1:10" x14ac:dyDescent="0.3">
      <c r="A126">
        <v>124</v>
      </c>
      <c r="B126">
        <v>1969</v>
      </c>
      <c r="C126" t="b">
        <v>1</v>
      </c>
      <c r="D126">
        <v>8048</v>
      </c>
      <c r="E126">
        <v>8123</v>
      </c>
      <c r="F126">
        <v>10.4</v>
      </c>
      <c r="G126">
        <v>8</v>
      </c>
      <c r="H126">
        <v>1.3</v>
      </c>
      <c r="I126">
        <v>-0.29999995000000002</v>
      </c>
      <c r="J126">
        <v>0.43478262000000001</v>
      </c>
    </row>
    <row r="127" spans="1:10" x14ac:dyDescent="0.3">
      <c r="A127">
        <v>125</v>
      </c>
      <c r="B127">
        <v>1985</v>
      </c>
      <c r="C127" t="b">
        <v>1</v>
      </c>
      <c r="D127">
        <v>8054</v>
      </c>
      <c r="E127">
        <v>8123</v>
      </c>
      <c r="F127">
        <v>10.4</v>
      </c>
      <c r="G127">
        <v>8</v>
      </c>
      <c r="H127">
        <v>1.3</v>
      </c>
      <c r="I127">
        <v>-0.29999995000000002</v>
      </c>
      <c r="J127">
        <v>0.43478262000000001</v>
      </c>
    </row>
    <row r="128" spans="1:10" x14ac:dyDescent="0.3">
      <c r="A128">
        <v>126</v>
      </c>
      <c r="B128">
        <v>2001</v>
      </c>
      <c r="C128" t="b">
        <v>1</v>
      </c>
      <c r="D128">
        <v>8048</v>
      </c>
      <c r="E128">
        <v>8123</v>
      </c>
      <c r="F128">
        <v>10</v>
      </c>
      <c r="G128">
        <v>8</v>
      </c>
      <c r="H128">
        <v>1.25</v>
      </c>
      <c r="I128">
        <v>-0.25</v>
      </c>
      <c r="J128">
        <v>0.44444444999999999</v>
      </c>
    </row>
    <row r="129" spans="1:10" x14ac:dyDescent="0.3">
      <c r="A129">
        <v>127</v>
      </c>
      <c r="B129">
        <v>2016</v>
      </c>
      <c r="C129" t="b">
        <v>1</v>
      </c>
      <c r="D129">
        <v>8048</v>
      </c>
      <c r="E129">
        <v>8123</v>
      </c>
      <c r="F129">
        <v>9.6</v>
      </c>
      <c r="G129">
        <v>8</v>
      </c>
      <c r="H129">
        <v>1.2</v>
      </c>
      <c r="I129">
        <v>-0.20000005000000001</v>
      </c>
      <c r="J129">
        <v>0.45454544000000002</v>
      </c>
    </row>
    <row r="130" spans="1:10" x14ac:dyDescent="0.3">
      <c r="A130">
        <v>128</v>
      </c>
      <c r="B130">
        <v>2032</v>
      </c>
      <c r="C130" t="b">
        <v>1</v>
      </c>
      <c r="D130">
        <v>8042</v>
      </c>
      <c r="E130">
        <v>8123</v>
      </c>
      <c r="F130">
        <v>9.1999999999999993</v>
      </c>
      <c r="G130">
        <v>8</v>
      </c>
      <c r="H130">
        <v>1.1499999999999999</v>
      </c>
      <c r="I130">
        <v>-0.14999998</v>
      </c>
      <c r="J130">
        <v>0.46511626</v>
      </c>
    </row>
    <row r="131" spans="1:10" x14ac:dyDescent="0.3">
      <c r="A131">
        <v>129</v>
      </c>
      <c r="B131">
        <v>2048</v>
      </c>
      <c r="C131" t="b">
        <v>1</v>
      </c>
      <c r="D131">
        <v>8048</v>
      </c>
      <c r="E131">
        <v>8117</v>
      </c>
      <c r="F131">
        <v>8.8000000000000007</v>
      </c>
      <c r="G131">
        <v>8</v>
      </c>
      <c r="H131">
        <v>1.1000000000000001</v>
      </c>
      <c r="I131">
        <v>-0.10000002400000001</v>
      </c>
      <c r="J131">
        <v>0.47619050000000002</v>
      </c>
    </row>
    <row r="132" spans="1:10" x14ac:dyDescent="0.3">
      <c r="A132">
        <v>130</v>
      </c>
      <c r="B132">
        <v>2064</v>
      </c>
      <c r="C132" t="b">
        <v>1</v>
      </c>
      <c r="D132">
        <v>8048</v>
      </c>
      <c r="E132">
        <v>8123</v>
      </c>
      <c r="F132">
        <v>8.4</v>
      </c>
      <c r="G132">
        <v>8</v>
      </c>
      <c r="H132">
        <v>1.05</v>
      </c>
      <c r="I132">
        <v>-4.9999952E-2</v>
      </c>
      <c r="J132">
        <v>0.48780489999999999</v>
      </c>
    </row>
    <row r="133" spans="1:10" x14ac:dyDescent="0.3">
      <c r="A133">
        <v>131</v>
      </c>
      <c r="B133">
        <v>2080</v>
      </c>
      <c r="C133" t="b">
        <v>1</v>
      </c>
      <c r="D133">
        <v>8048</v>
      </c>
      <c r="E133">
        <v>8123</v>
      </c>
      <c r="F133">
        <v>8.4</v>
      </c>
      <c r="G133">
        <v>8</v>
      </c>
      <c r="H133">
        <v>1.05</v>
      </c>
      <c r="I133">
        <v>-4.9999952E-2</v>
      </c>
      <c r="J133">
        <v>0.48780489999999999</v>
      </c>
    </row>
    <row r="134" spans="1:10" x14ac:dyDescent="0.3">
      <c r="A134">
        <v>132</v>
      </c>
      <c r="B134">
        <v>2096</v>
      </c>
      <c r="C134" t="b">
        <v>1</v>
      </c>
      <c r="D134">
        <v>8048</v>
      </c>
      <c r="E134">
        <v>8117</v>
      </c>
      <c r="F134">
        <v>8.4</v>
      </c>
      <c r="G134">
        <v>8</v>
      </c>
      <c r="H134">
        <v>1.05</v>
      </c>
      <c r="I134">
        <v>-4.9999952E-2</v>
      </c>
      <c r="J134">
        <v>0.48780489999999999</v>
      </c>
    </row>
    <row r="135" spans="1:10" x14ac:dyDescent="0.3">
      <c r="A135">
        <v>133</v>
      </c>
      <c r="B135">
        <v>2112</v>
      </c>
      <c r="C135" t="b">
        <v>1</v>
      </c>
      <c r="D135">
        <v>8054</v>
      </c>
      <c r="E135">
        <v>8134</v>
      </c>
      <c r="F135">
        <v>8.4</v>
      </c>
      <c r="G135">
        <v>8</v>
      </c>
      <c r="H135">
        <v>1.05</v>
      </c>
      <c r="I135">
        <v>-4.9999952E-2</v>
      </c>
      <c r="J135">
        <v>0.48780489999999999</v>
      </c>
    </row>
    <row r="136" spans="1:10" x14ac:dyDescent="0.3">
      <c r="A136">
        <v>134</v>
      </c>
      <c r="B136">
        <v>2128</v>
      </c>
      <c r="C136" t="b">
        <v>1</v>
      </c>
      <c r="D136">
        <v>8048</v>
      </c>
      <c r="E136">
        <v>8129</v>
      </c>
      <c r="F136">
        <v>8.4</v>
      </c>
      <c r="G136">
        <v>8</v>
      </c>
      <c r="H136">
        <v>1.05</v>
      </c>
      <c r="I136">
        <v>-4.9999952E-2</v>
      </c>
      <c r="J136">
        <v>0.48780489999999999</v>
      </c>
    </row>
    <row r="137" spans="1:10" x14ac:dyDescent="0.3">
      <c r="A137">
        <v>135</v>
      </c>
      <c r="B137">
        <v>2144</v>
      </c>
      <c r="C137" t="b">
        <v>1</v>
      </c>
      <c r="D137">
        <v>8048</v>
      </c>
      <c r="E137">
        <v>8129</v>
      </c>
      <c r="F137">
        <v>8.4</v>
      </c>
      <c r="G137">
        <v>8.4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2160</v>
      </c>
      <c r="C138" t="b">
        <v>1</v>
      </c>
      <c r="D138">
        <v>8048</v>
      </c>
      <c r="E138">
        <v>8129</v>
      </c>
      <c r="F138">
        <v>8.4</v>
      </c>
      <c r="G138">
        <v>8.8000000000000007</v>
      </c>
      <c r="H138">
        <v>0.95454539999999999</v>
      </c>
      <c r="I138">
        <v>4.5454609999999999E-2</v>
      </c>
      <c r="J138">
        <v>0.51162790000000002</v>
      </c>
    </row>
    <row r="139" spans="1:10" x14ac:dyDescent="0.3">
      <c r="A139">
        <v>137</v>
      </c>
      <c r="B139">
        <v>2175</v>
      </c>
      <c r="C139" t="b">
        <v>1</v>
      </c>
      <c r="D139">
        <v>8048</v>
      </c>
      <c r="E139">
        <v>8129</v>
      </c>
      <c r="F139">
        <v>8.4</v>
      </c>
      <c r="G139">
        <v>9.1999999999999993</v>
      </c>
      <c r="H139">
        <v>0.91304344000000004</v>
      </c>
      <c r="I139">
        <v>8.6956545999999996E-2</v>
      </c>
      <c r="J139">
        <v>0.52272730000000001</v>
      </c>
    </row>
    <row r="140" spans="1:10" x14ac:dyDescent="0.3">
      <c r="A140">
        <v>138</v>
      </c>
      <c r="B140">
        <v>2192</v>
      </c>
      <c r="C140" t="b">
        <v>1</v>
      </c>
      <c r="D140">
        <v>8048</v>
      </c>
      <c r="E140">
        <v>8134</v>
      </c>
      <c r="F140">
        <v>8.4</v>
      </c>
      <c r="G140">
        <v>9.6</v>
      </c>
      <c r="H140">
        <v>0.87499994000000003</v>
      </c>
      <c r="I140">
        <v>0.12500006999999999</v>
      </c>
      <c r="J140">
        <v>0.53333335999999998</v>
      </c>
    </row>
    <row r="141" spans="1:10" x14ac:dyDescent="0.3">
      <c r="A141">
        <v>139</v>
      </c>
      <c r="B141">
        <v>2207</v>
      </c>
      <c r="C141" t="b">
        <v>1</v>
      </c>
      <c r="D141">
        <v>8048</v>
      </c>
      <c r="E141">
        <v>8123</v>
      </c>
      <c r="F141">
        <v>8.4</v>
      </c>
      <c r="G141">
        <v>10</v>
      </c>
      <c r="H141">
        <v>0.84</v>
      </c>
      <c r="I141">
        <v>0.16000004000000001</v>
      </c>
      <c r="J141">
        <v>0.54347825000000005</v>
      </c>
    </row>
    <row r="142" spans="1:10" x14ac:dyDescent="0.3">
      <c r="A142">
        <v>140</v>
      </c>
      <c r="B142">
        <v>2223</v>
      </c>
      <c r="C142" t="b">
        <v>1</v>
      </c>
      <c r="D142">
        <v>8054</v>
      </c>
      <c r="E142">
        <v>8123</v>
      </c>
      <c r="F142">
        <v>8</v>
      </c>
      <c r="G142">
        <v>10.4</v>
      </c>
      <c r="H142">
        <v>0.76923079999999999</v>
      </c>
      <c r="I142">
        <v>0.23076920000000001</v>
      </c>
      <c r="J142">
        <v>0.56521739999999998</v>
      </c>
    </row>
    <row r="143" spans="1:10" x14ac:dyDescent="0.3">
      <c r="A143">
        <v>141</v>
      </c>
      <c r="B143">
        <v>2239</v>
      </c>
      <c r="C143" t="b">
        <v>1</v>
      </c>
      <c r="D143">
        <v>8048</v>
      </c>
      <c r="E143">
        <v>8117</v>
      </c>
      <c r="F143">
        <v>8</v>
      </c>
      <c r="G143">
        <v>10.4</v>
      </c>
      <c r="H143">
        <v>0.76923079999999999</v>
      </c>
      <c r="I143">
        <v>0.23076920000000001</v>
      </c>
      <c r="J143">
        <v>0.56521739999999998</v>
      </c>
    </row>
    <row r="144" spans="1:10" x14ac:dyDescent="0.3">
      <c r="A144">
        <v>142</v>
      </c>
      <c r="B144">
        <v>2255</v>
      </c>
      <c r="C144" t="b">
        <v>1</v>
      </c>
      <c r="D144">
        <v>8048</v>
      </c>
      <c r="E144">
        <v>8123</v>
      </c>
      <c r="F144">
        <v>8</v>
      </c>
      <c r="G144">
        <v>10.4</v>
      </c>
      <c r="H144">
        <v>0.76923079999999999</v>
      </c>
      <c r="I144">
        <v>0.23076920000000001</v>
      </c>
      <c r="J144">
        <v>0.56521739999999998</v>
      </c>
    </row>
    <row r="145" spans="1:10" x14ac:dyDescent="0.3">
      <c r="A145">
        <v>143</v>
      </c>
      <c r="B145">
        <v>2270</v>
      </c>
      <c r="C145" t="b">
        <v>1</v>
      </c>
      <c r="D145">
        <v>8048</v>
      </c>
      <c r="E145">
        <v>8123</v>
      </c>
      <c r="F145">
        <v>8</v>
      </c>
      <c r="G145">
        <v>10.4</v>
      </c>
      <c r="H145">
        <v>0.76923079999999999</v>
      </c>
      <c r="I145">
        <v>0.23076920000000001</v>
      </c>
      <c r="J145">
        <v>0.56521739999999998</v>
      </c>
    </row>
    <row r="146" spans="1:10" x14ac:dyDescent="0.3">
      <c r="A146">
        <v>144</v>
      </c>
      <c r="B146">
        <v>2286</v>
      </c>
      <c r="C146" t="b">
        <v>1</v>
      </c>
      <c r="D146">
        <v>8048</v>
      </c>
      <c r="E146">
        <v>8123</v>
      </c>
      <c r="F146">
        <v>8</v>
      </c>
      <c r="G146">
        <v>10.4</v>
      </c>
      <c r="H146">
        <v>0.76923079999999999</v>
      </c>
      <c r="I146">
        <v>0.23076920000000001</v>
      </c>
      <c r="J146">
        <v>0.56521739999999998</v>
      </c>
    </row>
    <row r="147" spans="1:10" x14ac:dyDescent="0.3">
      <c r="A147">
        <v>145</v>
      </c>
      <c r="B147">
        <v>2302</v>
      </c>
      <c r="C147" t="b">
        <v>1</v>
      </c>
      <c r="D147">
        <v>8048</v>
      </c>
      <c r="E147">
        <v>8123</v>
      </c>
      <c r="F147">
        <v>8</v>
      </c>
      <c r="G147">
        <v>10.4</v>
      </c>
      <c r="H147">
        <v>0.76923079999999999</v>
      </c>
      <c r="I147">
        <v>0.23076920000000001</v>
      </c>
      <c r="J147">
        <v>0.56521739999999998</v>
      </c>
    </row>
    <row r="148" spans="1:10" x14ac:dyDescent="0.3">
      <c r="A148">
        <v>146</v>
      </c>
      <c r="B148">
        <v>2318</v>
      </c>
      <c r="C148" t="b">
        <v>1</v>
      </c>
      <c r="D148">
        <v>8048</v>
      </c>
      <c r="E148">
        <v>8129</v>
      </c>
      <c r="F148">
        <v>8</v>
      </c>
      <c r="G148">
        <v>10.4</v>
      </c>
      <c r="H148">
        <v>0.76923079999999999</v>
      </c>
      <c r="I148">
        <v>0.23076920000000001</v>
      </c>
      <c r="J148">
        <v>0.56521739999999998</v>
      </c>
    </row>
    <row r="149" spans="1:10" x14ac:dyDescent="0.3">
      <c r="A149">
        <v>147</v>
      </c>
      <c r="B149">
        <v>2334</v>
      </c>
      <c r="C149" t="b">
        <v>1</v>
      </c>
      <c r="D149">
        <v>8048</v>
      </c>
      <c r="E149">
        <v>8123</v>
      </c>
      <c r="F149">
        <v>8</v>
      </c>
      <c r="G149">
        <v>10.4</v>
      </c>
      <c r="H149">
        <v>0.76923079999999999</v>
      </c>
      <c r="I149">
        <v>0.23076920000000001</v>
      </c>
      <c r="J149">
        <v>0.56521739999999998</v>
      </c>
    </row>
    <row r="150" spans="1:10" x14ac:dyDescent="0.3">
      <c r="A150">
        <v>148</v>
      </c>
      <c r="B150">
        <v>2350</v>
      </c>
      <c r="C150" t="b">
        <v>1</v>
      </c>
      <c r="D150">
        <v>8048</v>
      </c>
      <c r="E150">
        <v>8123</v>
      </c>
      <c r="F150">
        <v>8</v>
      </c>
      <c r="G150">
        <v>10.4</v>
      </c>
      <c r="H150">
        <v>0.76923079999999999</v>
      </c>
      <c r="I150">
        <v>0.23076920000000001</v>
      </c>
      <c r="J150">
        <v>0.56521739999999998</v>
      </c>
    </row>
    <row r="151" spans="1:10" x14ac:dyDescent="0.3">
      <c r="A151">
        <v>149</v>
      </c>
      <c r="B151">
        <v>2366</v>
      </c>
      <c r="C151" t="b">
        <v>1</v>
      </c>
      <c r="D151">
        <v>8042</v>
      </c>
      <c r="E151">
        <v>8123</v>
      </c>
      <c r="F151">
        <v>8</v>
      </c>
      <c r="G151">
        <v>10.4</v>
      </c>
      <c r="H151">
        <v>0.76923079999999999</v>
      </c>
      <c r="I151">
        <v>0.23076920000000001</v>
      </c>
      <c r="J151">
        <v>0.56521739999999998</v>
      </c>
    </row>
    <row r="152" spans="1:10" x14ac:dyDescent="0.3">
      <c r="A152">
        <v>150</v>
      </c>
      <c r="B152">
        <v>2382</v>
      </c>
      <c r="C152" t="b">
        <v>1</v>
      </c>
      <c r="D152">
        <v>8042</v>
      </c>
      <c r="E152">
        <v>8123</v>
      </c>
      <c r="F152">
        <v>8</v>
      </c>
      <c r="G152">
        <v>10</v>
      </c>
      <c r="H152">
        <v>0.8</v>
      </c>
      <c r="I152">
        <v>0.2</v>
      </c>
      <c r="J152">
        <v>0.55555560000000004</v>
      </c>
    </row>
    <row r="153" spans="1:10" x14ac:dyDescent="0.3">
      <c r="A153">
        <v>151</v>
      </c>
      <c r="B153">
        <v>2398</v>
      </c>
      <c r="C153" t="b">
        <v>1</v>
      </c>
      <c r="D153">
        <v>8048</v>
      </c>
      <c r="E153">
        <v>8123</v>
      </c>
      <c r="F153">
        <v>8</v>
      </c>
      <c r="G153">
        <v>9.6</v>
      </c>
      <c r="H153">
        <v>0.83333330000000005</v>
      </c>
      <c r="I153">
        <v>0.1666667</v>
      </c>
      <c r="J153">
        <v>0.54545456000000003</v>
      </c>
    </row>
    <row r="154" spans="1:10" x14ac:dyDescent="0.3">
      <c r="A154">
        <v>152</v>
      </c>
      <c r="B154">
        <v>2414</v>
      </c>
      <c r="C154" t="b">
        <v>1</v>
      </c>
      <c r="D154">
        <v>8048</v>
      </c>
      <c r="E154">
        <v>8123</v>
      </c>
      <c r="F154">
        <v>8</v>
      </c>
      <c r="G154">
        <v>9.1999999999999993</v>
      </c>
      <c r="H154">
        <v>0.86956524999999996</v>
      </c>
      <c r="I154">
        <v>0.13043477000000001</v>
      </c>
      <c r="J154">
        <v>0.53488369999999996</v>
      </c>
    </row>
    <row r="155" spans="1:10" x14ac:dyDescent="0.3">
      <c r="A155">
        <v>153</v>
      </c>
      <c r="B155">
        <v>2430</v>
      </c>
      <c r="C155" t="b">
        <v>1</v>
      </c>
      <c r="D155">
        <v>8048</v>
      </c>
      <c r="E155">
        <v>8117</v>
      </c>
      <c r="F155">
        <v>8</v>
      </c>
      <c r="G155">
        <v>8.8000000000000007</v>
      </c>
      <c r="H155">
        <v>0.90909090000000004</v>
      </c>
      <c r="I155">
        <v>9.0909110000000001E-2</v>
      </c>
      <c r="J155">
        <v>0.52380954999999996</v>
      </c>
    </row>
    <row r="156" spans="1:10" x14ac:dyDescent="0.3">
      <c r="A156">
        <v>154</v>
      </c>
      <c r="B156">
        <v>2446</v>
      </c>
      <c r="C156" t="b">
        <v>1</v>
      </c>
      <c r="D156">
        <v>8048</v>
      </c>
      <c r="E156">
        <v>8117</v>
      </c>
      <c r="F156">
        <v>8</v>
      </c>
      <c r="G156">
        <v>8.4</v>
      </c>
      <c r="H156">
        <v>0.95238100000000003</v>
      </c>
      <c r="I156">
        <v>4.7619003999999999E-2</v>
      </c>
      <c r="J156">
        <v>0.51219510000000001</v>
      </c>
    </row>
    <row r="157" spans="1:10" x14ac:dyDescent="0.3">
      <c r="A157">
        <v>155</v>
      </c>
      <c r="B157">
        <v>2462</v>
      </c>
      <c r="C157" t="b">
        <v>1</v>
      </c>
      <c r="D157">
        <v>8048</v>
      </c>
      <c r="E157">
        <v>8123</v>
      </c>
      <c r="F157">
        <v>8</v>
      </c>
      <c r="G157">
        <v>8</v>
      </c>
      <c r="H157">
        <v>1</v>
      </c>
      <c r="I157">
        <v>0</v>
      </c>
      <c r="J157">
        <v>0.5</v>
      </c>
    </row>
    <row r="158" spans="1:10" x14ac:dyDescent="0.3">
      <c r="A158">
        <v>156</v>
      </c>
      <c r="B158">
        <v>2478</v>
      </c>
      <c r="C158" t="b">
        <v>1</v>
      </c>
      <c r="D158">
        <v>8048</v>
      </c>
      <c r="E158">
        <v>8123</v>
      </c>
      <c r="F158">
        <v>8</v>
      </c>
      <c r="G158">
        <v>8</v>
      </c>
      <c r="H158">
        <v>1</v>
      </c>
      <c r="I158">
        <v>0</v>
      </c>
      <c r="J158">
        <v>0.5</v>
      </c>
    </row>
    <row r="159" spans="1:10" x14ac:dyDescent="0.3">
      <c r="A159">
        <v>157</v>
      </c>
      <c r="B159">
        <v>2493</v>
      </c>
      <c r="C159" t="b">
        <v>1</v>
      </c>
      <c r="D159">
        <v>8048</v>
      </c>
      <c r="E159">
        <v>8123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2509</v>
      </c>
      <c r="C160" t="b">
        <v>1</v>
      </c>
      <c r="D160">
        <v>8054</v>
      </c>
      <c r="E160">
        <v>8123</v>
      </c>
      <c r="F160">
        <v>8</v>
      </c>
      <c r="G160">
        <v>8</v>
      </c>
      <c r="H160">
        <v>1</v>
      </c>
      <c r="I160">
        <v>0</v>
      </c>
      <c r="J160">
        <v>0.5</v>
      </c>
    </row>
    <row r="161" spans="1:10" x14ac:dyDescent="0.3">
      <c r="A161">
        <v>159</v>
      </c>
      <c r="B161">
        <v>2524</v>
      </c>
      <c r="C161" t="b">
        <v>1</v>
      </c>
      <c r="D161">
        <v>8048</v>
      </c>
      <c r="E161">
        <v>8123</v>
      </c>
      <c r="F161">
        <v>8</v>
      </c>
      <c r="G161">
        <v>8</v>
      </c>
      <c r="H161">
        <v>1</v>
      </c>
      <c r="I161">
        <v>0</v>
      </c>
      <c r="J161">
        <v>0.5</v>
      </c>
    </row>
    <row r="162" spans="1:10" x14ac:dyDescent="0.3">
      <c r="A162">
        <v>160</v>
      </c>
      <c r="B162">
        <v>2540</v>
      </c>
      <c r="C162" t="b">
        <v>1</v>
      </c>
      <c r="D162">
        <v>8048</v>
      </c>
      <c r="E162">
        <v>8129</v>
      </c>
      <c r="F162">
        <v>8</v>
      </c>
      <c r="G162">
        <v>8</v>
      </c>
      <c r="H162">
        <v>1</v>
      </c>
      <c r="I162">
        <v>0</v>
      </c>
      <c r="J162">
        <v>0.5</v>
      </c>
    </row>
    <row r="163" spans="1:10" x14ac:dyDescent="0.3">
      <c r="A163">
        <v>161</v>
      </c>
      <c r="B163">
        <v>2556</v>
      </c>
      <c r="C163" t="b">
        <v>1</v>
      </c>
      <c r="D163">
        <v>8048</v>
      </c>
      <c r="E163">
        <v>8117</v>
      </c>
      <c r="F163">
        <v>8</v>
      </c>
      <c r="G163">
        <v>8</v>
      </c>
      <c r="H163">
        <v>1</v>
      </c>
      <c r="I163">
        <v>0</v>
      </c>
      <c r="J163">
        <v>0.5</v>
      </c>
    </row>
    <row r="164" spans="1:10" x14ac:dyDescent="0.3">
      <c r="A164">
        <v>162</v>
      </c>
      <c r="B164">
        <v>2572</v>
      </c>
      <c r="C164" t="b">
        <v>1</v>
      </c>
      <c r="D164">
        <v>8048</v>
      </c>
      <c r="E164">
        <v>8123</v>
      </c>
      <c r="F164">
        <v>8</v>
      </c>
      <c r="G164">
        <v>8</v>
      </c>
      <c r="H164">
        <v>1</v>
      </c>
      <c r="I164">
        <v>0</v>
      </c>
      <c r="J164">
        <v>0.5</v>
      </c>
    </row>
    <row r="165" spans="1:10" x14ac:dyDescent="0.3">
      <c r="A165">
        <v>163</v>
      </c>
      <c r="B165">
        <v>2588</v>
      </c>
      <c r="C165" t="b">
        <v>1</v>
      </c>
      <c r="D165">
        <v>8054</v>
      </c>
      <c r="E165">
        <v>8123</v>
      </c>
      <c r="F165">
        <v>8</v>
      </c>
      <c r="G165">
        <v>8</v>
      </c>
      <c r="H165">
        <v>1</v>
      </c>
      <c r="I165">
        <v>0</v>
      </c>
      <c r="J165">
        <v>0.5</v>
      </c>
    </row>
    <row r="166" spans="1:10" x14ac:dyDescent="0.3">
      <c r="A166">
        <v>164</v>
      </c>
      <c r="B166">
        <v>2603</v>
      </c>
      <c r="C166" t="b">
        <v>1</v>
      </c>
      <c r="D166">
        <v>8054</v>
      </c>
      <c r="E166">
        <v>8123</v>
      </c>
      <c r="F166">
        <v>8</v>
      </c>
      <c r="G166">
        <v>8</v>
      </c>
      <c r="H166">
        <v>1</v>
      </c>
      <c r="I166">
        <v>0</v>
      </c>
      <c r="J166">
        <v>0.5</v>
      </c>
    </row>
    <row r="167" spans="1:10" x14ac:dyDescent="0.3">
      <c r="A167">
        <v>165</v>
      </c>
      <c r="B167">
        <v>2619</v>
      </c>
      <c r="C167" t="b">
        <v>1</v>
      </c>
      <c r="D167">
        <v>8042</v>
      </c>
      <c r="E167">
        <v>8123</v>
      </c>
      <c r="F167">
        <v>8</v>
      </c>
      <c r="G167">
        <v>8</v>
      </c>
      <c r="H167">
        <v>1</v>
      </c>
      <c r="I167">
        <v>0</v>
      </c>
      <c r="J167">
        <v>0.5</v>
      </c>
    </row>
    <row r="168" spans="1:10" x14ac:dyDescent="0.3">
      <c r="A168">
        <v>166</v>
      </c>
      <c r="B168">
        <v>2634</v>
      </c>
      <c r="C168" t="b">
        <v>1</v>
      </c>
      <c r="D168">
        <v>8048</v>
      </c>
      <c r="E168">
        <v>8123</v>
      </c>
      <c r="F168">
        <v>8</v>
      </c>
      <c r="G168">
        <v>8</v>
      </c>
      <c r="H168">
        <v>1</v>
      </c>
      <c r="I168">
        <v>0</v>
      </c>
      <c r="J168">
        <v>0.5</v>
      </c>
    </row>
    <row r="169" spans="1:10" x14ac:dyDescent="0.3">
      <c r="A169">
        <v>167</v>
      </c>
      <c r="B169">
        <v>2650</v>
      </c>
      <c r="C169" t="b">
        <v>1</v>
      </c>
      <c r="D169">
        <v>8048</v>
      </c>
      <c r="E169">
        <v>8123</v>
      </c>
      <c r="F169">
        <v>8</v>
      </c>
      <c r="G169">
        <v>8</v>
      </c>
      <c r="H169">
        <v>1</v>
      </c>
      <c r="I169">
        <v>0</v>
      </c>
      <c r="J169">
        <v>0.5</v>
      </c>
    </row>
    <row r="170" spans="1:10" x14ac:dyDescent="0.3">
      <c r="A170">
        <v>168</v>
      </c>
      <c r="B170">
        <v>2666</v>
      </c>
      <c r="C170" t="b">
        <v>1</v>
      </c>
      <c r="D170">
        <v>8048</v>
      </c>
      <c r="E170">
        <v>8123</v>
      </c>
      <c r="F170">
        <v>8</v>
      </c>
      <c r="G170">
        <v>8</v>
      </c>
      <c r="H170">
        <v>1</v>
      </c>
      <c r="I170">
        <v>0</v>
      </c>
      <c r="J170">
        <v>0.5</v>
      </c>
    </row>
    <row r="171" spans="1:10" x14ac:dyDescent="0.3">
      <c r="A171">
        <v>169</v>
      </c>
      <c r="B171">
        <v>2682</v>
      </c>
      <c r="C171" t="b">
        <v>1</v>
      </c>
      <c r="D171">
        <v>8048</v>
      </c>
      <c r="E171">
        <v>8123</v>
      </c>
      <c r="F171">
        <v>8</v>
      </c>
      <c r="G171">
        <v>8</v>
      </c>
      <c r="H171">
        <v>1</v>
      </c>
      <c r="I171">
        <v>0</v>
      </c>
      <c r="J171">
        <v>0.5</v>
      </c>
    </row>
    <row r="172" spans="1:10" x14ac:dyDescent="0.3">
      <c r="A172">
        <v>170</v>
      </c>
      <c r="B172">
        <v>2697</v>
      </c>
      <c r="C172" t="b">
        <v>1</v>
      </c>
      <c r="D172">
        <v>8042</v>
      </c>
      <c r="E172">
        <v>8129</v>
      </c>
      <c r="F172">
        <v>8</v>
      </c>
      <c r="G172">
        <v>8</v>
      </c>
      <c r="H172">
        <v>1</v>
      </c>
      <c r="I172">
        <v>0</v>
      </c>
      <c r="J172">
        <v>0.5</v>
      </c>
    </row>
    <row r="173" spans="1:10" x14ac:dyDescent="0.3">
      <c r="A173">
        <v>171</v>
      </c>
      <c r="B173">
        <v>2713</v>
      </c>
      <c r="C173" t="b">
        <v>1</v>
      </c>
      <c r="D173">
        <v>8042</v>
      </c>
      <c r="E173">
        <v>8123</v>
      </c>
      <c r="F173">
        <v>8</v>
      </c>
      <c r="G173">
        <v>8</v>
      </c>
      <c r="H173">
        <v>1</v>
      </c>
      <c r="I173">
        <v>0</v>
      </c>
      <c r="J173">
        <v>0.5</v>
      </c>
    </row>
    <row r="174" spans="1:10" x14ac:dyDescent="0.3">
      <c r="A174">
        <v>172</v>
      </c>
      <c r="B174">
        <v>2729</v>
      </c>
      <c r="C174" t="b">
        <v>1</v>
      </c>
      <c r="D174">
        <v>8048</v>
      </c>
      <c r="E174">
        <v>8123</v>
      </c>
      <c r="F174">
        <v>8</v>
      </c>
      <c r="G174">
        <v>8</v>
      </c>
      <c r="H174">
        <v>1</v>
      </c>
      <c r="I174">
        <v>0</v>
      </c>
      <c r="J174">
        <v>0.5</v>
      </c>
    </row>
    <row r="175" spans="1:10" x14ac:dyDescent="0.3">
      <c r="A175">
        <v>173</v>
      </c>
      <c r="B175">
        <v>2744</v>
      </c>
      <c r="C175" t="b">
        <v>1</v>
      </c>
      <c r="D175">
        <v>8048</v>
      </c>
      <c r="E175">
        <v>8123</v>
      </c>
      <c r="F175">
        <v>8</v>
      </c>
      <c r="G175">
        <v>8</v>
      </c>
      <c r="H175">
        <v>1</v>
      </c>
      <c r="I175">
        <v>0</v>
      </c>
      <c r="J175">
        <v>0.5</v>
      </c>
    </row>
    <row r="176" spans="1:10" x14ac:dyDescent="0.3">
      <c r="A176">
        <v>174</v>
      </c>
      <c r="B176">
        <v>2760</v>
      </c>
      <c r="C176" t="b">
        <v>1</v>
      </c>
      <c r="D176">
        <v>8048</v>
      </c>
      <c r="E176">
        <v>8123</v>
      </c>
      <c r="F176">
        <v>8</v>
      </c>
      <c r="G176">
        <v>8</v>
      </c>
      <c r="H176">
        <v>1</v>
      </c>
      <c r="I176">
        <v>0</v>
      </c>
      <c r="J176">
        <v>0.5</v>
      </c>
    </row>
    <row r="177" spans="1:10" x14ac:dyDescent="0.3">
      <c r="A177">
        <v>175</v>
      </c>
      <c r="B177">
        <v>2776</v>
      </c>
      <c r="C177" t="b">
        <v>1</v>
      </c>
      <c r="D177">
        <v>8048</v>
      </c>
      <c r="E177">
        <v>8117</v>
      </c>
      <c r="F177">
        <v>8</v>
      </c>
      <c r="G177">
        <v>8</v>
      </c>
      <c r="H177">
        <v>1</v>
      </c>
      <c r="I177">
        <v>0</v>
      </c>
      <c r="J177">
        <v>0.5</v>
      </c>
    </row>
    <row r="178" spans="1:10" x14ac:dyDescent="0.3">
      <c r="A178">
        <v>176</v>
      </c>
      <c r="B178">
        <v>2792</v>
      </c>
      <c r="C178" t="b">
        <v>1</v>
      </c>
      <c r="D178">
        <v>8048</v>
      </c>
      <c r="E178">
        <v>8123</v>
      </c>
      <c r="F178">
        <v>8</v>
      </c>
      <c r="G178">
        <v>8</v>
      </c>
      <c r="H178">
        <v>1</v>
      </c>
      <c r="I178">
        <v>0</v>
      </c>
      <c r="J178">
        <v>0.5</v>
      </c>
    </row>
    <row r="179" spans="1:10" x14ac:dyDescent="0.3">
      <c r="A179">
        <v>177</v>
      </c>
      <c r="B179">
        <v>2807</v>
      </c>
      <c r="C179" t="b">
        <v>1</v>
      </c>
      <c r="D179">
        <v>8048</v>
      </c>
      <c r="E179">
        <v>8117</v>
      </c>
      <c r="F179">
        <v>8</v>
      </c>
      <c r="G179">
        <v>8</v>
      </c>
      <c r="H179">
        <v>1</v>
      </c>
      <c r="I179">
        <v>0</v>
      </c>
      <c r="J179">
        <v>0.5</v>
      </c>
    </row>
    <row r="180" spans="1:10" x14ac:dyDescent="0.3">
      <c r="A180">
        <v>178</v>
      </c>
      <c r="B180">
        <v>2823</v>
      </c>
      <c r="C180" t="b">
        <v>1</v>
      </c>
      <c r="D180">
        <v>8048</v>
      </c>
      <c r="E180">
        <v>8123</v>
      </c>
      <c r="F180">
        <v>8</v>
      </c>
      <c r="G180">
        <v>8</v>
      </c>
      <c r="H180">
        <v>1</v>
      </c>
      <c r="I180">
        <v>0</v>
      </c>
      <c r="J180">
        <v>0.5</v>
      </c>
    </row>
    <row r="181" spans="1:10" x14ac:dyDescent="0.3">
      <c r="A181">
        <v>179</v>
      </c>
      <c r="B181">
        <v>2839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2854</v>
      </c>
      <c r="C182" t="b">
        <v>1</v>
      </c>
      <c r="D182">
        <v>8054</v>
      </c>
      <c r="E182">
        <v>8123</v>
      </c>
      <c r="F182">
        <v>8</v>
      </c>
      <c r="G182">
        <v>8</v>
      </c>
      <c r="H182">
        <v>1</v>
      </c>
      <c r="I182">
        <v>0</v>
      </c>
      <c r="J182">
        <v>0.5</v>
      </c>
    </row>
    <row r="183" spans="1:10" x14ac:dyDescent="0.3">
      <c r="A183">
        <v>181</v>
      </c>
      <c r="B183">
        <v>2870</v>
      </c>
      <c r="C183" t="b">
        <v>1</v>
      </c>
      <c r="D183">
        <v>8048</v>
      </c>
      <c r="E183">
        <v>8123</v>
      </c>
      <c r="F183">
        <v>8</v>
      </c>
      <c r="G183">
        <v>8</v>
      </c>
      <c r="H183">
        <v>1</v>
      </c>
      <c r="I183">
        <v>0</v>
      </c>
      <c r="J183">
        <v>0.5</v>
      </c>
    </row>
    <row r="184" spans="1:10" x14ac:dyDescent="0.3">
      <c r="A184">
        <v>182</v>
      </c>
      <c r="B184">
        <v>2886</v>
      </c>
      <c r="C184" t="b">
        <v>1</v>
      </c>
      <c r="D184">
        <v>8048</v>
      </c>
      <c r="E184">
        <v>8123</v>
      </c>
      <c r="F184">
        <v>8</v>
      </c>
      <c r="G184">
        <v>8</v>
      </c>
      <c r="H184">
        <v>1</v>
      </c>
      <c r="I184">
        <v>0</v>
      </c>
      <c r="J184">
        <v>0.5</v>
      </c>
    </row>
    <row r="185" spans="1:10" x14ac:dyDescent="0.3">
      <c r="A185">
        <v>183</v>
      </c>
      <c r="B185">
        <v>2902</v>
      </c>
      <c r="C185" t="b">
        <v>1</v>
      </c>
      <c r="D185">
        <v>8048</v>
      </c>
      <c r="E185">
        <v>8117</v>
      </c>
      <c r="F185">
        <v>8</v>
      </c>
      <c r="G185">
        <v>8</v>
      </c>
      <c r="H185">
        <v>1</v>
      </c>
      <c r="I185">
        <v>0</v>
      </c>
      <c r="J185">
        <v>0.5</v>
      </c>
    </row>
    <row r="186" spans="1:10" x14ac:dyDescent="0.3">
      <c r="A186">
        <v>184</v>
      </c>
      <c r="B186">
        <v>2917</v>
      </c>
      <c r="C186" t="b">
        <v>1</v>
      </c>
      <c r="D186">
        <v>8048</v>
      </c>
      <c r="E186">
        <v>8123</v>
      </c>
      <c r="F186">
        <v>8</v>
      </c>
      <c r="G186">
        <v>8</v>
      </c>
      <c r="H186">
        <v>1</v>
      </c>
      <c r="I186">
        <v>0</v>
      </c>
      <c r="J186">
        <v>0.5</v>
      </c>
    </row>
    <row r="187" spans="1:10" x14ac:dyDescent="0.3">
      <c r="A187">
        <v>185</v>
      </c>
      <c r="B187">
        <v>2933</v>
      </c>
      <c r="C187" t="b">
        <v>1</v>
      </c>
      <c r="D187">
        <v>8048</v>
      </c>
      <c r="E187">
        <v>8123</v>
      </c>
      <c r="F187">
        <v>8</v>
      </c>
      <c r="G187">
        <v>8</v>
      </c>
      <c r="H187">
        <v>1</v>
      </c>
      <c r="I187">
        <v>0</v>
      </c>
      <c r="J187">
        <v>0.5</v>
      </c>
    </row>
    <row r="188" spans="1:10" x14ac:dyDescent="0.3">
      <c r="A188">
        <v>186</v>
      </c>
      <c r="B188">
        <v>2948</v>
      </c>
      <c r="C188" t="b">
        <v>1</v>
      </c>
      <c r="D188">
        <v>8048</v>
      </c>
      <c r="E188">
        <v>8117</v>
      </c>
      <c r="F188">
        <v>8</v>
      </c>
      <c r="G188">
        <v>8</v>
      </c>
      <c r="H188">
        <v>1</v>
      </c>
      <c r="I188">
        <v>0</v>
      </c>
      <c r="J188">
        <v>0.5</v>
      </c>
    </row>
    <row r="189" spans="1:10" x14ac:dyDescent="0.3">
      <c r="A189">
        <v>187</v>
      </c>
      <c r="B189">
        <v>2964</v>
      </c>
      <c r="C189" t="b">
        <v>1</v>
      </c>
      <c r="D189">
        <v>8042</v>
      </c>
      <c r="E189">
        <v>8123</v>
      </c>
      <c r="F189">
        <v>8</v>
      </c>
      <c r="G189">
        <v>8</v>
      </c>
      <c r="H189">
        <v>1</v>
      </c>
      <c r="I189">
        <v>0</v>
      </c>
      <c r="J189">
        <v>0.5</v>
      </c>
    </row>
    <row r="190" spans="1:10" x14ac:dyDescent="0.3">
      <c r="A190">
        <v>188</v>
      </c>
      <c r="B190">
        <v>2980</v>
      </c>
      <c r="C190" t="b">
        <v>1</v>
      </c>
      <c r="D190">
        <v>8042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2996</v>
      </c>
      <c r="C191" t="b">
        <v>1</v>
      </c>
      <c r="D191">
        <v>8048</v>
      </c>
      <c r="E191">
        <v>8129</v>
      </c>
      <c r="F191">
        <v>8</v>
      </c>
      <c r="G191">
        <v>8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3012</v>
      </c>
      <c r="C192" t="b">
        <v>1</v>
      </c>
      <c r="D192">
        <v>8048</v>
      </c>
      <c r="E192">
        <v>8123</v>
      </c>
      <c r="F192">
        <v>8</v>
      </c>
      <c r="G192">
        <v>8</v>
      </c>
      <c r="H192">
        <v>1</v>
      </c>
      <c r="I192">
        <v>0</v>
      </c>
      <c r="J192">
        <v>0.5</v>
      </c>
    </row>
    <row r="193" spans="1:10" x14ac:dyDescent="0.3">
      <c r="A193">
        <v>191</v>
      </c>
      <c r="B193">
        <v>3028</v>
      </c>
      <c r="C193" t="b">
        <v>1</v>
      </c>
      <c r="D193">
        <v>8048</v>
      </c>
      <c r="E193">
        <v>8129</v>
      </c>
      <c r="F193">
        <v>8</v>
      </c>
      <c r="G193">
        <v>8</v>
      </c>
      <c r="H193">
        <v>1</v>
      </c>
      <c r="I193">
        <v>0</v>
      </c>
      <c r="J193">
        <v>0.5</v>
      </c>
    </row>
    <row r="194" spans="1:10" x14ac:dyDescent="0.3">
      <c r="A194">
        <v>192</v>
      </c>
      <c r="B194">
        <v>3044</v>
      </c>
      <c r="C194" t="b">
        <v>1</v>
      </c>
      <c r="D194">
        <v>8048</v>
      </c>
      <c r="E194">
        <v>8123</v>
      </c>
      <c r="F194">
        <v>8</v>
      </c>
      <c r="G194">
        <v>8</v>
      </c>
      <c r="H194">
        <v>1</v>
      </c>
      <c r="I194">
        <v>0</v>
      </c>
      <c r="J194">
        <v>0.5</v>
      </c>
    </row>
    <row r="195" spans="1:10" x14ac:dyDescent="0.3">
      <c r="A195">
        <v>193</v>
      </c>
      <c r="B195">
        <v>3060</v>
      </c>
      <c r="C195" t="b">
        <v>1</v>
      </c>
      <c r="D195">
        <v>8048</v>
      </c>
      <c r="E195">
        <v>8123</v>
      </c>
      <c r="F195">
        <v>8</v>
      </c>
      <c r="G195">
        <v>8</v>
      </c>
      <c r="H195">
        <v>1</v>
      </c>
      <c r="I195">
        <v>0</v>
      </c>
      <c r="J195">
        <v>0.5</v>
      </c>
    </row>
    <row r="196" spans="1:10" x14ac:dyDescent="0.3">
      <c r="A196">
        <v>194</v>
      </c>
      <c r="B196">
        <v>3075</v>
      </c>
      <c r="C196" t="b">
        <v>1</v>
      </c>
      <c r="D196">
        <v>8048</v>
      </c>
      <c r="E196">
        <v>8123</v>
      </c>
      <c r="F196">
        <v>8</v>
      </c>
      <c r="G196">
        <v>8</v>
      </c>
      <c r="H196">
        <v>1</v>
      </c>
      <c r="I196">
        <v>0</v>
      </c>
      <c r="J196">
        <v>0.5</v>
      </c>
    </row>
    <row r="197" spans="1:10" x14ac:dyDescent="0.3">
      <c r="A197">
        <v>195</v>
      </c>
      <c r="B197">
        <v>3091</v>
      </c>
      <c r="C197" t="b">
        <v>1</v>
      </c>
      <c r="D197">
        <v>8048</v>
      </c>
      <c r="E197">
        <v>8117</v>
      </c>
      <c r="F197">
        <v>8</v>
      </c>
      <c r="G197">
        <v>8</v>
      </c>
      <c r="H197">
        <v>1</v>
      </c>
      <c r="I197">
        <v>0</v>
      </c>
      <c r="J197">
        <v>0.5</v>
      </c>
    </row>
    <row r="198" spans="1:10" x14ac:dyDescent="0.3">
      <c r="A198">
        <v>196</v>
      </c>
      <c r="B198">
        <v>3107</v>
      </c>
      <c r="C198" t="b">
        <v>1</v>
      </c>
      <c r="D198">
        <v>8048</v>
      </c>
      <c r="E198">
        <v>8123</v>
      </c>
      <c r="F198">
        <v>8</v>
      </c>
      <c r="G198">
        <v>8</v>
      </c>
      <c r="H198">
        <v>1</v>
      </c>
      <c r="I198">
        <v>0</v>
      </c>
      <c r="J198">
        <v>0.5</v>
      </c>
    </row>
    <row r="199" spans="1:10" x14ac:dyDescent="0.3">
      <c r="A199">
        <v>197</v>
      </c>
      <c r="B199">
        <v>3122</v>
      </c>
      <c r="C199" t="b">
        <v>1</v>
      </c>
      <c r="D199">
        <v>8048</v>
      </c>
      <c r="E199">
        <v>8117</v>
      </c>
      <c r="F199">
        <v>8</v>
      </c>
      <c r="G199">
        <v>8</v>
      </c>
      <c r="H199">
        <v>1</v>
      </c>
      <c r="I199">
        <v>0</v>
      </c>
      <c r="J199">
        <v>0.5</v>
      </c>
    </row>
    <row r="200" spans="1:10" x14ac:dyDescent="0.3">
      <c r="A200">
        <v>198</v>
      </c>
      <c r="B200">
        <v>3138</v>
      </c>
      <c r="C200" t="b">
        <v>1</v>
      </c>
      <c r="D200">
        <v>8048</v>
      </c>
      <c r="E200">
        <v>8117</v>
      </c>
      <c r="F200">
        <v>8</v>
      </c>
      <c r="G200">
        <v>7.6</v>
      </c>
      <c r="H200">
        <v>1.0526316</v>
      </c>
      <c r="I200">
        <v>-5.2631589999999999E-2</v>
      </c>
      <c r="J200">
        <v>0.48717946000000001</v>
      </c>
    </row>
    <row r="201" spans="1:10" x14ac:dyDescent="0.3">
      <c r="A201">
        <v>199</v>
      </c>
      <c r="B201">
        <v>3154</v>
      </c>
      <c r="C201" t="b">
        <v>1</v>
      </c>
      <c r="D201">
        <v>8048</v>
      </c>
      <c r="E201">
        <v>8123</v>
      </c>
      <c r="F201">
        <v>8</v>
      </c>
      <c r="G201">
        <v>7.2</v>
      </c>
      <c r="H201">
        <v>1.1111112000000001</v>
      </c>
      <c r="I201">
        <v>-0.11111114</v>
      </c>
      <c r="J201">
        <v>0.4736842</v>
      </c>
    </row>
    <row r="202" spans="1:10" x14ac:dyDescent="0.3">
      <c r="A202">
        <v>200</v>
      </c>
      <c r="B202">
        <v>3170</v>
      </c>
      <c r="C202" t="b">
        <v>1</v>
      </c>
      <c r="D202">
        <v>8048</v>
      </c>
      <c r="E202">
        <v>8123</v>
      </c>
      <c r="F202">
        <v>8</v>
      </c>
      <c r="G202">
        <v>7.2</v>
      </c>
      <c r="H202">
        <v>1.1111112000000001</v>
      </c>
      <c r="I202">
        <v>-0.11111114</v>
      </c>
      <c r="J202">
        <v>0.4736842</v>
      </c>
    </row>
    <row r="203" spans="1:10" x14ac:dyDescent="0.3">
      <c r="A203">
        <v>201</v>
      </c>
      <c r="B203">
        <v>3186</v>
      </c>
      <c r="C203" t="b">
        <v>1</v>
      </c>
      <c r="D203">
        <v>8048</v>
      </c>
      <c r="E203">
        <v>8123</v>
      </c>
      <c r="F203">
        <v>8</v>
      </c>
      <c r="G203">
        <v>7.2</v>
      </c>
      <c r="H203">
        <v>1.1111112000000001</v>
      </c>
      <c r="I203">
        <v>-0.11111114</v>
      </c>
      <c r="J203">
        <v>0.4736842</v>
      </c>
    </row>
    <row r="204" spans="1:10" x14ac:dyDescent="0.3">
      <c r="A204">
        <v>202</v>
      </c>
      <c r="B204">
        <v>3217</v>
      </c>
      <c r="C204" t="b">
        <v>1</v>
      </c>
      <c r="D204">
        <v>8048</v>
      </c>
      <c r="E204">
        <v>8129</v>
      </c>
      <c r="F204">
        <v>8</v>
      </c>
      <c r="G204">
        <v>7.2</v>
      </c>
      <c r="H204">
        <v>1.1111112000000001</v>
      </c>
      <c r="I204">
        <v>-0.11111114</v>
      </c>
      <c r="J204">
        <v>0.4736842</v>
      </c>
    </row>
    <row r="205" spans="1:10" x14ac:dyDescent="0.3">
      <c r="A205">
        <v>203</v>
      </c>
      <c r="B205">
        <v>3233</v>
      </c>
      <c r="C205" t="b">
        <v>1</v>
      </c>
      <c r="D205">
        <v>8048</v>
      </c>
      <c r="E205">
        <v>8129</v>
      </c>
      <c r="F205">
        <v>8</v>
      </c>
      <c r="G205">
        <v>7.2</v>
      </c>
      <c r="H205">
        <v>1.1111112000000001</v>
      </c>
      <c r="I205">
        <v>-0.11111114</v>
      </c>
      <c r="J205">
        <v>0.4736842</v>
      </c>
    </row>
    <row r="206" spans="1:10" x14ac:dyDescent="0.3">
      <c r="A206">
        <v>204</v>
      </c>
      <c r="B206">
        <v>3248</v>
      </c>
      <c r="C206" t="b">
        <v>1</v>
      </c>
      <c r="D206">
        <v>8048</v>
      </c>
      <c r="E206">
        <v>8129</v>
      </c>
      <c r="F206">
        <v>8</v>
      </c>
      <c r="G206">
        <v>7.6</v>
      </c>
      <c r="H206">
        <v>1.0526316</v>
      </c>
      <c r="I206">
        <v>-5.2631589999999999E-2</v>
      </c>
      <c r="J206">
        <v>0.48717946000000001</v>
      </c>
    </row>
    <row r="207" spans="1:10" x14ac:dyDescent="0.3">
      <c r="A207">
        <v>205</v>
      </c>
      <c r="B207">
        <v>3264</v>
      </c>
      <c r="C207" t="b">
        <v>1</v>
      </c>
      <c r="D207">
        <v>8048</v>
      </c>
      <c r="E207">
        <v>8123</v>
      </c>
      <c r="F207">
        <v>8</v>
      </c>
      <c r="G207">
        <v>8</v>
      </c>
      <c r="H207">
        <v>1</v>
      </c>
      <c r="I207">
        <v>0</v>
      </c>
      <c r="J207">
        <v>0.5</v>
      </c>
    </row>
    <row r="208" spans="1:10" x14ac:dyDescent="0.3">
      <c r="A208">
        <v>206</v>
      </c>
      <c r="B208">
        <v>3280</v>
      </c>
      <c r="C208" t="b">
        <v>1</v>
      </c>
      <c r="D208">
        <v>8048</v>
      </c>
      <c r="E208">
        <v>8123</v>
      </c>
      <c r="F208">
        <v>8</v>
      </c>
      <c r="G208">
        <v>8.4</v>
      </c>
      <c r="H208">
        <v>0.95238100000000003</v>
      </c>
      <c r="I208">
        <v>4.7619003999999999E-2</v>
      </c>
      <c r="J208">
        <v>0.51219510000000001</v>
      </c>
    </row>
    <row r="209" spans="1:10" x14ac:dyDescent="0.3">
      <c r="A209">
        <v>207</v>
      </c>
      <c r="B209">
        <v>3295</v>
      </c>
      <c r="C209" t="b">
        <v>1</v>
      </c>
      <c r="D209">
        <v>8048</v>
      </c>
      <c r="E209">
        <v>8123</v>
      </c>
      <c r="F209">
        <v>8</v>
      </c>
      <c r="G209">
        <v>8.4</v>
      </c>
      <c r="H209">
        <v>0.95238100000000003</v>
      </c>
      <c r="I209">
        <v>4.7619003999999999E-2</v>
      </c>
      <c r="J209">
        <v>0.51219510000000001</v>
      </c>
    </row>
    <row r="210" spans="1:10" x14ac:dyDescent="0.3">
      <c r="A210">
        <v>208</v>
      </c>
      <c r="B210">
        <v>3311</v>
      </c>
      <c r="C210" t="b">
        <v>1</v>
      </c>
      <c r="D210">
        <v>8048</v>
      </c>
      <c r="E210">
        <v>8123</v>
      </c>
      <c r="F210">
        <v>8</v>
      </c>
      <c r="G210">
        <v>8.4</v>
      </c>
      <c r="H210">
        <v>0.95238100000000003</v>
      </c>
      <c r="I210">
        <v>4.7619003999999999E-2</v>
      </c>
      <c r="J210">
        <v>0.51219510000000001</v>
      </c>
    </row>
    <row r="211" spans="1:10" x14ac:dyDescent="0.3">
      <c r="A211">
        <v>209</v>
      </c>
      <c r="B211">
        <v>3327</v>
      </c>
      <c r="C211" t="b">
        <v>1</v>
      </c>
      <c r="D211">
        <v>8054</v>
      </c>
      <c r="E211">
        <v>8123</v>
      </c>
      <c r="F211">
        <v>8</v>
      </c>
      <c r="G211">
        <v>8.4</v>
      </c>
      <c r="H211">
        <v>0.95238100000000003</v>
      </c>
      <c r="I211">
        <v>4.7619003999999999E-2</v>
      </c>
      <c r="J211">
        <v>0.51219510000000001</v>
      </c>
    </row>
    <row r="212" spans="1:10" x14ac:dyDescent="0.3">
      <c r="A212">
        <v>210</v>
      </c>
      <c r="B212">
        <v>3343</v>
      </c>
      <c r="C212" t="b">
        <v>1</v>
      </c>
      <c r="D212">
        <v>8048</v>
      </c>
      <c r="E212">
        <v>8117</v>
      </c>
      <c r="F212">
        <v>8</v>
      </c>
      <c r="G212">
        <v>8.4</v>
      </c>
      <c r="H212">
        <v>0.95238100000000003</v>
      </c>
      <c r="I212">
        <v>4.7619003999999999E-2</v>
      </c>
      <c r="J212">
        <v>0.51219510000000001</v>
      </c>
    </row>
    <row r="213" spans="1:10" x14ac:dyDescent="0.3">
      <c r="A213">
        <v>211</v>
      </c>
      <c r="B213">
        <v>3359</v>
      </c>
      <c r="C213" t="b">
        <v>1</v>
      </c>
      <c r="D213">
        <v>8054</v>
      </c>
      <c r="E213">
        <v>8123</v>
      </c>
      <c r="F213">
        <v>8</v>
      </c>
      <c r="G213">
        <v>8.4</v>
      </c>
      <c r="H213">
        <v>0.95238100000000003</v>
      </c>
      <c r="I213">
        <v>4.7619003999999999E-2</v>
      </c>
      <c r="J213">
        <v>0.51219510000000001</v>
      </c>
    </row>
    <row r="214" spans="1:10" x14ac:dyDescent="0.3">
      <c r="A214">
        <v>212</v>
      </c>
      <c r="B214">
        <v>3375</v>
      </c>
      <c r="C214" t="b">
        <v>1</v>
      </c>
      <c r="D214">
        <v>8048</v>
      </c>
      <c r="E214">
        <v>8117</v>
      </c>
      <c r="F214">
        <v>8</v>
      </c>
      <c r="G214">
        <v>8.4</v>
      </c>
      <c r="H214">
        <v>0.95238100000000003</v>
      </c>
      <c r="I214">
        <v>4.7619003999999999E-2</v>
      </c>
      <c r="J214">
        <v>0.51219510000000001</v>
      </c>
    </row>
    <row r="215" spans="1:10" x14ac:dyDescent="0.3">
      <c r="A215">
        <v>213</v>
      </c>
      <c r="B215">
        <v>3390</v>
      </c>
      <c r="C215" t="b">
        <v>1</v>
      </c>
      <c r="D215">
        <v>8048</v>
      </c>
      <c r="E215">
        <v>8123</v>
      </c>
      <c r="F215">
        <v>8</v>
      </c>
      <c r="G215">
        <v>8.8000000000000007</v>
      </c>
      <c r="H215">
        <v>0.90909090000000004</v>
      </c>
      <c r="I215">
        <v>9.0909110000000001E-2</v>
      </c>
      <c r="J215">
        <v>0.52380954999999996</v>
      </c>
    </row>
    <row r="216" spans="1:10" x14ac:dyDescent="0.3">
      <c r="A216">
        <v>214</v>
      </c>
      <c r="B216">
        <v>3406</v>
      </c>
      <c r="C216" t="b">
        <v>1</v>
      </c>
      <c r="D216">
        <v>8054</v>
      </c>
      <c r="E216">
        <v>8123</v>
      </c>
      <c r="F216">
        <v>8</v>
      </c>
      <c r="G216">
        <v>9.1999999999999993</v>
      </c>
      <c r="H216">
        <v>0.86956524999999996</v>
      </c>
      <c r="I216">
        <v>0.13043477000000001</v>
      </c>
      <c r="J216">
        <v>0.53488369999999996</v>
      </c>
    </row>
    <row r="217" spans="1:10" x14ac:dyDescent="0.3">
      <c r="A217">
        <v>215</v>
      </c>
      <c r="B217">
        <v>3422</v>
      </c>
      <c r="C217" t="b">
        <v>1</v>
      </c>
      <c r="D217">
        <v>8048</v>
      </c>
      <c r="E217">
        <v>8123</v>
      </c>
      <c r="F217">
        <v>8</v>
      </c>
      <c r="G217">
        <v>9.1999999999999993</v>
      </c>
      <c r="H217">
        <v>0.86956524999999996</v>
      </c>
      <c r="I217">
        <v>0.13043477000000001</v>
      </c>
      <c r="J217">
        <v>0.53488369999999996</v>
      </c>
    </row>
    <row r="218" spans="1:10" x14ac:dyDescent="0.3">
      <c r="A218">
        <v>216</v>
      </c>
      <c r="B218">
        <v>3438</v>
      </c>
      <c r="C218" t="b">
        <v>1</v>
      </c>
      <c r="D218">
        <v>8048</v>
      </c>
      <c r="E218">
        <v>8123</v>
      </c>
      <c r="F218">
        <v>8</v>
      </c>
      <c r="G218">
        <v>9.1999999999999993</v>
      </c>
      <c r="H218">
        <v>0.86956524999999996</v>
      </c>
      <c r="I218">
        <v>0.13043477000000001</v>
      </c>
      <c r="J218">
        <v>0.53488369999999996</v>
      </c>
    </row>
    <row r="219" spans="1:10" x14ac:dyDescent="0.3">
      <c r="A219">
        <v>217</v>
      </c>
      <c r="B219">
        <v>3453</v>
      </c>
      <c r="C219" t="b">
        <v>1</v>
      </c>
      <c r="D219">
        <v>8042</v>
      </c>
      <c r="E219">
        <v>8123</v>
      </c>
      <c r="F219">
        <v>8</v>
      </c>
      <c r="G219">
        <v>9.1999999999999993</v>
      </c>
      <c r="H219">
        <v>0.86956524999999996</v>
      </c>
      <c r="I219">
        <v>0.13043477000000001</v>
      </c>
      <c r="J219">
        <v>0.53488369999999996</v>
      </c>
    </row>
    <row r="220" spans="1:10" x14ac:dyDescent="0.3">
      <c r="A220">
        <v>218</v>
      </c>
      <c r="B220">
        <v>3469</v>
      </c>
      <c r="C220" t="b">
        <v>1</v>
      </c>
      <c r="D220">
        <v>8048</v>
      </c>
      <c r="E220">
        <v>8123</v>
      </c>
      <c r="F220">
        <v>8</v>
      </c>
      <c r="G220">
        <v>9.1999999999999993</v>
      </c>
      <c r="H220">
        <v>0.86956524999999996</v>
      </c>
      <c r="I220">
        <v>0.13043477000000001</v>
      </c>
      <c r="J220">
        <v>0.53488369999999996</v>
      </c>
    </row>
    <row r="221" spans="1:10" x14ac:dyDescent="0.3">
      <c r="A221">
        <v>219</v>
      </c>
      <c r="B221">
        <v>3485</v>
      </c>
      <c r="C221" t="b">
        <v>1</v>
      </c>
      <c r="D221">
        <v>8042</v>
      </c>
      <c r="E221">
        <v>8117</v>
      </c>
      <c r="F221">
        <v>8</v>
      </c>
      <c r="G221">
        <v>8.8000000000000007</v>
      </c>
      <c r="H221">
        <v>0.90909090000000004</v>
      </c>
      <c r="I221">
        <v>9.0909110000000001E-2</v>
      </c>
      <c r="J221">
        <v>0.52380954999999996</v>
      </c>
    </row>
    <row r="222" spans="1:10" x14ac:dyDescent="0.3">
      <c r="A222">
        <v>220</v>
      </c>
      <c r="B222">
        <v>3501</v>
      </c>
      <c r="C222" t="b">
        <v>1</v>
      </c>
      <c r="D222">
        <v>8048</v>
      </c>
      <c r="E222">
        <v>8123</v>
      </c>
      <c r="F222">
        <v>8</v>
      </c>
      <c r="G222">
        <v>8.4</v>
      </c>
      <c r="H222">
        <v>0.95238100000000003</v>
      </c>
      <c r="I222">
        <v>4.7619003999999999E-2</v>
      </c>
      <c r="J222">
        <v>0.51219510000000001</v>
      </c>
    </row>
    <row r="223" spans="1:10" x14ac:dyDescent="0.3">
      <c r="A223">
        <v>221</v>
      </c>
      <c r="B223">
        <v>3517</v>
      </c>
      <c r="C223" t="b">
        <v>1</v>
      </c>
      <c r="D223">
        <v>8048</v>
      </c>
      <c r="E223">
        <v>8117</v>
      </c>
      <c r="F223">
        <v>8</v>
      </c>
      <c r="G223">
        <v>8</v>
      </c>
      <c r="H223">
        <v>1</v>
      </c>
      <c r="I223">
        <v>0</v>
      </c>
      <c r="J223">
        <v>0.5</v>
      </c>
    </row>
    <row r="224" spans="1:10" x14ac:dyDescent="0.3">
      <c r="A224">
        <v>222</v>
      </c>
      <c r="B224">
        <v>3533</v>
      </c>
      <c r="C224" t="b">
        <v>1</v>
      </c>
      <c r="D224">
        <v>8048</v>
      </c>
      <c r="E224">
        <v>8117</v>
      </c>
      <c r="F224">
        <v>8</v>
      </c>
      <c r="G224">
        <v>7.6</v>
      </c>
      <c r="H224">
        <v>1.0526316</v>
      </c>
      <c r="I224">
        <v>-5.2631589999999999E-2</v>
      </c>
      <c r="J224">
        <v>0.48717946000000001</v>
      </c>
    </row>
    <row r="225" spans="1:10" x14ac:dyDescent="0.3">
      <c r="A225">
        <v>223</v>
      </c>
      <c r="B225">
        <v>3548</v>
      </c>
      <c r="C225" t="b">
        <v>1</v>
      </c>
      <c r="D225">
        <v>8048</v>
      </c>
      <c r="E225">
        <v>8117</v>
      </c>
      <c r="F225">
        <v>8</v>
      </c>
      <c r="G225">
        <v>7.2</v>
      </c>
      <c r="H225">
        <v>1.1111112000000001</v>
      </c>
      <c r="I225">
        <v>-0.11111114</v>
      </c>
      <c r="J225">
        <v>0.4736842</v>
      </c>
    </row>
    <row r="226" spans="1:10" x14ac:dyDescent="0.3">
      <c r="A226">
        <v>224</v>
      </c>
      <c r="B226">
        <v>3564</v>
      </c>
      <c r="C226" t="b">
        <v>1</v>
      </c>
      <c r="D226">
        <v>8048</v>
      </c>
      <c r="E226">
        <v>8123</v>
      </c>
      <c r="F226">
        <v>8</v>
      </c>
      <c r="G226">
        <v>6.8</v>
      </c>
      <c r="H226">
        <v>1.1764705</v>
      </c>
      <c r="I226">
        <v>-0.17647055</v>
      </c>
      <c r="J226">
        <v>0.45945944999999999</v>
      </c>
    </row>
    <row r="227" spans="1:10" x14ac:dyDescent="0.3">
      <c r="A227">
        <v>225</v>
      </c>
      <c r="B227">
        <v>3580</v>
      </c>
      <c r="C227" t="b">
        <v>1</v>
      </c>
      <c r="D227">
        <v>8048</v>
      </c>
      <c r="E227">
        <v>8117</v>
      </c>
      <c r="F227">
        <v>8</v>
      </c>
      <c r="G227">
        <v>6.4</v>
      </c>
      <c r="H227">
        <v>1.25</v>
      </c>
      <c r="I227">
        <v>-0.24999999000000001</v>
      </c>
      <c r="J227">
        <v>0.44444447999999998</v>
      </c>
    </row>
    <row r="228" spans="1:10" x14ac:dyDescent="0.3">
      <c r="A228">
        <v>226</v>
      </c>
      <c r="B228">
        <v>3596</v>
      </c>
      <c r="C228" t="b">
        <v>1</v>
      </c>
      <c r="D228">
        <v>8054</v>
      </c>
      <c r="E228">
        <v>8123</v>
      </c>
      <c r="F228">
        <v>8</v>
      </c>
      <c r="G228">
        <v>6</v>
      </c>
      <c r="H228">
        <v>1.3333333999999999</v>
      </c>
      <c r="I228">
        <v>-0.33333333999999998</v>
      </c>
      <c r="J228">
        <v>0.42857142999999998</v>
      </c>
    </row>
    <row r="229" spans="1:10" x14ac:dyDescent="0.3">
      <c r="A229">
        <v>227</v>
      </c>
      <c r="B229">
        <v>3612</v>
      </c>
      <c r="C229" t="b">
        <v>1</v>
      </c>
      <c r="D229">
        <v>8054</v>
      </c>
      <c r="E229">
        <v>8117</v>
      </c>
      <c r="F229">
        <v>8</v>
      </c>
      <c r="G229">
        <v>5.6</v>
      </c>
      <c r="H229">
        <v>1.4285715000000001</v>
      </c>
      <c r="I229">
        <v>-0.42857146000000002</v>
      </c>
      <c r="J229">
        <v>0.41176467999999999</v>
      </c>
    </row>
    <row r="230" spans="1:10" x14ac:dyDescent="0.3">
      <c r="A230">
        <v>228</v>
      </c>
      <c r="B230">
        <v>3628</v>
      </c>
      <c r="C230" t="b">
        <v>1</v>
      </c>
      <c r="D230">
        <v>8048</v>
      </c>
      <c r="E230">
        <v>8123</v>
      </c>
      <c r="F230">
        <v>8</v>
      </c>
      <c r="G230">
        <v>5.6</v>
      </c>
      <c r="H230">
        <v>1.4285715000000001</v>
      </c>
      <c r="I230">
        <v>-0.42857146000000002</v>
      </c>
      <c r="J230">
        <v>0.41176467999999999</v>
      </c>
    </row>
    <row r="231" spans="1:10" x14ac:dyDescent="0.3">
      <c r="A231">
        <v>229</v>
      </c>
      <c r="B231">
        <v>3643</v>
      </c>
      <c r="C231" t="b">
        <v>1</v>
      </c>
      <c r="D231">
        <v>8042</v>
      </c>
      <c r="E231">
        <v>8117</v>
      </c>
      <c r="F231">
        <v>8</v>
      </c>
      <c r="G231">
        <v>5.2</v>
      </c>
      <c r="H231">
        <v>1.5384616</v>
      </c>
      <c r="I231">
        <v>-0.53846156999999994</v>
      </c>
      <c r="J231">
        <v>0.39393938000000001</v>
      </c>
    </row>
    <row r="232" spans="1:10" x14ac:dyDescent="0.3">
      <c r="A232">
        <v>230</v>
      </c>
      <c r="B232">
        <v>3659</v>
      </c>
      <c r="C232" t="b">
        <v>1</v>
      </c>
      <c r="D232">
        <v>8048</v>
      </c>
      <c r="E232">
        <v>8123</v>
      </c>
      <c r="F232">
        <v>8</v>
      </c>
      <c r="G232">
        <v>5.2</v>
      </c>
      <c r="H232">
        <v>1.5384616</v>
      </c>
      <c r="I232">
        <v>-0.53846156999999994</v>
      </c>
      <c r="J232">
        <v>0.39393938000000001</v>
      </c>
    </row>
    <row r="233" spans="1:10" x14ac:dyDescent="0.3">
      <c r="A233">
        <v>231</v>
      </c>
      <c r="B233">
        <v>3675</v>
      </c>
      <c r="C233" t="b">
        <v>1</v>
      </c>
      <c r="D233">
        <v>8048</v>
      </c>
      <c r="E233">
        <v>8123</v>
      </c>
      <c r="F233">
        <v>8</v>
      </c>
      <c r="G233">
        <v>5.2</v>
      </c>
      <c r="H233">
        <v>1.5384616</v>
      </c>
      <c r="I233">
        <v>-0.53846156999999994</v>
      </c>
      <c r="J233">
        <v>0.39393938000000001</v>
      </c>
    </row>
    <row r="234" spans="1:10" x14ac:dyDescent="0.3">
      <c r="A234">
        <v>232</v>
      </c>
      <c r="B234">
        <v>3691</v>
      </c>
      <c r="C234" t="b">
        <v>1</v>
      </c>
      <c r="D234">
        <v>8048</v>
      </c>
      <c r="E234">
        <v>8123</v>
      </c>
      <c r="F234">
        <v>8</v>
      </c>
      <c r="G234">
        <v>5.2</v>
      </c>
      <c r="H234">
        <v>1.5384616</v>
      </c>
      <c r="I234">
        <v>-0.53846156999999994</v>
      </c>
      <c r="J234">
        <v>0.39393938000000001</v>
      </c>
    </row>
    <row r="235" spans="1:10" x14ac:dyDescent="0.3">
      <c r="A235">
        <v>233</v>
      </c>
      <c r="B235">
        <v>3707</v>
      </c>
      <c r="C235" t="b">
        <v>1</v>
      </c>
      <c r="D235">
        <v>8042</v>
      </c>
      <c r="E235">
        <v>8123</v>
      </c>
      <c r="F235">
        <v>8</v>
      </c>
      <c r="G235">
        <v>5.2</v>
      </c>
      <c r="H235">
        <v>1.5384616</v>
      </c>
      <c r="I235">
        <v>-0.53846156999999994</v>
      </c>
      <c r="J235">
        <v>0.39393938000000001</v>
      </c>
    </row>
    <row r="236" spans="1:10" x14ac:dyDescent="0.3">
      <c r="A236">
        <v>234</v>
      </c>
      <c r="B236">
        <v>3723</v>
      </c>
      <c r="C236" t="b">
        <v>1</v>
      </c>
      <c r="D236">
        <v>8042</v>
      </c>
      <c r="E236">
        <v>8123</v>
      </c>
      <c r="F236">
        <v>8</v>
      </c>
      <c r="G236">
        <v>5.2</v>
      </c>
      <c r="H236">
        <v>1.5384616</v>
      </c>
      <c r="I236">
        <v>-0.53846156999999994</v>
      </c>
      <c r="J236">
        <v>0.39393938000000001</v>
      </c>
    </row>
    <row r="237" spans="1:10" x14ac:dyDescent="0.3">
      <c r="A237">
        <v>235</v>
      </c>
      <c r="B237">
        <v>3739</v>
      </c>
      <c r="C237" t="b">
        <v>1</v>
      </c>
      <c r="D237">
        <v>8048</v>
      </c>
      <c r="E237">
        <v>8123</v>
      </c>
      <c r="F237">
        <v>8</v>
      </c>
      <c r="G237">
        <v>5.2</v>
      </c>
      <c r="H237">
        <v>1.5384616</v>
      </c>
      <c r="I237">
        <v>-0.53846156999999994</v>
      </c>
      <c r="J237">
        <v>0.39393938000000001</v>
      </c>
    </row>
    <row r="238" spans="1:10" x14ac:dyDescent="0.3">
      <c r="A238">
        <v>236</v>
      </c>
      <c r="B238">
        <v>3755</v>
      </c>
      <c r="C238" t="b">
        <v>1</v>
      </c>
      <c r="D238">
        <v>8048</v>
      </c>
      <c r="E238">
        <v>8123</v>
      </c>
      <c r="F238">
        <v>8</v>
      </c>
      <c r="G238">
        <v>5.2</v>
      </c>
      <c r="H238">
        <v>1.5384616</v>
      </c>
      <c r="I238">
        <v>-0.53846156999999994</v>
      </c>
      <c r="J238">
        <v>0.39393938000000001</v>
      </c>
    </row>
    <row r="239" spans="1:10" x14ac:dyDescent="0.3">
      <c r="A239">
        <v>237</v>
      </c>
      <c r="B239">
        <v>3771</v>
      </c>
      <c r="C239" t="b">
        <v>1</v>
      </c>
      <c r="D239">
        <v>8054</v>
      </c>
      <c r="E239">
        <v>8123</v>
      </c>
      <c r="F239">
        <v>8</v>
      </c>
      <c r="G239">
        <v>5.6</v>
      </c>
      <c r="H239">
        <v>1.4285715000000001</v>
      </c>
      <c r="I239">
        <v>-0.42857146000000002</v>
      </c>
      <c r="J239">
        <v>0.41176467999999999</v>
      </c>
    </row>
    <row r="240" spans="1:10" x14ac:dyDescent="0.3">
      <c r="A240">
        <v>238</v>
      </c>
      <c r="B240">
        <v>3786</v>
      </c>
      <c r="C240" t="b">
        <v>1</v>
      </c>
      <c r="D240">
        <v>8048</v>
      </c>
      <c r="E240">
        <v>8129</v>
      </c>
      <c r="F240">
        <v>8</v>
      </c>
      <c r="G240">
        <v>6</v>
      </c>
      <c r="H240">
        <v>1.3333333999999999</v>
      </c>
      <c r="I240">
        <v>-0.33333333999999998</v>
      </c>
      <c r="J240">
        <v>0.42857142999999998</v>
      </c>
    </row>
    <row r="241" spans="1:10" x14ac:dyDescent="0.3">
      <c r="A241">
        <v>239</v>
      </c>
      <c r="B241">
        <v>3802</v>
      </c>
      <c r="C241" t="b">
        <v>1</v>
      </c>
      <c r="D241">
        <v>8048</v>
      </c>
      <c r="E241">
        <v>8123</v>
      </c>
      <c r="F241">
        <v>8</v>
      </c>
      <c r="G241">
        <v>6.4</v>
      </c>
      <c r="H241">
        <v>1.25</v>
      </c>
      <c r="I241">
        <v>-0.24999999000000001</v>
      </c>
      <c r="J241">
        <v>0.44444447999999998</v>
      </c>
    </row>
    <row r="242" spans="1:10" x14ac:dyDescent="0.3">
      <c r="A242">
        <v>240</v>
      </c>
      <c r="B242">
        <v>3818</v>
      </c>
      <c r="C242" t="b">
        <v>1</v>
      </c>
      <c r="D242">
        <v>8048</v>
      </c>
      <c r="E242">
        <v>8123</v>
      </c>
      <c r="F242">
        <v>8</v>
      </c>
      <c r="G242">
        <v>6.8</v>
      </c>
      <c r="H242">
        <v>1.1764705</v>
      </c>
      <c r="I242">
        <v>-0.17647055</v>
      </c>
      <c r="J242">
        <v>0.45945944999999999</v>
      </c>
    </row>
    <row r="243" spans="1:10" x14ac:dyDescent="0.3">
      <c r="A243">
        <v>241</v>
      </c>
      <c r="B243">
        <v>3834</v>
      </c>
      <c r="C243" t="b">
        <v>1</v>
      </c>
      <c r="D243">
        <v>8054</v>
      </c>
      <c r="E243">
        <v>8123</v>
      </c>
      <c r="F243">
        <v>8</v>
      </c>
      <c r="G243">
        <v>7.2</v>
      </c>
      <c r="H243">
        <v>1.1111112000000001</v>
      </c>
      <c r="I243">
        <v>-0.11111114</v>
      </c>
      <c r="J243">
        <v>0.4736842</v>
      </c>
    </row>
    <row r="244" spans="1:10" x14ac:dyDescent="0.3">
      <c r="A244">
        <v>242</v>
      </c>
      <c r="B244">
        <v>3849</v>
      </c>
      <c r="C244" t="b">
        <v>1</v>
      </c>
      <c r="D244">
        <v>8048</v>
      </c>
      <c r="E244">
        <v>8117</v>
      </c>
      <c r="F244">
        <v>8</v>
      </c>
      <c r="G244">
        <v>7.6</v>
      </c>
      <c r="H244">
        <v>1.0526316</v>
      </c>
      <c r="I244">
        <v>-5.2631589999999999E-2</v>
      </c>
      <c r="J244">
        <v>0.48717946000000001</v>
      </c>
    </row>
    <row r="245" spans="1:10" x14ac:dyDescent="0.3">
      <c r="A245">
        <v>243</v>
      </c>
      <c r="B245">
        <v>3865</v>
      </c>
      <c r="C245" t="b">
        <v>1</v>
      </c>
      <c r="D245">
        <v>8054</v>
      </c>
      <c r="E245">
        <v>8123</v>
      </c>
      <c r="F245">
        <v>8</v>
      </c>
      <c r="G245">
        <v>7.6</v>
      </c>
      <c r="H245">
        <v>1.0526316</v>
      </c>
      <c r="I245">
        <v>-5.2631589999999999E-2</v>
      </c>
      <c r="J245">
        <v>0.48717946000000001</v>
      </c>
    </row>
    <row r="246" spans="1:10" x14ac:dyDescent="0.3">
      <c r="A246">
        <v>244</v>
      </c>
      <c r="B246">
        <v>3881</v>
      </c>
      <c r="C246" t="b">
        <v>1</v>
      </c>
      <c r="D246">
        <v>8054</v>
      </c>
      <c r="E246">
        <v>8123</v>
      </c>
      <c r="F246">
        <v>8.4</v>
      </c>
      <c r="G246">
        <v>8</v>
      </c>
      <c r="H246">
        <v>1.05</v>
      </c>
      <c r="I246">
        <v>-4.9999952E-2</v>
      </c>
      <c r="J246">
        <v>0.48780489999999999</v>
      </c>
    </row>
    <row r="247" spans="1:10" x14ac:dyDescent="0.3">
      <c r="A247">
        <v>245</v>
      </c>
      <c r="B247">
        <v>3897</v>
      </c>
      <c r="C247" t="b">
        <v>1</v>
      </c>
      <c r="D247">
        <v>8054</v>
      </c>
      <c r="E247">
        <v>8123</v>
      </c>
      <c r="F247">
        <v>8.8000000000000007</v>
      </c>
      <c r="G247">
        <v>8</v>
      </c>
      <c r="H247">
        <v>1.1000000000000001</v>
      </c>
      <c r="I247">
        <v>-0.10000002400000001</v>
      </c>
      <c r="J247">
        <v>0.47619050000000002</v>
      </c>
    </row>
    <row r="248" spans="1:10" x14ac:dyDescent="0.3">
      <c r="A248">
        <v>246</v>
      </c>
      <c r="B248">
        <v>3913</v>
      </c>
      <c r="C248" t="b">
        <v>1</v>
      </c>
      <c r="D248">
        <v>8054</v>
      </c>
      <c r="E248">
        <v>8123</v>
      </c>
      <c r="F248">
        <v>9.1999999999999993</v>
      </c>
      <c r="G248">
        <v>8</v>
      </c>
      <c r="H248">
        <v>1.1499999999999999</v>
      </c>
      <c r="I248">
        <v>-0.14999998</v>
      </c>
      <c r="J248">
        <v>0.46511626</v>
      </c>
    </row>
    <row r="249" spans="1:10" x14ac:dyDescent="0.3">
      <c r="A249">
        <v>247</v>
      </c>
      <c r="B249">
        <v>3929</v>
      </c>
      <c r="C249" t="b">
        <v>1</v>
      </c>
      <c r="D249">
        <v>8054</v>
      </c>
      <c r="E249">
        <v>8123</v>
      </c>
      <c r="F249">
        <v>9.6</v>
      </c>
      <c r="G249">
        <v>8</v>
      </c>
      <c r="H249">
        <v>1.2</v>
      </c>
      <c r="I249">
        <v>-0.20000005000000001</v>
      </c>
      <c r="J249">
        <v>0.45454544000000002</v>
      </c>
    </row>
    <row r="250" spans="1:10" x14ac:dyDescent="0.3">
      <c r="A250">
        <v>248</v>
      </c>
      <c r="B250">
        <v>3945</v>
      </c>
      <c r="C250" t="b">
        <v>1</v>
      </c>
      <c r="D250">
        <v>8048</v>
      </c>
      <c r="E250">
        <v>8117</v>
      </c>
      <c r="F250">
        <v>10</v>
      </c>
      <c r="G250">
        <v>8</v>
      </c>
      <c r="H250">
        <v>1.25</v>
      </c>
      <c r="I250">
        <v>-0.25</v>
      </c>
      <c r="J250">
        <v>0.44444444999999999</v>
      </c>
    </row>
    <row r="251" spans="1:10" x14ac:dyDescent="0.3">
      <c r="A251">
        <v>249</v>
      </c>
      <c r="B251">
        <v>3961</v>
      </c>
      <c r="C251" t="b">
        <v>1</v>
      </c>
      <c r="D251">
        <v>8048</v>
      </c>
      <c r="E251">
        <v>8123</v>
      </c>
      <c r="F251">
        <v>10.4</v>
      </c>
      <c r="G251">
        <v>8</v>
      </c>
      <c r="H251">
        <v>1.3</v>
      </c>
      <c r="I251">
        <v>-0.29999995000000002</v>
      </c>
      <c r="J251">
        <v>0.43478262000000001</v>
      </c>
    </row>
    <row r="252" spans="1:10" x14ac:dyDescent="0.3">
      <c r="A252">
        <v>250</v>
      </c>
      <c r="B252">
        <v>3977</v>
      </c>
      <c r="C252" t="b">
        <v>1</v>
      </c>
      <c r="D252">
        <v>8048</v>
      </c>
      <c r="E252">
        <v>8123</v>
      </c>
      <c r="F252">
        <v>10.4</v>
      </c>
      <c r="G252">
        <v>8</v>
      </c>
      <c r="H252">
        <v>1.3</v>
      </c>
      <c r="I252">
        <v>-0.29999995000000002</v>
      </c>
      <c r="J252">
        <v>0.43478262000000001</v>
      </c>
    </row>
    <row r="253" spans="1:10" x14ac:dyDescent="0.3">
      <c r="A253">
        <v>251</v>
      </c>
      <c r="B253">
        <v>3992</v>
      </c>
      <c r="C253" t="b">
        <v>1</v>
      </c>
      <c r="D253">
        <v>8048</v>
      </c>
      <c r="E253">
        <v>8123</v>
      </c>
      <c r="F253">
        <v>10.4</v>
      </c>
      <c r="G253">
        <v>8</v>
      </c>
      <c r="H253">
        <v>1.3</v>
      </c>
      <c r="I253">
        <v>-0.29999995000000002</v>
      </c>
      <c r="J253">
        <v>0.43478262000000001</v>
      </c>
    </row>
    <row r="254" spans="1:10" x14ac:dyDescent="0.3">
      <c r="A254">
        <v>252</v>
      </c>
      <c r="B254">
        <v>4008</v>
      </c>
      <c r="C254" t="b">
        <v>1</v>
      </c>
      <c r="D254">
        <v>8048</v>
      </c>
      <c r="E254">
        <v>8129</v>
      </c>
      <c r="F254">
        <v>10.4</v>
      </c>
      <c r="G254">
        <v>8</v>
      </c>
      <c r="H254">
        <v>1.3</v>
      </c>
      <c r="I254">
        <v>-0.29999995000000002</v>
      </c>
      <c r="J254">
        <v>0.43478262000000001</v>
      </c>
    </row>
    <row r="255" spans="1:10" x14ac:dyDescent="0.3">
      <c r="A255">
        <v>253</v>
      </c>
      <c r="B255">
        <v>4024</v>
      </c>
      <c r="C255" t="b">
        <v>1</v>
      </c>
      <c r="D255">
        <v>8048</v>
      </c>
      <c r="E255">
        <v>8123</v>
      </c>
      <c r="F255">
        <v>10.4</v>
      </c>
      <c r="G255">
        <v>8</v>
      </c>
      <c r="H255">
        <v>1.3</v>
      </c>
      <c r="I255">
        <v>-0.29999995000000002</v>
      </c>
      <c r="J255">
        <v>0.43478262000000001</v>
      </c>
    </row>
    <row r="256" spans="1:10" x14ac:dyDescent="0.3">
      <c r="A256">
        <v>254</v>
      </c>
      <c r="B256">
        <v>4040</v>
      </c>
      <c r="C256" t="b">
        <v>1</v>
      </c>
      <c r="D256">
        <v>8048</v>
      </c>
      <c r="E256">
        <v>8123</v>
      </c>
      <c r="F256">
        <v>10.4</v>
      </c>
      <c r="G256">
        <v>8</v>
      </c>
      <c r="H256">
        <v>1.3</v>
      </c>
      <c r="I256">
        <v>-0.29999995000000002</v>
      </c>
      <c r="J256">
        <v>0.43478262000000001</v>
      </c>
    </row>
    <row r="257" spans="1:10" x14ac:dyDescent="0.3">
      <c r="A257">
        <v>255</v>
      </c>
      <c r="B257">
        <v>4056</v>
      </c>
      <c r="C257" t="b">
        <v>1</v>
      </c>
      <c r="D257">
        <v>8048</v>
      </c>
      <c r="E257">
        <v>8123</v>
      </c>
      <c r="F257">
        <v>10.4</v>
      </c>
      <c r="G257">
        <v>8</v>
      </c>
      <c r="H257">
        <v>1.3</v>
      </c>
      <c r="I257">
        <v>-0.29999995000000002</v>
      </c>
      <c r="J257">
        <v>0.43478262000000001</v>
      </c>
    </row>
    <row r="258" spans="1:10" x14ac:dyDescent="0.3">
      <c r="A258">
        <v>256</v>
      </c>
      <c r="B258">
        <v>4071</v>
      </c>
      <c r="C258" t="b">
        <v>1</v>
      </c>
      <c r="D258">
        <v>8048</v>
      </c>
      <c r="E258">
        <v>8123</v>
      </c>
      <c r="F258">
        <v>10.4</v>
      </c>
      <c r="G258">
        <v>8</v>
      </c>
      <c r="H258">
        <v>1.3</v>
      </c>
      <c r="I258">
        <v>-0.29999995000000002</v>
      </c>
      <c r="J258">
        <v>0.43478262000000001</v>
      </c>
    </row>
    <row r="259" spans="1:10" x14ac:dyDescent="0.3">
      <c r="A259">
        <v>257</v>
      </c>
      <c r="B259">
        <v>4088</v>
      </c>
      <c r="C259" t="b">
        <v>1</v>
      </c>
      <c r="D259">
        <v>8048</v>
      </c>
      <c r="E259">
        <v>8123</v>
      </c>
      <c r="F259">
        <v>10.4</v>
      </c>
      <c r="G259">
        <v>8</v>
      </c>
      <c r="H259">
        <v>1.3</v>
      </c>
      <c r="I259">
        <v>-0.29999995000000002</v>
      </c>
      <c r="J259">
        <v>0.43478262000000001</v>
      </c>
    </row>
    <row r="260" spans="1:10" x14ac:dyDescent="0.3">
      <c r="A260">
        <v>258</v>
      </c>
      <c r="B260">
        <v>4104</v>
      </c>
      <c r="C260" t="b">
        <v>1</v>
      </c>
      <c r="D260">
        <v>8048</v>
      </c>
      <c r="E260">
        <v>8117</v>
      </c>
      <c r="F260">
        <v>10.4</v>
      </c>
      <c r="G260">
        <v>8</v>
      </c>
      <c r="H260">
        <v>1.3</v>
      </c>
      <c r="I260">
        <v>-0.29999995000000002</v>
      </c>
      <c r="J260">
        <v>0.43478262000000001</v>
      </c>
    </row>
    <row r="261" spans="1:10" x14ac:dyDescent="0.3">
      <c r="A261">
        <v>259</v>
      </c>
      <c r="B261">
        <v>4120</v>
      </c>
      <c r="C261" t="b">
        <v>1</v>
      </c>
      <c r="D261">
        <v>8048</v>
      </c>
      <c r="E261">
        <v>8117</v>
      </c>
      <c r="F261">
        <v>10</v>
      </c>
      <c r="G261">
        <v>8</v>
      </c>
      <c r="H261">
        <v>1.25</v>
      </c>
      <c r="I261">
        <v>-0.25</v>
      </c>
      <c r="J261">
        <v>0.44444444999999999</v>
      </c>
    </row>
    <row r="262" spans="1:10" x14ac:dyDescent="0.3">
      <c r="A262">
        <v>260</v>
      </c>
      <c r="B262">
        <v>4135</v>
      </c>
      <c r="C262" t="b">
        <v>1</v>
      </c>
      <c r="D262">
        <v>8048</v>
      </c>
      <c r="E262">
        <v>8117</v>
      </c>
      <c r="F262">
        <v>9.6</v>
      </c>
      <c r="G262">
        <v>7.6</v>
      </c>
      <c r="H262">
        <v>1.263158</v>
      </c>
      <c r="I262">
        <v>-0.26315796000000002</v>
      </c>
      <c r="J262">
        <v>0.44186044000000002</v>
      </c>
    </row>
    <row r="263" spans="1:10" x14ac:dyDescent="0.3">
      <c r="A263">
        <v>261</v>
      </c>
      <c r="B263">
        <v>4151</v>
      </c>
      <c r="C263" t="b">
        <v>1</v>
      </c>
      <c r="D263">
        <v>8048</v>
      </c>
      <c r="E263">
        <v>8123</v>
      </c>
      <c r="F263">
        <v>9.1999999999999993</v>
      </c>
      <c r="G263">
        <v>7.2</v>
      </c>
      <c r="H263">
        <v>1.2777778</v>
      </c>
      <c r="I263">
        <v>-0.27777780000000002</v>
      </c>
      <c r="J263">
        <v>0.43902439999999998</v>
      </c>
    </row>
    <row r="264" spans="1:10" x14ac:dyDescent="0.3">
      <c r="A264">
        <v>262</v>
      </c>
      <c r="B264">
        <v>4167</v>
      </c>
      <c r="C264" t="b">
        <v>1</v>
      </c>
      <c r="D264">
        <v>8054</v>
      </c>
      <c r="E264">
        <v>8123</v>
      </c>
      <c r="F264">
        <v>8.8000000000000007</v>
      </c>
      <c r="G264">
        <v>6.8</v>
      </c>
      <c r="H264">
        <v>1.2941176999999999</v>
      </c>
      <c r="I264">
        <v>-0.29411763000000002</v>
      </c>
      <c r="J264">
        <v>0.43589744000000002</v>
      </c>
    </row>
    <row r="265" spans="1:10" x14ac:dyDescent="0.3">
      <c r="A265">
        <v>263</v>
      </c>
      <c r="B265">
        <v>4183</v>
      </c>
      <c r="C265" t="b">
        <v>1</v>
      </c>
      <c r="D265">
        <v>8048</v>
      </c>
      <c r="E265">
        <v>8117</v>
      </c>
      <c r="F265">
        <v>8.4</v>
      </c>
      <c r="G265">
        <v>6.4</v>
      </c>
      <c r="H265">
        <v>1.3124998999999999</v>
      </c>
      <c r="I265">
        <v>-0.3124999</v>
      </c>
      <c r="J265">
        <v>0.43243247000000001</v>
      </c>
    </row>
    <row r="266" spans="1:10" x14ac:dyDescent="0.3">
      <c r="A266">
        <v>264</v>
      </c>
      <c r="B266">
        <v>4199</v>
      </c>
      <c r="C266" t="b">
        <v>1</v>
      </c>
      <c r="D266">
        <v>8048</v>
      </c>
      <c r="E266">
        <v>8117</v>
      </c>
      <c r="F266">
        <v>8</v>
      </c>
      <c r="G266">
        <v>6</v>
      </c>
      <c r="H266">
        <v>1.3333333999999999</v>
      </c>
      <c r="I266">
        <v>-0.33333333999999998</v>
      </c>
      <c r="J266">
        <v>0.42857142999999998</v>
      </c>
    </row>
    <row r="267" spans="1:10" x14ac:dyDescent="0.3">
      <c r="A267">
        <v>265</v>
      </c>
      <c r="B267">
        <v>4215</v>
      </c>
      <c r="C267" t="b">
        <v>1</v>
      </c>
      <c r="D267">
        <v>8042</v>
      </c>
      <c r="E267">
        <v>8117</v>
      </c>
      <c r="F267">
        <v>8</v>
      </c>
      <c r="G267">
        <v>5.6</v>
      </c>
      <c r="H267">
        <v>1.4285715000000001</v>
      </c>
      <c r="I267">
        <v>-0.42857146000000002</v>
      </c>
      <c r="J267">
        <v>0.41176467999999999</v>
      </c>
    </row>
    <row r="268" spans="1:10" x14ac:dyDescent="0.3">
      <c r="A268">
        <v>266</v>
      </c>
      <c r="B268">
        <v>4231</v>
      </c>
      <c r="C268" t="b">
        <v>1</v>
      </c>
      <c r="D268">
        <v>8048</v>
      </c>
      <c r="E268">
        <v>8123</v>
      </c>
      <c r="F268">
        <v>8</v>
      </c>
      <c r="G268">
        <v>5.2</v>
      </c>
      <c r="H268">
        <v>1.5384616</v>
      </c>
      <c r="I268">
        <v>-0.53846156999999994</v>
      </c>
      <c r="J268">
        <v>0.39393938000000001</v>
      </c>
    </row>
    <row r="269" spans="1:10" x14ac:dyDescent="0.3">
      <c r="A269">
        <v>267</v>
      </c>
      <c r="B269">
        <v>4247</v>
      </c>
      <c r="C269" t="b">
        <v>1</v>
      </c>
      <c r="D269">
        <v>8042</v>
      </c>
      <c r="E269">
        <v>8117</v>
      </c>
      <c r="F269">
        <v>8</v>
      </c>
      <c r="G269">
        <v>4.8</v>
      </c>
      <c r="H269">
        <v>1.6666666000000001</v>
      </c>
      <c r="I269">
        <v>-0.6666666</v>
      </c>
      <c r="J269">
        <v>0.375</v>
      </c>
    </row>
    <row r="270" spans="1:10" x14ac:dyDescent="0.3">
      <c r="A270">
        <v>268</v>
      </c>
      <c r="B270">
        <v>4263</v>
      </c>
      <c r="C270" t="b">
        <v>1</v>
      </c>
      <c r="D270">
        <v>8048</v>
      </c>
      <c r="E270">
        <v>8117</v>
      </c>
      <c r="F270">
        <v>8</v>
      </c>
      <c r="G270">
        <v>4.4000000000000004</v>
      </c>
      <c r="H270">
        <v>1.8181818000000001</v>
      </c>
      <c r="I270">
        <v>-0.81818175000000004</v>
      </c>
      <c r="J270">
        <v>0.35483872999999999</v>
      </c>
    </row>
    <row r="271" spans="1:10" x14ac:dyDescent="0.3">
      <c r="A271">
        <v>269</v>
      </c>
      <c r="B271">
        <v>4279</v>
      </c>
      <c r="C271" t="b">
        <v>1</v>
      </c>
      <c r="D271">
        <v>8048</v>
      </c>
      <c r="E271">
        <v>8123</v>
      </c>
      <c r="F271">
        <v>8</v>
      </c>
      <c r="G271">
        <v>4</v>
      </c>
      <c r="H271">
        <v>2</v>
      </c>
      <c r="I271">
        <v>-1</v>
      </c>
      <c r="J271">
        <v>0.33333333999999998</v>
      </c>
    </row>
    <row r="272" spans="1:10" x14ac:dyDescent="0.3">
      <c r="A272">
        <v>270</v>
      </c>
      <c r="B272">
        <v>4294</v>
      </c>
      <c r="C272" t="b">
        <v>1</v>
      </c>
      <c r="D272">
        <v>8048</v>
      </c>
      <c r="E272">
        <v>8123</v>
      </c>
      <c r="F272">
        <v>8</v>
      </c>
      <c r="G272">
        <v>4</v>
      </c>
      <c r="H272">
        <v>2</v>
      </c>
      <c r="I272">
        <v>-1</v>
      </c>
      <c r="J272">
        <v>0.33333333999999998</v>
      </c>
    </row>
    <row r="273" spans="1:10" x14ac:dyDescent="0.3">
      <c r="A273">
        <v>271</v>
      </c>
      <c r="B273">
        <v>4310</v>
      </c>
      <c r="C273" t="b">
        <v>1</v>
      </c>
      <c r="D273">
        <v>8048</v>
      </c>
      <c r="E273">
        <v>8123</v>
      </c>
      <c r="F273">
        <v>8</v>
      </c>
      <c r="G273">
        <v>4</v>
      </c>
      <c r="H273">
        <v>2</v>
      </c>
      <c r="I273">
        <v>-1</v>
      </c>
      <c r="J273">
        <v>0.33333333999999998</v>
      </c>
    </row>
    <row r="274" spans="1:10" x14ac:dyDescent="0.3">
      <c r="A274">
        <v>272</v>
      </c>
      <c r="B274">
        <v>4326</v>
      </c>
      <c r="C274" t="b">
        <v>1</v>
      </c>
      <c r="D274">
        <v>8048</v>
      </c>
      <c r="E274">
        <v>8123</v>
      </c>
      <c r="F274">
        <v>8</v>
      </c>
      <c r="G274">
        <v>4</v>
      </c>
      <c r="H274">
        <v>2</v>
      </c>
      <c r="I274">
        <v>-1</v>
      </c>
      <c r="J274">
        <v>0.33333333999999998</v>
      </c>
    </row>
    <row r="275" spans="1:10" x14ac:dyDescent="0.3">
      <c r="A275">
        <v>273</v>
      </c>
      <c r="B275">
        <v>4342</v>
      </c>
      <c r="C275" t="b">
        <v>1</v>
      </c>
      <c r="D275">
        <v>8048</v>
      </c>
      <c r="E275">
        <v>8123</v>
      </c>
      <c r="F275">
        <v>8</v>
      </c>
      <c r="G275">
        <v>4</v>
      </c>
      <c r="H275">
        <v>2</v>
      </c>
      <c r="I275">
        <v>-1</v>
      </c>
      <c r="J275">
        <v>0.33333333999999998</v>
      </c>
    </row>
    <row r="276" spans="1:10" x14ac:dyDescent="0.3">
      <c r="A276">
        <v>274</v>
      </c>
      <c r="B276">
        <v>4358</v>
      </c>
      <c r="C276" t="b">
        <v>1</v>
      </c>
      <c r="D276">
        <v>8054</v>
      </c>
      <c r="E276">
        <v>8123</v>
      </c>
      <c r="F276">
        <v>8</v>
      </c>
      <c r="G276">
        <v>4</v>
      </c>
      <c r="H276">
        <v>2</v>
      </c>
      <c r="I276">
        <v>-1</v>
      </c>
      <c r="J276">
        <v>0.33333333999999998</v>
      </c>
    </row>
    <row r="277" spans="1:10" x14ac:dyDescent="0.3">
      <c r="A277">
        <v>275</v>
      </c>
      <c r="B277">
        <v>4374</v>
      </c>
      <c r="C277" t="b">
        <v>1</v>
      </c>
      <c r="D277">
        <v>8048</v>
      </c>
      <c r="E277">
        <v>8117</v>
      </c>
      <c r="F277">
        <v>8</v>
      </c>
      <c r="G277">
        <v>4.4000000000000004</v>
      </c>
      <c r="H277">
        <v>1.8181818000000001</v>
      </c>
      <c r="I277">
        <v>-0.81818175000000004</v>
      </c>
      <c r="J277">
        <v>0.35483872999999999</v>
      </c>
    </row>
    <row r="278" spans="1:10" x14ac:dyDescent="0.3">
      <c r="A278">
        <v>276</v>
      </c>
      <c r="B278">
        <v>4390</v>
      </c>
      <c r="C278" t="b">
        <v>1</v>
      </c>
      <c r="D278">
        <v>8048</v>
      </c>
      <c r="E278">
        <v>8117</v>
      </c>
      <c r="F278">
        <v>8</v>
      </c>
      <c r="G278">
        <v>4.8</v>
      </c>
      <c r="H278">
        <v>1.6666666000000001</v>
      </c>
      <c r="I278">
        <v>-0.6666666</v>
      </c>
      <c r="J278">
        <v>0.375</v>
      </c>
    </row>
    <row r="279" spans="1:10" x14ac:dyDescent="0.3">
      <c r="A279">
        <v>277</v>
      </c>
      <c r="B279">
        <v>4406</v>
      </c>
      <c r="C279" t="b">
        <v>1</v>
      </c>
      <c r="D279">
        <v>8048</v>
      </c>
      <c r="E279">
        <v>8123</v>
      </c>
      <c r="F279">
        <v>8</v>
      </c>
      <c r="G279">
        <v>5.2</v>
      </c>
      <c r="H279">
        <v>1.5384616</v>
      </c>
      <c r="I279">
        <v>-0.53846156999999994</v>
      </c>
      <c r="J279">
        <v>0.39393938000000001</v>
      </c>
    </row>
    <row r="280" spans="1:10" x14ac:dyDescent="0.3">
      <c r="A280">
        <v>278</v>
      </c>
      <c r="B280">
        <v>4421</v>
      </c>
      <c r="C280" t="b">
        <v>1</v>
      </c>
      <c r="D280">
        <v>8048</v>
      </c>
      <c r="E280">
        <v>8129</v>
      </c>
      <c r="F280">
        <v>8</v>
      </c>
      <c r="G280">
        <v>5.6</v>
      </c>
      <c r="H280">
        <v>1.4285715000000001</v>
      </c>
      <c r="I280">
        <v>-0.42857146000000002</v>
      </c>
      <c r="J280">
        <v>0.41176467999999999</v>
      </c>
    </row>
    <row r="281" spans="1:10" x14ac:dyDescent="0.3">
      <c r="A281">
        <v>279</v>
      </c>
      <c r="B281">
        <v>4437</v>
      </c>
      <c r="C281" t="b">
        <v>1</v>
      </c>
      <c r="D281">
        <v>8048</v>
      </c>
      <c r="E281">
        <v>8123</v>
      </c>
      <c r="F281">
        <v>8</v>
      </c>
      <c r="G281">
        <v>6</v>
      </c>
      <c r="H281">
        <v>1.3333333999999999</v>
      </c>
      <c r="I281">
        <v>-0.33333333999999998</v>
      </c>
      <c r="J281">
        <v>0.42857142999999998</v>
      </c>
    </row>
    <row r="282" spans="1:10" x14ac:dyDescent="0.3">
      <c r="A282">
        <v>280</v>
      </c>
      <c r="B282">
        <v>4453</v>
      </c>
      <c r="C282" t="b">
        <v>1</v>
      </c>
      <c r="D282">
        <v>8048</v>
      </c>
      <c r="E282">
        <v>8123</v>
      </c>
      <c r="F282">
        <v>8</v>
      </c>
      <c r="G282">
        <v>6.4</v>
      </c>
      <c r="H282">
        <v>1.25</v>
      </c>
      <c r="I282">
        <v>-0.24999999000000001</v>
      </c>
      <c r="J282">
        <v>0.44444447999999998</v>
      </c>
    </row>
    <row r="283" spans="1:10" x14ac:dyDescent="0.3">
      <c r="A283">
        <v>281</v>
      </c>
      <c r="B283">
        <v>4483</v>
      </c>
      <c r="C283" t="b">
        <v>1</v>
      </c>
      <c r="D283">
        <v>8042</v>
      </c>
      <c r="E283">
        <v>8117</v>
      </c>
      <c r="F283">
        <v>8</v>
      </c>
      <c r="G283">
        <v>6.8</v>
      </c>
      <c r="H283">
        <v>1.1764705</v>
      </c>
      <c r="I283">
        <v>-0.17647055</v>
      </c>
      <c r="J283">
        <v>0.45945944999999999</v>
      </c>
    </row>
    <row r="284" spans="1:10" x14ac:dyDescent="0.3">
      <c r="A284">
        <v>282</v>
      </c>
      <c r="B284">
        <v>4499</v>
      </c>
      <c r="C284" t="b">
        <v>1</v>
      </c>
      <c r="D284">
        <v>8048</v>
      </c>
      <c r="E284">
        <v>8117</v>
      </c>
      <c r="F284">
        <v>8</v>
      </c>
      <c r="G284">
        <v>7.2</v>
      </c>
      <c r="H284">
        <v>1.1111112000000001</v>
      </c>
      <c r="I284">
        <v>-0.11111114</v>
      </c>
      <c r="J284">
        <v>0.4736842</v>
      </c>
    </row>
    <row r="285" spans="1:10" x14ac:dyDescent="0.3">
      <c r="A285">
        <v>283</v>
      </c>
      <c r="B285">
        <v>4515</v>
      </c>
      <c r="C285" t="b">
        <v>1</v>
      </c>
      <c r="D285">
        <v>8048</v>
      </c>
      <c r="E285">
        <v>8123</v>
      </c>
      <c r="F285">
        <v>8</v>
      </c>
      <c r="G285">
        <v>7.6</v>
      </c>
      <c r="H285">
        <v>1.0526316</v>
      </c>
      <c r="I285">
        <v>-5.2631589999999999E-2</v>
      </c>
      <c r="J285">
        <v>0.48717946000000001</v>
      </c>
    </row>
    <row r="286" spans="1:10" x14ac:dyDescent="0.3">
      <c r="A286">
        <v>284</v>
      </c>
      <c r="B286">
        <v>4531</v>
      </c>
      <c r="C286" t="b">
        <v>1</v>
      </c>
      <c r="D286">
        <v>8048</v>
      </c>
      <c r="E286">
        <v>8123</v>
      </c>
      <c r="F286">
        <v>8</v>
      </c>
      <c r="G286">
        <v>8</v>
      </c>
      <c r="H286">
        <v>1</v>
      </c>
      <c r="I286">
        <v>0</v>
      </c>
      <c r="J286">
        <v>0.5</v>
      </c>
    </row>
    <row r="287" spans="1:10" x14ac:dyDescent="0.3">
      <c r="A287">
        <v>285</v>
      </c>
      <c r="B287">
        <v>4546</v>
      </c>
      <c r="C287" t="b">
        <v>1</v>
      </c>
      <c r="D287">
        <v>8042</v>
      </c>
      <c r="E287">
        <v>8117</v>
      </c>
      <c r="F287">
        <v>8</v>
      </c>
      <c r="G287">
        <v>7.6</v>
      </c>
      <c r="H287">
        <v>1.0526316</v>
      </c>
      <c r="I287">
        <v>-5.2631589999999999E-2</v>
      </c>
      <c r="J287">
        <v>0.48717946000000001</v>
      </c>
    </row>
    <row r="288" spans="1:10" x14ac:dyDescent="0.3">
      <c r="A288">
        <v>286</v>
      </c>
      <c r="B288">
        <v>4563</v>
      </c>
      <c r="C288" t="b">
        <v>1</v>
      </c>
      <c r="D288">
        <v>8048</v>
      </c>
      <c r="E288">
        <v>8123</v>
      </c>
      <c r="F288">
        <v>8</v>
      </c>
      <c r="G288">
        <v>7.6</v>
      </c>
      <c r="H288">
        <v>1.0526316</v>
      </c>
      <c r="I288">
        <v>-5.2631589999999999E-2</v>
      </c>
      <c r="J288">
        <v>0.48717946000000001</v>
      </c>
    </row>
    <row r="289" spans="1:10" x14ac:dyDescent="0.3">
      <c r="A289">
        <v>287</v>
      </c>
      <c r="B289">
        <v>4578</v>
      </c>
      <c r="C289" t="b">
        <v>1</v>
      </c>
      <c r="D289">
        <v>8042</v>
      </c>
      <c r="E289">
        <v>8117</v>
      </c>
      <c r="F289">
        <v>8</v>
      </c>
      <c r="G289">
        <v>7.6</v>
      </c>
      <c r="H289">
        <v>1.0526316</v>
      </c>
      <c r="I289">
        <v>-5.2631589999999999E-2</v>
      </c>
      <c r="J289">
        <v>0.48717946000000001</v>
      </c>
    </row>
    <row r="290" spans="1:10" x14ac:dyDescent="0.3">
      <c r="A290">
        <v>288</v>
      </c>
      <c r="B290">
        <v>4594</v>
      </c>
      <c r="C290" t="b">
        <v>1</v>
      </c>
      <c r="D290">
        <v>8054</v>
      </c>
      <c r="E290">
        <v>8117</v>
      </c>
      <c r="F290">
        <v>8</v>
      </c>
      <c r="G290">
        <v>7.2</v>
      </c>
      <c r="H290">
        <v>1.1111112000000001</v>
      </c>
      <c r="I290">
        <v>-0.11111114</v>
      </c>
      <c r="J290">
        <v>0.4736842</v>
      </c>
    </row>
    <row r="291" spans="1:10" x14ac:dyDescent="0.3">
      <c r="A291">
        <v>289</v>
      </c>
      <c r="B291">
        <v>4610</v>
      </c>
      <c r="C291" t="b">
        <v>1</v>
      </c>
      <c r="D291">
        <v>8048</v>
      </c>
      <c r="E291">
        <v>8117</v>
      </c>
      <c r="F291">
        <v>8</v>
      </c>
      <c r="G291">
        <v>6.8</v>
      </c>
      <c r="H291">
        <v>1.1764705</v>
      </c>
      <c r="I291">
        <v>-0.17647055</v>
      </c>
      <c r="J291">
        <v>0.45945944999999999</v>
      </c>
    </row>
    <row r="292" spans="1:10" x14ac:dyDescent="0.3">
      <c r="A292">
        <v>290</v>
      </c>
      <c r="B292">
        <v>4626</v>
      </c>
      <c r="C292" t="b">
        <v>1</v>
      </c>
      <c r="D292">
        <v>8048</v>
      </c>
      <c r="E292">
        <v>8117</v>
      </c>
      <c r="F292">
        <v>8</v>
      </c>
      <c r="G292">
        <v>6.4</v>
      </c>
      <c r="H292">
        <v>1.25</v>
      </c>
      <c r="I292">
        <v>-0.24999999000000001</v>
      </c>
      <c r="J292">
        <v>0.44444447999999998</v>
      </c>
    </row>
    <row r="293" spans="1:10" x14ac:dyDescent="0.3">
      <c r="A293">
        <v>291</v>
      </c>
      <c r="B293">
        <v>4642</v>
      </c>
      <c r="C293" t="b">
        <v>1</v>
      </c>
      <c r="D293">
        <v>8048</v>
      </c>
      <c r="E293">
        <v>8123</v>
      </c>
      <c r="F293">
        <v>8</v>
      </c>
      <c r="G293">
        <v>6</v>
      </c>
      <c r="H293">
        <v>1.3333333999999999</v>
      </c>
      <c r="I293">
        <v>-0.33333333999999998</v>
      </c>
      <c r="J293">
        <v>0.42857142999999998</v>
      </c>
    </row>
    <row r="294" spans="1:10" x14ac:dyDescent="0.3">
      <c r="A294">
        <v>292</v>
      </c>
      <c r="B294">
        <v>4658</v>
      </c>
      <c r="C294" t="b">
        <v>1</v>
      </c>
      <c r="D294">
        <v>8048</v>
      </c>
      <c r="E294">
        <v>8123</v>
      </c>
      <c r="F294">
        <v>8</v>
      </c>
      <c r="G294">
        <v>5.6</v>
      </c>
      <c r="H294">
        <v>1.4285715000000001</v>
      </c>
      <c r="I294">
        <v>-0.42857146000000002</v>
      </c>
      <c r="J294">
        <v>0.41176467999999999</v>
      </c>
    </row>
    <row r="295" spans="1:10" x14ac:dyDescent="0.3">
      <c r="A295">
        <v>293</v>
      </c>
      <c r="B295">
        <v>4674</v>
      </c>
      <c r="C295" t="b">
        <v>1</v>
      </c>
      <c r="D295">
        <v>8042</v>
      </c>
      <c r="E295">
        <v>8123</v>
      </c>
      <c r="F295">
        <v>8</v>
      </c>
      <c r="G295">
        <v>5.6</v>
      </c>
      <c r="H295">
        <v>1.4285715000000001</v>
      </c>
      <c r="I295">
        <v>-0.42857146000000002</v>
      </c>
      <c r="J295">
        <v>0.41176467999999999</v>
      </c>
    </row>
    <row r="296" spans="1:10" x14ac:dyDescent="0.3">
      <c r="A296">
        <v>294</v>
      </c>
      <c r="B296">
        <v>4690</v>
      </c>
      <c r="C296" t="b">
        <v>1</v>
      </c>
      <c r="D296">
        <v>8048</v>
      </c>
      <c r="E296">
        <v>8123</v>
      </c>
      <c r="F296">
        <v>8</v>
      </c>
      <c r="G296">
        <v>5.6</v>
      </c>
      <c r="H296">
        <v>1.4285715000000001</v>
      </c>
      <c r="I296">
        <v>-0.42857146000000002</v>
      </c>
      <c r="J296">
        <v>0.41176467999999999</v>
      </c>
    </row>
    <row r="297" spans="1:10" x14ac:dyDescent="0.3">
      <c r="A297">
        <v>295</v>
      </c>
      <c r="B297">
        <v>4706</v>
      </c>
      <c r="C297" t="b">
        <v>1</v>
      </c>
      <c r="D297">
        <v>8048</v>
      </c>
      <c r="E297">
        <v>8123</v>
      </c>
      <c r="F297">
        <v>8</v>
      </c>
      <c r="G297">
        <v>5.6</v>
      </c>
      <c r="H297">
        <v>1.4285715000000001</v>
      </c>
      <c r="I297">
        <v>-0.42857146000000002</v>
      </c>
      <c r="J297">
        <v>0.41176467999999999</v>
      </c>
    </row>
    <row r="298" spans="1:10" x14ac:dyDescent="0.3">
      <c r="A298">
        <v>296</v>
      </c>
      <c r="B298">
        <v>4722</v>
      </c>
      <c r="C298" t="b">
        <v>1</v>
      </c>
      <c r="D298">
        <v>8048</v>
      </c>
      <c r="E298">
        <v>8123</v>
      </c>
      <c r="F298">
        <v>8</v>
      </c>
      <c r="G298">
        <v>5.6</v>
      </c>
      <c r="H298">
        <v>1.4285715000000001</v>
      </c>
      <c r="I298">
        <v>-0.42857146000000002</v>
      </c>
      <c r="J298">
        <v>0.41176467999999999</v>
      </c>
    </row>
    <row r="299" spans="1:10" x14ac:dyDescent="0.3">
      <c r="A299">
        <v>297</v>
      </c>
      <c r="B299">
        <v>4738</v>
      </c>
      <c r="C299" t="b">
        <v>1</v>
      </c>
      <c r="D299">
        <v>8048</v>
      </c>
      <c r="E299">
        <v>8123</v>
      </c>
      <c r="F299">
        <v>8</v>
      </c>
      <c r="G299">
        <v>5.6</v>
      </c>
      <c r="H299">
        <v>1.4285715000000001</v>
      </c>
      <c r="I299">
        <v>-0.42857146000000002</v>
      </c>
      <c r="J299">
        <v>0.41176467999999999</v>
      </c>
    </row>
    <row r="300" spans="1:10" x14ac:dyDescent="0.3">
      <c r="A300">
        <v>298</v>
      </c>
      <c r="B300">
        <v>4754</v>
      </c>
      <c r="C300" t="b">
        <v>1</v>
      </c>
      <c r="D300">
        <v>8048</v>
      </c>
      <c r="E300">
        <v>8123</v>
      </c>
      <c r="F300">
        <v>8</v>
      </c>
      <c r="G300">
        <v>5.6</v>
      </c>
      <c r="H300">
        <v>1.4285715000000001</v>
      </c>
      <c r="I300">
        <v>-0.42857146000000002</v>
      </c>
      <c r="J300">
        <v>0.41176467999999999</v>
      </c>
    </row>
    <row r="301" spans="1:10" x14ac:dyDescent="0.3">
      <c r="A301">
        <v>299</v>
      </c>
      <c r="B301">
        <v>4769</v>
      </c>
      <c r="C301" t="b">
        <v>1</v>
      </c>
      <c r="D301">
        <v>8054</v>
      </c>
      <c r="E301">
        <v>8111</v>
      </c>
      <c r="F301">
        <v>8</v>
      </c>
      <c r="G301">
        <v>5.6</v>
      </c>
      <c r="H301">
        <v>1.4285715000000001</v>
      </c>
      <c r="I301">
        <v>-0.42857146000000002</v>
      </c>
      <c r="J301">
        <v>0.41176467999999999</v>
      </c>
    </row>
    <row r="302" spans="1:10" x14ac:dyDescent="0.3">
      <c r="A302">
        <v>300</v>
      </c>
      <c r="B302">
        <v>4785</v>
      </c>
      <c r="C302" t="b">
        <v>1</v>
      </c>
      <c r="D302">
        <v>8048</v>
      </c>
      <c r="E302">
        <v>8117</v>
      </c>
      <c r="F302">
        <v>8</v>
      </c>
      <c r="G302">
        <v>6</v>
      </c>
      <c r="H302">
        <v>1.3333333999999999</v>
      </c>
      <c r="I302">
        <v>-0.33333333999999998</v>
      </c>
      <c r="J302">
        <v>0.42857142999999998</v>
      </c>
    </row>
    <row r="303" spans="1:10" x14ac:dyDescent="0.3">
      <c r="A303">
        <v>301</v>
      </c>
      <c r="B303">
        <v>4801</v>
      </c>
      <c r="C303" t="b">
        <v>1</v>
      </c>
      <c r="D303">
        <v>8048</v>
      </c>
      <c r="E303">
        <v>8117</v>
      </c>
      <c r="F303">
        <v>8</v>
      </c>
      <c r="G303">
        <v>5.6</v>
      </c>
      <c r="H303">
        <v>1.4285715000000001</v>
      </c>
      <c r="I303">
        <v>-0.42857146000000002</v>
      </c>
      <c r="J303">
        <v>0.41176467999999999</v>
      </c>
    </row>
    <row r="304" spans="1:10" x14ac:dyDescent="0.3">
      <c r="A304">
        <v>302</v>
      </c>
      <c r="B304">
        <v>4817</v>
      </c>
      <c r="C304" t="b">
        <v>1</v>
      </c>
      <c r="D304">
        <v>8048</v>
      </c>
      <c r="E304">
        <v>8117</v>
      </c>
      <c r="F304">
        <v>8</v>
      </c>
      <c r="G304">
        <v>5.2</v>
      </c>
      <c r="H304">
        <v>1.5384616</v>
      </c>
      <c r="I304">
        <v>-0.53846156999999994</v>
      </c>
      <c r="J304">
        <v>0.39393938000000001</v>
      </c>
    </row>
    <row r="305" spans="1:10" x14ac:dyDescent="0.3">
      <c r="A305">
        <v>303</v>
      </c>
      <c r="B305">
        <v>4833</v>
      </c>
      <c r="C305" t="b">
        <v>1</v>
      </c>
      <c r="D305">
        <v>8048</v>
      </c>
      <c r="E305">
        <v>8117</v>
      </c>
      <c r="F305">
        <v>8</v>
      </c>
      <c r="G305">
        <v>5.2</v>
      </c>
      <c r="H305">
        <v>1.5384616</v>
      </c>
      <c r="I305">
        <v>-0.53846156999999994</v>
      </c>
      <c r="J305">
        <v>0.39393938000000001</v>
      </c>
    </row>
    <row r="306" spans="1:10" x14ac:dyDescent="0.3">
      <c r="A306">
        <v>304</v>
      </c>
      <c r="B306">
        <v>4849</v>
      </c>
      <c r="C306" t="b">
        <v>1</v>
      </c>
      <c r="D306">
        <v>8054</v>
      </c>
      <c r="E306">
        <v>8117</v>
      </c>
      <c r="F306">
        <v>8</v>
      </c>
      <c r="G306">
        <v>5.2</v>
      </c>
      <c r="H306">
        <v>1.5384616</v>
      </c>
      <c r="I306">
        <v>-0.53846156999999994</v>
      </c>
      <c r="J306">
        <v>0.39393938000000001</v>
      </c>
    </row>
    <row r="307" spans="1:10" x14ac:dyDescent="0.3">
      <c r="A307">
        <v>305</v>
      </c>
      <c r="B307">
        <v>4865</v>
      </c>
      <c r="C307" t="b">
        <v>1</v>
      </c>
      <c r="D307">
        <v>8048</v>
      </c>
      <c r="E307">
        <v>8123</v>
      </c>
      <c r="F307">
        <v>8</v>
      </c>
      <c r="G307">
        <v>5.2</v>
      </c>
      <c r="H307">
        <v>1.5384616</v>
      </c>
      <c r="I307">
        <v>-0.53846156999999994</v>
      </c>
      <c r="J307">
        <v>0.39393938000000001</v>
      </c>
    </row>
    <row r="308" spans="1:10" x14ac:dyDescent="0.3">
      <c r="A308">
        <v>306</v>
      </c>
      <c r="B308">
        <v>4881</v>
      </c>
      <c r="C308" t="b">
        <v>1</v>
      </c>
      <c r="D308">
        <v>8042</v>
      </c>
      <c r="E308">
        <v>8129</v>
      </c>
      <c r="F308">
        <v>8</v>
      </c>
      <c r="G308">
        <v>5.2</v>
      </c>
      <c r="H308">
        <v>1.5384616</v>
      </c>
      <c r="I308">
        <v>-0.53846156999999994</v>
      </c>
      <c r="J308">
        <v>0.39393938000000001</v>
      </c>
    </row>
    <row r="309" spans="1:10" x14ac:dyDescent="0.3">
      <c r="A309">
        <v>307</v>
      </c>
      <c r="B309">
        <v>4896</v>
      </c>
      <c r="C309" t="b">
        <v>1</v>
      </c>
      <c r="D309">
        <v>8048</v>
      </c>
      <c r="E309">
        <v>8123</v>
      </c>
      <c r="F309">
        <v>8</v>
      </c>
      <c r="G309">
        <v>5.6</v>
      </c>
      <c r="H309">
        <v>1.4285715000000001</v>
      </c>
      <c r="I309">
        <v>-0.42857146000000002</v>
      </c>
      <c r="J309">
        <v>0.41176467999999999</v>
      </c>
    </row>
    <row r="310" spans="1:10" x14ac:dyDescent="0.3">
      <c r="A310">
        <v>308</v>
      </c>
      <c r="B310">
        <v>4912</v>
      </c>
      <c r="C310" t="b">
        <v>1</v>
      </c>
      <c r="D310">
        <v>8048</v>
      </c>
      <c r="E310">
        <v>8123</v>
      </c>
      <c r="F310">
        <v>8</v>
      </c>
      <c r="G310">
        <v>5.6</v>
      </c>
      <c r="H310">
        <v>1.4285715000000001</v>
      </c>
      <c r="I310">
        <v>-0.42857146000000002</v>
      </c>
      <c r="J310">
        <v>0.41176467999999999</v>
      </c>
    </row>
    <row r="311" spans="1:10" x14ac:dyDescent="0.3">
      <c r="A311">
        <v>309</v>
      </c>
      <c r="B311">
        <v>4928</v>
      </c>
      <c r="C311" t="b">
        <v>1</v>
      </c>
      <c r="D311">
        <v>8048</v>
      </c>
      <c r="E311">
        <v>8117</v>
      </c>
      <c r="F311">
        <v>8</v>
      </c>
      <c r="G311">
        <v>5.6</v>
      </c>
      <c r="H311">
        <v>1.4285715000000001</v>
      </c>
      <c r="I311">
        <v>-0.42857146000000002</v>
      </c>
      <c r="J311">
        <v>0.41176467999999999</v>
      </c>
    </row>
    <row r="312" spans="1:10" x14ac:dyDescent="0.3">
      <c r="A312">
        <v>310</v>
      </c>
      <c r="B312">
        <v>4944</v>
      </c>
      <c r="C312" t="b">
        <v>1</v>
      </c>
      <c r="D312">
        <v>8054</v>
      </c>
      <c r="E312">
        <v>8123</v>
      </c>
      <c r="F312">
        <v>8</v>
      </c>
      <c r="G312">
        <v>5.6</v>
      </c>
      <c r="H312">
        <v>1.4285715000000001</v>
      </c>
      <c r="I312">
        <v>-0.42857146000000002</v>
      </c>
      <c r="J312">
        <v>0.41176467999999999</v>
      </c>
    </row>
    <row r="313" spans="1:10" x14ac:dyDescent="0.3">
      <c r="A313">
        <v>311</v>
      </c>
      <c r="B313">
        <v>4959</v>
      </c>
      <c r="C313" t="b">
        <v>1</v>
      </c>
      <c r="D313">
        <v>8054</v>
      </c>
      <c r="E313">
        <v>8123</v>
      </c>
      <c r="F313">
        <v>8</v>
      </c>
      <c r="G313">
        <v>5.6</v>
      </c>
      <c r="H313">
        <v>1.4285715000000001</v>
      </c>
      <c r="I313">
        <v>-0.42857146000000002</v>
      </c>
      <c r="J313">
        <v>0.41176467999999999</v>
      </c>
    </row>
    <row r="314" spans="1:10" x14ac:dyDescent="0.3">
      <c r="A314">
        <v>312</v>
      </c>
      <c r="B314">
        <v>4976</v>
      </c>
      <c r="C314" t="b">
        <v>1</v>
      </c>
      <c r="D314">
        <v>8054</v>
      </c>
      <c r="E314">
        <v>8123</v>
      </c>
      <c r="F314">
        <v>8.4</v>
      </c>
      <c r="G314">
        <v>5.6</v>
      </c>
      <c r="H314">
        <v>1.5</v>
      </c>
      <c r="I314">
        <v>-0.49999997000000002</v>
      </c>
      <c r="J314">
        <v>0.4</v>
      </c>
    </row>
    <row r="315" spans="1:10" x14ac:dyDescent="0.3">
      <c r="A315">
        <v>313</v>
      </c>
      <c r="B315">
        <v>4991</v>
      </c>
      <c r="C315" t="b">
        <v>1</v>
      </c>
      <c r="D315">
        <v>8054</v>
      </c>
      <c r="E315">
        <v>8123</v>
      </c>
      <c r="F315">
        <v>8.8000000000000007</v>
      </c>
      <c r="G315">
        <v>5.6</v>
      </c>
      <c r="H315">
        <v>1.5714287</v>
      </c>
      <c r="I315">
        <v>-0.57142866000000003</v>
      </c>
      <c r="J315">
        <v>0.38888889999999998</v>
      </c>
    </row>
    <row r="316" spans="1:10" x14ac:dyDescent="0.3">
      <c r="A316">
        <v>314</v>
      </c>
      <c r="B316">
        <v>5007</v>
      </c>
      <c r="C316" t="b">
        <v>1</v>
      </c>
      <c r="D316">
        <v>8054</v>
      </c>
      <c r="E316">
        <v>8123</v>
      </c>
      <c r="F316">
        <v>9.1999999999999993</v>
      </c>
      <c r="G316">
        <v>5.6</v>
      </c>
      <c r="H316">
        <v>1.6428571999999999</v>
      </c>
      <c r="I316">
        <v>-0.64285713</v>
      </c>
      <c r="J316">
        <v>0.3783784</v>
      </c>
    </row>
    <row r="317" spans="1:10" x14ac:dyDescent="0.3">
      <c r="A317">
        <v>315</v>
      </c>
      <c r="B317">
        <v>5023</v>
      </c>
      <c r="C317" t="b">
        <v>1</v>
      </c>
      <c r="D317">
        <v>8060</v>
      </c>
      <c r="E317">
        <v>8123</v>
      </c>
      <c r="F317">
        <v>9.6</v>
      </c>
      <c r="G317">
        <v>5.6</v>
      </c>
      <c r="H317">
        <v>1.7142858999999999</v>
      </c>
      <c r="I317">
        <v>-0.71428579999999997</v>
      </c>
      <c r="J317">
        <v>0.36842101999999999</v>
      </c>
    </row>
    <row r="318" spans="1:10" x14ac:dyDescent="0.3">
      <c r="A318">
        <v>316</v>
      </c>
      <c r="B318">
        <v>5039</v>
      </c>
      <c r="C318" t="b">
        <v>1</v>
      </c>
      <c r="D318">
        <v>8054</v>
      </c>
      <c r="E318">
        <v>8123</v>
      </c>
      <c r="F318">
        <v>10</v>
      </c>
      <c r="G318">
        <v>6</v>
      </c>
      <c r="H318">
        <v>1.6666666000000001</v>
      </c>
      <c r="I318">
        <v>-0.66666669999999995</v>
      </c>
      <c r="J318">
        <v>0.375</v>
      </c>
    </row>
    <row r="319" spans="1:10" x14ac:dyDescent="0.3">
      <c r="A319">
        <v>317</v>
      </c>
      <c r="B319">
        <v>5054</v>
      </c>
      <c r="C319" t="b">
        <v>1</v>
      </c>
      <c r="D319">
        <v>8048</v>
      </c>
      <c r="E319">
        <v>8123</v>
      </c>
      <c r="F319">
        <v>10.4</v>
      </c>
      <c r="G319">
        <v>6.4</v>
      </c>
      <c r="H319">
        <v>1.6249998999999999</v>
      </c>
      <c r="I319">
        <v>-0.62499994000000003</v>
      </c>
      <c r="J319">
        <v>0.38095242000000001</v>
      </c>
    </row>
    <row r="320" spans="1:10" x14ac:dyDescent="0.3">
      <c r="A320">
        <v>318</v>
      </c>
      <c r="B320">
        <v>5070</v>
      </c>
      <c r="C320" t="b">
        <v>1</v>
      </c>
      <c r="D320">
        <v>8048</v>
      </c>
      <c r="E320">
        <v>8123</v>
      </c>
      <c r="F320">
        <v>10.8</v>
      </c>
      <c r="G320">
        <v>6.8</v>
      </c>
      <c r="H320">
        <v>1.5882353</v>
      </c>
      <c r="I320">
        <v>-0.58823526000000004</v>
      </c>
      <c r="J320">
        <v>0.38636363000000001</v>
      </c>
    </row>
    <row r="321" spans="1:10" x14ac:dyDescent="0.3">
      <c r="A321">
        <v>319</v>
      </c>
      <c r="B321">
        <v>5086</v>
      </c>
      <c r="C321" t="b">
        <v>1</v>
      </c>
      <c r="D321">
        <v>8048</v>
      </c>
      <c r="E321">
        <v>8123</v>
      </c>
      <c r="F321">
        <v>10.8</v>
      </c>
      <c r="G321">
        <v>7.2</v>
      </c>
      <c r="H321">
        <v>1.5000001000000001</v>
      </c>
      <c r="I321">
        <v>-0.50000005999999997</v>
      </c>
      <c r="J321">
        <v>0.39999997999999998</v>
      </c>
    </row>
    <row r="322" spans="1:10" x14ac:dyDescent="0.3">
      <c r="A322">
        <v>320</v>
      </c>
      <c r="B322">
        <v>5102</v>
      </c>
      <c r="C322" t="b">
        <v>1</v>
      </c>
      <c r="D322">
        <v>8042</v>
      </c>
      <c r="E322">
        <v>8123</v>
      </c>
      <c r="F322">
        <v>10.8</v>
      </c>
      <c r="G322">
        <v>7.6</v>
      </c>
      <c r="H322">
        <v>1.4210526999999999</v>
      </c>
      <c r="I322">
        <v>-0.42105266000000002</v>
      </c>
      <c r="J322">
        <v>0.41304347000000002</v>
      </c>
    </row>
    <row r="323" spans="1:10" x14ac:dyDescent="0.3">
      <c r="A323">
        <v>321</v>
      </c>
      <c r="B323">
        <v>5118</v>
      </c>
      <c r="C323" t="b">
        <v>1</v>
      </c>
      <c r="D323">
        <v>8048</v>
      </c>
      <c r="E323">
        <v>8123</v>
      </c>
      <c r="F323">
        <v>10.8</v>
      </c>
      <c r="G323">
        <v>8</v>
      </c>
      <c r="H323">
        <v>1.35</v>
      </c>
      <c r="I323">
        <v>-0.35000002000000002</v>
      </c>
      <c r="J323">
        <v>0.42553192000000001</v>
      </c>
    </row>
    <row r="324" spans="1:10" x14ac:dyDescent="0.3">
      <c r="A324">
        <v>322</v>
      </c>
      <c r="B324">
        <v>5134</v>
      </c>
      <c r="C324" t="b">
        <v>1</v>
      </c>
      <c r="D324">
        <v>8048</v>
      </c>
      <c r="E324">
        <v>8123</v>
      </c>
      <c r="F324">
        <v>10.8</v>
      </c>
      <c r="G324">
        <v>8</v>
      </c>
      <c r="H324">
        <v>1.35</v>
      </c>
      <c r="I324">
        <v>-0.35000002000000002</v>
      </c>
      <c r="J324">
        <v>0.42553192000000001</v>
      </c>
    </row>
    <row r="325" spans="1:10" x14ac:dyDescent="0.3">
      <c r="A325">
        <v>323</v>
      </c>
      <c r="B325">
        <v>5150</v>
      </c>
      <c r="C325" t="b">
        <v>1</v>
      </c>
      <c r="D325">
        <v>8060</v>
      </c>
      <c r="E325">
        <v>8123</v>
      </c>
      <c r="F325">
        <v>10.8</v>
      </c>
      <c r="G325">
        <v>8</v>
      </c>
      <c r="H325">
        <v>1.35</v>
      </c>
      <c r="I325">
        <v>-0.35000002000000002</v>
      </c>
      <c r="J325">
        <v>0.42553192000000001</v>
      </c>
    </row>
    <row r="326" spans="1:10" x14ac:dyDescent="0.3">
      <c r="A326">
        <v>324</v>
      </c>
      <c r="B326">
        <v>5166</v>
      </c>
      <c r="C326" t="b">
        <v>1</v>
      </c>
      <c r="D326">
        <v>8054</v>
      </c>
      <c r="E326">
        <v>8123</v>
      </c>
      <c r="F326">
        <v>10.8</v>
      </c>
      <c r="G326">
        <v>8</v>
      </c>
      <c r="H326">
        <v>1.35</v>
      </c>
      <c r="I326">
        <v>-0.35000002000000002</v>
      </c>
      <c r="J326">
        <v>0.42553192000000001</v>
      </c>
    </row>
    <row r="327" spans="1:10" x14ac:dyDescent="0.3">
      <c r="A327">
        <v>325</v>
      </c>
      <c r="B327">
        <v>5182</v>
      </c>
      <c r="C327" t="b">
        <v>1</v>
      </c>
      <c r="D327">
        <v>8054</v>
      </c>
      <c r="E327">
        <v>8123</v>
      </c>
      <c r="F327">
        <v>11.2</v>
      </c>
      <c r="G327">
        <v>8</v>
      </c>
      <c r="H327">
        <v>1.4</v>
      </c>
      <c r="I327">
        <v>-0.39999997999999998</v>
      </c>
      <c r="J327">
        <v>0.41666666000000002</v>
      </c>
    </row>
    <row r="328" spans="1:10" x14ac:dyDescent="0.3">
      <c r="A328">
        <v>326</v>
      </c>
      <c r="B328">
        <v>5198</v>
      </c>
      <c r="C328" t="b">
        <v>1</v>
      </c>
      <c r="D328">
        <v>8060</v>
      </c>
      <c r="E328">
        <v>8123</v>
      </c>
      <c r="F328">
        <v>11.6</v>
      </c>
      <c r="G328">
        <v>8</v>
      </c>
      <c r="H328">
        <v>1.45</v>
      </c>
      <c r="I328">
        <v>-0.45000004999999998</v>
      </c>
      <c r="J328">
        <v>0.40816324999999998</v>
      </c>
    </row>
    <row r="329" spans="1:10" x14ac:dyDescent="0.3">
      <c r="A329">
        <v>327</v>
      </c>
      <c r="B329">
        <v>5214</v>
      </c>
      <c r="C329" t="b">
        <v>1</v>
      </c>
      <c r="D329">
        <v>8054</v>
      </c>
      <c r="E329">
        <v>8117</v>
      </c>
      <c r="F329">
        <v>11.6</v>
      </c>
      <c r="G329">
        <v>8</v>
      </c>
      <c r="H329">
        <v>1.45</v>
      </c>
      <c r="I329">
        <v>-0.45000004999999998</v>
      </c>
      <c r="J329">
        <v>0.40816324999999998</v>
      </c>
    </row>
    <row r="330" spans="1:10" x14ac:dyDescent="0.3">
      <c r="A330">
        <v>328</v>
      </c>
      <c r="B330">
        <v>5230</v>
      </c>
      <c r="C330" t="b">
        <v>1</v>
      </c>
      <c r="D330">
        <v>8054</v>
      </c>
      <c r="E330">
        <v>8123</v>
      </c>
      <c r="F330">
        <v>11.6</v>
      </c>
      <c r="G330">
        <v>8</v>
      </c>
      <c r="H330">
        <v>1.45</v>
      </c>
      <c r="I330">
        <v>-0.45000004999999998</v>
      </c>
      <c r="J330">
        <v>0.40816324999999998</v>
      </c>
    </row>
    <row r="331" spans="1:10" x14ac:dyDescent="0.3">
      <c r="A331">
        <v>329</v>
      </c>
      <c r="B331">
        <v>5246</v>
      </c>
      <c r="C331" t="b">
        <v>1</v>
      </c>
      <c r="D331">
        <v>8048</v>
      </c>
      <c r="E331">
        <v>8123</v>
      </c>
      <c r="F331">
        <v>11.6</v>
      </c>
      <c r="G331">
        <v>8</v>
      </c>
      <c r="H331">
        <v>1.45</v>
      </c>
      <c r="I331">
        <v>-0.45000004999999998</v>
      </c>
      <c r="J331">
        <v>0.40816324999999998</v>
      </c>
    </row>
    <row r="332" spans="1:10" x14ac:dyDescent="0.3">
      <c r="A332">
        <v>330</v>
      </c>
      <c r="B332">
        <v>5262</v>
      </c>
      <c r="C332" t="b">
        <v>1</v>
      </c>
      <c r="D332">
        <v>8054</v>
      </c>
      <c r="E332">
        <v>8123</v>
      </c>
      <c r="F332">
        <v>11.6</v>
      </c>
      <c r="G332">
        <v>8</v>
      </c>
      <c r="H332">
        <v>1.45</v>
      </c>
      <c r="I332">
        <v>-0.45000004999999998</v>
      </c>
      <c r="J332">
        <v>0.40816324999999998</v>
      </c>
    </row>
    <row r="333" spans="1:10" x14ac:dyDescent="0.3">
      <c r="A333">
        <v>331</v>
      </c>
      <c r="B333">
        <v>5277</v>
      </c>
      <c r="C333" t="b">
        <v>1</v>
      </c>
      <c r="D333">
        <v>8048</v>
      </c>
      <c r="E333">
        <v>8123</v>
      </c>
      <c r="F333">
        <v>11.6</v>
      </c>
      <c r="G333">
        <v>8</v>
      </c>
      <c r="H333">
        <v>1.45</v>
      </c>
      <c r="I333">
        <v>-0.45000004999999998</v>
      </c>
      <c r="J333">
        <v>0.40816324999999998</v>
      </c>
    </row>
    <row r="334" spans="1:10" x14ac:dyDescent="0.3">
      <c r="A334">
        <v>332</v>
      </c>
      <c r="B334">
        <v>5293</v>
      </c>
      <c r="C334" t="b">
        <v>1</v>
      </c>
      <c r="D334">
        <v>8048</v>
      </c>
      <c r="E334">
        <v>8123</v>
      </c>
      <c r="F334">
        <v>11.2</v>
      </c>
      <c r="G334">
        <v>8</v>
      </c>
      <c r="H334">
        <v>1.4</v>
      </c>
      <c r="I334">
        <v>-0.39999997999999998</v>
      </c>
      <c r="J334">
        <v>0.41666666000000002</v>
      </c>
    </row>
    <row r="335" spans="1:10" x14ac:dyDescent="0.3">
      <c r="A335">
        <v>333</v>
      </c>
      <c r="B335">
        <v>5309</v>
      </c>
      <c r="C335" t="b">
        <v>1</v>
      </c>
      <c r="D335">
        <v>8048</v>
      </c>
      <c r="E335">
        <v>8123</v>
      </c>
      <c r="F335">
        <v>10.8</v>
      </c>
      <c r="G335">
        <v>8</v>
      </c>
      <c r="H335">
        <v>1.35</v>
      </c>
      <c r="I335">
        <v>-0.35000002000000002</v>
      </c>
      <c r="J335">
        <v>0.42553192000000001</v>
      </c>
    </row>
    <row r="336" spans="1:10" x14ac:dyDescent="0.3">
      <c r="A336">
        <v>334</v>
      </c>
      <c r="B336">
        <v>5325</v>
      </c>
      <c r="C336" t="b">
        <v>1</v>
      </c>
      <c r="D336">
        <v>8048</v>
      </c>
      <c r="E336">
        <v>8123</v>
      </c>
      <c r="F336">
        <v>10.8</v>
      </c>
      <c r="G336">
        <v>8</v>
      </c>
      <c r="H336">
        <v>1.35</v>
      </c>
      <c r="I336">
        <v>-0.35000002000000002</v>
      </c>
      <c r="J336">
        <v>0.42553192000000001</v>
      </c>
    </row>
    <row r="337" spans="1:10" x14ac:dyDescent="0.3">
      <c r="A337">
        <v>335</v>
      </c>
      <c r="B337">
        <v>5341</v>
      </c>
      <c r="C337" t="b">
        <v>1</v>
      </c>
      <c r="D337">
        <v>8048</v>
      </c>
      <c r="E337">
        <v>8123</v>
      </c>
      <c r="F337">
        <v>10.8</v>
      </c>
      <c r="G337">
        <v>8</v>
      </c>
      <c r="H337">
        <v>1.35</v>
      </c>
      <c r="I337">
        <v>-0.35000002000000002</v>
      </c>
      <c r="J337">
        <v>0.42553192000000001</v>
      </c>
    </row>
    <row r="338" spans="1:10" x14ac:dyDescent="0.3">
      <c r="A338">
        <v>336</v>
      </c>
      <c r="B338">
        <v>5356</v>
      </c>
      <c r="C338" t="b">
        <v>1</v>
      </c>
      <c r="D338">
        <v>8048</v>
      </c>
      <c r="E338">
        <v>8117</v>
      </c>
      <c r="F338">
        <v>10.8</v>
      </c>
      <c r="G338">
        <v>8</v>
      </c>
      <c r="H338">
        <v>1.35</v>
      </c>
      <c r="I338">
        <v>-0.35000002000000002</v>
      </c>
      <c r="J338">
        <v>0.42553192000000001</v>
      </c>
    </row>
    <row r="339" spans="1:10" x14ac:dyDescent="0.3">
      <c r="A339">
        <v>337</v>
      </c>
      <c r="B339">
        <v>5372</v>
      </c>
      <c r="C339" t="b">
        <v>1</v>
      </c>
      <c r="D339">
        <v>8048</v>
      </c>
      <c r="E339">
        <v>8117</v>
      </c>
      <c r="F339">
        <v>10.8</v>
      </c>
      <c r="G339">
        <v>8</v>
      </c>
      <c r="H339">
        <v>1.35</v>
      </c>
      <c r="I339">
        <v>-0.35000002000000002</v>
      </c>
      <c r="J339">
        <v>0.42553192000000001</v>
      </c>
    </row>
    <row r="340" spans="1:10" x14ac:dyDescent="0.3">
      <c r="A340">
        <v>338</v>
      </c>
      <c r="B340">
        <v>5388</v>
      </c>
      <c r="C340" t="b">
        <v>1</v>
      </c>
      <c r="D340">
        <v>8054</v>
      </c>
      <c r="E340">
        <v>8117</v>
      </c>
      <c r="F340">
        <v>10.8</v>
      </c>
      <c r="G340">
        <v>7.6</v>
      </c>
      <c r="H340">
        <v>1.4210526999999999</v>
      </c>
      <c r="I340">
        <v>-0.42105266000000002</v>
      </c>
      <c r="J340">
        <v>0.41304347000000002</v>
      </c>
    </row>
    <row r="341" spans="1:10" x14ac:dyDescent="0.3">
      <c r="A341">
        <v>339</v>
      </c>
      <c r="B341">
        <v>5404</v>
      </c>
      <c r="C341" t="b">
        <v>1</v>
      </c>
      <c r="D341">
        <v>8048</v>
      </c>
      <c r="E341">
        <v>8111</v>
      </c>
      <c r="F341">
        <v>10.8</v>
      </c>
      <c r="G341">
        <v>7.2</v>
      </c>
      <c r="H341">
        <v>1.5000001000000001</v>
      </c>
      <c r="I341">
        <v>-0.50000005999999997</v>
      </c>
      <c r="J341">
        <v>0.39999997999999998</v>
      </c>
    </row>
    <row r="342" spans="1:10" x14ac:dyDescent="0.3">
      <c r="A342">
        <v>340</v>
      </c>
      <c r="B342">
        <v>5420</v>
      </c>
      <c r="C342" t="b">
        <v>1</v>
      </c>
      <c r="D342">
        <v>8048</v>
      </c>
      <c r="E342">
        <v>8111</v>
      </c>
      <c r="F342">
        <v>10.4</v>
      </c>
      <c r="G342">
        <v>6.8</v>
      </c>
      <c r="H342">
        <v>1.5294117</v>
      </c>
      <c r="I342">
        <v>-0.52941170000000004</v>
      </c>
      <c r="J342">
        <v>0.39534881999999999</v>
      </c>
    </row>
    <row r="343" spans="1:10" x14ac:dyDescent="0.3">
      <c r="A343">
        <v>341</v>
      </c>
      <c r="B343">
        <v>5436</v>
      </c>
      <c r="C343" t="b">
        <v>1</v>
      </c>
      <c r="D343">
        <v>8048</v>
      </c>
      <c r="E343">
        <v>8117</v>
      </c>
      <c r="F343">
        <v>10</v>
      </c>
      <c r="G343">
        <v>6.4</v>
      </c>
      <c r="H343">
        <v>1.5625</v>
      </c>
      <c r="I343">
        <v>-0.5625</v>
      </c>
      <c r="J343">
        <v>0.39024392000000002</v>
      </c>
    </row>
    <row r="344" spans="1:10" x14ac:dyDescent="0.3">
      <c r="A344">
        <v>342</v>
      </c>
      <c r="B344">
        <v>5452</v>
      </c>
      <c r="C344" t="b">
        <v>1</v>
      </c>
      <c r="D344">
        <v>8048</v>
      </c>
      <c r="E344">
        <v>8117</v>
      </c>
      <c r="F344">
        <v>9.6</v>
      </c>
      <c r="G344">
        <v>6</v>
      </c>
      <c r="H344">
        <v>1.6</v>
      </c>
      <c r="I344">
        <v>-0.60000010000000004</v>
      </c>
      <c r="J344">
        <v>0.38461536000000002</v>
      </c>
    </row>
    <row r="345" spans="1:10" x14ac:dyDescent="0.3">
      <c r="A345">
        <v>343</v>
      </c>
      <c r="B345">
        <v>5468</v>
      </c>
      <c r="C345" t="b">
        <v>1</v>
      </c>
      <c r="D345">
        <v>8048</v>
      </c>
      <c r="E345">
        <v>8117</v>
      </c>
      <c r="F345">
        <v>9.1999999999999993</v>
      </c>
      <c r="G345">
        <v>5.6</v>
      </c>
      <c r="H345">
        <v>1.6428571999999999</v>
      </c>
      <c r="I345">
        <v>-0.64285713</v>
      </c>
      <c r="J345">
        <v>0.3783784</v>
      </c>
    </row>
    <row r="346" spans="1:10" x14ac:dyDescent="0.3">
      <c r="A346">
        <v>344</v>
      </c>
      <c r="B346">
        <v>5484</v>
      </c>
      <c r="C346" t="b">
        <v>1</v>
      </c>
      <c r="D346">
        <v>8048</v>
      </c>
      <c r="E346">
        <v>8123</v>
      </c>
      <c r="F346">
        <v>8.8000000000000007</v>
      </c>
      <c r="G346">
        <v>5.2</v>
      </c>
      <c r="H346">
        <v>1.6923078</v>
      </c>
      <c r="I346">
        <v>-0.69230780000000003</v>
      </c>
      <c r="J346">
        <v>0.37142855000000002</v>
      </c>
    </row>
    <row r="347" spans="1:10" x14ac:dyDescent="0.3">
      <c r="A347">
        <v>345</v>
      </c>
      <c r="B347">
        <v>5500</v>
      </c>
      <c r="C347" t="b">
        <v>1</v>
      </c>
      <c r="D347">
        <v>8048</v>
      </c>
      <c r="E347">
        <v>8123</v>
      </c>
      <c r="F347">
        <v>8.4</v>
      </c>
      <c r="G347">
        <v>4.8</v>
      </c>
      <c r="H347">
        <v>1.7499998999999999</v>
      </c>
      <c r="I347">
        <v>-0.74999990000000005</v>
      </c>
      <c r="J347">
        <v>0.36363636999999999</v>
      </c>
    </row>
    <row r="348" spans="1:10" x14ac:dyDescent="0.3">
      <c r="A348">
        <v>346</v>
      </c>
      <c r="B348">
        <v>5516</v>
      </c>
      <c r="C348" t="b">
        <v>1</v>
      </c>
      <c r="D348">
        <v>8042</v>
      </c>
      <c r="E348">
        <v>8123</v>
      </c>
      <c r="F348">
        <v>8</v>
      </c>
      <c r="G348">
        <v>4.8</v>
      </c>
      <c r="H348">
        <v>1.6666666000000001</v>
      </c>
      <c r="I348">
        <v>-0.6666666</v>
      </c>
      <c r="J348">
        <v>0.375</v>
      </c>
    </row>
    <row r="349" spans="1:10" x14ac:dyDescent="0.3">
      <c r="A349">
        <v>347</v>
      </c>
      <c r="B349">
        <v>5532</v>
      </c>
      <c r="C349" t="b">
        <v>1</v>
      </c>
      <c r="D349">
        <v>8048</v>
      </c>
      <c r="E349">
        <v>8123</v>
      </c>
      <c r="F349">
        <v>8</v>
      </c>
      <c r="G349">
        <v>4.8</v>
      </c>
      <c r="H349">
        <v>1.6666666000000001</v>
      </c>
      <c r="I349">
        <v>-0.6666666</v>
      </c>
      <c r="J349">
        <v>0.375</v>
      </c>
    </row>
    <row r="350" spans="1:10" x14ac:dyDescent="0.3">
      <c r="A350">
        <v>348</v>
      </c>
      <c r="B350">
        <v>5548</v>
      </c>
      <c r="C350" t="b">
        <v>1</v>
      </c>
      <c r="D350">
        <v>8048</v>
      </c>
      <c r="E350">
        <v>8123</v>
      </c>
      <c r="F350">
        <v>8</v>
      </c>
      <c r="G350">
        <v>4.8</v>
      </c>
      <c r="H350">
        <v>1.6666666000000001</v>
      </c>
      <c r="I350">
        <v>-0.6666666</v>
      </c>
      <c r="J350">
        <v>0.375</v>
      </c>
    </row>
    <row r="351" spans="1:10" x14ac:dyDescent="0.3">
      <c r="A351">
        <v>349</v>
      </c>
      <c r="B351">
        <v>5564</v>
      </c>
      <c r="C351" t="b">
        <v>1</v>
      </c>
      <c r="D351">
        <v>8054</v>
      </c>
      <c r="E351">
        <v>8123</v>
      </c>
      <c r="F351">
        <v>8</v>
      </c>
      <c r="G351">
        <v>4.8</v>
      </c>
      <c r="H351">
        <v>1.6666666000000001</v>
      </c>
      <c r="I351">
        <v>-0.6666666</v>
      </c>
      <c r="J351">
        <v>0.375</v>
      </c>
    </row>
    <row r="352" spans="1:10" x14ac:dyDescent="0.3">
      <c r="A352">
        <v>350</v>
      </c>
      <c r="B352">
        <v>5579</v>
      </c>
      <c r="C352" t="b">
        <v>1</v>
      </c>
      <c r="D352">
        <v>8048</v>
      </c>
      <c r="E352">
        <v>8123</v>
      </c>
      <c r="F352">
        <v>8</v>
      </c>
      <c r="G352">
        <v>4.8</v>
      </c>
      <c r="H352">
        <v>1.6666666000000001</v>
      </c>
      <c r="I352">
        <v>-0.6666666</v>
      </c>
      <c r="J352">
        <v>0.375</v>
      </c>
    </row>
    <row r="353" spans="1:10" x14ac:dyDescent="0.3">
      <c r="A353">
        <v>351</v>
      </c>
      <c r="B353">
        <v>5595</v>
      </c>
      <c r="C353" t="b">
        <v>1</v>
      </c>
      <c r="D353">
        <v>8048</v>
      </c>
      <c r="E353">
        <v>8123</v>
      </c>
      <c r="F353">
        <v>8</v>
      </c>
      <c r="G353">
        <v>4.8</v>
      </c>
      <c r="H353">
        <v>1.6666666000000001</v>
      </c>
      <c r="I353">
        <v>-0.6666666</v>
      </c>
      <c r="J353">
        <v>0.375</v>
      </c>
    </row>
    <row r="354" spans="1:10" x14ac:dyDescent="0.3">
      <c r="A354">
        <v>352</v>
      </c>
      <c r="B354">
        <v>5611</v>
      </c>
      <c r="C354" t="b">
        <v>1</v>
      </c>
      <c r="D354">
        <v>8048</v>
      </c>
      <c r="E354">
        <v>8123</v>
      </c>
      <c r="F354">
        <v>8</v>
      </c>
      <c r="G354">
        <v>4.8</v>
      </c>
      <c r="H354">
        <v>1.6666666000000001</v>
      </c>
      <c r="I354">
        <v>-0.6666666</v>
      </c>
      <c r="J354">
        <v>0.375</v>
      </c>
    </row>
    <row r="355" spans="1:10" x14ac:dyDescent="0.3">
      <c r="A355">
        <v>353</v>
      </c>
      <c r="B355">
        <v>5627</v>
      </c>
      <c r="C355" t="b">
        <v>1</v>
      </c>
      <c r="D355">
        <v>8054</v>
      </c>
      <c r="E355">
        <v>8123</v>
      </c>
      <c r="F355">
        <v>8</v>
      </c>
      <c r="G355">
        <v>5.2</v>
      </c>
      <c r="H355">
        <v>1.5384616</v>
      </c>
      <c r="I355">
        <v>-0.53846156999999994</v>
      </c>
      <c r="J355">
        <v>0.39393938000000001</v>
      </c>
    </row>
    <row r="356" spans="1:10" x14ac:dyDescent="0.3">
      <c r="A356">
        <v>354</v>
      </c>
      <c r="B356">
        <v>5642</v>
      </c>
      <c r="C356" t="b">
        <v>1</v>
      </c>
      <c r="D356">
        <v>8048</v>
      </c>
      <c r="E356">
        <v>8117</v>
      </c>
      <c r="F356">
        <v>8</v>
      </c>
      <c r="G356">
        <v>5.6</v>
      </c>
      <c r="H356">
        <v>1.4285715000000001</v>
      </c>
      <c r="I356">
        <v>-0.42857146000000002</v>
      </c>
      <c r="J356">
        <v>0.41176467999999999</v>
      </c>
    </row>
    <row r="357" spans="1:10" x14ac:dyDescent="0.3">
      <c r="A357">
        <v>355</v>
      </c>
      <c r="B357">
        <v>5658</v>
      </c>
      <c r="C357" t="b">
        <v>1</v>
      </c>
      <c r="D357">
        <v>8048</v>
      </c>
      <c r="E357">
        <v>8123</v>
      </c>
      <c r="F357">
        <v>8</v>
      </c>
      <c r="G357">
        <v>6</v>
      </c>
      <c r="H357">
        <v>1.3333333999999999</v>
      </c>
      <c r="I357">
        <v>-0.33333333999999998</v>
      </c>
      <c r="J357">
        <v>0.42857142999999998</v>
      </c>
    </row>
    <row r="358" spans="1:10" x14ac:dyDescent="0.3">
      <c r="A358">
        <v>356</v>
      </c>
      <c r="B358">
        <v>5674</v>
      </c>
      <c r="C358" t="b">
        <v>1</v>
      </c>
      <c r="D358">
        <v>8048</v>
      </c>
      <c r="E358">
        <v>8123</v>
      </c>
      <c r="F358">
        <v>8</v>
      </c>
      <c r="G358">
        <v>6.4</v>
      </c>
      <c r="H358">
        <v>1.25</v>
      </c>
      <c r="I358">
        <v>-0.24999999000000001</v>
      </c>
      <c r="J358">
        <v>0.44444447999999998</v>
      </c>
    </row>
    <row r="359" spans="1:10" x14ac:dyDescent="0.3">
      <c r="A359">
        <v>357</v>
      </c>
      <c r="B359">
        <v>5690</v>
      </c>
      <c r="C359" t="b">
        <v>1</v>
      </c>
      <c r="D359">
        <v>8042</v>
      </c>
      <c r="E359">
        <v>8123</v>
      </c>
      <c r="F359">
        <v>8</v>
      </c>
      <c r="G359">
        <v>6.8</v>
      </c>
      <c r="H359">
        <v>1.1764705</v>
      </c>
      <c r="I359">
        <v>-0.17647055</v>
      </c>
      <c r="J359">
        <v>0.45945944999999999</v>
      </c>
    </row>
    <row r="360" spans="1:10" x14ac:dyDescent="0.3">
      <c r="A360">
        <v>358</v>
      </c>
      <c r="B360">
        <v>5706</v>
      </c>
      <c r="C360" t="b">
        <v>1</v>
      </c>
      <c r="D360">
        <v>8042</v>
      </c>
      <c r="E360">
        <v>8117</v>
      </c>
      <c r="F360">
        <v>8</v>
      </c>
      <c r="G360">
        <v>7.2</v>
      </c>
      <c r="H360">
        <v>1.1111112000000001</v>
      </c>
      <c r="I360">
        <v>-0.11111114</v>
      </c>
      <c r="J360">
        <v>0.4736842</v>
      </c>
    </row>
    <row r="361" spans="1:10" x14ac:dyDescent="0.3">
      <c r="A361">
        <v>359</v>
      </c>
      <c r="B361">
        <v>5722</v>
      </c>
      <c r="C361" t="b">
        <v>1</v>
      </c>
      <c r="D361">
        <v>8042</v>
      </c>
      <c r="E361">
        <v>8123</v>
      </c>
      <c r="F361">
        <v>7.6</v>
      </c>
      <c r="G361">
        <v>7.6</v>
      </c>
      <c r="H361">
        <v>1</v>
      </c>
      <c r="I361">
        <v>0</v>
      </c>
      <c r="J361">
        <v>0.5</v>
      </c>
    </row>
    <row r="362" spans="1:10" x14ac:dyDescent="0.3">
      <c r="A362">
        <v>360</v>
      </c>
      <c r="B362">
        <v>5738</v>
      </c>
      <c r="C362" t="b">
        <v>1</v>
      </c>
      <c r="D362">
        <v>8042</v>
      </c>
      <c r="E362">
        <v>8123</v>
      </c>
      <c r="F362">
        <v>7.2</v>
      </c>
      <c r="G362">
        <v>8</v>
      </c>
      <c r="H362">
        <v>0.9</v>
      </c>
      <c r="I362">
        <v>0.10000002400000001</v>
      </c>
      <c r="J362">
        <v>0.5263158</v>
      </c>
    </row>
    <row r="363" spans="1:10" x14ac:dyDescent="0.3">
      <c r="A363">
        <v>361</v>
      </c>
      <c r="B363">
        <v>5753</v>
      </c>
      <c r="C363" t="b">
        <v>1</v>
      </c>
      <c r="D363">
        <v>8048</v>
      </c>
      <c r="E363">
        <v>8123</v>
      </c>
      <c r="F363">
        <v>6.8</v>
      </c>
      <c r="G363">
        <v>8</v>
      </c>
      <c r="H363">
        <v>0.85</v>
      </c>
      <c r="I363">
        <v>0.14999998</v>
      </c>
      <c r="J363">
        <v>0.54054049999999998</v>
      </c>
    </row>
    <row r="364" spans="1:10" x14ac:dyDescent="0.3">
      <c r="A364">
        <v>362</v>
      </c>
      <c r="B364">
        <v>5769</v>
      </c>
      <c r="C364" t="b">
        <v>1</v>
      </c>
      <c r="D364">
        <v>8054</v>
      </c>
      <c r="E364">
        <v>8117</v>
      </c>
      <c r="F364">
        <v>6.4</v>
      </c>
      <c r="G364">
        <v>8</v>
      </c>
      <c r="H364">
        <v>0.8</v>
      </c>
      <c r="I364">
        <v>0.19999998999999999</v>
      </c>
      <c r="J364">
        <v>0.55555560000000004</v>
      </c>
    </row>
    <row r="365" spans="1:10" x14ac:dyDescent="0.3">
      <c r="A365">
        <v>363</v>
      </c>
      <c r="B365">
        <v>5785</v>
      </c>
      <c r="C365" t="b">
        <v>1</v>
      </c>
      <c r="D365">
        <v>8048</v>
      </c>
      <c r="E365">
        <v>8123</v>
      </c>
      <c r="F365">
        <v>6.4</v>
      </c>
      <c r="G365">
        <v>8</v>
      </c>
      <c r="H365">
        <v>0.8</v>
      </c>
      <c r="I365">
        <v>0.19999998999999999</v>
      </c>
      <c r="J365">
        <v>0.55555560000000004</v>
      </c>
    </row>
    <row r="366" spans="1:10" x14ac:dyDescent="0.3">
      <c r="A366">
        <v>364</v>
      </c>
      <c r="B366">
        <v>5802</v>
      </c>
      <c r="C366" t="b">
        <v>1</v>
      </c>
      <c r="D366">
        <v>8048</v>
      </c>
      <c r="E366">
        <v>8117</v>
      </c>
      <c r="F366">
        <v>6.4</v>
      </c>
      <c r="G366">
        <v>8</v>
      </c>
      <c r="H366">
        <v>0.8</v>
      </c>
      <c r="I366">
        <v>0.19999998999999999</v>
      </c>
      <c r="J366">
        <v>0.55555560000000004</v>
      </c>
    </row>
    <row r="367" spans="1:10" x14ac:dyDescent="0.3">
      <c r="A367">
        <v>365</v>
      </c>
      <c r="B367">
        <v>5817</v>
      </c>
      <c r="C367" t="b">
        <v>1</v>
      </c>
      <c r="D367">
        <v>8054</v>
      </c>
      <c r="E367">
        <v>8117</v>
      </c>
      <c r="F367">
        <v>6.4</v>
      </c>
      <c r="G367">
        <v>7.6</v>
      </c>
      <c r="H367">
        <v>0.84210527000000002</v>
      </c>
      <c r="I367">
        <v>0.15789471999999999</v>
      </c>
      <c r="J367">
        <v>0.54285709999999998</v>
      </c>
    </row>
    <row r="368" spans="1:10" x14ac:dyDescent="0.3">
      <c r="A368">
        <v>366</v>
      </c>
      <c r="B368">
        <v>5833</v>
      </c>
      <c r="C368" t="b">
        <v>1</v>
      </c>
      <c r="D368">
        <v>8048</v>
      </c>
      <c r="E368">
        <v>8123</v>
      </c>
      <c r="F368">
        <v>6.4</v>
      </c>
      <c r="G368">
        <v>7.2</v>
      </c>
      <c r="H368">
        <v>0.88888895999999995</v>
      </c>
      <c r="I368">
        <v>0.111111075</v>
      </c>
      <c r="J368">
        <v>0.52941172999999997</v>
      </c>
    </row>
    <row r="369" spans="1:10" x14ac:dyDescent="0.3">
      <c r="A369">
        <v>367</v>
      </c>
      <c r="B369">
        <v>5849</v>
      </c>
      <c r="C369" t="b">
        <v>1</v>
      </c>
      <c r="D369">
        <v>8054</v>
      </c>
      <c r="E369">
        <v>8123</v>
      </c>
      <c r="F369">
        <v>6.4</v>
      </c>
      <c r="G369">
        <v>7.2</v>
      </c>
      <c r="H369">
        <v>0.88888895999999995</v>
      </c>
      <c r="I369">
        <v>0.111111075</v>
      </c>
      <c r="J369">
        <v>0.52941172999999997</v>
      </c>
    </row>
    <row r="370" spans="1:10" x14ac:dyDescent="0.3">
      <c r="A370">
        <v>368</v>
      </c>
      <c r="B370">
        <v>5865</v>
      </c>
      <c r="C370" t="b">
        <v>1</v>
      </c>
      <c r="D370">
        <v>8048</v>
      </c>
      <c r="E370">
        <v>8117</v>
      </c>
      <c r="F370">
        <v>6.4</v>
      </c>
      <c r="G370">
        <v>6.8</v>
      </c>
      <c r="H370">
        <v>0.94117649999999997</v>
      </c>
      <c r="I370">
        <v>5.8823540000000001E-2</v>
      </c>
      <c r="J370">
        <v>0.51515149999999998</v>
      </c>
    </row>
    <row r="371" spans="1:10" x14ac:dyDescent="0.3">
      <c r="A371">
        <v>369</v>
      </c>
      <c r="B371">
        <v>5880</v>
      </c>
      <c r="C371" t="b">
        <v>1</v>
      </c>
      <c r="D371">
        <v>8048</v>
      </c>
      <c r="E371">
        <v>8123</v>
      </c>
      <c r="F371">
        <v>6.4</v>
      </c>
      <c r="G371">
        <v>6.8</v>
      </c>
      <c r="H371">
        <v>0.94117649999999997</v>
      </c>
      <c r="I371">
        <v>5.8823540000000001E-2</v>
      </c>
      <c r="J371">
        <v>0.51515149999999998</v>
      </c>
    </row>
    <row r="372" spans="1:10" x14ac:dyDescent="0.3">
      <c r="A372">
        <v>370</v>
      </c>
      <c r="B372">
        <v>5896</v>
      </c>
      <c r="C372" t="b">
        <v>1</v>
      </c>
      <c r="D372">
        <v>8048</v>
      </c>
      <c r="E372">
        <v>8117</v>
      </c>
      <c r="F372">
        <v>6.4</v>
      </c>
      <c r="G372">
        <v>6.8</v>
      </c>
      <c r="H372">
        <v>0.94117649999999997</v>
      </c>
      <c r="I372">
        <v>5.8823540000000001E-2</v>
      </c>
      <c r="J372">
        <v>0.51515149999999998</v>
      </c>
    </row>
    <row r="373" spans="1:10" x14ac:dyDescent="0.3">
      <c r="A373">
        <v>371</v>
      </c>
      <c r="B373">
        <v>5912</v>
      </c>
      <c r="C373" t="b">
        <v>1</v>
      </c>
      <c r="D373">
        <v>8048</v>
      </c>
      <c r="E373">
        <v>8123</v>
      </c>
      <c r="F373">
        <v>6.4</v>
      </c>
      <c r="G373">
        <v>6.8</v>
      </c>
      <c r="H373">
        <v>0.94117649999999997</v>
      </c>
      <c r="I373">
        <v>5.8823540000000001E-2</v>
      </c>
      <c r="J373">
        <v>0.51515149999999998</v>
      </c>
    </row>
    <row r="374" spans="1:10" x14ac:dyDescent="0.3">
      <c r="A374">
        <v>372</v>
      </c>
      <c r="B374">
        <v>5928</v>
      </c>
      <c r="C374" t="b">
        <v>1</v>
      </c>
      <c r="D374">
        <v>8048</v>
      </c>
      <c r="E374">
        <v>8123</v>
      </c>
      <c r="F374">
        <v>6.4</v>
      </c>
      <c r="G374">
        <v>6.8</v>
      </c>
      <c r="H374">
        <v>0.94117649999999997</v>
      </c>
      <c r="I374">
        <v>5.8823540000000001E-2</v>
      </c>
      <c r="J374">
        <v>0.51515149999999998</v>
      </c>
    </row>
    <row r="375" spans="1:10" x14ac:dyDescent="0.3">
      <c r="A375">
        <v>373</v>
      </c>
      <c r="B375">
        <v>5944</v>
      </c>
      <c r="C375" t="b">
        <v>1</v>
      </c>
      <c r="D375">
        <v>8048</v>
      </c>
      <c r="E375">
        <v>8123</v>
      </c>
      <c r="F375">
        <v>6.4</v>
      </c>
      <c r="G375">
        <v>6.8</v>
      </c>
      <c r="H375">
        <v>0.94117649999999997</v>
      </c>
      <c r="I375">
        <v>5.8823540000000001E-2</v>
      </c>
      <c r="J375">
        <v>0.51515149999999998</v>
      </c>
    </row>
    <row r="376" spans="1:10" x14ac:dyDescent="0.3">
      <c r="A376">
        <v>374</v>
      </c>
      <c r="B376">
        <v>5960</v>
      </c>
      <c r="C376" t="b">
        <v>1</v>
      </c>
      <c r="D376">
        <v>8048</v>
      </c>
      <c r="E376">
        <v>8117</v>
      </c>
      <c r="F376">
        <v>6.8</v>
      </c>
      <c r="G376">
        <v>6.8</v>
      </c>
      <c r="H376">
        <v>1</v>
      </c>
      <c r="I376">
        <v>0</v>
      </c>
      <c r="J376">
        <v>0.5</v>
      </c>
    </row>
    <row r="377" spans="1:10" x14ac:dyDescent="0.3">
      <c r="A377">
        <v>375</v>
      </c>
      <c r="B377">
        <v>5976</v>
      </c>
      <c r="C377" t="b">
        <v>1</v>
      </c>
      <c r="D377">
        <v>8054</v>
      </c>
      <c r="E377">
        <v>8123</v>
      </c>
      <c r="F377">
        <v>7.2</v>
      </c>
      <c r="G377">
        <v>6.8</v>
      </c>
      <c r="H377">
        <v>1.0588234999999999</v>
      </c>
      <c r="I377">
        <v>-5.8823470000000003E-2</v>
      </c>
      <c r="J377">
        <v>0.48571429999999999</v>
      </c>
    </row>
    <row r="378" spans="1:10" x14ac:dyDescent="0.3">
      <c r="A378">
        <v>376</v>
      </c>
      <c r="B378">
        <v>5991</v>
      </c>
      <c r="C378" t="b">
        <v>1</v>
      </c>
      <c r="D378">
        <v>8054</v>
      </c>
      <c r="E378">
        <v>8123</v>
      </c>
      <c r="F378">
        <v>7.6</v>
      </c>
      <c r="G378">
        <v>6.8</v>
      </c>
      <c r="H378">
        <v>1.1176470000000001</v>
      </c>
      <c r="I378">
        <v>-0.11764701499999999</v>
      </c>
      <c r="J378">
        <v>0.47222224000000002</v>
      </c>
    </row>
    <row r="379" spans="1:10" x14ac:dyDescent="0.3">
      <c r="A379">
        <v>377</v>
      </c>
      <c r="B379">
        <v>6007</v>
      </c>
      <c r="C379" t="b">
        <v>1</v>
      </c>
      <c r="D379">
        <v>8054</v>
      </c>
      <c r="E379">
        <v>8123</v>
      </c>
      <c r="F379">
        <v>8.4</v>
      </c>
      <c r="G379">
        <v>6.8</v>
      </c>
      <c r="H379">
        <v>1.2352939999999999</v>
      </c>
      <c r="I379">
        <v>-0.23529402999999999</v>
      </c>
      <c r="J379">
        <v>0.44736843999999998</v>
      </c>
    </row>
    <row r="380" spans="1:10" x14ac:dyDescent="0.3">
      <c r="A380">
        <v>378</v>
      </c>
      <c r="B380">
        <v>6023</v>
      </c>
      <c r="C380" t="b">
        <v>1</v>
      </c>
      <c r="D380">
        <v>8048</v>
      </c>
      <c r="E380">
        <v>8123</v>
      </c>
      <c r="F380">
        <v>8.8000000000000007</v>
      </c>
      <c r="G380">
        <v>6.8</v>
      </c>
      <c r="H380">
        <v>1.2941176999999999</v>
      </c>
      <c r="I380">
        <v>-0.29411763000000002</v>
      </c>
      <c r="J380">
        <v>0.43589744000000002</v>
      </c>
    </row>
    <row r="381" spans="1:10" x14ac:dyDescent="0.3">
      <c r="A381">
        <v>379</v>
      </c>
      <c r="B381">
        <v>6039</v>
      </c>
      <c r="C381" t="b">
        <v>1</v>
      </c>
      <c r="D381">
        <v>8048</v>
      </c>
      <c r="E381">
        <v>8123</v>
      </c>
      <c r="F381">
        <v>9.1999999999999993</v>
      </c>
      <c r="G381">
        <v>6.8</v>
      </c>
      <c r="H381">
        <v>1.3529412000000001</v>
      </c>
      <c r="I381">
        <v>-0.35294110000000001</v>
      </c>
      <c r="J381">
        <v>0.42499999999999999</v>
      </c>
    </row>
    <row r="382" spans="1:10" x14ac:dyDescent="0.3">
      <c r="A382">
        <v>380</v>
      </c>
      <c r="B382">
        <v>6054</v>
      </c>
      <c r="C382" t="b">
        <v>1</v>
      </c>
      <c r="D382">
        <v>8042</v>
      </c>
      <c r="E382">
        <v>8123</v>
      </c>
      <c r="F382">
        <v>9.1999999999999993</v>
      </c>
      <c r="G382">
        <v>7.2</v>
      </c>
      <c r="H382">
        <v>1.2777778</v>
      </c>
      <c r="I382">
        <v>-0.27777780000000002</v>
      </c>
      <c r="J382">
        <v>0.43902439999999998</v>
      </c>
    </row>
    <row r="383" spans="1:10" x14ac:dyDescent="0.3">
      <c r="A383">
        <v>381</v>
      </c>
      <c r="B383">
        <v>6070</v>
      </c>
      <c r="C383" t="b">
        <v>1</v>
      </c>
      <c r="D383">
        <v>8048</v>
      </c>
      <c r="E383">
        <v>8123</v>
      </c>
      <c r="F383">
        <v>9.1999999999999993</v>
      </c>
      <c r="G383">
        <v>7.6</v>
      </c>
      <c r="H383">
        <v>1.2105262999999999</v>
      </c>
      <c r="I383">
        <v>-0.2105263</v>
      </c>
      <c r="J383">
        <v>0.45238096</v>
      </c>
    </row>
    <row r="384" spans="1:10" x14ac:dyDescent="0.3">
      <c r="A384">
        <v>382</v>
      </c>
      <c r="B384">
        <v>6086</v>
      </c>
      <c r="C384" t="b">
        <v>1</v>
      </c>
      <c r="D384">
        <v>8048</v>
      </c>
      <c r="E384">
        <v>8123</v>
      </c>
      <c r="F384">
        <v>9.1999999999999993</v>
      </c>
      <c r="G384">
        <v>7.6</v>
      </c>
      <c r="H384">
        <v>1.2105262999999999</v>
      </c>
      <c r="I384">
        <v>-0.2105263</v>
      </c>
      <c r="J384">
        <v>0.45238096</v>
      </c>
    </row>
    <row r="385" spans="1:10" x14ac:dyDescent="0.3">
      <c r="A385">
        <v>383</v>
      </c>
      <c r="B385">
        <v>6102</v>
      </c>
      <c r="C385" t="b">
        <v>1</v>
      </c>
      <c r="D385">
        <v>8048</v>
      </c>
      <c r="E385">
        <v>8123</v>
      </c>
      <c r="F385">
        <v>9.1999999999999993</v>
      </c>
      <c r="G385">
        <v>8</v>
      </c>
      <c r="H385">
        <v>1.1499999999999999</v>
      </c>
      <c r="I385">
        <v>-0.14999998</v>
      </c>
      <c r="J385">
        <v>0.46511626</v>
      </c>
    </row>
    <row r="386" spans="1:10" x14ac:dyDescent="0.3">
      <c r="A386">
        <v>384</v>
      </c>
      <c r="B386">
        <v>6118</v>
      </c>
      <c r="C386" t="b">
        <v>1</v>
      </c>
      <c r="D386">
        <v>8048</v>
      </c>
      <c r="E386">
        <v>8123</v>
      </c>
      <c r="F386">
        <v>9.1999999999999993</v>
      </c>
      <c r="G386">
        <v>8</v>
      </c>
      <c r="H386">
        <v>1.1499999999999999</v>
      </c>
      <c r="I386">
        <v>-0.14999998</v>
      </c>
      <c r="J386">
        <v>0.46511626</v>
      </c>
    </row>
    <row r="387" spans="1:10" x14ac:dyDescent="0.3">
      <c r="A387">
        <v>385</v>
      </c>
      <c r="B387">
        <v>6134</v>
      </c>
      <c r="C387" t="b">
        <v>1</v>
      </c>
      <c r="D387">
        <v>8048</v>
      </c>
      <c r="E387">
        <v>8123</v>
      </c>
      <c r="F387">
        <v>9.1999999999999993</v>
      </c>
      <c r="G387">
        <v>8</v>
      </c>
      <c r="H387">
        <v>1.1499999999999999</v>
      </c>
      <c r="I387">
        <v>-0.14999998</v>
      </c>
      <c r="J387">
        <v>0.46511626</v>
      </c>
    </row>
    <row r="388" spans="1:10" x14ac:dyDescent="0.3">
      <c r="A388">
        <v>386</v>
      </c>
      <c r="B388">
        <v>6150</v>
      </c>
      <c r="C388" t="b">
        <v>1</v>
      </c>
      <c r="D388">
        <v>8048</v>
      </c>
      <c r="E388">
        <v>8117</v>
      </c>
      <c r="F388">
        <v>9.1999999999999993</v>
      </c>
      <c r="G388">
        <v>8</v>
      </c>
      <c r="H388">
        <v>1.1499999999999999</v>
      </c>
      <c r="I388">
        <v>-0.14999998</v>
      </c>
      <c r="J388">
        <v>0.46511626</v>
      </c>
    </row>
    <row r="389" spans="1:10" x14ac:dyDescent="0.3">
      <c r="A389">
        <v>387</v>
      </c>
      <c r="B389">
        <v>6166</v>
      </c>
      <c r="C389" t="b">
        <v>1</v>
      </c>
      <c r="D389">
        <v>8048</v>
      </c>
      <c r="E389">
        <v>8123</v>
      </c>
      <c r="F389">
        <v>9.1999999999999993</v>
      </c>
      <c r="G389">
        <v>8</v>
      </c>
      <c r="H389">
        <v>1.1499999999999999</v>
      </c>
      <c r="I389">
        <v>-0.14999998</v>
      </c>
      <c r="J389">
        <v>0.46511626</v>
      </c>
    </row>
    <row r="390" spans="1:10" x14ac:dyDescent="0.3">
      <c r="A390">
        <v>388</v>
      </c>
      <c r="B390">
        <v>6182</v>
      </c>
      <c r="C390" t="b">
        <v>1</v>
      </c>
      <c r="D390">
        <v>8054</v>
      </c>
      <c r="E390">
        <v>8117</v>
      </c>
      <c r="F390">
        <v>9.1999999999999993</v>
      </c>
      <c r="G390">
        <v>8</v>
      </c>
      <c r="H390">
        <v>1.1499999999999999</v>
      </c>
      <c r="I390">
        <v>-0.14999998</v>
      </c>
      <c r="J390">
        <v>0.46511626</v>
      </c>
    </row>
    <row r="391" spans="1:10" x14ac:dyDescent="0.3">
      <c r="A391">
        <v>389</v>
      </c>
      <c r="B391">
        <v>6198</v>
      </c>
      <c r="C391" t="b">
        <v>1</v>
      </c>
      <c r="D391">
        <v>8054</v>
      </c>
      <c r="E391">
        <v>8123</v>
      </c>
      <c r="F391">
        <v>9.1999999999999993</v>
      </c>
      <c r="G391">
        <v>8</v>
      </c>
      <c r="H391">
        <v>1.1499999999999999</v>
      </c>
      <c r="I391">
        <v>-0.14999998</v>
      </c>
      <c r="J391">
        <v>0.46511626</v>
      </c>
    </row>
    <row r="392" spans="1:10" x14ac:dyDescent="0.3">
      <c r="A392">
        <v>390</v>
      </c>
      <c r="B392">
        <v>6213</v>
      </c>
      <c r="C392" t="b">
        <v>1</v>
      </c>
      <c r="D392">
        <v>8054</v>
      </c>
      <c r="E392">
        <v>8117</v>
      </c>
      <c r="F392">
        <v>9.6</v>
      </c>
      <c r="G392">
        <v>7.6</v>
      </c>
      <c r="H392">
        <v>1.263158</v>
      </c>
      <c r="I392">
        <v>-0.26315796000000002</v>
      </c>
      <c r="J392">
        <v>0.44186044000000002</v>
      </c>
    </row>
    <row r="393" spans="1:10" x14ac:dyDescent="0.3">
      <c r="A393">
        <v>391</v>
      </c>
      <c r="B393">
        <v>6229</v>
      </c>
      <c r="C393" t="b">
        <v>1</v>
      </c>
      <c r="D393">
        <v>8054</v>
      </c>
      <c r="E393">
        <v>8123</v>
      </c>
      <c r="F393">
        <v>10</v>
      </c>
      <c r="G393">
        <v>7.6</v>
      </c>
      <c r="H393">
        <v>1.3157894999999999</v>
      </c>
      <c r="I393">
        <v>-0.3157895</v>
      </c>
      <c r="J393">
        <v>0.43181816000000001</v>
      </c>
    </row>
    <row r="394" spans="1:10" x14ac:dyDescent="0.3">
      <c r="A394">
        <v>392</v>
      </c>
      <c r="B394">
        <v>6245</v>
      </c>
      <c r="C394" t="b">
        <v>1</v>
      </c>
      <c r="D394">
        <v>8054</v>
      </c>
      <c r="E394">
        <v>8123</v>
      </c>
      <c r="F394">
        <v>10</v>
      </c>
      <c r="G394">
        <v>7.6</v>
      </c>
      <c r="H394">
        <v>1.3157894999999999</v>
      </c>
      <c r="I394">
        <v>-0.3157895</v>
      </c>
      <c r="J394">
        <v>0.43181816000000001</v>
      </c>
    </row>
    <row r="395" spans="1:10" x14ac:dyDescent="0.3">
      <c r="A395">
        <v>393</v>
      </c>
      <c r="B395">
        <v>6261</v>
      </c>
      <c r="C395" t="b">
        <v>1</v>
      </c>
      <c r="D395">
        <v>8042</v>
      </c>
      <c r="E395">
        <v>8129</v>
      </c>
      <c r="F395">
        <v>10</v>
      </c>
      <c r="G395">
        <v>7.6</v>
      </c>
      <c r="H395">
        <v>1.3157894999999999</v>
      </c>
      <c r="I395">
        <v>-0.3157895</v>
      </c>
      <c r="J395">
        <v>0.43181816000000001</v>
      </c>
    </row>
    <row r="396" spans="1:10" x14ac:dyDescent="0.3">
      <c r="A396">
        <v>394</v>
      </c>
      <c r="B396">
        <v>6276</v>
      </c>
      <c r="C396" t="b">
        <v>1</v>
      </c>
      <c r="D396">
        <v>8048</v>
      </c>
      <c r="E396">
        <v>8129</v>
      </c>
      <c r="F396">
        <v>10</v>
      </c>
      <c r="G396">
        <v>7.6</v>
      </c>
      <c r="H396">
        <v>1.3157894999999999</v>
      </c>
      <c r="I396">
        <v>-0.3157895</v>
      </c>
      <c r="J396">
        <v>0.43181816000000001</v>
      </c>
    </row>
    <row r="397" spans="1:10" x14ac:dyDescent="0.3">
      <c r="A397">
        <v>395</v>
      </c>
      <c r="B397">
        <v>6292</v>
      </c>
      <c r="C397" t="b">
        <v>1</v>
      </c>
      <c r="D397">
        <v>8048</v>
      </c>
      <c r="E397">
        <v>8129</v>
      </c>
      <c r="F397">
        <v>10</v>
      </c>
      <c r="G397">
        <v>8</v>
      </c>
      <c r="H397">
        <v>1.25</v>
      </c>
      <c r="I397">
        <v>-0.25</v>
      </c>
      <c r="J397">
        <v>0.44444444999999999</v>
      </c>
    </row>
    <row r="398" spans="1:10" x14ac:dyDescent="0.3">
      <c r="A398">
        <v>396</v>
      </c>
      <c r="B398">
        <v>6308</v>
      </c>
      <c r="C398" t="b">
        <v>1</v>
      </c>
      <c r="D398">
        <v>8048</v>
      </c>
      <c r="E398">
        <v>8129</v>
      </c>
      <c r="F398">
        <v>10</v>
      </c>
      <c r="G398">
        <v>8.4</v>
      </c>
      <c r="H398">
        <v>1.1904763</v>
      </c>
      <c r="I398">
        <v>-0.19047623999999999</v>
      </c>
      <c r="J398">
        <v>0.45652172000000002</v>
      </c>
    </row>
    <row r="399" spans="1:10" x14ac:dyDescent="0.3">
      <c r="A399">
        <v>397</v>
      </c>
      <c r="B399">
        <v>6324</v>
      </c>
      <c r="C399" t="b">
        <v>1</v>
      </c>
      <c r="D399">
        <v>8042</v>
      </c>
      <c r="E399">
        <v>8129</v>
      </c>
      <c r="F399">
        <v>10</v>
      </c>
      <c r="G399">
        <v>8.8000000000000007</v>
      </c>
      <c r="H399">
        <v>1.1363635999999999</v>
      </c>
      <c r="I399">
        <v>-0.13636361</v>
      </c>
      <c r="J399">
        <v>0.46808514000000001</v>
      </c>
    </row>
    <row r="400" spans="1:10" x14ac:dyDescent="0.3">
      <c r="A400">
        <v>398</v>
      </c>
      <c r="B400">
        <v>6340</v>
      </c>
      <c r="C400" t="b">
        <v>1</v>
      </c>
      <c r="D400">
        <v>8042</v>
      </c>
      <c r="E400">
        <v>8123</v>
      </c>
      <c r="F400">
        <v>10</v>
      </c>
      <c r="G400">
        <v>9.1999999999999993</v>
      </c>
      <c r="H400">
        <v>1.0869565000000001</v>
      </c>
      <c r="I400">
        <v>-8.6956545999999996E-2</v>
      </c>
      <c r="J400">
        <v>0.47916662999999998</v>
      </c>
    </row>
    <row r="401" spans="1:10" x14ac:dyDescent="0.3">
      <c r="A401">
        <v>399</v>
      </c>
      <c r="B401">
        <v>6356</v>
      </c>
      <c r="C401" t="b">
        <v>1</v>
      </c>
      <c r="D401">
        <v>8048</v>
      </c>
      <c r="E401">
        <v>8117</v>
      </c>
      <c r="F401">
        <v>10</v>
      </c>
      <c r="G401">
        <v>9.6</v>
      </c>
      <c r="H401">
        <v>1.0416666000000001</v>
      </c>
      <c r="I401">
        <v>-4.1666626999999998E-2</v>
      </c>
      <c r="J401">
        <v>0.48979592</v>
      </c>
    </row>
    <row r="402" spans="1:10" x14ac:dyDescent="0.3">
      <c r="A402">
        <v>400</v>
      </c>
      <c r="B402">
        <v>6372</v>
      </c>
      <c r="C402" t="b">
        <v>1</v>
      </c>
      <c r="D402">
        <v>8048</v>
      </c>
      <c r="E402">
        <v>8123</v>
      </c>
      <c r="F402">
        <v>10</v>
      </c>
      <c r="G402">
        <v>9.6</v>
      </c>
      <c r="H402">
        <v>1.0416666000000001</v>
      </c>
      <c r="I402">
        <v>-4.1666626999999998E-2</v>
      </c>
      <c r="J402">
        <v>0.48979592</v>
      </c>
    </row>
    <row r="403" spans="1:10" x14ac:dyDescent="0.3">
      <c r="A403">
        <v>401</v>
      </c>
      <c r="B403">
        <v>6387</v>
      </c>
      <c r="C403" t="b">
        <v>1</v>
      </c>
      <c r="D403">
        <v>8048</v>
      </c>
      <c r="E403">
        <v>8123</v>
      </c>
      <c r="F403">
        <v>10</v>
      </c>
      <c r="G403">
        <v>9.6</v>
      </c>
      <c r="H403">
        <v>1.0416666000000001</v>
      </c>
      <c r="I403">
        <v>-4.1666626999999998E-2</v>
      </c>
      <c r="J403">
        <v>0.48979592</v>
      </c>
    </row>
    <row r="404" spans="1:10" x14ac:dyDescent="0.3">
      <c r="A404">
        <v>402</v>
      </c>
      <c r="B404">
        <v>6403</v>
      </c>
      <c r="C404" t="b">
        <v>1</v>
      </c>
      <c r="D404">
        <v>8048</v>
      </c>
      <c r="E404">
        <v>8117</v>
      </c>
      <c r="F404">
        <v>10</v>
      </c>
      <c r="G404">
        <v>9.6</v>
      </c>
      <c r="H404">
        <v>1.0416666000000001</v>
      </c>
      <c r="I404">
        <v>-4.1666626999999998E-2</v>
      </c>
      <c r="J404">
        <v>0.48979592</v>
      </c>
    </row>
    <row r="405" spans="1:10" x14ac:dyDescent="0.3">
      <c r="A405">
        <v>403</v>
      </c>
      <c r="B405">
        <v>6419</v>
      </c>
      <c r="C405" t="b">
        <v>1</v>
      </c>
      <c r="D405">
        <v>8054</v>
      </c>
      <c r="E405">
        <v>8123</v>
      </c>
      <c r="F405">
        <v>10</v>
      </c>
      <c r="G405">
        <v>9.6</v>
      </c>
      <c r="H405">
        <v>1.0416666000000001</v>
      </c>
      <c r="I405">
        <v>-4.1666626999999998E-2</v>
      </c>
      <c r="J405">
        <v>0.48979592</v>
      </c>
    </row>
    <row r="406" spans="1:10" x14ac:dyDescent="0.3">
      <c r="A406">
        <v>404</v>
      </c>
      <c r="B406">
        <v>6435</v>
      </c>
      <c r="C406" t="b">
        <v>1</v>
      </c>
      <c r="D406">
        <v>8048</v>
      </c>
      <c r="E406">
        <v>8117</v>
      </c>
      <c r="F406">
        <v>10</v>
      </c>
      <c r="G406">
        <v>9.6</v>
      </c>
      <c r="H406">
        <v>1.0416666000000001</v>
      </c>
      <c r="I406">
        <v>-4.1666626999999998E-2</v>
      </c>
      <c r="J406">
        <v>0.48979592</v>
      </c>
    </row>
    <row r="407" spans="1:10" x14ac:dyDescent="0.3">
      <c r="A407">
        <v>405</v>
      </c>
      <c r="B407">
        <v>6451</v>
      </c>
      <c r="C407" t="b">
        <v>1</v>
      </c>
      <c r="D407">
        <v>8048</v>
      </c>
      <c r="E407">
        <v>8123</v>
      </c>
      <c r="F407">
        <v>9.6</v>
      </c>
      <c r="G407">
        <v>10</v>
      </c>
      <c r="H407">
        <v>0.96000004000000005</v>
      </c>
      <c r="I407">
        <v>3.9999960000000001E-2</v>
      </c>
      <c r="J407">
        <v>0.51020410000000005</v>
      </c>
    </row>
    <row r="408" spans="1:10" x14ac:dyDescent="0.3">
      <c r="A408">
        <v>406</v>
      </c>
      <c r="B408">
        <v>6467</v>
      </c>
      <c r="C408" t="b">
        <v>1</v>
      </c>
      <c r="D408">
        <v>8048</v>
      </c>
      <c r="E408">
        <v>8123</v>
      </c>
      <c r="F408">
        <v>9.1999999999999993</v>
      </c>
      <c r="G408">
        <v>10</v>
      </c>
      <c r="H408">
        <v>0.91999995999999995</v>
      </c>
      <c r="I408">
        <v>8.0000020000000005E-2</v>
      </c>
      <c r="J408">
        <v>0.52083330000000005</v>
      </c>
    </row>
    <row r="409" spans="1:10" x14ac:dyDescent="0.3">
      <c r="A409">
        <v>407</v>
      </c>
      <c r="B409">
        <v>6483</v>
      </c>
      <c r="C409" t="b">
        <v>1</v>
      </c>
      <c r="D409">
        <v>8048</v>
      </c>
      <c r="E409">
        <v>8123</v>
      </c>
      <c r="F409">
        <v>8.8000000000000007</v>
      </c>
      <c r="G409">
        <v>10</v>
      </c>
      <c r="H409">
        <v>0.88</v>
      </c>
      <c r="I409">
        <v>0.11999998000000001</v>
      </c>
      <c r="J409">
        <v>0.53191489999999997</v>
      </c>
    </row>
    <row r="410" spans="1:10" x14ac:dyDescent="0.3">
      <c r="A410">
        <v>408</v>
      </c>
      <c r="B410">
        <v>6498</v>
      </c>
      <c r="C410" t="b">
        <v>1</v>
      </c>
      <c r="D410">
        <v>8048</v>
      </c>
      <c r="E410">
        <v>8123</v>
      </c>
      <c r="F410">
        <v>8.4</v>
      </c>
      <c r="G410">
        <v>10</v>
      </c>
      <c r="H410">
        <v>0.84</v>
      </c>
      <c r="I410">
        <v>0.16000004000000001</v>
      </c>
      <c r="J410">
        <v>0.54347825000000005</v>
      </c>
    </row>
    <row r="411" spans="1:10" x14ac:dyDescent="0.3">
      <c r="A411">
        <v>409</v>
      </c>
      <c r="B411">
        <v>6514</v>
      </c>
      <c r="C411" t="b">
        <v>1</v>
      </c>
      <c r="D411">
        <v>8048</v>
      </c>
      <c r="E411">
        <v>8123</v>
      </c>
      <c r="F411">
        <v>8</v>
      </c>
      <c r="G411">
        <v>10</v>
      </c>
      <c r="H411">
        <v>0.8</v>
      </c>
      <c r="I411">
        <v>0.2</v>
      </c>
      <c r="J411">
        <v>0.55555560000000004</v>
      </c>
    </row>
    <row r="412" spans="1:10" x14ac:dyDescent="0.3">
      <c r="A412">
        <v>410</v>
      </c>
      <c r="B412">
        <v>6530</v>
      </c>
      <c r="C412" t="b">
        <v>1</v>
      </c>
      <c r="D412">
        <v>8042</v>
      </c>
      <c r="E412">
        <v>8123</v>
      </c>
      <c r="F412">
        <v>8</v>
      </c>
      <c r="G412">
        <v>9.6</v>
      </c>
      <c r="H412">
        <v>0.83333330000000005</v>
      </c>
      <c r="I412">
        <v>0.1666667</v>
      </c>
      <c r="J412">
        <v>0.54545456000000003</v>
      </c>
    </row>
    <row r="413" spans="1:10" x14ac:dyDescent="0.3">
      <c r="A413">
        <v>411</v>
      </c>
      <c r="B413">
        <v>6546</v>
      </c>
      <c r="C413" t="b">
        <v>1</v>
      </c>
      <c r="D413">
        <v>8048</v>
      </c>
      <c r="E413">
        <v>8123</v>
      </c>
      <c r="F413">
        <v>8</v>
      </c>
      <c r="G413">
        <v>9.1999999999999993</v>
      </c>
      <c r="H413">
        <v>0.86956524999999996</v>
      </c>
      <c r="I413">
        <v>0.13043477000000001</v>
      </c>
      <c r="J413">
        <v>0.53488369999999996</v>
      </c>
    </row>
    <row r="414" spans="1:10" x14ac:dyDescent="0.3">
      <c r="A414">
        <v>412</v>
      </c>
      <c r="B414">
        <v>6562</v>
      </c>
      <c r="C414" t="b">
        <v>1</v>
      </c>
      <c r="D414">
        <v>8048</v>
      </c>
      <c r="E414">
        <v>8123</v>
      </c>
      <c r="F414">
        <v>8</v>
      </c>
      <c r="G414">
        <v>8.8000000000000007</v>
      </c>
      <c r="H414">
        <v>0.90909090000000004</v>
      </c>
      <c r="I414">
        <v>9.0909110000000001E-2</v>
      </c>
      <c r="J414">
        <v>0.52380954999999996</v>
      </c>
    </row>
    <row r="415" spans="1:10" x14ac:dyDescent="0.3">
      <c r="A415">
        <v>413</v>
      </c>
      <c r="B415">
        <v>6578</v>
      </c>
      <c r="C415" t="b">
        <v>1</v>
      </c>
      <c r="D415">
        <v>8048</v>
      </c>
      <c r="E415">
        <v>8123</v>
      </c>
      <c r="F415">
        <v>8</v>
      </c>
      <c r="G415">
        <v>8.4</v>
      </c>
      <c r="H415">
        <v>0.95238100000000003</v>
      </c>
      <c r="I415">
        <v>4.7619003999999999E-2</v>
      </c>
      <c r="J415">
        <v>0.51219510000000001</v>
      </c>
    </row>
    <row r="416" spans="1:10" x14ac:dyDescent="0.3">
      <c r="A416">
        <v>414</v>
      </c>
      <c r="B416">
        <v>6593</v>
      </c>
      <c r="C416" t="b">
        <v>1</v>
      </c>
      <c r="D416">
        <v>8054</v>
      </c>
      <c r="E416">
        <v>8117</v>
      </c>
      <c r="F416">
        <v>8</v>
      </c>
      <c r="G416">
        <v>8</v>
      </c>
      <c r="H416">
        <v>1</v>
      </c>
      <c r="I416">
        <v>0</v>
      </c>
      <c r="J416">
        <v>0.5</v>
      </c>
    </row>
    <row r="417" spans="1:10" x14ac:dyDescent="0.3">
      <c r="A417">
        <v>415</v>
      </c>
      <c r="B417">
        <v>6609</v>
      </c>
      <c r="C417" t="b">
        <v>1</v>
      </c>
      <c r="D417">
        <v>8048</v>
      </c>
      <c r="E417">
        <v>8123</v>
      </c>
      <c r="F417">
        <v>8</v>
      </c>
      <c r="G417">
        <v>8</v>
      </c>
      <c r="H417">
        <v>1</v>
      </c>
      <c r="I417">
        <v>0</v>
      </c>
      <c r="J417">
        <v>0.5</v>
      </c>
    </row>
    <row r="418" spans="1:10" x14ac:dyDescent="0.3">
      <c r="A418">
        <v>416</v>
      </c>
      <c r="B418">
        <v>6625</v>
      </c>
      <c r="C418" t="b">
        <v>1</v>
      </c>
      <c r="D418">
        <v>8048</v>
      </c>
      <c r="E418">
        <v>8123</v>
      </c>
      <c r="F418">
        <v>8</v>
      </c>
      <c r="G418">
        <v>8</v>
      </c>
      <c r="H418">
        <v>1</v>
      </c>
      <c r="I418">
        <v>0</v>
      </c>
      <c r="J418">
        <v>0.5</v>
      </c>
    </row>
    <row r="419" spans="1:10" x14ac:dyDescent="0.3">
      <c r="A419">
        <v>417</v>
      </c>
      <c r="B419">
        <v>6641</v>
      </c>
      <c r="C419" t="b">
        <v>1</v>
      </c>
      <c r="D419">
        <v>8048</v>
      </c>
      <c r="E419">
        <v>8123</v>
      </c>
      <c r="F419">
        <v>8</v>
      </c>
      <c r="G419">
        <v>8</v>
      </c>
      <c r="H419">
        <v>1</v>
      </c>
      <c r="I419">
        <v>0</v>
      </c>
      <c r="J419">
        <v>0.5</v>
      </c>
    </row>
    <row r="420" spans="1:10" x14ac:dyDescent="0.3">
      <c r="A420">
        <v>418</v>
      </c>
      <c r="B420">
        <v>6657</v>
      </c>
      <c r="C420" t="b">
        <v>1</v>
      </c>
      <c r="D420">
        <v>8048</v>
      </c>
      <c r="E420">
        <v>8123</v>
      </c>
      <c r="F420">
        <v>8</v>
      </c>
      <c r="G420">
        <v>8</v>
      </c>
      <c r="H420">
        <v>1</v>
      </c>
      <c r="I420">
        <v>0</v>
      </c>
      <c r="J420">
        <v>0.5</v>
      </c>
    </row>
    <row r="421" spans="1:10" x14ac:dyDescent="0.3">
      <c r="A421">
        <v>419</v>
      </c>
      <c r="B421">
        <v>6672</v>
      </c>
      <c r="C421" t="b">
        <v>1</v>
      </c>
      <c r="D421">
        <v>8054</v>
      </c>
      <c r="E421">
        <v>8123</v>
      </c>
      <c r="F421">
        <v>8</v>
      </c>
      <c r="G421">
        <v>8</v>
      </c>
      <c r="H421">
        <v>1</v>
      </c>
      <c r="I421">
        <v>0</v>
      </c>
      <c r="J421">
        <v>0.5</v>
      </c>
    </row>
    <row r="422" spans="1:10" x14ac:dyDescent="0.3">
      <c r="A422">
        <v>420</v>
      </c>
      <c r="B422">
        <v>6688</v>
      </c>
      <c r="C422" t="b">
        <v>1</v>
      </c>
      <c r="D422">
        <v>8054</v>
      </c>
      <c r="E422">
        <v>8123</v>
      </c>
      <c r="F422">
        <v>8</v>
      </c>
      <c r="G422">
        <v>8</v>
      </c>
      <c r="H422">
        <v>1</v>
      </c>
      <c r="I422">
        <v>0</v>
      </c>
      <c r="J422">
        <v>0.5</v>
      </c>
    </row>
    <row r="423" spans="1:10" x14ac:dyDescent="0.3">
      <c r="A423">
        <v>421</v>
      </c>
      <c r="B423">
        <v>6704</v>
      </c>
      <c r="C423" t="b">
        <v>1</v>
      </c>
      <c r="D423">
        <v>8054</v>
      </c>
      <c r="E423">
        <v>8123</v>
      </c>
      <c r="F423">
        <v>8.4</v>
      </c>
      <c r="G423">
        <v>8</v>
      </c>
      <c r="H423">
        <v>1.05</v>
      </c>
      <c r="I423">
        <v>-4.9999952E-2</v>
      </c>
      <c r="J423">
        <v>0.48780489999999999</v>
      </c>
    </row>
    <row r="424" spans="1:10" x14ac:dyDescent="0.3">
      <c r="A424">
        <v>422</v>
      </c>
      <c r="B424">
        <v>6720</v>
      </c>
      <c r="C424" t="b">
        <v>1</v>
      </c>
      <c r="D424">
        <v>8054</v>
      </c>
      <c r="E424">
        <v>8123</v>
      </c>
      <c r="F424">
        <v>8.8000000000000007</v>
      </c>
      <c r="G424">
        <v>8</v>
      </c>
      <c r="H424">
        <v>1.1000000000000001</v>
      </c>
      <c r="I424">
        <v>-0.10000002400000001</v>
      </c>
      <c r="J424">
        <v>0.47619050000000002</v>
      </c>
    </row>
    <row r="425" spans="1:10" x14ac:dyDescent="0.3">
      <c r="A425">
        <v>423</v>
      </c>
      <c r="B425">
        <v>6736</v>
      </c>
      <c r="C425" t="b">
        <v>1</v>
      </c>
      <c r="D425">
        <v>8054</v>
      </c>
      <c r="E425">
        <v>8117</v>
      </c>
      <c r="F425">
        <v>9.1999999999999993</v>
      </c>
      <c r="G425">
        <v>8</v>
      </c>
      <c r="H425">
        <v>1.1499999999999999</v>
      </c>
      <c r="I425">
        <v>-0.14999998</v>
      </c>
      <c r="J425">
        <v>0.46511626</v>
      </c>
    </row>
    <row r="426" spans="1:10" x14ac:dyDescent="0.3">
      <c r="A426">
        <v>424</v>
      </c>
      <c r="B426">
        <v>6752</v>
      </c>
      <c r="C426" t="b">
        <v>1</v>
      </c>
      <c r="D426">
        <v>8054</v>
      </c>
      <c r="E426">
        <v>8117</v>
      </c>
      <c r="F426">
        <v>9.6</v>
      </c>
      <c r="G426">
        <v>8</v>
      </c>
      <c r="H426">
        <v>1.2</v>
      </c>
      <c r="I426">
        <v>-0.20000005000000001</v>
      </c>
      <c r="J426">
        <v>0.45454544000000002</v>
      </c>
    </row>
    <row r="427" spans="1:10" x14ac:dyDescent="0.3">
      <c r="A427">
        <v>425</v>
      </c>
      <c r="B427">
        <v>6767</v>
      </c>
      <c r="C427" t="b">
        <v>1</v>
      </c>
      <c r="D427">
        <v>8048</v>
      </c>
      <c r="E427">
        <v>8117</v>
      </c>
      <c r="F427">
        <v>10</v>
      </c>
      <c r="G427">
        <v>7.6</v>
      </c>
      <c r="H427">
        <v>1.3157894999999999</v>
      </c>
      <c r="I427">
        <v>-0.3157895</v>
      </c>
      <c r="J427">
        <v>0.43181816000000001</v>
      </c>
    </row>
    <row r="428" spans="1:10" x14ac:dyDescent="0.3">
      <c r="A428">
        <v>426</v>
      </c>
      <c r="B428">
        <v>6783</v>
      </c>
      <c r="C428" t="b">
        <v>1</v>
      </c>
      <c r="D428">
        <v>8048</v>
      </c>
      <c r="E428">
        <v>8117</v>
      </c>
      <c r="F428">
        <v>10.4</v>
      </c>
      <c r="G428">
        <v>7.2</v>
      </c>
      <c r="H428">
        <v>1.4444444000000001</v>
      </c>
      <c r="I428">
        <v>-0.44444442000000001</v>
      </c>
      <c r="J428">
        <v>0.40909094000000001</v>
      </c>
    </row>
    <row r="429" spans="1:10" x14ac:dyDescent="0.3">
      <c r="A429">
        <v>427</v>
      </c>
      <c r="B429">
        <v>6799</v>
      </c>
      <c r="C429" t="b">
        <v>1</v>
      </c>
      <c r="D429">
        <v>8048</v>
      </c>
      <c r="E429">
        <v>8117</v>
      </c>
      <c r="F429">
        <v>10.4</v>
      </c>
      <c r="G429">
        <v>6.8</v>
      </c>
      <c r="H429">
        <v>1.5294117</v>
      </c>
      <c r="I429">
        <v>-0.52941170000000004</v>
      </c>
      <c r="J429">
        <v>0.39534881999999999</v>
      </c>
    </row>
    <row r="430" spans="1:10" x14ac:dyDescent="0.3">
      <c r="A430">
        <v>428</v>
      </c>
      <c r="B430">
        <v>6815</v>
      </c>
      <c r="C430" t="b">
        <v>1</v>
      </c>
      <c r="D430">
        <v>8048</v>
      </c>
      <c r="E430">
        <v>8111</v>
      </c>
      <c r="F430">
        <v>10.4</v>
      </c>
      <c r="G430">
        <v>6.4</v>
      </c>
      <c r="H430">
        <v>1.6249998999999999</v>
      </c>
      <c r="I430">
        <v>-0.62499994000000003</v>
      </c>
      <c r="J430">
        <v>0.38095242000000001</v>
      </c>
    </row>
    <row r="431" spans="1:10" x14ac:dyDescent="0.3">
      <c r="A431">
        <v>429</v>
      </c>
      <c r="B431">
        <v>6830</v>
      </c>
      <c r="C431" t="b">
        <v>1</v>
      </c>
      <c r="D431">
        <v>8048</v>
      </c>
      <c r="E431">
        <v>8123</v>
      </c>
      <c r="F431">
        <v>10.4</v>
      </c>
      <c r="G431">
        <v>6</v>
      </c>
      <c r="H431">
        <v>1.7333331999999999</v>
      </c>
      <c r="I431">
        <v>-0.73333329999999997</v>
      </c>
      <c r="J431">
        <v>0.36585367000000002</v>
      </c>
    </row>
    <row r="432" spans="1:10" x14ac:dyDescent="0.3">
      <c r="A432">
        <v>430</v>
      </c>
      <c r="B432">
        <v>6846</v>
      </c>
      <c r="C432" t="b">
        <v>1</v>
      </c>
      <c r="D432">
        <v>8048</v>
      </c>
      <c r="E432">
        <v>8123</v>
      </c>
      <c r="F432">
        <v>10.4</v>
      </c>
      <c r="G432">
        <v>5.6</v>
      </c>
      <c r="H432">
        <v>1.8571428000000001</v>
      </c>
      <c r="I432">
        <v>-0.85714279999999998</v>
      </c>
      <c r="J432">
        <v>0.35</v>
      </c>
    </row>
    <row r="433" spans="1:10" x14ac:dyDescent="0.3">
      <c r="A433">
        <v>431</v>
      </c>
      <c r="B433">
        <v>6862</v>
      </c>
      <c r="C433" t="b">
        <v>1</v>
      </c>
      <c r="D433">
        <v>8048</v>
      </c>
      <c r="E433">
        <v>8123</v>
      </c>
      <c r="F433">
        <v>10.4</v>
      </c>
      <c r="G433">
        <v>5.6</v>
      </c>
      <c r="H433">
        <v>1.8571428000000001</v>
      </c>
      <c r="I433">
        <v>-0.85714279999999998</v>
      </c>
      <c r="J433">
        <v>0.35</v>
      </c>
    </row>
    <row r="434" spans="1:10" x14ac:dyDescent="0.3">
      <c r="A434">
        <v>432</v>
      </c>
      <c r="B434">
        <v>6878</v>
      </c>
      <c r="C434" t="b">
        <v>1</v>
      </c>
      <c r="D434">
        <v>8048</v>
      </c>
      <c r="E434">
        <v>8123</v>
      </c>
      <c r="F434">
        <v>10.4</v>
      </c>
      <c r="G434">
        <v>5.6</v>
      </c>
      <c r="H434">
        <v>1.8571428000000001</v>
      </c>
      <c r="I434">
        <v>-0.85714279999999998</v>
      </c>
      <c r="J434">
        <v>0.35</v>
      </c>
    </row>
    <row r="435" spans="1:10" x14ac:dyDescent="0.3">
      <c r="A435">
        <v>433</v>
      </c>
      <c r="B435">
        <v>6894</v>
      </c>
      <c r="C435" t="b">
        <v>1</v>
      </c>
      <c r="D435">
        <v>8048</v>
      </c>
      <c r="E435">
        <v>8123</v>
      </c>
      <c r="F435">
        <v>10.4</v>
      </c>
      <c r="G435">
        <v>5.6</v>
      </c>
      <c r="H435">
        <v>1.8571428000000001</v>
      </c>
      <c r="I435">
        <v>-0.85714279999999998</v>
      </c>
      <c r="J435">
        <v>0.35</v>
      </c>
    </row>
    <row r="436" spans="1:10" x14ac:dyDescent="0.3">
      <c r="A436">
        <v>434</v>
      </c>
      <c r="B436">
        <v>6910</v>
      </c>
      <c r="C436" t="b">
        <v>1</v>
      </c>
      <c r="D436">
        <v>8048</v>
      </c>
      <c r="E436">
        <v>8123</v>
      </c>
      <c r="F436">
        <v>10.4</v>
      </c>
      <c r="G436">
        <v>5.6</v>
      </c>
      <c r="H436">
        <v>1.8571428000000001</v>
      </c>
      <c r="I436">
        <v>-0.85714279999999998</v>
      </c>
      <c r="J436">
        <v>0.35</v>
      </c>
    </row>
    <row r="437" spans="1:10" x14ac:dyDescent="0.3">
      <c r="A437">
        <v>435</v>
      </c>
      <c r="B437">
        <v>6926</v>
      </c>
      <c r="C437" t="b">
        <v>1</v>
      </c>
      <c r="D437">
        <v>8048</v>
      </c>
      <c r="E437">
        <v>8117</v>
      </c>
      <c r="F437">
        <v>10.4</v>
      </c>
      <c r="G437">
        <v>5.6</v>
      </c>
      <c r="H437">
        <v>1.8571428000000001</v>
      </c>
      <c r="I437">
        <v>-0.85714279999999998</v>
      </c>
      <c r="J437">
        <v>0.35</v>
      </c>
    </row>
    <row r="438" spans="1:10" x14ac:dyDescent="0.3">
      <c r="A438">
        <v>436</v>
      </c>
      <c r="B438">
        <v>6941</v>
      </c>
      <c r="C438" t="b">
        <v>1</v>
      </c>
      <c r="D438">
        <v>8054</v>
      </c>
      <c r="E438">
        <v>8123</v>
      </c>
      <c r="F438">
        <v>10</v>
      </c>
      <c r="G438">
        <v>5.6</v>
      </c>
      <c r="H438">
        <v>1.7857143</v>
      </c>
      <c r="I438">
        <v>-0.78571429999999998</v>
      </c>
      <c r="J438">
        <v>0.35897434</v>
      </c>
    </row>
    <row r="439" spans="1:10" x14ac:dyDescent="0.3">
      <c r="A439">
        <v>437</v>
      </c>
      <c r="B439">
        <v>6957</v>
      </c>
      <c r="C439" t="b">
        <v>1</v>
      </c>
      <c r="D439">
        <v>8048</v>
      </c>
      <c r="E439">
        <v>8117</v>
      </c>
      <c r="F439">
        <v>9.6</v>
      </c>
      <c r="G439">
        <v>5.6</v>
      </c>
      <c r="H439">
        <v>1.7142858999999999</v>
      </c>
      <c r="I439">
        <v>-0.71428579999999997</v>
      </c>
      <c r="J439">
        <v>0.36842101999999999</v>
      </c>
    </row>
    <row r="440" spans="1:10" x14ac:dyDescent="0.3">
      <c r="A440">
        <v>438</v>
      </c>
      <c r="B440">
        <v>6973</v>
      </c>
      <c r="C440" t="b">
        <v>1</v>
      </c>
      <c r="D440">
        <v>8042</v>
      </c>
      <c r="E440">
        <v>8123</v>
      </c>
      <c r="F440">
        <v>9.1999999999999993</v>
      </c>
      <c r="G440">
        <v>5.6</v>
      </c>
      <c r="H440">
        <v>1.6428571999999999</v>
      </c>
      <c r="I440">
        <v>-0.64285713</v>
      </c>
      <c r="J440">
        <v>0.3783784</v>
      </c>
    </row>
    <row r="441" spans="1:10" x14ac:dyDescent="0.3">
      <c r="A441">
        <v>439</v>
      </c>
      <c r="B441">
        <v>6989</v>
      </c>
      <c r="C441" t="b">
        <v>1</v>
      </c>
      <c r="D441">
        <v>8048</v>
      </c>
      <c r="E441">
        <v>8123</v>
      </c>
      <c r="F441">
        <v>8.8000000000000007</v>
      </c>
      <c r="G441">
        <v>5.6</v>
      </c>
      <c r="H441">
        <v>1.5714287</v>
      </c>
      <c r="I441">
        <v>-0.57142866000000003</v>
      </c>
      <c r="J441">
        <v>0.38888889999999998</v>
      </c>
    </row>
    <row r="442" spans="1:10" x14ac:dyDescent="0.3">
      <c r="A442">
        <v>440</v>
      </c>
      <c r="B442">
        <v>7004</v>
      </c>
      <c r="C442" t="b">
        <v>1</v>
      </c>
      <c r="D442">
        <v>8048</v>
      </c>
      <c r="E442">
        <v>8117</v>
      </c>
      <c r="F442">
        <v>8.4</v>
      </c>
      <c r="G442">
        <v>6</v>
      </c>
      <c r="H442">
        <v>1.4</v>
      </c>
      <c r="I442">
        <v>-0.39999994999999999</v>
      </c>
      <c r="J442">
        <v>0.4166667</v>
      </c>
    </row>
    <row r="443" spans="1:10" x14ac:dyDescent="0.3">
      <c r="A443">
        <v>441</v>
      </c>
      <c r="B443">
        <v>7020</v>
      </c>
      <c r="C443" t="b">
        <v>1</v>
      </c>
      <c r="D443">
        <v>8048</v>
      </c>
      <c r="E443">
        <v>8117</v>
      </c>
      <c r="F443">
        <v>8</v>
      </c>
      <c r="G443">
        <v>6</v>
      </c>
      <c r="H443">
        <v>1.3333333999999999</v>
      </c>
      <c r="I443">
        <v>-0.33333333999999998</v>
      </c>
      <c r="J443">
        <v>0.42857142999999998</v>
      </c>
    </row>
    <row r="444" spans="1:10" x14ac:dyDescent="0.3">
      <c r="A444">
        <v>442</v>
      </c>
      <c r="B444">
        <v>7036</v>
      </c>
      <c r="C444" t="b">
        <v>1</v>
      </c>
      <c r="D444">
        <v>8048</v>
      </c>
      <c r="E444">
        <v>8123</v>
      </c>
      <c r="F444">
        <v>8</v>
      </c>
      <c r="G444">
        <v>6.4</v>
      </c>
      <c r="H444">
        <v>1.25</v>
      </c>
      <c r="I444">
        <v>-0.24999999000000001</v>
      </c>
      <c r="J444">
        <v>0.44444447999999998</v>
      </c>
    </row>
    <row r="445" spans="1:10" x14ac:dyDescent="0.3">
      <c r="A445">
        <v>443</v>
      </c>
      <c r="B445">
        <v>7052</v>
      </c>
      <c r="C445" t="b">
        <v>1</v>
      </c>
      <c r="D445">
        <v>8048</v>
      </c>
      <c r="E445">
        <v>8123</v>
      </c>
      <c r="F445">
        <v>8</v>
      </c>
      <c r="G445">
        <v>6.8</v>
      </c>
      <c r="H445">
        <v>1.1764705</v>
      </c>
      <c r="I445">
        <v>-0.17647055</v>
      </c>
      <c r="J445">
        <v>0.45945944999999999</v>
      </c>
    </row>
    <row r="446" spans="1:10" x14ac:dyDescent="0.3">
      <c r="A446">
        <v>444</v>
      </c>
      <c r="B446">
        <v>7068</v>
      </c>
      <c r="C446" t="b">
        <v>1</v>
      </c>
      <c r="D446">
        <v>8054</v>
      </c>
      <c r="E446">
        <v>8123</v>
      </c>
      <c r="F446">
        <v>8</v>
      </c>
      <c r="G446">
        <v>7.2</v>
      </c>
      <c r="H446">
        <v>1.1111112000000001</v>
      </c>
      <c r="I446">
        <v>-0.11111114</v>
      </c>
      <c r="J446">
        <v>0.4736842</v>
      </c>
    </row>
    <row r="447" spans="1:10" x14ac:dyDescent="0.3">
      <c r="A447">
        <v>445</v>
      </c>
      <c r="B447">
        <v>7084</v>
      </c>
      <c r="C447" t="b">
        <v>1</v>
      </c>
      <c r="D447">
        <v>8054</v>
      </c>
      <c r="E447">
        <v>8123</v>
      </c>
      <c r="F447">
        <v>8</v>
      </c>
      <c r="G447">
        <v>7.6</v>
      </c>
      <c r="H447">
        <v>1.0526316</v>
      </c>
      <c r="I447">
        <v>-5.2631589999999999E-2</v>
      </c>
      <c r="J447">
        <v>0.48717946000000001</v>
      </c>
    </row>
    <row r="448" spans="1:10" x14ac:dyDescent="0.3">
      <c r="A448">
        <v>446</v>
      </c>
      <c r="B448">
        <v>7100</v>
      </c>
      <c r="C448" t="b">
        <v>1</v>
      </c>
      <c r="D448">
        <v>8054</v>
      </c>
      <c r="E448">
        <v>8117</v>
      </c>
      <c r="F448">
        <v>8.4</v>
      </c>
      <c r="G448">
        <v>7.6</v>
      </c>
      <c r="H448">
        <v>1.1052630999999999</v>
      </c>
      <c r="I448">
        <v>-0.10526312</v>
      </c>
      <c r="J448">
        <v>0.47499999999999998</v>
      </c>
    </row>
    <row r="449" spans="1:10" x14ac:dyDescent="0.3">
      <c r="A449">
        <v>447</v>
      </c>
      <c r="B449">
        <v>7116</v>
      </c>
      <c r="C449" t="b">
        <v>1</v>
      </c>
      <c r="D449">
        <v>8054</v>
      </c>
      <c r="E449">
        <v>8117</v>
      </c>
      <c r="F449">
        <v>8.8000000000000007</v>
      </c>
      <c r="G449">
        <v>7.6</v>
      </c>
      <c r="H449">
        <v>1.1578946999999999</v>
      </c>
      <c r="I449">
        <v>-0.15789478000000001</v>
      </c>
      <c r="J449">
        <v>0.46341463999999999</v>
      </c>
    </row>
    <row r="450" spans="1:10" x14ac:dyDescent="0.3">
      <c r="A450">
        <v>448</v>
      </c>
      <c r="B450">
        <v>7132</v>
      </c>
      <c r="C450" t="b">
        <v>1</v>
      </c>
      <c r="D450">
        <v>8054</v>
      </c>
      <c r="E450">
        <v>8123</v>
      </c>
      <c r="F450">
        <v>9.1999999999999993</v>
      </c>
      <c r="G450">
        <v>7.6</v>
      </c>
      <c r="H450">
        <v>1.2105262999999999</v>
      </c>
      <c r="I450">
        <v>-0.2105263</v>
      </c>
      <c r="J450">
        <v>0.45238096</v>
      </c>
    </row>
    <row r="451" spans="1:10" x14ac:dyDescent="0.3">
      <c r="A451">
        <v>449</v>
      </c>
      <c r="B451">
        <v>7147</v>
      </c>
      <c r="C451" t="b">
        <v>1</v>
      </c>
      <c r="D451">
        <v>8054</v>
      </c>
      <c r="E451">
        <v>8123</v>
      </c>
      <c r="F451">
        <v>9.6</v>
      </c>
      <c r="G451">
        <v>7.6</v>
      </c>
      <c r="H451">
        <v>1.263158</v>
      </c>
      <c r="I451">
        <v>-0.26315796000000002</v>
      </c>
      <c r="J451">
        <v>0.44186044000000002</v>
      </c>
    </row>
    <row r="452" spans="1:10" x14ac:dyDescent="0.3">
      <c r="A452">
        <v>450</v>
      </c>
      <c r="B452">
        <v>7163</v>
      </c>
      <c r="C452" t="b">
        <v>1</v>
      </c>
      <c r="D452">
        <v>8054</v>
      </c>
      <c r="E452">
        <v>8123</v>
      </c>
      <c r="F452">
        <v>10</v>
      </c>
      <c r="G452">
        <v>7.6</v>
      </c>
      <c r="H452">
        <v>1.3157894999999999</v>
      </c>
      <c r="I452">
        <v>-0.3157895</v>
      </c>
      <c r="J452">
        <v>0.43181816000000001</v>
      </c>
    </row>
    <row r="453" spans="1:10" x14ac:dyDescent="0.3">
      <c r="A453">
        <v>451</v>
      </c>
      <c r="B453">
        <v>7179</v>
      </c>
      <c r="C453" t="b">
        <v>1</v>
      </c>
      <c r="D453">
        <v>8048</v>
      </c>
      <c r="E453">
        <v>8123</v>
      </c>
      <c r="F453">
        <v>10.4</v>
      </c>
      <c r="G453">
        <v>7.6</v>
      </c>
      <c r="H453">
        <v>1.3684210999999999</v>
      </c>
      <c r="I453">
        <v>-0.36842101999999999</v>
      </c>
      <c r="J453">
        <v>0.42222222999999998</v>
      </c>
    </row>
    <row r="454" spans="1:10" x14ac:dyDescent="0.3">
      <c r="A454">
        <v>452</v>
      </c>
      <c r="B454">
        <v>7195</v>
      </c>
      <c r="C454" t="b">
        <v>1</v>
      </c>
      <c r="D454">
        <v>8048</v>
      </c>
      <c r="E454">
        <v>8123</v>
      </c>
      <c r="F454">
        <v>10.8</v>
      </c>
      <c r="G454">
        <v>7.6</v>
      </c>
      <c r="H454">
        <v>1.4210526999999999</v>
      </c>
      <c r="I454">
        <v>-0.42105266000000002</v>
      </c>
      <c r="J454">
        <v>0.41304347000000002</v>
      </c>
    </row>
    <row r="455" spans="1:10" x14ac:dyDescent="0.3">
      <c r="A455">
        <v>453</v>
      </c>
      <c r="B455">
        <v>7211</v>
      </c>
      <c r="C455" t="b">
        <v>1</v>
      </c>
      <c r="D455">
        <v>8048</v>
      </c>
      <c r="E455">
        <v>8123</v>
      </c>
      <c r="F455">
        <v>10.8</v>
      </c>
      <c r="G455">
        <v>7.6</v>
      </c>
      <c r="H455">
        <v>1.4210526999999999</v>
      </c>
      <c r="I455">
        <v>-0.42105266000000002</v>
      </c>
      <c r="J455">
        <v>0.41304347000000002</v>
      </c>
    </row>
    <row r="456" spans="1:10" x14ac:dyDescent="0.3">
      <c r="A456">
        <v>454</v>
      </c>
      <c r="B456">
        <v>7227</v>
      </c>
      <c r="C456" t="b">
        <v>1</v>
      </c>
      <c r="D456">
        <v>8048</v>
      </c>
      <c r="E456">
        <v>8123</v>
      </c>
      <c r="F456">
        <v>10.8</v>
      </c>
      <c r="G456">
        <v>7.6</v>
      </c>
      <c r="H456">
        <v>1.4210526999999999</v>
      </c>
      <c r="I456">
        <v>-0.42105266000000002</v>
      </c>
      <c r="J456">
        <v>0.41304347000000002</v>
      </c>
    </row>
    <row r="457" spans="1:10" x14ac:dyDescent="0.3">
      <c r="A457">
        <v>455</v>
      </c>
      <c r="B457">
        <v>7243</v>
      </c>
      <c r="C457" t="b">
        <v>1</v>
      </c>
      <c r="D457">
        <v>8048</v>
      </c>
      <c r="E457">
        <v>8123</v>
      </c>
      <c r="F457">
        <v>10.8</v>
      </c>
      <c r="G457">
        <v>7.6</v>
      </c>
      <c r="H457">
        <v>1.4210526999999999</v>
      </c>
      <c r="I457">
        <v>-0.42105266000000002</v>
      </c>
      <c r="J457">
        <v>0.41304347000000002</v>
      </c>
    </row>
    <row r="458" spans="1:10" x14ac:dyDescent="0.3">
      <c r="A458">
        <v>456</v>
      </c>
      <c r="B458">
        <v>7259</v>
      </c>
      <c r="C458" t="b">
        <v>1</v>
      </c>
      <c r="D458">
        <v>8048</v>
      </c>
      <c r="E458">
        <v>8123</v>
      </c>
      <c r="F458">
        <v>10.8</v>
      </c>
      <c r="G458">
        <v>8</v>
      </c>
      <c r="H458">
        <v>1.35</v>
      </c>
      <c r="I458">
        <v>-0.35000002000000002</v>
      </c>
      <c r="J458">
        <v>0.42553192000000001</v>
      </c>
    </row>
    <row r="459" spans="1:10" x14ac:dyDescent="0.3">
      <c r="A459">
        <v>457</v>
      </c>
      <c r="B459">
        <v>7275</v>
      </c>
      <c r="C459" t="b">
        <v>1</v>
      </c>
      <c r="D459">
        <v>8048</v>
      </c>
      <c r="E459">
        <v>8129</v>
      </c>
      <c r="F459">
        <v>10.8</v>
      </c>
      <c r="G459">
        <v>8</v>
      </c>
      <c r="H459">
        <v>1.35</v>
      </c>
      <c r="I459">
        <v>-0.35000002000000002</v>
      </c>
      <c r="J459">
        <v>0.42553192000000001</v>
      </c>
    </row>
    <row r="460" spans="1:10" x14ac:dyDescent="0.3">
      <c r="A460">
        <v>458</v>
      </c>
      <c r="B460">
        <v>7291</v>
      </c>
      <c r="C460" t="b">
        <v>1</v>
      </c>
      <c r="D460">
        <v>8054</v>
      </c>
      <c r="E460">
        <v>8123</v>
      </c>
      <c r="F460">
        <v>10.8</v>
      </c>
      <c r="G460">
        <v>8</v>
      </c>
      <c r="H460">
        <v>1.35</v>
      </c>
      <c r="I460">
        <v>-0.35000002000000002</v>
      </c>
      <c r="J460">
        <v>0.42553192000000001</v>
      </c>
    </row>
    <row r="461" spans="1:10" x14ac:dyDescent="0.3">
      <c r="A461">
        <v>459</v>
      </c>
      <c r="B461">
        <v>7306</v>
      </c>
      <c r="C461" t="b">
        <v>1</v>
      </c>
      <c r="D461">
        <v>8054</v>
      </c>
      <c r="E461">
        <v>8117</v>
      </c>
      <c r="F461">
        <v>10.8</v>
      </c>
      <c r="G461">
        <v>8</v>
      </c>
      <c r="H461">
        <v>1.35</v>
      </c>
      <c r="I461">
        <v>-0.35000002000000002</v>
      </c>
      <c r="J461">
        <v>0.42553192000000001</v>
      </c>
    </row>
    <row r="462" spans="1:10" x14ac:dyDescent="0.3">
      <c r="A462">
        <v>460</v>
      </c>
      <c r="B462">
        <v>7322</v>
      </c>
      <c r="C462" t="b">
        <v>1</v>
      </c>
      <c r="D462">
        <v>8054</v>
      </c>
      <c r="E462">
        <v>8117</v>
      </c>
      <c r="F462">
        <v>11.2</v>
      </c>
      <c r="G462">
        <v>8</v>
      </c>
      <c r="H462">
        <v>1.4</v>
      </c>
      <c r="I462">
        <v>-0.39999997999999998</v>
      </c>
      <c r="J462">
        <v>0.41666666000000002</v>
      </c>
    </row>
    <row r="463" spans="1:10" x14ac:dyDescent="0.3">
      <c r="A463">
        <v>461</v>
      </c>
      <c r="B463">
        <v>7338</v>
      </c>
      <c r="C463" t="b">
        <v>1</v>
      </c>
      <c r="D463">
        <v>8048</v>
      </c>
      <c r="E463">
        <v>8123</v>
      </c>
      <c r="F463">
        <v>11.2</v>
      </c>
      <c r="G463">
        <v>8</v>
      </c>
      <c r="H463">
        <v>1.4</v>
      </c>
      <c r="I463">
        <v>-0.39999997999999998</v>
      </c>
      <c r="J463">
        <v>0.41666666000000002</v>
      </c>
    </row>
    <row r="464" spans="1:10" x14ac:dyDescent="0.3">
      <c r="A464">
        <v>462</v>
      </c>
      <c r="B464">
        <v>7354</v>
      </c>
      <c r="C464" t="b">
        <v>1</v>
      </c>
      <c r="D464">
        <v>8054</v>
      </c>
      <c r="E464">
        <v>8123</v>
      </c>
      <c r="F464">
        <v>11.2</v>
      </c>
      <c r="G464">
        <v>8</v>
      </c>
      <c r="H464">
        <v>1.4</v>
      </c>
      <c r="I464">
        <v>-0.39999997999999998</v>
      </c>
      <c r="J464">
        <v>0.41666666000000002</v>
      </c>
    </row>
    <row r="465" spans="1:10" x14ac:dyDescent="0.3">
      <c r="A465">
        <v>463</v>
      </c>
      <c r="B465">
        <v>7370</v>
      </c>
      <c r="C465" t="b">
        <v>1</v>
      </c>
      <c r="D465">
        <v>8048</v>
      </c>
      <c r="E465">
        <v>8123</v>
      </c>
      <c r="F465">
        <v>11.2</v>
      </c>
      <c r="G465">
        <v>8</v>
      </c>
      <c r="H465">
        <v>1.4</v>
      </c>
      <c r="I465">
        <v>-0.39999997999999998</v>
      </c>
      <c r="J465">
        <v>0.41666666000000002</v>
      </c>
    </row>
    <row r="466" spans="1:10" x14ac:dyDescent="0.3">
      <c r="A466">
        <v>464</v>
      </c>
      <c r="B466">
        <v>7386</v>
      </c>
      <c r="C466" t="b">
        <v>1</v>
      </c>
      <c r="D466">
        <v>8048</v>
      </c>
      <c r="E466">
        <v>8123</v>
      </c>
      <c r="F466">
        <v>10.8</v>
      </c>
      <c r="G466">
        <v>8</v>
      </c>
      <c r="H466">
        <v>1.35</v>
      </c>
      <c r="I466">
        <v>-0.35000002000000002</v>
      </c>
      <c r="J466">
        <v>0.42553192000000001</v>
      </c>
    </row>
    <row r="467" spans="1:10" x14ac:dyDescent="0.3">
      <c r="A467">
        <v>465</v>
      </c>
      <c r="B467">
        <v>7402</v>
      </c>
      <c r="C467" t="b">
        <v>1</v>
      </c>
      <c r="D467">
        <v>8048</v>
      </c>
      <c r="E467">
        <v>8117</v>
      </c>
      <c r="F467">
        <v>10.4</v>
      </c>
      <c r="G467">
        <v>8</v>
      </c>
      <c r="H467">
        <v>1.3</v>
      </c>
      <c r="I467">
        <v>-0.29999995000000002</v>
      </c>
      <c r="J467">
        <v>0.43478262000000001</v>
      </c>
    </row>
    <row r="468" spans="1:10" x14ac:dyDescent="0.3">
      <c r="A468">
        <v>466</v>
      </c>
      <c r="B468">
        <v>7418</v>
      </c>
      <c r="C468" t="b">
        <v>1</v>
      </c>
      <c r="D468">
        <v>8048</v>
      </c>
      <c r="E468">
        <v>8123</v>
      </c>
      <c r="F468">
        <v>10</v>
      </c>
      <c r="G468">
        <v>8</v>
      </c>
      <c r="H468">
        <v>1.25</v>
      </c>
      <c r="I468">
        <v>-0.25</v>
      </c>
      <c r="J468">
        <v>0.44444444999999999</v>
      </c>
    </row>
    <row r="469" spans="1:10" x14ac:dyDescent="0.3">
      <c r="A469">
        <v>467</v>
      </c>
      <c r="B469">
        <v>7434</v>
      </c>
      <c r="C469" t="b">
        <v>1</v>
      </c>
      <c r="D469">
        <v>8048</v>
      </c>
      <c r="E469">
        <v>8123</v>
      </c>
      <c r="F469">
        <v>9.6</v>
      </c>
      <c r="G469">
        <v>8</v>
      </c>
      <c r="H469">
        <v>1.2</v>
      </c>
      <c r="I469">
        <v>-0.20000005000000001</v>
      </c>
      <c r="J469">
        <v>0.45454544000000002</v>
      </c>
    </row>
    <row r="470" spans="1:10" x14ac:dyDescent="0.3">
      <c r="A470">
        <v>468</v>
      </c>
      <c r="B470">
        <v>7450</v>
      </c>
      <c r="C470" t="b">
        <v>1</v>
      </c>
      <c r="D470">
        <v>8048</v>
      </c>
      <c r="E470">
        <v>8123</v>
      </c>
      <c r="F470">
        <v>9.6</v>
      </c>
      <c r="G470">
        <v>8</v>
      </c>
      <c r="H470">
        <v>1.2</v>
      </c>
      <c r="I470">
        <v>-0.20000005000000001</v>
      </c>
      <c r="J470">
        <v>0.45454544000000002</v>
      </c>
    </row>
    <row r="471" spans="1:10" x14ac:dyDescent="0.3">
      <c r="A471">
        <v>469</v>
      </c>
      <c r="B471">
        <v>7466</v>
      </c>
      <c r="C471" t="b">
        <v>1</v>
      </c>
      <c r="D471">
        <v>8048</v>
      </c>
      <c r="E471">
        <v>8123</v>
      </c>
      <c r="F471">
        <v>9.6</v>
      </c>
      <c r="G471">
        <v>8</v>
      </c>
      <c r="H471">
        <v>1.2</v>
      </c>
      <c r="I471">
        <v>-0.20000005000000001</v>
      </c>
      <c r="J471">
        <v>0.45454544000000002</v>
      </c>
    </row>
    <row r="472" spans="1:10" x14ac:dyDescent="0.3">
      <c r="A472">
        <v>470</v>
      </c>
      <c r="B472">
        <v>7482</v>
      </c>
      <c r="C472" t="b">
        <v>1</v>
      </c>
      <c r="D472">
        <v>8042</v>
      </c>
      <c r="E472">
        <v>8123</v>
      </c>
      <c r="F472">
        <v>9.6</v>
      </c>
      <c r="G472">
        <v>8</v>
      </c>
      <c r="H472">
        <v>1.2</v>
      </c>
      <c r="I472">
        <v>-0.20000005000000001</v>
      </c>
      <c r="J472">
        <v>0.45454544000000002</v>
      </c>
    </row>
    <row r="473" spans="1:10" x14ac:dyDescent="0.3">
      <c r="A473">
        <v>471</v>
      </c>
      <c r="B473">
        <v>7497</v>
      </c>
      <c r="C473" t="b">
        <v>1</v>
      </c>
      <c r="D473">
        <v>8042</v>
      </c>
      <c r="E473">
        <v>8123</v>
      </c>
      <c r="F473">
        <v>9.6</v>
      </c>
      <c r="G473">
        <v>8</v>
      </c>
      <c r="H473">
        <v>1.2</v>
      </c>
      <c r="I473">
        <v>-0.20000005000000001</v>
      </c>
      <c r="J473">
        <v>0.45454544000000002</v>
      </c>
    </row>
    <row r="474" spans="1:10" x14ac:dyDescent="0.3">
      <c r="A474">
        <v>472</v>
      </c>
      <c r="B474">
        <v>7513</v>
      </c>
      <c r="C474" t="b">
        <v>1</v>
      </c>
      <c r="D474">
        <v>8042</v>
      </c>
      <c r="E474">
        <v>8117</v>
      </c>
      <c r="F474">
        <v>9.1999999999999993</v>
      </c>
      <c r="G474">
        <v>8</v>
      </c>
      <c r="H474">
        <v>1.1499999999999999</v>
      </c>
      <c r="I474">
        <v>-0.14999998</v>
      </c>
      <c r="J474">
        <v>0.46511626</v>
      </c>
    </row>
    <row r="475" spans="1:10" x14ac:dyDescent="0.3">
      <c r="A475">
        <v>473</v>
      </c>
      <c r="B475">
        <v>7529</v>
      </c>
      <c r="C475" t="b">
        <v>1</v>
      </c>
      <c r="D475">
        <v>8042</v>
      </c>
      <c r="E475">
        <v>8117</v>
      </c>
      <c r="F475">
        <v>8.8000000000000007</v>
      </c>
      <c r="G475">
        <v>8</v>
      </c>
      <c r="H475">
        <v>1.1000000000000001</v>
      </c>
      <c r="I475">
        <v>-0.10000002400000001</v>
      </c>
      <c r="J475">
        <v>0.47619050000000002</v>
      </c>
    </row>
    <row r="476" spans="1:10" x14ac:dyDescent="0.3">
      <c r="A476">
        <v>474</v>
      </c>
      <c r="B476">
        <v>7546</v>
      </c>
      <c r="C476" t="b">
        <v>1</v>
      </c>
      <c r="D476">
        <v>8042</v>
      </c>
      <c r="E476">
        <v>8117</v>
      </c>
      <c r="F476">
        <v>8.4</v>
      </c>
      <c r="G476">
        <v>7.6</v>
      </c>
      <c r="H476">
        <v>1.1052630999999999</v>
      </c>
      <c r="I476">
        <v>-0.10526312</v>
      </c>
      <c r="J476">
        <v>0.47499999999999998</v>
      </c>
    </row>
    <row r="477" spans="1:10" x14ac:dyDescent="0.3">
      <c r="A477">
        <v>475</v>
      </c>
      <c r="B477">
        <v>7561</v>
      </c>
      <c r="C477" t="b">
        <v>1</v>
      </c>
      <c r="D477">
        <v>8048</v>
      </c>
      <c r="E477">
        <v>8117</v>
      </c>
      <c r="F477">
        <v>7.6</v>
      </c>
      <c r="G477">
        <v>7.2</v>
      </c>
      <c r="H477">
        <v>1.0555555999999999</v>
      </c>
      <c r="I477">
        <v>-5.5555569999999999E-2</v>
      </c>
      <c r="J477">
        <v>0.48648649999999999</v>
      </c>
    </row>
    <row r="478" spans="1:10" x14ac:dyDescent="0.3">
      <c r="A478">
        <v>476</v>
      </c>
      <c r="B478">
        <v>7577</v>
      </c>
      <c r="C478" t="b">
        <v>1</v>
      </c>
      <c r="D478">
        <v>8048</v>
      </c>
      <c r="E478">
        <v>8117</v>
      </c>
      <c r="F478">
        <v>6.8</v>
      </c>
      <c r="G478">
        <v>6.8</v>
      </c>
      <c r="H478">
        <v>1</v>
      </c>
      <c r="I478">
        <v>0</v>
      </c>
      <c r="J478">
        <v>0.5</v>
      </c>
    </row>
    <row r="479" spans="1:10" x14ac:dyDescent="0.3">
      <c r="A479">
        <v>477</v>
      </c>
      <c r="B479">
        <v>7593</v>
      </c>
      <c r="C479" t="b">
        <v>1</v>
      </c>
      <c r="D479">
        <v>8048</v>
      </c>
      <c r="E479">
        <v>8111</v>
      </c>
      <c r="F479">
        <v>6.4</v>
      </c>
      <c r="G479">
        <v>6.4</v>
      </c>
      <c r="H479">
        <v>1</v>
      </c>
      <c r="I479">
        <v>0</v>
      </c>
      <c r="J479">
        <v>0.5</v>
      </c>
    </row>
    <row r="480" spans="1:10" x14ac:dyDescent="0.3">
      <c r="A480">
        <v>478</v>
      </c>
      <c r="B480">
        <v>7609</v>
      </c>
      <c r="C480" t="b">
        <v>1</v>
      </c>
      <c r="D480">
        <v>8042</v>
      </c>
      <c r="E480">
        <v>8111</v>
      </c>
      <c r="F480">
        <v>6</v>
      </c>
      <c r="G480">
        <v>6</v>
      </c>
      <c r="H480">
        <v>1</v>
      </c>
      <c r="I480">
        <v>0</v>
      </c>
      <c r="J480">
        <v>0.5</v>
      </c>
    </row>
    <row r="481" spans="1:10" x14ac:dyDescent="0.3">
      <c r="A481">
        <v>479</v>
      </c>
      <c r="B481">
        <v>7625</v>
      </c>
      <c r="C481" t="b">
        <v>1</v>
      </c>
      <c r="D481">
        <v>8048</v>
      </c>
      <c r="E481">
        <v>8123</v>
      </c>
      <c r="F481">
        <v>6</v>
      </c>
      <c r="G481">
        <v>5.6</v>
      </c>
      <c r="H481">
        <v>1.0714284999999999</v>
      </c>
      <c r="I481">
        <v>-7.142859E-2</v>
      </c>
      <c r="J481">
        <v>0.48275859999999998</v>
      </c>
    </row>
    <row r="482" spans="1:10" x14ac:dyDescent="0.3">
      <c r="A482">
        <v>480</v>
      </c>
      <c r="B482">
        <v>7640</v>
      </c>
      <c r="C482" t="b">
        <v>1</v>
      </c>
      <c r="D482">
        <v>8048</v>
      </c>
      <c r="E482">
        <v>8123</v>
      </c>
      <c r="F482">
        <v>6</v>
      </c>
      <c r="G482">
        <v>5.2</v>
      </c>
      <c r="H482">
        <v>1.1538461</v>
      </c>
      <c r="I482">
        <v>-0.15384618999999999</v>
      </c>
      <c r="J482">
        <v>0.46428570000000002</v>
      </c>
    </row>
    <row r="483" spans="1:10" x14ac:dyDescent="0.3">
      <c r="A483">
        <v>481</v>
      </c>
      <c r="B483">
        <v>7656</v>
      </c>
      <c r="C483" t="b">
        <v>1</v>
      </c>
      <c r="D483">
        <v>8048</v>
      </c>
      <c r="E483">
        <v>8123</v>
      </c>
      <c r="F483">
        <v>6</v>
      </c>
      <c r="G483">
        <v>5.2</v>
      </c>
      <c r="H483">
        <v>1.1538461</v>
      </c>
      <c r="I483">
        <v>-0.15384618999999999</v>
      </c>
      <c r="J483">
        <v>0.46428570000000002</v>
      </c>
    </row>
    <row r="484" spans="1:10" x14ac:dyDescent="0.3">
      <c r="A484">
        <v>482</v>
      </c>
      <c r="B484">
        <v>7672</v>
      </c>
      <c r="C484" t="b">
        <v>1</v>
      </c>
      <c r="D484">
        <v>8048</v>
      </c>
      <c r="E484">
        <v>8129</v>
      </c>
      <c r="F484">
        <v>6</v>
      </c>
      <c r="G484">
        <v>5.2</v>
      </c>
      <c r="H484">
        <v>1.1538461</v>
      </c>
      <c r="I484">
        <v>-0.15384618999999999</v>
      </c>
      <c r="J484">
        <v>0.46428570000000002</v>
      </c>
    </row>
    <row r="485" spans="1:10" x14ac:dyDescent="0.3">
      <c r="A485">
        <v>483</v>
      </c>
      <c r="B485">
        <v>7688</v>
      </c>
      <c r="C485" t="b">
        <v>1</v>
      </c>
      <c r="D485">
        <v>8048</v>
      </c>
      <c r="E485">
        <v>8123</v>
      </c>
      <c r="F485">
        <v>6</v>
      </c>
      <c r="G485">
        <v>5.2</v>
      </c>
      <c r="H485">
        <v>1.1538461</v>
      </c>
      <c r="I485">
        <v>-0.15384618999999999</v>
      </c>
      <c r="J485">
        <v>0.46428570000000002</v>
      </c>
    </row>
    <row r="486" spans="1:10" x14ac:dyDescent="0.3">
      <c r="A486">
        <v>484</v>
      </c>
      <c r="B486">
        <v>7704</v>
      </c>
      <c r="C486" t="b">
        <v>1</v>
      </c>
      <c r="D486">
        <v>8054</v>
      </c>
      <c r="E486">
        <v>8123</v>
      </c>
      <c r="F486">
        <v>6</v>
      </c>
      <c r="G486">
        <v>5.2</v>
      </c>
      <c r="H486">
        <v>1.1538461</v>
      </c>
      <c r="I486">
        <v>-0.15384618999999999</v>
      </c>
      <c r="J486">
        <v>0.46428570000000002</v>
      </c>
    </row>
    <row r="487" spans="1:10" x14ac:dyDescent="0.3">
      <c r="A487">
        <v>485</v>
      </c>
      <c r="B487">
        <v>7720</v>
      </c>
      <c r="C487" t="b">
        <v>1</v>
      </c>
      <c r="D487">
        <v>8048</v>
      </c>
      <c r="E487">
        <v>8117</v>
      </c>
      <c r="F487">
        <v>6</v>
      </c>
      <c r="G487">
        <v>5.2</v>
      </c>
      <c r="H487">
        <v>1.1538461</v>
      </c>
      <c r="I487">
        <v>-0.15384618999999999</v>
      </c>
      <c r="J487">
        <v>0.46428570000000002</v>
      </c>
    </row>
    <row r="488" spans="1:10" x14ac:dyDescent="0.3">
      <c r="A488">
        <v>486</v>
      </c>
      <c r="B488">
        <v>7736</v>
      </c>
      <c r="C488" t="b">
        <v>1</v>
      </c>
      <c r="D488">
        <v>8048</v>
      </c>
      <c r="E488">
        <v>8123</v>
      </c>
      <c r="F488">
        <v>6</v>
      </c>
      <c r="G488">
        <v>5.2</v>
      </c>
      <c r="H488">
        <v>1.1538461</v>
      </c>
      <c r="I488">
        <v>-0.15384618999999999</v>
      </c>
      <c r="J488">
        <v>0.46428570000000002</v>
      </c>
    </row>
    <row r="489" spans="1:10" x14ac:dyDescent="0.3">
      <c r="A489">
        <v>487</v>
      </c>
      <c r="B489">
        <v>7752</v>
      </c>
      <c r="C489" t="b">
        <v>1</v>
      </c>
      <c r="D489">
        <v>8048</v>
      </c>
      <c r="E489">
        <v>8123</v>
      </c>
      <c r="F489">
        <v>6.4</v>
      </c>
      <c r="G489">
        <v>5.2</v>
      </c>
      <c r="H489">
        <v>1.2307693</v>
      </c>
      <c r="I489">
        <v>-0.23076928999999999</v>
      </c>
      <c r="J489">
        <v>0.44827582999999999</v>
      </c>
    </row>
    <row r="490" spans="1:10" x14ac:dyDescent="0.3">
      <c r="A490">
        <v>488</v>
      </c>
      <c r="B490">
        <v>7768</v>
      </c>
      <c r="C490" t="b">
        <v>1</v>
      </c>
      <c r="D490">
        <v>8048</v>
      </c>
      <c r="E490">
        <v>8123</v>
      </c>
      <c r="F490">
        <v>6.8</v>
      </c>
      <c r="G490">
        <v>5.2</v>
      </c>
      <c r="H490">
        <v>1.3076924000000001</v>
      </c>
      <c r="I490">
        <v>-0.30769237999999999</v>
      </c>
      <c r="J490">
        <v>0.43333329999999998</v>
      </c>
    </row>
    <row r="491" spans="1:10" x14ac:dyDescent="0.3">
      <c r="A491">
        <v>489</v>
      </c>
      <c r="B491">
        <v>7784</v>
      </c>
      <c r="C491" t="b">
        <v>1</v>
      </c>
      <c r="D491">
        <v>8048</v>
      </c>
      <c r="E491">
        <v>8123</v>
      </c>
      <c r="F491">
        <v>7.2</v>
      </c>
      <c r="G491">
        <v>5.6</v>
      </c>
      <c r="H491">
        <v>1.2857143</v>
      </c>
      <c r="I491">
        <v>-0.28571426999999999</v>
      </c>
      <c r="J491">
        <v>0.43750002999999998</v>
      </c>
    </row>
    <row r="492" spans="1:10" x14ac:dyDescent="0.3">
      <c r="A492">
        <v>490</v>
      </c>
      <c r="B492">
        <v>7799</v>
      </c>
      <c r="C492" t="b">
        <v>1</v>
      </c>
      <c r="D492">
        <v>8048</v>
      </c>
      <c r="E492">
        <v>8123</v>
      </c>
      <c r="F492">
        <v>7.6</v>
      </c>
      <c r="G492">
        <v>6</v>
      </c>
      <c r="H492">
        <v>1.2666667</v>
      </c>
      <c r="I492">
        <v>-0.26666665000000001</v>
      </c>
      <c r="J492">
        <v>0.44117644</v>
      </c>
    </row>
    <row r="493" spans="1:10" x14ac:dyDescent="0.3">
      <c r="A493">
        <v>491</v>
      </c>
      <c r="B493">
        <v>7815</v>
      </c>
      <c r="C493" t="b">
        <v>1</v>
      </c>
      <c r="D493">
        <v>8048</v>
      </c>
      <c r="E493">
        <v>8123</v>
      </c>
      <c r="F493">
        <v>8</v>
      </c>
      <c r="G493">
        <v>6.4</v>
      </c>
      <c r="H493">
        <v>1.25</v>
      </c>
      <c r="I493">
        <v>-0.24999999000000001</v>
      </c>
      <c r="J493">
        <v>0.44444447999999998</v>
      </c>
    </row>
    <row r="494" spans="1:10" x14ac:dyDescent="0.3">
      <c r="A494">
        <v>492</v>
      </c>
      <c r="B494">
        <v>7831</v>
      </c>
      <c r="C494" t="b">
        <v>1</v>
      </c>
      <c r="D494">
        <v>8048</v>
      </c>
      <c r="E494">
        <v>8123</v>
      </c>
      <c r="F494">
        <v>8</v>
      </c>
      <c r="G494">
        <v>6.8</v>
      </c>
      <c r="H494">
        <v>1.1764705</v>
      </c>
      <c r="I494">
        <v>-0.17647055</v>
      </c>
      <c r="J494">
        <v>0.45945944999999999</v>
      </c>
    </row>
    <row r="495" spans="1:10" x14ac:dyDescent="0.3">
      <c r="A495">
        <v>493</v>
      </c>
      <c r="B495">
        <v>7846</v>
      </c>
      <c r="C495" t="b">
        <v>1</v>
      </c>
      <c r="D495">
        <v>8048</v>
      </c>
      <c r="E495">
        <v>8123</v>
      </c>
      <c r="F495">
        <v>8</v>
      </c>
      <c r="G495">
        <v>7.2</v>
      </c>
      <c r="H495">
        <v>1.1111112000000001</v>
      </c>
      <c r="I495">
        <v>-0.11111114</v>
      </c>
      <c r="J495">
        <v>0.4736842</v>
      </c>
    </row>
    <row r="496" spans="1:10" x14ac:dyDescent="0.3">
      <c r="A496">
        <v>494</v>
      </c>
      <c r="B496">
        <v>7862</v>
      </c>
      <c r="C496" t="b">
        <v>1</v>
      </c>
      <c r="D496">
        <v>8048</v>
      </c>
      <c r="E496">
        <v>8123</v>
      </c>
      <c r="F496">
        <v>8</v>
      </c>
      <c r="G496">
        <v>7.6</v>
      </c>
      <c r="H496">
        <v>1.0526316</v>
      </c>
      <c r="I496">
        <v>-5.2631589999999999E-2</v>
      </c>
      <c r="J496">
        <v>0.48717946000000001</v>
      </c>
    </row>
    <row r="497" spans="1:10" x14ac:dyDescent="0.3">
      <c r="A497">
        <v>495</v>
      </c>
      <c r="B497">
        <v>7878</v>
      </c>
      <c r="C497" t="b">
        <v>1</v>
      </c>
      <c r="D497">
        <v>8048</v>
      </c>
      <c r="E497">
        <v>8123</v>
      </c>
      <c r="F497">
        <v>8</v>
      </c>
      <c r="G497">
        <v>8</v>
      </c>
      <c r="H497">
        <v>1</v>
      </c>
      <c r="I497">
        <v>0</v>
      </c>
      <c r="J497">
        <v>0.5</v>
      </c>
    </row>
    <row r="498" spans="1:10" x14ac:dyDescent="0.3">
      <c r="A498">
        <v>496</v>
      </c>
      <c r="B498">
        <v>7894</v>
      </c>
      <c r="C498" t="b">
        <v>1</v>
      </c>
      <c r="D498">
        <v>8048</v>
      </c>
      <c r="E498">
        <v>8123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7910</v>
      </c>
      <c r="C499" t="b">
        <v>1</v>
      </c>
      <c r="D499">
        <v>8042</v>
      </c>
      <c r="E499">
        <v>8129</v>
      </c>
      <c r="F499">
        <v>8</v>
      </c>
      <c r="G499">
        <v>8</v>
      </c>
      <c r="H499">
        <v>1</v>
      </c>
      <c r="I499">
        <v>0</v>
      </c>
      <c r="J499">
        <v>0.5</v>
      </c>
    </row>
    <row r="500" spans="1:10" x14ac:dyDescent="0.3">
      <c r="A500">
        <v>498</v>
      </c>
      <c r="B500">
        <v>7926</v>
      </c>
      <c r="C500" t="b">
        <v>1</v>
      </c>
      <c r="D500">
        <v>8048</v>
      </c>
      <c r="E500">
        <v>8117</v>
      </c>
      <c r="F500">
        <v>8</v>
      </c>
      <c r="G500">
        <v>8</v>
      </c>
      <c r="H500">
        <v>1</v>
      </c>
      <c r="I500">
        <v>0</v>
      </c>
      <c r="J500">
        <v>0.5</v>
      </c>
    </row>
    <row r="501" spans="1:10" x14ac:dyDescent="0.3">
      <c r="A501">
        <v>499</v>
      </c>
      <c r="B501">
        <v>7941</v>
      </c>
      <c r="C501" t="b">
        <v>1</v>
      </c>
      <c r="D501">
        <v>8048</v>
      </c>
      <c r="E501">
        <v>8123</v>
      </c>
      <c r="F501">
        <v>8</v>
      </c>
      <c r="G501">
        <v>8</v>
      </c>
      <c r="H501">
        <v>1</v>
      </c>
      <c r="I501">
        <v>0</v>
      </c>
      <c r="J501">
        <v>0.5</v>
      </c>
    </row>
    <row r="502" spans="1:10" x14ac:dyDescent="0.3">
      <c r="A502">
        <v>500</v>
      </c>
      <c r="B502">
        <v>7957</v>
      </c>
      <c r="C502" t="b">
        <v>1</v>
      </c>
      <c r="D502">
        <v>8054</v>
      </c>
      <c r="E502">
        <v>8123</v>
      </c>
      <c r="F502">
        <v>8</v>
      </c>
      <c r="G502">
        <v>8</v>
      </c>
      <c r="H502">
        <v>1</v>
      </c>
      <c r="I502">
        <v>0</v>
      </c>
      <c r="J502">
        <v>0.5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1085-B5F6-4998-9A0E-82190E559B18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16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32</v>
      </c>
      <c r="C4" t="b">
        <v>1</v>
      </c>
      <c r="D4">
        <v>8048</v>
      </c>
      <c r="E4">
        <v>8123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48</v>
      </c>
      <c r="C5" t="b">
        <v>1</v>
      </c>
      <c r="D5">
        <v>8054</v>
      </c>
      <c r="E5">
        <v>8123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64</v>
      </c>
      <c r="C6" t="b">
        <v>1</v>
      </c>
      <c r="D6">
        <v>8048</v>
      </c>
      <c r="E6">
        <v>8123</v>
      </c>
      <c r="F6">
        <v>8</v>
      </c>
      <c r="G6">
        <v>8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80</v>
      </c>
      <c r="C7" t="b">
        <v>1</v>
      </c>
      <c r="D7">
        <v>8048</v>
      </c>
      <c r="E7">
        <v>8123</v>
      </c>
      <c r="F7">
        <v>8</v>
      </c>
      <c r="G7">
        <v>8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96</v>
      </c>
      <c r="C8" t="b">
        <v>1</v>
      </c>
      <c r="D8">
        <v>8048</v>
      </c>
      <c r="E8">
        <v>8123</v>
      </c>
      <c r="F8">
        <v>8</v>
      </c>
      <c r="G8">
        <v>8</v>
      </c>
      <c r="H8">
        <v>1</v>
      </c>
      <c r="I8">
        <v>0</v>
      </c>
      <c r="J8">
        <v>0.5</v>
      </c>
    </row>
    <row r="9" spans="1:10" x14ac:dyDescent="0.3">
      <c r="A9">
        <v>7</v>
      </c>
      <c r="B9">
        <v>112</v>
      </c>
      <c r="C9" t="b">
        <v>1</v>
      </c>
      <c r="D9">
        <v>8048</v>
      </c>
      <c r="E9">
        <v>8129</v>
      </c>
      <c r="F9">
        <v>8</v>
      </c>
      <c r="G9">
        <v>8</v>
      </c>
      <c r="H9">
        <v>1</v>
      </c>
      <c r="I9">
        <v>0</v>
      </c>
      <c r="J9">
        <v>0.5</v>
      </c>
    </row>
    <row r="10" spans="1:10" x14ac:dyDescent="0.3">
      <c r="A10">
        <v>8</v>
      </c>
      <c r="B10">
        <v>128</v>
      </c>
      <c r="C10" t="b">
        <v>1</v>
      </c>
      <c r="D10">
        <v>8048</v>
      </c>
      <c r="E10">
        <v>8123</v>
      </c>
      <c r="F10">
        <v>8</v>
      </c>
      <c r="G10">
        <v>8</v>
      </c>
      <c r="H10">
        <v>1</v>
      </c>
      <c r="I10">
        <v>0</v>
      </c>
      <c r="J10">
        <v>0.5</v>
      </c>
    </row>
    <row r="11" spans="1:10" x14ac:dyDescent="0.3">
      <c r="A11">
        <v>9</v>
      </c>
      <c r="B11">
        <v>144</v>
      </c>
      <c r="C11" t="b">
        <v>1</v>
      </c>
      <c r="D11">
        <v>8048</v>
      </c>
      <c r="E11">
        <v>8117</v>
      </c>
      <c r="F11">
        <v>8</v>
      </c>
      <c r="G11">
        <v>8</v>
      </c>
      <c r="H11">
        <v>1</v>
      </c>
      <c r="I11">
        <v>0</v>
      </c>
      <c r="J11">
        <v>0.5</v>
      </c>
    </row>
    <row r="12" spans="1:10" x14ac:dyDescent="0.3">
      <c r="A12">
        <v>10</v>
      </c>
      <c r="B12">
        <v>160</v>
      </c>
      <c r="C12" t="b">
        <v>1</v>
      </c>
      <c r="D12">
        <v>8048</v>
      </c>
      <c r="E12">
        <v>8117</v>
      </c>
      <c r="F12">
        <v>8</v>
      </c>
      <c r="G12">
        <v>8</v>
      </c>
      <c r="H12">
        <v>1</v>
      </c>
      <c r="I12">
        <v>0</v>
      </c>
      <c r="J12">
        <v>0.5</v>
      </c>
    </row>
    <row r="13" spans="1:10" x14ac:dyDescent="0.3">
      <c r="A13">
        <v>11</v>
      </c>
      <c r="B13">
        <v>175</v>
      </c>
      <c r="C13" t="b">
        <v>1</v>
      </c>
      <c r="D13">
        <v>8054</v>
      </c>
      <c r="E13">
        <v>8117</v>
      </c>
      <c r="F13">
        <v>8</v>
      </c>
      <c r="G13">
        <v>7.5</v>
      </c>
      <c r="H13">
        <v>1.0666667000000001</v>
      </c>
      <c r="I13">
        <v>-6.6666669999999997E-2</v>
      </c>
      <c r="J13">
        <v>0.48387095000000002</v>
      </c>
    </row>
    <row r="14" spans="1:10" x14ac:dyDescent="0.3">
      <c r="A14">
        <v>12</v>
      </c>
      <c r="B14">
        <v>191</v>
      </c>
      <c r="C14" t="b">
        <v>1</v>
      </c>
      <c r="D14">
        <v>8048</v>
      </c>
      <c r="E14">
        <v>8123</v>
      </c>
      <c r="F14">
        <v>8</v>
      </c>
      <c r="G14">
        <v>7.0769229999999999</v>
      </c>
      <c r="H14">
        <v>1.1304349</v>
      </c>
      <c r="I14">
        <v>-0.13043481000000001</v>
      </c>
      <c r="J14">
        <v>0.46938774</v>
      </c>
    </row>
    <row r="15" spans="1:10" x14ac:dyDescent="0.3">
      <c r="A15">
        <v>13</v>
      </c>
      <c r="B15">
        <v>207</v>
      </c>
      <c r="C15" t="b">
        <v>1</v>
      </c>
      <c r="D15">
        <v>8048</v>
      </c>
      <c r="E15">
        <v>8117</v>
      </c>
      <c r="F15">
        <v>8</v>
      </c>
      <c r="G15">
        <v>6.7142860000000004</v>
      </c>
      <c r="H15">
        <v>1.1914893</v>
      </c>
      <c r="I15">
        <v>-0.19148934000000001</v>
      </c>
      <c r="J15">
        <v>0.45631070000000001</v>
      </c>
    </row>
    <row r="16" spans="1:10" x14ac:dyDescent="0.3">
      <c r="A16">
        <v>14</v>
      </c>
      <c r="B16">
        <v>223</v>
      </c>
      <c r="C16" t="b">
        <v>1</v>
      </c>
      <c r="D16">
        <v>8054</v>
      </c>
      <c r="E16">
        <v>8123</v>
      </c>
      <c r="F16">
        <v>8</v>
      </c>
      <c r="G16">
        <v>6.4</v>
      </c>
      <c r="H16">
        <v>1.25</v>
      </c>
      <c r="I16">
        <v>-0.24999999000000001</v>
      </c>
      <c r="J16">
        <v>0.44444447999999998</v>
      </c>
    </row>
    <row r="17" spans="1:10" x14ac:dyDescent="0.3">
      <c r="A17">
        <v>15</v>
      </c>
      <c r="B17">
        <v>239</v>
      </c>
      <c r="C17" t="b">
        <v>1</v>
      </c>
      <c r="D17">
        <v>8048</v>
      </c>
      <c r="E17">
        <v>8123</v>
      </c>
      <c r="F17">
        <v>8</v>
      </c>
      <c r="G17">
        <v>6.4</v>
      </c>
      <c r="H17">
        <v>1.25</v>
      </c>
      <c r="I17">
        <v>-0.24999999000000001</v>
      </c>
      <c r="J17">
        <v>0.44444447999999998</v>
      </c>
    </row>
    <row r="18" spans="1:10" x14ac:dyDescent="0.3">
      <c r="A18">
        <v>16</v>
      </c>
      <c r="B18">
        <v>255</v>
      </c>
      <c r="C18" t="b">
        <v>1</v>
      </c>
      <c r="D18">
        <v>8048</v>
      </c>
      <c r="E18">
        <v>8123</v>
      </c>
      <c r="F18">
        <v>8</v>
      </c>
      <c r="G18">
        <v>6.4</v>
      </c>
      <c r="H18">
        <v>1.25</v>
      </c>
      <c r="I18">
        <v>-0.24999999000000001</v>
      </c>
      <c r="J18">
        <v>0.44444447999999998</v>
      </c>
    </row>
    <row r="19" spans="1:10" x14ac:dyDescent="0.3">
      <c r="A19">
        <v>17</v>
      </c>
      <c r="B19">
        <v>271</v>
      </c>
      <c r="C19" t="b">
        <v>1</v>
      </c>
      <c r="D19">
        <v>8048</v>
      </c>
      <c r="E19">
        <v>8117</v>
      </c>
      <c r="F19">
        <v>8</v>
      </c>
      <c r="G19">
        <v>6.4</v>
      </c>
      <c r="H19">
        <v>1.25</v>
      </c>
      <c r="I19">
        <v>-0.24999999000000001</v>
      </c>
      <c r="J19">
        <v>0.44444447999999998</v>
      </c>
    </row>
    <row r="20" spans="1:10" x14ac:dyDescent="0.3">
      <c r="A20">
        <v>18</v>
      </c>
      <c r="B20">
        <v>287</v>
      </c>
      <c r="C20" t="b">
        <v>1</v>
      </c>
      <c r="D20">
        <v>8048</v>
      </c>
      <c r="E20">
        <v>8123</v>
      </c>
      <c r="F20">
        <v>8</v>
      </c>
      <c r="G20">
        <v>6.4</v>
      </c>
      <c r="H20">
        <v>1.25</v>
      </c>
      <c r="I20">
        <v>-0.24999999000000001</v>
      </c>
      <c r="J20">
        <v>0.44444447999999998</v>
      </c>
    </row>
    <row r="21" spans="1:10" x14ac:dyDescent="0.3">
      <c r="A21">
        <v>19</v>
      </c>
      <c r="B21">
        <v>302</v>
      </c>
      <c r="C21" t="b">
        <v>1</v>
      </c>
      <c r="D21">
        <v>8042</v>
      </c>
      <c r="E21">
        <v>8123</v>
      </c>
      <c r="F21">
        <v>8</v>
      </c>
      <c r="G21">
        <v>6.4</v>
      </c>
      <c r="H21">
        <v>1.25</v>
      </c>
      <c r="I21">
        <v>-0.24999999000000001</v>
      </c>
      <c r="J21">
        <v>0.44444447999999998</v>
      </c>
    </row>
    <row r="22" spans="1:10" x14ac:dyDescent="0.3">
      <c r="A22">
        <v>20</v>
      </c>
      <c r="B22">
        <v>318</v>
      </c>
      <c r="C22" t="b">
        <v>1</v>
      </c>
      <c r="D22">
        <v>8048</v>
      </c>
      <c r="E22">
        <v>8123</v>
      </c>
      <c r="F22">
        <v>8</v>
      </c>
      <c r="G22">
        <v>6.4</v>
      </c>
      <c r="H22">
        <v>1.25</v>
      </c>
      <c r="I22">
        <v>-0.24999999000000001</v>
      </c>
      <c r="J22">
        <v>0.44444447999999998</v>
      </c>
    </row>
    <row r="23" spans="1:10" x14ac:dyDescent="0.3">
      <c r="A23">
        <v>21</v>
      </c>
      <c r="B23">
        <v>334</v>
      </c>
      <c r="C23" t="b">
        <v>1</v>
      </c>
      <c r="D23">
        <v>8048</v>
      </c>
      <c r="E23">
        <v>8123</v>
      </c>
      <c r="F23">
        <v>8</v>
      </c>
      <c r="G23">
        <v>6.4</v>
      </c>
      <c r="H23">
        <v>1.25</v>
      </c>
      <c r="I23">
        <v>-0.24999999000000001</v>
      </c>
      <c r="J23">
        <v>0.44444447999999998</v>
      </c>
    </row>
    <row r="24" spans="1:10" x14ac:dyDescent="0.3">
      <c r="A24">
        <v>22</v>
      </c>
      <c r="B24">
        <v>350</v>
      </c>
      <c r="C24" t="b">
        <v>1</v>
      </c>
      <c r="D24">
        <v>8048</v>
      </c>
      <c r="E24">
        <v>8123</v>
      </c>
      <c r="F24">
        <v>8</v>
      </c>
      <c r="G24">
        <v>6.4</v>
      </c>
      <c r="H24">
        <v>1.25</v>
      </c>
      <c r="I24">
        <v>-0.24999999000000001</v>
      </c>
      <c r="J24">
        <v>0.44444447999999998</v>
      </c>
    </row>
    <row r="25" spans="1:10" x14ac:dyDescent="0.3">
      <c r="A25">
        <v>23</v>
      </c>
      <c r="B25">
        <v>366</v>
      </c>
      <c r="C25" t="b">
        <v>1</v>
      </c>
      <c r="D25">
        <v>8048</v>
      </c>
      <c r="E25">
        <v>8117</v>
      </c>
      <c r="F25">
        <v>8</v>
      </c>
      <c r="G25">
        <v>6.4</v>
      </c>
      <c r="H25">
        <v>1.25</v>
      </c>
      <c r="I25">
        <v>-0.24999999000000001</v>
      </c>
      <c r="J25">
        <v>0.44444447999999998</v>
      </c>
    </row>
    <row r="26" spans="1:10" x14ac:dyDescent="0.3">
      <c r="A26">
        <v>24</v>
      </c>
      <c r="B26">
        <v>382</v>
      </c>
      <c r="C26" t="b">
        <v>1</v>
      </c>
      <c r="D26">
        <v>8048</v>
      </c>
      <c r="E26">
        <v>8123</v>
      </c>
      <c r="F26">
        <v>8</v>
      </c>
      <c r="G26">
        <v>6.4</v>
      </c>
      <c r="H26">
        <v>1.25</v>
      </c>
      <c r="I26">
        <v>-0.24999999000000001</v>
      </c>
      <c r="J26">
        <v>0.44444447999999998</v>
      </c>
    </row>
    <row r="27" spans="1:10" x14ac:dyDescent="0.3">
      <c r="A27">
        <v>25</v>
      </c>
      <c r="B27">
        <v>397</v>
      </c>
      <c r="C27" t="b">
        <v>1</v>
      </c>
      <c r="D27">
        <v>8048</v>
      </c>
      <c r="E27">
        <v>8123</v>
      </c>
      <c r="F27">
        <v>8</v>
      </c>
      <c r="G27">
        <v>6.4</v>
      </c>
      <c r="H27">
        <v>1.25</v>
      </c>
      <c r="I27">
        <v>-0.24999999000000001</v>
      </c>
      <c r="J27">
        <v>0.44444447999999998</v>
      </c>
    </row>
    <row r="28" spans="1:10" x14ac:dyDescent="0.3">
      <c r="A28">
        <v>26</v>
      </c>
      <c r="B28">
        <v>413</v>
      </c>
      <c r="C28" t="b">
        <v>1</v>
      </c>
      <c r="D28">
        <v>8048</v>
      </c>
      <c r="E28">
        <v>8123</v>
      </c>
      <c r="F28">
        <v>8</v>
      </c>
      <c r="G28">
        <v>6.8</v>
      </c>
      <c r="H28">
        <v>1.1764705</v>
      </c>
      <c r="I28">
        <v>-0.17647055</v>
      </c>
      <c r="J28">
        <v>0.45945944999999999</v>
      </c>
    </row>
    <row r="29" spans="1:10" x14ac:dyDescent="0.3">
      <c r="A29">
        <v>27</v>
      </c>
      <c r="B29">
        <v>429</v>
      </c>
      <c r="C29" t="b">
        <v>1</v>
      </c>
      <c r="D29">
        <v>8048</v>
      </c>
      <c r="E29">
        <v>8117</v>
      </c>
      <c r="F29">
        <v>8</v>
      </c>
      <c r="G29">
        <v>7.2</v>
      </c>
      <c r="H29">
        <v>1.1111112000000001</v>
      </c>
      <c r="I29">
        <v>-0.11111114</v>
      </c>
      <c r="J29">
        <v>0.4736842</v>
      </c>
    </row>
    <row r="30" spans="1:10" x14ac:dyDescent="0.3">
      <c r="A30">
        <v>28</v>
      </c>
      <c r="B30">
        <v>445</v>
      </c>
      <c r="C30" t="b">
        <v>1</v>
      </c>
      <c r="D30">
        <v>8048</v>
      </c>
      <c r="E30">
        <v>8117</v>
      </c>
      <c r="F30">
        <v>8</v>
      </c>
      <c r="G30">
        <v>7.6</v>
      </c>
      <c r="H30">
        <v>1.0526316</v>
      </c>
      <c r="I30">
        <v>-5.2631589999999999E-2</v>
      </c>
      <c r="J30">
        <v>0.48717946000000001</v>
      </c>
    </row>
    <row r="31" spans="1:10" x14ac:dyDescent="0.3">
      <c r="A31">
        <v>29</v>
      </c>
      <c r="B31">
        <v>460</v>
      </c>
      <c r="C31" t="b">
        <v>1</v>
      </c>
      <c r="D31">
        <v>8048</v>
      </c>
      <c r="E31">
        <v>8117</v>
      </c>
      <c r="F31">
        <v>8</v>
      </c>
      <c r="G31">
        <v>7.6</v>
      </c>
      <c r="H31">
        <v>1.0526316</v>
      </c>
      <c r="I31">
        <v>-5.2631589999999999E-2</v>
      </c>
      <c r="J31">
        <v>0.48717946000000001</v>
      </c>
    </row>
    <row r="32" spans="1:10" x14ac:dyDescent="0.3">
      <c r="A32">
        <v>30</v>
      </c>
      <c r="B32">
        <v>476</v>
      </c>
      <c r="C32" t="b">
        <v>1</v>
      </c>
      <c r="D32">
        <v>8048</v>
      </c>
      <c r="E32">
        <v>8111</v>
      </c>
      <c r="F32">
        <v>8</v>
      </c>
      <c r="G32">
        <v>7.2</v>
      </c>
      <c r="H32">
        <v>1.1111112000000001</v>
      </c>
      <c r="I32">
        <v>-0.11111114</v>
      </c>
      <c r="J32">
        <v>0.4736842</v>
      </c>
    </row>
    <row r="33" spans="1:10" x14ac:dyDescent="0.3">
      <c r="A33">
        <v>31</v>
      </c>
      <c r="B33">
        <v>492</v>
      </c>
      <c r="C33" t="b">
        <v>1</v>
      </c>
      <c r="D33">
        <v>8048</v>
      </c>
      <c r="E33">
        <v>8117</v>
      </c>
      <c r="F33">
        <v>8</v>
      </c>
      <c r="G33">
        <v>6.8</v>
      </c>
      <c r="H33">
        <v>1.1764705</v>
      </c>
      <c r="I33">
        <v>-0.17647055</v>
      </c>
      <c r="J33">
        <v>0.45945944999999999</v>
      </c>
    </row>
    <row r="34" spans="1:10" x14ac:dyDescent="0.3">
      <c r="A34">
        <v>32</v>
      </c>
      <c r="B34">
        <v>508</v>
      </c>
      <c r="C34" t="b">
        <v>1</v>
      </c>
      <c r="D34">
        <v>8042</v>
      </c>
      <c r="E34">
        <v>8117</v>
      </c>
      <c r="F34">
        <v>8</v>
      </c>
      <c r="G34">
        <v>6.4</v>
      </c>
      <c r="H34">
        <v>1.25</v>
      </c>
      <c r="I34">
        <v>-0.24999999000000001</v>
      </c>
      <c r="J34">
        <v>0.44444447999999998</v>
      </c>
    </row>
    <row r="35" spans="1:10" x14ac:dyDescent="0.3">
      <c r="A35">
        <v>33</v>
      </c>
      <c r="B35">
        <v>523</v>
      </c>
      <c r="C35" t="b">
        <v>1</v>
      </c>
      <c r="D35">
        <v>8054</v>
      </c>
      <c r="E35">
        <v>8117</v>
      </c>
      <c r="F35">
        <v>8</v>
      </c>
      <c r="G35">
        <v>6</v>
      </c>
      <c r="H35">
        <v>1.3333333999999999</v>
      </c>
      <c r="I35">
        <v>-0.33333333999999998</v>
      </c>
      <c r="J35">
        <v>0.42857142999999998</v>
      </c>
    </row>
    <row r="36" spans="1:10" x14ac:dyDescent="0.3">
      <c r="A36">
        <v>34</v>
      </c>
      <c r="B36">
        <v>539</v>
      </c>
      <c r="C36" t="b">
        <v>1</v>
      </c>
      <c r="D36">
        <v>8048</v>
      </c>
      <c r="E36">
        <v>8123</v>
      </c>
      <c r="F36">
        <v>8</v>
      </c>
      <c r="G36">
        <v>5.6</v>
      </c>
      <c r="H36">
        <v>1.4285715000000001</v>
      </c>
      <c r="I36">
        <v>-0.42857146000000002</v>
      </c>
      <c r="J36">
        <v>0.41176467999999999</v>
      </c>
    </row>
    <row r="37" spans="1:10" x14ac:dyDescent="0.3">
      <c r="A37">
        <v>35</v>
      </c>
      <c r="B37">
        <v>555</v>
      </c>
      <c r="C37" t="b">
        <v>1</v>
      </c>
      <c r="D37">
        <v>8048</v>
      </c>
      <c r="E37">
        <v>8123</v>
      </c>
      <c r="F37">
        <v>8</v>
      </c>
      <c r="G37">
        <v>5.2</v>
      </c>
      <c r="H37">
        <v>1.5384616</v>
      </c>
      <c r="I37">
        <v>-0.53846156999999994</v>
      </c>
      <c r="J37">
        <v>0.39393938000000001</v>
      </c>
    </row>
    <row r="38" spans="1:10" x14ac:dyDescent="0.3">
      <c r="A38">
        <v>36</v>
      </c>
      <c r="B38">
        <v>571</v>
      </c>
      <c r="C38" t="b">
        <v>1</v>
      </c>
      <c r="D38">
        <v>8054</v>
      </c>
      <c r="E38">
        <v>8123</v>
      </c>
      <c r="F38">
        <v>8</v>
      </c>
      <c r="G38">
        <v>5.2</v>
      </c>
      <c r="H38">
        <v>1.5384616</v>
      </c>
      <c r="I38">
        <v>-0.53846156999999994</v>
      </c>
      <c r="J38">
        <v>0.39393938000000001</v>
      </c>
    </row>
    <row r="39" spans="1:10" x14ac:dyDescent="0.3">
      <c r="A39">
        <v>37</v>
      </c>
      <c r="B39">
        <v>587</v>
      </c>
      <c r="C39" t="b">
        <v>1</v>
      </c>
      <c r="D39">
        <v>8054</v>
      </c>
      <c r="E39">
        <v>8123</v>
      </c>
      <c r="F39">
        <v>8.4</v>
      </c>
      <c r="G39">
        <v>5.2</v>
      </c>
      <c r="H39">
        <v>1.6153846000000001</v>
      </c>
      <c r="I39">
        <v>-0.61538459999999995</v>
      </c>
      <c r="J39">
        <v>0.38235295000000002</v>
      </c>
    </row>
    <row r="40" spans="1:10" x14ac:dyDescent="0.3">
      <c r="A40">
        <v>38</v>
      </c>
      <c r="B40">
        <v>604</v>
      </c>
      <c r="C40" t="b">
        <v>1</v>
      </c>
      <c r="D40">
        <v>8054</v>
      </c>
      <c r="E40">
        <v>8123</v>
      </c>
      <c r="F40">
        <v>8.8000000000000007</v>
      </c>
      <c r="G40">
        <v>5.2</v>
      </c>
      <c r="H40">
        <v>1.6923078</v>
      </c>
      <c r="I40">
        <v>-0.69230780000000003</v>
      </c>
      <c r="J40">
        <v>0.37142855000000002</v>
      </c>
    </row>
    <row r="41" spans="1:10" x14ac:dyDescent="0.3">
      <c r="A41">
        <v>39</v>
      </c>
      <c r="B41">
        <v>619</v>
      </c>
      <c r="C41" t="b">
        <v>1</v>
      </c>
      <c r="D41">
        <v>8054</v>
      </c>
      <c r="E41">
        <v>8123</v>
      </c>
      <c r="F41">
        <v>9.1999999999999993</v>
      </c>
      <c r="G41">
        <v>5.2</v>
      </c>
      <c r="H41">
        <v>1.7692308000000001</v>
      </c>
      <c r="I41">
        <v>-0.76923079999999999</v>
      </c>
      <c r="J41">
        <v>0.36111110000000002</v>
      </c>
    </row>
    <row r="42" spans="1:10" x14ac:dyDescent="0.3">
      <c r="A42">
        <v>40</v>
      </c>
      <c r="B42">
        <v>635</v>
      </c>
      <c r="C42" t="b">
        <v>1</v>
      </c>
      <c r="D42">
        <v>8054</v>
      </c>
      <c r="E42">
        <v>8123</v>
      </c>
      <c r="F42">
        <v>9.6</v>
      </c>
      <c r="G42">
        <v>5.2</v>
      </c>
      <c r="H42">
        <v>1.8461540000000001</v>
      </c>
      <c r="I42">
        <v>-0.84615399999999996</v>
      </c>
      <c r="J42">
        <v>0.35135132000000002</v>
      </c>
    </row>
    <row r="43" spans="1:10" x14ac:dyDescent="0.3">
      <c r="A43">
        <v>41</v>
      </c>
      <c r="B43">
        <v>651</v>
      </c>
      <c r="C43" t="b">
        <v>1</v>
      </c>
      <c r="D43">
        <v>8060</v>
      </c>
      <c r="E43">
        <v>8123</v>
      </c>
      <c r="F43">
        <v>10</v>
      </c>
      <c r="G43">
        <v>5.2</v>
      </c>
      <c r="H43">
        <v>1.9230769999999999</v>
      </c>
      <c r="I43">
        <v>-0.92307700000000004</v>
      </c>
      <c r="J43">
        <v>0.34210527000000002</v>
      </c>
    </row>
    <row r="44" spans="1:10" x14ac:dyDescent="0.3">
      <c r="A44">
        <v>42</v>
      </c>
      <c r="B44">
        <v>667</v>
      </c>
      <c r="C44" t="b">
        <v>1</v>
      </c>
      <c r="D44">
        <v>8042</v>
      </c>
      <c r="E44">
        <v>8123</v>
      </c>
      <c r="F44">
        <v>10.4</v>
      </c>
      <c r="G44">
        <v>5.2</v>
      </c>
      <c r="H44">
        <v>2</v>
      </c>
      <c r="I44">
        <v>-1</v>
      </c>
      <c r="J44">
        <v>0.33333333999999998</v>
      </c>
    </row>
    <row r="45" spans="1:10" x14ac:dyDescent="0.3">
      <c r="A45">
        <v>43</v>
      </c>
      <c r="B45">
        <v>683</v>
      </c>
      <c r="C45" t="b">
        <v>1</v>
      </c>
      <c r="D45">
        <v>8048</v>
      </c>
      <c r="E45">
        <v>8123</v>
      </c>
      <c r="F45">
        <v>10.8</v>
      </c>
      <c r="G45">
        <v>5.2</v>
      </c>
      <c r="H45">
        <v>2.0769231000000001</v>
      </c>
      <c r="I45">
        <v>-1.0769230999999999</v>
      </c>
      <c r="J45">
        <v>0.32500000000000001</v>
      </c>
    </row>
    <row r="46" spans="1:10" x14ac:dyDescent="0.3">
      <c r="A46">
        <v>44</v>
      </c>
      <c r="B46">
        <v>699</v>
      </c>
      <c r="C46" t="b">
        <v>1</v>
      </c>
      <c r="D46">
        <v>8042</v>
      </c>
      <c r="E46">
        <v>8117</v>
      </c>
      <c r="F46">
        <v>10.8</v>
      </c>
      <c r="G46">
        <v>5.6</v>
      </c>
      <c r="H46">
        <v>1.9285715000000001</v>
      </c>
      <c r="I46">
        <v>-0.92857149999999999</v>
      </c>
      <c r="J46">
        <v>0.34146342000000002</v>
      </c>
    </row>
    <row r="47" spans="1:10" x14ac:dyDescent="0.3">
      <c r="A47">
        <v>45</v>
      </c>
      <c r="B47">
        <v>715</v>
      </c>
      <c r="C47" t="b">
        <v>1</v>
      </c>
      <c r="D47">
        <v>8042</v>
      </c>
      <c r="E47">
        <v>8117</v>
      </c>
      <c r="F47">
        <v>10.4</v>
      </c>
      <c r="G47">
        <v>6</v>
      </c>
      <c r="H47">
        <v>1.7333331999999999</v>
      </c>
      <c r="I47">
        <v>-0.73333329999999997</v>
      </c>
      <c r="J47">
        <v>0.36585367000000002</v>
      </c>
    </row>
    <row r="48" spans="1:10" x14ac:dyDescent="0.3">
      <c r="A48">
        <v>46</v>
      </c>
      <c r="B48">
        <v>731</v>
      </c>
      <c r="C48" t="b">
        <v>1</v>
      </c>
      <c r="D48">
        <v>8042</v>
      </c>
      <c r="E48">
        <v>8123</v>
      </c>
      <c r="F48">
        <v>10</v>
      </c>
      <c r="G48">
        <v>6.4</v>
      </c>
      <c r="H48">
        <v>1.5625</v>
      </c>
      <c r="I48">
        <v>-0.5625</v>
      </c>
      <c r="J48">
        <v>0.39024392000000002</v>
      </c>
    </row>
    <row r="49" spans="1:10" x14ac:dyDescent="0.3">
      <c r="A49">
        <v>47</v>
      </c>
      <c r="B49">
        <v>747</v>
      </c>
      <c r="C49" t="b">
        <v>1</v>
      </c>
      <c r="D49">
        <v>8042</v>
      </c>
      <c r="E49">
        <v>8123</v>
      </c>
      <c r="F49">
        <v>9.6</v>
      </c>
      <c r="G49">
        <v>6.8</v>
      </c>
      <c r="H49">
        <v>1.4117647</v>
      </c>
      <c r="I49">
        <v>-0.41176469999999998</v>
      </c>
      <c r="J49">
        <v>0.41463410000000001</v>
      </c>
    </row>
    <row r="50" spans="1:10" x14ac:dyDescent="0.3">
      <c r="A50">
        <v>48</v>
      </c>
      <c r="B50">
        <v>762</v>
      </c>
      <c r="C50" t="b">
        <v>1</v>
      </c>
      <c r="D50">
        <v>8042</v>
      </c>
      <c r="E50">
        <v>8117</v>
      </c>
      <c r="F50">
        <v>9.1999999999999993</v>
      </c>
      <c r="G50">
        <v>6.8</v>
      </c>
      <c r="H50">
        <v>1.3529412000000001</v>
      </c>
      <c r="I50">
        <v>-0.35294110000000001</v>
      </c>
      <c r="J50">
        <v>0.42499999999999999</v>
      </c>
    </row>
    <row r="51" spans="1:10" x14ac:dyDescent="0.3">
      <c r="A51">
        <v>49</v>
      </c>
      <c r="B51">
        <v>778</v>
      </c>
      <c r="C51" t="b">
        <v>1</v>
      </c>
      <c r="D51">
        <v>8054</v>
      </c>
      <c r="E51">
        <v>8117</v>
      </c>
      <c r="F51">
        <v>8.8000000000000007</v>
      </c>
      <c r="G51">
        <v>6.8</v>
      </c>
      <c r="H51">
        <v>1.2941176999999999</v>
      </c>
      <c r="I51">
        <v>-0.29411763000000002</v>
      </c>
      <c r="J51">
        <v>0.43589744000000002</v>
      </c>
    </row>
    <row r="52" spans="1:10" x14ac:dyDescent="0.3">
      <c r="A52">
        <v>50</v>
      </c>
      <c r="B52">
        <v>794</v>
      </c>
      <c r="C52" t="b">
        <v>1</v>
      </c>
      <c r="D52">
        <v>8048</v>
      </c>
      <c r="E52">
        <v>8123</v>
      </c>
      <c r="F52">
        <v>8.4</v>
      </c>
      <c r="G52">
        <v>7.2</v>
      </c>
      <c r="H52">
        <v>1.1666666000000001</v>
      </c>
      <c r="I52">
        <v>-0.16666664</v>
      </c>
      <c r="J52">
        <v>0.46153845999999998</v>
      </c>
    </row>
    <row r="53" spans="1:10" x14ac:dyDescent="0.3">
      <c r="A53">
        <v>51</v>
      </c>
      <c r="B53">
        <v>810</v>
      </c>
      <c r="C53" t="b">
        <v>1</v>
      </c>
      <c r="D53">
        <v>8054</v>
      </c>
      <c r="E53">
        <v>8123</v>
      </c>
      <c r="F53">
        <v>8.4</v>
      </c>
      <c r="G53">
        <v>7.2</v>
      </c>
      <c r="H53">
        <v>1.1666666000000001</v>
      </c>
      <c r="I53">
        <v>-0.16666664</v>
      </c>
      <c r="J53">
        <v>0.46153845999999998</v>
      </c>
    </row>
    <row r="54" spans="1:10" x14ac:dyDescent="0.3">
      <c r="A54">
        <v>52</v>
      </c>
      <c r="B54">
        <v>825</v>
      </c>
      <c r="C54" t="b">
        <v>1</v>
      </c>
      <c r="D54">
        <v>8048</v>
      </c>
      <c r="E54">
        <v>8117</v>
      </c>
      <c r="F54">
        <v>8</v>
      </c>
      <c r="G54">
        <v>6.8</v>
      </c>
      <c r="H54">
        <v>1.1764705</v>
      </c>
      <c r="I54">
        <v>-0.17647055</v>
      </c>
      <c r="J54">
        <v>0.45945944999999999</v>
      </c>
    </row>
    <row r="55" spans="1:10" x14ac:dyDescent="0.3">
      <c r="A55">
        <v>53</v>
      </c>
      <c r="B55">
        <v>841</v>
      </c>
      <c r="C55" t="b">
        <v>1</v>
      </c>
      <c r="D55">
        <v>8048</v>
      </c>
      <c r="E55">
        <v>8117</v>
      </c>
      <c r="F55">
        <v>7.6</v>
      </c>
      <c r="G55">
        <v>6.4</v>
      </c>
      <c r="H55">
        <v>1.1875</v>
      </c>
      <c r="I55">
        <v>-0.18749996999999999</v>
      </c>
      <c r="J55">
        <v>0.45714285999999998</v>
      </c>
    </row>
    <row r="56" spans="1:10" x14ac:dyDescent="0.3">
      <c r="A56">
        <v>54</v>
      </c>
      <c r="B56">
        <v>857</v>
      </c>
      <c r="C56" t="b">
        <v>1</v>
      </c>
      <c r="D56">
        <v>8048</v>
      </c>
      <c r="E56">
        <v>8117</v>
      </c>
      <c r="F56">
        <v>7.2</v>
      </c>
      <c r="G56">
        <v>6</v>
      </c>
      <c r="H56">
        <v>1.1999998999999999</v>
      </c>
      <c r="I56">
        <v>-0.19999997</v>
      </c>
      <c r="J56">
        <v>0.45454547000000001</v>
      </c>
    </row>
    <row r="57" spans="1:10" x14ac:dyDescent="0.3">
      <c r="A57">
        <v>55</v>
      </c>
      <c r="B57">
        <v>873</v>
      </c>
      <c r="C57" t="b">
        <v>1</v>
      </c>
      <c r="D57">
        <v>8054</v>
      </c>
      <c r="E57">
        <v>8117</v>
      </c>
      <c r="F57">
        <v>6.8</v>
      </c>
      <c r="G57">
        <v>5.6</v>
      </c>
      <c r="H57">
        <v>1.2142857</v>
      </c>
      <c r="I57">
        <v>-0.21428578000000001</v>
      </c>
      <c r="J57">
        <v>0.45161291999999997</v>
      </c>
    </row>
    <row r="58" spans="1:10" x14ac:dyDescent="0.3">
      <c r="A58">
        <v>56</v>
      </c>
      <c r="B58">
        <v>889</v>
      </c>
      <c r="C58" t="b">
        <v>1</v>
      </c>
      <c r="D58">
        <v>8048</v>
      </c>
      <c r="E58">
        <v>8117</v>
      </c>
      <c r="F58">
        <v>6.4</v>
      </c>
      <c r="G58">
        <v>5.2</v>
      </c>
      <c r="H58">
        <v>1.2307693</v>
      </c>
      <c r="I58">
        <v>-0.23076928999999999</v>
      </c>
      <c r="J58">
        <v>0.44827582999999999</v>
      </c>
    </row>
    <row r="59" spans="1:10" x14ac:dyDescent="0.3">
      <c r="A59">
        <v>57</v>
      </c>
      <c r="B59">
        <v>905</v>
      </c>
      <c r="C59" t="b">
        <v>1</v>
      </c>
      <c r="D59">
        <v>8054</v>
      </c>
      <c r="E59">
        <v>8117</v>
      </c>
      <c r="F59">
        <v>6</v>
      </c>
      <c r="G59">
        <v>4.8</v>
      </c>
      <c r="H59">
        <v>1.25</v>
      </c>
      <c r="I59">
        <v>-0.24999995999999999</v>
      </c>
      <c r="J59">
        <v>0.44444444999999999</v>
      </c>
    </row>
    <row r="60" spans="1:10" x14ac:dyDescent="0.3">
      <c r="A60">
        <v>58</v>
      </c>
      <c r="B60">
        <v>921</v>
      </c>
      <c r="C60" t="b">
        <v>1</v>
      </c>
      <c r="D60">
        <v>8048</v>
      </c>
      <c r="E60">
        <v>8117</v>
      </c>
      <c r="F60">
        <v>5.6</v>
      </c>
      <c r="G60">
        <v>4.4000000000000004</v>
      </c>
      <c r="H60">
        <v>1.2727272999999999</v>
      </c>
      <c r="I60">
        <v>-0.27272721999999999</v>
      </c>
      <c r="J60">
        <v>0.44</v>
      </c>
    </row>
    <row r="61" spans="1:10" x14ac:dyDescent="0.3">
      <c r="A61">
        <v>59</v>
      </c>
      <c r="B61">
        <v>937</v>
      </c>
      <c r="C61" t="b">
        <v>1</v>
      </c>
      <c r="D61">
        <v>8048</v>
      </c>
      <c r="E61">
        <v>8111</v>
      </c>
      <c r="F61">
        <v>5.6</v>
      </c>
      <c r="G61">
        <v>4</v>
      </c>
      <c r="H61">
        <v>1.4</v>
      </c>
      <c r="I61">
        <v>-0.39999997999999998</v>
      </c>
      <c r="J61">
        <v>0.41666666000000002</v>
      </c>
    </row>
    <row r="62" spans="1:10" x14ac:dyDescent="0.3">
      <c r="A62">
        <v>60</v>
      </c>
      <c r="B62">
        <v>953</v>
      </c>
      <c r="C62" t="b">
        <v>1</v>
      </c>
      <c r="D62">
        <v>8048</v>
      </c>
      <c r="E62">
        <v>8117</v>
      </c>
      <c r="F62">
        <v>6</v>
      </c>
      <c r="G62">
        <v>3.6</v>
      </c>
      <c r="H62">
        <v>1.6666666999999999</v>
      </c>
      <c r="I62">
        <v>-0.66666669999999995</v>
      </c>
      <c r="J62">
        <v>0.37499997000000002</v>
      </c>
    </row>
    <row r="63" spans="1:10" x14ac:dyDescent="0.3">
      <c r="A63">
        <v>61</v>
      </c>
      <c r="B63">
        <v>969</v>
      </c>
      <c r="C63" t="b">
        <v>1</v>
      </c>
      <c r="D63">
        <v>8048</v>
      </c>
      <c r="E63">
        <v>8111</v>
      </c>
      <c r="F63">
        <v>6.4</v>
      </c>
      <c r="G63">
        <v>3.2</v>
      </c>
      <c r="H63">
        <v>2</v>
      </c>
      <c r="I63">
        <v>-1</v>
      </c>
      <c r="J63">
        <v>0.3333333</v>
      </c>
    </row>
    <row r="64" spans="1:10" x14ac:dyDescent="0.3">
      <c r="A64">
        <v>62</v>
      </c>
      <c r="B64">
        <v>985</v>
      </c>
      <c r="C64" t="b">
        <v>1</v>
      </c>
      <c r="D64">
        <v>8048</v>
      </c>
      <c r="E64">
        <v>8111</v>
      </c>
      <c r="F64">
        <v>6.8</v>
      </c>
      <c r="G64">
        <v>2.4</v>
      </c>
      <c r="H64">
        <v>2.8333333000000001</v>
      </c>
      <c r="I64">
        <v>-1.8333333000000001</v>
      </c>
      <c r="J64">
        <v>0.26086956</v>
      </c>
    </row>
    <row r="65" spans="1:10" x14ac:dyDescent="0.3">
      <c r="A65">
        <v>63</v>
      </c>
      <c r="B65">
        <v>1000</v>
      </c>
      <c r="C65" t="b">
        <v>1</v>
      </c>
      <c r="D65">
        <v>8054</v>
      </c>
      <c r="E65">
        <v>8117</v>
      </c>
      <c r="F65">
        <v>7.2</v>
      </c>
      <c r="G65">
        <v>2</v>
      </c>
      <c r="H65">
        <v>3.6</v>
      </c>
      <c r="I65">
        <v>-2.6</v>
      </c>
      <c r="J65">
        <v>0.21739131</v>
      </c>
    </row>
    <row r="66" spans="1:10" x14ac:dyDescent="0.3">
      <c r="A66">
        <v>64</v>
      </c>
      <c r="B66">
        <v>1016</v>
      </c>
      <c r="C66" t="b">
        <v>1</v>
      </c>
      <c r="D66">
        <v>8054</v>
      </c>
      <c r="E66">
        <v>8123</v>
      </c>
      <c r="F66">
        <v>7.6</v>
      </c>
      <c r="G66">
        <v>2</v>
      </c>
      <c r="H66">
        <v>3.8</v>
      </c>
      <c r="I66">
        <v>-2.8</v>
      </c>
      <c r="J66">
        <v>0.20833333000000001</v>
      </c>
    </row>
    <row r="67" spans="1:10" x14ac:dyDescent="0.3">
      <c r="A67">
        <v>65</v>
      </c>
      <c r="B67">
        <v>1032</v>
      </c>
      <c r="C67" t="b">
        <v>1</v>
      </c>
      <c r="D67">
        <v>8054</v>
      </c>
      <c r="E67">
        <v>8123</v>
      </c>
      <c r="F67">
        <v>8.4</v>
      </c>
      <c r="G67">
        <v>1.6</v>
      </c>
      <c r="H67">
        <v>5.2499995000000004</v>
      </c>
      <c r="I67">
        <v>-4.2499995000000004</v>
      </c>
      <c r="J67">
        <v>0.16</v>
      </c>
    </row>
    <row r="68" spans="1:10" x14ac:dyDescent="0.3">
      <c r="A68">
        <v>66</v>
      </c>
      <c r="B68">
        <v>1048</v>
      </c>
      <c r="C68" t="b">
        <v>1</v>
      </c>
      <c r="D68">
        <v>8048</v>
      </c>
      <c r="E68">
        <v>8123</v>
      </c>
      <c r="F68">
        <v>8.8000000000000007</v>
      </c>
      <c r="G68">
        <v>1.6</v>
      </c>
      <c r="H68">
        <v>5.5</v>
      </c>
      <c r="I68">
        <v>-4.5</v>
      </c>
      <c r="J68">
        <v>0.15384613999999999</v>
      </c>
    </row>
    <row r="69" spans="1:10" x14ac:dyDescent="0.3">
      <c r="A69">
        <v>67</v>
      </c>
      <c r="B69">
        <v>1063</v>
      </c>
      <c r="C69" t="b">
        <v>1</v>
      </c>
      <c r="D69">
        <v>8054</v>
      </c>
      <c r="E69">
        <v>8123</v>
      </c>
      <c r="F69">
        <v>9.1999999999999993</v>
      </c>
      <c r="G69">
        <v>2</v>
      </c>
      <c r="H69">
        <v>4.5999999999999996</v>
      </c>
      <c r="I69">
        <v>-3.6</v>
      </c>
      <c r="J69">
        <v>0.17857143</v>
      </c>
    </row>
    <row r="70" spans="1:10" x14ac:dyDescent="0.3">
      <c r="A70">
        <v>68</v>
      </c>
      <c r="B70">
        <v>1079</v>
      </c>
      <c r="C70" t="b">
        <v>1</v>
      </c>
      <c r="D70">
        <v>8048</v>
      </c>
      <c r="E70">
        <v>8123</v>
      </c>
      <c r="F70">
        <v>9.6</v>
      </c>
      <c r="G70">
        <v>2.4</v>
      </c>
      <c r="H70">
        <v>4</v>
      </c>
      <c r="I70">
        <v>-3</v>
      </c>
      <c r="J70">
        <v>0.2</v>
      </c>
    </row>
    <row r="71" spans="1:10" x14ac:dyDescent="0.3">
      <c r="A71">
        <v>69</v>
      </c>
      <c r="B71">
        <v>1095</v>
      </c>
      <c r="C71" t="b">
        <v>1</v>
      </c>
      <c r="D71">
        <v>8048</v>
      </c>
      <c r="E71">
        <v>8123</v>
      </c>
      <c r="F71">
        <v>9.6</v>
      </c>
      <c r="G71">
        <v>2.8</v>
      </c>
      <c r="H71">
        <v>3.4285717</v>
      </c>
      <c r="I71">
        <v>-2.4285714999999999</v>
      </c>
      <c r="J71">
        <v>0.22580643</v>
      </c>
    </row>
    <row r="72" spans="1:10" x14ac:dyDescent="0.3">
      <c r="A72">
        <v>70</v>
      </c>
      <c r="B72">
        <v>1111</v>
      </c>
      <c r="C72" t="b">
        <v>1</v>
      </c>
      <c r="D72">
        <v>8048</v>
      </c>
      <c r="E72">
        <v>8117</v>
      </c>
      <c r="F72">
        <v>9.6</v>
      </c>
      <c r="G72">
        <v>3.2</v>
      </c>
      <c r="H72">
        <v>3</v>
      </c>
      <c r="I72">
        <v>-2.0000002000000001</v>
      </c>
      <c r="J72">
        <v>0.25</v>
      </c>
    </row>
    <row r="73" spans="1:10" x14ac:dyDescent="0.3">
      <c r="A73">
        <v>71</v>
      </c>
      <c r="B73">
        <v>1127</v>
      </c>
      <c r="C73" t="b">
        <v>1</v>
      </c>
      <c r="D73">
        <v>8054</v>
      </c>
      <c r="E73">
        <v>8123</v>
      </c>
      <c r="F73">
        <v>9.6</v>
      </c>
      <c r="G73">
        <v>3.6</v>
      </c>
      <c r="H73">
        <v>2.6666666999999999</v>
      </c>
      <c r="I73">
        <v>-1.6666669000000001</v>
      </c>
      <c r="J73">
        <v>0.27272724999999998</v>
      </c>
    </row>
    <row r="74" spans="1:10" x14ac:dyDescent="0.3">
      <c r="A74">
        <v>72</v>
      </c>
      <c r="B74">
        <v>1143</v>
      </c>
      <c r="C74" t="b">
        <v>1</v>
      </c>
      <c r="D74">
        <v>8048</v>
      </c>
      <c r="E74">
        <v>8117</v>
      </c>
      <c r="F74">
        <v>9.6</v>
      </c>
      <c r="G74">
        <v>4</v>
      </c>
      <c r="H74">
        <v>2.4</v>
      </c>
      <c r="I74">
        <v>-1.4000001</v>
      </c>
      <c r="J74">
        <v>0.29411763000000002</v>
      </c>
    </row>
    <row r="75" spans="1:10" x14ac:dyDescent="0.3">
      <c r="A75">
        <v>73</v>
      </c>
      <c r="B75">
        <v>1158</v>
      </c>
      <c r="C75" t="b">
        <v>1</v>
      </c>
      <c r="D75">
        <v>8048</v>
      </c>
      <c r="E75">
        <v>8117</v>
      </c>
      <c r="F75">
        <v>9.6</v>
      </c>
      <c r="G75">
        <v>4</v>
      </c>
      <c r="H75">
        <v>2.4</v>
      </c>
      <c r="I75">
        <v>-1.4000001</v>
      </c>
      <c r="J75">
        <v>0.29411763000000002</v>
      </c>
    </row>
    <row r="76" spans="1:10" x14ac:dyDescent="0.3">
      <c r="A76">
        <v>74</v>
      </c>
      <c r="B76">
        <v>1174</v>
      </c>
      <c r="C76" t="b">
        <v>1</v>
      </c>
      <c r="D76">
        <v>8048</v>
      </c>
      <c r="E76">
        <v>8117</v>
      </c>
      <c r="F76">
        <v>9.6</v>
      </c>
      <c r="G76">
        <v>4</v>
      </c>
      <c r="H76">
        <v>2.4</v>
      </c>
      <c r="I76">
        <v>-1.4000001</v>
      </c>
      <c r="J76">
        <v>0.29411763000000002</v>
      </c>
    </row>
    <row r="77" spans="1:10" x14ac:dyDescent="0.3">
      <c r="A77">
        <v>75</v>
      </c>
      <c r="B77">
        <v>1190</v>
      </c>
      <c r="C77" t="b">
        <v>1</v>
      </c>
      <c r="D77">
        <v>8048</v>
      </c>
      <c r="E77">
        <v>8117</v>
      </c>
      <c r="F77">
        <v>9.6</v>
      </c>
      <c r="G77">
        <v>4</v>
      </c>
      <c r="H77">
        <v>2.4</v>
      </c>
      <c r="I77">
        <v>-1.4000001</v>
      </c>
      <c r="J77">
        <v>0.29411763000000002</v>
      </c>
    </row>
    <row r="78" spans="1:10" x14ac:dyDescent="0.3">
      <c r="A78">
        <v>76</v>
      </c>
      <c r="B78">
        <v>1206</v>
      </c>
      <c r="C78" t="b">
        <v>1</v>
      </c>
      <c r="D78">
        <v>8048</v>
      </c>
      <c r="E78">
        <v>8117</v>
      </c>
      <c r="F78">
        <v>9.6</v>
      </c>
      <c r="G78">
        <v>4</v>
      </c>
      <c r="H78">
        <v>2.4</v>
      </c>
      <c r="I78">
        <v>-1.4000001</v>
      </c>
      <c r="J78">
        <v>0.29411763000000002</v>
      </c>
    </row>
    <row r="79" spans="1:10" x14ac:dyDescent="0.3">
      <c r="A79">
        <v>77</v>
      </c>
      <c r="B79">
        <v>1222</v>
      </c>
      <c r="C79" t="b">
        <v>1</v>
      </c>
      <c r="D79">
        <v>8048</v>
      </c>
      <c r="E79">
        <v>8117</v>
      </c>
      <c r="F79">
        <v>9.6</v>
      </c>
      <c r="G79">
        <v>4.4000000000000004</v>
      </c>
      <c r="H79">
        <v>2.1818181999999999</v>
      </c>
      <c r="I79">
        <v>-1.1818181999999999</v>
      </c>
      <c r="J79">
        <v>0.31428572999999999</v>
      </c>
    </row>
    <row r="80" spans="1:10" x14ac:dyDescent="0.3">
      <c r="A80">
        <v>78</v>
      </c>
      <c r="B80">
        <v>1238</v>
      </c>
      <c r="C80" t="b">
        <v>1</v>
      </c>
      <c r="D80">
        <v>8048</v>
      </c>
      <c r="E80">
        <v>8123</v>
      </c>
      <c r="F80">
        <v>9.6</v>
      </c>
      <c r="G80">
        <v>4.8</v>
      </c>
      <c r="H80">
        <v>2</v>
      </c>
      <c r="I80">
        <v>-1</v>
      </c>
      <c r="J80">
        <v>0.33333333999999998</v>
      </c>
    </row>
    <row r="81" spans="1:10" x14ac:dyDescent="0.3">
      <c r="A81">
        <v>79</v>
      </c>
      <c r="B81">
        <v>1254</v>
      </c>
      <c r="C81" t="b">
        <v>1</v>
      </c>
      <c r="D81">
        <v>8048</v>
      </c>
      <c r="E81">
        <v>8123</v>
      </c>
      <c r="F81">
        <v>9.6</v>
      </c>
      <c r="G81">
        <v>4.8</v>
      </c>
      <c r="H81">
        <v>2</v>
      </c>
      <c r="I81">
        <v>-1</v>
      </c>
      <c r="J81">
        <v>0.33333333999999998</v>
      </c>
    </row>
    <row r="82" spans="1:10" x14ac:dyDescent="0.3">
      <c r="A82">
        <v>80</v>
      </c>
      <c r="B82">
        <v>1270</v>
      </c>
      <c r="C82" t="b">
        <v>1</v>
      </c>
      <c r="D82">
        <v>8048</v>
      </c>
      <c r="E82">
        <v>8123</v>
      </c>
      <c r="F82">
        <v>9.1999999999999993</v>
      </c>
      <c r="G82">
        <v>5.2</v>
      </c>
      <c r="H82">
        <v>1.7692308000000001</v>
      </c>
      <c r="I82">
        <v>-0.76923079999999999</v>
      </c>
      <c r="J82">
        <v>0.36111110000000002</v>
      </c>
    </row>
    <row r="83" spans="1:10" x14ac:dyDescent="0.3">
      <c r="A83">
        <v>81</v>
      </c>
      <c r="B83">
        <v>1285</v>
      </c>
      <c r="C83" t="b">
        <v>1</v>
      </c>
      <c r="D83">
        <v>8048</v>
      </c>
      <c r="E83">
        <v>8123</v>
      </c>
      <c r="F83">
        <v>8.8000000000000007</v>
      </c>
      <c r="G83">
        <v>5.2</v>
      </c>
      <c r="H83">
        <v>1.6923078</v>
      </c>
      <c r="I83">
        <v>-0.69230780000000003</v>
      </c>
      <c r="J83">
        <v>0.37142855000000002</v>
      </c>
    </row>
    <row r="84" spans="1:10" x14ac:dyDescent="0.3">
      <c r="A84">
        <v>82</v>
      </c>
      <c r="B84">
        <v>1301</v>
      </c>
      <c r="C84" t="b">
        <v>1</v>
      </c>
      <c r="D84">
        <v>8048</v>
      </c>
      <c r="E84">
        <v>8123</v>
      </c>
      <c r="F84">
        <v>8.4</v>
      </c>
      <c r="G84">
        <v>5.2</v>
      </c>
      <c r="H84">
        <v>1.6153846000000001</v>
      </c>
      <c r="I84">
        <v>-0.61538459999999995</v>
      </c>
      <c r="J84">
        <v>0.38235295000000002</v>
      </c>
    </row>
    <row r="85" spans="1:10" x14ac:dyDescent="0.3">
      <c r="A85">
        <v>83</v>
      </c>
      <c r="B85">
        <v>1317</v>
      </c>
      <c r="C85" t="b">
        <v>1</v>
      </c>
      <c r="D85">
        <v>8048</v>
      </c>
      <c r="E85">
        <v>8117</v>
      </c>
      <c r="F85">
        <v>8</v>
      </c>
      <c r="G85">
        <v>5.2</v>
      </c>
      <c r="H85">
        <v>1.5384616</v>
      </c>
      <c r="I85">
        <v>-0.53846156999999994</v>
      </c>
      <c r="J85">
        <v>0.39393938000000001</v>
      </c>
    </row>
    <row r="86" spans="1:10" x14ac:dyDescent="0.3">
      <c r="A86">
        <v>84</v>
      </c>
      <c r="B86">
        <v>1333</v>
      </c>
      <c r="C86" t="b">
        <v>1</v>
      </c>
      <c r="D86">
        <v>8048</v>
      </c>
      <c r="E86">
        <v>8123</v>
      </c>
      <c r="F86">
        <v>8</v>
      </c>
      <c r="G86">
        <v>5.2</v>
      </c>
      <c r="H86">
        <v>1.5384616</v>
      </c>
      <c r="I86">
        <v>-0.53846156999999994</v>
      </c>
      <c r="J86">
        <v>0.39393938000000001</v>
      </c>
    </row>
    <row r="87" spans="1:10" x14ac:dyDescent="0.3">
      <c r="A87">
        <v>85</v>
      </c>
      <c r="B87">
        <v>1349</v>
      </c>
      <c r="C87" t="b">
        <v>1</v>
      </c>
      <c r="D87">
        <v>8048</v>
      </c>
      <c r="E87">
        <v>8117</v>
      </c>
      <c r="F87">
        <v>8</v>
      </c>
      <c r="G87">
        <v>5.2</v>
      </c>
      <c r="H87">
        <v>1.5384616</v>
      </c>
      <c r="I87">
        <v>-0.53846156999999994</v>
      </c>
      <c r="J87">
        <v>0.39393938000000001</v>
      </c>
    </row>
    <row r="88" spans="1:10" x14ac:dyDescent="0.3">
      <c r="A88">
        <v>86</v>
      </c>
      <c r="B88">
        <v>1365</v>
      </c>
      <c r="C88" t="b">
        <v>1</v>
      </c>
      <c r="D88">
        <v>8054</v>
      </c>
      <c r="E88">
        <v>8117</v>
      </c>
      <c r="F88">
        <v>8</v>
      </c>
      <c r="G88">
        <v>4.8</v>
      </c>
      <c r="H88">
        <v>1.6666666000000001</v>
      </c>
      <c r="I88">
        <v>-0.6666666</v>
      </c>
      <c r="J88">
        <v>0.375</v>
      </c>
    </row>
    <row r="89" spans="1:10" x14ac:dyDescent="0.3">
      <c r="A89">
        <v>87</v>
      </c>
      <c r="B89">
        <v>1381</v>
      </c>
      <c r="C89" t="b">
        <v>1</v>
      </c>
      <c r="D89">
        <v>8048</v>
      </c>
      <c r="E89">
        <v>8123</v>
      </c>
      <c r="F89">
        <v>8</v>
      </c>
      <c r="G89">
        <v>4.4000000000000004</v>
      </c>
      <c r="H89">
        <v>1.8181818000000001</v>
      </c>
      <c r="I89">
        <v>-0.81818175000000004</v>
      </c>
      <c r="J89">
        <v>0.35483872999999999</v>
      </c>
    </row>
    <row r="90" spans="1:10" x14ac:dyDescent="0.3">
      <c r="A90">
        <v>88</v>
      </c>
      <c r="B90">
        <v>1397</v>
      </c>
      <c r="C90" t="b">
        <v>1</v>
      </c>
      <c r="D90">
        <v>8042</v>
      </c>
      <c r="E90">
        <v>8123</v>
      </c>
      <c r="F90">
        <v>8</v>
      </c>
      <c r="G90">
        <v>4.8</v>
      </c>
      <c r="H90">
        <v>1.6666666000000001</v>
      </c>
      <c r="I90">
        <v>-0.6666666</v>
      </c>
      <c r="J90">
        <v>0.375</v>
      </c>
    </row>
    <row r="91" spans="1:10" x14ac:dyDescent="0.3">
      <c r="A91">
        <v>89</v>
      </c>
      <c r="B91">
        <v>1413</v>
      </c>
      <c r="C91" t="b">
        <v>1</v>
      </c>
      <c r="D91">
        <v>8042</v>
      </c>
      <c r="E91">
        <v>8123</v>
      </c>
      <c r="F91">
        <v>8</v>
      </c>
      <c r="G91">
        <v>5.2</v>
      </c>
      <c r="H91">
        <v>1.5384616</v>
      </c>
      <c r="I91">
        <v>-0.53846156999999994</v>
      </c>
      <c r="J91">
        <v>0.39393938000000001</v>
      </c>
    </row>
    <row r="92" spans="1:10" x14ac:dyDescent="0.3">
      <c r="A92">
        <v>90</v>
      </c>
      <c r="B92">
        <v>1428</v>
      </c>
      <c r="C92" t="b">
        <v>1</v>
      </c>
      <c r="D92">
        <v>8042</v>
      </c>
      <c r="E92">
        <v>8123</v>
      </c>
      <c r="F92">
        <v>7.6</v>
      </c>
      <c r="G92">
        <v>5.6</v>
      </c>
      <c r="H92">
        <v>1.3571428000000001</v>
      </c>
      <c r="I92">
        <v>-0.35714287</v>
      </c>
      <c r="J92">
        <v>0.42424244</v>
      </c>
    </row>
    <row r="93" spans="1:10" x14ac:dyDescent="0.3">
      <c r="A93">
        <v>91</v>
      </c>
      <c r="B93">
        <v>1444</v>
      </c>
      <c r="C93" t="b">
        <v>1</v>
      </c>
      <c r="D93">
        <v>8042</v>
      </c>
      <c r="E93">
        <v>8123</v>
      </c>
      <c r="F93">
        <v>7.2</v>
      </c>
      <c r="G93">
        <v>6</v>
      </c>
      <c r="H93">
        <v>1.1999998999999999</v>
      </c>
      <c r="I93">
        <v>-0.19999997</v>
      </c>
      <c r="J93">
        <v>0.45454547000000001</v>
      </c>
    </row>
    <row r="94" spans="1:10" x14ac:dyDescent="0.3">
      <c r="A94">
        <v>92</v>
      </c>
      <c r="B94">
        <v>1460</v>
      </c>
      <c r="C94" t="b">
        <v>1</v>
      </c>
      <c r="D94">
        <v>8042</v>
      </c>
      <c r="E94">
        <v>8123</v>
      </c>
      <c r="F94">
        <v>6.8</v>
      </c>
      <c r="G94">
        <v>6.4</v>
      </c>
      <c r="H94">
        <v>1.0625</v>
      </c>
      <c r="I94">
        <v>-6.2500015000000006E-2</v>
      </c>
      <c r="J94">
        <v>0.48484846999999998</v>
      </c>
    </row>
    <row r="95" spans="1:10" x14ac:dyDescent="0.3">
      <c r="A95">
        <v>93</v>
      </c>
      <c r="B95">
        <v>1476</v>
      </c>
      <c r="C95" t="b">
        <v>1</v>
      </c>
      <c r="D95">
        <v>8042</v>
      </c>
      <c r="E95">
        <v>8129</v>
      </c>
      <c r="F95">
        <v>6.4</v>
      </c>
      <c r="G95">
        <v>6.8</v>
      </c>
      <c r="H95">
        <v>0.94117649999999997</v>
      </c>
      <c r="I95">
        <v>5.8823540000000001E-2</v>
      </c>
      <c r="J95">
        <v>0.51515149999999998</v>
      </c>
    </row>
    <row r="96" spans="1:10" x14ac:dyDescent="0.3">
      <c r="A96">
        <v>94</v>
      </c>
      <c r="B96">
        <v>1492</v>
      </c>
      <c r="C96" t="b">
        <v>1</v>
      </c>
      <c r="D96">
        <v>8042</v>
      </c>
      <c r="E96">
        <v>8123</v>
      </c>
      <c r="F96">
        <v>6</v>
      </c>
      <c r="G96">
        <v>7.2</v>
      </c>
      <c r="H96">
        <v>0.8333334</v>
      </c>
      <c r="I96">
        <v>0.16666664</v>
      </c>
      <c r="J96">
        <v>0.54545456000000003</v>
      </c>
    </row>
    <row r="97" spans="1:10" x14ac:dyDescent="0.3">
      <c r="A97">
        <v>95</v>
      </c>
      <c r="B97">
        <v>1507</v>
      </c>
      <c r="C97" t="b">
        <v>1</v>
      </c>
      <c r="D97">
        <v>8048</v>
      </c>
      <c r="E97">
        <v>8111</v>
      </c>
      <c r="F97">
        <v>5.6</v>
      </c>
      <c r="G97">
        <v>7.2</v>
      </c>
      <c r="H97">
        <v>0.77777779999999996</v>
      </c>
      <c r="I97">
        <v>0.22222221</v>
      </c>
      <c r="J97">
        <v>0.5625</v>
      </c>
    </row>
    <row r="98" spans="1:10" x14ac:dyDescent="0.3">
      <c r="A98">
        <v>96</v>
      </c>
      <c r="B98">
        <v>1523</v>
      </c>
      <c r="C98" t="b">
        <v>1</v>
      </c>
      <c r="D98">
        <v>8042</v>
      </c>
      <c r="E98">
        <v>8117</v>
      </c>
      <c r="F98">
        <v>5.2</v>
      </c>
      <c r="G98">
        <v>7.2</v>
      </c>
      <c r="H98">
        <v>0.72222220000000004</v>
      </c>
      <c r="I98">
        <v>0.27777780000000002</v>
      </c>
      <c r="J98">
        <v>0.58064514</v>
      </c>
    </row>
    <row r="99" spans="1:10" x14ac:dyDescent="0.3">
      <c r="A99">
        <v>97</v>
      </c>
      <c r="B99">
        <v>1539</v>
      </c>
      <c r="C99" t="b">
        <v>1</v>
      </c>
      <c r="D99">
        <v>8042</v>
      </c>
      <c r="E99">
        <v>8123</v>
      </c>
      <c r="F99">
        <v>4.8</v>
      </c>
      <c r="G99">
        <v>7.2</v>
      </c>
      <c r="H99">
        <v>0.66666669999999995</v>
      </c>
      <c r="I99">
        <v>0.33333328000000001</v>
      </c>
      <c r="J99">
        <v>0.59999996</v>
      </c>
    </row>
    <row r="100" spans="1:10" x14ac:dyDescent="0.3">
      <c r="A100">
        <v>98</v>
      </c>
      <c r="B100">
        <v>1555</v>
      </c>
      <c r="C100" t="b">
        <v>1</v>
      </c>
      <c r="D100">
        <v>8042</v>
      </c>
      <c r="E100">
        <v>8111</v>
      </c>
      <c r="F100">
        <v>4.4000000000000004</v>
      </c>
      <c r="G100">
        <v>6.8</v>
      </c>
      <c r="H100">
        <v>0.64705884000000002</v>
      </c>
      <c r="I100">
        <v>0.35294120000000001</v>
      </c>
      <c r="J100">
        <v>0.60714279999999998</v>
      </c>
    </row>
    <row r="101" spans="1:10" x14ac:dyDescent="0.3">
      <c r="A101">
        <v>99</v>
      </c>
      <c r="B101">
        <v>1571</v>
      </c>
      <c r="C101" t="b">
        <v>1</v>
      </c>
      <c r="D101">
        <v>8042</v>
      </c>
      <c r="E101">
        <v>8117</v>
      </c>
      <c r="F101">
        <v>4</v>
      </c>
      <c r="G101">
        <v>6.4</v>
      </c>
      <c r="H101">
        <v>0.625</v>
      </c>
      <c r="I101">
        <v>0.375</v>
      </c>
      <c r="J101">
        <v>0.61538464000000004</v>
      </c>
    </row>
    <row r="102" spans="1:10" x14ac:dyDescent="0.3">
      <c r="A102">
        <v>100</v>
      </c>
      <c r="B102">
        <v>1587</v>
      </c>
      <c r="C102" t="b">
        <v>1</v>
      </c>
      <c r="D102">
        <v>8048</v>
      </c>
      <c r="E102">
        <v>8117</v>
      </c>
      <c r="F102">
        <v>3.6</v>
      </c>
      <c r="G102">
        <v>6</v>
      </c>
      <c r="H102">
        <v>0.59999996</v>
      </c>
      <c r="I102">
        <v>0.4</v>
      </c>
      <c r="J102">
        <v>0.625</v>
      </c>
    </row>
    <row r="103" spans="1:10" x14ac:dyDescent="0.3">
      <c r="A103">
        <v>101</v>
      </c>
      <c r="B103">
        <v>1603</v>
      </c>
      <c r="C103" t="b">
        <v>1</v>
      </c>
      <c r="D103">
        <v>8048</v>
      </c>
      <c r="E103">
        <v>8123</v>
      </c>
      <c r="F103">
        <v>3.2</v>
      </c>
      <c r="G103">
        <v>6</v>
      </c>
      <c r="H103">
        <v>0.53333335999999998</v>
      </c>
      <c r="I103">
        <v>0.46666667000000001</v>
      </c>
      <c r="J103">
        <v>0.65217393999999995</v>
      </c>
    </row>
    <row r="104" spans="1:10" x14ac:dyDescent="0.3">
      <c r="A104">
        <v>102</v>
      </c>
      <c r="B104">
        <v>1619</v>
      </c>
      <c r="C104" t="b">
        <v>1</v>
      </c>
      <c r="D104">
        <v>8048</v>
      </c>
      <c r="E104">
        <v>8117</v>
      </c>
      <c r="F104">
        <v>3.2</v>
      </c>
      <c r="G104">
        <v>6</v>
      </c>
      <c r="H104">
        <v>0.53333335999999998</v>
      </c>
      <c r="I104">
        <v>0.46666667000000001</v>
      </c>
      <c r="J104">
        <v>0.65217393999999995</v>
      </c>
    </row>
    <row r="105" spans="1:10" x14ac:dyDescent="0.3">
      <c r="A105">
        <v>103</v>
      </c>
      <c r="B105">
        <v>1635</v>
      </c>
      <c r="C105" t="b">
        <v>1</v>
      </c>
      <c r="D105">
        <v>8048</v>
      </c>
      <c r="E105">
        <v>8123</v>
      </c>
      <c r="F105">
        <v>3.2</v>
      </c>
      <c r="G105">
        <v>5.6</v>
      </c>
      <c r="H105">
        <v>0.57142859999999995</v>
      </c>
      <c r="I105">
        <v>0.42857139999999999</v>
      </c>
      <c r="J105">
        <v>0.63636360000000003</v>
      </c>
    </row>
    <row r="106" spans="1:10" x14ac:dyDescent="0.3">
      <c r="A106">
        <v>104</v>
      </c>
      <c r="B106">
        <v>1651</v>
      </c>
      <c r="C106" t="b">
        <v>1</v>
      </c>
      <c r="D106">
        <v>8048</v>
      </c>
      <c r="E106">
        <v>8123</v>
      </c>
      <c r="F106">
        <v>3.2</v>
      </c>
      <c r="G106">
        <v>5.6</v>
      </c>
      <c r="H106">
        <v>0.57142859999999995</v>
      </c>
      <c r="I106">
        <v>0.42857139999999999</v>
      </c>
      <c r="J106">
        <v>0.63636360000000003</v>
      </c>
    </row>
    <row r="107" spans="1:10" x14ac:dyDescent="0.3">
      <c r="A107">
        <v>105</v>
      </c>
      <c r="B107">
        <v>1666</v>
      </c>
      <c r="C107" t="b">
        <v>1</v>
      </c>
      <c r="D107">
        <v>8048</v>
      </c>
      <c r="E107">
        <v>8123</v>
      </c>
      <c r="F107">
        <v>3.6</v>
      </c>
      <c r="G107">
        <v>5.6</v>
      </c>
      <c r="H107">
        <v>0.64285713</v>
      </c>
      <c r="I107">
        <v>0.35714287</v>
      </c>
      <c r="J107">
        <v>0.6086956</v>
      </c>
    </row>
    <row r="108" spans="1:10" x14ac:dyDescent="0.3">
      <c r="A108">
        <v>106</v>
      </c>
      <c r="B108">
        <v>1682</v>
      </c>
      <c r="C108" t="b">
        <v>1</v>
      </c>
      <c r="D108">
        <v>8054</v>
      </c>
      <c r="E108">
        <v>8123</v>
      </c>
      <c r="F108">
        <v>4</v>
      </c>
      <c r="G108">
        <v>5.6</v>
      </c>
      <c r="H108">
        <v>0.71428572999999995</v>
      </c>
      <c r="I108">
        <v>0.28571426999999999</v>
      </c>
      <c r="J108">
        <v>0.58333330000000005</v>
      </c>
    </row>
    <row r="109" spans="1:10" x14ac:dyDescent="0.3">
      <c r="A109">
        <v>107</v>
      </c>
      <c r="B109">
        <v>1698</v>
      </c>
      <c r="C109" t="b">
        <v>1</v>
      </c>
      <c r="D109">
        <v>8054</v>
      </c>
      <c r="E109">
        <v>8123</v>
      </c>
      <c r="F109">
        <v>4.4000000000000004</v>
      </c>
      <c r="G109">
        <v>5.6</v>
      </c>
      <c r="H109">
        <v>0.78571429999999998</v>
      </c>
      <c r="I109">
        <v>0.21428569</v>
      </c>
      <c r="J109">
        <v>0.56000000000000005</v>
      </c>
    </row>
    <row r="110" spans="1:10" x14ac:dyDescent="0.3">
      <c r="A110">
        <v>108</v>
      </c>
      <c r="B110">
        <v>1714</v>
      </c>
      <c r="C110" t="b">
        <v>1</v>
      </c>
      <c r="D110">
        <v>8054</v>
      </c>
      <c r="E110">
        <v>8123</v>
      </c>
      <c r="F110">
        <v>5.2</v>
      </c>
      <c r="G110">
        <v>5.6</v>
      </c>
      <c r="H110">
        <v>0.92857140000000005</v>
      </c>
      <c r="I110">
        <v>7.142859E-2</v>
      </c>
      <c r="J110">
        <v>0.51851857000000001</v>
      </c>
    </row>
    <row r="111" spans="1:10" x14ac:dyDescent="0.3">
      <c r="A111">
        <v>109</v>
      </c>
      <c r="B111">
        <v>1730</v>
      </c>
      <c r="C111" t="b">
        <v>1</v>
      </c>
      <c r="D111">
        <v>8054</v>
      </c>
      <c r="E111">
        <v>8117</v>
      </c>
      <c r="F111">
        <v>6</v>
      </c>
      <c r="G111">
        <v>5.6</v>
      </c>
      <c r="H111">
        <v>1.0714284999999999</v>
      </c>
      <c r="I111">
        <v>-7.142859E-2</v>
      </c>
      <c r="J111">
        <v>0.48275859999999998</v>
      </c>
    </row>
    <row r="112" spans="1:10" x14ac:dyDescent="0.3">
      <c r="A112">
        <v>110</v>
      </c>
      <c r="B112">
        <v>1746</v>
      </c>
      <c r="C112" t="b">
        <v>1</v>
      </c>
      <c r="D112">
        <v>8054</v>
      </c>
      <c r="E112">
        <v>8123</v>
      </c>
      <c r="F112">
        <v>6.8</v>
      </c>
      <c r="G112">
        <v>5.6</v>
      </c>
      <c r="H112">
        <v>1.2142857</v>
      </c>
      <c r="I112">
        <v>-0.21428578000000001</v>
      </c>
      <c r="J112">
        <v>0.45161291999999997</v>
      </c>
    </row>
    <row r="113" spans="1:10" x14ac:dyDescent="0.3">
      <c r="A113">
        <v>111</v>
      </c>
      <c r="B113">
        <v>1762</v>
      </c>
      <c r="C113" t="b">
        <v>1</v>
      </c>
      <c r="D113">
        <v>8060</v>
      </c>
      <c r="E113">
        <v>8123</v>
      </c>
      <c r="F113">
        <v>7.6</v>
      </c>
      <c r="G113">
        <v>5.6</v>
      </c>
      <c r="H113">
        <v>1.3571428000000001</v>
      </c>
      <c r="I113">
        <v>-0.35714287</v>
      </c>
      <c r="J113">
        <v>0.42424244</v>
      </c>
    </row>
    <row r="114" spans="1:10" x14ac:dyDescent="0.3">
      <c r="A114">
        <v>112</v>
      </c>
      <c r="B114">
        <v>1778</v>
      </c>
      <c r="C114" t="b">
        <v>1</v>
      </c>
      <c r="D114">
        <v>8060</v>
      </c>
      <c r="E114">
        <v>8117</v>
      </c>
      <c r="F114">
        <v>8.4</v>
      </c>
      <c r="G114">
        <v>5.6</v>
      </c>
      <c r="H114">
        <v>1.5</v>
      </c>
      <c r="I114">
        <v>-0.49999997000000002</v>
      </c>
      <c r="J114">
        <v>0.4</v>
      </c>
    </row>
    <row r="115" spans="1:10" x14ac:dyDescent="0.3">
      <c r="A115">
        <v>113</v>
      </c>
      <c r="B115">
        <v>1794</v>
      </c>
      <c r="C115" t="b">
        <v>1</v>
      </c>
      <c r="D115">
        <v>8048</v>
      </c>
      <c r="E115">
        <v>8123</v>
      </c>
      <c r="F115">
        <v>9.1999999999999993</v>
      </c>
      <c r="G115">
        <v>6</v>
      </c>
      <c r="H115">
        <v>1.5333333</v>
      </c>
      <c r="I115">
        <v>-0.53333330000000001</v>
      </c>
      <c r="J115">
        <v>0.39473686000000002</v>
      </c>
    </row>
    <row r="116" spans="1:10" x14ac:dyDescent="0.3">
      <c r="A116">
        <v>114</v>
      </c>
      <c r="B116">
        <v>1810</v>
      </c>
      <c r="C116" t="b">
        <v>1</v>
      </c>
      <c r="D116">
        <v>8054</v>
      </c>
      <c r="E116">
        <v>8123</v>
      </c>
      <c r="F116">
        <v>10</v>
      </c>
      <c r="G116">
        <v>6.4</v>
      </c>
      <c r="H116">
        <v>1.5625</v>
      </c>
      <c r="I116">
        <v>-0.5625</v>
      </c>
      <c r="J116">
        <v>0.39024392000000002</v>
      </c>
    </row>
    <row r="117" spans="1:10" x14ac:dyDescent="0.3">
      <c r="A117">
        <v>115</v>
      </c>
      <c r="B117">
        <v>1825</v>
      </c>
      <c r="C117" t="b">
        <v>1</v>
      </c>
      <c r="D117">
        <v>8054</v>
      </c>
      <c r="E117">
        <v>8123</v>
      </c>
      <c r="F117">
        <v>10.8</v>
      </c>
      <c r="G117">
        <v>6.8</v>
      </c>
      <c r="H117">
        <v>1.5882353</v>
      </c>
      <c r="I117">
        <v>-0.58823526000000004</v>
      </c>
      <c r="J117">
        <v>0.38636363000000001</v>
      </c>
    </row>
    <row r="118" spans="1:10" x14ac:dyDescent="0.3">
      <c r="A118">
        <v>116</v>
      </c>
      <c r="B118">
        <v>1841</v>
      </c>
      <c r="C118" t="b">
        <v>1</v>
      </c>
      <c r="D118">
        <v>8048</v>
      </c>
      <c r="E118">
        <v>8123</v>
      </c>
      <c r="F118">
        <v>11.6</v>
      </c>
      <c r="G118">
        <v>7.2</v>
      </c>
      <c r="H118">
        <v>1.6111112000000001</v>
      </c>
      <c r="I118">
        <v>-0.61111119999999997</v>
      </c>
      <c r="J118">
        <v>0.38297873999999998</v>
      </c>
    </row>
    <row r="119" spans="1:10" x14ac:dyDescent="0.3">
      <c r="A119">
        <v>117</v>
      </c>
      <c r="B119">
        <v>1857</v>
      </c>
      <c r="C119" t="b">
        <v>1</v>
      </c>
      <c r="D119">
        <v>8048</v>
      </c>
      <c r="E119">
        <v>8123</v>
      </c>
      <c r="F119">
        <v>11.6</v>
      </c>
      <c r="G119">
        <v>7.6</v>
      </c>
      <c r="H119">
        <v>1.5263157999999999</v>
      </c>
      <c r="I119">
        <v>-0.52631587000000002</v>
      </c>
      <c r="J119">
        <v>0.3958333</v>
      </c>
    </row>
    <row r="120" spans="1:10" x14ac:dyDescent="0.3">
      <c r="A120">
        <v>118</v>
      </c>
      <c r="B120">
        <v>1873</v>
      </c>
      <c r="C120" t="b">
        <v>1</v>
      </c>
      <c r="D120">
        <v>8048</v>
      </c>
      <c r="E120">
        <v>8123</v>
      </c>
      <c r="F120">
        <v>11.6</v>
      </c>
      <c r="G120">
        <v>8</v>
      </c>
      <c r="H120">
        <v>1.45</v>
      </c>
      <c r="I120">
        <v>-0.45000004999999998</v>
      </c>
      <c r="J120">
        <v>0.40816324999999998</v>
      </c>
    </row>
    <row r="121" spans="1:10" x14ac:dyDescent="0.3">
      <c r="A121">
        <v>119</v>
      </c>
      <c r="B121">
        <v>1889</v>
      </c>
      <c r="C121" t="b">
        <v>1</v>
      </c>
      <c r="D121">
        <v>8054</v>
      </c>
      <c r="E121">
        <v>8123</v>
      </c>
      <c r="F121">
        <v>11.6</v>
      </c>
      <c r="G121">
        <v>8</v>
      </c>
      <c r="H121">
        <v>1.45</v>
      </c>
      <c r="I121">
        <v>-0.45000004999999998</v>
      </c>
      <c r="J121">
        <v>0.40816324999999998</v>
      </c>
    </row>
    <row r="122" spans="1:10" x14ac:dyDescent="0.3">
      <c r="A122">
        <v>120</v>
      </c>
      <c r="B122">
        <v>1905</v>
      </c>
      <c r="C122" t="b">
        <v>1</v>
      </c>
      <c r="D122">
        <v>8054</v>
      </c>
      <c r="E122">
        <v>8117</v>
      </c>
      <c r="F122">
        <v>11.6</v>
      </c>
      <c r="G122">
        <v>8</v>
      </c>
      <c r="H122">
        <v>1.45</v>
      </c>
      <c r="I122">
        <v>-0.45000004999999998</v>
      </c>
      <c r="J122">
        <v>0.40816324999999998</v>
      </c>
    </row>
    <row r="123" spans="1:10" x14ac:dyDescent="0.3">
      <c r="A123">
        <v>121</v>
      </c>
      <c r="B123">
        <v>1921</v>
      </c>
      <c r="C123" t="b">
        <v>1</v>
      </c>
      <c r="D123">
        <v>8054</v>
      </c>
      <c r="E123">
        <v>8123</v>
      </c>
      <c r="F123">
        <v>12</v>
      </c>
      <c r="G123">
        <v>8</v>
      </c>
      <c r="H123">
        <v>1.5</v>
      </c>
      <c r="I123">
        <v>-0.5</v>
      </c>
      <c r="J123">
        <v>0.4</v>
      </c>
    </row>
    <row r="124" spans="1:10" x14ac:dyDescent="0.3">
      <c r="A124">
        <v>122</v>
      </c>
      <c r="B124">
        <v>1937</v>
      </c>
      <c r="C124" t="b">
        <v>1</v>
      </c>
      <c r="D124">
        <v>8048</v>
      </c>
      <c r="E124">
        <v>8117</v>
      </c>
      <c r="F124">
        <v>12.4</v>
      </c>
      <c r="G124">
        <v>8</v>
      </c>
      <c r="H124">
        <v>1.55</v>
      </c>
      <c r="I124">
        <v>-0.54999995000000002</v>
      </c>
      <c r="J124">
        <v>0.39215686999999999</v>
      </c>
    </row>
    <row r="125" spans="1:10" x14ac:dyDescent="0.3">
      <c r="A125">
        <v>123</v>
      </c>
      <c r="B125">
        <v>1953</v>
      </c>
      <c r="C125" t="b">
        <v>1</v>
      </c>
      <c r="D125">
        <v>8048</v>
      </c>
      <c r="E125">
        <v>8123</v>
      </c>
      <c r="F125">
        <v>12.4</v>
      </c>
      <c r="G125">
        <v>8</v>
      </c>
      <c r="H125">
        <v>1.55</v>
      </c>
      <c r="I125">
        <v>-0.54999995000000002</v>
      </c>
      <c r="J125">
        <v>0.39215686999999999</v>
      </c>
    </row>
    <row r="126" spans="1:10" x14ac:dyDescent="0.3">
      <c r="A126">
        <v>124</v>
      </c>
      <c r="B126">
        <v>1968</v>
      </c>
      <c r="C126" t="b">
        <v>1</v>
      </c>
      <c r="D126">
        <v>8048</v>
      </c>
      <c r="E126">
        <v>8123</v>
      </c>
      <c r="F126">
        <v>12</v>
      </c>
      <c r="G126">
        <v>8</v>
      </c>
      <c r="H126">
        <v>1.5</v>
      </c>
      <c r="I126">
        <v>-0.5</v>
      </c>
      <c r="J126">
        <v>0.4</v>
      </c>
    </row>
    <row r="127" spans="1:10" x14ac:dyDescent="0.3">
      <c r="A127">
        <v>125</v>
      </c>
      <c r="B127">
        <v>1984</v>
      </c>
      <c r="C127" t="b">
        <v>1</v>
      </c>
      <c r="D127">
        <v>8054</v>
      </c>
      <c r="E127">
        <v>8123</v>
      </c>
      <c r="F127">
        <v>11.6</v>
      </c>
      <c r="G127">
        <v>8</v>
      </c>
      <c r="H127">
        <v>1.45</v>
      </c>
      <c r="I127">
        <v>-0.45000004999999998</v>
      </c>
      <c r="J127">
        <v>0.40816324999999998</v>
      </c>
    </row>
    <row r="128" spans="1:10" x14ac:dyDescent="0.3">
      <c r="A128">
        <v>126</v>
      </c>
      <c r="B128">
        <v>2000</v>
      </c>
      <c r="C128" t="b">
        <v>1</v>
      </c>
      <c r="D128">
        <v>8048</v>
      </c>
      <c r="E128">
        <v>8123</v>
      </c>
      <c r="F128">
        <v>11.2</v>
      </c>
      <c r="G128">
        <v>8</v>
      </c>
      <c r="H128">
        <v>1.4</v>
      </c>
      <c r="I128">
        <v>-0.39999997999999998</v>
      </c>
      <c r="J128">
        <v>0.41666666000000002</v>
      </c>
    </row>
    <row r="129" spans="1:10" x14ac:dyDescent="0.3">
      <c r="A129">
        <v>127</v>
      </c>
      <c r="B129">
        <v>2016</v>
      </c>
      <c r="C129" t="b">
        <v>1</v>
      </c>
      <c r="D129">
        <v>8048</v>
      </c>
      <c r="E129">
        <v>8123</v>
      </c>
      <c r="F129">
        <v>10.8</v>
      </c>
      <c r="G129">
        <v>8</v>
      </c>
      <c r="H129">
        <v>1.35</v>
      </c>
      <c r="I129">
        <v>-0.35000002000000002</v>
      </c>
      <c r="J129">
        <v>0.42553192000000001</v>
      </c>
    </row>
    <row r="130" spans="1:10" x14ac:dyDescent="0.3">
      <c r="A130">
        <v>128</v>
      </c>
      <c r="B130">
        <v>2032</v>
      </c>
      <c r="C130" t="b">
        <v>1</v>
      </c>
      <c r="D130">
        <v>8048</v>
      </c>
      <c r="E130">
        <v>8123</v>
      </c>
      <c r="F130">
        <v>10.4</v>
      </c>
      <c r="G130">
        <v>8</v>
      </c>
      <c r="H130">
        <v>1.3</v>
      </c>
      <c r="I130">
        <v>-0.29999995000000002</v>
      </c>
      <c r="J130">
        <v>0.43478262000000001</v>
      </c>
    </row>
    <row r="131" spans="1:10" x14ac:dyDescent="0.3">
      <c r="A131">
        <v>129</v>
      </c>
      <c r="B131">
        <v>2048</v>
      </c>
      <c r="C131" t="b">
        <v>1</v>
      </c>
      <c r="D131">
        <v>8048</v>
      </c>
      <c r="E131">
        <v>8123</v>
      </c>
      <c r="F131">
        <v>10</v>
      </c>
      <c r="G131">
        <v>8</v>
      </c>
      <c r="H131">
        <v>1.25</v>
      </c>
      <c r="I131">
        <v>-0.25</v>
      </c>
      <c r="J131">
        <v>0.44444444999999999</v>
      </c>
    </row>
    <row r="132" spans="1:10" x14ac:dyDescent="0.3">
      <c r="A132">
        <v>130</v>
      </c>
      <c r="B132">
        <v>2064</v>
      </c>
      <c r="C132" t="b">
        <v>1</v>
      </c>
      <c r="D132">
        <v>8048</v>
      </c>
      <c r="E132">
        <v>8123</v>
      </c>
      <c r="F132">
        <v>9.6</v>
      </c>
      <c r="G132">
        <v>8</v>
      </c>
      <c r="H132">
        <v>1.2</v>
      </c>
      <c r="I132">
        <v>-0.20000005000000001</v>
      </c>
      <c r="J132">
        <v>0.45454544000000002</v>
      </c>
    </row>
    <row r="133" spans="1:10" x14ac:dyDescent="0.3">
      <c r="A133">
        <v>131</v>
      </c>
      <c r="B133">
        <v>2080</v>
      </c>
      <c r="C133" t="b">
        <v>1</v>
      </c>
      <c r="D133">
        <v>8048</v>
      </c>
      <c r="E133">
        <v>8123</v>
      </c>
      <c r="F133">
        <v>9.1999999999999993</v>
      </c>
      <c r="G133">
        <v>8</v>
      </c>
      <c r="H133">
        <v>1.1499999999999999</v>
      </c>
      <c r="I133">
        <v>-0.14999998</v>
      </c>
      <c r="J133">
        <v>0.46511626</v>
      </c>
    </row>
    <row r="134" spans="1:10" x14ac:dyDescent="0.3">
      <c r="A134">
        <v>132</v>
      </c>
      <c r="B134">
        <v>2096</v>
      </c>
      <c r="C134" t="b">
        <v>1</v>
      </c>
      <c r="D134">
        <v>8054</v>
      </c>
      <c r="E134">
        <v>8123</v>
      </c>
      <c r="F134">
        <v>9.1999999999999993</v>
      </c>
      <c r="G134">
        <v>8</v>
      </c>
      <c r="H134">
        <v>1.1499999999999999</v>
      </c>
      <c r="I134">
        <v>-0.14999998</v>
      </c>
      <c r="J134">
        <v>0.46511626</v>
      </c>
    </row>
    <row r="135" spans="1:10" x14ac:dyDescent="0.3">
      <c r="A135">
        <v>133</v>
      </c>
      <c r="B135">
        <v>2111</v>
      </c>
      <c r="C135" t="b">
        <v>1</v>
      </c>
      <c r="D135">
        <v>8054</v>
      </c>
      <c r="E135">
        <v>8123</v>
      </c>
      <c r="F135">
        <v>9.1999999999999993</v>
      </c>
      <c r="G135">
        <v>8</v>
      </c>
      <c r="H135">
        <v>1.1499999999999999</v>
      </c>
      <c r="I135">
        <v>-0.14999998</v>
      </c>
      <c r="J135">
        <v>0.46511626</v>
      </c>
    </row>
    <row r="136" spans="1:10" x14ac:dyDescent="0.3">
      <c r="A136">
        <v>134</v>
      </c>
      <c r="B136">
        <v>2127</v>
      </c>
      <c r="C136" t="b">
        <v>1</v>
      </c>
      <c r="D136">
        <v>8048</v>
      </c>
      <c r="E136">
        <v>8123</v>
      </c>
      <c r="F136">
        <v>9.1999999999999993</v>
      </c>
      <c r="G136">
        <v>8</v>
      </c>
      <c r="H136">
        <v>1.1499999999999999</v>
      </c>
      <c r="I136">
        <v>-0.14999998</v>
      </c>
      <c r="J136">
        <v>0.46511626</v>
      </c>
    </row>
    <row r="137" spans="1:10" x14ac:dyDescent="0.3">
      <c r="A137">
        <v>135</v>
      </c>
      <c r="B137">
        <v>2143</v>
      </c>
      <c r="C137" t="b">
        <v>1</v>
      </c>
      <c r="D137">
        <v>8054</v>
      </c>
      <c r="E137">
        <v>8123</v>
      </c>
      <c r="F137">
        <v>9.6</v>
      </c>
      <c r="G137">
        <v>8</v>
      </c>
      <c r="H137">
        <v>1.2</v>
      </c>
      <c r="I137">
        <v>-0.20000005000000001</v>
      </c>
      <c r="J137">
        <v>0.45454544000000002</v>
      </c>
    </row>
    <row r="138" spans="1:10" x14ac:dyDescent="0.3">
      <c r="A138">
        <v>136</v>
      </c>
      <c r="B138">
        <v>2159</v>
      </c>
      <c r="C138" t="b">
        <v>1</v>
      </c>
      <c r="D138">
        <v>8048</v>
      </c>
      <c r="E138">
        <v>8123</v>
      </c>
      <c r="F138">
        <v>9.6</v>
      </c>
      <c r="G138">
        <v>8</v>
      </c>
      <c r="H138">
        <v>1.2</v>
      </c>
      <c r="I138">
        <v>-0.20000005000000001</v>
      </c>
      <c r="J138">
        <v>0.45454544000000002</v>
      </c>
    </row>
    <row r="139" spans="1:10" x14ac:dyDescent="0.3">
      <c r="A139">
        <v>137</v>
      </c>
      <c r="B139">
        <v>2175</v>
      </c>
      <c r="C139" t="b">
        <v>1</v>
      </c>
      <c r="D139">
        <v>8048</v>
      </c>
      <c r="E139">
        <v>8123</v>
      </c>
      <c r="F139">
        <v>9.1999999999999993</v>
      </c>
      <c r="G139">
        <v>8</v>
      </c>
      <c r="H139">
        <v>1.1499999999999999</v>
      </c>
      <c r="I139">
        <v>-0.14999998</v>
      </c>
      <c r="J139">
        <v>0.46511626</v>
      </c>
    </row>
    <row r="140" spans="1:10" x14ac:dyDescent="0.3">
      <c r="A140">
        <v>138</v>
      </c>
      <c r="B140">
        <v>2191</v>
      </c>
      <c r="C140" t="b">
        <v>1</v>
      </c>
      <c r="D140">
        <v>8042</v>
      </c>
      <c r="E140">
        <v>8123</v>
      </c>
      <c r="F140">
        <v>8.8000000000000007</v>
      </c>
      <c r="G140">
        <v>8</v>
      </c>
      <c r="H140">
        <v>1.1000000000000001</v>
      </c>
      <c r="I140">
        <v>-0.10000002400000001</v>
      </c>
      <c r="J140">
        <v>0.47619050000000002</v>
      </c>
    </row>
    <row r="141" spans="1:10" x14ac:dyDescent="0.3">
      <c r="A141">
        <v>139</v>
      </c>
      <c r="B141">
        <v>2207</v>
      </c>
      <c r="C141" t="b">
        <v>1</v>
      </c>
      <c r="D141">
        <v>8048</v>
      </c>
      <c r="E141">
        <v>8129</v>
      </c>
      <c r="F141">
        <v>8.8000000000000007</v>
      </c>
      <c r="G141">
        <v>8</v>
      </c>
      <c r="H141">
        <v>1.1000000000000001</v>
      </c>
      <c r="I141">
        <v>-0.10000002400000001</v>
      </c>
      <c r="J141">
        <v>0.47619050000000002</v>
      </c>
    </row>
    <row r="142" spans="1:10" x14ac:dyDescent="0.3">
      <c r="A142">
        <v>140</v>
      </c>
      <c r="B142">
        <v>2223</v>
      </c>
      <c r="C142" t="b">
        <v>1</v>
      </c>
      <c r="D142">
        <v>8048</v>
      </c>
      <c r="E142">
        <v>8123</v>
      </c>
      <c r="F142">
        <v>8.8000000000000007</v>
      </c>
      <c r="G142">
        <v>8</v>
      </c>
      <c r="H142">
        <v>1.1000000000000001</v>
      </c>
      <c r="I142">
        <v>-0.10000002400000001</v>
      </c>
      <c r="J142">
        <v>0.47619050000000002</v>
      </c>
    </row>
    <row r="143" spans="1:10" x14ac:dyDescent="0.3">
      <c r="A143">
        <v>141</v>
      </c>
      <c r="B143">
        <v>2239</v>
      </c>
      <c r="C143" t="b">
        <v>1</v>
      </c>
      <c r="D143">
        <v>8048</v>
      </c>
      <c r="E143">
        <v>8123</v>
      </c>
      <c r="F143">
        <v>8.8000000000000007</v>
      </c>
      <c r="G143">
        <v>8</v>
      </c>
      <c r="H143">
        <v>1.1000000000000001</v>
      </c>
      <c r="I143">
        <v>-0.10000002400000001</v>
      </c>
      <c r="J143">
        <v>0.47619050000000002</v>
      </c>
    </row>
    <row r="144" spans="1:10" x14ac:dyDescent="0.3">
      <c r="A144">
        <v>142</v>
      </c>
      <c r="B144">
        <v>2254</v>
      </c>
      <c r="C144" t="b">
        <v>1</v>
      </c>
      <c r="D144">
        <v>8048</v>
      </c>
      <c r="E144">
        <v>8123</v>
      </c>
      <c r="F144">
        <v>8.8000000000000007</v>
      </c>
      <c r="G144">
        <v>8</v>
      </c>
      <c r="H144">
        <v>1.1000000000000001</v>
      </c>
      <c r="I144">
        <v>-0.10000002400000001</v>
      </c>
      <c r="J144">
        <v>0.47619050000000002</v>
      </c>
    </row>
    <row r="145" spans="1:10" x14ac:dyDescent="0.3">
      <c r="A145">
        <v>143</v>
      </c>
      <c r="B145">
        <v>2271</v>
      </c>
      <c r="C145" t="b">
        <v>1</v>
      </c>
      <c r="D145">
        <v>8042</v>
      </c>
      <c r="E145">
        <v>8123</v>
      </c>
      <c r="F145">
        <v>8.8000000000000007</v>
      </c>
      <c r="G145">
        <v>8</v>
      </c>
      <c r="H145">
        <v>1.1000000000000001</v>
      </c>
      <c r="I145">
        <v>-0.10000002400000001</v>
      </c>
      <c r="J145">
        <v>0.47619050000000002</v>
      </c>
    </row>
    <row r="146" spans="1:10" x14ac:dyDescent="0.3">
      <c r="A146">
        <v>144</v>
      </c>
      <c r="B146">
        <v>2287</v>
      </c>
      <c r="C146" t="b">
        <v>1</v>
      </c>
      <c r="D146">
        <v>8048</v>
      </c>
      <c r="E146">
        <v>8123</v>
      </c>
      <c r="F146">
        <v>8.8000000000000007</v>
      </c>
      <c r="G146">
        <v>8</v>
      </c>
      <c r="H146">
        <v>1.1000000000000001</v>
      </c>
      <c r="I146">
        <v>-0.10000002400000001</v>
      </c>
      <c r="J146">
        <v>0.47619050000000002</v>
      </c>
    </row>
    <row r="147" spans="1:10" x14ac:dyDescent="0.3">
      <c r="A147">
        <v>145</v>
      </c>
      <c r="B147">
        <v>2302</v>
      </c>
      <c r="C147" t="b">
        <v>1</v>
      </c>
      <c r="D147">
        <v>8048</v>
      </c>
      <c r="E147">
        <v>8123</v>
      </c>
      <c r="F147">
        <v>8.8000000000000007</v>
      </c>
      <c r="G147">
        <v>8</v>
      </c>
      <c r="H147">
        <v>1.1000000000000001</v>
      </c>
      <c r="I147">
        <v>-0.10000002400000001</v>
      </c>
      <c r="J147">
        <v>0.47619050000000002</v>
      </c>
    </row>
    <row r="148" spans="1:10" x14ac:dyDescent="0.3">
      <c r="A148">
        <v>146</v>
      </c>
      <c r="B148">
        <v>2318</v>
      </c>
      <c r="C148" t="b">
        <v>1</v>
      </c>
      <c r="D148">
        <v>8054</v>
      </c>
      <c r="E148">
        <v>8123</v>
      </c>
      <c r="F148">
        <v>8.8000000000000007</v>
      </c>
      <c r="G148">
        <v>8</v>
      </c>
      <c r="H148">
        <v>1.1000000000000001</v>
      </c>
      <c r="I148">
        <v>-0.10000002400000001</v>
      </c>
      <c r="J148">
        <v>0.47619050000000002</v>
      </c>
    </row>
    <row r="149" spans="1:10" x14ac:dyDescent="0.3">
      <c r="A149">
        <v>147</v>
      </c>
      <c r="B149">
        <v>2334</v>
      </c>
      <c r="C149" t="b">
        <v>1</v>
      </c>
      <c r="D149">
        <v>8048</v>
      </c>
      <c r="E149">
        <v>8123</v>
      </c>
      <c r="F149">
        <v>8.8000000000000007</v>
      </c>
      <c r="G149">
        <v>8</v>
      </c>
      <c r="H149">
        <v>1.1000000000000001</v>
      </c>
      <c r="I149">
        <v>-0.10000002400000001</v>
      </c>
      <c r="J149">
        <v>0.47619050000000002</v>
      </c>
    </row>
    <row r="150" spans="1:10" x14ac:dyDescent="0.3">
      <c r="A150">
        <v>148</v>
      </c>
      <c r="B150">
        <v>2350</v>
      </c>
      <c r="C150" t="b">
        <v>1</v>
      </c>
      <c r="D150">
        <v>8048</v>
      </c>
      <c r="E150">
        <v>8123</v>
      </c>
      <c r="F150">
        <v>8.8000000000000007</v>
      </c>
      <c r="G150">
        <v>8</v>
      </c>
      <c r="H150">
        <v>1.1000000000000001</v>
      </c>
      <c r="I150">
        <v>-0.10000002400000001</v>
      </c>
      <c r="J150">
        <v>0.47619050000000002</v>
      </c>
    </row>
    <row r="151" spans="1:10" x14ac:dyDescent="0.3">
      <c r="A151">
        <v>149</v>
      </c>
      <c r="B151">
        <v>2365</v>
      </c>
      <c r="C151" t="b">
        <v>1</v>
      </c>
      <c r="D151">
        <v>8048</v>
      </c>
      <c r="E151">
        <v>8123</v>
      </c>
      <c r="F151">
        <v>8.8000000000000007</v>
      </c>
      <c r="G151">
        <v>8</v>
      </c>
      <c r="H151">
        <v>1.1000000000000001</v>
      </c>
      <c r="I151">
        <v>-0.10000002400000001</v>
      </c>
      <c r="J151">
        <v>0.47619050000000002</v>
      </c>
    </row>
    <row r="152" spans="1:10" x14ac:dyDescent="0.3">
      <c r="A152">
        <v>150</v>
      </c>
      <c r="B152">
        <v>2381</v>
      </c>
      <c r="C152" t="b">
        <v>1</v>
      </c>
      <c r="D152">
        <v>8048</v>
      </c>
      <c r="E152">
        <v>8123</v>
      </c>
      <c r="F152">
        <v>8.4</v>
      </c>
      <c r="G152">
        <v>8</v>
      </c>
      <c r="H152">
        <v>1.05</v>
      </c>
      <c r="I152">
        <v>-4.9999952E-2</v>
      </c>
      <c r="J152">
        <v>0.48780489999999999</v>
      </c>
    </row>
    <row r="153" spans="1:10" x14ac:dyDescent="0.3">
      <c r="A153">
        <v>151</v>
      </c>
      <c r="B153">
        <v>2398</v>
      </c>
      <c r="C153" t="b">
        <v>1</v>
      </c>
      <c r="D153">
        <v>8048</v>
      </c>
      <c r="E153">
        <v>8123</v>
      </c>
      <c r="F153">
        <v>8</v>
      </c>
      <c r="G153">
        <v>8</v>
      </c>
      <c r="H153">
        <v>1</v>
      </c>
      <c r="I153">
        <v>0</v>
      </c>
      <c r="J153">
        <v>0.5</v>
      </c>
    </row>
    <row r="154" spans="1:10" x14ac:dyDescent="0.3">
      <c r="A154">
        <v>152</v>
      </c>
      <c r="B154">
        <v>2413</v>
      </c>
      <c r="C154" t="b">
        <v>1</v>
      </c>
      <c r="D154">
        <v>8048</v>
      </c>
      <c r="E154">
        <v>8123</v>
      </c>
      <c r="F154">
        <v>8</v>
      </c>
      <c r="G154">
        <v>8</v>
      </c>
      <c r="H154">
        <v>1</v>
      </c>
      <c r="I154">
        <v>0</v>
      </c>
      <c r="J154">
        <v>0.5</v>
      </c>
    </row>
    <row r="155" spans="1:10" x14ac:dyDescent="0.3">
      <c r="A155">
        <v>153</v>
      </c>
      <c r="B155">
        <v>2429</v>
      </c>
      <c r="C155" t="b">
        <v>1</v>
      </c>
      <c r="D155">
        <v>8048</v>
      </c>
      <c r="E155">
        <v>8123</v>
      </c>
      <c r="F155">
        <v>8</v>
      </c>
      <c r="G155">
        <v>8</v>
      </c>
      <c r="H155">
        <v>1</v>
      </c>
      <c r="I155">
        <v>0</v>
      </c>
      <c r="J155">
        <v>0.5</v>
      </c>
    </row>
    <row r="156" spans="1:10" x14ac:dyDescent="0.3">
      <c r="A156">
        <v>154</v>
      </c>
      <c r="B156">
        <v>2445</v>
      </c>
      <c r="C156" t="b">
        <v>1</v>
      </c>
      <c r="D156">
        <v>8048</v>
      </c>
      <c r="E156">
        <v>8123</v>
      </c>
      <c r="F156">
        <v>8</v>
      </c>
      <c r="G156">
        <v>8</v>
      </c>
      <c r="H156">
        <v>1</v>
      </c>
      <c r="I156">
        <v>0</v>
      </c>
      <c r="J156">
        <v>0.5</v>
      </c>
    </row>
    <row r="157" spans="1:10" x14ac:dyDescent="0.3">
      <c r="A157">
        <v>155</v>
      </c>
      <c r="B157">
        <v>2461</v>
      </c>
      <c r="C157" t="b">
        <v>1</v>
      </c>
      <c r="D157">
        <v>8054</v>
      </c>
      <c r="E157">
        <v>8123</v>
      </c>
      <c r="F157">
        <v>8</v>
      </c>
      <c r="G157">
        <v>8</v>
      </c>
      <c r="H157">
        <v>1</v>
      </c>
      <c r="I157">
        <v>0</v>
      </c>
      <c r="J157">
        <v>0.5</v>
      </c>
    </row>
    <row r="158" spans="1:10" x14ac:dyDescent="0.3">
      <c r="A158">
        <v>156</v>
      </c>
      <c r="B158">
        <v>2477</v>
      </c>
      <c r="C158" t="b">
        <v>1</v>
      </c>
      <c r="D158">
        <v>8048</v>
      </c>
      <c r="E158">
        <v>8123</v>
      </c>
      <c r="F158">
        <v>8</v>
      </c>
      <c r="G158">
        <v>8</v>
      </c>
      <c r="H158">
        <v>1</v>
      </c>
      <c r="I158">
        <v>0</v>
      </c>
      <c r="J158">
        <v>0.5</v>
      </c>
    </row>
    <row r="159" spans="1:10" x14ac:dyDescent="0.3">
      <c r="A159">
        <v>157</v>
      </c>
      <c r="B159">
        <v>2493</v>
      </c>
      <c r="C159" t="b">
        <v>1</v>
      </c>
      <c r="D159">
        <v>8048</v>
      </c>
      <c r="E159">
        <v>8117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2509</v>
      </c>
      <c r="C160" t="b">
        <v>1</v>
      </c>
      <c r="D160">
        <v>8048</v>
      </c>
      <c r="E160">
        <v>8111</v>
      </c>
      <c r="F160">
        <v>8</v>
      </c>
      <c r="G160">
        <v>8</v>
      </c>
      <c r="H160">
        <v>1</v>
      </c>
      <c r="I160">
        <v>0</v>
      </c>
      <c r="J160">
        <v>0.5</v>
      </c>
    </row>
    <row r="161" spans="1:10" x14ac:dyDescent="0.3">
      <c r="A161">
        <v>159</v>
      </c>
      <c r="B161">
        <v>2524</v>
      </c>
      <c r="C161" t="b">
        <v>1</v>
      </c>
      <c r="D161">
        <v>8048</v>
      </c>
      <c r="E161">
        <v>8117</v>
      </c>
      <c r="F161">
        <v>8</v>
      </c>
      <c r="G161">
        <v>7.6</v>
      </c>
      <c r="H161">
        <v>1.0526316</v>
      </c>
      <c r="I161">
        <v>-5.2631589999999999E-2</v>
      </c>
      <c r="J161">
        <v>0.48717946000000001</v>
      </c>
    </row>
    <row r="162" spans="1:10" x14ac:dyDescent="0.3">
      <c r="A162">
        <v>160</v>
      </c>
      <c r="B162">
        <v>2540</v>
      </c>
      <c r="C162" t="b">
        <v>1</v>
      </c>
      <c r="D162">
        <v>8048</v>
      </c>
      <c r="E162">
        <v>8117</v>
      </c>
      <c r="F162">
        <v>8</v>
      </c>
      <c r="G162">
        <v>7.2</v>
      </c>
      <c r="H162">
        <v>1.1111112000000001</v>
      </c>
      <c r="I162">
        <v>-0.11111114</v>
      </c>
      <c r="J162">
        <v>0.4736842</v>
      </c>
    </row>
    <row r="163" spans="1:10" x14ac:dyDescent="0.3">
      <c r="A163">
        <v>161</v>
      </c>
      <c r="B163">
        <v>2556</v>
      </c>
      <c r="C163" t="b">
        <v>1</v>
      </c>
      <c r="D163">
        <v>8048</v>
      </c>
      <c r="E163">
        <v>8117</v>
      </c>
      <c r="F163">
        <v>8</v>
      </c>
      <c r="G163">
        <v>6.8</v>
      </c>
      <c r="H163">
        <v>1.1764705</v>
      </c>
      <c r="I163">
        <v>-0.17647055</v>
      </c>
      <c r="J163">
        <v>0.45945944999999999</v>
      </c>
    </row>
    <row r="164" spans="1:10" x14ac:dyDescent="0.3">
      <c r="A164">
        <v>162</v>
      </c>
      <c r="B164">
        <v>2572</v>
      </c>
      <c r="C164" t="b">
        <v>1</v>
      </c>
      <c r="D164">
        <v>8048</v>
      </c>
      <c r="E164">
        <v>8117</v>
      </c>
      <c r="F164">
        <v>8</v>
      </c>
      <c r="G164">
        <v>6.4</v>
      </c>
      <c r="H164">
        <v>1.25</v>
      </c>
      <c r="I164">
        <v>-0.24999999000000001</v>
      </c>
      <c r="J164">
        <v>0.44444447999999998</v>
      </c>
    </row>
    <row r="165" spans="1:10" x14ac:dyDescent="0.3">
      <c r="A165">
        <v>163</v>
      </c>
      <c r="B165">
        <v>2588</v>
      </c>
      <c r="C165" t="b">
        <v>1</v>
      </c>
      <c r="D165">
        <v>8048</v>
      </c>
      <c r="E165">
        <v>8123</v>
      </c>
      <c r="F165">
        <v>8</v>
      </c>
      <c r="G165">
        <v>6</v>
      </c>
      <c r="H165">
        <v>1.3333333999999999</v>
      </c>
      <c r="I165">
        <v>-0.33333333999999998</v>
      </c>
      <c r="J165">
        <v>0.42857142999999998</v>
      </c>
    </row>
    <row r="166" spans="1:10" x14ac:dyDescent="0.3">
      <c r="A166">
        <v>164</v>
      </c>
      <c r="B166">
        <v>2604</v>
      </c>
      <c r="C166" t="b">
        <v>1</v>
      </c>
      <c r="D166">
        <v>8048</v>
      </c>
      <c r="E166">
        <v>8123</v>
      </c>
      <c r="F166">
        <v>8</v>
      </c>
      <c r="G166">
        <v>5.6</v>
      </c>
      <c r="H166">
        <v>1.4285715000000001</v>
      </c>
      <c r="I166">
        <v>-0.42857146000000002</v>
      </c>
      <c r="J166">
        <v>0.41176467999999999</v>
      </c>
    </row>
    <row r="167" spans="1:10" x14ac:dyDescent="0.3">
      <c r="A167">
        <v>165</v>
      </c>
      <c r="B167">
        <v>2620</v>
      </c>
      <c r="C167" t="b">
        <v>1</v>
      </c>
      <c r="D167">
        <v>8048</v>
      </c>
      <c r="E167">
        <v>8123</v>
      </c>
      <c r="F167">
        <v>8</v>
      </c>
      <c r="G167">
        <v>5.6</v>
      </c>
      <c r="H167">
        <v>1.4285715000000001</v>
      </c>
      <c r="I167">
        <v>-0.42857146000000002</v>
      </c>
      <c r="J167">
        <v>0.41176467999999999</v>
      </c>
    </row>
    <row r="168" spans="1:10" x14ac:dyDescent="0.3">
      <c r="A168">
        <v>166</v>
      </c>
      <c r="B168">
        <v>2636</v>
      </c>
      <c r="C168" t="b">
        <v>1</v>
      </c>
      <c r="D168">
        <v>8048</v>
      </c>
      <c r="E168">
        <v>8117</v>
      </c>
      <c r="F168">
        <v>8</v>
      </c>
      <c r="G168">
        <v>5.6</v>
      </c>
      <c r="H168">
        <v>1.4285715000000001</v>
      </c>
      <c r="I168">
        <v>-0.42857146000000002</v>
      </c>
      <c r="J168">
        <v>0.41176467999999999</v>
      </c>
    </row>
    <row r="169" spans="1:10" x14ac:dyDescent="0.3">
      <c r="A169">
        <v>167</v>
      </c>
      <c r="B169">
        <v>2652</v>
      </c>
      <c r="C169" t="b">
        <v>1</v>
      </c>
      <c r="D169">
        <v>8048</v>
      </c>
      <c r="E169">
        <v>8117</v>
      </c>
      <c r="F169">
        <v>8</v>
      </c>
      <c r="G169">
        <v>5.6</v>
      </c>
      <c r="H169">
        <v>1.4285715000000001</v>
      </c>
      <c r="I169">
        <v>-0.42857146000000002</v>
      </c>
      <c r="J169">
        <v>0.41176467999999999</v>
      </c>
    </row>
    <row r="170" spans="1:10" x14ac:dyDescent="0.3">
      <c r="A170">
        <v>168</v>
      </c>
      <c r="B170">
        <v>2668</v>
      </c>
      <c r="C170" t="b">
        <v>1</v>
      </c>
      <c r="D170">
        <v>8048</v>
      </c>
      <c r="E170">
        <v>8123</v>
      </c>
      <c r="F170">
        <v>8</v>
      </c>
      <c r="G170">
        <v>5.6</v>
      </c>
      <c r="H170">
        <v>1.4285715000000001</v>
      </c>
      <c r="I170">
        <v>-0.42857146000000002</v>
      </c>
      <c r="J170">
        <v>0.41176467999999999</v>
      </c>
    </row>
    <row r="171" spans="1:10" x14ac:dyDescent="0.3">
      <c r="A171">
        <v>169</v>
      </c>
      <c r="B171">
        <v>2684</v>
      </c>
      <c r="C171" t="b">
        <v>1</v>
      </c>
      <c r="D171">
        <v>8048</v>
      </c>
      <c r="E171">
        <v>8123</v>
      </c>
      <c r="F171">
        <v>8</v>
      </c>
      <c r="G171">
        <v>5.6</v>
      </c>
      <c r="H171">
        <v>1.4285715000000001</v>
      </c>
      <c r="I171">
        <v>-0.42857146000000002</v>
      </c>
      <c r="J171">
        <v>0.41176467999999999</v>
      </c>
    </row>
    <row r="172" spans="1:10" x14ac:dyDescent="0.3">
      <c r="A172">
        <v>170</v>
      </c>
      <c r="B172">
        <v>2700</v>
      </c>
      <c r="C172" t="b">
        <v>1</v>
      </c>
      <c r="D172">
        <v>8042</v>
      </c>
      <c r="E172">
        <v>8123</v>
      </c>
      <c r="F172">
        <v>8</v>
      </c>
      <c r="G172">
        <v>5.6</v>
      </c>
      <c r="H172">
        <v>1.4285715000000001</v>
      </c>
      <c r="I172">
        <v>-0.42857146000000002</v>
      </c>
      <c r="J172">
        <v>0.41176467999999999</v>
      </c>
    </row>
    <row r="173" spans="1:10" x14ac:dyDescent="0.3">
      <c r="A173">
        <v>171</v>
      </c>
      <c r="B173">
        <v>2716</v>
      </c>
      <c r="C173" t="b">
        <v>1</v>
      </c>
      <c r="D173">
        <v>8048</v>
      </c>
      <c r="E173">
        <v>8123</v>
      </c>
      <c r="F173">
        <v>8</v>
      </c>
      <c r="G173">
        <v>5.6</v>
      </c>
      <c r="H173">
        <v>1.4285715000000001</v>
      </c>
      <c r="I173">
        <v>-0.42857146000000002</v>
      </c>
      <c r="J173">
        <v>0.41176467999999999</v>
      </c>
    </row>
    <row r="174" spans="1:10" x14ac:dyDescent="0.3">
      <c r="A174">
        <v>172</v>
      </c>
      <c r="B174">
        <v>2732</v>
      </c>
      <c r="C174" t="b">
        <v>1</v>
      </c>
      <c r="D174">
        <v>8048</v>
      </c>
      <c r="E174">
        <v>8117</v>
      </c>
      <c r="F174">
        <v>8</v>
      </c>
      <c r="G174">
        <v>5.6</v>
      </c>
      <c r="H174">
        <v>1.4285715000000001</v>
      </c>
      <c r="I174">
        <v>-0.42857146000000002</v>
      </c>
      <c r="J174">
        <v>0.41176467999999999</v>
      </c>
    </row>
    <row r="175" spans="1:10" x14ac:dyDescent="0.3">
      <c r="A175">
        <v>173</v>
      </c>
      <c r="B175">
        <v>2748</v>
      </c>
      <c r="C175" t="b">
        <v>1</v>
      </c>
      <c r="D175">
        <v>8048</v>
      </c>
      <c r="E175">
        <v>8123</v>
      </c>
      <c r="F175">
        <v>8</v>
      </c>
      <c r="G175">
        <v>5.6</v>
      </c>
      <c r="H175">
        <v>1.4285715000000001</v>
      </c>
      <c r="I175">
        <v>-0.42857146000000002</v>
      </c>
      <c r="J175">
        <v>0.41176467999999999</v>
      </c>
    </row>
    <row r="176" spans="1:10" x14ac:dyDescent="0.3">
      <c r="A176">
        <v>174</v>
      </c>
      <c r="B176">
        <v>2763</v>
      </c>
      <c r="C176" t="b">
        <v>1</v>
      </c>
      <c r="D176">
        <v>8048</v>
      </c>
      <c r="E176">
        <v>8123</v>
      </c>
      <c r="F176">
        <v>8</v>
      </c>
      <c r="G176">
        <v>6</v>
      </c>
      <c r="H176">
        <v>1.3333333999999999</v>
      </c>
      <c r="I176">
        <v>-0.33333333999999998</v>
      </c>
      <c r="J176">
        <v>0.42857142999999998</v>
      </c>
    </row>
    <row r="177" spans="1:10" x14ac:dyDescent="0.3">
      <c r="A177">
        <v>175</v>
      </c>
      <c r="B177">
        <v>2779</v>
      </c>
      <c r="C177" t="b">
        <v>1</v>
      </c>
      <c r="D177">
        <v>8048</v>
      </c>
      <c r="E177">
        <v>8123</v>
      </c>
      <c r="F177">
        <v>8</v>
      </c>
      <c r="G177">
        <v>6.4</v>
      </c>
      <c r="H177">
        <v>1.25</v>
      </c>
      <c r="I177">
        <v>-0.24999999000000001</v>
      </c>
      <c r="J177">
        <v>0.44444447999999998</v>
      </c>
    </row>
    <row r="178" spans="1:10" x14ac:dyDescent="0.3">
      <c r="A178">
        <v>176</v>
      </c>
      <c r="B178">
        <v>2795</v>
      </c>
      <c r="C178" t="b">
        <v>1</v>
      </c>
      <c r="D178">
        <v>8048</v>
      </c>
      <c r="E178">
        <v>8117</v>
      </c>
      <c r="F178">
        <v>8</v>
      </c>
      <c r="G178">
        <v>6.8</v>
      </c>
      <c r="H178">
        <v>1.1764705</v>
      </c>
      <c r="I178">
        <v>-0.17647055</v>
      </c>
      <c r="J178">
        <v>0.45945944999999999</v>
      </c>
    </row>
    <row r="179" spans="1:10" x14ac:dyDescent="0.3">
      <c r="A179">
        <v>177</v>
      </c>
      <c r="B179">
        <v>2811</v>
      </c>
      <c r="C179" t="b">
        <v>1</v>
      </c>
      <c r="D179">
        <v>8048</v>
      </c>
      <c r="E179">
        <v>8117</v>
      </c>
      <c r="F179">
        <v>8</v>
      </c>
      <c r="G179">
        <v>7.2</v>
      </c>
      <c r="H179">
        <v>1.1111112000000001</v>
      </c>
      <c r="I179">
        <v>-0.11111114</v>
      </c>
      <c r="J179">
        <v>0.4736842</v>
      </c>
    </row>
    <row r="180" spans="1:10" x14ac:dyDescent="0.3">
      <c r="A180">
        <v>178</v>
      </c>
      <c r="B180">
        <v>2827</v>
      </c>
      <c r="C180" t="b">
        <v>1</v>
      </c>
      <c r="D180">
        <v>8048</v>
      </c>
      <c r="E180">
        <v>8123</v>
      </c>
      <c r="F180">
        <v>8</v>
      </c>
      <c r="G180">
        <v>7.6</v>
      </c>
      <c r="H180">
        <v>1.0526316</v>
      </c>
      <c r="I180">
        <v>-5.2631589999999999E-2</v>
      </c>
      <c r="J180">
        <v>0.48717946000000001</v>
      </c>
    </row>
    <row r="181" spans="1:10" x14ac:dyDescent="0.3">
      <c r="A181">
        <v>179</v>
      </c>
      <c r="B181">
        <v>2843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2859</v>
      </c>
      <c r="C182" t="b">
        <v>1</v>
      </c>
      <c r="D182">
        <v>8054</v>
      </c>
      <c r="E182">
        <v>8117</v>
      </c>
      <c r="F182">
        <v>8</v>
      </c>
      <c r="G182">
        <v>7.6</v>
      </c>
      <c r="H182">
        <v>1.0526316</v>
      </c>
      <c r="I182">
        <v>-5.2631589999999999E-2</v>
      </c>
      <c r="J182">
        <v>0.48717946000000001</v>
      </c>
    </row>
    <row r="183" spans="1:10" x14ac:dyDescent="0.3">
      <c r="A183">
        <v>181</v>
      </c>
      <c r="B183">
        <v>2875</v>
      </c>
      <c r="C183" t="b">
        <v>1</v>
      </c>
      <c r="D183">
        <v>8048</v>
      </c>
      <c r="E183">
        <v>8123</v>
      </c>
      <c r="F183">
        <v>8</v>
      </c>
      <c r="G183">
        <v>7.6</v>
      </c>
      <c r="H183">
        <v>1.0526316</v>
      </c>
      <c r="I183">
        <v>-5.2631589999999999E-2</v>
      </c>
      <c r="J183">
        <v>0.48717946000000001</v>
      </c>
    </row>
    <row r="184" spans="1:10" x14ac:dyDescent="0.3">
      <c r="A184">
        <v>182</v>
      </c>
      <c r="B184">
        <v>2891</v>
      </c>
      <c r="C184" t="b">
        <v>1</v>
      </c>
      <c r="D184">
        <v>8042</v>
      </c>
      <c r="E184">
        <v>8123</v>
      </c>
      <c r="F184">
        <v>8</v>
      </c>
      <c r="G184">
        <v>7.6</v>
      </c>
      <c r="H184">
        <v>1.0526316</v>
      </c>
      <c r="I184">
        <v>-5.2631589999999999E-2</v>
      </c>
      <c r="J184">
        <v>0.48717946000000001</v>
      </c>
    </row>
    <row r="185" spans="1:10" x14ac:dyDescent="0.3">
      <c r="A185">
        <v>183</v>
      </c>
      <c r="B185">
        <v>2906</v>
      </c>
      <c r="C185" t="b">
        <v>1</v>
      </c>
      <c r="D185">
        <v>8054</v>
      </c>
      <c r="E185">
        <v>8117</v>
      </c>
      <c r="F185">
        <v>8</v>
      </c>
      <c r="G185">
        <v>7.6</v>
      </c>
      <c r="H185">
        <v>1.0526316</v>
      </c>
      <c r="I185">
        <v>-5.2631589999999999E-2</v>
      </c>
      <c r="J185">
        <v>0.48717946000000001</v>
      </c>
    </row>
    <row r="186" spans="1:10" x14ac:dyDescent="0.3">
      <c r="A186">
        <v>184</v>
      </c>
      <c r="B186">
        <v>2922</v>
      </c>
      <c r="C186" t="b">
        <v>1</v>
      </c>
      <c r="D186">
        <v>8054</v>
      </c>
      <c r="E186">
        <v>8123</v>
      </c>
      <c r="F186">
        <v>8.4</v>
      </c>
      <c r="G186">
        <v>7.6</v>
      </c>
      <c r="H186">
        <v>1.1052630999999999</v>
      </c>
      <c r="I186">
        <v>-0.10526312</v>
      </c>
      <c r="J186">
        <v>0.47499999999999998</v>
      </c>
    </row>
    <row r="187" spans="1:10" x14ac:dyDescent="0.3">
      <c r="A187">
        <v>185</v>
      </c>
      <c r="B187">
        <v>2938</v>
      </c>
      <c r="C187" t="b">
        <v>1</v>
      </c>
      <c r="D187">
        <v>8054</v>
      </c>
      <c r="E187">
        <v>8123</v>
      </c>
      <c r="F187">
        <v>8.8000000000000007</v>
      </c>
      <c r="G187">
        <v>7.6</v>
      </c>
      <c r="H187">
        <v>1.1578946999999999</v>
      </c>
      <c r="I187">
        <v>-0.15789478000000001</v>
      </c>
      <c r="J187">
        <v>0.46341463999999999</v>
      </c>
    </row>
    <row r="188" spans="1:10" x14ac:dyDescent="0.3">
      <c r="A188">
        <v>186</v>
      </c>
      <c r="B188">
        <v>2953</v>
      </c>
      <c r="C188" t="b">
        <v>1</v>
      </c>
      <c r="D188">
        <v>8054</v>
      </c>
      <c r="E188">
        <v>8123</v>
      </c>
      <c r="F188">
        <v>9.1999999999999993</v>
      </c>
      <c r="G188">
        <v>7.6</v>
      </c>
      <c r="H188">
        <v>1.2105262999999999</v>
      </c>
      <c r="I188">
        <v>-0.2105263</v>
      </c>
      <c r="J188">
        <v>0.45238096</v>
      </c>
    </row>
    <row r="189" spans="1:10" x14ac:dyDescent="0.3">
      <c r="A189">
        <v>187</v>
      </c>
      <c r="B189">
        <v>2969</v>
      </c>
      <c r="C189" t="b">
        <v>1</v>
      </c>
      <c r="D189">
        <v>8048</v>
      </c>
      <c r="E189">
        <v>8123</v>
      </c>
      <c r="F189">
        <v>9.6</v>
      </c>
      <c r="G189">
        <v>7.6</v>
      </c>
      <c r="H189">
        <v>1.263158</v>
      </c>
      <c r="I189">
        <v>-0.26315796000000002</v>
      </c>
      <c r="J189">
        <v>0.44186044000000002</v>
      </c>
    </row>
    <row r="190" spans="1:10" x14ac:dyDescent="0.3">
      <c r="A190">
        <v>188</v>
      </c>
      <c r="B190">
        <v>2985</v>
      </c>
      <c r="C190" t="b">
        <v>1</v>
      </c>
      <c r="D190">
        <v>8054</v>
      </c>
      <c r="E190">
        <v>8123</v>
      </c>
      <c r="F190">
        <v>10</v>
      </c>
      <c r="G190">
        <v>7.6</v>
      </c>
      <c r="H190">
        <v>1.3157894999999999</v>
      </c>
      <c r="I190">
        <v>-0.3157895</v>
      </c>
      <c r="J190">
        <v>0.43181816000000001</v>
      </c>
    </row>
    <row r="191" spans="1:10" x14ac:dyDescent="0.3">
      <c r="A191">
        <v>189</v>
      </c>
      <c r="B191">
        <v>3001</v>
      </c>
      <c r="C191" t="b">
        <v>1</v>
      </c>
      <c r="D191">
        <v>8048</v>
      </c>
      <c r="E191">
        <v>8123</v>
      </c>
      <c r="F191">
        <v>10.4</v>
      </c>
      <c r="G191">
        <v>7.6</v>
      </c>
      <c r="H191">
        <v>1.3684210999999999</v>
      </c>
      <c r="I191">
        <v>-0.36842101999999999</v>
      </c>
      <c r="J191">
        <v>0.42222222999999998</v>
      </c>
    </row>
    <row r="192" spans="1:10" x14ac:dyDescent="0.3">
      <c r="A192">
        <v>190</v>
      </c>
      <c r="B192">
        <v>3017</v>
      </c>
      <c r="C192" t="b">
        <v>1</v>
      </c>
      <c r="D192">
        <v>8048</v>
      </c>
      <c r="E192">
        <v>8123</v>
      </c>
      <c r="F192">
        <v>10.4</v>
      </c>
      <c r="G192">
        <v>7.6</v>
      </c>
      <c r="H192">
        <v>1.3684210999999999</v>
      </c>
      <c r="I192">
        <v>-0.36842101999999999</v>
      </c>
      <c r="J192">
        <v>0.42222222999999998</v>
      </c>
    </row>
    <row r="193" spans="1:10" x14ac:dyDescent="0.3">
      <c r="A193">
        <v>191</v>
      </c>
      <c r="B193">
        <v>3033</v>
      </c>
      <c r="C193" t="b">
        <v>1</v>
      </c>
      <c r="D193">
        <v>8048</v>
      </c>
      <c r="E193">
        <v>8123</v>
      </c>
      <c r="F193">
        <v>10.4</v>
      </c>
      <c r="G193">
        <v>7.6</v>
      </c>
      <c r="H193">
        <v>1.3684210999999999</v>
      </c>
      <c r="I193">
        <v>-0.36842101999999999</v>
      </c>
      <c r="J193">
        <v>0.42222222999999998</v>
      </c>
    </row>
    <row r="194" spans="1:10" x14ac:dyDescent="0.3">
      <c r="A194">
        <v>192</v>
      </c>
      <c r="B194">
        <v>3049</v>
      </c>
      <c r="C194" t="b">
        <v>1</v>
      </c>
      <c r="D194">
        <v>8048</v>
      </c>
      <c r="E194">
        <v>8123</v>
      </c>
      <c r="F194">
        <v>10.4</v>
      </c>
      <c r="G194">
        <v>7.6</v>
      </c>
      <c r="H194">
        <v>1.3684210999999999</v>
      </c>
      <c r="I194">
        <v>-0.36842101999999999</v>
      </c>
      <c r="J194">
        <v>0.42222222999999998</v>
      </c>
    </row>
    <row r="195" spans="1:10" x14ac:dyDescent="0.3">
      <c r="A195">
        <v>193</v>
      </c>
      <c r="B195">
        <v>3065</v>
      </c>
      <c r="C195" t="b">
        <v>1</v>
      </c>
      <c r="D195">
        <v>8048</v>
      </c>
      <c r="E195">
        <v>8123</v>
      </c>
      <c r="F195">
        <v>10.4</v>
      </c>
      <c r="G195">
        <v>7.6</v>
      </c>
      <c r="H195">
        <v>1.3684210999999999</v>
      </c>
      <c r="I195">
        <v>-0.36842101999999999</v>
      </c>
      <c r="J195">
        <v>0.42222222999999998</v>
      </c>
    </row>
    <row r="196" spans="1:10" x14ac:dyDescent="0.3">
      <c r="A196">
        <v>194</v>
      </c>
      <c r="B196">
        <v>3081</v>
      </c>
      <c r="C196" t="b">
        <v>1</v>
      </c>
      <c r="D196">
        <v>8048</v>
      </c>
      <c r="E196">
        <v>8117</v>
      </c>
      <c r="F196">
        <v>10.4</v>
      </c>
      <c r="G196">
        <v>7.6</v>
      </c>
      <c r="H196">
        <v>1.3684210999999999</v>
      </c>
      <c r="I196">
        <v>-0.36842101999999999</v>
      </c>
      <c r="J196">
        <v>0.42222222999999998</v>
      </c>
    </row>
    <row r="197" spans="1:10" x14ac:dyDescent="0.3">
      <c r="A197">
        <v>195</v>
      </c>
      <c r="B197">
        <v>3097</v>
      </c>
      <c r="C197" t="b">
        <v>1</v>
      </c>
      <c r="D197">
        <v>8054</v>
      </c>
      <c r="E197">
        <v>8117</v>
      </c>
      <c r="F197">
        <v>10.4</v>
      </c>
      <c r="G197">
        <v>8</v>
      </c>
      <c r="H197">
        <v>1.3</v>
      </c>
      <c r="I197">
        <v>-0.29999995000000002</v>
      </c>
      <c r="J197">
        <v>0.43478262000000001</v>
      </c>
    </row>
    <row r="198" spans="1:10" x14ac:dyDescent="0.3">
      <c r="A198">
        <v>196</v>
      </c>
      <c r="B198">
        <v>3113</v>
      </c>
      <c r="C198" t="b">
        <v>1</v>
      </c>
      <c r="D198">
        <v>8060</v>
      </c>
      <c r="E198">
        <v>8117</v>
      </c>
      <c r="F198">
        <v>10.4</v>
      </c>
      <c r="G198">
        <v>7.6</v>
      </c>
      <c r="H198">
        <v>1.3684210999999999</v>
      </c>
      <c r="I198">
        <v>-0.36842101999999999</v>
      </c>
      <c r="J198">
        <v>0.42222222999999998</v>
      </c>
    </row>
    <row r="199" spans="1:10" x14ac:dyDescent="0.3">
      <c r="A199">
        <v>197</v>
      </c>
      <c r="B199">
        <v>3129</v>
      </c>
      <c r="C199" t="b">
        <v>1</v>
      </c>
      <c r="D199">
        <v>8060</v>
      </c>
      <c r="E199">
        <v>8111</v>
      </c>
      <c r="F199">
        <v>10.8</v>
      </c>
      <c r="G199">
        <v>7.2</v>
      </c>
      <c r="H199">
        <v>1.5000001000000001</v>
      </c>
      <c r="I199">
        <v>-0.50000005999999997</v>
      </c>
      <c r="J199">
        <v>0.39999997999999998</v>
      </c>
    </row>
    <row r="200" spans="1:10" x14ac:dyDescent="0.3">
      <c r="A200">
        <v>198</v>
      </c>
      <c r="B200">
        <v>3145</v>
      </c>
      <c r="C200" t="b">
        <v>1</v>
      </c>
      <c r="D200">
        <v>8054</v>
      </c>
      <c r="E200">
        <v>8111</v>
      </c>
      <c r="F200">
        <v>11.2</v>
      </c>
      <c r="G200">
        <v>6.8</v>
      </c>
      <c r="H200">
        <v>1.6470587000000001</v>
      </c>
      <c r="I200">
        <v>-0.64705869999999999</v>
      </c>
      <c r="J200">
        <v>0.37777779</v>
      </c>
    </row>
    <row r="201" spans="1:10" x14ac:dyDescent="0.3">
      <c r="A201">
        <v>199</v>
      </c>
      <c r="B201">
        <v>3161</v>
      </c>
      <c r="C201" t="b">
        <v>1</v>
      </c>
      <c r="D201">
        <v>8054</v>
      </c>
      <c r="E201">
        <v>8117</v>
      </c>
      <c r="F201">
        <v>11.2</v>
      </c>
      <c r="G201">
        <v>6.4</v>
      </c>
      <c r="H201">
        <v>1.75</v>
      </c>
      <c r="I201">
        <v>-0.74999994000000003</v>
      </c>
      <c r="J201">
        <v>0.36363636999999999</v>
      </c>
    </row>
    <row r="202" spans="1:10" x14ac:dyDescent="0.3">
      <c r="A202">
        <v>200</v>
      </c>
      <c r="B202">
        <v>3177</v>
      </c>
      <c r="C202" t="b">
        <v>1</v>
      </c>
      <c r="D202">
        <v>8054</v>
      </c>
      <c r="E202">
        <v>8123</v>
      </c>
      <c r="F202">
        <v>11.2</v>
      </c>
      <c r="G202">
        <v>6</v>
      </c>
      <c r="H202">
        <v>1.8666666999999999</v>
      </c>
      <c r="I202">
        <v>-0.86666659999999995</v>
      </c>
      <c r="J202">
        <v>0.34883720000000001</v>
      </c>
    </row>
    <row r="203" spans="1:10" x14ac:dyDescent="0.3">
      <c r="A203">
        <v>201</v>
      </c>
      <c r="B203">
        <v>3193</v>
      </c>
      <c r="C203" t="b">
        <v>1</v>
      </c>
      <c r="D203">
        <v>8054</v>
      </c>
      <c r="E203">
        <v>8123</v>
      </c>
      <c r="F203">
        <v>11.2</v>
      </c>
      <c r="G203">
        <v>5.6</v>
      </c>
      <c r="H203">
        <v>2</v>
      </c>
      <c r="I203">
        <v>-1</v>
      </c>
      <c r="J203">
        <v>0.33333333999999998</v>
      </c>
    </row>
    <row r="204" spans="1:10" x14ac:dyDescent="0.3">
      <c r="A204">
        <v>202</v>
      </c>
      <c r="B204">
        <v>3209</v>
      </c>
      <c r="C204" t="b">
        <v>1</v>
      </c>
      <c r="D204">
        <v>8048</v>
      </c>
      <c r="E204">
        <v>8123</v>
      </c>
      <c r="F204">
        <v>11.2</v>
      </c>
      <c r="G204">
        <v>5.6</v>
      </c>
      <c r="H204">
        <v>2</v>
      </c>
      <c r="I204">
        <v>-1</v>
      </c>
      <c r="J204">
        <v>0.33333333999999998</v>
      </c>
    </row>
    <row r="205" spans="1:10" x14ac:dyDescent="0.3">
      <c r="A205">
        <v>203</v>
      </c>
      <c r="B205">
        <v>3224</v>
      </c>
      <c r="C205" t="b">
        <v>1</v>
      </c>
      <c r="D205">
        <v>8048</v>
      </c>
      <c r="E205">
        <v>8123</v>
      </c>
      <c r="F205">
        <v>11.2</v>
      </c>
      <c r="G205">
        <v>5.6</v>
      </c>
      <c r="H205">
        <v>2</v>
      </c>
      <c r="I205">
        <v>-1</v>
      </c>
      <c r="J205">
        <v>0.33333333999999998</v>
      </c>
    </row>
    <row r="206" spans="1:10" x14ac:dyDescent="0.3">
      <c r="A206">
        <v>204</v>
      </c>
      <c r="B206">
        <v>3240</v>
      </c>
      <c r="C206" t="b">
        <v>1</v>
      </c>
      <c r="D206">
        <v>8048</v>
      </c>
      <c r="E206">
        <v>8123</v>
      </c>
      <c r="F206">
        <v>10.8</v>
      </c>
      <c r="G206">
        <v>5.6</v>
      </c>
      <c r="H206">
        <v>1.9285715000000001</v>
      </c>
      <c r="I206">
        <v>-0.92857149999999999</v>
      </c>
      <c r="J206">
        <v>0.34146342000000002</v>
      </c>
    </row>
    <row r="207" spans="1:10" x14ac:dyDescent="0.3">
      <c r="A207">
        <v>205</v>
      </c>
      <c r="B207">
        <v>3256</v>
      </c>
      <c r="C207" t="b">
        <v>1</v>
      </c>
      <c r="D207">
        <v>8048</v>
      </c>
      <c r="E207">
        <v>8123</v>
      </c>
      <c r="F207">
        <v>10.8</v>
      </c>
      <c r="G207">
        <v>5.6</v>
      </c>
      <c r="H207">
        <v>1.9285715000000001</v>
      </c>
      <c r="I207">
        <v>-0.92857149999999999</v>
      </c>
      <c r="J207">
        <v>0.34146342000000002</v>
      </c>
    </row>
    <row r="208" spans="1:10" x14ac:dyDescent="0.3">
      <c r="A208">
        <v>206</v>
      </c>
      <c r="B208">
        <v>3272</v>
      </c>
      <c r="C208" t="b">
        <v>1</v>
      </c>
      <c r="D208">
        <v>8048</v>
      </c>
      <c r="E208">
        <v>8123</v>
      </c>
      <c r="F208">
        <v>10.8</v>
      </c>
      <c r="G208">
        <v>5.6</v>
      </c>
      <c r="H208">
        <v>1.9285715000000001</v>
      </c>
      <c r="I208">
        <v>-0.92857149999999999</v>
      </c>
      <c r="J208">
        <v>0.34146342000000002</v>
      </c>
    </row>
    <row r="209" spans="1:10" x14ac:dyDescent="0.3">
      <c r="A209">
        <v>207</v>
      </c>
      <c r="B209">
        <v>3288</v>
      </c>
      <c r="C209" t="b">
        <v>1</v>
      </c>
      <c r="D209">
        <v>8048</v>
      </c>
      <c r="E209">
        <v>8123</v>
      </c>
      <c r="F209">
        <v>10.8</v>
      </c>
      <c r="G209">
        <v>5.6</v>
      </c>
      <c r="H209">
        <v>1.9285715000000001</v>
      </c>
      <c r="I209">
        <v>-0.92857149999999999</v>
      </c>
      <c r="J209">
        <v>0.34146342000000002</v>
      </c>
    </row>
    <row r="210" spans="1:10" x14ac:dyDescent="0.3">
      <c r="A210">
        <v>208</v>
      </c>
      <c r="B210">
        <v>3304</v>
      </c>
      <c r="C210" t="b">
        <v>1</v>
      </c>
      <c r="D210">
        <v>8054</v>
      </c>
      <c r="E210">
        <v>8123</v>
      </c>
      <c r="F210">
        <v>10.8</v>
      </c>
      <c r="G210">
        <v>5.6</v>
      </c>
      <c r="H210">
        <v>1.9285715000000001</v>
      </c>
      <c r="I210">
        <v>-0.92857149999999999</v>
      </c>
      <c r="J210">
        <v>0.34146342000000002</v>
      </c>
    </row>
    <row r="211" spans="1:10" x14ac:dyDescent="0.3">
      <c r="A211">
        <v>209</v>
      </c>
      <c r="B211">
        <v>3320</v>
      </c>
      <c r="C211" t="b">
        <v>1</v>
      </c>
      <c r="D211">
        <v>8054</v>
      </c>
      <c r="E211">
        <v>8123</v>
      </c>
      <c r="F211">
        <v>10.8</v>
      </c>
      <c r="G211">
        <v>5.6</v>
      </c>
      <c r="H211">
        <v>1.9285715000000001</v>
      </c>
      <c r="I211">
        <v>-0.92857149999999999</v>
      </c>
      <c r="J211">
        <v>0.34146342000000002</v>
      </c>
    </row>
    <row r="212" spans="1:10" x14ac:dyDescent="0.3">
      <c r="A212">
        <v>210</v>
      </c>
      <c r="B212">
        <v>3336</v>
      </c>
      <c r="C212" t="b">
        <v>1</v>
      </c>
      <c r="D212">
        <v>8048</v>
      </c>
      <c r="E212">
        <v>8123</v>
      </c>
      <c r="F212">
        <v>10.8</v>
      </c>
      <c r="G212">
        <v>5.6</v>
      </c>
      <c r="H212">
        <v>1.9285715000000001</v>
      </c>
      <c r="I212">
        <v>-0.92857149999999999</v>
      </c>
      <c r="J212">
        <v>0.34146342000000002</v>
      </c>
    </row>
    <row r="213" spans="1:10" x14ac:dyDescent="0.3">
      <c r="A213">
        <v>211</v>
      </c>
      <c r="B213">
        <v>3352</v>
      </c>
      <c r="C213" t="b">
        <v>1</v>
      </c>
      <c r="D213">
        <v>8054</v>
      </c>
      <c r="E213">
        <v>8123</v>
      </c>
      <c r="F213">
        <v>11.2</v>
      </c>
      <c r="G213">
        <v>6</v>
      </c>
      <c r="H213">
        <v>1.8666666999999999</v>
      </c>
      <c r="I213">
        <v>-0.86666659999999995</v>
      </c>
      <c r="J213">
        <v>0.34883720000000001</v>
      </c>
    </row>
    <row r="214" spans="1:10" x14ac:dyDescent="0.3">
      <c r="A214">
        <v>212</v>
      </c>
      <c r="B214">
        <v>3368</v>
      </c>
      <c r="C214" t="b">
        <v>1</v>
      </c>
      <c r="D214">
        <v>8054</v>
      </c>
      <c r="E214">
        <v>8123</v>
      </c>
      <c r="F214">
        <v>11.2</v>
      </c>
      <c r="G214">
        <v>6.4</v>
      </c>
      <c r="H214">
        <v>1.75</v>
      </c>
      <c r="I214">
        <v>-0.74999994000000003</v>
      </c>
      <c r="J214">
        <v>0.36363636999999999</v>
      </c>
    </row>
    <row r="215" spans="1:10" x14ac:dyDescent="0.3">
      <c r="A215">
        <v>213</v>
      </c>
      <c r="B215">
        <v>3384</v>
      </c>
      <c r="C215" t="b">
        <v>1</v>
      </c>
      <c r="D215">
        <v>8048</v>
      </c>
      <c r="E215">
        <v>8123</v>
      </c>
      <c r="F215">
        <v>11.2</v>
      </c>
      <c r="G215">
        <v>6.8</v>
      </c>
      <c r="H215">
        <v>1.6470587000000001</v>
      </c>
      <c r="I215">
        <v>-0.64705869999999999</v>
      </c>
      <c r="J215">
        <v>0.37777779</v>
      </c>
    </row>
    <row r="216" spans="1:10" x14ac:dyDescent="0.3">
      <c r="A216">
        <v>214</v>
      </c>
      <c r="B216">
        <v>3400</v>
      </c>
      <c r="C216" t="b">
        <v>1</v>
      </c>
      <c r="D216">
        <v>8048</v>
      </c>
      <c r="E216">
        <v>8129</v>
      </c>
      <c r="F216">
        <v>10.8</v>
      </c>
      <c r="G216">
        <v>7.2</v>
      </c>
      <c r="H216">
        <v>1.5000001000000001</v>
      </c>
      <c r="I216">
        <v>-0.50000005999999997</v>
      </c>
      <c r="J216">
        <v>0.39999997999999998</v>
      </c>
    </row>
    <row r="217" spans="1:10" x14ac:dyDescent="0.3">
      <c r="A217">
        <v>215</v>
      </c>
      <c r="B217">
        <v>3416</v>
      </c>
      <c r="C217" t="b">
        <v>1</v>
      </c>
      <c r="D217">
        <v>8048</v>
      </c>
      <c r="E217">
        <v>8123</v>
      </c>
      <c r="F217">
        <v>10.4</v>
      </c>
      <c r="G217">
        <v>7.6</v>
      </c>
      <c r="H217">
        <v>1.3684210999999999</v>
      </c>
      <c r="I217">
        <v>-0.36842101999999999</v>
      </c>
      <c r="J217">
        <v>0.42222222999999998</v>
      </c>
    </row>
    <row r="218" spans="1:10" x14ac:dyDescent="0.3">
      <c r="A218">
        <v>216</v>
      </c>
      <c r="B218">
        <v>3432</v>
      </c>
      <c r="C218" t="b">
        <v>1</v>
      </c>
      <c r="D218">
        <v>8042</v>
      </c>
      <c r="E218">
        <v>8123</v>
      </c>
      <c r="F218">
        <v>10</v>
      </c>
      <c r="G218">
        <v>8</v>
      </c>
      <c r="H218">
        <v>1.25</v>
      </c>
      <c r="I218">
        <v>-0.25</v>
      </c>
      <c r="J218">
        <v>0.44444444999999999</v>
      </c>
    </row>
    <row r="219" spans="1:10" x14ac:dyDescent="0.3">
      <c r="A219">
        <v>217</v>
      </c>
      <c r="B219">
        <v>3448</v>
      </c>
      <c r="C219" t="b">
        <v>1</v>
      </c>
      <c r="D219">
        <v>8048</v>
      </c>
      <c r="E219">
        <v>8123</v>
      </c>
      <c r="F219">
        <v>9.6</v>
      </c>
      <c r="G219">
        <v>8</v>
      </c>
      <c r="H219">
        <v>1.2</v>
      </c>
      <c r="I219">
        <v>-0.20000005000000001</v>
      </c>
      <c r="J219">
        <v>0.45454544000000002</v>
      </c>
    </row>
    <row r="220" spans="1:10" x14ac:dyDescent="0.3">
      <c r="A220">
        <v>218</v>
      </c>
      <c r="B220">
        <v>3464</v>
      </c>
      <c r="C220" t="b">
        <v>1</v>
      </c>
      <c r="D220">
        <v>8048</v>
      </c>
      <c r="E220">
        <v>8123</v>
      </c>
      <c r="F220">
        <v>9.1999999999999993</v>
      </c>
      <c r="G220">
        <v>8</v>
      </c>
      <c r="H220">
        <v>1.1499999999999999</v>
      </c>
      <c r="I220">
        <v>-0.14999998</v>
      </c>
      <c r="J220">
        <v>0.46511626</v>
      </c>
    </row>
    <row r="221" spans="1:10" x14ac:dyDescent="0.3">
      <c r="A221">
        <v>219</v>
      </c>
      <c r="B221">
        <v>3480</v>
      </c>
      <c r="C221" t="b">
        <v>1</v>
      </c>
      <c r="D221">
        <v>8048</v>
      </c>
      <c r="E221">
        <v>8117</v>
      </c>
      <c r="F221">
        <v>9.1999999999999993</v>
      </c>
      <c r="G221">
        <v>8</v>
      </c>
      <c r="H221">
        <v>1.1499999999999999</v>
      </c>
      <c r="I221">
        <v>-0.14999998</v>
      </c>
      <c r="J221">
        <v>0.46511626</v>
      </c>
    </row>
    <row r="222" spans="1:10" x14ac:dyDescent="0.3">
      <c r="A222">
        <v>220</v>
      </c>
      <c r="B222">
        <v>3495</v>
      </c>
      <c r="C222" t="b">
        <v>1</v>
      </c>
      <c r="D222">
        <v>8048</v>
      </c>
      <c r="E222">
        <v>8117</v>
      </c>
      <c r="F222">
        <v>9.1999999999999993</v>
      </c>
      <c r="G222">
        <v>8</v>
      </c>
      <c r="H222">
        <v>1.1499999999999999</v>
      </c>
      <c r="I222">
        <v>-0.14999998</v>
      </c>
      <c r="J222">
        <v>0.46511626</v>
      </c>
    </row>
    <row r="223" spans="1:10" x14ac:dyDescent="0.3">
      <c r="A223">
        <v>221</v>
      </c>
      <c r="B223">
        <v>3511</v>
      </c>
      <c r="C223" t="b">
        <v>1</v>
      </c>
      <c r="D223">
        <v>8048</v>
      </c>
      <c r="E223">
        <v>8123</v>
      </c>
      <c r="F223">
        <v>9.1999999999999993</v>
      </c>
      <c r="G223">
        <v>8</v>
      </c>
      <c r="H223">
        <v>1.1499999999999999</v>
      </c>
      <c r="I223">
        <v>-0.14999998</v>
      </c>
      <c r="J223">
        <v>0.46511626</v>
      </c>
    </row>
    <row r="224" spans="1:10" x14ac:dyDescent="0.3">
      <c r="A224">
        <v>222</v>
      </c>
      <c r="B224">
        <v>3527</v>
      </c>
      <c r="C224" t="b">
        <v>1</v>
      </c>
      <c r="D224">
        <v>8054</v>
      </c>
      <c r="E224">
        <v>8123</v>
      </c>
      <c r="F224">
        <v>9.1999999999999993</v>
      </c>
      <c r="G224">
        <v>8</v>
      </c>
      <c r="H224">
        <v>1.1499999999999999</v>
      </c>
      <c r="I224">
        <v>-0.14999998</v>
      </c>
      <c r="J224">
        <v>0.46511626</v>
      </c>
    </row>
    <row r="225" spans="1:10" x14ac:dyDescent="0.3">
      <c r="A225">
        <v>223</v>
      </c>
      <c r="B225">
        <v>3543</v>
      </c>
      <c r="C225" t="b">
        <v>1</v>
      </c>
      <c r="D225">
        <v>8054</v>
      </c>
      <c r="E225">
        <v>8123</v>
      </c>
      <c r="F225">
        <v>9.1999999999999993</v>
      </c>
      <c r="G225">
        <v>8</v>
      </c>
      <c r="H225">
        <v>1.1499999999999999</v>
      </c>
      <c r="I225">
        <v>-0.14999998</v>
      </c>
      <c r="J225">
        <v>0.46511626</v>
      </c>
    </row>
    <row r="226" spans="1:10" x14ac:dyDescent="0.3">
      <c r="A226">
        <v>224</v>
      </c>
      <c r="B226">
        <v>3559</v>
      </c>
      <c r="C226" t="b">
        <v>1</v>
      </c>
      <c r="D226">
        <v>8048</v>
      </c>
      <c r="E226">
        <v>8123</v>
      </c>
      <c r="F226">
        <v>9.1999999999999993</v>
      </c>
      <c r="G226">
        <v>8</v>
      </c>
      <c r="H226">
        <v>1.1499999999999999</v>
      </c>
      <c r="I226">
        <v>-0.14999998</v>
      </c>
      <c r="J226">
        <v>0.46511626</v>
      </c>
    </row>
    <row r="227" spans="1:10" x14ac:dyDescent="0.3">
      <c r="A227">
        <v>225</v>
      </c>
      <c r="B227">
        <v>3575</v>
      </c>
      <c r="C227" t="b">
        <v>1</v>
      </c>
      <c r="D227">
        <v>8048</v>
      </c>
      <c r="E227">
        <v>8117</v>
      </c>
      <c r="F227">
        <v>9.1999999999999993</v>
      </c>
      <c r="G227">
        <v>8</v>
      </c>
      <c r="H227">
        <v>1.1499999999999999</v>
      </c>
      <c r="I227">
        <v>-0.14999998</v>
      </c>
      <c r="J227">
        <v>0.46511626</v>
      </c>
    </row>
    <row r="228" spans="1:10" x14ac:dyDescent="0.3">
      <c r="A228">
        <v>226</v>
      </c>
      <c r="B228">
        <v>3590</v>
      </c>
      <c r="C228" t="b">
        <v>1</v>
      </c>
      <c r="D228">
        <v>8048</v>
      </c>
      <c r="E228">
        <v>8117</v>
      </c>
      <c r="F228">
        <v>8.8000000000000007</v>
      </c>
      <c r="G228">
        <v>8</v>
      </c>
      <c r="H228">
        <v>1.1000000000000001</v>
      </c>
      <c r="I228">
        <v>-0.10000002400000001</v>
      </c>
      <c r="J228">
        <v>0.47619050000000002</v>
      </c>
    </row>
    <row r="229" spans="1:10" x14ac:dyDescent="0.3">
      <c r="A229">
        <v>227</v>
      </c>
      <c r="B229">
        <v>3606</v>
      </c>
      <c r="C229" t="b">
        <v>1</v>
      </c>
      <c r="D229">
        <v>8054</v>
      </c>
      <c r="E229">
        <v>8123</v>
      </c>
      <c r="F229">
        <v>8.4</v>
      </c>
      <c r="G229">
        <v>8</v>
      </c>
      <c r="H229">
        <v>1.05</v>
      </c>
      <c r="I229">
        <v>-4.9999952E-2</v>
      </c>
      <c r="J229">
        <v>0.48780489999999999</v>
      </c>
    </row>
    <row r="230" spans="1:10" x14ac:dyDescent="0.3">
      <c r="A230">
        <v>228</v>
      </c>
      <c r="B230">
        <v>3622</v>
      </c>
      <c r="C230" t="b">
        <v>1</v>
      </c>
      <c r="D230">
        <v>8054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3638</v>
      </c>
      <c r="C231" t="b">
        <v>1</v>
      </c>
      <c r="D231">
        <v>8048</v>
      </c>
      <c r="E231">
        <v>8123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3654</v>
      </c>
      <c r="C232" t="b">
        <v>1</v>
      </c>
      <c r="D232">
        <v>8054</v>
      </c>
      <c r="E232">
        <v>8117</v>
      </c>
      <c r="F232">
        <v>8.4</v>
      </c>
      <c r="G232">
        <v>8</v>
      </c>
      <c r="H232">
        <v>1.05</v>
      </c>
      <c r="I232">
        <v>-4.9999952E-2</v>
      </c>
      <c r="J232">
        <v>0.48780489999999999</v>
      </c>
    </row>
    <row r="233" spans="1:10" x14ac:dyDescent="0.3">
      <c r="A233">
        <v>231</v>
      </c>
      <c r="B233">
        <v>3670</v>
      </c>
      <c r="C233" t="b">
        <v>1</v>
      </c>
      <c r="D233">
        <v>8042</v>
      </c>
      <c r="E233">
        <v>8123</v>
      </c>
      <c r="F233">
        <v>8.8000000000000007</v>
      </c>
      <c r="G233">
        <v>8</v>
      </c>
      <c r="H233">
        <v>1.1000000000000001</v>
      </c>
      <c r="I233">
        <v>-0.10000002400000001</v>
      </c>
      <c r="J233">
        <v>0.47619050000000002</v>
      </c>
    </row>
    <row r="234" spans="1:10" x14ac:dyDescent="0.3">
      <c r="A234">
        <v>232</v>
      </c>
      <c r="B234">
        <v>3686</v>
      </c>
      <c r="C234" t="b">
        <v>1</v>
      </c>
      <c r="D234">
        <v>8048</v>
      </c>
      <c r="E234">
        <v>8123</v>
      </c>
      <c r="F234">
        <v>8.8000000000000007</v>
      </c>
      <c r="G234">
        <v>8</v>
      </c>
      <c r="H234">
        <v>1.1000000000000001</v>
      </c>
      <c r="I234">
        <v>-0.10000002400000001</v>
      </c>
      <c r="J234">
        <v>0.47619050000000002</v>
      </c>
    </row>
    <row r="235" spans="1:10" x14ac:dyDescent="0.3">
      <c r="A235">
        <v>233</v>
      </c>
      <c r="B235">
        <v>3702</v>
      </c>
      <c r="C235" t="b">
        <v>1</v>
      </c>
      <c r="D235">
        <v>8048</v>
      </c>
      <c r="E235">
        <v>8123</v>
      </c>
      <c r="F235">
        <v>8.8000000000000007</v>
      </c>
      <c r="G235">
        <v>8</v>
      </c>
      <c r="H235">
        <v>1.1000000000000001</v>
      </c>
      <c r="I235">
        <v>-0.10000002400000001</v>
      </c>
      <c r="J235">
        <v>0.47619050000000002</v>
      </c>
    </row>
    <row r="236" spans="1:10" x14ac:dyDescent="0.3">
      <c r="A236">
        <v>234</v>
      </c>
      <c r="B236">
        <v>3718</v>
      </c>
      <c r="C236" t="b">
        <v>1</v>
      </c>
      <c r="D236">
        <v>8048</v>
      </c>
      <c r="E236">
        <v>8123</v>
      </c>
      <c r="F236">
        <v>8.8000000000000007</v>
      </c>
      <c r="G236">
        <v>8</v>
      </c>
      <c r="H236">
        <v>1.1000000000000001</v>
      </c>
      <c r="I236">
        <v>-0.10000002400000001</v>
      </c>
      <c r="J236">
        <v>0.47619050000000002</v>
      </c>
    </row>
    <row r="237" spans="1:10" x14ac:dyDescent="0.3">
      <c r="A237">
        <v>235</v>
      </c>
      <c r="B237">
        <v>3734</v>
      </c>
      <c r="C237" t="b">
        <v>1</v>
      </c>
      <c r="D237">
        <v>8048</v>
      </c>
      <c r="E237">
        <v>8123</v>
      </c>
      <c r="F237">
        <v>8.8000000000000007</v>
      </c>
      <c r="G237">
        <v>8</v>
      </c>
      <c r="H237">
        <v>1.1000000000000001</v>
      </c>
      <c r="I237">
        <v>-0.10000002400000001</v>
      </c>
      <c r="J237">
        <v>0.47619050000000002</v>
      </c>
    </row>
    <row r="238" spans="1:10" x14ac:dyDescent="0.3">
      <c r="A238">
        <v>236</v>
      </c>
      <c r="B238">
        <v>3750</v>
      </c>
      <c r="C238" t="b">
        <v>1</v>
      </c>
      <c r="D238">
        <v>8048</v>
      </c>
      <c r="E238">
        <v>8123</v>
      </c>
      <c r="F238">
        <v>8.8000000000000007</v>
      </c>
      <c r="G238">
        <v>8</v>
      </c>
      <c r="H238">
        <v>1.1000000000000001</v>
      </c>
      <c r="I238">
        <v>-0.10000002400000001</v>
      </c>
      <c r="J238">
        <v>0.47619050000000002</v>
      </c>
    </row>
    <row r="239" spans="1:10" x14ac:dyDescent="0.3">
      <c r="A239">
        <v>237</v>
      </c>
      <c r="B239">
        <v>3766</v>
      </c>
      <c r="C239" t="b">
        <v>1</v>
      </c>
      <c r="D239">
        <v>8048</v>
      </c>
      <c r="E239">
        <v>8129</v>
      </c>
      <c r="F239">
        <v>8.8000000000000007</v>
      </c>
      <c r="G239">
        <v>8</v>
      </c>
      <c r="H239">
        <v>1.1000000000000001</v>
      </c>
      <c r="I239">
        <v>-0.10000002400000001</v>
      </c>
      <c r="J239">
        <v>0.47619050000000002</v>
      </c>
    </row>
    <row r="240" spans="1:10" x14ac:dyDescent="0.3">
      <c r="A240">
        <v>238</v>
      </c>
      <c r="B240">
        <v>3782</v>
      </c>
      <c r="C240" t="b">
        <v>1</v>
      </c>
      <c r="D240">
        <v>8054</v>
      </c>
      <c r="E240">
        <v>8123</v>
      </c>
      <c r="F240">
        <v>8.8000000000000007</v>
      </c>
      <c r="G240">
        <v>8</v>
      </c>
      <c r="H240">
        <v>1.1000000000000001</v>
      </c>
      <c r="I240">
        <v>-0.10000002400000001</v>
      </c>
      <c r="J240">
        <v>0.47619050000000002</v>
      </c>
    </row>
    <row r="241" spans="1:10" x14ac:dyDescent="0.3">
      <c r="A241">
        <v>239</v>
      </c>
      <c r="B241">
        <v>3798</v>
      </c>
      <c r="C241" t="b">
        <v>1</v>
      </c>
      <c r="D241">
        <v>8048</v>
      </c>
      <c r="E241">
        <v>8117</v>
      </c>
      <c r="F241">
        <v>8.8000000000000007</v>
      </c>
      <c r="G241">
        <v>8</v>
      </c>
      <c r="H241">
        <v>1.1000000000000001</v>
      </c>
      <c r="I241">
        <v>-0.10000002400000001</v>
      </c>
      <c r="J241">
        <v>0.47619050000000002</v>
      </c>
    </row>
    <row r="242" spans="1:10" x14ac:dyDescent="0.3">
      <c r="A242">
        <v>240</v>
      </c>
      <c r="B242">
        <v>3814</v>
      </c>
      <c r="C242" t="b">
        <v>1</v>
      </c>
      <c r="D242">
        <v>8048</v>
      </c>
      <c r="E242">
        <v>8129</v>
      </c>
      <c r="F242">
        <v>8.8000000000000007</v>
      </c>
      <c r="G242">
        <v>8</v>
      </c>
      <c r="H242">
        <v>1.1000000000000001</v>
      </c>
      <c r="I242">
        <v>-0.10000002400000001</v>
      </c>
      <c r="J242">
        <v>0.47619050000000002</v>
      </c>
    </row>
    <row r="243" spans="1:10" x14ac:dyDescent="0.3">
      <c r="A243">
        <v>241</v>
      </c>
      <c r="B243">
        <v>3830</v>
      </c>
      <c r="C243" t="b">
        <v>1</v>
      </c>
      <c r="D243">
        <v>8048</v>
      </c>
      <c r="E243">
        <v>8123</v>
      </c>
      <c r="F243">
        <v>8.8000000000000007</v>
      </c>
      <c r="G243">
        <v>8</v>
      </c>
      <c r="H243">
        <v>1.1000000000000001</v>
      </c>
      <c r="I243">
        <v>-0.10000002400000001</v>
      </c>
      <c r="J243">
        <v>0.47619050000000002</v>
      </c>
    </row>
    <row r="244" spans="1:10" x14ac:dyDescent="0.3">
      <c r="A244">
        <v>242</v>
      </c>
      <c r="B244">
        <v>3846</v>
      </c>
      <c r="C244" t="b">
        <v>1</v>
      </c>
      <c r="D244">
        <v>8048</v>
      </c>
      <c r="E244">
        <v>8123</v>
      </c>
      <c r="F244">
        <v>8.8000000000000007</v>
      </c>
      <c r="G244">
        <v>8</v>
      </c>
      <c r="H244">
        <v>1.1000000000000001</v>
      </c>
      <c r="I244">
        <v>-0.10000002400000001</v>
      </c>
      <c r="J244">
        <v>0.47619050000000002</v>
      </c>
    </row>
    <row r="245" spans="1:10" x14ac:dyDescent="0.3">
      <c r="A245">
        <v>243</v>
      </c>
      <c r="B245">
        <v>3861</v>
      </c>
      <c r="C245" t="b">
        <v>1</v>
      </c>
      <c r="D245">
        <v>8048</v>
      </c>
      <c r="E245">
        <v>8123</v>
      </c>
      <c r="F245">
        <v>8.8000000000000007</v>
      </c>
      <c r="G245">
        <v>8</v>
      </c>
      <c r="H245">
        <v>1.1000000000000001</v>
      </c>
      <c r="I245">
        <v>-0.10000002400000001</v>
      </c>
      <c r="J245">
        <v>0.47619050000000002</v>
      </c>
    </row>
    <row r="246" spans="1:10" x14ac:dyDescent="0.3">
      <c r="A246">
        <v>244</v>
      </c>
      <c r="B246">
        <v>3877</v>
      </c>
      <c r="C246" t="b">
        <v>1</v>
      </c>
      <c r="D246">
        <v>8054</v>
      </c>
      <c r="E246">
        <v>8123</v>
      </c>
      <c r="F246">
        <v>8.8000000000000007</v>
      </c>
      <c r="G246">
        <v>8</v>
      </c>
      <c r="H246">
        <v>1.1000000000000001</v>
      </c>
      <c r="I246">
        <v>-0.10000002400000001</v>
      </c>
      <c r="J246">
        <v>0.47619050000000002</v>
      </c>
    </row>
    <row r="247" spans="1:10" x14ac:dyDescent="0.3">
      <c r="A247">
        <v>245</v>
      </c>
      <c r="B247">
        <v>3893</v>
      </c>
      <c r="C247" t="b">
        <v>1</v>
      </c>
      <c r="D247">
        <v>8048</v>
      </c>
      <c r="E247">
        <v>8123</v>
      </c>
      <c r="F247">
        <v>8.4</v>
      </c>
      <c r="G247">
        <v>8</v>
      </c>
      <c r="H247">
        <v>1.05</v>
      </c>
      <c r="I247">
        <v>-4.9999952E-2</v>
      </c>
      <c r="J247">
        <v>0.48780489999999999</v>
      </c>
    </row>
    <row r="248" spans="1:10" x14ac:dyDescent="0.3">
      <c r="A248">
        <v>246</v>
      </c>
      <c r="B248">
        <v>3909</v>
      </c>
      <c r="C248" t="b">
        <v>1</v>
      </c>
      <c r="D248">
        <v>8054</v>
      </c>
      <c r="E248">
        <v>8123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3925</v>
      </c>
      <c r="C249" t="b">
        <v>1</v>
      </c>
      <c r="D249">
        <v>8048</v>
      </c>
      <c r="E249">
        <v>8129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3941</v>
      </c>
      <c r="C250" t="b">
        <v>1</v>
      </c>
      <c r="D250">
        <v>8054</v>
      </c>
      <c r="E250">
        <v>8123</v>
      </c>
      <c r="F250">
        <v>8.4</v>
      </c>
      <c r="G250">
        <v>8</v>
      </c>
      <c r="H250">
        <v>1.05</v>
      </c>
      <c r="I250">
        <v>-4.9999952E-2</v>
      </c>
      <c r="J250">
        <v>0.48780489999999999</v>
      </c>
    </row>
    <row r="251" spans="1:10" x14ac:dyDescent="0.3">
      <c r="A251">
        <v>249</v>
      </c>
      <c r="B251">
        <v>3957</v>
      </c>
      <c r="C251" t="b">
        <v>1</v>
      </c>
      <c r="D251">
        <v>8054</v>
      </c>
      <c r="E251">
        <v>8123</v>
      </c>
      <c r="F251">
        <v>8.8000000000000007</v>
      </c>
      <c r="G251">
        <v>8</v>
      </c>
      <c r="H251">
        <v>1.1000000000000001</v>
      </c>
      <c r="I251">
        <v>-0.10000002400000001</v>
      </c>
      <c r="J251">
        <v>0.47619050000000002</v>
      </c>
    </row>
    <row r="252" spans="1:10" x14ac:dyDescent="0.3">
      <c r="A252">
        <v>250</v>
      </c>
      <c r="B252">
        <v>3972</v>
      </c>
      <c r="C252" t="b">
        <v>1</v>
      </c>
      <c r="D252">
        <v>8054</v>
      </c>
      <c r="E252">
        <v>8123</v>
      </c>
      <c r="F252">
        <v>9.1999999999999993</v>
      </c>
      <c r="G252">
        <v>8</v>
      </c>
      <c r="H252">
        <v>1.1499999999999999</v>
      </c>
      <c r="I252">
        <v>-0.14999998</v>
      </c>
      <c r="J252">
        <v>0.46511626</v>
      </c>
    </row>
    <row r="253" spans="1:10" x14ac:dyDescent="0.3">
      <c r="A253">
        <v>251</v>
      </c>
      <c r="B253">
        <v>3988</v>
      </c>
      <c r="C253" t="b">
        <v>1</v>
      </c>
      <c r="D253">
        <v>8048</v>
      </c>
      <c r="E253">
        <v>8129</v>
      </c>
      <c r="F253">
        <v>9.6</v>
      </c>
      <c r="G253">
        <v>8</v>
      </c>
      <c r="H253">
        <v>1.2</v>
      </c>
      <c r="I253">
        <v>-0.20000005000000001</v>
      </c>
      <c r="J253">
        <v>0.45454544000000002</v>
      </c>
    </row>
    <row r="254" spans="1:10" x14ac:dyDescent="0.3">
      <c r="A254">
        <v>252</v>
      </c>
      <c r="B254">
        <v>4004</v>
      </c>
      <c r="C254" t="b">
        <v>1</v>
      </c>
      <c r="D254">
        <v>8054</v>
      </c>
      <c r="E254">
        <v>8123</v>
      </c>
      <c r="F254">
        <v>10</v>
      </c>
      <c r="G254">
        <v>8</v>
      </c>
      <c r="H254">
        <v>1.25</v>
      </c>
      <c r="I254">
        <v>-0.25</v>
      </c>
      <c r="J254">
        <v>0.44444444999999999</v>
      </c>
    </row>
    <row r="255" spans="1:10" x14ac:dyDescent="0.3">
      <c r="A255">
        <v>253</v>
      </c>
      <c r="B255">
        <v>4019</v>
      </c>
      <c r="C255" t="b">
        <v>1</v>
      </c>
      <c r="D255">
        <v>8048</v>
      </c>
      <c r="E255">
        <v>8123</v>
      </c>
      <c r="F255">
        <v>10.4</v>
      </c>
      <c r="G255">
        <v>8</v>
      </c>
      <c r="H255">
        <v>1.3</v>
      </c>
      <c r="I255">
        <v>-0.29999995000000002</v>
      </c>
      <c r="J255">
        <v>0.43478262000000001</v>
      </c>
    </row>
    <row r="256" spans="1:10" x14ac:dyDescent="0.3">
      <c r="A256">
        <v>254</v>
      </c>
      <c r="B256">
        <v>4035</v>
      </c>
      <c r="C256" t="b">
        <v>1</v>
      </c>
      <c r="D256">
        <v>8042</v>
      </c>
      <c r="E256">
        <v>8123</v>
      </c>
      <c r="F256">
        <v>10.4</v>
      </c>
      <c r="G256">
        <v>8</v>
      </c>
      <c r="H256">
        <v>1.3</v>
      </c>
      <c r="I256">
        <v>-0.29999995000000002</v>
      </c>
      <c r="J256">
        <v>0.43478262000000001</v>
      </c>
    </row>
    <row r="257" spans="1:10" x14ac:dyDescent="0.3">
      <c r="A257">
        <v>255</v>
      </c>
      <c r="B257">
        <v>4051</v>
      </c>
      <c r="C257" t="b">
        <v>1</v>
      </c>
      <c r="D257">
        <v>8048</v>
      </c>
      <c r="E257">
        <v>8123</v>
      </c>
      <c r="F257">
        <v>10.4</v>
      </c>
      <c r="G257">
        <v>8</v>
      </c>
      <c r="H257">
        <v>1.3</v>
      </c>
      <c r="I257">
        <v>-0.29999995000000002</v>
      </c>
      <c r="J257">
        <v>0.43478262000000001</v>
      </c>
    </row>
    <row r="258" spans="1:10" x14ac:dyDescent="0.3">
      <c r="A258">
        <v>256</v>
      </c>
      <c r="B258">
        <v>4067</v>
      </c>
      <c r="C258" t="b">
        <v>1</v>
      </c>
      <c r="D258">
        <v>8048</v>
      </c>
      <c r="E258">
        <v>8129</v>
      </c>
      <c r="F258">
        <v>10.4</v>
      </c>
      <c r="G258">
        <v>8</v>
      </c>
      <c r="H258">
        <v>1.3</v>
      </c>
      <c r="I258">
        <v>-0.29999995000000002</v>
      </c>
      <c r="J258">
        <v>0.43478262000000001</v>
      </c>
    </row>
    <row r="259" spans="1:10" x14ac:dyDescent="0.3">
      <c r="A259">
        <v>257</v>
      </c>
      <c r="B259">
        <v>4083</v>
      </c>
      <c r="C259" t="b">
        <v>1</v>
      </c>
      <c r="D259">
        <v>8048</v>
      </c>
      <c r="E259">
        <v>8123</v>
      </c>
      <c r="F259">
        <v>10.4</v>
      </c>
      <c r="G259">
        <v>8</v>
      </c>
      <c r="H259">
        <v>1.3</v>
      </c>
      <c r="I259">
        <v>-0.29999995000000002</v>
      </c>
      <c r="J259">
        <v>0.43478262000000001</v>
      </c>
    </row>
    <row r="260" spans="1:10" x14ac:dyDescent="0.3">
      <c r="A260">
        <v>258</v>
      </c>
      <c r="B260">
        <v>4099</v>
      </c>
      <c r="C260" t="b">
        <v>1</v>
      </c>
      <c r="D260">
        <v>8048</v>
      </c>
      <c r="E260">
        <v>8123</v>
      </c>
      <c r="F260">
        <v>10.4</v>
      </c>
      <c r="G260">
        <v>8</v>
      </c>
      <c r="H260">
        <v>1.3</v>
      </c>
      <c r="I260">
        <v>-0.29999995000000002</v>
      </c>
      <c r="J260">
        <v>0.43478262000000001</v>
      </c>
    </row>
    <row r="261" spans="1:10" x14ac:dyDescent="0.3">
      <c r="A261">
        <v>259</v>
      </c>
      <c r="B261">
        <v>4115</v>
      </c>
      <c r="C261" t="b">
        <v>1</v>
      </c>
      <c r="D261">
        <v>8054</v>
      </c>
      <c r="E261">
        <v>8123</v>
      </c>
      <c r="F261">
        <v>10.4</v>
      </c>
      <c r="G261">
        <v>8</v>
      </c>
      <c r="H261">
        <v>1.3</v>
      </c>
      <c r="I261">
        <v>-0.29999995000000002</v>
      </c>
      <c r="J261">
        <v>0.43478262000000001</v>
      </c>
    </row>
    <row r="262" spans="1:10" x14ac:dyDescent="0.3">
      <c r="A262">
        <v>260</v>
      </c>
      <c r="B262">
        <v>4131</v>
      </c>
      <c r="C262" t="b">
        <v>1</v>
      </c>
      <c r="D262">
        <v>8054</v>
      </c>
      <c r="E262">
        <v>8123</v>
      </c>
      <c r="F262">
        <v>10.4</v>
      </c>
      <c r="G262">
        <v>8</v>
      </c>
      <c r="H262">
        <v>1.3</v>
      </c>
      <c r="I262">
        <v>-0.29999995000000002</v>
      </c>
      <c r="J262">
        <v>0.43478262000000001</v>
      </c>
    </row>
    <row r="263" spans="1:10" x14ac:dyDescent="0.3">
      <c r="A263">
        <v>261</v>
      </c>
      <c r="B263">
        <v>4147</v>
      </c>
      <c r="C263" t="b">
        <v>1</v>
      </c>
      <c r="D263">
        <v>8054</v>
      </c>
      <c r="E263">
        <v>8123</v>
      </c>
      <c r="F263">
        <v>10.8</v>
      </c>
      <c r="G263">
        <v>8</v>
      </c>
      <c r="H263">
        <v>1.35</v>
      </c>
      <c r="I263">
        <v>-0.35000002000000002</v>
      </c>
      <c r="J263">
        <v>0.42553192000000001</v>
      </c>
    </row>
    <row r="264" spans="1:10" x14ac:dyDescent="0.3">
      <c r="A264">
        <v>262</v>
      </c>
      <c r="B264">
        <v>4162</v>
      </c>
      <c r="C264" t="b">
        <v>1</v>
      </c>
      <c r="D264">
        <v>8054</v>
      </c>
      <c r="E264">
        <v>8123</v>
      </c>
      <c r="F264">
        <v>11.2</v>
      </c>
      <c r="G264">
        <v>8</v>
      </c>
      <c r="H264">
        <v>1.4</v>
      </c>
      <c r="I264">
        <v>-0.39999997999999998</v>
      </c>
      <c r="J264">
        <v>0.41666666000000002</v>
      </c>
    </row>
    <row r="265" spans="1:10" x14ac:dyDescent="0.3">
      <c r="A265">
        <v>263</v>
      </c>
      <c r="B265">
        <v>4178</v>
      </c>
      <c r="C265" t="b">
        <v>1</v>
      </c>
      <c r="D265">
        <v>8054</v>
      </c>
      <c r="E265">
        <v>8123</v>
      </c>
      <c r="F265">
        <v>11.2</v>
      </c>
      <c r="G265">
        <v>8</v>
      </c>
      <c r="H265">
        <v>1.4</v>
      </c>
      <c r="I265">
        <v>-0.39999997999999998</v>
      </c>
      <c r="J265">
        <v>0.41666666000000002</v>
      </c>
    </row>
    <row r="266" spans="1:10" x14ac:dyDescent="0.3">
      <c r="A266">
        <v>264</v>
      </c>
      <c r="B266">
        <v>4194</v>
      </c>
      <c r="C266" t="b">
        <v>1</v>
      </c>
      <c r="D266">
        <v>8054</v>
      </c>
      <c r="E266">
        <v>8123</v>
      </c>
      <c r="F266">
        <v>11.2</v>
      </c>
      <c r="G266">
        <v>8</v>
      </c>
      <c r="H266">
        <v>1.4</v>
      </c>
      <c r="I266">
        <v>-0.39999997999999998</v>
      </c>
      <c r="J266">
        <v>0.41666666000000002</v>
      </c>
    </row>
    <row r="267" spans="1:10" x14ac:dyDescent="0.3">
      <c r="A267">
        <v>265</v>
      </c>
      <c r="B267">
        <v>4210</v>
      </c>
      <c r="C267" t="b">
        <v>1</v>
      </c>
      <c r="D267">
        <v>8054</v>
      </c>
      <c r="E267">
        <v>8123</v>
      </c>
      <c r="F267">
        <v>11.2</v>
      </c>
      <c r="G267">
        <v>8</v>
      </c>
      <c r="H267">
        <v>1.4</v>
      </c>
      <c r="I267">
        <v>-0.39999997999999998</v>
      </c>
      <c r="J267">
        <v>0.41666666000000002</v>
      </c>
    </row>
    <row r="268" spans="1:10" x14ac:dyDescent="0.3">
      <c r="A268">
        <v>266</v>
      </c>
      <c r="B268">
        <v>4226</v>
      </c>
      <c r="C268" t="b">
        <v>1</v>
      </c>
      <c r="D268">
        <v>8048</v>
      </c>
      <c r="E268">
        <v>8123</v>
      </c>
      <c r="F268">
        <v>11.2</v>
      </c>
      <c r="G268">
        <v>8</v>
      </c>
      <c r="H268">
        <v>1.4</v>
      </c>
      <c r="I268">
        <v>-0.39999997999999998</v>
      </c>
      <c r="J268">
        <v>0.41666666000000002</v>
      </c>
    </row>
    <row r="269" spans="1:10" x14ac:dyDescent="0.3">
      <c r="A269">
        <v>267</v>
      </c>
      <c r="B269">
        <v>4242</v>
      </c>
      <c r="C269" t="b">
        <v>1</v>
      </c>
      <c r="D269">
        <v>8048</v>
      </c>
      <c r="E269">
        <v>8123</v>
      </c>
      <c r="F269">
        <v>11.2</v>
      </c>
      <c r="G269">
        <v>8</v>
      </c>
      <c r="H269">
        <v>1.4</v>
      </c>
      <c r="I269">
        <v>-0.39999997999999998</v>
      </c>
      <c r="J269">
        <v>0.41666666000000002</v>
      </c>
    </row>
    <row r="270" spans="1:10" x14ac:dyDescent="0.3">
      <c r="A270">
        <v>268</v>
      </c>
      <c r="B270">
        <v>4258</v>
      </c>
      <c r="C270" t="b">
        <v>1</v>
      </c>
      <c r="D270">
        <v>8048</v>
      </c>
      <c r="E270">
        <v>8123</v>
      </c>
      <c r="F270">
        <v>10.8</v>
      </c>
      <c r="G270">
        <v>8</v>
      </c>
      <c r="H270">
        <v>1.35</v>
      </c>
      <c r="I270">
        <v>-0.35000002000000002</v>
      </c>
      <c r="J270">
        <v>0.42553192000000001</v>
      </c>
    </row>
    <row r="271" spans="1:10" x14ac:dyDescent="0.3">
      <c r="A271">
        <v>269</v>
      </c>
      <c r="B271">
        <v>4273</v>
      </c>
      <c r="C271" t="b">
        <v>1</v>
      </c>
      <c r="D271">
        <v>8054</v>
      </c>
      <c r="E271">
        <v>8123</v>
      </c>
      <c r="F271">
        <v>10.8</v>
      </c>
      <c r="G271">
        <v>8</v>
      </c>
      <c r="H271">
        <v>1.35</v>
      </c>
      <c r="I271">
        <v>-0.35000002000000002</v>
      </c>
      <c r="J271">
        <v>0.42553192000000001</v>
      </c>
    </row>
    <row r="272" spans="1:10" x14ac:dyDescent="0.3">
      <c r="A272">
        <v>270</v>
      </c>
      <c r="B272">
        <v>4289</v>
      </c>
      <c r="C272" t="b">
        <v>1</v>
      </c>
      <c r="D272">
        <v>8048</v>
      </c>
      <c r="E272">
        <v>8123</v>
      </c>
      <c r="F272">
        <v>10.8</v>
      </c>
      <c r="G272">
        <v>8</v>
      </c>
      <c r="H272">
        <v>1.35</v>
      </c>
      <c r="I272">
        <v>-0.35000002000000002</v>
      </c>
      <c r="J272">
        <v>0.42553192000000001</v>
      </c>
    </row>
    <row r="273" spans="1:10" x14ac:dyDescent="0.3">
      <c r="A273">
        <v>271</v>
      </c>
      <c r="B273">
        <v>4305</v>
      </c>
      <c r="C273" t="b">
        <v>1</v>
      </c>
      <c r="D273">
        <v>8048</v>
      </c>
      <c r="E273">
        <v>8123</v>
      </c>
      <c r="F273">
        <v>10.8</v>
      </c>
      <c r="G273">
        <v>8</v>
      </c>
      <c r="H273">
        <v>1.35</v>
      </c>
      <c r="I273">
        <v>-0.35000002000000002</v>
      </c>
      <c r="J273">
        <v>0.42553192000000001</v>
      </c>
    </row>
    <row r="274" spans="1:10" x14ac:dyDescent="0.3">
      <c r="A274">
        <v>272</v>
      </c>
      <c r="B274">
        <v>4321</v>
      </c>
      <c r="C274" t="b">
        <v>1</v>
      </c>
      <c r="D274">
        <v>8048</v>
      </c>
      <c r="E274">
        <v>8123</v>
      </c>
      <c r="F274">
        <v>10.8</v>
      </c>
      <c r="G274">
        <v>8</v>
      </c>
      <c r="H274">
        <v>1.35</v>
      </c>
      <c r="I274">
        <v>-0.35000002000000002</v>
      </c>
      <c r="J274">
        <v>0.42553192000000001</v>
      </c>
    </row>
    <row r="275" spans="1:10" x14ac:dyDescent="0.3">
      <c r="A275">
        <v>273</v>
      </c>
      <c r="B275">
        <v>4337</v>
      </c>
      <c r="C275" t="b">
        <v>1</v>
      </c>
      <c r="D275">
        <v>8048</v>
      </c>
      <c r="E275">
        <v>8123</v>
      </c>
      <c r="F275">
        <v>10.8</v>
      </c>
      <c r="G275">
        <v>8</v>
      </c>
      <c r="H275">
        <v>1.35</v>
      </c>
      <c r="I275">
        <v>-0.35000002000000002</v>
      </c>
      <c r="J275">
        <v>0.42553192000000001</v>
      </c>
    </row>
    <row r="276" spans="1:10" x14ac:dyDescent="0.3">
      <c r="A276">
        <v>274</v>
      </c>
      <c r="B276">
        <v>4353</v>
      </c>
      <c r="C276" t="b">
        <v>1</v>
      </c>
      <c r="D276">
        <v>8048</v>
      </c>
      <c r="E276">
        <v>8123</v>
      </c>
      <c r="F276">
        <v>10.8</v>
      </c>
      <c r="G276">
        <v>8</v>
      </c>
      <c r="H276">
        <v>1.35</v>
      </c>
      <c r="I276">
        <v>-0.35000002000000002</v>
      </c>
      <c r="J276">
        <v>0.42553192000000001</v>
      </c>
    </row>
    <row r="277" spans="1:10" x14ac:dyDescent="0.3">
      <c r="A277">
        <v>275</v>
      </c>
      <c r="B277">
        <v>4369</v>
      </c>
      <c r="C277" t="b">
        <v>1</v>
      </c>
      <c r="D277">
        <v>8048</v>
      </c>
      <c r="E277">
        <v>8117</v>
      </c>
      <c r="F277">
        <v>10.8</v>
      </c>
      <c r="G277">
        <v>8</v>
      </c>
      <c r="H277">
        <v>1.35</v>
      </c>
      <c r="I277">
        <v>-0.35000002000000002</v>
      </c>
      <c r="J277">
        <v>0.42553192000000001</v>
      </c>
    </row>
    <row r="278" spans="1:10" x14ac:dyDescent="0.3">
      <c r="A278">
        <v>276</v>
      </c>
      <c r="B278">
        <v>4384</v>
      </c>
      <c r="C278" t="b">
        <v>1</v>
      </c>
      <c r="D278">
        <v>8048</v>
      </c>
      <c r="E278">
        <v>8123</v>
      </c>
      <c r="F278">
        <v>10.4</v>
      </c>
      <c r="G278">
        <v>8</v>
      </c>
      <c r="H278">
        <v>1.3</v>
      </c>
      <c r="I278">
        <v>-0.29999995000000002</v>
      </c>
      <c r="J278">
        <v>0.43478262000000001</v>
      </c>
    </row>
    <row r="279" spans="1:10" x14ac:dyDescent="0.3">
      <c r="A279">
        <v>277</v>
      </c>
      <c r="B279">
        <v>4401</v>
      </c>
      <c r="C279" t="b">
        <v>1</v>
      </c>
      <c r="D279">
        <v>8054</v>
      </c>
      <c r="E279">
        <v>8123</v>
      </c>
      <c r="F279">
        <v>10</v>
      </c>
      <c r="G279">
        <v>8</v>
      </c>
      <c r="H279">
        <v>1.25</v>
      </c>
      <c r="I279">
        <v>-0.25</v>
      </c>
      <c r="J279">
        <v>0.44444444999999999</v>
      </c>
    </row>
    <row r="280" spans="1:10" x14ac:dyDescent="0.3">
      <c r="A280">
        <v>278</v>
      </c>
      <c r="B280">
        <v>4416</v>
      </c>
      <c r="C280" t="b">
        <v>1</v>
      </c>
      <c r="D280">
        <v>8054</v>
      </c>
      <c r="E280">
        <v>8117</v>
      </c>
      <c r="F280">
        <v>9.6</v>
      </c>
      <c r="G280">
        <v>8</v>
      </c>
      <c r="H280">
        <v>1.2</v>
      </c>
      <c r="I280">
        <v>-0.20000005000000001</v>
      </c>
      <c r="J280">
        <v>0.45454544000000002</v>
      </c>
    </row>
    <row r="281" spans="1:10" x14ac:dyDescent="0.3">
      <c r="A281">
        <v>279</v>
      </c>
      <c r="B281">
        <v>4433</v>
      </c>
      <c r="C281" t="b">
        <v>1</v>
      </c>
      <c r="D281">
        <v>8054</v>
      </c>
      <c r="E281">
        <v>8117</v>
      </c>
      <c r="F281">
        <v>9.6</v>
      </c>
      <c r="G281">
        <v>7.6</v>
      </c>
      <c r="H281">
        <v>1.263158</v>
      </c>
      <c r="I281">
        <v>-0.26315796000000002</v>
      </c>
      <c r="J281">
        <v>0.44186044000000002</v>
      </c>
    </row>
    <row r="282" spans="1:10" x14ac:dyDescent="0.3">
      <c r="A282">
        <v>280</v>
      </c>
      <c r="B282">
        <v>4449</v>
      </c>
      <c r="C282" t="b">
        <v>1</v>
      </c>
      <c r="D282">
        <v>8048</v>
      </c>
      <c r="E282">
        <v>8117</v>
      </c>
      <c r="F282">
        <v>9.6</v>
      </c>
      <c r="G282">
        <v>7.2</v>
      </c>
      <c r="H282">
        <v>1.3333333999999999</v>
      </c>
      <c r="I282">
        <v>-0.33333342999999999</v>
      </c>
      <c r="J282">
        <v>0.42857142999999998</v>
      </c>
    </row>
    <row r="283" spans="1:10" x14ac:dyDescent="0.3">
      <c r="A283">
        <v>281</v>
      </c>
      <c r="B283">
        <v>4464</v>
      </c>
      <c r="C283" t="b">
        <v>1</v>
      </c>
      <c r="D283">
        <v>8048</v>
      </c>
      <c r="E283">
        <v>8123</v>
      </c>
      <c r="F283">
        <v>9.6</v>
      </c>
      <c r="G283">
        <v>6.8</v>
      </c>
      <c r="H283">
        <v>1.4117647</v>
      </c>
      <c r="I283">
        <v>-0.41176469999999998</v>
      </c>
      <c r="J283">
        <v>0.41463410000000001</v>
      </c>
    </row>
    <row r="284" spans="1:10" x14ac:dyDescent="0.3">
      <c r="A284">
        <v>282</v>
      </c>
      <c r="B284">
        <v>4480</v>
      </c>
      <c r="C284" t="b">
        <v>1</v>
      </c>
      <c r="D284">
        <v>8054</v>
      </c>
      <c r="E284">
        <v>8123</v>
      </c>
      <c r="F284">
        <v>9.6</v>
      </c>
      <c r="G284">
        <v>6.4</v>
      </c>
      <c r="H284">
        <v>1.5</v>
      </c>
      <c r="I284">
        <v>-0.50000005999999997</v>
      </c>
      <c r="J284">
        <v>0.4</v>
      </c>
    </row>
    <row r="285" spans="1:10" x14ac:dyDescent="0.3">
      <c r="A285">
        <v>283</v>
      </c>
      <c r="B285">
        <v>4496</v>
      </c>
      <c r="C285" t="b">
        <v>1</v>
      </c>
      <c r="D285">
        <v>8048</v>
      </c>
      <c r="E285">
        <v>8123</v>
      </c>
      <c r="F285">
        <v>9.6</v>
      </c>
      <c r="G285">
        <v>6.4</v>
      </c>
      <c r="H285">
        <v>1.5</v>
      </c>
      <c r="I285">
        <v>-0.50000005999999997</v>
      </c>
      <c r="J285">
        <v>0.4</v>
      </c>
    </row>
    <row r="286" spans="1:10" x14ac:dyDescent="0.3">
      <c r="A286">
        <v>284</v>
      </c>
      <c r="B286">
        <v>4512</v>
      </c>
      <c r="C286" t="b">
        <v>1</v>
      </c>
      <c r="D286">
        <v>8048</v>
      </c>
      <c r="E286">
        <v>8123</v>
      </c>
      <c r="F286">
        <v>9.6</v>
      </c>
      <c r="G286">
        <v>6.4</v>
      </c>
      <c r="H286">
        <v>1.5</v>
      </c>
      <c r="I286">
        <v>-0.50000005999999997</v>
      </c>
      <c r="J286">
        <v>0.4</v>
      </c>
    </row>
    <row r="287" spans="1:10" x14ac:dyDescent="0.3">
      <c r="A287">
        <v>285</v>
      </c>
      <c r="B287">
        <v>4527</v>
      </c>
      <c r="C287" t="b">
        <v>1</v>
      </c>
      <c r="D287">
        <v>8054</v>
      </c>
      <c r="E287">
        <v>8123</v>
      </c>
      <c r="F287">
        <v>9.6</v>
      </c>
      <c r="G287">
        <v>6.4</v>
      </c>
      <c r="H287">
        <v>1.5</v>
      </c>
      <c r="I287">
        <v>-0.50000005999999997</v>
      </c>
      <c r="J287">
        <v>0.4</v>
      </c>
    </row>
    <row r="288" spans="1:10" x14ac:dyDescent="0.3">
      <c r="A288">
        <v>286</v>
      </c>
      <c r="B288">
        <v>4543</v>
      </c>
      <c r="C288" t="b">
        <v>1</v>
      </c>
      <c r="D288">
        <v>8048</v>
      </c>
      <c r="E288">
        <v>8123</v>
      </c>
      <c r="F288">
        <v>9.6</v>
      </c>
      <c r="G288">
        <v>6.4</v>
      </c>
      <c r="H288">
        <v>1.5</v>
      </c>
      <c r="I288">
        <v>-0.50000005999999997</v>
      </c>
      <c r="J288">
        <v>0.4</v>
      </c>
    </row>
    <row r="289" spans="1:10" x14ac:dyDescent="0.3">
      <c r="A289">
        <v>287</v>
      </c>
      <c r="B289">
        <v>4559</v>
      </c>
      <c r="C289" t="b">
        <v>1</v>
      </c>
      <c r="D289">
        <v>8048</v>
      </c>
      <c r="E289">
        <v>8117</v>
      </c>
      <c r="F289">
        <v>9.6</v>
      </c>
      <c r="G289">
        <v>6.4</v>
      </c>
      <c r="H289">
        <v>1.5</v>
      </c>
      <c r="I289">
        <v>-0.50000005999999997</v>
      </c>
      <c r="J289">
        <v>0.4</v>
      </c>
    </row>
    <row r="290" spans="1:10" x14ac:dyDescent="0.3">
      <c r="A290">
        <v>288</v>
      </c>
      <c r="B290">
        <v>4575</v>
      </c>
      <c r="C290" t="b">
        <v>1</v>
      </c>
      <c r="D290">
        <v>8048</v>
      </c>
      <c r="E290">
        <v>8123</v>
      </c>
      <c r="F290">
        <v>9.6</v>
      </c>
      <c r="G290">
        <v>6.4</v>
      </c>
      <c r="H290">
        <v>1.5</v>
      </c>
      <c r="I290">
        <v>-0.50000005999999997</v>
      </c>
      <c r="J290">
        <v>0.4</v>
      </c>
    </row>
    <row r="291" spans="1:10" x14ac:dyDescent="0.3">
      <c r="A291">
        <v>289</v>
      </c>
      <c r="B291">
        <v>4591</v>
      </c>
      <c r="C291" t="b">
        <v>1</v>
      </c>
      <c r="D291">
        <v>8048</v>
      </c>
      <c r="E291">
        <v>8117</v>
      </c>
      <c r="F291">
        <v>9.6</v>
      </c>
      <c r="G291">
        <v>6.4</v>
      </c>
      <c r="H291">
        <v>1.5</v>
      </c>
      <c r="I291">
        <v>-0.50000005999999997</v>
      </c>
      <c r="J291">
        <v>0.4</v>
      </c>
    </row>
    <row r="292" spans="1:10" x14ac:dyDescent="0.3">
      <c r="A292">
        <v>290</v>
      </c>
      <c r="B292">
        <v>4607</v>
      </c>
      <c r="C292" t="b">
        <v>1</v>
      </c>
      <c r="D292">
        <v>8048</v>
      </c>
      <c r="E292">
        <v>8123</v>
      </c>
      <c r="F292">
        <v>9.6</v>
      </c>
      <c r="G292">
        <v>6.4</v>
      </c>
      <c r="H292">
        <v>1.5</v>
      </c>
      <c r="I292">
        <v>-0.50000005999999997</v>
      </c>
      <c r="J292">
        <v>0.4</v>
      </c>
    </row>
    <row r="293" spans="1:10" x14ac:dyDescent="0.3">
      <c r="A293">
        <v>291</v>
      </c>
      <c r="B293">
        <v>4622</v>
      </c>
      <c r="C293" t="b">
        <v>1</v>
      </c>
      <c r="D293">
        <v>8048</v>
      </c>
      <c r="E293">
        <v>8123</v>
      </c>
      <c r="F293">
        <v>9.6</v>
      </c>
      <c r="G293">
        <v>6.4</v>
      </c>
      <c r="H293">
        <v>1.5</v>
      </c>
      <c r="I293">
        <v>-0.50000005999999997</v>
      </c>
      <c r="J293">
        <v>0.4</v>
      </c>
    </row>
    <row r="294" spans="1:10" x14ac:dyDescent="0.3">
      <c r="A294">
        <v>292</v>
      </c>
      <c r="B294">
        <v>4638</v>
      </c>
      <c r="C294" t="b">
        <v>1</v>
      </c>
      <c r="D294">
        <v>8048</v>
      </c>
      <c r="E294">
        <v>8123</v>
      </c>
      <c r="F294">
        <v>9.6</v>
      </c>
      <c r="G294">
        <v>6.4</v>
      </c>
      <c r="H294">
        <v>1.5</v>
      </c>
      <c r="I294">
        <v>-0.50000005999999997</v>
      </c>
      <c r="J294">
        <v>0.4</v>
      </c>
    </row>
    <row r="295" spans="1:10" x14ac:dyDescent="0.3">
      <c r="A295">
        <v>293</v>
      </c>
      <c r="B295">
        <v>4654</v>
      </c>
      <c r="C295" t="b">
        <v>1</v>
      </c>
      <c r="D295">
        <v>8054</v>
      </c>
      <c r="E295">
        <v>8123</v>
      </c>
      <c r="F295">
        <v>9.6</v>
      </c>
      <c r="G295">
        <v>6.4</v>
      </c>
      <c r="H295">
        <v>1.5</v>
      </c>
      <c r="I295">
        <v>-0.50000005999999997</v>
      </c>
      <c r="J295">
        <v>0.4</v>
      </c>
    </row>
    <row r="296" spans="1:10" x14ac:dyDescent="0.3">
      <c r="A296">
        <v>294</v>
      </c>
      <c r="B296">
        <v>4670</v>
      </c>
      <c r="C296" t="b">
        <v>1</v>
      </c>
      <c r="D296">
        <v>8048</v>
      </c>
      <c r="E296">
        <v>8123</v>
      </c>
      <c r="F296">
        <v>9.1999999999999993</v>
      </c>
      <c r="G296">
        <v>6.8</v>
      </c>
      <c r="H296">
        <v>1.3529412000000001</v>
      </c>
      <c r="I296">
        <v>-0.35294110000000001</v>
      </c>
      <c r="J296">
        <v>0.42499999999999999</v>
      </c>
    </row>
    <row r="297" spans="1:10" x14ac:dyDescent="0.3">
      <c r="A297">
        <v>295</v>
      </c>
      <c r="B297">
        <v>4686</v>
      </c>
      <c r="C297" t="b">
        <v>1</v>
      </c>
      <c r="D297">
        <v>8054</v>
      </c>
      <c r="E297">
        <v>8123</v>
      </c>
      <c r="F297">
        <v>8.8000000000000007</v>
      </c>
      <c r="G297">
        <v>7.2</v>
      </c>
      <c r="H297">
        <v>1.2222223000000001</v>
      </c>
      <c r="I297">
        <v>-0.22222227999999999</v>
      </c>
      <c r="J297">
        <v>0.45</v>
      </c>
    </row>
    <row r="298" spans="1:10" x14ac:dyDescent="0.3">
      <c r="A298">
        <v>296</v>
      </c>
      <c r="B298">
        <v>4702</v>
      </c>
      <c r="C298" t="b">
        <v>1</v>
      </c>
      <c r="D298">
        <v>8048</v>
      </c>
      <c r="E298">
        <v>8123</v>
      </c>
      <c r="F298">
        <v>8.4</v>
      </c>
      <c r="G298">
        <v>7.6</v>
      </c>
      <c r="H298">
        <v>1.1052630999999999</v>
      </c>
      <c r="I298">
        <v>-0.10526312</v>
      </c>
      <c r="J298">
        <v>0.47499999999999998</v>
      </c>
    </row>
    <row r="299" spans="1:10" x14ac:dyDescent="0.3">
      <c r="A299">
        <v>297</v>
      </c>
      <c r="B299">
        <v>4718</v>
      </c>
      <c r="C299" t="b">
        <v>1</v>
      </c>
      <c r="D299">
        <v>8054</v>
      </c>
      <c r="E299">
        <v>8123</v>
      </c>
      <c r="F299">
        <v>8.4</v>
      </c>
      <c r="G299">
        <v>8</v>
      </c>
      <c r="H299">
        <v>1.05</v>
      </c>
      <c r="I299">
        <v>-4.9999952E-2</v>
      </c>
      <c r="J299">
        <v>0.48780489999999999</v>
      </c>
    </row>
    <row r="300" spans="1:10" x14ac:dyDescent="0.3">
      <c r="A300">
        <v>298</v>
      </c>
      <c r="B300">
        <v>4734</v>
      </c>
      <c r="C300" t="b">
        <v>1</v>
      </c>
      <c r="D300">
        <v>8048</v>
      </c>
      <c r="E300">
        <v>8123</v>
      </c>
      <c r="F300">
        <v>8.4</v>
      </c>
      <c r="G300">
        <v>8</v>
      </c>
      <c r="H300">
        <v>1.05</v>
      </c>
      <c r="I300">
        <v>-4.9999952E-2</v>
      </c>
      <c r="J300">
        <v>0.48780489999999999</v>
      </c>
    </row>
    <row r="301" spans="1:10" x14ac:dyDescent="0.3">
      <c r="A301">
        <v>299</v>
      </c>
      <c r="B301">
        <v>4750</v>
      </c>
      <c r="C301" t="b">
        <v>1</v>
      </c>
      <c r="D301">
        <v>8042</v>
      </c>
      <c r="E301">
        <v>8123</v>
      </c>
      <c r="F301">
        <v>8.4</v>
      </c>
      <c r="G301">
        <v>8</v>
      </c>
      <c r="H301">
        <v>1.05</v>
      </c>
      <c r="I301">
        <v>-4.9999952E-2</v>
      </c>
      <c r="J301">
        <v>0.48780489999999999</v>
      </c>
    </row>
    <row r="302" spans="1:10" x14ac:dyDescent="0.3">
      <c r="A302">
        <v>300</v>
      </c>
      <c r="B302">
        <v>4766</v>
      </c>
      <c r="C302" t="b">
        <v>1</v>
      </c>
      <c r="D302">
        <v>8048</v>
      </c>
      <c r="E302">
        <v>8123</v>
      </c>
      <c r="F302">
        <v>8.4</v>
      </c>
      <c r="G302">
        <v>8</v>
      </c>
      <c r="H302">
        <v>1.05</v>
      </c>
      <c r="I302">
        <v>-4.9999952E-2</v>
      </c>
      <c r="J302">
        <v>0.48780489999999999</v>
      </c>
    </row>
    <row r="303" spans="1:10" x14ac:dyDescent="0.3">
      <c r="A303">
        <v>301</v>
      </c>
      <c r="B303">
        <v>4782</v>
      </c>
      <c r="C303" t="b">
        <v>1</v>
      </c>
      <c r="D303">
        <v>8048</v>
      </c>
      <c r="E303">
        <v>8123</v>
      </c>
      <c r="F303">
        <v>8.4</v>
      </c>
      <c r="G303">
        <v>8</v>
      </c>
      <c r="H303">
        <v>1.05</v>
      </c>
      <c r="I303">
        <v>-4.9999952E-2</v>
      </c>
      <c r="J303">
        <v>0.48780489999999999</v>
      </c>
    </row>
    <row r="304" spans="1:10" x14ac:dyDescent="0.3">
      <c r="A304">
        <v>302</v>
      </c>
      <c r="B304">
        <v>4798</v>
      </c>
      <c r="C304" t="b">
        <v>1</v>
      </c>
      <c r="D304">
        <v>8048</v>
      </c>
      <c r="E304">
        <v>8123</v>
      </c>
      <c r="F304">
        <v>8.4</v>
      </c>
      <c r="G304">
        <v>8</v>
      </c>
      <c r="H304">
        <v>1.05</v>
      </c>
      <c r="I304">
        <v>-4.9999952E-2</v>
      </c>
      <c r="J304">
        <v>0.48780489999999999</v>
      </c>
    </row>
    <row r="305" spans="1:10" x14ac:dyDescent="0.3">
      <c r="A305">
        <v>303</v>
      </c>
      <c r="B305">
        <v>4814</v>
      </c>
      <c r="C305" t="b">
        <v>1</v>
      </c>
      <c r="D305">
        <v>8048</v>
      </c>
      <c r="E305">
        <v>8123</v>
      </c>
      <c r="F305">
        <v>8.4</v>
      </c>
      <c r="G305">
        <v>8</v>
      </c>
      <c r="H305">
        <v>1.05</v>
      </c>
      <c r="I305">
        <v>-4.9999952E-2</v>
      </c>
      <c r="J305">
        <v>0.48780489999999999</v>
      </c>
    </row>
    <row r="306" spans="1:10" x14ac:dyDescent="0.3">
      <c r="A306">
        <v>304</v>
      </c>
      <c r="B306">
        <v>4830</v>
      </c>
      <c r="C306" t="b">
        <v>1</v>
      </c>
      <c r="D306">
        <v>8048</v>
      </c>
      <c r="E306">
        <v>8123</v>
      </c>
      <c r="F306">
        <v>8.4</v>
      </c>
      <c r="G306">
        <v>8</v>
      </c>
      <c r="H306">
        <v>1.05</v>
      </c>
      <c r="I306">
        <v>-4.9999952E-2</v>
      </c>
      <c r="J306">
        <v>0.48780489999999999</v>
      </c>
    </row>
    <row r="307" spans="1:10" x14ac:dyDescent="0.3">
      <c r="A307">
        <v>305</v>
      </c>
      <c r="B307">
        <v>4846</v>
      </c>
      <c r="C307" t="b">
        <v>1</v>
      </c>
      <c r="D307">
        <v>8054</v>
      </c>
      <c r="E307">
        <v>8123</v>
      </c>
      <c r="F307">
        <v>8.4</v>
      </c>
      <c r="G307">
        <v>8</v>
      </c>
      <c r="H307">
        <v>1.05</v>
      </c>
      <c r="I307">
        <v>-4.9999952E-2</v>
      </c>
      <c r="J307">
        <v>0.48780489999999999</v>
      </c>
    </row>
    <row r="308" spans="1:10" x14ac:dyDescent="0.3">
      <c r="A308">
        <v>306</v>
      </c>
      <c r="B308">
        <v>4862</v>
      </c>
      <c r="C308" t="b">
        <v>1</v>
      </c>
      <c r="D308">
        <v>8054</v>
      </c>
      <c r="E308">
        <v>8123</v>
      </c>
      <c r="F308">
        <v>8.4</v>
      </c>
      <c r="G308">
        <v>8</v>
      </c>
      <c r="H308">
        <v>1.05</v>
      </c>
      <c r="I308">
        <v>-4.9999952E-2</v>
      </c>
      <c r="J308">
        <v>0.48780489999999999</v>
      </c>
    </row>
    <row r="309" spans="1:10" x14ac:dyDescent="0.3">
      <c r="A309">
        <v>307</v>
      </c>
      <c r="B309">
        <v>4878</v>
      </c>
      <c r="C309" t="b">
        <v>1</v>
      </c>
      <c r="D309">
        <v>8054</v>
      </c>
      <c r="E309">
        <v>8117</v>
      </c>
      <c r="F309">
        <v>8.8000000000000007</v>
      </c>
      <c r="G309">
        <v>8</v>
      </c>
      <c r="H309">
        <v>1.1000000000000001</v>
      </c>
      <c r="I309">
        <v>-0.10000002400000001</v>
      </c>
      <c r="J309">
        <v>0.47619050000000002</v>
      </c>
    </row>
    <row r="310" spans="1:10" x14ac:dyDescent="0.3">
      <c r="A310">
        <v>308</v>
      </c>
      <c r="B310">
        <v>4894</v>
      </c>
      <c r="C310" t="b">
        <v>1</v>
      </c>
      <c r="D310">
        <v>8048</v>
      </c>
      <c r="E310">
        <v>8123</v>
      </c>
      <c r="F310">
        <v>9.1999999999999993</v>
      </c>
      <c r="G310">
        <v>8</v>
      </c>
      <c r="H310">
        <v>1.1499999999999999</v>
      </c>
      <c r="I310">
        <v>-0.14999998</v>
      </c>
      <c r="J310">
        <v>0.46511626</v>
      </c>
    </row>
    <row r="311" spans="1:10" x14ac:dyDescent="0.3">
      <c r="A311">
        <v>309</v>
      </c>
      <c r="B311">
        <v>4910</v>
      </c>
      <c r="C311" t="b">
        <v>1</v>
      </c>
      <c r="D311">
        <v>8048</v>
      </c>
      <c r="E311">
        <v>8117</v>
      </c>
      <c r="F311">
        <v>9.6</v>
      </c>
      <c r="G311">
        <v>8</v>
      </c>
      <c r="H311">
        <v>1.2</v>
      </c>
      <c r="I311">
        <v>-0.20000005000000001</v>
      </c>
      <c r="J311">
        <v>0.45454544000000002</v>
      </c>
    </row>
    <row r="312" spans="1:10" x14ac:dyDescent="0.3">
      <c r="A312">
        <v>310</v>
      </c>
      <c r="B312">
        <v>4925</v>
      </c>
      <c r="C312" t="b">
        <v>1</v>
      </c>
      <c r="D312">
        <v>8048</v>
      </c>
      <c r="E312">
        <v>8117</v>
      </c>
      <c r="F312">
        <v>9.6</v>
      </c>
      <c r="G312">
        <v>7.6</v>
      </c>
      <c r="H312">
        <v>1.263158</v>
      </c>
      <c r="I312">
        <v>-0.26315796000000002</v>
      </c>
      <c r="J312">
        <v>0.44186044000000002</v>
      </c>
    </row>
    <row r="313" spans="1:10" x14ac:dyDescent="0.3">
      <c r="A313">
        <v>311</v>
      </c>
      <c r="B313">
        <v>4941</v>
      </c>
      <c r="C313" t="b">
        <v>1</v>
      </c>
      <c r="D313">
        <v>8048</v>
      </c>
      <c r="E313">
        <v>8129</v>
      </c>
      <c r="F313">
        <v>9.6</v>
      </c>
      <c r="G313">
        <v>7.2</v>
      </c>
      <c r="H313">
        <v>1.3333333999999999</v>
      </c>
      <c r="I313">
        <v>-0.33333342999999999</v>
      </c>
      <c r="J313">
        <v>0.42857142999999998</v>
      </c>
    </row>
    <row r="314" spans="1:10" x14ac:dyDescent="0.3">
      <c r="A314">
        <v>312</v>
      </c>
      <c r="B314">
        <v>4957</v>
      </c>
      <c r="C314" t="b">
        <v>1</v>
      </c>
      <c r="D314">
        <v>8048</v>
      </c>
      <c r="E314">
        <v>8123</v>
      </c>
      <c r="F314">
        <v>9.1999999999999993</v>
      </c>
      <c r="G314">
        <v>7.2</v>
      </c>
      <c r="H314">
        <v>1.2777778</v>
      </c>
      <c r="I314">
        <v>-0.27777780000000002</v>
      </c>
      <c r="J314">
        <v>0.43902439999999998</v>
      </c>
    </row>
    <row r="315" spans="1:10" x14ac:dyDescent="0.3">
      <c r="A315">
        <v>313</v>
      </c>
      <c r="B315">
        <v>4973</v>
      </c>
      <c r="C315" t="b">
        <v>1</v>
      </c>
      <c r="D315">
        <v>8042</v>
      </c>
      <c r="E315">
        <v>8123</v>
      </c>
      <c r="F315">
        <v>9.1999999999999993</v>
      </c>
      <c r="G315">
        <v>7.2</v>
      </c>
      <c r="H315">
        <v>1.2777778</v>
      </c>
      <c r="I315">
        <v>-0.27777780000000002</v>
      </c>
      <c r="J315">
        <v>0.43902439999999998</v>
      </c>
    </row>
    <row r="316" spans="1:10" x14ac:dyDescent="0.3">
      <c r="A316">
        <v>314</v>
      </c>
      <c r="B316">
        <v>4989</v>
      </c>
      <c r="C316" t="b">
        <v>1</v>
      </c>
      <c r="D316">
        <v>8048</v>
      </c>
      <c r="E316">
        <v>8123</v>
      </c>
      <c r="F316">
        <v>9.1999999999999993</v>
      </c>
      <c r="G316">
        <v>7.2</v>
      </c>
      <c r="H316">
        <v>1.2777778</v>
      </c>
      <c r="I316">
        <v>-0.27777780000000002</v>
      </c>
      <c r="J316">
        <v>0.43902439999999998</v>
      </c>
    </row>
    <row r="317" spans="1:10" x14ac:dyDescent="0.3">
      <c r="A317">
        <v>315</v>
      </c>
      <c r="B317">
        <v>5005</v>
      </c>
      <c r="C317" t="b">
        <v>1</v>
      </c>
      <c r="D317">
        <v>8048</v>
      </c>
      <c r="E317">
        <v>8123</v>
      </c>
      <c r="F317">
        <v>9.1999999999999993</v>
      </c>
      <c r="G317">
        <v>7.2</v>
      </c>
      <c r="H317">
        <v>1.2777778</v>
      </c>
      <c r="I317">
        <v>-0.27777780000000002</v>
      </c>
      <c r="J317">
        <v>0.43902439999999998</v>
      </c>
    </row>
    <row r="318" spans="1:10" x14ac:dyDescent="0.3">
      <c r="A318">
        <v>316</v>
      </c>
      <c r="B318">
        <v>5021</v>
      </c>
      <c r="C318" t="b">
        <v>1</v>
      </c>
      <c r="D318">
        <v>8048</v>
      </c>
      <c r="E318">
        <v>8117</v>
      </c>
      <c r="F318">
        <v>9.1999999999999993</v>
      </c>
      <c r="G318">
        <v>7.2</v>
      </c>
      <c r="H318">
        <v>1.2777778</v>
      </c>
      <c r="I318">
        <v>-0.27777780000000002</v>
      </c>
      <c r="J318">
        <v>0.43902439999999998</v>
      </c>
    </row>
    <row r="319" spans="1:10" x14ac:dyDescent="0.3">
      <c r="A319">
        <v>317</v>
      </c>
      <c r="B319">
        <v>5036</v>
      </c>
      <c r="C319" t="b">
        <v>1</v>
      </c>
      <c r="D319">
        <v>8048</v>
      </c>
      <c r="E319">
        <v>8117</v>
      </c>
      <c r="F319">
        <v>9.1999999999999993</v>
      </c>
      <c r="G319">
        <v>7.2</v>
      </c>
      <c r="H319">
        <v>1.2777778</v>
      </c>
      <c r="I319">
        <v>-0.27777780000000002</v>
      </c>
      <c r="J319">
        <v>0.43902439999999998</v>
      </c>
    </row>
    <row r="320" spans="1:10" x14ac:dyDescent="0.3">
      <c r="A320">
        <v>318</v>
      </c>
      <c r="B320">
        <v>5052</v>
      </c>
      <c r="C320" t="b">
        <v>1</v>
      </c>
      <c r="D320">
        <v>8048</v>
      </c>
      <c r="E320">
        <v>8117</v>
      </c>
      <c r="F320">
        <v>9.1999999999999993</v>
      </c>
      <c r="G320">
        <v>6.8</v>
      </c>
      <c r="H320">
        <v>1.3529412000000001</v>
      </c>
      <c r="I320">
        <v>-0.35294110000000001</v>
      </c>
      <c r="J320">
        <v>0.42499999999999999</v>
      </c>
    </row>
    <row r="321" spans="1:10" x14ac:dyDescent="0.3">
      <c r="A321">
        <v>319</v>
      </c>
      <c r="B321">
        <v>5068</v>
      </c>
      <c r="C321" t="b">
        <v>1</v>
      </c>
      <c r="D321">
        <v>8048</v>
      </c>
      <c r="E321">
        <v>8117</v>
      </c>
      <c r="F321">
        <v>9.1999999999999993</v>
      </c>
      <c r="G321">
        <v>6.4</v>
      </c>
      <c r="H321">
        <v>1.4375</v>
      </c>
      <c r="I321">
        <v>-0.43749993999999998</v>
      </c>
      <c r="J321">
        <v>0.41025642000000001</v>
      </c>
    </row>
    <row r="322" spans="1:10" x14ac:dyDescent="0.3">
      <c r="A322">
        <v>320</v>
      </c>
      <c r="B322">
        <v>5084</v>
      </c>
      <c r="C322" t="b">
        <v>1</v>
      </c>
      <c r="D322">
        <v>8048</v>
      </c>
      <c r="E322">
        <v>8123</v>
      </c>
      <c r="F322">
        <v>9.1999999999999993</v>
      </c>
      <c r="G322">
        <v>6</v>
      </c>
      <c r="H322">
        <v>1.5333333</v>
      </c>
      <c r="I322">
        <v>-0.53333330000000001</v>
      </c>
      <c r="J322">
        <v>0.39473686000000002</v>
      </c>
    </row>
    <row r="323" spans="1:10" x14ac:dyDescent="0.3">
      <c r="A323">
        <v>321</v>
      </c>
      <c r="B323">
        <v>5100</v>
      </c>
      <c r="C323" t="b">
        <v>1</v>
      </c>
      <c r="D323">
        <v>8048</v>
      </c>
      <c r="E323">
        <v>8123</v>
      </c>
      <c r="F323">
        <v>9.1999999999999993</v>
      </c>
      <c r="G323">
        <v>5.6</v>
      </c>
      <c r="H323">
        <v>1.6428571999999999</v>
      </c>
      <c r="I323">
        <v>-0.64285713</v>
      </c>
      <c r="J323">
        <v>0.3783784</v>
      </c>
    </row>
    <row r="324" spans="1:10" x14ac:dyDescent="0.3">
      <c r="A324">
        <v>322</v>
      </c>
      <c r="B324">
        <v>5116</v>
      </c>
      <c r="C324" t="b">
        <v>1</v>
      </c>
      <c r="D324">
        <v>8048</v>
      </c>
      <c r="E324">
        <v>8123</v>
      </c>
      <c r="F324">
        <v>8.8000000000000007</v>
      </c>
      <c r="G324">
        <v>5.6</v>
      </c>
      <c r="H324">
        <v>1.5714287</v>
      </c>
      <c r="I324">
        <v>-0.57142866000000003</v>
      </c>
      <c r="J324">
        <v>0.38888889999999998</v>
      </c>
    </row>
    <row r="325" spans="1:10" x14ac:dyDescent="0.3">
      <c r="A325">
        <v>323</v>
      </c>
      <c r="B325">
        <v>5132</v>
      </c>
      <c r="C325" t="b">
        <v>1</v>
      </c>
      <c r="D325">
        <v>8054</v>
      </c>
      <c r="E325">
        <v>8123</v>
      </c>
      <c r="F325">
        <v>8.4</v>
      </c>
      <c r="G325">
        <v>5.6</v>
      </c>
      <c r="H325">
        <v>1.5</v>
      </c>
      <c r="I325">
        <v>-0.49999997000000002</v>
      </c>
      <c r="J325">
        <v>0.4</v>
      </c>
    </row>
    <row r="326" spans="1:10" x14ac:dyDescent="0.3">
      <c r="A326">
        <v>324</v>
      </c>
      <c r="B326">
        <v>5148</v>
      </c>
      <c r="C326" t="b">
        <v>1</v>
      </c>
      <c r="D326">
        <v>8054</v>
      </c>
      <c r="E326">
        <v>8123</v>
      </c>
      <c r="F326">
        <v>8</v>
      </c>
      <c r="G326">
        <v>5.6</v>
      </c>
      <c r="H326">
        <v>1.4285715000000001</v>
      </c>
      <c r="I326">
        <v>-0.42857146000000002</v>
      </c>
      <c r="J326">
        <v>0.41176467999999999</v>
      </c>
    </row>
    <row r="327" spans="1:10" x14ac:dyDescent="0.3">
      <c r="A327">
        <v>325</v>
      </c>
      <c r="B327">
        <v>5163</v>
      </c>
      <c r="C327" t="b">
        <v>1</v>
      </c>
      <c r="D327">
        <v>8054</v>
      </c>
      <c r="E327">
        <v>8123</v>
      </c>
      <c r="F327">
        <v>8.4</v>
      </c>
      <c r="G327">
        <v>6</v>
      </c>
      <c r="H327">
        <v>1.4</v>
      </c>
      <c r="I327">
        <v>-0.39999994999999999</v>
      </c>
      <c r="J327">
        <v>0.4166667</v>
      </c>
    </row>
    <row r="328" spans="1:10" x14ac:dyDescent="0.3">
      <c r="A328">
        <v>326</v>
      </c>
      <c r="B328">
        <v>5179</v>
      </c>
      <c r="C328" t="b">
        <v>1</v>
      </c>
      <c r="D328">
        <v>8054</v>
      </c>
      <c r="E328">
        <v>8123</v>
      </c>
      <c r="F328">
        <v>8.8000000000000007</v>
      </c>
      <c r="G328">
        <v>6.4</v>
      </c>
      <c r="H328">
        <v>1.375</v>
      </c>
      <c r="I328">
        <v>-0.375</v>
      </c>
      <c r="J328">
        <v>0.4210526</v>
      </c>
    </row>
    <row r="329" spans="1:10" x14ac:dyDescent="0.3">
      <c r="A329">
        <v>327</v>
      </c>
      <c r="B329">
        <v>5195</v>
      </c>
      <c r="C329" t="b">
        <v>1</v>
      </c>
      <c r="D329">
        <v>8048</v>
      </c>
      <c r="E329">
        <v>8123</v>
      </c>
      <c r="F329">
        <v>9.1999999999999993</v>
      </c>
      <c r="G329">
        <v>6.4</v>
      </c>
      <c r="H329">
        <v>1.4375</v>
      </c>
      <c r="I329">
        <v>-0.43749993999999998</v>
      </c>
      <c r="J329">
        <v>0.41025642000000001</v>
      </c>
    </row>
    <row r="330" spans="1:10" x14ac:dyDescent="0.3">
      <c r="A330">
        <v>328</v>
      </c>
      <c r="B330">
        <v>5211</v>
      </c>
      <c r="C330" t="b">
        <v>1</v>
      </c>
      <c r="D330">
        <v>8054</v>
      </c>
      <c r="E330">
        <v>8123</v>
      </c>
      <c r="F330">
        <v>9.6</v>
      </c>
      <c r="G330">
        <v>6.4</v>
      </c>
      <c r="H330">
        <v>1.5</v>
      </c>
      <c r="I330">
        <v>-0.50000005999999997</v>
      </c>
      <c r="J330">
        <v>0.4</v>
      </c>
    </row>
    <row r="331" spans="1:10" x14ac:dyDescent="0.3">
      <c r="A331">
        <v>329</v>
      </c>
      <c r="B331">
        <v>5227</v>
      </c>
      <c r="C331" t="b">
        <v>1</v>
      </c>
      <c r="D331">
        <v>8048</v>
      </c>
      <c r="E331">
        <v>8123</v>
      </c>
      <c r="F331">
        <v>10</v>
      </c>
      <c r="G331">
        <v>6.4</v>
      </c>
      <c r="H331">
        <v>1.5625</v>
      </c>
      <c r="I331">
        <v>-0.5625</v>
      </c>
      <c r="J331">
        <v>0.39024392000000002</v>
      </c>
    </row>
    <row r="332" spans="1:10" x14ac:dyDescent="0.3">
      <c r="A332">
        <v>330</v>
      </c>
      <c r="B332">
        <v>5242</v>
      </c>
      <c r="C332" t="b">
        <v>1</v>
      </c>
      <c r="D332">
        <v>8048</v>
      </c>
      <c r="E332">
        <v>8123</v>
      </c>
      <c r="F332">
        <v>10</v>
      </c>
      <c r="G332">
        <v>6.4</v>
      </c>
      <c r="H332">
        <v>1.5625</v>
      </c>
      <c r="I332">
        <v>-0.5625</v>
      </c>
      <c r="J332">
        <v>0.39024392000000002</v>
      </c>
    </row>
    <row r="333" spans="1:10" x14ac:dyDescent="0.3">
      <c r="A333">
        <v>331</v>
      </c>
      <c r="B333">
        <v>5258</v>
      </c>
      <c r="C333" t="b">
        <v>1</v>
      </c>
      <c r="D333">
        <v>8048</v>
      </c>
      <c r="E333">
        <v>8123</v>
      </c>
      <c r="F333">
        <v>10</v>
      </c>
      <c r="G333">
        <v>6.4</v>
      </c>
      <c r="H333">
        <v>1.5625</v>
      </c>
      <c r="I333">
        <v>-0.5625</v>
      </c>
      <c r="J333">
        <v>0.39024392000000002</v>
      </c>
    </row>
    <row r="334" spans="1:10" x14ac:dyDescent="0.3">
      <c r="A334">
        <v>332</v>
      </c>
      <c r="B334">
        <v>5274</v>
      </c>
      <c r="C334" t="b">
        <v>1</v>
      </c>
      <c r="D334">
        <v>8048</v>
      </c>
      <c r="E334">
        <v>8123</v>
      </c>
      <c r="F334">
        <v>10</v>
      </c>
      <c r="G334">
        <v>6.4</v>
      </c>
      <c r="H334">
        <v>1.5625</v>
      </c>
      <c r="I334">
        <v>-0.5625</v>
      </c>
      <c r="J334">
        <v>0.39024392000000002</v>
      </c>
    </row>
    <row r="335" spans="1:10" x14ac:dyDescent="0.3">
      <c r="A335">
        <v>333</v>
      </c>
      <c r="B335">
        <v>5290</v>
      </c>
      <c r="C335" t="b">
        <v>1</v>
      </c>
      <c r="D335">
        <v>8048</v>
      </c>
      <c r="E335">
        <v>8134</v>
      </c>
      <c r="F335">
        <v>10</v>
      </c>
      <c r="G335">
        <v>6.8</v>
      </c>
      <c r="H335">
        <v>1.4705881999999999</v>
      </c>
      <c r="I335">
        <v>-0.47058820000000001</v>
      </c>
      <c r="J335">
        <v>0.40476193999999999</v>
      </c>
    </row>
    <row r="336" spans="1:10" x14ac:dyDescent="0.3">
      <c r="A336">
        <v>334</v>
      </c>
      <c r="B336">
        <v>5306</v>
      </c>
      <c r="C336" t="b">
        <v>1</v>
      </c>
      <c r="D336">
        <v>8048</v>
      </c>
      <c r="E336">
        <v>8117</v>
      </c>
      <c r="F336">
        <v>10</v>
      </c>
      <c r="G336">
        <v>7.2</v>
      </c>
      <c r="H336">
        <v>1.388889</v>
      </c>
      <c r="I336">
        <v>-0.38888893000000002</v>
      </c>
      <c r="J336">
        <v>0.41860459999999999</v>
      </c>
    </row>
    <row r="337" spans="1:10" x14ac:dyDescent="0.3">
      <c r="A337">
        <v>335</v>
      </c>
      <c r="B337">
        <v>5322</v>
      </c>
      <c r="C337" t="b">
        <v>1</v>
      </c>
      <c r="D337">
        <v>8048</v>
      </c>
      <c r="E337">
        <v>8123</v>
      </c>
      <c r="F337">
        <v>10</v>
      </c>
      <c r="G337">
        <v>7.6</v>
      </c>
      <c r="H337">
        <v>1.3157894999999999</v>
      </c>
      <c r="I337">
        <v>-0.3157895</v>
      </c>
      <c r="J337">
        <v>0.43181816000000001</v>
      </c>
    </row>
    <row r="338" spans="1:10" x14ac:dyDescent="0.3">
      <c r="A338">
        <v>336</v>
      </c>
      <c r="B338">
        <v>5338</v>
      </c>
      <c r="C338" t="b">
        <v>1</v>
      </c>
      <c r="D338">
        <v>8048</v>
      </c>
      <c r="E338">
        <v>8123</v>
      </c>
      <c r="F338">
        <v>10</v>
      </c>
      <c r="G338">
        <v>8</v>
      </c>
      <c r="H338">
        <v>1.25</v>
      </c>
      <c r="I338">
        <v>-0.25</v>
      </c>
      <c r="J338">
        <v>0.44444444999999999</v>
      </c>
    </row>
    <row r="339" spans="1:10" x14ac:dyDescent="0.3">
      <c r="A339">
        <v>337</v>
      </c>
      <c r="B339">
        <v>5353</v>
      </c>
      <c r="C339" t="b">
        <v>1</v>
      </c>
      <c r="D339">
        <v>8048</v>
      </c>
      <c r="E339">
        <v>8123</v>
      </c>
      <c r="F339">
        <v>10</v>
      </c>
      <c r="G339">
        <v>8</v>
      </c>
      <c r="H339">
        <v>1.25</v>
      </c>
      <c r="I339">
        <v>-0.25</v>
      </c>
      <c r="J339">
        <v>0.44444444999999999</v>
      </c>
    </row>
    <row r="340" spans="1:10" x14ac:dyDescent="0.3">
      <c r="A340">
        <v>338</v>
      </c>
      <c r="B340">
        <v>5369</v>
      </c>
      <c r="C340" t="b">
        <v>1</v>
      </c>
      <c r="D340">
        <v>8048</v>
      </c>
      <c r="E340">
        <v>8123</v>
      </c>
      <c r="F340">
        <v>10</v>
      </c>
      <c r="G340">
        <v>8</v>
      </c>
      <c r="H340">
        <v>1.25</v>
      </c>
      <c r="I340">
        <v>-0.25</v>
      </c>
      <c r="J340">
        <v>0.44444444999999999</v>
      </c>
    </row>
    <row r="341" spans="1:10" x14ac:dyDescent="0.3">
      <c r="A341">
        <v>339</v>
      </c>
      <c r="B341">
        <v>5386</v>
      </c>
      <c r="C341" t="b">
        <v>1</v>
      </c>
      <c r="D341">
        <v>8042</v>
      </c>
      <c r="E341">
        <v>8123</v>
      </c>
      <c r="F341">
        <v>10</v>
      </c>
      <c r="G341">
        <v>8</v>
      </c>
      <c r="H341">
        <v>1.25</v>
      </c>
      <c r="I341">
        <v>-0.25</v>
      </c>
      <c r="J341">
        <v>0.44444444999999999</v>
      </c>
    </row>
    <row r="342" spans="1:10" x14ac:dyDescent="0.3">
      <c r="A342">
        <v>340</v>
      </c>
      <c r="B342">
        <v>5402</v>
      </c>
      <c r="C342" t="b">
        <v>1</v>
      </c>
      <c r="D342">
        <v>8048</v>
      </c>
      <c r="E342">
        <v>8123</v>
      </c>
      <c r="F342">
        <v>9.6</v>
      </c>
      <c r="G342">
        <v>8</v>
      </c>
      <c r="H342">
        <v>1.2</v>
      </c>
      <c r="I342">
        <v>-0.20000005000000001</v>
      </c>
      <c r="J342">
        <v>0.45454544000000002</v>
      </c>
    </row>
    <row r="343" spans="1:10" x14ac:dyDescent="0.3">
      <c r="A343">
        <v>341</v>
      </c>
      <c r="B343">
        <v>5418</v>
      </c>
      <c r="C343" t="b">
        <v>1</v>
      </c>
      <c r="D343">
        <v>8048</v>
      </c>
      <c r="E343">
        <v>8123</v>
      </c>
      <c r="F343">
        <v>9.1999999999999993</v>
      </c>
      <c r="G343">
        <v>8</v>
      </c>
      <c r="H343">
        <v>1.1499999999999999</v>
      </c>
      <c r="I343">
        <v>-0.14999998</v>
      </c>
      <c r="J343">
        <v>0.46511626</v>
      </c>
    </row>
    <row r="344" spans="1:10" x14ac:dyDescent="0.3">
      <c r="A344">
        <v>342</v>
      </c>
      <c r="B344">
        <v>5433</v>
      </c>
      <c r="C344" t="b">
        <v>1</v>
      </c>
      <c r="D344">
        <v>8048</v>
      </c>
      <c r="E344">
        <v>8134</v>
      </c>
      <c r="F344">
        <v>8.8000000000000007</v>
      </c>
      <c r="G344">
        <v>8</v>
      </c>
      <c r="H344">
        <v>1.1000000000000001</v>
      </c>
      <c r="I344">
        <v>-0.10000002400000001</v>
      </c>
      <c r="J344">
        <v>0.47619050000000002</v>
      </c>
    </row>
    <row r="345" spans="1:10" x14ac:dyDescent="0.3">
      <c r="A345">
        <v>343</v>
      </c>
      <c r="B345">
        <v>5449</v>
      </c>
      <c r="C345" t="b">
        <v>1</v>
      </c>
      <c r="D345">
        <v>8048</v>
      </c>
      <c r="E345">
        <v>8123</v>
      </c>
      <c r="F345">
        <v>8.4</v>
      </c>
      <c r="G345">
        <v>8</v>
      </c>
      <c r="H345">
        <v>1.05</v>
      </c>
      <c r="I345">
        <v>-4.9999952E-2</v>
      </c>
      <c r="J345">
        <v>0.48780489999999999</v>
      </c>
    </row>
    <row r="346" spans="1:10" x14ac:dyDescent="0.3">
      <c r="A346">
        <v>344</v>
      </c>
      <c r="B346">
        <v>5465</v>
      </c>
      <c r="C346" t="b">
        <v>1</v>
      </c>
      <c r="D346">
        <v>8048</v>
      </c>
      <c r="E346">
        <v>8123</v>
      </c>
      <c r="F346">
        <v>8</v>
      </c>
      <c r="G346">
        <v>8</v>
      </c>
      <c r="H346">
        <v>1</v>
      </c>
      <c r="I346">
        <v>0</v>
      </c>
      <c r="J346">
        <v>0.5</v>
      </c>
    </row>
    <row r="347" spans="1:10" x14ac:dyDescent="0.3">
      <c r="A347">
        <v>345</v>
      </c>
      <c r="B347">
        <v>5481</v>
      </c>
      <c r="C347" t="b">
        <v>1</v>
      </c>
      <c r="D347">
        <v>8048</v>
      </c>
      <c r="E347">
        <v>8123</v>
      </c>
      <c r="F347">
        <v>8</v>
      </c>
      <c r="G347">
        <v>8</v>
      </c>
      <c r="H347">
        <v>1</v>
      </c>
      <c r="I347">
        <v>0</v>
      </c>
      <c r="J347">
        <v>0.5</v>
      </c>
    </row>
    <row r="348" spans="1:10" x14ac:dyDescent="0.3">
      <c r="A348">
        <v>346</v>
      </c>
      <c r="B348">
        <v>5497</v>
      </c>
      <c r="C348" t="b">
        <v>1</v>
      </c>
      <c r="D348">
        <v>8054</v>
      </c>
      <c r="E348">
        <v>8123</v>
      </c>
      <c r="F348">
        <v>8</v>
      </c>
      <c r="G348">
        <v>8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5513</v>
      </c>
      <c r="C349" t="b">
        <v>1</v>
      </c>
      <c r="D349">
        <v>8048</v>
      </c>
      <c r="E349">
        <v>8123</v>
      </c>
      <c r="F349">
        <v>8</v>
      </c>
      <c r="G349">
        <v>8</v>
      </c>
      <c r="H349">
        <v>1</v>
      </c>
      <c r="I349">
        <v>0</v>
      </c>
      <c r="J349">
        <v>0.5</v>
      </c>
    </row>
    <row r="350" spans="1:10" x14ac:dyDescent="0.3">
      <c r="A350">
        <v>348</v>
      </c>
      <c r="B350">
        <v>5528</v>
      </c>
      <c r="C350" t="b">
        <v>1</v>
      </c>
      <c r="D350">
        <v>8048</v>
      </c>
      <c r="E350">
        <v>8123</v>
      </c>
      <c r="F350">
        <v>8</v>
      </c>
      <c r="G350">
        <v>8</v>
      </c>
      <c r="H350">
        <v>1</v>
      </c>
      <c r="I350">
        <v>0</v>
      </c>
      <c r="J350">
        <v>0.5</v>
      </c>
    </row>
    <row r="351" spans="1:10" x14ac:dyDescent="0.3">
      <c r="A351">
        <v>349</v>
      </c>
      <c r="B351">
        <v>5544</v>
      </c>
      <c r="C351" t="b">
        <v>1</v>
      </c>
      <c r="D351">
        <v>8048</v>
      </c>
      <c r="E351">
        <v>8117</v>
      </c>
      <c r="F351">
        <v>8</v>
      </c>
      <c r="G351">
        <v>8</v>
      </c>
      <c r="H351">
        <v>1</v>
      </c>
      <c r="I351">
        <v>0</v>
      </c>
      <c r="J351">
        <v>0.5</v>
      </c>
    </row>
    <row r="352" spans="1:10" x14ac:dyDescent="0.3">
      <c r="A352">
        <v>350</v>
      </c>
      <c r="B352">
        <v>5560</v>
      </c>
      <c r="C352" t="b">
        <v>1</v>
      </c>
      <c r="D352">
        <v>8048</v>
      </c>
      <c r="E352">
        <v>8117</v>
      </c>
      <c r="F352">
        <v>8</v>
      </c>
      <c r="G352">
        <v>8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5576</v>
      </c>
      <c r="C353" t="b">
        <v>1</v>
      </c>
      <c r="D353">
        <v>8048</v>
      </c>
      <c r="E353">
        <v>8123</v>
      </c>
      <c r="F353">
        <v>8</v>
      </c>
      <c r="G353">
        <v>8</v>
      </c>
      <c r="H353">
        <v>1</v>
      </c>
      <c r="I353">
        <v>0</v>
      </c>
      <c r="J353">
        <v>0.5</v>
      </c>
    </row>
    <row r="354" spans="1:10" x14ac:dyDescent="0.3">
      <c r="A354">
        <v>352</v>
      </c>
      <c r="B354">
        <v>5592</v>
      </c>
      <c r="C354" t="b">
        <v>1</v>
      </c>
      <c r="D354">
        <v>8048</v>
      </c>
      <c r="E354">
        <v>8117</v>
      </c>
      <c r="F354">
        <v>8</v>
      </c>
      <c r="G354">
        <v>7.6</v>
      </c>
      <c r="H354">
        <v>1.0526316</v>
      </c>
      <c r="I354">
        <v>-5.2631589999999999E-2</v>
      </c>
      <c r="J354">
        <v>0.48717946000000001</v>
      </c>
    </row>
    <row r="355" spans="1:10" x14ac:dyDescent="0.3">
      <c r="A355">
        <v>353</v>
      </c>
      <c r="B355">
        <v>5608</v>
      </c>
      <c r="C355" t="b">
        <v>1</v>
      </c>
      <c r="D355">
        <v>8042</v>
      </c>
      <c r="E355">
        <v>8117</v>
      </c>
      <c r="F355">
        <v>8</v>
      </c>
      <c r="G355">
        <v>7.2</v>
      </c>
      <c r="H355">
        <v>1.1111112000000001</v>
      </c>
      <c r="I355">
        <v>-0.11111114</v>
      </c>
      <c r="J355">
        <v>0.4736842</v>
      </c>
    </row>
    <row r="356" spans="1:10" x14ac:dyDescent="0.3">
      <c r="A356">
        <v>354</v>
      </c>
      <c r="B356">
        <v>5624</v>
      </c>
      <c r="C356" t="b">
        <v>1</v>
      </c>
      <c r="D356">
        <v>8048</v>
      </c>
      <c r="E356">
        <v>8117</v>
      </c>
      <c r="F356">
        <v>8</v>
      </c>
      <c r="G356">
        <v>6.8</v>
      </c>
      <c r="H356">
        <v>1.1764705</v>
      </c>
      <c r="I356">
        <v>-0.17647055</v>
      </c>
      <c r="J356">
        <v>0.45945944999999999</v>
      </c>
    </row>
    <row r="357" spans="1:10" x14ac:dyDescent="0.3">
      <c r="A357">
        <v>355</v>
      </c>
      <c r="B357">
        <v>5639</v>
      </c>
      <c r="C357" t="b">
        <v>1</v>
      </c>
      <c r="D357">
        <v>8054</v>
      </c>
      <c r="E357">
        <v>8123</v>
      </c>
      <c r="F357">
        <v>8</v>
      </c>
      <c r="G357">
        <v>6.4</v>
      </c>
      <c r="H357">
        <v>1.25</v>
      </c>
      <c r="I357">
        <v>-0.24999999000000001</v>
      </c>
      <c r="J357">
        <v>0.44444447999999998</v>
      </c>
    </row>
    <row r="358" spans="1:10" x14ac:dyDescent="0.3">
      <c r="A358">
        <v>356</v>
      </c>
      <c r="B358">
        <v>5656</v>
      </c>
      <c r="C358" t="b">
        <v>1</v>
      </c>
      <c r="D358">
        <v>8054</v>
      </c>
      <c r="E358">
        <v>8123</v>
      </c>
      <c r="F358">
        <v>8</v>
      </c>
      <c r="G358">
        <v>6</v>
      </c>
      <c r="H358">
        <v>1.3333333999999999</v>
      </c>
      <c r="I358">
        <v>-0.33333333999999998</v>
      </c>
      <c r="J358">
        <v>0.42857142999999998</v>
      </c>
    </row>
    <row r="359" spans="1:10" x14ac:dyDescent="0.3">
      <c r="A359">
        <v>357</v>
      </c>
      <c r="B359">
        <v>5672</v>
      </c>
      <c r="C359" t="b">
        <v>1</v>
      </c>
      <c r="D359">
        <v>8054</v>
      </c>
      <c r="E359">
        <v>8123</v>
      </c>
      <c r="F359">
        <v>8.4</v>
      </c>
      <c r="G359">
        <v>6</v>
      </c>
      <c r="H359">
        <v>1.4</v>
      </c>
      <c r="I359">
        <v>-0.39999994999999999</v>
      </c>
      <c r="J359">
        <v>0.4166667</v>
      </c>
    </row>
    <row r="360" spans="1:10" x14ac:dyDescent="0.3">
      <c r="A360">
        <v>358</v>
      </c>
      <c r="B360">
        <v>5688</v>
      </c>
      <c r="C360" t="b">
        <v>1</v>
      </c>
      <c r="D360">
        <v>8054</v>
      </c>
      <c r="E360">
        <v>8123</v>
      </c>
      <c r="F360">
        <v>8.8000000000000007</v>
      </c>
      <c r="G360">
        <v>6</v>
      </c>
      <c r="H360">
        <v>1.4666667</v>
      </c>
      <c r="I360">
        <v>-0.46666669999999999</v>
      </c>
      <c r="J360">
        <v>0.40540540000000003</v>
      </c>
    </row>
    <row r="361" spans="1:10" x14ac:dyDescent="0.3">
      <c r="A361">
        <v>359</v>
      </c>
      <c r="B361">
        <v>5704</v>
      </c>
      <c r="C361" t="b">
        <v>1</v>
      </c>
      <c r="D361">
        <v>8054</v>
      </c>
      <c r="E361">
        <v>8123</v>
      </c>
      <c r="F361">
        <v>9.1999999999999993</v>
      </c>
      <c r="G361">
        <v>6</v>
      </c>
      <c r="H361">
        <v>1.5333333</v>
      </c>
      <c r="I361">
        <v>-0.53333330000000001</v>
      </c>
      <c r="J361">
        <v>0.39473686000000002</v>
      </c>
    </row>
    <row r="362" spans="1:10" x14ac:dyDescent="0.3">
      <c r="A362">
        <v>360</v>
      </c>
      <c r="B362">
        <v>5720</v>
      </c>
      <c r="C362" t="b">
        <v>1</v>
      </c>
      <c r="D362">
        <v>8048</v>
      </c>
      <c r="E362">
        <v>8123</v>
      </c>
      <c r="F362">
        <v>9.6</v>
      </c>
      <c r="G362">
        <v>6</v>
      </c>
      <c r="H362">
        <v>1.6</v>
      </c>
      <c r="I362">
        <v>-0.60000010000000004</v>
      </c>
      <c r="J362">
        <v>0.38461536000000002</v>
      </c>
    </row>
    <row r="363" spans="1:10" x14ac:dyDescent="0.3">
      <c r="A363">
        <v>361</v>
      </c>
      <c r="B363">
        <v>5735</v>
      </c>
      <c r="C363" t="b">
        <v>1</v>
      </c>
      <c r="D363">
        <v>8042</v>
      </c>
      <c r="E363">
        <v>8123</v>
      </c>
      <c r="F363">
        <v>10</v>
      </c>
      <c r="G363">
        <v>6</v>
      </c>
      <c r="H363">
        <v>1.6666666000000001</v>
      </c>
      <c r="I363">
        <v>-0.66666669999999995</v>
      </c>
      <c r="J363">
        <v>0.375</v>
      </c>
    </row>
    <row r="364" spans="1:10" x14ac:dyDescent="0.3">
      <c r="A364">
        <v>362</v>
      </c>
      <c r="B364">
        <v>5751</v>
      </c>
      <c r="C364" t="b">
        <v>1</v>
      </c>
      <c r="D364">
        <v>8042</v>
      </c>
      <c r="E364">
        <v>8117</v>
      </c>
      <c r="F364">
        <v>10</v>
      </c>
      <c r="G364">
        <v>6</v>
      </c>
      <c r="H364">
        <v>1.6666666000000001</v>
      </c>
      <c r="I364">
        <v>-0.66666669999999995</v>
      </c>
      <c r="J364">
        <v>0.375</v>
      </c>
    </row>
    <row r="365" spans="1:10" x14ac:dyDescent="0.3">
      <c r="A365">
        <v>363</v>
      </c>
      <c r="B365">
        <v>5768</v>
      </c>
      <c r="C365" t="b">
        <v>1</v>
      </c>
      <c r="D365">
        <v>8048</v>
      </c>
      <c r="E365">
        <v>8123</v>
      </c>
      <c r="F365">
        <v>10</v>
      </c>
      <c r="G365">
        <v>6</v>
      </c>
      <c r="H365">
        <v>1.6666666000000001</v>
      </c>
      <c r="I365">
        <v>-0.66666669999999995</v>
      </c>
      <c r="J365">
        <v>0.375</v>
      </c>
    </row>
    <row r="366" spans="1:10" x14ac:dyDescent="0.3">
      <c r="A366">
        <v>364</v>
      </c>
      <c r="B366">
        <v>5784</v>
      </c>
      <c r="C366" t="b">
        <v>1</v>
      </c>
      <c r="D366">
        <v>8054</v>
      </c>
      <c r="E366">
        <v>8117</v>
      </c>
      <c r="F366">
        <v>10</v>
      </c>
      <c r="G366">
        <v>6</v>
      </c>
      <c r="H366">
        <v>1.6666666000000001</v>
      </c>
      <c r="I366">
        <v>-0.66666669999999995</v>
      </c>
      <c r="J366">
        <v>0.375</v>
      </c>
    </row>
    <row r="367" spans="1:10" x14ac:dyDescent="0.3">
      <c r="A367">
        <v>365</v>
      </c>
      <c r="B367">
        <v>5799</v>
      </c>
      <c r="C367" t="b">
        <v>1</v>
      </c>
      <c r="D367">
        <v>8042</v>
      </c>
      <c r="E367">
        <v>8111</v>
      </c>
      <c r="F367">
        <v>9.6</v>
      </c>
      <c r="G367">
        <v>5.6</v>
      </c>
      <c r="H367">
        <v>1.7142858999999999</v>
      </c>
      <c r="I367">
        <v>-0.71428579999999997</v>
      </c>
      <c r="J367">
        <v>0.36842101999999999</v>
      </c>
    </row>
    <row r="368" spans="1:10" x14ac:dyDescent="0.3">
      <c r="A368">
        <v>366</v>
      </c>
      <c r="B368">
        <v>5816</v>
      </c>
      <c r="C368" t="b">
        <v>1</v>
      </c>
      <c r="D368">
        <v>8048</v>
      </c>
      <c r="E368">
        <v>8117</v>
      </c>
      <c r="F368">
        <v>9.6</v>
      </c>
      <c r="G368">
        <v>5.2</v>
      </c>
      <c r="H368">
        <v>1.8461540000000001</v>
      </c>
      <c r="I368">
        <v>-0.84615399999999996</v>
      </c>
      <c r="J368">
        <v>0.35135132000000002</v>
      </c>
    </row>
    <row r="369" spans="1:10" x14ac:dyDescent="0.3">
      <c r="A369">
        <v>367</v>
      </c>
      <c r="B369">
        <v>5831</v>
      </c>
      <c r="C369" t="b">
        <v>1</v>
      </c>
      <c r="D369">
        <v>8048</v>
      </c>
      <c r="E369">
        <v>8117</v>
      </c>
      <c r="F369">
        <v>9.6</v>
      </c>
      <c r="G369">
        <v>5.2</v>
      </c>
      <c r="H369">
        <v>1.8461540000000001</v>
      </c>
      <c r="I369">
        <v>-0.84615399999999996</v>
      </c>
      <c r="J369">
        <v>0.35135132000000002</v>
      </c>
    </row>
    <row r="370" spans="1:10" x14ac:dyDescent="0.3">
      <c r="A370">
        <v>368</v>
      </c>
      <c r="B370">
        <v>5847</v>
      </c>
      <c r="C370" t="b">
        <v>1</v>
      </c>
      <c r="D370">
        <v>8054</v>
      </c>
      <c r="E370">
        <v>8117</v>
      </c>
      <c r="F370">
        <v>9.6</v>
      </c>
      <c r="G370">
        <v>5.2</v>
      </c>
      <c r="H370">
        <v>1.8461540000000001</v>
      </c>
      <c r="I370">
        <v>-0.84615399999999996</v>
      </c>
      <c r="J370">
        <v>0.35135132000000002</v>
      </c>
    </row>
    <row r="371" spans="1:10" x14ac:dyDescent="0.3">
      <c r="A371">
        <v>369</v>
      </c>
      <c r="B371">
        <v>5863</v>
      </c>
      <c r="C371" t="b">
        <v>1</v>
      </c>
      <c r="D371">
        <v>8048</v>
      </c>
      <c r="E371">
        <v>8117</v>
      </c>
      <c r="F371">
        <v>9.6</v>
      </c>
      <c r="G371">
        <v>5.2</v>
      </c>
      <c r="H371">
        <v>1.8461540000000001</v>
      </c>
      <c r="I371">
        <v>-0.84615399999999996</v>
      </c>
      <c r="J371">
        <v>0.35135132000000002</v>
      </c>
    </row>
    <row r="372" spans="1:10" x14ac:dyDescent="0.3">
      <c r="A372">
        <v>370</v>
      </c>
      <c r="B372">
        <v>5879</v>
      </c>
      <c r="C372" t="b">
        <v>1</v>
      </c>
      <c r="D372">
        <v>8048</v>
      </c>
      <c r="E372">
        <v>8117</v>
      </c>
      <c r="F372">
        <v>9.6</v>
      </c>
      <c r="G372">
        <v>5.2</v>
      </c>
      <c r="H372">
        <v>1.8461540000000001</v>
      </c>
      <c r="I372">
        <v>-0.84615399999999996</v>
      </c>
      <c r="J372">
        <v>0.35135132000000002</v>
      </c>
    </row>
    <row r="373" spans="1:10" x14ac:dyDescent="0.3">
      <c r="A373">
        <v>371</v>
      </c>
      <c r="B373">
        <v>5895</v>
      </c>
      <c r="C373" t="b">
        <v>1</v>
      </c>
      <c r="D373">
        <v>8048</v>
      </c>
      <c r="E373">
        <v>8111</v>
      </c>
      <c r="F373">
        <v>9.6</v>
      </c>
      <c r="G373">
        <v>5.2</v>
      </c>
      <c r="H373">
        <v>1.8461540000000001</v>
      </c>
      <c r="I373">
        <v>-0.84615399999999996</v>
      </c>
      <c r="J373">
        <v>0.35135132000000002</v>
      </c>
    </row>
    <row r="374" spans="1:10" x14ac:dyDescent="0.3">
      <c r="A374">
        <v>372</v>
      </c>
      <c r="B374">
        <v>5911</v>
      </c>
      <c r="C374" t="b">
        <v>1</v>
      </c>
      <c r="D374">
        <v>8048</v>
      </c>
      <c r="E374">
        <v>8117</v>
      </c>
      <c r="F374">
        <v>9.1999999999999993</v>
      </c>
      <c r="G374">
        <v>4.8</v>
      </c>
      <c r="H374">
        <v>1.9166665000000001</v>
      </c>
      <c r="I374">
        <v>-0.91666656999999996</v>
      </c>
      <c r="J374">
        <v>0.34285715</v>
      </c>
    </row>
    <row r="375" spans="1:10" x14ac:dyDescent="0.3">
      <c r="A375">
        <v>373</v>
      </c>
      <c r="B375">
        <v>5927</v>
      </c>
      <c r="C375" t="b">
        <v>1</v>
      </c>
      <c r="D375">
        <v>8054</v>
      </c>
      <c r="E375">
        <v>8117</v>
      </c>
      <c r="F375">
        <v>8.8000000000000007</v>
      </c>
      <c r="G375">
        <v>4.4000000000000004</v>
      </c>
      <c r="H375">
        <v>2</v>
      </c>
      <c r="I375">
        <v>-1</v>
      </c>
      <c r="J375">
        <v>0.3333333</v>
      </c>
    </row>
    <row r="376" spans="1:10" x14ac:dyDescent="0.3">
      <c r="A376">
        <v>374</v>
      </c>
      <c r="B376">
        <v>5942</v>
      </c>
      <c r="C376" t="b">
        <v>1</v>
      </c>
      <c r="D376">
        <v>8042</v>
      </c>
      <c r="E376">
        <v>8129</v>
      </c>
      <c r="F376">
        <v>8.4</v>
      </c>
      <c r="G376">
        <v>4</v>
      </c>
      <c r="H376">
        <v>2.1</v>
      </c>
      <c r="I376">
        <v>-1.0999999</v>
      </c>
      <c r="J376">
        <v>0.32258067000000001</v>
      </c>
    </row>
    <row r="377" spans="1:10" x14ac:dyDescent="0.3">
      <c r="A377">
        <v>375</v>
      </c>
      <c r="B377">
        <v>5958</v>
      </c>
      <c r="C377" t="b">
        <v>1</v>
      </c>
      <c r="D377">
        <v>8042</v>
      </c>
      <c r="E377">
        <v>8123</v>
      </c>
      <c r="F377">
        <v>8</v>
      </c>
      <c r="G377">
        <v>3.6</v>
      </c>
      <c r="H377">
        <v>2.2222222999999999</v>
      </c>
      <c r="I377">
        <v>-1.2222223000000001</v>
      </c>
      <c r="J377">
        <v>0.31034482000000002</v>
      </c>
    </row>
    <row r="378" spans="1:10" x14ac:dyDescent="0.3">
      <c r="A378">
        <v>376</v>
      </c>
      <c r="B378">
        <v>5974</v>
      </c>
      <c r="C378" t="b">
        <v>1</v>
      </c>
      <c r="D378">
        <v>8048</v>
      </c>
      <c r="E378">
        <v>8123</v>
      </c>
      <c r="F378">
        <v>7.6</v>
      </c>
      <c r="G378">
        <v>3.6</v>
      </c>
      <c r="H378">
        <v>2.1111111999999999</v>
      </c>
      <c r="I378">
        <v>-1.1111112000000001</v>
      </c>
      <c r="J378">
        <v>0.32142857000000002</v>
      </c>
    </row>
    <row r="379" spans="1:10" x14ac:dyDescent="0.3">
      <c r="A379">
        <v>377</v>
      </c>
      <c r="B379">
        <v>5990</v>
      </c>
      <c r="C379" t="b">
        <v>1</v>
      </c>
      <c r="D379">
        <v>8048</v>
      </c>
      <c r="E379">
        <v>8123</v>
      </c>
      <c r="F379">
        <v>7.6</v>
      </c>
      <c r="G379">
        <v>3.6</v>
      </c>
      <c r="H379">
        <v>2.1111111999999999</v>
      </c>
      <c r="I379">
        <v>-1.1111112000000001</v>
      </c>
      <c r="J379">
        <v>0.32142857000000002</v>
      </c>
    </row>
    <row r="380" spans="1:10" x14ac:dyDescent="0.3">
      <c r="A380">
        <v>378</v>
      </c>
      <c r="B380">
        <v>6006</v>
      </c>
      <c r="C380" t="b">
        <v>1</v>
      </c>
      <c r="D380">
        <v>8048</v>
      </c>
      <c r="E380">
        <v>8123</v>
      </c>
      <c r="F380">
        <v>7.6</v>
      </c>
      <c r="G380">
        <v>3.6</v>
      </c>
      <c r="H380">
        <v>2.1111111999999999</v>
      </c>
      <c r="I380">
        <v>-1.1111112000000001</v>
      </c>
      <c r="J380">
        <v>0.32142857000000002</v>
      </c>
    </row>
    <row r="381" spans="1:10" x14ac:dyDescent="0.3">
      <c r="A381">
        <v>379</v>
      </c>
      <c r="B381">
        <v>6022</v>
      </c>
      <c r="C381" t="b">
        <v>1</v>
      </c>
      <c r="D381">
        <v>8048</v>
      </c>
      <c r="E381">
        <v>8123</v>
      </c>
      <c r="F381">
        <v>7.6</v>
      </c>
      <c r="G381">
        <v>3.6</v>
      </c>
      <c r="H381">
        <v>2.1111111999999999</v>
      </c>
      <c r="I381">
        <v>-1.1111112000000001</v>
      </c>
      <c r="J381">
        <v>0.32142857000000002</v>
      </c>
    </row>
    <row r="382" spans="1:10" x14ac:dyDescent="0.3">
      <c r="A382">
        <v>380</v>
      </c>
      <c r="B382">
        <v>6038</v>
      </c>
      <c r="C382" t="b">
        <v>1</v>
      </c>
      <c r="D382">
        <v>8048</v>
      </c>
      <c r="E382">
        <v>8123</v>
      </c>
      <c r="F382">
        <v>8</v>
      </c>
      <c r="G382">
        <v>4</v>
      </c>
      <c r="H382">
        <v>2</v>
      </c>
      <c r="I382">
        <v>-1</v>
      </c>
      <c r="J382">
        <v>0.33333333999999998</v>
      </c>
    </row>
    <row r="383" spans="1:10" x14ac:dyDescent="0.3">
      <c r="A383">
        <v>381</v>
      </c>
      <c r="B383">
        <v>6054</v>
      </c>
      <c r="C383" t="b">
        <v>1</v>
      </c>
      <c r="D383">
        <v>8048</v>
      </c>
      <c r="E383">
        <v>8123</v>
      </c>
      <c r="F383">
        <v>8</v>
      </c>
      <c r="G383">
        <v>4.4000000000000004</v>
      </c>
      <c r="H383">
        <v>1.8181818000000001</v>
      </c>
      <c r="I383">
        <v>-0.81818175000000004</v>
      </c>
      <c r="J383">
        <v>0.35483872999999999</v>
      </c>
    </row>
    <row r="384" spans="1:10" x14ac:dyDescent="0.3">
      <c r="A384">
        <v>382</v>
      </c>
      <c r="B384">
        <v>6070</v>
      </c>
      <c r="C384" t="b">
        <v>1</v>
      </c>
      <c r="D384">
        <v>8042</v>
      </c>
      <c r="E384">
        <v>8123</v>
      </c>
      <c r="F384">
        <v>8</v>
      </c>
      <c r="G384">
        <v>4.8</v>
      </c>
      <c r="H384">
        <v>1.6666666000000001</v>
      </c>
      <c r="I384">
        <v>-0.6666666</v>
      </c>
      <c r="J384">
        <v>0.375</v>
      </c>
    </row>
    <row r="385" spans="1:10" x14ac:dyDescent="0.3">
      <c r="A385">
        <v>383</v>
      </c>
      <c r="B385">
        <v>6085</v>
      </c>
      <c r="C385" t="b">
        <v>1</v>
      </c>
      <c r="D385">
        <v>8048</v>
      </c>
      <c r="E385">
        <v>8117</v>
      </c>
      <c r="F385">
        <v>8</v>
      </c>
      <c r="G385">
        <v>5.2</v>
      </c>
      <c r="H385">
        <v>1.5384616</v>
      </c>
      <c r="I385">
        <v>-0.53846156999999994</v>
      </c>
      <c r="J385">
        <v>0.39393938000000001</v>
      </c>
    </row>
    <row r="386" spans="1:10" x14ac:dyDescent="0.3">
      <c r="A386">
        <v>384</v>
      </c>
      <c r="B386">
        <v>6102</v>
      </c>
      <c r="C386" t="b">
        <v>1</v>
      </c>
      <c r="D386">
        <v>8054</v>
      </c>
      <c r="E386">
        <v>8129</v>
      </c>
      <c r="F386">
        <v>8</v>
      </c>
      <c r="G386">
        <v>5.6</v>
      </c>
      <c r="H386">
        <v>1.4285715000000001</v>
      </c>
      <c r="I386">
        <v>-0.42857146000000002</v>
      </c>
      <c r="J386">
        <v>0.41176467999999999</v>
      </c>
    </row>
    <row r="387" spans="1:10" x14ac:dyDescent="0.3">
      <c r="A387">
        <v>385</v>
      </c>
      <c r="B387">
        <v>6118</v>
      </c>
      <c r="C387" t="b">
        <v>1</v>
      </c>
      <c r="D387">
        <v>8054</v>
      </c>
      <c r="E387">
        <v>8123</v>
      </c>
      <c r="F387">
        <v>8</v>
      </c>
      <c r="G387">
        <v>6</v>
      </c>
      <c r="H387">
        <v>1.3333333999999999</v>
      </c>
      <c r="I387">
        <v>-0.33333333999999998</v>
      </c>
      <c r="J387">
        <v>0.42857142999999998</v>
      </c>
    </row>
    <row r="388" spans="1:10" x14ac:dyDescent="0.3">
      <c r="A388">
        <v>386</v>
      </c>
      <c r="B388">
        <v>6134</v>
      </c>
      <c r="C388" t="b">
        <v>1</v>
      </c>
      <c r="D388">
        <v>8048</v>
      </c>
      <c r="E388">
        <v>8117</v>
      </c>
      <c r="F388">
        <v>8</v>
      </c>
      <c r="G388">
        <v>6.4</v>
      </c>
      <c r="H388">
        <v>1.25</v>
      </c>
      <c r="I388">
        <v>-0.24999999000000001</v>
      </c>
      <c r="J388">
        <v>0.44444447999999998</v>
      </c>
    </row>
    <row r="389" spans="1:10" x14ac:dyDescent="0.3">
      <c r="A389">
        <v>387</v>
      </c>
      <c r="B389">
        <v>6149</v>
      </c>
      <c r="C389" t="b">
        <v>1</v>
      </c>
      <c r="D389">
        <v>8042</v>
      </c>
      <c r="E389">
        <v>8117</v>
      </c>
      <c r="F389">
        <v>8</v>
      </c>
      <c r="G389">
        <v>6.4</v>
      </c>
      <c r="H389">
        <v>1.25</v>
      </c>
      <c r="I389">
        <v>-0.24999999000000001</v>
      </c>
      <c r="J389">
        <v>0.44444447999999998</v>
      </c>
    </row>
    <row r="390" spans="1:10" x14ac:dyDescent="0.3">
      <c r="A390">
        <v>388</v>
      </c>
      <c r="B390">
        <v>6165</v>
      </c>
      <c r="C390" t="b">
        <v>1</v>
      </c>
      <c r="D390">
        <v>8048</v>
      </c>
      <c r="E390">
        <v>8117</v>
      </c>
      <c r="F390">
        <v>8</v>
      </c>
      <c r="G390">
        <v>6.4</v>
      </c>
      <c r="H390">
        <v>1.25</v>
      </c>
      <c r="I390">
        <v>-0.24999999000000001</v>
      </c>
      <c r="J390">
        <v>0.44444447999999998</v>
      </c>
    </row>
    <row r="391" spans="1:10" x14ac:dyDescent="0.3">
      <c r="A391">
        <v>389</v>
      </c>
      <c r="B391">
        <v>6181</v>
      </c>
      <c r="C391" t="b">
        <v>1</v>
      </c>
      <c r="D391">
        <v>8048</v>
      </c>
      <c r="E391">
        <v>8123</v>
      </c>
      <c r="F391">
        <v>8</v>
      </c>
      <c r="G391">
        <v>6.4</v>
      </c>
      <c r="H391">
        <v>1.25</v>
      </c>
      <c r="I391">
        <v>-0.24999999000000001</v>
      </c>
      <c r="J391">
        <v>0.44444447999999998</v>
      </c>
    </row>
    <row r="392" spans="1:10" x14ac:dyDescent="0.3">
      <c r="A392">
        <v>390</v>
      </c>
      <c r="B392">
        <v>6197</v>
      </c>
      <c r="C392" t="b">
        <v>1</v>
      </c>
      <c r="D392">
        <v>8054</v>
      </c>
      <c r="E392">
        <v>8117</v>
      </c>
      <c r="F392">
        <v>8</v>
      </c>
      <c r="G392">
        <v>6.4</v>
      </c>
      <c r="H392">
        <v>1.25</v>
      </c>
      <c r="I392">
        <v>-0.24999999000000001</v>
      </c>
      <c r="J392">
        <v>0.44444447999999998</v>
      </c>
    </row>
    <row r="393" spans="1:10" x14ac:dyDescent="0.3">
      <c r="A393">
        <v>391</v>
      </c>
      <c r="B393">
        <v>6213</v>
      </c>
      <c r="C393" t="b">
        <v>1</v>
      </c>
      <c r="D393">
        <v>8048</v>
      </c>
      <c r="E393">
        <v>8117</v>
      </c>
      <c r="F393">
        <v>8</v>
      </c>
      <c r="G393">
        <v>6</v>
      </c>
      <c r="H393">
        <v>1.3333333999999999</v>
      </c>
      <c r="I393">
        <v>-0.33333333999999998</v>
      </c>
      <c r="J393">
        <v>0.42857142999999998</v>
      </c>
    </row>
    <row r="394" spans="1:10" x14ac:dyDescent="0.3">
      <c r="A394">
        <v>392</v>
      </c>
      <c r="B394">
        <v>6229</v>
      </c>
      <c r="C394" t="b">
        <v>1</v>
      </c>
      <c r="D394">
        <v>8048</v>
      </c>
      <c r="E394">
        <v>8123</v>
      </c>
      <c r="F394">
        <v>8</v>
      </c>
      <c r="G394">
        <v>5.6</v>
      </c>
      <c r="H394">
        <v>1.4285715000000001</v>
      </c>
      <c r="I394">
        <v>-0.42857146000000002</v>
      </c>
      <c r="J394">
        <v>0.41176467999999999</v>
      </c>
    </row>
    <row r="395" spans="1:10" x14ac:dyDescent="0.3">
      <c r="A395">
        <v>393</v>
      </c>
      <c r="B395">
        <v>6245</v>
      </c>
      <c r="C395" t="b">
        <v>1</v>
      </c>
      <c r="D395">
        <v>8048</v>
      </c>
      <c r="E395">
        <v>8123</v>
      </c>
      <c r="F395">
        <v>8</v>
      </c>
      <c r="G395">
        <v>5.6</v>
      </c>
      <c r="H395">
        <v>1.4285715000000001</v>
      </c>
      <c r="I395">
        <v>-0.42857146000000002</v>
      </c>
      <c r="J395">
        <v>0.41176467999999999</v>
      </c>
    </row>
    <row r="396" spans="1:10" x14ac:dyDescent="0.3">
      <c r="A396">
        <v>394</v>
      </c>
      <c r="B396">
        <v>6261</v>
      </c>
      <c r="C396" t="b">
        <v>1</v>
      </c>
      <c r="D396">
        <v>8048</v>
      </c>
      <c r="E396">
        <v>8123</v>
      </c>
      <c r="F396">
        <v>8</v>
      </c>
      <c r="G396">
        <v>5.6</v>
      </c>
      <c r="H396">
        <v>1.4285715000000001</v>
      </c>
      <c r="I396">
        <v>-0.42857146000000002</v>
      </c>
      <c r="J396">
        <v>0.41176467999999999</v>
      </c>
    </row>
    <row r="397" spans="1:10" x14ac:dyDescent="0.3">
      <c r="A397">
        <v>395</v>
      </c>
      <c r="B397">
        <v>6277</v>
      </c>
      <c r="C397" t="b">
        <v>1</v>
      </c>
      <c r="D397">
        <v>8048</v>
      </c>
      <c r="E397">
        <v>8123</v>
      </c>
      <c r="F397">
        <v>8</v>
      </c>
      <c r="G397">
        <v>5.6</v>
      </c>
      <c r="H397">
        <v>1.4285715000000001</v>
      </c>
      <c r="I397">
        <v>-0.42857146000000002</v>
      </c>
      <c r="J397">
        <v>0.41176467999999999</v>
      </c>
    </row>
    <row r="398" spans="1:10" x14ac:dyDescent="0.3">
      <c r="A398">
        <v>396</v>
      </c>
      <c r="B398">
        <v>6292</v>
      </c>
      <c r="C398" t="b">
        <v>1</v>
      </c>
      <c r="D398">
        <v>8048</v>
      </c>
      <c r="E398">
        <v>8123</v>
      </c>
      <c r="F398">
        <v>8</v>
      </c>
      <c r="G398">
        <v>5.6</v>
      </c>
      <c r="H398">
        <v>1.4285715000000001</v>
      </c>
      <c r="I398">
        <v>-0.42857146000000002</v>
      </c>
      <c r="J398">
        <v>0.41176467999999999</v>
      </c>
    </row>
    <row r="399" spans="1:10" x14ac:dyDescent="0.3">
      <c r="A399">
        <v>397</v>
      </c>
      <c r="B399">
        <v>6308</v>
      </c>
      <c r="C399" t="b">
        <v>1</v>
      </c>
      <c r="D399">
        <v>8048</v>
      </c>
      <c r="E399">
        <v>8117</v>
      </c>
      <c r="F399">
        <v>8</v>
      </c>
      <c r="G399">
        <v>5.6</v>
      </c>
      <c r="H399">
        <v>1.4285715000000001</v>
      </c>
      <c r="I399">
        <v>-0.42857146000000002</v>
      </c>
      <c r="J399">
        <v>0.41176467999999999</v>
      </c>
    </row>
    <row r="400" spans="1:10" x14ac:dyDescent="0.3">
      <c r="A400">
        <v>398</v>
      </c>
      <c r="B400">
        <v>6324</v>
      </c>
      <c r="C400" t="b">
        <v>1</v>
      </c>
      <c r="D400">
        <v>8054</v>
      </c>
      <c r="E400">
        <v>8123</v>
      </c>
      <c r="F400">
        <v>8</v>
      </c>
      <c r="G400">
        <v>5.6</v>
      </c>
      <c r="H400">
        <v>1.4285715000000001</v>
      </c>
      <c r="I400">
        <v>-0.42857146000000002</v>
      </c>
      <c r="J400">
        <v>0.41176467999999999</v>
      </c>
    </row>
    <row r="401" spans="1:10" x14ac:dyDescent="0.3">
      <c r="A401">
        <v>399</v>
      </c>
      <c r="B401">
        <v>6339</v>
      </c>
      <c r="C401" t="b">
        <v>1</v>
      </c>
      <c r="D401">
        <v>8048</v>
      </c>
      <c r="E401">
        <v>8123</v>
      </c>
      <c r="F401">
        <v>8</v>
      </c>
      <c r="G401">
        <v>5.6</v>
      </c>
      <c r="H401">
        <v>1.4285715000000001</v>
      </c>
      <c r="I401">
        <v>-0.42857146000000002</v>
      </c>
      <c r="J401">
        <v>0.41176467999999999</v>
      </c>
    </row>
    <row r="402" spans="1:10" x14ac:dyDescent="0.3">
      <c r="A402">
        <v>400</v>
      </c>
      <c r="B402">
        <v>6355</v>
      </c>
      <c r="C402" t="b">
        <v>1</v>
      </c>
      <c r="D402">
        <v>8048</v>
      </c>
      <c r="E402">
        <v>8123</v>
      </c>
      <c r="F402">
        <v>8</v>
      </c>
      <c r="G402">
        <v>5.6</v>
      </c>
      <c r="H402">
        <v>1.4285715000000001</v>
      </c>
      <c r="I402">
        <v>-0.42857146000000002</v>
      </c>
      <c r="J402">
        <v>0.41176467999999999</v>
      </c>
    </row>
    <row r="403" spans="1:10" x14ac:dyDescent="0.3">
      <c r="A403">
        <v>401</v>
      </c>
      <c r="B403">
        <v>6371</v>
      </c>
      <c r="C403" t="b">
        <v>1</v>
      </c>
      <c r="D403">
        <v>8048</v>
      </c>
      <c r="E403">
        <v>8123</v>
      </c>
      <c r="F403">
        <v>8</v>
      </c>
      <c r="G403">
        <v>5.6</v>
      </c>
      <c r="H403">
        <v>1.4285715000000001</v>
      </c>
      <c r="I403">
        <v>-0.42857146000000002</v>
      </c>
      <c r="J403">
        <v>0.41176467999999999</v>
      </c>
    </row>
    <row r="404" spans="1:10" x14ac:dyDescent="0.3">
      <c r="A404">
        <v>402</v>
      </c>
      <c r="B404">
        <v>6387</v>
      </c>
      <c r="C404" t="b">
        <v>1</v>
      </c>
      <c r="D404">
        <v>8042</v>
      </c>
      <c r="E404">
        <v>8123</v>
      </c>
      <c r="F404">
        <v>8</v>
      </c>
      <c r="G404">
        <v>6</v>
      </c>
      <c r="H404">
        <v>1.3333333999999999</v>
      </c>
      <c r="I404">
        <v>-0.33333333999999998</v>
      </c>
      <c r="J404">
        <v>0.42857142999999998</v>
      </c>
    </row>
    <row r="405" spans="1:10" x14ac:dyDescent="0.3">
      <c r="A405">
        <v>403</v>
      </c>
      <c r="B405">
        <v>6403</v>
      </c>
      <c r="C405" t="b">
        <v>1</v>
      </c>
      <c r="D405">
        <v>8048</v>
      </c>
      <c r="E405">
        <v>8123</v>
      </c>
      <c r="F405">
        <v>8</v>
      </c>
      <c r="G405">
        <v>6.4</v>
      </c>
      <c r="H405">
        <v>1.25</v>
      </c>
      <c r="I405">
        <v>-0.24999999000000001</v>
      </c>
      <c r="J405">
        <v>0.44444447999999998</v>
      </c>
    </row>
    <row r="406" spans="1:10" x14ac:dyDescent="0.3">
      <c r="A406">
        <v>404</v>
      </c>
      <c r="B406">
        <v>6418</v>
      </c>
      <c r="C406" t="b">
        <v>1</v>
      </c>
      <c r="D406">
        <v>8048</v>
      </c>
      <c r="E406">
        <v>8123</v>
      </c>
      <c r="F406">
        <v>8</v>
      </c>
      <c r="G406">
        <v>6.8</v>
      </c>
      <c r="H406">
        <v>1.1764705</v>
      </c>
      <c r="I406">
        <v>-0.17647055</v>
      </c>
      <c r="J406">
        <v>0.45945944999999999</v>
      </c>
    </row>
    <row r="407" spans="1:10" x14ac:dyDescent="0.3">
      <c r="A407">
        <v>405</v>
      </c>
      <c r="B407">
        <v>6434</v>
      </c>
      <c r="C407" t="b">
        <v>1</v>
      </c>
      <c r="D407">
        <v>8048</v>
      </c>
      <c r="E407">
        <v>8123</v>
      </c>
      <c r="F407">
        <v>8</v>
      </c>
      <c r="G407">
        <v>7.2</v>
      </c>
      <c r="H407">
        <v>1.1111112000000001</v>
      </c>
      <c r="I407">
        <v>-0.11111114</v>
      </c>
      <c r="J407">
        <v>0.4736842</v>
      </c>
    </row>
    <row r="408" spans="1:10" x14ac:dyDescent="0.3">
      <c r="A408">
        <v>406</v>
      </c>
      <c r="B408">
        <v>6450</v>
      </c>
      <c r="C408" t="b">
        <v>1</v>
      </c>
      <c r="D408">
        <v>8048</v>
      </c>
      <c r="E408">
        <v>8123</v>
      </c>
      <c r="F408">
        <v>8</v>
      </c>
      <c r="G408">
        <v>7.6</v>
      </c>
      <c r="H408">
        <v>1.0526316</v>
      </c>
      <c r="I408">
        <v>-5.2631589999999999E-2</v>
      </c>
      <c r="J408">
        <v>0.48717946000000001</v>
      </c>
    </row>
    <row r="409" spans="1:10" x14ac:dyDescent="0.3">
      <c r="A409">
        <v>407</v>
      </c>
      <c r="B409">
        <v>6465</v>
      </c>
      <c r="C409" t="b">
        <v>1</v>
      </c>
      <c r="D409">
        <v>8048</v>
      </c>
      <c r="E409">
        <v>8123</v>
      </c>
      <c r="F409">
        <v>8</v>
      </c>
      <c r="G409">
        <v>8</v>
      </c>
      <c r="H409">
        <v>1</v>
      </c>
      <c r="I409">
        <v>0</v>
      </c>
      <c r="J409">
        <v>0.5</v>
      </c>
    </row>
    <row r="410" spans="1:10" x14ac:dyDescent="0.3">
      <c r="A410">
        <v>408</v>
      </c>
      <c r="B410">
        <v>6481</v>
      </c>
      <c r="C410" t="b">
        <v>1</v>
      </c>
      <c r="D410">
        <v>8054</v>
      </c>
      <c r="E410">
        <v>8129</v>
      </c>
      <c r="F410">
        <v>8</v>
      </c>
      <c r="G410">
        <v>8</v>
      </c>
      <c r="H410">
        <v>1</v>
      </c>
      <c r="I410">
        <v>0</v>
      </c>
      <c r="J410">
        <v>0.5</v>
      </c>
    </row>
    <row r="411" spans="1:10" x14ac:dyDescent="0.3">
      <c r="A411">
        <v>409</v>
      </c>
      <c r="B411">
        <v>6497</v>
      </c>
      <c r="C411" t="b">
        <v>1</v>
      </c>
      <c r="D411">
        <v>8054</v>
      </c>
      <c r="E411">
        <v>8123</v>
      </c>
      <c r="F411">
        <v>8</v>
      </c>
      <c r="G411">
        <v>8</v>
      </c>
      <c r="H411">
        <v>1</v>
      </c>
      <c r="I411">
        <v>0</v>
      </c>
      <c r="J411">
        <v>0.5</v>
      </c>
    </row>
    <row r="412" spans="1:10" x14ac:dyDescent="0.3">
      <c r="A412">
        <v>410</v>
      </c>
      <c r="B412">
        <v>6513</v>
      </c>
      <c r="C412" t="b">
        <v>1</v>
      </c>
      <c r="D412">
        <v>8054</v>
      </c>
      <c r="E412">
        <v>8123</v>
      </c>
      <c r="F412">
        <v>8.4</v>
      </c>
      <c r="G412">
        <v>8</v>
      </c>
      <c r="H412">
        <v>1.05</v>
      </c>
      <c r="I412">
        <v>-4.9999952E-2</v>
      </c>
      <c r="J412">
        <v>0.48780489999999999</v>
      </c>
    </row>
    <row r="413" spans="1:10" x14ac:dyDescent="0.3">
      <c r="A413">
        <v>411</v>
      </c>
      <c r="B413">
        <v>6529</v>
      </c>
      <c r="C413" t="b">
        <v>1</v>
      </c>
      <c r="D413">
        <v>8042</v>
      </c>
      <c r="E413">
        <v>8117</v>
      </c>
      <c r="F413">
        <v>8.8000000000000007</v>
      </c>
      <c r="G413">
        <v>8</v>
      </c>
      <c r="H413">
        <v>1.1000000000000001</v>
      </c>
      <c r="I413">
        <v>-0.10000002400000001</v>
      </c>
      <c r="J413">
        <v>0.47619050000000002</v>
      </c>
    </row>
    <row r="414" spans="1:10" x14ac:dyDescent="0.3">
      <c r="A414">
        <v>412</v>
      </c>
      <c r="B414">
        <v>6545</v>
      </c>
      <c r="C414" t="b">
        <v>1</v>
      </c>
      <c r="D414">
        <v>8048</v>
      </c>
      <c r="E414">
        <v>8117</v>
      </c>
      <c r="F414">
        <v>9.1999999999999993</v>
      </c>
      <c r="G414">
        <v>8</v>
      </c>
      <c r="H414">
        <v>1.1499999999999999</v>
      </c>
      <c r="I414">
        <v>-0.14999998</v>
      </c>
      <c r="J414">
        <v>0.46511626</v>
      </c>
    </row>
    <row r="415" spans="1:10" x14ac:dyDescent="0.3">
      <c r="A415">
        <v>413</v>
      </c>
      <c r="B415">
        <v>6560</v>
      </c>
      <c r="C415" t="b">
        <v>1</v>
      </c>
      <c r="D415">
        <v>8048</v>
      </c>
      <c r="E415">
        <v>8117</v>
      </c>
      <c r="F415">
        <v>9.1999999999999993</v>
      </c>
      <c r="G415">
        <v>7.6</v>
      </c>
      <c r="H415">
        <v>1.2105262999999999</v>
      </c>
      <c r="I415">
        <v>-0.2105263</v>
      </c>
      <c r="J415">
        <v>0.45238096</v>
      </c>
    </row>
    <row r="416" spans="1:10" x14ac:dyDescent="0.3">
      <c r="A416">
        <v>414</v>
      </c>
      <c r="B416">
        <v>6576</v>
      </c>
      <c r="C416" t="b">
        <v>1</v>
      </c>
      <c r="D416">
        <v>8048</v>
      </c>
      <c r="E416">
        <v>8117</v>
      </c>
      <c r="F416">
        <v>9.1999999999999993</v>
      </c>
      <c r="G416">
        <v>7.2</v>
      </c>
      <c r="H416">
        <v>1.2777778</v>
      </c>
      <c r="I416">
        <v>-0.27777780000000002</v>
      </c>
      <c r="J416">
        <v>0.43902439999999998</v>
      </c>
    </row>
    <row r="417" spans="1:10" x14ac:dyDescent="0.3">
      <c r="A417">
        <v>415</v>
      </c>
      <c r="B417">
        <v>6592</v>
      </c>
      <c r="C417" t="b">
        <v>1</v>
      </c>
      <c r="D417">
        <v>8048</v>
      </c>
      <c r="E417">
        <v>8123</v>
      </c>
      <c r="F417">
        <v>9.1999999999999993</v>
      </c>
      <c r="G417">
        <v>6.8</v>
      </c>
      <c r="H417">
        <v>1.3529412000000001</v>
      </c>
      <c r="I417">
        <v>-0.35294110000000001</v>
      </c>
      <c r="J417">
        <v>0.42499999999999999</v>
      </c>
    </row>
    <row r="418" spans="1:10" x14ac:dyDescent="0.3">
      <c r="A418">
        <v>416</v>
      </c>
      <c r="B418">
        <v>6607</v>
      </c>
      <c r="C418" t="b">
        <v>1</v>
      </c>
      <c r="D418">
        <v>8048</v>
      </c>
      <c r="E418">
        <v>8117</v>
      </c>
      <c r="F418">
        <v>9.1999999999999993</v>
      </c>
      <c r="G418">
        <v>6.4</v>
      </c>
      <c r="H418">
        <v>1.4375</v>
      </c>
      <c r="I418">
        <v>-0.43749993999999998</v>
      </c>
      <c r="J418">
        <v>0.41025642000000001</v>
      </c>
    </row>
    <row r="419" spans="1:10" x14ac:dyDescent="0.3">
      <c r="A419">
        <v>417</v>
      </c>
      <c r="B419">
        <v>6623</v>
      </c>
      <c r="C419" t="b">
        <v>1</v>
      </c>
      <c r="D419">
        <v>8048</v>
      </c>
      <c r="E419">
        <v>8123</v>
      </c>
      <c r="F419">
        <v>9.1999999999999993</v>
      </c>
      <c r="G419">
        <v>6</v>
      </c>
      <c r="H419">
        <v>1.5333333</v>
      </c>
      <c r="I419">
        <v>-0.53333330000000001</v>
      </c>
      <c r="J419">
        <v>0.39473686000000002</v>
      </c>
    </row>
    <row r="420" spans="1:10" x14ac:dyDescent="0.3">
      <c r="A420">
        <v>418</v>
      </c>
      <c r="B420">
        <v>6639</v>
      </c>
      <c r="C420" t="b">
        <v>1</v>
      </c>
      <c r="D420">
        <v>8042</v>
      </c>
      <c r="E420">
        <v>8123</v>
      </c>
      <c r="F420">
        <v>9.1999999999999993</v>
      </c>
      <c r="G420">
        <v>6</v>
      </c>
      <c r="H420">
        <v>1.5333333</v>
      </c>
      <c r="I420">
        <v>-0.53333330000000001</v>
      </c>
      <c r="J420">
        <v>0.39473686000000002</v>
      </c>
    </row>
    <row r="421" spans="1:10" x14ac:dyDescent="0.3">
      <c r="A421">
        <v>419</v>
      </c>
      <c r="B421">
        <v>6655</v>
      </c>
      <c r="C421" t="b">
        <v>1</v>
      </c>
      <c r="D421">
        <v>8048</v>
      </c>
      <c r="E421">
        <v>8123</v>
      </c>
      <c r="F421">
        <v>9.1999999999999993</v>
      </c>
      <c r="G421">
        <v>6</v>
      </c>
      <c r="H421">
        <v>1.5333333</v>
      </c>
      <c r="I421">
        <v>-0.53333330000000001</v>
      </c>
      <c r="J421">
        <v>0.39473686000000002</v>
      </c>
    </row>
    <row r="422" spans="1:10" x14ac:dyDescent="0.3">
      <c r="A422">
        <v>420</v>
      </c>
      <c r="B422">
        <v>6671</v>
      </c>
      <c r="C422" t="b">
        <v>1</v>
      </c>
      <c r="D422">
        <v>8048</v>
      </c>
      <c r="E422">
        <v>8123</v>
      </c>
      <c r="F422">
        <v>9.1999999999999993</v>
      </c>
      <c r="G422">
        <v>6</v>
      </c>
      <c r="H422">
        <v>1.5333333</v>
      </c>
      <c r="I422">
        <v>-0.53333330000000001</v>
      </c>
      <c r="J422">
        <v>0.39473686000000002</v>
      </c>
    </row>
    <row r="423" spans="1:10" x14ac:dyDescent="0.3">
      <c r="A423">
        <v>421</v>
      </c>
      <c r="B423">
        <v>6687</v>
      </c>
      <c r="C423" t="b">
        <v>1</v>
      </c>
      <c r="D423">
        <v>8048</v>
      </c>
      <c r="E423">
        <v>8123</v>
      </c>
      <c r="F423">
        <v>9.1999999999999993</v>
      </c>
      <c r="G423">
        <v>6</v>
      </c>
      <c r="H423">
        <v>1.5333333</v>
      </c>
      <c r="I423">
        <v>-0.53333330000000001</v>
      </c>
      <c r="J423">
        <v>0.39473686000000002</v>
      </c>
    </row>
    <row r="424" spans="1:10" x14ac:dyDescent="0.3">
      <c r="A424">
        <v>422</v>
      </c>
      <c r="B424">
        <v>6703</v>
      </c>
      <c r="C424" t="b">
        <v>1</v>
      </c>
      <c r="D424">
        <v>8048</v>
      </c>
      <c r="E424">
        <v>8123</v>
      </c>
      <c r="F424">
        <v>9.1999999999999993</v>
      </c>
      <c r="G424">
        <v>6</v>
      </c>
      <c r="H424">
        <v>1.5333333</v>
      </c>
      <c r="I424">
        <v>-0.53333330000000001</v>
      </c>
      <c r="J424">
        <v>0.39473686000000002</v>
      </c>
    </row>
    <row r="425" spans="1:10" x14ac:dyDescent="0.3">
      <c r="A425">
        <v>423</v>
      </c>
      <c r="B425">
        <v>6718</v>
      </c>
      <c r="C425" t="b">
        <v>1</v>
      </c>
      <c r="D425">
        <v>8048</v>
      </c>
      <c r="E425">
        <v>8123</v>
      </c>
      <c r="F425">
        <v>9.1999999999999993</v>
      </c>
      <c r="G425">
        <v>6</v>
      </c>
      <c r="H425">
        <v>1.5333333</v>
      </c>
      <c r="I425">
        <v>-0.53333330000000001</v>
      </c>
      <c r="J425">
        <v>0.39473686000000002</v>
      </c>
    </row>
    <row r="426" spans="1:10" x14ac:dyDescent="0.3">
      <c r="A426">
        <v>424</v>
      </c>
      <c r="B426">
        <v>6734</v>
      </c>
      <c r="C426" t="b">
        <v>1</v>
      </c>
      <c r="D426">
        <v>8048</v>
      </c>
      <c r="E426">
        <v>8117</v>
      </c>
      <c r="F426">
        <v>9.1999999999999993</v>
      </c>
      <c r="G426">
        <v>6</v>
      </c>
      <c r="H426">
        <v>1.5333333</v>
      </c>
      <c r="I426">
        <v>-0.53333330000000001</v>
      </c>
      <c r="J426">
        <v>0.39473686000000002</v>
      </c>
    </row>
    <row r="427" spans="1:10" x14ac:dyDescent="0.3">
      <c r="A427">
        <v>425</v>
      </c>
      <c r="B427">
        <v>6750</v>
      </c>
      <c r="C427" t="b">
        <v>1</v>
      </c>
      <c r="D427">
        <v>8048</v>
      </c>
      <c r="E427">
        <v>8123</v>
      </c>
      <c r="F427">
        <v>8.8000000000000007</v>
      </c>
      <c r="G427">
        <v>6</v>
      </c>
      <c r="H427">
        <v>1.4666667</v>
      </c>
      <c r="I427">
        <v>-0.46666669999999999</v>
      </c>
      <c r="J427">
        <v>0.40540540000000003</v>
      </c>
    </row>
    <row r="428" spans="1:10" x14ac:dyDescent="0.3">
      <c r="A428">
        <v>426</v>
      </c>
      <c r="B428">
        <v>6765</v>
      </c>
      <c r="C428" t="b">
        <v>1</v>
      </c>
      <c r="D428">
        <v>8048</v>
      </c>
      <c r="E428">
        <v>8117</v>
      </c>
      <c r="F428">
        <v>8.4</v>
      </c>
      <c r="G428">
        <v>6</v>
      </c>
      <c r="H428">
        <v>1.4</v>
      </c>
      <c r="I428">
        <v>-0.39999994999999999</v>
      </c>
      <c r="J428">
        <v>0.4166667</v>
      </c>
    </row>
    <row r="429" spans="1:10" x14ac:dyDescent="0.3">
      <c r="A429">
        <v>427</v>
      </c>
      <c r="B429">
        <v>6781</v>
      </c>
      <c r="C429" t="b">
        <v>1</v>
      </c>
      <c r="D429">
        <v>8048</v>
      </c>
      <c r="E429">
        <v>8123</v>
      </c>
      <c r="F429">
        <v>8</v>
      </c>
      <c r="G429">
        <v>6</v>
      </c>
      <c r="H429">
        <v>1.3333333999999999</v>
      </c>
      <c r="I429">
        <v>-0.33333333999999998</v>
      </c>
      <c r="J429">
        <v>0.42857142999999998</v>
      </c>
    </row>
    <row r="430" spans="1:10" x14ac:dyDescent="0.3">
      <c r="A430">
        <v>428</v>
      </c>
      <c r="B430">
        <v>6797</v>
      </c>
      <c r="C430" t="b">
        <v>1</v>
      </c>
      <c r="D430">
        <v>8048</v>
      </c>
      <c r="E430">
        <v>8123</v>
      </c>
      <c r="F430">
        <v>8</v>
      </c>
      <c r="G430">
        <v>6.4</v>
      </c>
      <c r="H430">
        <v>1.25</v>
      </c>
      <c r="I430">
        <v>-0.24999999000000001</v>
      </c>
      <c r="J430">
        <v>0.44444447999999998</v>
      </c>
    </row>
    <row r="431" spans="1:10" x14ac:dyDescent="0.3">
      <c r="A431">
        <v>429</v>
      </c>
      <c r="B431">
        <v>6813</v>
      </c>
      <c r="C431" t="b">
        <v>1</v>
      </c>
      <c r="D431">
        <v>8054</v>
      </c>
      <c r="E431">
        <v>8117</v>
      </c>
      <c r="F431">
        <v>8</v>
      </c>
      <c r="G431">
        <v>6.8</v>
      </c>
      <c r="H431">
        <v>1.1764705</v>
      </c>
      <c r="I431">
        <v>-0.17647055</v>
      </c>
      <c r="J431">
        <v>0.45945944999999999</v>
      </c>
    </row>
    <row r="432" spans="1:10" x14ac:dyDescent="0.3">
      <c r="A432">
        <v>430</v>
      </c>
      <c r="B432">
        <v>6829</v>
      </c>
      <c r="C432" t="b">
        <v>1</v>
      </c>
      <c r="D432">
        <v>8048</v>
      </c>
      <c r="E432">
        <v>8117</v>
      </c>
      <c r="F432">
        <v>8</v>
      </c>
      <c r="G432">
        <v>6.8</v>
      </c>
      <c r="H432">
        <v>1.1764705</v>
      </c>
      <c r="I432">
        <v>-0.17647055</v>
      </c>
      <c r="J432">
        <v>0.45945944999999999</v>
      </c>
    </row>
    <row r="433" spans="1:10" x14ac:dyDescent="0.3">
      <c r="A433">
        <v>431</v>
      </c>
      <c r="B433">
        <v>6844</v>
      </c>
      <c r="C433" t="b">
        <v>1</v>
      </c>
      <c r="D433">
        <v>8048</v>
      </c>
      <c r="E433">
        <v>8117</v>
      </c>
      <c r="F433">
        <v>8</v>
      </c>
      <c r="G433">
        <v>6.8</v>
      </c>
      <c r="H433">
        <v>1.1764705</v>
      </c>
      <c r="I433">
        <v>-0.17647055</v>
      </c>
      <c r="J433">
        <v>0.45945944999999999</v>
      </c>
    </row>
    <row r="434" spans="1:10" x14ac:dyDescent="0.3">
      <c r="A434">
        <v>432</v>
      </c>
      <c r="B434">
        <v>6861</v>
      </c>
      <c r="C434" t="b">
        <v>1</v>
      </c>
      <c r="D434">
        <v>8048</v>
      </c>
      <c r="E434">
        <v>8123</v>
      </c>
      <c r="F434">
        <v>8</v>
      </c>
      <c r="G434">
        <v>6.8</v>
      </c>
      <c r="H434">
        <v>1.1764705</v>
      </c>
      <c r="I434">
        <v>-0.17647055</v>
      </c>
      <c r="J434">
        <v>0.45945944999999999</v>
      </c>
    </row>
    <row r="435" spans="1:10" x14ac:dyDescent="0.3">
      <c r="A435">
        <v>433</v>
      </c>
      <c r="B435">
        <v>6876</v>
      </c>
      <c r="C435" t="b">
        <v>1</v>
      </c>
      <c r="D435">
        <v>8048</v>
      </c>
      <c r="E435">
        <v>8117</v>
      </c>
      <c r="F435">
        <v>8</v>
      </c>
      <c r="G435">
        <v>6.4</v>
      </c>
      <c r="H435">
        <v>1.25</v>
      </c>
      <c r="I435">
        <v>-0.24999999000000001</v>
      </c>
      <c r="J435">
        <v>0.44444447999999998</v>
      </c>
    </row>
    <row r="436" spans="1:10" x14ac:dyDescent="0.3">
      <c r="A436">
        <v>434</v>
      </c>
      <c r="B436">
        <v>6892</v>
      </c>
      <c r="C436" t="b">
        <v>1</v>
      </c>
      <c r="D436">
        <v>8048</v>
      </c>
      <c r="E436">
        <v>8117</v>
      </c>
      <c r="F436">
        <v>8</v>
      </c>
      <c r="G436">
        <v>6</v>
      </c>
      <c r="H436">
        <v>1.3333333999999999</v>
      </c>
      <c r="I436">
        <v>-0.33333333999999998</v>
      </c>
      <c r="J436">
        <v>0.42857142999999998</v>
      </c>
    </row>
    <row r="437" spans="1:10" x14ac:dyDescent="0.3">
      <c r="A437">
        <v>435</v>
      </c>
      <c r="B437">
        <v>6907</v>
      </c>
      <c r="C437" t="b">
        <v>1</v>
      </c>
      <c r="D437">
        <v>8048</v>
      </c>
      <c r="E437">
        <v>8117</v>
      </c>
      <c r="F437">
        <v>8</v>
      </c>
      <c r="G437">
        <v>5.6</v>
      </c>
      <c r="H437">
        <v>1.4285715000000001</v>
      </c>
      <c r="I437">
        <v>-0.42857146000000002</v>
      </c>
      <c r="J437">
        <v>0.41176467999999999</v>
      </c>
    </row>
    <row r="438" spans="1:10" x14ac:dyDescent="0.3">
      <c r="A438">
        <v>436</v>
      </c>
      <c r="B438">
        <v>6924</v>
      </c>
      <c r="C438" t="b">
        <v>1</v>
      </c>
      <c r="D438">
        <v>8054</v>
      </c>
      <c r="E438">
        <v>8117</v>
      </c>
      <c r="F438">
        <v>8</v>
      </c>
      <c r="G438">
        <v>5.2</v>
      </c>
      <c r="H438">
        <v>1.5384616</v>
      </c>
      <c r="I438">
        <v>-0.53846156999999994</v>
      </c>
      <c r="J438">
        <v>0.39393938000000001</v>
      </c>
    </row>
    <row r="439" spans="1:10" x14ac:dyDescent="0.3">
      <c r="A439">
        <v>437</v>
      </c>
      <c r="B439">
        <v>6940</v>
      </c>
      <c r="C439" t="b">
        <v>1</v>
      </c>
      <c r="D439">
        <v>8048</v>
      </c>
      <c r="E439">
        <v>8117</v>
      </c>
      <c r="F439">
        <v>8</v>
      </c>
      <c r="G439">
        <v>4.8</v>
      </c>
      <c r="H439">
        <v>1.6666666000000001</v>
      </c>
      <c r="I439">
        <v>-0.6666666</v>
      </c>
      <c r="J439">
        <v>0.375</v>
      </c>
    </row>
    <row r="440" spans="1:10" x14ac:dyDescent="0.3">
      <c r="A440">
        <v>438</v>
      </c>
      <c r="B440">
        <v>6955</v>
      </c>
      <c r="C440" t="b">
        <v>1</v>
      </c>
      <c r="D440">
        <v>8048</v>
      </c>
      <c r="E440">
        <v>8111</v>
      </c>
      <c r="F440">
        <v>8</v>
      </c>
      <c r="G440">
        <v>4.4000000000000004</v>
      </c>
      <c r="H440">
        <v>1.8181818000000001</v>
      </c>
      <c r="I440">
        <v>-0.81818175000000004</v>
      </c>
      <c r="J440">
        <v>0.35483872999999999</v>
      </c>
    </row>
    <row r="441" spans="1:10" x14ac:dyDescent="0.3">
      <c r="A441">
        <v>439</v>
      </c>
      <c r="B441">
        <v>6971</v>
      </c>
      <c r="C441" t="b">
        <v>1</v>
      </c>
      <c r="D441">
        <v>8048</v>
      </c>
      <c r="E441">
        <v>8123</v>
      </c>
      <c r="F441">
        <v>8</v>
      </c>
      <c r="G441">
        <v>4</v>
      </c>
      <c r="H441">
        <v>2</v>
      </c>
      <c r="I441">
        <v>-1</v>
      </c>
      <c r="J441">
        <v>0.33333333999999998</v>
      </c>
    </row>
    <row r="442" spans="1:10" x14ac:dyDescent="0.3">
      <c r="A442">
        <v>440</v>
      </c>
      <c r="B442">
        <v>6987</v>
      </c>
      <c r="C442" t="b">
        <v>1</v>
      </c>
      <c r="D442">
        <v>8048</v>
      </c>
      <c r="E442">
        <v>8117</v>
      </c>
      <c r="F442">
        <v>8</v>
      </c>
      <c r="G442">
        <v>3.6</v>
      </c>
      <c r="H442">
        <v>2.2222222999999999</v>
      </c>
      <c r="I442">
        <v>-1.2222223000000001</v>
      </c>
      <c r="J442">
        <v>0.31034482000000002</v>
      </c>
    </row>
    <row r="443" spans="1:10" x14ac:dyDescent="0.3">
      <c r="A443">
        <v>441</v>
      </c>
      <c r="B443">
        <v>7003</v>
      </c>
      <c r="C443" t="b">
        <v>1</v>
      </c>
      <c r="D443">
        <v>8048</v>
      </c>
      <c r="E443">
        <v>8117</v>
      </c>
      <c r="F443">
        <v>8</v>
      </c>
      <c r="G443">
        <v>3.2</v>
      </c>
      <c r="H443">
        <v>2.5</v>
      </c>
      <c r="I443">
        <v>-1.5</v>
      </c>
      <c r="J443">
        <v>0.28571429999999998</v>
      </c>
    </row>
    <row r="444" spans="1:10" x14ac:dyDescent="0.3">
      <c r="A444">
        <v>442</v>
      </c>
      <c r="B444">
        <v>7019</v>
      </c>
      <c r="C444" t="b">
        <v>1</v>
      </c>
      <c r="D444">
        <v>8048</v>
      </c>
      <c r="E444">
        <v>8117</v>
      </c>
      <c r="F444">
        <v>8</v>
      </c>
      <c r="G444">
        <v>2.8</v>
      </c>
      <c r="H444">
        <v>2.8571430000000002</v>
      </c>
      <c r="I444">
        <v>-1.8571428000000001</v>
      </c>
      <c r="J444">
        <v>0.25925925</v>
      </c>
    </row>
    <row r="445" spans="1:10" x14ac:dyDescent="0.3">
      <c r="A445">
        <v>443</v>
      </c>
      <c r="B445">
        <v>7035</v>
      </c>
      <c r="C445" t="b">
        <v>1</v>
      </c>
      <c r="D445">
        <v>8048</v>
      </c>
      <c r="E445">
        <v>8117</v>
      </c>
      <c r="F445">
        <v>8</v>
      </c>
      <c r="G445">
        <v>2.4</v>
      </c>
      <c r="H445">
        <v>3.3333333000000001</v>
      </c>
      <c r="I445">
        <v>-2.3333333000000001</v>
      </c>
      <c r="J445">
        <v>0.23076925000000001</v>
      </c>
    </row>
    <row r="446" spans="1:10" x14ac:dyDescent="0.3">
      <c r="A446">
        <v>444</v>
      </c>
      <c r="B446">
        <v>7051</v>
      </c>
      <c r="C446" t="b">
        <v>1</v>
      </c>
      <c r="D446">
        <v>8060</v>
      </c>
      <c r="E446">
        <v>8117</v>
      </c>
      <c r="F446">
        <v>8</v>
      </c>
      <c r="G446">
        <v>2</v>
      </c>
      <c r="H446">
        <v>4</v>
      </c>
      <c r="I446">
        <v>-3</v>
      </c>
      <c r="J446">
        <v>0.2</v>
      </c>
    </row>
    <row r="447" spans="1:10" x14ac:dyDescent="0.3">
      <c r="A447">
        <v>445</v>
      </c>
      <c r="B447">
        <v>7067</v>
      </c>
      <c r="C447" t="b">
        <v>1</v>
      </c>
      <c r="D447">
        <v>8060</v>
      </c>
      <c r="E447">
        <v>8117</v>
      </c>
      <c r="F447">
        <v>8</v>
      </c>
      <c r="G447">
        <v>2</v>
      </c>
      <c r="H447">
        <v>4</v>
      </c>
      <c r="I447">
        <v>-3</v>
      </c>
      <c r="J447">
        <v>0.2</v>
      </c>
    </row>
    <row r="448" spans="1:10" x14ac:dyDescent="0.3">
      <c r="A448">
        <v>446</v>
      </c>
      <c r="B448">
        <v>7083</v>
      </c>
      <c r="C448" t="b">
        <v>1</v>
      </c>
      <c r="D448">
        <v>8054</v>
      </c>
      <c r="E448">
        <v>8117</v>
      </c>
      <c r="F448">
        <v>8.4</v>
      </c>
      <c r="G448">
        <v>2</v>
      </c>
      <c r="H448">
        <v>4.2</v>
      </c>
      <c r="I448">
        <v>-3.1999998000000001</v>
      </c>
      <c r="J448">
        <v>0.1923077</v>
      </c>
    </row>
    <row r="449" spans="1:10" x14ac:dyDescent="0.3">
      <c r="A449">
        <v>447</v>
      </c>
      <c r="B449">
        <v>7099</v>
      </c>
      <c r="C449" t="b">
        <v>1</v>
      </c>
      <c r="D449">
        <v>8054</v>
      </c>
      <c r="E449">
        <v>8123</v>
      </c>
      <c r="F449">
        <v>8.8000000000000007</v>
      </c>
      <c r="G449">
        <v>2</v>
      </c>
      <c r="H449">
        <v>4.4000000000000004</v>
      </c>
      <c r="I449">
        <v>-3.4</v>
      </c>
      <c r="J449">
        <v>0.18518518</v>
      </c>
    </row>
    <row r="450" spans="1:10" x14ac:dyDescent="0.3">
      <c r="A450">
        <v>448</v>
      </c>
      <c r="B450">
        <v>7115</v>
      </c>
      <c r="C450" t="b">
        <v>1</v>
      </c>
      <c r="D450">
        <v>8054</v>
      </c>
      <c r="E450">
        <v>8123</v>
      </c>
      <c r="F450">
        <v>9.1999999999999993</v>
      </c>
      <c r="G450">
        <v>2</v>
      </c>
      <c r="H450">
        <v>4.5999999999999996</v>
      </c>
      <c r="I450">
        <v>-3.6</v>
      </c>
      <c r="J450">
        <v>0.17857143</v>
      </c>
    </row>
    <row r="451" spans="1:10" x14ac:dyDescent="0.3">
      <c r="A451">
        <v>449</v>
      </c>
      <c r="B451">
        <v>7131</v>
      </c>
      <c r="C451" t="b">
        <v>1</v>
      </c>
      <c r="D451">
        <v>8054</v>
      </c>
      <c r="E451">
        <v>8123</v>
      </c>
      <c r="F451">
        <v>9.6</v>
      </c>
      <c r="G451">
        <v>2.4</v>
      </c>
      <c r="H451">
        <v>4</v>
      </c>
      <c r="I451">
        <v>-3</v>
      </c>
      <c r="J451">
        <v>0.2</v>
      </c>
    </row>
    <row r="452" spans="1:10" x14ac:dyDescent="0.3">
      <c r="A452">
        <v>450</v>
      </c>
      <c r="B452">
        <v>7147</v>
      </c>
      <c r="C452" t="b">
        <v>1</v>
      </c>
      <c r="D452">
        <v>8048</v>
      </c>
      <c r="E452">
        <v>8123</v>
      </c>
      <c r="F452">
        <v>10</v>
      </c>
      <c r="G452">
        <v>2.8</v>
      </c>
      <c r="H452">
        <v>3.5714285000000001</v>
      </c>
      <c r="I452">
        <v>-2.5714285000000001</v>
      </c>
      <c r="J452">
        <v>0.21875</v>
      </c>
    </row>
    <row r="453" spans="1:10" x14ac:dyDescent="0.3">
      <c r="A453">
        <v>451</v>
      </c>
      <c r="B453">
        <v>7162</v>
      </c>
      <c r="C453" t="b">
        <v>1</v>
      </c>
      <c r="D453">
        <v>8048</v>
      </c>
      <c r="E453">
        <v>8123</v>
      </c>
      <c r="F453">
        <v>10.4</v>
      </c>
      <c r="G453">
        <v>3.2</v>
      </c>
      <c r="H453">
        <v>3.2499997999999999</v>
      </c>
      <c r="I453">
        <v>-2.25</v>
      </c>
      <c r="J453">
        <v>0.23529412999999999</v>
      </c>
    </row>
    <row r="454" spans="1:10" x14ac:dyDescent="0.3">
      <c r="A454">
        <v>452</v>
      </c>
      <c r="B454">
        <v>7178</v>
      </c>
      <c r="C454" t="b">
        <v>1</v>
      </c>
      <c r="D454">
        <v>8048</v>
      </c>
      <c r="E454">
        <v>8123</v>
      </c>
      <c r="F454">
        <v>10.4</v>
      </c>
      <c r="G454">
        <v>3.6</v>
      </c>
      <c r="H454">
        <v>2.8888888000000001</v>
      </c>
      <c r="I454">
        <v>-1.8888887999999999</v>
      </c>
      <c r="J454">
        <v>0.25714283999999998</v>
      </c>
    </row>
    <row r="455" spans="1:10" x14ac:dyDescent="0.3">
      <c r="A455">
        <v>453</v>
      </c>
      <c r="B455">
        <v>7194</v>
      </c>
      <c r="C455" t="b">
        <v>1</v>
      </c>
      <c r="D455">
        <v>8048</v>
      </c>
      <c r="E455">
        <v>8123</v>
      </c>
      <c r="F455">
        <v>10.4</v>
      </c>
      <c r="G455">
        <v>4</v>
      </c>
      <c r="H455">
        <v>2.6</v>
      </c>
      <c r="I455">
        <v>-1.5999999</v>
      </c>
      <c r="J455">
        <v>0.27777780000000002</v>
      </c>
    </row>
    <row r="456" spans="1:10" x14ac:dyDescent="0.3">
      <c r="A456">
        <v>454</v>
      </c>
      <c r="B456">
        <v>7210</v>
      </c>
      <c r="C456" t="b">
        <v>1</v>
      </c>
      <c r="D456">
        <v>8048</v>
      </c>
      <c r="E456">
        <v>8123</v>
      </c>
      <c r="F456">
        <v>10.4</v>
      </c>
      <c r="G456">
        <v>4.4000000000000004</v>
      </c>
      <c r="H456">
        <v>2.3636363</v>
      </c>
      <c r="I456">
        <v>-1.3636363</v>
      </c>
      <c r="J456">
        <v>0.29729733000000003</v>
      </c>
    </row>
    <row r="457" spans="1:10" x14ac:dyDescent="0.3">
      <c r="A457">
        <v>455</v>
      </c>
      <c r="B457">
        <v>7226</v>
      </c>
      <c r="C457" t="b">
        <v>1</v>
      </c>
      <c r="D457">
        <v>8048</v>
      </c>
      <c r="E457">
        <v>8123</v>
      </c>
      <c r="F457">
        <v>10.4</v>
      </c>
      <c r="G457">
        <v>4.8</v>
      </c>
      <c r="H457">
        <v>2.1666664999999998</v>
      </c>
      <c r="I457">
        <v>-1.1666665000000001</v>
      </c>
      <c r="J457">
        <v>0.3157895</v>
      </c>
    </row>
    <row r="458" spans="1:10" x14ac:dyDescent="0.3">
      <c r="A458">
        <v>456</v>
      </c>
      <c r="B458">
        <v>7242</v>
      </c>
      <c r="C458" t="b">
        <v>1</v>
      </c>
      <c r="D458">
        <v>8048</v>
      </c>
      <c r="E458">
        <v>8123</v>
      </c>
      <c r="F458">
        <v>10.4</v>
      </c>
      <c r="G458">
        <v>5.2</v>
      </c>
      <c r="H458">
        <v>2</v>
      </c>
      <c r="I458">
        <v>-1</v>
      </c>
      <c r="J458">
        <v>0.33333333999999998</v>
      </c>
    </row>
    <row r="459" spans="1:10" x14ac:dyDescent="0.3">
      <c r="A459">
        <v>457</v>
      </c>
      <c r="B459">
        <v>7258</v>
      </c>
      <c r="C459" t="b">
        <v>1</v>
      </c>
      <c r="D459">
        <v>8048</v>
      </c>
      <c r="E459">
        <v>8129</v>
      </c>
      <c r="F459">
        <v>10.4</v>
      </c>
      <c r="G459">
        <v>5.6</v>
      </c>
      <c r="H459">
        <v>1.8571428000000001</v>
      </c>
      <c r="I459">
        <v>-0.85714279999999998</v>
      </c>
      <c r="J459">
        <v>0.35</v>
      </c>
    </row>
    <row r="460" spans="1:10" x14ac:dyDescent="0.3">
      <c r="A460">
        <v>458</v>
      </c>
      <c r="B460">
        <v>7273</v>
      </c>
      <c r="C460" t="b">
        <v>1</v>
      </c>
      <c r="D460">
        <v>8048</v>
      </c>
      <c r="E460">
        <v>8123</v>
      </c>
      <c r="F460">
        <v>10.4</v>
      </c>
      <c r="G460">
        <v>6</v>
      </c>
      <c r="H460">
        <v>1.7333331999999999</v>
      </c>
      <c r="I460">
        <v>-0.73333329999999997</v>
      </c>
      <c r="J460">
        <v>0.36585367000000002</v>
      </c>
    </row>
    <row r="461" spans="1:10" x14ac:dyDescent="0.3">
      <c r="A461">
        <v>459</v>
      </c>
      <c r="B461">
        <v>7289</v>
      </c>
      <c r="C461" t="b">
        <v>1</v>
      </c>
      <c r="D461">
        <v>8048</v>
      </c>
      <c r="E461">
        <v>8123</v>
      </c>
      <c r="F461">
        <v>10.4</v>
      </c>
      <c r="G461">
        <v>6.4</v>
      </c>
      <c r="H461">
        <v>1.6249998999999999</v>
      </c>
      <c r="I461">
        <v>-0.62499994000000003</v>
      </c>
      <c r="J461">
        <v>0.38095242000000001</v>
      </c>
    </row>
    <row r="462" spans="1:10" x14ac:dyDescent="0.3">
      <c r="A462">
        <v>460</v>
      </c>
      <c r="B462">
        <v>7305</v>
      </c>
      <c r="C462" t="b">
        <v>1</v>
      </c>
      <c r="D462">
        <v>8048</v>
      </c>
      <c r="E462">
        <v>8129</v>
      </c>
      <c r="F462">
        <v>10.4</v>
      </c>
      <c r="G462">
        <v>6.8</v>
      </c>
      <c r="H462">
        <v>1.5294117</v>
      </c>
      <c r="I462">
        <v>-0.52941170000000004</v>
      </c>
      <c r="J462">
        <v>0.39534881999999999</v>
      </c>
    </row>
    <row r="463" spans="1:10" x14ac:dyDescent="0.3">
      <c r="A463">
        <v>461</v>
      </c>
      <c r="B463">
        <v>7321</v>
      </c>
      <c r="C463" t="b">
        <v>1</v>
      </c>
      <c r="D463">
        <v>8054</v>
      </c>
      <c r="E463">
        <v>8123</v>
      </c>
      <c r="F463">
        <v>10</v>
      </c>
      <c r="G463">
        <v>7.2</v>
      </c>
      <c r="H463">
        <v>1.388889</v>
      </c>
      <c r="I463">
        <v>-0.38888893000000002</v>
      </c>
      <c r="J463">
        <v>0.41860459999999999</v>
      </c>
    </row>
    <row r="464" spans="1:10" x14ac:dyDescent="0.3">
      <c r="A464">
        <v>462</v>
      </c>
      <c r="B464">
        <v>7337</v>
      </c>
      <c r="C464" t="b">
        <v>1</v>
      </c>
      <c r="D464">
        <v>8054</v>
      </c>
      <c r="E464">
        <v>8123</v>
      </c>
      <c r="F464">
        <v>9.6</v>
      </c>
      <c r="G464">
        <v>7.6</v>
      </c>
      <c r="H464">
        <v>1.263158</v>
      </c>
      <c r="I464">
        <v>-0.26315796000000002</v>
      </c>
      <c r="J464">
        <v>0.44186044000000002</v>
      </c>
    </row>
    <row r="465" spans="1:10" x14ac:dyDescent="0.3">
      <c r="A465">
        <v>463</v>
      </c>
      <c r="B465">
        <v>7353</v>
      </c>
      <c r="C465" t="b">
        <v>1</v>
      </c>
      <c r="D465">
        <v>8048</v>
      </c>
      <c r="E465">
        <v>8123</v>
      </c>
      <c r="F465">
        <v>9.1999999999999993</v>
      </c>
      <c r="G465">
        <v>8</v>
      </c>
      <c r="H465">
        <v>1.1499999999999999</v>
      </c>
      <c r="I465">
        <v>-0.14999998</v>
      </c>
      <c r="J465">
        <v>0.46511626</v>
      </c>
    </row>
    <row r="466" spans="1:10" x14ac:dyDescent="0.3">
      <c r="A466">
        <v>464</v>
      </c>
      <c r="B466">
        <v>7369</v>
      </c>
      <c r="C466" t="b">
        <v>1</v>
      </c>
      <c r="D466">
        <v>8042</v>
      </c>
      <c r="E466">
        <v>8123</v>
      </c>
      <c r="F466">
        <v>8.8000000000000007</v>
      </c>
      <c r="G466">
        <v>8</v>
      </c>
      <c r="H466">
        <v>1.1000000000000001</v>
      </c>
      <c r="I466">
        <v>-0.10000002400000001</v>
      </c>
      <c r="J466">
        <v>0.47619050000000002</v>
      </c>
    </row>
    <row r="467" spans="1:10" x14ac:dyDescent="0.3">
      <c r="A467">
        <v>465</v>
      </c>
      <c r="B467">
        <v>7385</v>
      </c>
      <c r="C467" t="b">
        <v>1</v>
      </c>
      <c r="D467">
        <v>8048</v>
      </c>
      <c r="E467">
        <v>8123</v>
      </c>
      <c r="F467">
        <v>8.4</v>
      </c>
      <c r="G467">
        <v>8</v>
      </c>
      <c r="H467">
        <v>1.05</v>
      </c>
      <c r="I467">
        <v>-4.9999952E-2</v>
      </c>
      <c r="J467">
        <v>0.48780489999999999</v>
      </c>
    </row>
    <row r="468" spans="1:10" x14ac:dyDescent="0.3">
      <c r="A468">
        <v>466</v>
      </c>
      <c r="B468">
        <v>7401</v>
      </c>
      <c r="C468" t="b">
        <v>1</v>
      </c>
      <c r="D468">
        <v>8048</v>
      </c>
      <c r="E468">
        <v>8129</v>
      </c>
      <c r="F468">
        <v>8</v>
      </c>
      <c r="G468">
        <v>8</v>
      </c>
      <c r="H468">
        <v>1</v>
      </c>
      <c r="I468">
        <v>0</v>
      </c>
      <c r="J468">
        <v>0.5</v>
      </c>
    </row>
    <row r="469" spans="1:10" x14ac:dyDescent="0.3">
      <c r="A469">
        <v>467</v>
      </c>
      <c r="B469">
        <v>7417</v>
      </c>
      <c r="C469" t="b">
        <v>1</v>
      </c>
      <c r="D469">
        <v>8048</v>
      </c>
      <c r="E469">
        <v>8123</v>
      </c>
      <c r="F469">
        <v>8</v>
      </c>
      <c r="G469">
        <v>8</v>
      </c>
      <c r="H469">
        <v>1</v>
      </c>
      <c r="I469">
        <v>0</v>
      </c>
      <c r="J469">
        <v>0.5</v>
      </c>
    </row>
    <row r="470" spans="1:10" x14ac:dyDescent="0.3">
      <c r="A470">
        <v>468</v>
      </c>
      <c r="B470">
        <v>7433</v>
      </c>
      <c r="C470" t="b">
        <v>1</v>
      </c>
      <c r="D470">
        <v>8048</v>
      </c>
      <c r="E470">
        <v>8123</v>
      </c>
      <c r="F470">
        <v>8</v>
      </c>
      <c r="G470">
        <v>8</v>
      </c>
      <c r="H470">
        <v>1</v>
      </c>
      <c r="I470">
        <v>0</v>
      </c>
      <c r="J470">
        <v>0.5</v>
      </c>
    </row>
    <row r="471" spans="1:10" x14ac:dyDescent="0.3">
      <c r="A471">
        <v>469</v>
      </c>
      <c r="B471">
        <v>7449</v>
      </c>
      <c r="C471" t="b">
        <v>1</v>
      </c>
      <c r="D471">
        <v>8048</v>
      </c>
      <c r="E471">
        <v>8123</v>
      </c>
      <c r="F471">
        <v>8</v>
      </c>
      <c r="G471">
        <v>8</v>
      </c>
      <c r="H471">
        <v>1</v>
      </c>
      <c r="I471">
        <v>0</v>
      </c>
      <c r="J471">
        <v>0.5</v>
      </c>
    </row>
    <row r="472" spans="1:10" x14ac:dyDescent="0.3">
      <c r="A472">
        <v>470</v>
      </c>
      <c r="B472">
        <v>7464</v>
      </c>
      <c r="C472" t="b">
        <v>1</v>
      </c>
      <c r="D472">
        <v>8048</v>
      </c>
      <c r="E472">
        <v>8123</v>
      </c>
      <c r="F472">
        <v>8</v>
      </c>
      <c r="G472">
        <v>8</v>
      </c>
      <c r="H472">
        <v>1</v>
      </c>
      <c r="I472">
        <v>0</v>
      </c>
      <c r="J472">
        <v>0.5</v>
      </c>
    </row>
    <row r="473" spans="1:10" x14ac:dyDescent="0.3">
      <c r="A473">
        <v>471</v>
      </c>
      <c r="B473">
        <v>7480</v>
      </c>
      <c r="C473" t="b">
        <v>1</v>
      </c>
      <c r="D473">
        <v>8048</v>
      </c>
      <c r="E473">
        <v>8123</v>
      </c>
      <c r="F473">
        <v>8</v>
      </c>
      <c r="G473">
        <v>8</v>
      </c>
      <c r="H473">
        <v>1</v>
      </c>
      <c r="I473">
        <v>0</v>
      </c>
      <c r="J473">
        <v>0.5</v>
      </c>
    </row>
    <row r="474" spans="1:10" x14ac:dyDescent="0.3">
      <c r="A474">
        <v>472</v>
      </c>
      <c r="B474">
        <v>7496</v>
      </c>
      <c r="C474" t="b">
        <v>1</v>
      </c>
      <c r="D474">
        <v>8042</v>
      </c>
      <c r="E474">
        <v>8123</v>
      </c>
      <c r="F474">
        <v>8</v>
      </c>
      <c r="G474">
        <v>8</v>
      </c>
      <c r="H474">
        <v>1</v>
      </c>
      <c r="I474">
        <v>0</v>
      </c>
      <c r="J474">
        <v>0.5</v>
      </c>
    </row>
    <row r="475" spans="1:10" x14ac:dyDescent="0.3">
      <c r="A475">
        <v>473</v>
      </c>
      <c r="B475">
        <v>7512</v>
      </c>
      <c r="C475" t="b">
        <v>1</v>
      </c>
      <c r="D475">
        <v>8048</v>
      </c>
      <c r="E475">
        <v>8123</v>
      </c>
      <c r="F475">
        <v>8</v>
      </c>
      <c r="G475">
        <v>8</v>
      </c>
      <c r="H475">
        <v>1</v>
      </c>
      <c r="I475">
        <v>0</v>
      </c>
      <c r="J475">
        <v>0.5</v>
      </c>
    </row>
    <row r="476" spans="1:10" x14ac:dyDescent="0.3">
      <c r="A476">
        <v>474</v>
      </c>
      <c r="B476">
        <v>7528</v>
      </c>
      <c r="C476" t="b">
        <v>1</v>
      </c>
      <c r="D476">
        <v>8048</v>
      </c>
      <c r="E476">
        <v>8123</v>
      </c>
      <c r="F476">
        <v>8</v>
      </c>
      <c r="G476">
        <v>8</v>
      </c>
      <c r="H476">
        <v>1</v>
      </c>
      <c r="I476">
        <v>0</v>
      </c>
      <c r="J476">
        <v>0.5</v>
      </c>
    </row>
    <row r="477" spans="1:10" x14ac:dyDescent="0.3">
      <c r="A477">
        <v>475</v>
      </c>
      <c r="B477">
        <v>7544</v>
      </c>
      <c r="C477" t="b">
        <v>1</v>
      </c>
      <c r="D477">
        <v>8054</v>
      </c>
      <c r="E477">
        <v>8123</v>
      </c>
      <c r="F477">
        <v>8</v>
      </c>
      <c r="G477">
        <v>8</v>
      </c>
      <c r="H477">
        <v>1</v>
      </c>
      <c r="I477">
        <v>0</v>
      </c>
      <c r="J477">
        <v>0.5</v>
      </c>
    </row>
    <row r="478" spans="1:10" x14ac:dyDescent="0.3">
      <c r="A478">
        <v>476</v>
      </c>
      <c r="B478">
        <v>7560</v>
      </c>
      <c r="C478" t="b">
        <v>1</v>
      </c>
      <c r="D478">
        <v>8042</v>
      </c>
      <c r="E478">
        <v>8123</v>
      </c>
      <c r="F478">
        <v>8</v>
      </c>
      <c r="G478">
        <v>8</v>
      </c>
      <c r="H478">
        <v>1</v>
      </c>
      <c r="I478">
        <v>0</v>
      </c>
      <c r="J478">
        <v>0.5</v>
      </c>
    </row>
    <row r="479" spans="1:10" x14ac:dyDescent="0.3">
      <c r="A479">
        <v>477</v>
      </c>
      <c r="B479">
        <v>7576</v>
      </c>
      <c r="C479" t="b">
        <v>1</v>
      </c>
      <c r="D479">
        <v>8042</v>
      </c>
      <c r="E479">
        <v>8123</v>
      </c>
      <c r="F479">
        <v>8</v>
      </c>
      <c r="G479">
        <v>8</v>
      </c>
      <c r="H479">
        <v>1</v>
      </c>
      <c r="I479">
        <v>0</v>
      </c>
      <c r="J479">
        <v>0.5</v>
      </c>
    </row>
    <row r="480" spans="1:10" x14ac:dyDescent="0.3">
      <c r="A480">
        <v>478</v>
      </c>
      <c r="B480">
        <v>7592</v>
      </c>
      <c r="C480" t="b">
        <v>1</v>
      </c>
      <c r="D480">
        <v>8042</v>
      </c>
      <c r="E480">
        <v>8123</v>
      </c>
      <c r="F480">
        <v>7.6</v>
      </c>
      <c r="G480">
        <v>8</v>
      </c>
      <c r="H480">
        <v>0.95</v>
      </c>
      <c r="I480">
        <v>5.0000012000000003E-2</v>
      </c>
      <c r="J480">
        <v>0.51282050000000001</v>
      </c>
    </row>
    <row r="481" spans="1:10" x14ac:dyDescent="0.3">
      <c r="A481">
        <v>479</v>
      </c>
      <c r="B481">
        <v>7608</v>
      </c>
      <c r="C481" t="b">
        <v>1</v>
      </c>
      <c r="D481">
        <v>8042</v>
      </c>
      <c r="E481">
        <v>8123</v>
      </c>
      <c r="F481">
        <v>7.2</v>
      </c>
      <c r="G481">
        <v>8</v>
      </c>
      <c r="H481">
        <v>0.9</v>
      </c>
      <c r="I481">
        <v>0.10000002400000001</v>
      </c>
      <c r="J481">
        <v>0.5263158</v>
      </c>
    </row>
    <row r="482" spans="1:10" x14ac:dyDescent="0.3">
      <c r="A482">
        <v>480</v>
      </c>
      <c r="B482">
        <v>7623</v>
      </c>
      <c r="C482" t="b">
        <v>1</v>
      </c>
      <c r="D482">
        <v>8042</v>
      </c>
      <c r="E482">
        <v>8123</v>
      </c>
      <c r="F482">
        <v>6.8</v>
      </c>
      <c r="G482">
        <v>8</v>
      </c>
      <c r="H482">
        <v>0.85</v>
      </c>
      <c r="I482">
        <v>0.14999998</v>
      </c>
      <c r="J482">
        <v>0.54054049999999998</v>
      </c>
    </row>
    <row r="483" spans="1:10" x14ac:dyDescent="0.3">
      <c r="A483">
        <v>481</v>
      </c>
      <c r="B483">
        <v>7639</v>
      </c>
      <c r="C483" t="b">
        <v>1</v>
      </c>
      <c r="D483">
        <v>8042</v>
      </c>
      <c r="E483">
        <v>8117</v>
      </c>
      <c r="F483">
        <v>6.4</v>
      </c>
      <c r="G483">
        <v>8</v>
      </c>
      <c r="H483">
        <v>0.8</v>
      </c>
      <c r="I483">
        <v>0.19999998999999999</v>
      </c>
      <c r="J483">
        <v>0.55555560000000004</v>
      </c>
    </row>
    <row r="484" spans="1:10" x14ac:dyDescent="0.3">
      <c r="A484">
        <v>482</v>
      </c>
      <c r="B484">
        <v>7655</v>
      </c>
      <c r="C484" t="b">
        <v>1</v>
      </c>
      <c r="D484">
        <v>8042</v>
      </c>
      <c r="E484">
        <v>8123</v>
      </c>
      <c r="F484">
        <v>6</v>
      </c>
      <c r="G484">
        <v>8</v>
      </c>
      <c r="H484">
        <v>0.75</v>
      </c>
      <c r="I484">
        <v>0.25</v>
      </c>
      <c r="J484">
        <v>0.57142859999999995</v>
      </c>
    </row>
    <row r="485" spans="1:10" x14ac:dyDescent="0.3">
      <c r="A485">
        <v>483</v>
      </c>
      <c r="B485">
        <v>7671</v>
      </c>
      <c r="C485" t="b">
        <v>1</v>
      </c>
      <c r="D485">
        <v>8048</v>
      </c>
      <c r="E485">
        <v>8129</v>
      </c>
      <c r="F485">
        <v>5.6</v>
      </c>
      <c r="G485">
        <v>8</v>
      </c>
      <c r="H485">
        <v>0.7</v>
      </c>
      <c r="I485">
        <v>0.3</v>
      </c>
      <c r="J485">
        <v>0.58823526000000004</v>
      </c>
    </row>
    <row r="486" spans="1:10" x14ac:dyDescent="0.3">
      <c r="A486">
        <v>484</v>
      </c>
      <c r="B486">
        <v>7687</v>
      </c>
      <c r="C486" t="b">
        <v>1</v>
      </c>
      <c r="D486">
        <v>8048</v>
      </c>
      <c r="E486">
        <v>8123</v>
      </c>
      <c r="F486">
        <v>5.2</v>
      </c>
      <c r="G486">
        <v>8</v>
      </c>
      <c r="H486">
        <v>0.65</v>
      </c>
      <c r="I486">
        <v>0.35000002000000002</v>
      </c>
      <c r="J486">
        <v>0.60606059999999995</v>
      </c>
    </row>
    <row r="487" spans="1:10" x14ac:dyDescent="0.3">
      <c r="A487">
        <v>485</v>
      </c>
      <c r="B487">
        <v>7703</v>
      </c>
      <c r="C487" t="b">
        <v>1</v>
      </c>
      <c r="D487">
        <v>8048</v>
      </c>
      <c r="E487">
        <v>8123</v>
      </c>
      <c r="F487">
        <v>5.2</v>
      </c>
      <c r="G487">
        <v>8</v>
      </c>
      <c r="H487">
        <v>0.65</v>
      </c>
      <c r="I487">
        <v>0.35000002000000002</v>
      </c>
      <c r="J487">
        <v>0.60606059999999995</v>
      </c>
    </row>
    <row r="488" spans="1:10" x14ac:dyDescent="0.3">
      <c r="A488">
        <v>486</v>
      </c>
      <c r="B488">
        <v>7719</v>
      </c>
      <c r="C488" t="b">
        <v>1</v>
      </c>
      <c r="D488">
        <v>8048</v>
      </c>
      <c r="E488">
        <v>8123</v>
      </c>
      <c r="F488">
        <v>5.2</v>
      </c>
      <c r="G488">
        <v>8</v>
      </c>
      <c r="H488">
        <v>0.65</v>
      </c>
      <c r="I488">
        <v>0.35000002000000002</v>
      </c>
      <c r="J488">
        <v>0.60606059999999995</v>
      </c>
    </row>
    <row r="489" spans="1:10" x14ac:dyDescent="0.3">
      <c r="A489">
        <v>487</v>
      </c>
      <c r="B489">
        <v>7735</v>
      </c>
      <c r="C489" t="b">
        <v>1</v>
      </c>
      <c r="D489">
        <v>8042</v>
      </c>
      <c r="E489">
        <v>8117</v>
      </c>
      <c r="F489">
        <v>5.2</v>
      </c>
      <c r="G489">
        <v>8</v>
      </c>
      <c r="H489">
        <v>0.65</v>
      </c>
      <c r="I489">
        <v>0.35000002000000002</v>
      </c>
      <c r="J489">
        <v>0.60606059999999995</v>
      </c>
    </row>
    <row r="490" spans="1:10" x14ac:dyDescent="0.3">
      <c r="A490">
        <v>488</v>
      </c>
      <c r="B490">
        <v>7751</v>
      </c>
      <c r="C490" t="b">
        <v>1</v>
      </c>
      <c r="D490">
        <v>8054</v>
      </c>
      <c r="E490">
        <v>8123</v>
      </c>
      <c r="F490">
        <v>5.2</v>
      </c>
      <c r="G490">
        <v>8</v>
      </c>
      <c r="H490">
        <v>0.65</v>
      </c>
      <c r="I490">
        <v>0.35000002000000002</v>
      </c>
      <c r="J490">
        <v>0.60606059999999995</v>
      </c>
    </row>
    <row r="491" spans="1:10" x14ac:dyDescent="0.3">
      <c r="A491">
        <v>489</v>
      </c>
      <c r="B491">
        <v>7767</v>
      </c>
      <c r="C491" t="b">
        <v>1</v>
      </c>
      <c r="D491">
        <v>8048</v>
      </c>
      <c r="E491">
        <v>8123</v>
      </c>
      <c r="F491">
        <v>5.2</v>
      </c>
      <c r="G491">
        <v>8</v>
      </c>
      <c r="H491">
        <v>0.65</v>
      </c>
      <c r="I491">
        <v>0.35000002000000002</v>
      </c>
      <c r="J491">
        <v>0.60606059999999995</v>
      </c>
    </row>
    <row r="492" spans="1:10" x14ac:dyDescent="0.3">
      <c r="A492">
        <v>490</v>
      </c>
      <c r="B492">
        <v>7783</v>
      </c>
      <c r="C492" t="b">
        <v>1</v>
      </c>
      <c r="D492">
        <v>8048</v>
      </c>
      <c r="E492">
        <v>8123</v>
      </c>
      <c r="F492">
        <v>5.2</v>
      </c>
      <c r="G492">
        <v>8</v>
      </c>
      <c r="H492">
        <v>0.65</v>
      </c>
      <c r="I492">
        <v>0.35000002000000002</v>
      </c>
      <c r="J492">
        <v>0.60606059999999995</v>
      </c>
    </row>
    <row r="493" spans="1:10" x14ac:dyDescent="0.3">
      <c r="A493">
        <v>491</v>
      </c>
      <c r="B493">
        <v>7798</v>
      </c>
      <c r="C493" t="b">
        <v>1</v>
      </c>
      <c r="D493">
        <v>8048</v>
      </c>
      <c r="E493">
        <v>8123</v>
      </c>
      <c r="F493">
        <v>5.2</v>
      </c>
      <c r="G493">
        <v>8</v>
      </c>
      <c r="H493">
        <v>0.65</v>
      </c>
      <c r="I493">
        <v>0.35000002000000002</v>
      </c>
      <c r="J493">
        <v>0.60606059999999995</v>
      </c>
    </row>
    <row r="494" spans="1:10" x14ac:dyDescent="0.3">
      <c r="A494">
        <v>492</v>
      </c>
      <c r="B494">
        <v>7814</v>
      </c>
      <c r="C494" t="b">
        <v>1</v>
      </c>
      <c r="D494">
        <v>8054</v>
      </c>
      <c r="E494">
        <v>8123</v>
      </c>
      <c r="F494">
        <v>5.2</v>
      </c>
      <c r="G494">
        <v>8</v>
      </c>
      <c r="H494">
        <v>0.65</v>
      </c>
      <c r="I494">
        <v>0.35000002000000002</v>
      </c>
      <c r="J494">
        <v>0.60606059999999995</v>
      </c>
    </row>
    <row r="495" spans="1:10" x14ac:dyDescent="0.3">
      <c r="A495">
        <v>493</v>
      </c>
      <c r="B495">
        <v>7830</v>
      </c>
      <c r="C495" t="b">
        <v>1</v>
      </c>
      <c r="D495">
        <v>8054</v>
      </c>
      <c r="E495">
        <v>8123</v>
      </c>
      <c r="F495">
        <v>5.6</v>
      </c>
      <c r="G495">
        <v>8</v>
      </c>
      <c r="H495">
        <v>0.7</v>
      </c>
      <c r="I495">
        <v>0.3</v>
      </c>
      <c r="J495">
        <v>0.58823526000000004</v>
      </c>
    </row>
    <row r="496" spans="1:10" x14ac:dyDescent="0.3">
      <c r="A496">
        <v>494</v>
      </c>
      <c r="B496">
        <v>7846</v>
      </c>
      <c r="C496" t="b">
        <v>1</v>
      </c>
      <c r="D496">
        <v>8048</v>
      </c>
      <c r="E496">
        <v>8123</v>
      </c>
      <c r="F496">
        <v>6</v>
      </c>
      <c r="G496">
        <v>8</v>
      </c>
      <c r="H496">
        <v>0.75</v>
      </c>
      <c r="I496">
        <v>0.25</v>
      </c>
      <c r="J496">
        <v>0.57142859999999995</v>
      </c>
    </row>
    <row r="497" spans="1:10" x14ac:dyDescent="0.3">
      <c r="A497">
        <v>495</v>
      </c>
      <c r="B497">
        <v>7862</v>
      </c>
      <c r="C497" t="b">
        <v>1</v>
      </c>
      <c r="D497">
        <v>8048</v>
      </c>
      <c r="E497">
        <v>8123</v>
      </c>
      <c r="F497">
        <v>6.4</v>
      </c>
      <c r="G497">
        <v>8</v>
      </c>
      <c r="H497">
        <v>0.8</v>
      </c>
      <c r="I497">
        <v>0.19999998999999999</v>
      </c>
      <c r="J497">
        <v>0.55555560000000004</v>
      </c>
    </row>
    <row r="498" spans="1:10" x14ac:dyDescent="0.3">
      <c r="A498">
        <v>496</v>
      </c>
      <c r="B498">
        <v>7878</v>
      </c>
      <c r="C498" t="b">
        <v>1</v>
      </c>
      <c r="D498">
        <v>8048</v>
      </c>
      <c r="E498">
        <v>8123</v>
      </c>
      <c r="F498">
        <v>6.8</v>
      </c>
      <c r="G498">
        <v>8</v>
      </c>
      <c r="H498">
        <v>0.85</v>
      </c>
      <c r="I498">
        <v>0.14999998</v>
      </c>
      <c r="J498">
        <v>0.54054049999999998</v>
      </c>
    </row>
    <row r="499" spans="1:10" x14ac:dyDescent="0.3">
      <c r="A499">
        <v>497</v>
      </c>
      <c r="B499">
        <v>7894</v>
      </c>
      <c r="C499" t="b">
        <v>1</v>
      </c>
      <c r="D499">
        <v>8048</v>
      </c>
      <c r="E499">
        <v>8123</v>
      </c>
      <c r="F499">
        <v>7.2</v>
      </c>
      <c r="G499">
        <v>8</v>
      </c>
      <c r="H499">
        <v>0.9</v>
      </c>
      <c r="I499">
        <v>0.10000002400000001</v>
      </c>
      <c r="J499">
        <v>0.5263158</v>
      </c>
    </row>
    <row r="500" spans="1:10" x14ac:dyDescent="0.3">
      <c r="A500">
        <v>498</v>
      </c>
      <c r="B500">
        <v>7909</v>
      </c>
      <c r="C500" t="b">
        <v>1</v>
      </c>
      <c r="D500">
        <v>8048</v>
      </c>
      <c r="E500">
        <v>8123</v>
      </c>
      <c r="F500">
        <v>7.6</v>
      </c>
      <c r="G500">
        <v>8</v>
      </c>
      <c r="H500">
        <v>0.95</v>
      </c>
      <c r="I500">
        <v>5.0000012000000003E-2</v>
      </c>
      <c r="J500">
        <v>0.51282050000000001</v>
      </c>
    </row>
    <row r="501" spans="1:10" x14ac:dyDescent="0.3">
      <c r="A501">
        <v>499</v>
      </c>
      <c r="B501">
        <v>7925</v>
      </c>
      <c r="C501" t="b">
        <v>1</v>
      </c>
      <c r="D501">
        <v>8048</v>
      </c>
      <c r="E501">
        <v>8123</v>
      </c>
      <c r="F501">
        <v>8</v>
      </c>
      <c r="G501">
        <v>8</v>
      </c>
      <c r="H501">
        <v>1</v>
      </c>
      <c r="I501">
        <v>0</v>
      </c>
      <c r="J501">
        <v>0.5</v>
      </c>
    </row>
    <row r="502" spans="1:10" x14ac:dyDescent="0.3">
      <c r="A502">
        <v>500</v>
      </c>
      <c r="B502">
        <v>7941</v>
      </c>
      <c r="C502" t="b">
        <v>1</v>
      </c>
      <c r="D502">
        <v>8048</v>
      </c>
      <c r="E502">
        <v>8123</v>
      </c>
      <c r="F502">
        <v>8</v>
      </c>
      <c r="G502">
        <v>8</v>
      </c>
      <c r="H502">
        <v>1</v>
      </c>
      <c r="I502">
        <v>0</v>
      </c>
      <c r="J502">
        <v>0.5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56EA-E528-477E-B49A-6900CE7D41AD}">
  <dimension ref="A1:J502"/>
  <sheetViews>
    <sheetView workbookViewId="0">
      <selection activeCell="F2" sqref="F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8054</v>
      </c>
      <c r="E2">
        <v>8123</v>
      </c>
      <c r="F2">
        <v>14</v>
      </c>
      <c r="G2">
        <v>8</v>
      </c>
      <c r="H2">
        <v>1.75</v>
      </c>
      <c r="I2">
        <v>-0.75</v>
      </c>
      <c r="J2">
        <v>0.36363636999999999</v>
      </c>
    </row>
    <row r="3" spans="1:10" x14ac:dyDescent="0.3">
      <c r="A3">
        <v>1</v>
      </c>
      <c r="B3">
        <v>16</v>
      </c>
      <c r="C3" t="b">
        <v>1</v>
      </c>
      <c r="D3">
        <v>8048</v>
      </c>
      <c r="E3">
        <v>8117</v>
      </c>
      <c r="F3">
        <v>14</v>
      </c>
      <c r="G3">
        <v>8</v>
      </c>
      <c r="H3">
        <v>1.75</v>
      </c>
      <c r="I3">
        <v>-0.75</v>
      </c>
      <c r="J3">
        <v>0.36363636999999999</v>
      </c>
    </row>
    <row r="4" spans="1:10" x14ac:dyDescent="0.3">
      <c r="A4">
        <v>2</v>
      </c>
      <c r="B4">
        <v>32</v>
      </c>
      <c r="C4" t="b">
        <v>1</v>
      </c>
      <c r="D4">
        <v>8048</v>
      </c>
      <c r="E4">
        <v>8123</v>
      </c>
      <c r="F4">
        <v>12</v>
      </c>
      <c r="G4">
        <v>8</v>
      </c>
      <c r="H4">
        <v>1.5</v>
      </c>
      <c r="I4">
        <v>-0.5</v>
      </c>
      <c r="J4">
        <v>0.4</v>
      </c>
    </row>
    <row r="5" spans="1:10" x14ac:dyDescent="0.3">
      <c r="A5">
        <v>3</v>
      </c>
      <c r="B5">
        <v>48</v>
      </c>
      <c r="C5" t="b">
        <v>1</v>
      </c>
      <c r="D5">
        <v>8048</v>
      </c>
      <c r="E5">
        <v>8123</v>
      </c>
      <c r="F5">
        <v>11</v>
      </c>
      <c r="G5">
        <v>8</v>
      </c>
      <c r="H5">
        <v>1.375</v>
      </c>
      <c r="I5">
        <v>-0.375</v>
      </c>
      <c r="J5">
        <v>0.42105262999999998</v>
      </c>
    </row>
    <row r="6" spans="1:10" x14ac:dyDescent="0.3">
      <c r="A6">
        <v>4</v>
      </c>
      <c r="B6">
        <v>64</v>
      </c>
      <c r="C6" t="b">
        <v>1</v>
      </c>
      <c r="D6">
        <v>8048</v>
      </c>
      <c r="E6">
        <v>8123</v>
      </c>
      <c r="F6">
        <v>10.4</v>
      </c>
      <c r="G6">
        <v>8</v>
      </c>
      <c r="H6">
        <v>1.3</v>
      </c>
      <c r="I6">
        <v>-0.29999995000000002</v>
      </c>
      <c r="J6">
        <v>0.43478262000000001</v>
      </c>
    </row>
    <row r="7" spans="1:10" x14ac:dyDescent="0.3">
      <c r="A7">
        <v>5</v>
      </c>
      <c r="B7">
        <v>80</v>
      </c>
      <c r="C7" t="b">
        <v>1</v>
      </c>
      <c r="D7">
        <v>8048</v>
      </c>
      <c r="E7">
        <v>8123</v>
      </c>
      <c r="F7">
        <v>10</v>
      </c>
      <c r="G7">
        <v>8</v>
      </c>
      <c r="H7">
        <v>1.25</v>
      </c>
      <c r="I7">
        <v>-0.25</v>
      </c>
      <c r="J7">
        <v>0.44444444999999999</v>
      </c>
    </row>
    <row r="8" spans="1:10" x14ac:dyDescent="0.3">
      <c r="A8">
        <v>6</v>
      </c>
      <c r="B8">
        <v>96</v>
      </c>
      <c r="C8" t="b">
        <v>1</v>
      </c>
      <c r="D8">
        <v>8048</v>
      </c>
      <c r="E8">
        <v>8123</v>
      </c>
      <c r="F8">
        <v>9.7142859999999995</v>
      </c>
      <c r="G8">
        <v>8</v>
      </c>
      <c r="H8">
        <v>1.2142857</v>
      </c>
      <c r="I8">
        <v>-0.21428573000000001</v>
      </c>
      <c r="J8">
        <v>0.45161289999999998</v>
      </c>
    </row>
    <row r="9" spans="1:10" x14ac:dyDescent="0.3">
      <c r="A9">
        <v>7</v>
      </c>
      <c r="B9">
        <v>127</v>
      </c>
      <c r="C9" t="b">
        <v>1</v>
      </c>
      <c r="D9">
        <v>8048</v>
      </c>
      <c r="E9">
        <v>8123</v>
      </c>
      <c r="F9">
        <v>9.5</v>
      </c>
      <c r="G9">
        <v>8</v>
      </c>
      <c r="H9">
        <v>1.1875</v>
      </c>
      <c r="I9">
        <v>-0.1875</v>
      </c>
      <c r="J9">
        <v>0.45714285999999998</v>
      </c>
    </row>
    <row r="10" spans="1:10" x14ac:dyDescent="0.3">
      <c r="A10">
        <v>8</v>
      </c>
      <c r="B10">
        <v>143</v>
      </c>
      <c r="C10" t="b">
        <v>1</v>
      </c>
      <c r="D10">
        <v>8048</v>
      </c>
      <c r="E10">
        <v>8123</v>
      </c>
      <c r="F10">
        <v>9.3333329999999997</v>
      </c>
      <c r="G10">
        <v>8</v>
      </c>
      <c r="H10">
        <v>1.1666666000000001</v>
      </c>
      <c r="I10">
        <v>-0.16666663000000001</v>
      </c>
      <c r="J10">
        <v>0.46153850000000002</v>
      </c>
    </row>
    <row r="11" spans="1:10" x14ac:dyDescent="0.3">
      <c r="A11">
        <v>9</v>
      </c>
      <c r="B11">
        <v>159</v>
      </c>
      <c r="C11" t="b">
        <v>1</v>
      </c>
      <c r="D11">
        <v>8054</v>
      </c>
      <c r="E11">
        <v>8123</v>
      </c>
      <c r="F11">
        <v>9.1999999999999993</v>
      </c>
      <c r="G11">
        <v>8</v>
      </c>
      <c r="H11">
        <v>1.1499999999999999</v>
      </c>
      <c r="I11">
        <v>-0.14999998</v>
      </c>
      <c r="J11">
        <v>0.46511626</v>
      </c>
    </row>
    <row r="12" spans="1:10" x14ac:dyDescent="0.3">
      <c r="A12">
        <v>10</v>
      </c>
      <c r="B12">
        <v>175</v>
      </c>
      <c r="C12" t="b">
        <v>1</v>
      </c>
      <c r="D12">
        <v>8054</v>
      </c>
      <c r="E12">
        <v>8123</v>
      </c>
      <c r="F12">
        <v>9.0909089999999999</v>
      </c>
      <c r="G12">
        <v>8</v>
      </c>
      <c r="H12">
        <v>1.1363635999999999</v>
      </c>
      <c r="I12">
        <v>-0.13636363000000001</v>
      </c>
      <c r="J12">
        <v>0.46808514000000001</v>
      </c>
    </row>
    <row r="13" spans="1:10" x14ac:dyDescent="0.3">
      <c r="A13">
        <v>11</v>
      </c>
      <c r="B13">
        <v>191</v>
      </c>
      <c r="C13" t="b">
        <v>1</v>
      </c>
      <c r="D13">
        <v>8048</v>
      </c>
      <c r="E13">
        <v>8123</v>
      </c>
      <c r="F13">
        <v>9</v>
      </c>
      <c r="G13">
        <v>8</v>
      </c>
      <c r="H13">
        <v>1.125</v>
      </c>
      <c r="I13">
        <v>-0.125</v>
      </c>
      <c r="J13">
        <v>0.47058823999999999</v>
      </c>
    </row>
    <row r="14" spans="1:10" x14ac:dyDescent="0.3">
      <c r="A14">
        <v>12</v>
      </c>
      <c r="B14">
        <v>207</v>
      </c>
      <c r="C14" t="b">
        <v>1</v>
      </c>
      <c r="D14">
        <v>8048</v>
      </c>
      <c r="E14">
        <v>8123</v>
      </c>
      <c r="F14">
        <v>8.9230769999999993</v>
      </c>
      <c r="G14">
        <v>8</v>
      </c>
      <c r="H14">
        <v>1.1153846000000001</v>
      </c>
      <c r="I14">
        <v>-0.11538458</v>
      </c>
      <c r="J14">
        <v>0.47272726999999998</v>
      </c>
    </row>
    <row r="15" spans="1:10" x14ac:dyDescent="0.3">
      <c r="A15">
        <v>13</v>
      </c>
      <c r="B15">
        <v>223</v>
      </c>
      <c r="C15" t="b">
        <v>1</v>
      </c>
      <c r="D15">
        <v>8048</v>
      </c>
      <c r="E15">
        <v>8123</v>
      </c>
      <c r="F15">
        <v>8.8571419999999996</v>
      </c>
      <c r="G15">
        <v>8</v>
      </c>
      <c r="H15">
        <v>1.1071428000000001</v>
      </c>
      <c r="I15">
        <v>-0.10714280599999999</v>
      </c>
      <c r="J15">
        <v>0.47457626000000003</v>
      </c>
    </row>
    <row r="16" spans="1:10" x14ac:dyDescent="0.3">
      <c r="A16">
        <v>14</v>
      </c>
      <c r="B16">
        <v>239</v>
      </c>
      <c r="C16" t="b">
        <v>1</v>
      </c>
      <c r="D16">
        <v>8048</v>
      </c>
      <c r="E16">
        <v>8123</v>
      </c>
      <c r="F16">
        <v>8.8000000000000007</v>
      </c>
      <c r="G16">
        <v>8</v>
      </c>
      <c r="H16">
        <v>1.1000000000000001</v>
      </c>
      <c r="I16">
        <v>-0.10000002400000001</v>
      </c>
      <c r="J16">
        <v>0.47619050000000002</v>
      </c>
    </row>
    <row r="17" spans="1:10" x14ac:dyDescent="0.3">
      <c r="A17">
        <v>15</v>
      </c>
      <c r="B17">
        <v>255</v>
      </c>
      <c r="C17" t="b">
        <v>1</v>
      </c>
      <c r="D17">
        <v>8048</v>
      </c>
      <c r="E17">
        <v>8123</v>
      </c>
      <c r="F17">
        <v>8.4</v>
      </c>
      <c r="G17">
        <v>8</v>
      </c>
      <c r="H17">
        <v>1.05</v>
      </c>
      <c r="I17">
        <v>-4.9999952E-2</v>
      </c>
      <c r="J17">
        <v>0.48780489999999999</v>
      </c>
    </row>
    <row r="18" spans="1:10" x14ac:dyDescent="0.3">
      <c r="A18">
        <v>16</v>
      </c>
      <c r="B18">
        <v>270</v>
      </c>
      <c r="C18" t="b">
        <v>1</v>
      </c>
      <c r="D18">
        <v>8042</v>
      </c>
      <c r="E18">
        <v>8123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286</v>
      </c>
      <c r="C19" t="b">
        <v>1</v>
      </c>
      <c r="D19">
        <v>8042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302</v>
      </c>
      <c r="C20" t="b">
        <v>1</v>
      </c>
      <c r="D20">
        <v>8042</v>
      </c>
      <c r="E20">
        <v>8123</v>
      </c>
      <c r="F20">
        <v>7.6</v>
      </c>
      <c r="G20">
        <v>8</v>
      </c>
      <c r="H20">
        <v>0.95</v>
      </c>
      <c r="I20">
        <v>5.0000012000000003E-2</v>
      </c>
      <c r="J20">
        <v>0.51282050000000001</v>
      </c>
    </row>
    <row r="21" spans="1:10" x14ac:dyDescent="0.3">
      <c r="A21">
        <v>19</v>
      </c>
      <c r="B21">
        <v>318</v>
      </c>
      <c r="C21" t="b">
        <v>1</v>
      </c>
      <c r="D21">
        <v>8048</v>
      </c>
      <c r="E21">
        <v>8123</v>
      </c>
      <c r="F21">
        <v>7.2</v>
      </c>
      <c r="G21">
        <v>8</v>
      </c>
      <c r="H21">
        <v>0.9</v>
      </c>
      <c r="I21">
        <v>0.10000002400000001</v>
      </c>
      <c r="J21">
        <v>0.5263158</v>
      </c>
    </row>
    <row r="22" spans="1:10" x14ac:dyDescent="0.3">
      <c r="A22">
        <v>20</v>
      </c>
      <c r="B22">
        <v>333</v>
      </c>
      <c r="C22" t="b">
        <v>1</v>
      </c>
      <c r="D22">
        <v>8048</v>
      </c>
      <c r="E22">
        <v>8117</v>
      </c>
      <c r="F22">
        <v>6.8</v>
      </c>
      <c r="G22">
        <v>8</v>
      </c>
      <c r="H22">
        <v>0.85</v>
      </c>
      <c r="I22">
        <v>0.14999998</v>
      </c>
      <c r="J22">
        <v>0.54054049999999998</v>
      </c>
    </row>
    <row r="23" spans="1:10" x14ac:dyDescent="0.3">
      <c r="A23">
        <v>21</v>
      </c>
      <c r="B23">
        <v>349</v>
      </c>
      <c r="C23" t="b">
        <v>1</v>
      </c>
      <c r="D23">
        <v>8048</v>
      </c>
      <c r="E23">
        <v>8123</v>
      </c>
      <c r="F23">
        <v>6.8</v>
      </c>
      <c r="G23">
        <v>8</v>
      </c>
      <c r="H23">
        <v>0.85</v>
      </c>
      <c r="I23">
        <v>0.14999998</v>
      </c>
      <c r="J23">
        <v>0.54054049999999998</v>
      </c>
    </row>
    <row r="24" spans="1:10" x14ac:dyDescent="0.3">
      <c r="A24">
        <v>22</v>
      </c>
      <c r="B24">
        <v>365</v>
      </c>
      <c r="C24" t="b">
        <v>1</v>
      </c>
      <c r="D24">
        <v>8048</v>
      </c>
      <c r="E24">
        <v>8123</v>
      </c>
      <c r="F24">
        <v>6.8</v>
      </c>
      <c r="G24">
        <v>8</v>
      </c>
      <c r="H24">
        <v>0.85</v>
      </c>
      <c r="I24">
        <v>0.14999998</v>
      </c>
      <c r="J24">
        <v>0.54054049999999998</v>
      </c>
    </row>
    <row r="25" spans="1:10" x14ac:dyDescent="0.3">
      <c r="A25">
        <v>23</v>
      </c>
      <c r="B25">
        <v>381</v>
      </c>
      <c r="C25" t="b">
        <v>1</v>
      </c>
      <c r="D25">
        <v>8048</v>
      </c>
      <c r="E25">
        <v>8117</v>
      </c>
      <c r="F25">
        <v>6.8</v>
      </c>
      <c r="G25">
        <v>8</v>
      </c>
      <c r="H25">
        <v>0.85</v>
      </c>
      <c r="I25">
        <v>0.14999998</v>
      </c>
      <c r="J25">
        <v>0.54054049999999998</v>
      </c>
    </row>
    <row r="26" spans="1:10" x14ac:dyDescent="0.3">
      <c r="A26">
        <v>24</v>
      </c>
      <c r="B26">
        <v>397</v>
      </c>
      <c r="C26" t="b">
        <v>1</v>
      </c>
      <c r="D26">
        <v>8048</v>
      </c>
      <c r="E26">
        <v>8123</v>
      </c>
      <c r="F26">
        <v>6.8</v>
      </c>
      <c r="G26">
        <v>8</v>
      </c>
      <c r="H26">
        <v>0.85</v>
      </c>
      <c r="I26">
        <v>0.14999998</v>
      </c>
      <c r="J26">
        <v>0.54054049999999998</v>
      </c>
    </row>
    <row r="27" spans="1:10" x14ac:dyDescent="0.3">
      <c r="A27">
        <v>25</v>
      </c>
      <c r="B27">
        <v>413</v>
      </c>
      <c r="C27" t="b">
        <v>1</v>
      </c>
      <c r="D27">
        <v>8054</v>
      </c>
      <c r="E27">
        <v>8123</v>
      </c>
      <c r="F27">
        <v>6.8</v>
      </c>
      <c r="G27">
        <v>8</v>
      </c>
      <c r="H27">
        <v>0.85</v>
      </c>
      <c r="I27">
        <v>0.14999998</v>
      </c>
      <c r="J27">
        <v>0.54054049999999998</v>
      </c>
    </row>
    <row r="28" spans="1:10" x14ac:dyDescent="0.3">
      <c r="A28">
        <v>26</v>
      </c>
      <c r="B28">
        <v>429</v>
      </c>
      <c r="C28" t="b">
        <v>1</v>
      </c>
      <c r="D28">
        <v>8048</v>
      </c>
      <c r="E28">
        <v>8123</v>
      </c>
      <c r="F28">
        <v>6.8</v>
      </c>
      <c r="G28">
        <v>8</v>
      </c>
      <c r="H28">
        <v>0.85</v>
      </c>
      <c r="I28">
        <v>0.14999998</v>
      </c>
      <c r="J28">
        <v>0.54054049999999998</v>
      </c>
    </row>
    <row r="29" spans="1:10" x14ac:dyDescent="0.3">
      <c r="A29">
        <v>27</v>
      </c>
      <c r="B29">
        <v>445</v>
      </c>
      <c r="C29" t="b">
        <v>1</v>
      </c>
      <c r="D29">
        <v>8048</v>
      </c>
      <c r="E29">
        <v>8123</v>
      </c>
      <c r="F29">
        <v>6.8</v>
      </c>
      <c r="G29">
        <v>8</v>
      </c>
      <c r="H29">
        <v>0.85</v>
      </c>
      <c r="I29">
        <v>0.14999998</v>
      </c>
      <c r="J29">
        <v>0.54054049999999998</v>
      </c>
    </row>
    <row r="30" spans="1:10" x14ac:dyDescent="0.3">
      <c r="A30">
        <v>28</v>
      </c>
      <c r="B30">
        <v>461</v>
      </c>
      <c r="C30" t="b">
        <v>1</v>
      </c>
      <c r="D30">
        <v>8048</v>
      </c>
      <c r="E30">
        <v>8123</v>
      </c>
      <c r="F30">
        <v>6.8</v>
      </c>
      <c r="G30">
        <v>8</v>
      </c>
      <c r="H30">
        <v>0.85</v>
      </c>
      <c r="I30">
        <v>0.14999998</v>
      </c>
      <c r="J30">
        <v>0.54054049999999998</v>
      </c>
    </row>
    <row r="31" spans="1:10" x14ac:dyDescent="0.3">
      <c r="A31">
        <v>29</v>
      </c>
      <c r="B31">
        <v>477</v>
      </c>
      <c r="C31" t="b">
        <v>1</v>
      </c>
      <c r="D31">
        <v>8054</v>
      </c>
      <c r="E31">
        <v>8123</v>
      </c>
      <c r="F31">
        <v>6.8</v>
      </c>
      <c r="G31">
        <v>8</v>
      </c>
      <c r="H31">
        <v>0.85</v>
      </c>
      <c r="I31">
        <v>0.14999998</v>
      </c>
      <c r="J31">
        <v>0.54054049999999998</v>
      </c>
    </row>
    <row r="32" spans="1:10" x14ac:dyDescent="0.3">
      <c r="A32">
        <v>30</v>
      </c>
      <c r="B32">
        <v>493</v>
      </c>
      <c r="C32" t="b">
        <v>1</v>
      </c>
      <c r="D32">
        <v>8048</v>
      </c>
      <c r="E32">
        <v>8123</v>
      </c>
      <c r="F32">
        <v>6.8</v>
      </c>
      <c r="G32">
        <v>8</v>
      </c>
      <c r="H32">
        <v>0.85</v>
      </c>
      <c r="I32">
        <v>0.14999998</v>
      </c>
      <c r="J32">
        <v>0.54054049999999998</v>
      </c>
    </row>
    <row r="33" spans="1:10" x14ac:dyDescent="0.3">
      <c r="A33">
        <v>31</v>
      </c>
      <c r="B33">
        <v>509</v>
      </c>
      <c r="C33" t="b">
        <v>1</v>
      </c>
      <c r="D33">
        <v>8048</v>
      </c>
      <c r="E33">
        <v>8123</v>
      </c>
      <c r="F33">
        <v>6.8</v>
      </c>
      <c r="G33">
        <v>8</v>
      </c>
      <c r="H33">
        <v>0.85</v>
      </c>
      <c r="I33">
        <v>0.14999998</v>
      </c>
      <c r="J33">
        <v>0.54054049999999998</v>
      </c>
    </row>
    <row r="34" spans="1:10" x14ac:dyDescent="0.3">
      <c r="A34">
        <v>32</v>
      </c>
      <c r="B34">
        <v>525</v>
      </c>
      <c r="C34" t="b">
        <v>1</v>
      </c>
      <c r="D34">
        <v>8048</v>
      </c>
      <c r="E34">
        <v>8123</v>
      </c>
      <c r="F34">
        <v>6.8</v>
      </c>
      <c r="G34">
        <v>8</v>
      </c>
      <c r="H34">
        <v>0.85</v>
      </c>
      <c r="I34">
        <v>0.14999998</v>
      </c>
      <c r="J34">
        <v>0.54054049999999998</v>
      </c>
    </row>
    <row r="35" spans="1:10" x14ac:dyDescent="0.3">
      <c r="A35">
        <v>33</v>
      </c>
      <c r="B35">
        <v>541</v>
      </c>
      <c r="C35" t="b">
        <v>1</v>
      </c>
      <c r="D35">
        <v>8048</v>
      </c>
      <c r="E35">
        <v>8123</v>
      </c>
      <c r="F35">
        <v>7.2</v>
      </c>
      <c r="G35">
        <v>8</v>
      </c>
      <c r="H35">
        <v>0.9</v>
      </c>
      <c r="I35">
        <v>0.10000002400000001</v>
      </c>
      <c r="J35">
        <v>0.5263158</v>
      </c>
    </row>
    <row r="36" spans="1:10" x14ac:dyDescent="0.3">
      <c r="A36">
        <v>34</v>
      </c>
      <c r="B36">
        <v>557</v>
      </c>
      <c r="C36" t="b">
        <v>1</v>
      </c>
      <c r="D36">
        <v>8054</v>
      </c>
      <c r="E36">
        <v>8123</v>
      </c>
      <c r="F36">
        <v>7.6</v>
      </c>
      <c r="G36">
        <v>8</v>
      </c>
      <c r="H36">
        <v>0.95</v>
      </c>
      <c r="I36">
        <v>5.0000012000000003E-2</v>
      </c>
      <c r="J36">
        <v>0.51282050000000001</v>
      </c>
    </row>
    <row r="37" spans="1:10" x14ac:dyDescent="0.3">
      <c r="A37">
        <v>35</v>
      </c>
      <c r="B37">
        <v>572</v>
      </c>
      <c r="C37" t="b">
        <v>1</v>
      </c>
      <c r="D37">
        <v>8048</v>
      </c>
      <c r="E37">
        <v>8117</v>
      </c>
      <c r="F37">
        <v>8</v>
      </c>
      <c r="G37">
        <v>8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588</v>
      </c>
      <c r="C38" t="b">
        <v>1</v>
      </c>
      <c r="D38">
        <v>8048</v>
      </c>
      <c r="E38">
        <v>8123</v>
      </c>
      <c r="F38">
        <v>8</v>
      </c>
      <c r="G38">
        <v>8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604</v>
      </c>
      <c r="C39" t="b">
        <v>1</v>
      </c>
      <c r="D39">
        <v>8054</v>
      </c>
      <c r="E39">
        <v>8117</v>
      </c>
      <c r="F39">
        <v>8</v>
      </c>
      <c r="G39">
        <v>8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620</v>
      </c>
      <c r="C40" t="b">
        <v>1</v>
      </c>
      <c r="D40">
        <v>8048</v>
      </c>
      <c r="E40">
        <v>8123</v>
      </c>
      <c r="F40">
        <v>8</v>
      </c>
      <c r="G40">
        <v>8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636</v>
      </c>
      <c r="C41" t="b">
        <v>1</v>
      </c>
      <c r="D41">
        <v>8048</v>
      </c>
      <c r="E41">
        <v>8123</v>
      </c>
      <c r="F41">
        <v>8</v>
      </c>
      <c r="G41">
        <v>8</v>
      </c>
      <c r="H41">
        <v>1</v>
      </c>
      <c r="I41">
        <v>0</v>
      </c>
      <c r="J41">
        <v>0.5</v>
      </c>
    </row>
    <row r="42" spans="1:10" x14ac:dyDescent="0.3">
      <c r="A42">
        <v>40</v>
      </c>
      <c r="B42">
        <v>652</v>
      </c>
      <c r="C42" t="b">
        <v>1</v>
      </c>
      <c r="D42">
        <v>8048</v>
      </c>
      <c r="E42">
        <v>8123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668</v>
      </c>
      <c r="C43" t="b">
        <v>1</v>
      </c>
      <c r="D43">
        <v>8048</v>
      </c>
      <c r="E43">
        <v>8123</v>
      </c>
      <c r="F43">
        <v>8</v>
      </c>
      <c r="G43">
        <v>8</v>
      </c>
      <c r="H43">
        <v>1</v>
      </c>
      <c r="I43">
        <v>0</v>
      </c>
      <c r="J43">
        <v>0.5</v>
      </c>
    </row>
    <row r="44" spans="1:10" x14ac:dyDescent="0.3">
      <c r="A44">
        <v>42</v>
      </c>
      <c r="B44">
        <v>684</v>
      </c>
      <c r="C44" t="b">
        <v>1</v>
      </c>
      <c r="D44">
        <v>8048</v>
      </c>
      <c r="E44">
        <v>8123</v>
      </c>
      <c r="F44">
        <v>8</v>
      </c>
      <c r="G44">
        <v>8</v>
      </c>
      <c r="H44">
        <v>1</v>
      </c>
      <c r="I44">
        <v>0</v>
      </c>
      <c r="J44">
        <v>0.5</v>
      </c>
    </row>
    <row r="45" spans="1:10" x14ac:dyDescent="0.3">
      <c r="A45">
        <v>43</v>
      </c>
      <c r="B45">
        <v>700</v>
      </c>
      <c r="C45" t="b">
        <v>1</v>
      </c>
      <c r="D45">
        <v>8048</v>
      </c>
      <c r="E45">
        <v>8123</v>
      </c>
      <c r="F45">
        <v>8</v>
      </c>
      <c r="G45">
        <v>8</v>
      </c>
      <c r="H45">
        <v>1</v>
      </c>
      <c r="I45">
        <v>0</v>
      </c>
      <c r="J45">
        <v>0.5</v>
      </c>
    </row>
    <row r="46" spans="1:10" x14ac:dyDescent="0.3">
      <c r="A46">
        <v>44</v>
      </c>
      <c r="B46">
        <v>716</v>
      </c>
      <c r="C46" t="b">
        <v>1</v>
      </c>
      <c r="D46">
        <v>8048</v>
      </c>
      <c r="E46">
        <v>8117</v>
      </c>
      <c r="F46">
        <v>8</v>
      </c>
      <c r="G46">
        <v>8</v>
      </c>
      <c r="H46">
        <v>1</v>
      </c>
      <c r="I46">
        <v>0</v>
      </c>
      <c r="J46">
        <v>0.5</v>
      </c>
    </row>
    <row r="47" spans="1:10" x14ac:dyDescent="0.3">
      <c r="A47">
        <v>45</v>
      </c>
      <c r="B47">
        <v>732</v>
      </c>
      <c r="C47" t="b">
        <v>1</v>
      </c>
      <c r="D47">
        <v>8048</v>
      </c>
      <c r="E47">
        <v>8117</v>
      </c>
      <c r="F47">
        <v>8</v>
      </c>
      <c r="G47">
        <v>8</v>
      </c>
      <c r="H47">
        <v>1</v>
      </c>
      <c r="I47">
        <v>0</v>
      </c>
      <c r="J47">
        <v>0.5</v>
      </c>
    </row>
    <row r="48" spans="1:10" x14ac:dyDescent="0.3">
      <c r="A48">
        <v>46</v>
      </c>
      <c r="B48">
        <v>748</v>
      </c>
      <c r="C48" t="b">
        <v>1</v>
      </c>
      <c r="D48">
        <v>8048</v>
      </c>
      <c r="E48">
        <v>8123</v>
      </c>
      <c r="F48">
        <v>8</v>
      </c>
      <c r="G48">
        <v>8</v>
      </c>
      <c r="H48">
        <v>1</v>
      </c>
      <c r="I48">
        <v>0</v>
      </c>
      <c r="J48">
        <v>0.5</v>
      </c>
    </row>
    <row r="49" spans="1:10" x14ac:dyDescent="0.3">
      <c r="A49">
        <v>47</v>
      </c>
      <c r="B49">
        <v>764</v>
      </c>
      <c r="C49" t="b">
        <v>1</v>
      </c>
      <c r="D49">
        <v>8048</v>
      </c>
      <c r="E49">
        <v>8123</v>
      </c>
      <c r="F49">
        <v>8</v>
      </c>
      <c r="G49">
        <v>8</v>
      </c>
      <c r="H49">
        <v>1</v>
      </c>
      <c r="I49">
        <v>0</v>
      </c>
      <c r="J49">
        <v>0.5</v>
      </c>
    </row>
    <row r="50" spans="1:10" x14ac:dyDescent="0.3">
      <c r="A50">
        <v>48</v>
      </c>
      <c r="B50">
        <v>780</v>
      </c>
      <c r="C50" t="b">
        <v>1</v>
      </c>
      <c r="D50">
        <v>8048</v>
      </c>
      <c r="E50">
        <v>8123</v>
      </c>
      <c r="F50">
        <v>8</v>
      </c>
      <c r="G50">
        <v>8</v>
      </c>
      <c r="H50">
        <v>1</v>
      </c>
      <c r="I50">
        <v>0</v>
      </c>
      <c r="J50">
        <v>0.5</v>
      </c>
    </row>
    <row r="51" spans="1:10" x14ac:dyDescent="0.3">
      <c r="A51">
        <v>49</v>
      </c>
      <c r="B51">
        <v>796</v>
      </c>
      <c r="C51" t="b">
        <v>1</v>
      </c>
      <c r="D51">
        <v>8048</v>
      </c>
      <c r="E51">
        <v>8117</v>
      </c>
      <c r="F51">
        <v>8</v>
      </c>
      <c r="G51">
        <v>8</v>
      </c>
      <c r="H51">
        <v>1</v>
      </c>
      <c r="I51">
        <v>0</v>
      </c>
      <c r="J51">
        <v>0.5</v>
      </c>
    </row>
    <row r="52" spans="1:10" x14ac:dyDescent="0.3">
      <c r="A52">
        <v>50</v>
      </c>
      <c r="B52">
        <v>812</v>
      </c>
      <c r="C52" t="b">
        <v>1</v>
      </c>
      <c r="D52">
        <v>8048</v>
      </c>
      <c r="E52">
        <v>8123</v>
      </c>
      <c r="F52">
        <v>8</v>
      </c>
      <c r="G52">
        <v>8</v>
      </c>
      <c r="H52">
        <v>1</v>
      </c>
      <c r="I52">
        <v>0</v>
      </c>
      <c r="J52">
        <v>0.5</v>
      </c>
    </row>
    <row r="53" spans="1:10" x14ac:dyDescent="0.3">
      <c r="A53">
        <v>51</v>
      </c>
      <c r="B53">
        <v>827</v>
      </c>
      <c r="C53" t="b">
        <v>1</v>
      </c>
      <c r="D53">
        <v>8054</v>
      </c>
      <c r="E53">
        <v>8129</v>
      </c>
      <c r="F53">
        <v>8</v>
      </c>
      <c r="G53">
        <v>8</v>
      </c>
      <c r="H53">
        <v>1</v>
      </c>
      <c r="I53">
        <v>0</v>
      </c>
      <c r="J53">
        <v>0.5</v>
      </c>
    </row>
    <row r="54" spans="1:10" x14ac:dyDescent="0.3">
      <c r="A54">
        <v>52</v>
      </c>
      <c r="B54">
        <v>843</v>
      </c>
      <c r="C54" t="b">
        <v>1</v>
      </c>
      <c r="D54">
        <v>8042</v>
      </c>
      <c r="E54">
        <v>8123</v>
      </c>
      <c r="F54">
        <v>8</v>
      </c>
      <c r="G54">
        <v>8</v>
      </c>
      <c r="H54">
        <v>1</v>
      </c>
      <c r="I54">
        <v>0</v>
      </c>
      <c r="J54">
        <v>0.5</v>
      </c>
    </row>
    <row r="55" spans="1:10" x14ac:dyDescent="0.3">
      <c r="A55">
        <v>53</v>
      </c>
      <c r="B55">
        <v>859</v>
      </c>
      <c r="C55" t="b">
        <v>1</v>
      </c>
      <c r="D55">
        <v>8048</v>
      </c>
      <c r="E55">
        <v>8123</v>
      </c>
      <c r="F55">
        <v>8</v>
      </c>
      <c r="G55">
        <v>8</v>
      </c>
      <c r="H55">
        <v>1</v>
      </c>
      <c r="I55">
        <v>0</v>
      </c>
      <c r="J55">
        <v>0.5</v>
      </c>
    </row>
    <row r="56" spans="1:10" x14ac:dyDescent="0.3">
      <c r="A56">
        <v>54</v>
      </c>
      <c r="B56">
        <v>875</v>
      </c>
      <c r="C56" t="b">
        <v>1</v>
      </c>
      <c r="D56">
        <v>8042</v>
      </c>
      <c r="E56">
        <v>8123</v>
      </c>
      <c r="F56">
        <v>8</v>
      </c>
      <c r="G56">
        <v>8</v>
      </c>
      <c r="H56">
        <v>1</v>
      </c>
      <c r="I56">
        <v>0</v>
      </c>
      <c r="J56">
        <v>0.5</v>
      </c>
    </row>
    <row r="57" spans="1:10" x14ac:dyDescent="0.3">
      <c r="A57">
        <v>55</v>
      </c>
      <c r="B57">
        <v>891</v>
      </c>
      <c r="C57" t="b">
        <v>1</v>
      </c>
      <c r="D57">
        <v>8048</v>
      </c>
      <c r="E57">
        <v>8123</v>
      </c>
      <c r="F57">
        <v>8</v>
      </c>
      <c r="G57">
        <v>8</v>
      </c>
      <c r="H57">
        <v>1</v>
      </c>
      <c r="I57">
        <v>0</v>
      </c>
      <c r="J57">
        <v>0.5</v>
      </c>
    </row>
    <row r="58" spans="1:10" x14ac:dyDescent="0.3">
      <c r="A58">
        <v>56</v>
      </c>
      <c r="B58">
        <v>907</v>
      </c>
      <c r="C58" t="b">
        <v>1</v>
      </c>
      <c r="D58">
        <v>8048</v>
      </c>
      <c r="E58">
        <v>8123</v>
      </c>
      <c r="F58">
        <v>8</v>
      </c>
      <c r="G58">
        <v>8</v>
      </c>
      <c r="H58">
        <v>1</v>
      </c>
      <c r="I58">
        <v>0</v>
      </c>
      <c r="J58">
        <v>0.5</v>
      </c>
    </row>
    <row r="59" spans="1:10" x14ac:dyDescent="0.3">
      <c r="A59">
        <v>57</v>
      </c>
      <c r="B59">
        <v>923</v>
      </c>
      <c r="C59" t="b">
        <v>1</v>
      </c>
      <c r="D59">
        <v>8048</v>
      </c>
      <c r="E59">
        <v>8123</v>
      </c>
      <c r="F59">
        <v>8</v>
      </c>
      <c r="G59">
        <v>8</v>
      </c>
      <c r="H59">
        <v>1</v>
      </c>
      <c r="I59">
        <v>0</v>
      </c>
      <c r="J59">
        <v>0.5</v>
      </c>
    </row>
    <row r="60" spans="1:10" x14ac:dyDescent="0.3">
      <c r="A60">
        <v>58</v>
      </c>
      <c r="B60">
        <v>939</v>
      </c>
      <c r="C60" t="b">
        <v>1</v>
      </c>
      <c r="D60">
        <v>8048</v>
      </c>
      <c r="E60">
        <v>8117</v>
      </c>
      <c r="F60">
        <v>8</v>
      </c>
      <c r="G60">
        <v>8</v>
      </c>
      <c r="H60">
        <v>1</v>
      </c>
      <c r="I60">
        <v>0</v>
      </c>
      <c r="J60">
        <v>0.5</v>
      </c>
    </row>
    <row r="61" spans="1:10" x14ac:dyDescent="0.3">
      <c r="A61">
        <v>59</v>
      </c>
      <c r="B61">
        <v>955</v>
      </c>
      <c r="C61" t="b">
        <v>1</v>
      </c>
      <c r="D61">
        <v>8048</v>
      </c>
      <c r="E61">
        <v>8123</v>
      </c>
      <c r="F61">
        <v>8</v>
      </c>
      <c r="G61">
        <v>8</v>
      </c>
      <c r="H61">
        <v>1</v>
      </c>
      <c r="I61">
        <v>0</v>
      </c>
      <c r="J61">
        <v>0.5</v>
      </c>
    </row>
    <row r="62" spans="1:10" x14ac:dyDescent="0.3">
      <c r="A62">
        <v>60</v>
      </c>
      <c r="B62">
        <v>971</v>
      </c>
      <c r="C62" t="b">
        <v>1</v>
      </c>
      <c r="D62">
        <v>8048</v>
      </c>
      <c r="E62">
        <v>8123</v>
      </c>
      <c r="F62">
        <v>8</v>
      </c>
      <c r="G62">
        <v>8</v>
      </c>
      <c r="H62">
        <v>1</v>
      </c>
      <c r="I62">
        <v>0</v>
      </c>
      <c r="J62">
        <v>0.5</v>
      </c>
    </row>
    <row r="63" spans="1:10" x14ac:dyDescent="0.3">
      <c r="A63">
        <v>61</v>
      </c>
      <c r="B63">
        <v>986</v>
      </c>
      <c r="C63" t="b">
        <v>1</v>
      </c>
      <c r="D63">
        <v>8048</v>
      </c>
      <c r="E63">
        <v>8117</v>
      </c>
      <c r="F63">
        <v>8</v>
      </c>
      <c r="G63">
        <v>8</v>
      </c>
      <c r="H63">
        <v>1</v>
      </c>
      <c r="I63">
        <v>0</v>
      </c>
      <c r="J63">
        <v>0.5</v>
      </c>
    </row>
    <row r="64" spans="1:10" x14ac:dyDescent="0.3">
      <c r="A64">
        <v>62</v>
      </c>
      <c r="B64">
        <v>1002</v>
      </c>
      <c r="C64" t="b">
        <v>1</v>
      </c>
      <c r="D64">
        <v>8048</v>
      </c>
      <c r="E64">
        <v>8117</v>
      </c>
      <c r="F64">
        <v>8</v>
      </c>
      <c r="G64">
        <v>7.6</v>
      </c>
      <c r="H64">
        <v>1.0526316</v>
      </c>
      <c r="I64">
        <v>-5.2631589999999999E-2</v>
      </c>
      <c r="J64">
        <v>0.48717946000000001</v>
      </c>
    </row>
    <row r="65" spans="1:10" x14ac:dyDescent="0.3">
      <c r="A65">
        <v>63</v>
      </c>
      <c r="B65">
        <v>1018</v>
      </c>
      <c r="C65" t="b">
        <v>1</v>
      </c>
      <c r="D65">
        <v>8048</v>
      </c>
      <c r="E65">
        <v>8123</v>
      </c>
      <c r="F65">
        <v>8</v>
      </c>
      <c r="G65">
        <v>7.6</v>
      </c>
      <c r="H65">
        <v>1.0526316</v>
      </c>
      <c r="I65">
        <v>-5.2631589999999999E-2</v>
      </c>
      <c r="J65">
        <v>0.48717946000000001</v>
      </c>
    </row>
    <row r="66" spans="1:10" x14ac:dyDescent="0.3">
      <c r="A66">
        <v>64</v>
      </c>
      <c r="B66">
        <v>1034</v>
      </c>
      <c r="C66" t="b">
        <v>1</v>
      </c>
      <c r="D66">
        <v>8048</v>
      </c>
      <c r="E66">
        <v>8123</v>
      </c>
      <c r="F66">
        <v>8</v>
      </c>
      <c r="G66">
        <v>7.6</v>
      </c>
      <c r="H66">
        <v>1.0526316</v>
      </c>
      <c r="I66">
        <v>-5.2631589999999999E-2</v>
      </c>
      <c r="J66">
        <v>0.48717946000000001</v>
      </c>
    </row>
    <row r="67" spans="1:10" x14ac:dyDescent="0.3">
      <c r="A67">
        <v>65</v>
      </c>
      <c r="B67">
        <v>1050</v>
      </c>
      <c r="C67" t="b">
        <v>1</v>
      </c>
      <c r="D67">
        <v>8048</v>
      </c>
      <c r="E67">
        <v>8117</v>
      </c>
      <c r="F67">
        <v>8</v>
      </c>
      <c r="G67">
        <v>7.2</v>
      </c>
      <c r="H67">
        <v>1.1111112000000001</v>
      </c>
      <c r="I67">
        <v>-0.11111114</v>
      </c>
      <c r="J67">
        <v>0.4736842</v>
      </c>
    </row>
    <row r="68" spans="1:10" x14ac:dyDescent="0.3">
      <c r="A68">
        <v>66</v>
      </c>
      <c r="B68">
        <v>1066</v>
      </c>
      <c r="C68" t="b">
        <v>1</v>
      </c>
      <c r="D68">
        <v>8037</v>
      </c>
      <c r="E68">
        <v>8123</v>
      </c>
      <c r="F68">
        <v>8</v>
      </c>
      <c r="G68">
        <v>7.2</v>
      </c>
      <c r="H68">
        <v>1.1111112000000001</v>
      </c>
      <c r="I68">
        <v>-0.11111114</v>
      </c>
      <c r="J68">
        <v>0.4736842</v>
      </c>
    </row>
    <row r="69" spans="1:10" x14ac:dyDescent="0.3">
      <c r="A69">
        <v>67</v>
      </c>
      <c r="B69">
        <v>1081</v>
      </c>
      <c r="C69" t="b">
        <v>1</v>
      </c>
      <c r="D69">
        <v>8037</v>
      </c>
      <c r="E69">
        <v>8123</v>
      </c>
      <c r="F69">
        <v>8</v>
      </c>
      <c r="G69">
        <v>7.2</v>
      </c>
      <c r="H69">
        <v>1.1111112000000001</v>
      </c>
      <c r="I69">
        <v>-0.11111114</v>
      </c>
      <c r="J69">
        <v>0.4736842</v>
      </c>
    </row>
    <row r="70" spans="1:10" x14ac:dyDescent="0.3">
      <c r="A70">
        <v>68</v>
      </c>
      <c r="B70">
        <v>1097</v>
      </c>
      <c r="C70" t="b">
        <v>1</v>
      </c>
      <c r="D70">
        <v>8048</v>
      </c>
      <c r="E70">
        <v>8123</v>
      </c>
      <c r="F70">
        <v>8</v>
      </c>
      <c r="G70">
        <v>7.2</v>
      </c>
      <c r="H70">
        <v>1.1111112000000001</v>
      </c>
      <c r="I70">
        <v>-0.11111114</v>
      </c>
      <c r="J70">
        <v>0.4736842</v>
      </c>
    </row>
    <row r="71" spans="1:10" x14ac:dyDescent="0.3">
      <c r="A71">
        <v>69</v>
      </c>
      <c r="B71">
        <v>1113</v>
      </c>
      <c r="C71" t="b">
        <v>1</v>
      </c>
      <c r="D71">
        <v>8042</v>
      </c>
      <c r="E71">
        <v>8123</v>
      </c>
      <c r="F71">
        <v>7.6</v>
      </c>
      <c r="G71">
        <v>7.2</v>
      </c>
      <c r="H71">
        <v>1.0555555999999999</v>
      </c>
      <c r="I71">
        <v>-5.5555569999999999E-2</v>
      </c>
      <c r="J71">
        <v>0.48648649999999999</v>
      </c>
    </row>
    <row r="72" spans="1:10" x14ac:dyDescent="0.3">
      <c r="A72">
        <v>70</v>
      </c>
      <c r="B72">
        <v>1129</v>
      </c>
      <c r="C72" t="b">
        <v>1</v>
      </c>
      <c r="D72">
        <v>8042</v>
      </c>
      <c r="E72">
        <v>8129</v>
      </c>
      <c r="F72">
        <v>7.2</v>
      </c>
      <c r="G72">
        <v>7.2</v>
      </c>
      <c r="H72">
        <v>1</v>
      </c>
      <c r="I72">
        <v>0</v>
      </c>
      <c r="J72">
        <v>0.5</v>
      </c>
    </row>
    <row r="73" spans="1:10" x14ac:dyDescent="0.3">
      <c r="A73">
        <v>71</v>
      </c>
      <c r="B73">
        <v>1145</v>
      </c>
      <c r="C73" t="b">
        <v>1</v>
      </c>
      <c r="D73">
        <v>8042</v>
      </c>
      <c r="E73">
        <v>8129</v>
      </c>
      <c r="F73">
        <v>6.8</v>
      </c>
      <c r="G73">
        <v>7.2</v>
      </c>
      <c r="H73">
        <v>0.94444450000000002</v>
      </c>
      <c r="I73">
        <v>5.5555503999999999E-2</v>
      </c>
      <c r="J73">
        <v>0.51428569999999996</v>
      </c>
    </row>
    <row r="74" spans="1:10" x14ac:dyDescent="0.3">
      <c r="A74">
        <v>72</v>
      </c>
      <c r="B74">
        <v>1161</v>
      </c>
      <c r="C74" t="b">
        <v>1</v>
      </c>
      <c r="D74">
        <v>8048</v>
      </c>
      <c r="E74">
        <v>8129</v>
      </c>
      <c r="F74">
        <v>6.4</v>
      </c>
      <c r="G74">
        <v>7.6</v>
      </c>
      <c r="H74">
        <v>0.84210527000000002</v>
      </c>
      <c r="I74">
        <v>0.15789471999999999</v>
      </c>
      <c r="J74">
        <v>0.54285709999999998</v>
      </c>
    </row>
    <row r="75" spans="1:10" x14ac:dyDescent="0.3">
      <c r="A75">
        <v>73</v>
      </c>
      <c r="B75">
        <v>1177</v>
      </c>
      <c r="C75" t="b">
        <v>1</v>
      </c>
      <c r="D75">
        <v>8048</v>
      </c>
      <c r="E75">
        <v>8129</v>
      </c>
      <c r="F75">
        <v>6</v>
      </c>
      <c r="G75">
        <v>8</v>
      </c>
      <c r="H75">
        <v>0.75</v>
      </c>
      <c r="I75">
        <v>0.25</v>
      </c>
      <c r="J75">
        <v>0.57142859999999995</v>
      </c>
    </row>
    <row r="76" spans="1:10" x14ac:dyDescent="0.3">
      <c r="A76">
        <v>74</v>
      </c>
      <c r="B76">
        <v>1193</v>
      </c>
      <c r="C76" t="b">
        <v>1</v>
      </c>
      <c r="D76">
        <v>8048</v>
      </c>
      <c r="E76">
        <v>8129</v>
      </c>
      <c r="F76">
        <v>6</v>
      </c>
      <c r="G76">
        <v>8.4</v>
      </c>
      <c r="H76">
        <v>0.71428572999999995</v>
      </c>
      <c r="I76">
        <v>0.28571424000000001</v>
      </c>
      <c r="J76">
        <v>0.58333330000000005</v>
      </c>
    </row>
    <row r="77" spans="1:10" x14ac:dyDescent="0.3">
      <c r="A77">
        <v>75</v>
      </c>
      <c r="B77">
        <v>1209</v>
      </c>
      <c r="C77" t="b">
        <v>1</v>
      </c>
      <c r="D77">
        <v>8054</v>
      </c>
      <c r="E77">
        <v>8117</v>
      </c>
      <c r="F77">
        <v>6</v>
      </c>
      <c r="G77">
        <v>8.8000000000000007</v>
      </c>
      <c r="H77">
        <v>0.68181820000000004</v>
      </c>
      <c r="I77">
        <v>0.31818183999999999</v>
      </c>
      <c r="J77">
        <v>0.59459459999999997</v>
      </c>
    </row>
    <row r="78" spans="1:10" x14ac:dyDescent="0.3">
      <c r="A78">
        <v>76</v>
      </c>
      <c r="B78">
        <v>1224</v>
      </c>
      <c r="C78" t="b">
        <v>1</v>
      </c>
      <c r="D78">
        <v>8048</v>
      </c>
      <c r="E78">
        <v>8123</v>
      </c>
      <c r="F78">
        <v>6</v>
      </c>
      <c r="G78">
        <v>9.1999999999999993</v>
      </c>
      <c r="H78">
        <v>0.65217393999999995</v>
      </c>
      <c r="I78">
        <v>0.34782605999999999</v>
      </c>
      <c r="J78">
        <v>0.6052632</v>
      </c>
    </row>
    <row r="79" spans="1:10" x14ac:dyDescent="0.3">
      <c r="A79">
        <v>77</v>
      </c>
      <c r="B79">
        <v>1240</v>
      </c>
      <c r="C79" t="b">
        <v>1</v>
      </c>
      <c r="D79">
        <v>8048</v>
      </c>
      <c r="E79">
        <v>8123</v>
      </c>
      <c r="F79">
        <v>6</v>
      </c>
      <c r="G79">
        <v>9.6</v>
      </c>
      <c r="H79">
        <v>0.625</v>
      </c>
      <c r="I79">
        <v>0.37500002999999998</v>
      </c>
      <c r="J79">
        <v>0.61538464000000004</v>
      </c>
    </row>
    <row r="80" spans="1:10" x14ac:dyDescent="0.3">
      <c r="A80">
        <v>78</v>
      </c>
      <c r="B80">
        <v>1256</v>
      </c>
      <c r="C80" t="b">
        <v>1</v>
      </c>
      <c r="D80">
        <v>8042</v>
      </c>
      <c r="E80">
        <v>8123</v>
      </c>
      <c r="F80">
        <v>6</v>
      </c>
      <c r="G80">
        <v>9.6</v>
      </c>
      <c r="H80">
        <v>0.625</v>
      </c>
      <c r="I80">
        <v>0.37500002999999998</v>
      </c>
      <c r="J80">
        <v>0.61538464000000004</v>
      </c>
    </row>
    <row r="81" spans="1:10" x14ac:dyDescent="0.3">
      <c r="A81">
        <v>79</v>
      </c>
      <c r="B81">
        <v>1272</v>
      </c>
      <c r="C81" t="b">
        <v>1</v>
      </c>
      <c r="D81">
        <v>8042</v>
      </c>
      <c r="E81">
        <v>8117</v>
      </c>
      <c r="F81">
        <v>6</v>
      </c>
      <c r="G81">
        <v>9.6</v>
      </c>
      <c r="H81">
        <v>0.625</v>
      </c>
      <c r="I81">
        <v>0.37500002999999998</v>
      </c>
      <c r="J81">
        <v>0.61538464000000004</v>
      </c>
    </row>
    <row r="82" spans="1:10" x14ac:dyDescent="0.3">
      <c r="A82">
        <v>80</v>
      </c>
      <c r="B82">
        <v>1288</v>
      </c>
      <c r="C82" t="b">
        <v>1</v>
      </c>
      <c r="D82">
        <v>8048</v>
      </c>
      <c r="E82">
        <v>8123</v>
      </c>
      <c r="F82">
        <v>6</v>
      </c>
      <c r="G82">
        <v>10</v>
      </c>
      <c r="H82">
        <v>0.6</v>
      </c>
      <c r="I82">
        <v>0.4</v>
      </c>
      <c r="J82">
        <v>0.625</v>
      </c>
    </row>
    <row r="83" spans="1:10" x14ac:dyDescent="0.3">
      <c r="A83">
        <v>81</v>
      </c>
      <c r="B83">
        <v>1304</v>
      </c>
      <c r="C83" t="b">
        <v>1</v>
      </c>
      <c r="D83">
        <v>8054</v>
      </c>
      <c r="E83">
        <v>8123</v>
      </c>
      <c r="F83">
        <v>6</v>
      </c>
      <c r="G83">
        <v>10</v>
      </c>
      <c r="H83">
        <v>0.6</v>
      </c>
      <c r="I83">
        <v>0.4</v>
      </c>
      <c r="J83">
        <v>0.625</v>
      </c>
    </row>
    <row r="84" spans="1:10" x14ac:dyDescent="0.3">
      <c r="A84">
        <v>82</v>
      </c>
      <c r="B84">
        <v>1320</v>
      </c>
      <c r="C84" t="b">
        <v>1</v>
      </c>
      <c r="D84">
        <v>8048</v>
      </c>
      <c r="E84">
        <v>8123</v>
      </c>
      <c r="F84">
        <v>6</v>
      </c>
      <c r="G84">
        <v>10</v>
      </c>
      <c r="H84">
        <v>0.6</v>
      </c>
      <c r="I84">
        <v>0.4</v>
      </c>
      <c r="J84">
        <v>0.625</v>
      </c>
    </row>
    <row r="85" spans="1:10" x14ac:dyDescent="0.3">
      <c r="A85">
        <v>83</v>
      </c>
      <c r="B85">
        <v>1335</v>
      </c>
      <c r="C85" t="b">
        <v>1</v>
      </c>
      <c r="D85">
        <v>8048</v>
      </c>
      <c r="E85">
        <v>8123</v>
      </c>
      <c r="F85">
        <v>6</v>
      </c>
      <c r="G85">
        <v>10</v>
      </c>
      <c r="H85">
        <v>0.6</v>
      </c>
      <c r="I85">
        <v>0.4</v>
      </c>
      <c r="J85">
        <v>0.625</v>
      </c>
    </row>
    <row r="86" spans="1:10" x14ac:dyDescent="0.3">
      <c r="A86">
        <v>84</v>
      </c>
      <c r="B86">
        <v>1352</v>
      </c>
      <c r="C86" t="b">
        <v>1</v>
      </c>
      <c r="D86">
        <v>8048</v>
      </c>
      <c r="E86">
        <v>8123</v>
      </c>
      <c r="F86">
        <v>6.4</v>
      </c>
      <c r="G86">
        <v>10</v>
      </c>
      <c r="H86">
        <v>0.64</v>
      </c>
      <c r="I86">
        <v>0.35999998</v>
      </c>
      <c r="J86">
        <v>0.60975610000000002</v>
      </c>
    </row>
    <row r="87" spans="1:10" x14ac:dyDescent="0.3">
      <c r="A87">
        <v>85</v>
      </c>
      <c r="B87">
        <v>1367</v>
      </c>
      <c r="C87" t="b">
        <v>1</v>
      </c>
      <c r="D87">
        <v>8048</v>
      </c>
      <c r="E87">
        <v>8123</v>
      </c>
      <c r="F87">
        <v>6.8</v>
      </c>
      <c r="G87">
        <v>10</v>
      </c>
      <c r="H87">
        <v>0.68</v>
      </c>
      <c r="I87">
        <v>0.32</v>
      </c>
      <c r="J87">
        <v>0.59523815000000002</v>
      </c>
    </row>
    <row r="88" spans="1:10" x14ac:dyDescent="0.3">
      <c r="A88">
        <v>86</v>
      </c>
      <c r="B88">
        <v>1383</v>
      </c>
      <c r="C88" t="b">
        <v>1</v>
      </c>
      <c r="D88">
        <v>8048</v>
      </c>
      <c r="E88">
        <v>8117</v>
      </c>
      <c r="F88">
        <v>7.2</v>
      </c>
      <c r="G88">
        <v>10</v>
      </c>
      <c r="H88">
        <v>0.71999997000000004</v>
      </c>
      <c r="I88">
        <v>0.28000003000000001</v>
      </c>
      <c r="J88">
        <v>0.58139529999999995</v>
      </c>
    </row>
    <row r="89" spans="1:10" x14ac:dyDescent="0.3">
      <c r="A89">
        <v>87</v>
      </c>
      <c r="B89">
        <v>1399</v>
      </c>
      <c r="C89" t="b">
        <v>1</v>
      </c>
      <c r="D89">
        <v>8048</v>
      </c>
      <c r="E89">
        <v>8117</v>
      </c>
      <c r="F89">
        <v>7.6</v>
      </c>
      <c r="G89">
        <v>9.6</v>
      </c>
      <c r="H89">
        <v>0.7916666</v>
      </c>
      <c r="I89">
        <v>0.20833336999999999</v>
      </c>
      <c r="J89">
        <v>0.55813950000000001</v>
      </c>
    </row>
    <row r="90" spans="1:10" x14ac:dyDescent="0.3">
      <c r="A90">
        <v>88</v>
      </c>
      <c r="B90">
        <v>1415</v>
      </c>
      <c r="C90" t="b">
        <v>1</v>
      </c>
      <c r="D90">
        <v>8048</v>
      </c>
      <c r="E90">
        <v>8117</v>
      </c>
      <c r="F90">
        <v>8</v>
      </c>
      <c r="G90">
        <v>8.8000000000000007</v>
      </c>
      <c r="H90">
        <v>0.90909090000000004</v>
      </c>
      <c r="I90">
        <v>9.0909110000000001E-2</v>
      </c>
      <c r="J90">
        <v>0.52380954999999996</v>
      </c>
    </row>
    <row r="91" spans="1:10" x14ac:dyDescent="0.3">
      <c r="A91">
        <v>89</v>
      </c>
      <c r="B91">
        <v>1431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1447</v>
      </c>
      <c r="C92" t="b">
        <v>1</v>
      </c>
      <c r="D92">
        <v>8048</v>
      </c>
      <c r="E92">
        <v>8117</v>
      </c>
      <c r="F92">
        <v>8</v>
      </c>
      <c r="G92">
        <v>7.2</v>
      </c>
      <c r="H92">
        <v>1.1111112000000001</v>
      </c>
      <c r="I92">
        <v>-0.11111114</v>
      </c>
      <c r="J92">
        <v>0.4736842</v>
      </c>
    </row>
    <row r="93" spans="1:10" x14ac:dyDescent="0.3">
      <c r="A93">
        <v>91</v>
      </c>
      <c r="B93">
        <v>1463</v>
      </c>
      <c r="C93" t="b">
        <v>1</v>
      </c>
      <c r="D93">
        <v>8060</v>
      </c>
      <c r="E93">
        <v>8117</v>
      </c>
      <c r="F93">
        <v>8</v>
      </c>
      <c r="G93">
        <v>6.4</v>
      </c>
      <c r="H93">
        <v>1.25</v>
      </c>
      <c r="I93">
        <v>-0.24999999000000001</v>
      </c>
      <c r="J93">
        <v>0.44444447999999998</v>
      </c>
    </row>
    <row r="94" spans="1:10" x14ac:dyDescent="0.3">
      <c r="A94">
        <v>92</v>
      </c>
      <c r="B94">
        <v>1479</v>
      </c>
      <c r="C94" t="b">
        <v>1</v>
      </c>
      <c r="D94">
        <v>8054</v>
      </c>
      <c r="E94">
        <v>8123</v>
      </c>
      <c r="F94">
        <v>8</v>
      </c>
      <c r="G94">
        <v>6</v>
      </c>
      <c r="H94">
        <v>1.3333333999999999</v>
      </c>
      <c r="I94">
        <v>-0.33333333999999998</v>
      </c>
      <c r="J94">
        <v>0.42857142999999998</v>
      </c>
    </row>
    <row r="95" spans="1:10" x14ac:dyDescent="0.3">
      <c r="A95">
        <v>93</v>
      </c>
      <c r="B95">
        <v>1495</v>
      </c>
      <c r="C95" t="b">
        <v>1</v>
      </c>
      <c r="D95">
        <v>8048</v>
      </c>
      <c r="E95">
        <v>8123</v>
      </c>
      <c r="F95">
        <v>8</v>
      </c>
      <c r="G95">
        <v>6</v>
      </c>
      <c r="H95">
        <v>1.3333333999999999</v>
      </c>
      <c r="I95">
        <v>-0.33333333999999998</v>
      </c>
      <c r="J95">
        <v>0.42857142999999998</v>
      </c>
    </row>
    <row r="96" spans="1:10" x14ac:dyDescent="0.3">
      <c r="A96">
        <v>94</v>
      </c>
      <c r="B96">
        <v>1511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1527</v>
      </c>
      <c r="C97" t="b">
        <v>1</v>
      </c>
      <c r="D97">
        <v>8054</v>
      </c>
      <c r="E97">
        <v>8123</v>
      </c>
      <c r="F97">
        <v>8.4</v>
      </c>
      <c r="G97">
        <v>6</v>
      </c>
      <c r="H97">
        <v>1.4</v>
      </c>
      <c r="I97">
        <v>-0.39999994999999999</v>
      </c>
      <c r="J97">
        <v>0.4166667</v>
      </c>
    </row>
    <row r="98" spans="1:10" x14ac:dyDescent="0.3">
      <c r="A98">
        <v>96</v>
      </c>
      <c r="B98">
        <v>1543</v>
      </c>
      <c r="C98" t="b">
        <v>1</v>
      </c>
      <c r="D98">
        <v>8054</v>
      </c>
      <c r="E98">
        <v>8123</v>
      </c>
      <c r="F98">
        <v>8.8000000000000007</v>
      </c>
      <c r="G98">
        <v>6</v>
      </c>
      <c r="H98">
        <v>1.4666667</v>
      </c>
      <c r="I98">
        <v>-0.46666669999999999</v>
      </c>
      <c r="J98">
        <v>0.40540540000000003</v>
      </c>
    </row>
    <row r="99" spans="1:10" x14ac:dyDescent="0.3">
      <c r="A99">
        <v>97</v>
      </c>
      <c r="B99">
        <v>1559</v>
      </c>
      <c r="C99" t="b">
        <v>1</v>
      </c>
      <c r="D99">
        <v>8054</v>
      </c>
      <c r="E99">
        <v>8123</v>
      </c>
      <c r="F99">
        <v>9.1999999999999993</v>
      </c>
      <c r="G99">
        <v>6</v>
      </c>
      <c r="H99">
        <v>1.5333333</v>
      </c>
      <c r="I99">
        <v>-0.53333330000000001</v>
      </c>
      <c r="J99">
        <v>0.39473686000000002</v>
      </c>
    </row>
    <row r="100" spans="1:10" x14ac:dyDescent="0.3">
      <c r="A100">
        <v>98</v>
      </c>
      <c r="B100">
        <v>1575</v>
      </c>
      <c r="C100" t="b">
        <v>1</v>
      </c>
      <c r="D100">
        <v>8048</v>
      </c>
      <c r="E100">
        <v>8123</v>
      </c>
      <c r="F100">
        <v>9.6</v>
      </c>
      <c r="G100">
        <v>6</v>
      </c>
      <c r="H100">
        <v>1.6</v>
      </c>
      <c r="I100">
        <v>-0.60000010000000004</v>
      </c>
      <c r="J100">
        <v>0.38461536000000002</v>
      </c>
    </row>
    <row r="101" spans="1:10" x14ac:dyDescent="0.3">
      <c r="A101">
        <v>99</v>
      </c>
      <c r="B101">
        <v>1591</v>
      </c>
      <c r="C101" t="b">
        <v>1</v>
      </c>
      <c r="D101">
        <v>8048</v>
      </c>
      <c r="E101">
        <v>8117</v>
      </c>
      <c r="F101">
        <v>10</v>
      </c>
      <c r="G101">
        <v>6</v>
      </c>
      <c r="H101">
        <v>1.6666666000000001</v>
      </c>
      <c r="I101">
        <v>-0.66666669999999995</v>
      </c>
      <c r="J101">
        <v>0.375</v>
      </c>
    </row>
    <row r="102" spans="1:10" x14ac:dyDescent="0.3">
      <c r="A102">
        <v>100</v>
      </c>
      <c r="B102">
        <v>1607</v>
      </c>
      <c r="C102" t="b">
        <v>1</v>
      </c>
      <c r="D102">
        <v>8048</v>
      </c>
      <c r="E102">
        <v>8117</v>
      </c>
      <c r="F102">
        <v>10</v>
      </c>
      <c r="G102">
        <v>6</v>
      </c>
      <c r="H102">
        <v>1.6666666000000001</v>
      </c>
      <c r="I102">
        <v>-0.66666669999999995</v>
      </c>
      <c r="J102">
        <v>0.375</v>
      </c>
    </row>
    <row r="103" spans="1:10" x14ac:dyDescent="0.3">
      <c r="A103">
        <v>101</v>
      </c>
      <c r="B103">
        <v>1623</v>
      </c>
      <c r="C103" t="b">
        <v>1</v>
      </c>
      <c r="D103">
        <v>8048</v>
      </c>
      <c r="E103">
        <v>8123</v>
      </c>
      <c r="F103">
        <v>10</v>
      </c>
      <c r="G103">
        <v>6</v>
      </c>
      <c r="H103">
        <v>1.6666666000000001</v>
      </c>
      <c r="I103">
        <v>-0.66666669999999995</v>
      </c>
      <c r="J103">
        <v>0.375</v>
      </c>
    </row>
    <row r="104" spans="1:10" x14ac:dyDescent="0.3">
      <c r="A104">
        <v>102</v>
      </c>
      <c r="B104">
        <v>1639</v>
      </c>
      <c r="C104" t="b">
        <v>1</v>
      </c>
      <c r="D104">
        <v>8048</v>
      </c>
      <c r="E104">
        <v>8123</v>
      </c>
      <c r="F104">
        <v>10</v>
      </c>
      <c r="G104">
        <v>6</v>
      </c>
      <c r="H104">
        <v>1.6666666000000001</v>
      </c>
      <c r="I104">
        <v>-0.66666669999999995</v>
      </c>
      <c r="J104">
        <v>0.375</v>
      </c>
    </row>
    <row r="105" spans="1:10" x14ac:dyDescent="0.3">
      <c r="A105">
        <v>103</v>
      </c>
      <c r="B105">
        <v>1655</v>
      </c>
      <c r="C105" t="b">
        <v>1</v>
      </c>
      <c r="D105">
        <v>8048</v>
      </c>
      <c r="E105">
        <v>8117</v>
      </c>
      <c r="F105">
        <v>10</v>
      </c>
      <c r="G105">
        <v>6</v>
      </c>
      <c r="H105">
        <v>1.6666666000000001</v>
      </c>
      <c r="I105">
        <v>-0.66666669999999995</v>
      </c>
      <c r="J105">
        <v>0.375</v>
      </c>
    </row>
    <row r="106" spans="1:10" x14ac:dyDescent="0.3">
      <c r="A106">
        <v>104</v>
      </c>
      <c r="B106">
        <v>1670</v>
      </c>
      <c r="C106" t="b">
        <v>1</v>
      </c>
      <c r="D106">
        <v>8048</v>
      </c>
      <c r="E106">
        <v>8123</v>
      </c>
      <c r="F106">
        <v>10</v>
      </c>
      <c r="G106">
        <v>6.4</v>
      </c>
      <c r="H106">
        <v>1.5625</v>
      </c>
      <c r="I106">
        <v>-0.5625</v>
      </c>
      <c r="J106">
        <v>0.39024392000000002</v>
      </c>
    </row>
    <row r="107" spans="1:10" x14ac:dyDescent="0.3">
      <c r="A107">
        <v>105</v>
      </c>
      <c r="B107">
        <v>1686</v>
      </c>
      <c r="C107" t="b">
        <v>1</v>
      </c>
      <c r="D107">
        <v>8048</v>
      </c>
      <c r="E107">
        <v>8117</v>
      </c>
      <c r="F107">
        <v>10</v>
      </c>
      <c r="G107">
        <v>6.8</v>
      </c>
      <c r="H107">
        <v>1.4705881999999999</v>
      </c>
      <c r="I107">
        <v>-0.47058820000000001</v>
      </c>
      <c r="J107">
        <v>0.40476193999999999</v>
      </c>
    </row>
    <row r="108" spans="1:10" x14ac:dyDescent="0.3">
      <c r="A108">
        <v>106</v>
      </c>
      <c r="B108">
        <v>1702</v>
      </c>
      <c r="C108" t="b">
        <v>1</v>
      </c>
      <c r="D108">
        <v>8048</v>
      </c>
      <c r="E108">
        <v>8123</v>
      </c>
      <c r="F108">
        <v>10</v>
      </c>
      <c r="G108">
        <v>7.2</v>
      </c>
      <c r="H108">
        <v>1.388889</v>
      </c>
      <c r="I108">
        <v>-0.38888893000000002</v>
      </c>
      <c r="J108">
        <v>0.41860459999999999</v>
      </c>
    </row>
    <row r="109" spans="1:10" x14ac:dyDescent="0.3">
      <c r="A109">
        <v>107</v>
      </c>
      <c r="B109">
        <v>1718</v>
      </c>
      <c r="C109" t="b">
        <v>1</v>
      </c>
      <c r="D109">
        <v>8048</v>
      </c>
      <c r="E109">
        <v>8123</v>
      </c>
      <c r="F109">
        <v>10</v>
      </c>
      <c r="G109">
        <v>7.6</v>
      </c>
      <c r="H109">
        <v>1.3157894999999999</v>
      </c>
      <c r="I109">
        <v>-0.3157895</v>
      </c>
      <c r="J109">
        <v>0.43181816000000001</v>
      </c>
    </row>
    <row r="110" spans="1:10" x14ac:dyDescent="0.3">
      <c r="A110">
        <v>108</v>
      </c>
      <c r="B110">
        <v>1733</v>
      </c>
      <c r="C110" t="b">
        <v>1</v>
      </c>
      <c r="D110">
        <v>8048</v>
      </c>
      <c r="E110">
        <v>8123</v>
      </c>
      <c r="F110">
        <v>10</v>
      </c>
      <c r="G110">
        <v>7.6</v>
      </c>
      <c r="H110">
        <v>1.3157894999999999</v>
      </c>
      <c r="I110">
        <v>-0.3157895</v>
      </c>
      <c r="J110">
        <v>0.43181816000000001</v>
      </c>
    </row>
    <row r="111" spans="1:10" x14ac:dyDescent="0.3">
      <c r="A111">
        <v>109</v>
      </c>
      <c r="B111">
        <v>1750</v>
      </c>
      <c r="C111" t="b">
        <v>1</v>
      </c>
      <c r="D111">
        <v>8048</v>
      </c>
      <c r="E111">
        <v>8123</v>
      </c>
      <c r="F111">
        <v>10</v>
      </c>
      <c r="G111">
        <v>7.6</v>
      </c>
      <c r="H111">
        <v>1.3157894999999999</v>
      </c>
      <c r="I111">
        <v>-0.3157895</v>
      </c>
      <c r="J111">
        <v>0.43181816000000001</v>
      </c>
    </row>
    <row r="112" spans="1:10" x14ac:dyDescent="0.3">
      <c r="A112">
        <v>110</v>
      </c>
      <c r="B112">
        <v>1766</v>
      </c>
      <c r="C112" t="b">
        <v>1</v>
      </c>
      <c r="D112">
        <v>8048</v>
      </c>
      <c r="E112">
        <v>8123</v>
      </c>
      <c r="F112">
        <v>9.6</v>
      </c>
      <c r="G112">
        <v>7.6</v>
      </c>
      <c r="H112">
        <v>1.263158</v>
      </c>
      <c r="I112">
        <v>-0.26315796000000002</v>
      </c>
      <c r="J112">
        <v>0.44186044000000002</v>
      </c>
    </row>
    <row r="113" spans="1:10" x14ac:dyDescent="0.3">
      <c r="A113">
        <v>111</v>
      </c>
      <c r="B113">
        <v>1781</v>
      </c>
      <c r="C113" t="b">
        <v>1</v>
      </c>
      <c r="D113">
        <v>8048</v>
      </c>
      <c r="E113">
        <v>8123</v>
      </c>
      <c r="F113">
        <v>9.1999999999999993</v>
      </c>
      <c r="G113">
        <v>7.6</v>
      </c>
      <c r="H113">
        <v>1.2105262999999999</v>
      </c>
      <c r="I113">
        <v>-0.2105263</v>
      </c>
      <c r="J113">
        <v>0.45238096</v>
      </c>
    </row>
    <row r="114" spans="1:10" x14ac:dyDescent="0.3">
      <c r="A114">
        <v>112</v>
      </c>
      <c r="B114">
        <v>1797</v>
      </c>
      <c r="C114" t="b">
        <v>1</v>
      </c>
      <c r="D114">
        <v>8048</v>
      </c>
      <c r="E114">
        <v>8117</v>
      </c>
      <c r="F114">
        <v>8.8000000000000007</v>
      </c>
      <c r="G114">
        <v>7.6</v>
      </c>
      <c r="H114">
        <v>1.1578946999999999</v>
      </c>
      <c r="I114">
        <v>-0.15789478000000001</v>
      </c>
      <c r="J114">
        <v>0.46341463999999999</v>
      </c>
    </row>
    <row r="115" spans="1:10" x14ac:dyDescent="0.3">
      <c r="A115">
        <v>113</v>
      </c>
      <c r="B115">
        <v>1813</v>
      </c>
      <c r="C115" t="b">
        <v>1</v>
      </c>
      <c r="D115">
        <v>8054</v>
      </c>
      <c r="E115">
        <v>8123</v>
      </c>
      <c r="F115">
        <v>8.4</v>
      </c>
      <c r="G115">
        <v>7.6</v>
      </c>
      <c r="H115">
        <v>1.1052630999999999</v>
      </c>
      <c r="I115">
        <v>-0.10526312</v>
      </c>
      <c r="J115">
        <v>0.47499999999999998</v>
      </c>
    </row>
    <row r="116" spans="1:10" x14ac:dyDescent="0.3">
      <c r="A116">
        <v>114</v>
      </c>
      <c r="B116">
        <v>1829</v>
      </c>
      <c r="C116" t="b">
        <v>1</v>
      </c>
      <c r="D116">
        <v>8054</v>
      </c>
      <c r="E116">
        <v>8123</v>
      </c>
      <c r="F116">
        <v>8</v>
      </c>
      <c r="G116">
        <v>7.6</v>
      </c>
      <c r="H116">
        <v>1.0526316</v>
      </c>
      <c r="I116">
        <v>-5.2631589999999999E-2</v>
      </c>
      <c r="J116">
        <v>0.48717946000000001</v>
      </c>
    </row>
    <row r="117" spans="1:10" x14ac:dyDescent="0.3">
      <c r="A117">
        <v>115</v>
      </c>
      <c r="B117">
        <v>1844</v>
      </c>
      <c r="C117" t="b">
        <v>1</v>
      </c>
      <c r="D117">
        <v>8048</v>
      </c>
      <c r="E117">
        <v>8123</v>
      </c>
      <c r="F117">
        <v>8</v>
      </c>
      <c r="G117">
        <v>7.6</v>
      </c>
      <c r="H117">
        <v>1.0526316</v>
      </c>
      <c r="I117">
        <v>-5.2631589999999999E-2</v>
      </c>
      <c r="J117">
        <v>0.48717946000000001</v>
      </c>
    </row>
    <row r="118" spans="1:10" x14ac:dyDescent="0.3">
      <c r="A118">
        <v>116</v>
      </c>
      <c r="B118">
        <v>1860</v>
      </c>
      <c r="C118" t="b">
        <v>1</v>
      </c>
      <c r="D118">
        <v>8048</v>
      </c>
      <c r="E118">
        <v>8123</v>
      </c>
      <c r="F118">
        <v>8</v>
      </c>
      <c r="G118">
        <v>7.6</v>
      </c>
      <c r="H118">
        <v>1.0526316</v>
      </c>
      <c r="I118">
        <v>-5.2631589999999999E-2</v>
      </c>
      <c r="J118">
        <v>0.48717946000000001</v>
      </c>
    </row>
    <row r="119" spans="1:10" x14ac:dyDescent="0.3">
      <c r="A119">
        <v>117</v>
      </c>
      <c r="B119">
        <v>1876</v>
      </c>
      <c r="C119" t="b">
        <v>1</v>
      </c>
      <c r="D119">
        <v>8054</v>
      </c>
      <c r="E119">
        <v>8123</v>
      </c>
      <c r="F119">
        <v>8.4</v>
      </c>
      <c r="G119">
        <v>7.6</v>
      </c>
      <c r="H119">
        <v>1.1052630999999999</v>
      </c>
      <c r="I119">
        <v>-0.10526312</v>
      </c>
      <c r="J119">
        <v>0.47499999999999998</v>
      </c>
    </row>
    <row r="120" spans="1:10" x14ac:dyDescent="0.3">
      <c r="A120">
        <v>118</v>
      </c>
      <c r="B120">
        <v>1891</v>
      </c>
      <c r="C120" t="b">
        <v>1</v>
      </c>
      <c r="D120">
        <v>8048</v>
      </c>
      <c r="E120">
        <v>8123</v>
      </c>
      <c r="F120">
        <v>8.4</v>
      </c>
      <c r="G120">
        <v>8</v>
      </c>
      <c r="H120">
        <v>1.05</v>
      </c>
      <c r="I120">
        <v>-4.9999952E-2</v>
      </c>
      <c r="J120">
        <v>0.48780489999999999</v>
      </c>
    </row>
    <row r="121" spans="1:10" x14ac:dyDescent="0.3">
      <c r="A121">
        <v>119</v>
      </c>
      <c r="B121">
        <v>1907</v>
      </c>
      <c r="C121" t="b">
        <v>1</v>
      </c>
      <c r="D121">
        <v>8048</v>
      </c>
      <c r="E121">
        <v>8117</v>
      </c>
      <c r="F121">
        <v>8.4</v>
      </c>
      <c r="G121">
        <v>8</v>
      </c>
      <c r="H121">
        <v>1.05</v>
      </c>
      <c r="I121">
        <v>-4.9999952E-2</v>
      </c>
      <c r="J121">
        <v>0.48780489999999999</v>
      </c>
    </row>
    <row r="122" spans="1:10" x14ac:dyDescent="0.3">
      <c r="A122">
        <v>120</v>
      </c>
      <c r="B122">
        <v>1924</v>
      </c>
      <c r="C122" t="b">
        <v>1</v>
      </c>
      <c r="D122">
        <v>8048</v>
      </c>
      <c r="E122">
        <v>8123</v>
      </c>
      <c r="F122">
        <v>8.4</v>
      </c>
      <c r="G122">
        <v>8</v>
      </c>
      <c r="H122">
        <v>1.05</v>
      </c>
      <c r="I122">
        <v>-4.9999952E-2</v>
      </c>
      <c r="J122">
        <v>0.48780489999999999</v>
      </c>
    </row>
    <row r="123" spans="1:10" x14ac:dyDescent="0.3">
      <c r="A123">
        <v>121</v>
      </c>
      <c r="B123">
        <v>1940</v>
      </c>
      <c r="C123" t="b">
        <v>1</v>
      </c>
      <c r="D123">
        <v>8042</v>
      </c>
      <c r="E123">
        <v>8117</v>
      </c>
      <c r="F123">
        <v>8.4</v>
      </c>
      <c r="G123">
        <v>8</v>
      </c>
      <c r="H123">
        <v>1.05</v>
      </c>
      <c r="I123">
        <v>-4.9999952E-2</v>
      </c>
      <c r="J123">
        <v>0.48780489999999999</v>
      </c>
    </row>
    <row r="124" spans="1:10" x14ac:dyDescent="0.3">
      <c r="A124">
        <v>122</v>
      </c>
      <c r="B124">
        <v>1955</v>
      </c>
      <c r="C124" t="b">
        <v>1</v>
      </c>
      <c r="D124">
        <v>8048</v>
      </c>
      <c r="E124">
        <v>8117</v>
      </c>
      <c r="F124">
        <v>8.4</v>
      </c>
      <c r="G124">
        <v>7.6</v>
      </c>
      <c r="H124">
        <v>1.1052630999999999</v>
      </c>
      <c r="I124">
        <v>-0.10526312</v>
      </c>
      <c r="J124">
        <v>0.47499999999999998</v>
      </c>
    </row>
    <row r="125" spans="1:10" x14ac:dyDescent="0.3">
      <c r="A125">
        <v>123</v>
      </c>
      <c r="B125">
        <v>1971</v>
      </c>
      <c r="C125" t="b">
        <v>1</v>
      </c>
      <c r="D125">
        <v>8048</v>
      </c>
      <c r="E125">
        <v>8123</v>
      </c>
      <c r="F125">
        <v>8.4</v>
      </c>
      <c r="G125">
        <v>7.2</v>
      </c>
      <c r="H125">
        <v>1.1666666000000001</v>
      </c>
      <c r="I125">
        <v>-0.16666664</v>
      </c>
      <c r="J125">
        <v>0.46153845999999998</v>
      </c>
    </row>
    <row r="126" spans="1:10" x14ac:dyDescent="0.3">
      <c r="A126">
        <v>124</v>
      </c>
      <c r="B126">
        <v>1987</v>
      </c>
      <c r="C126" t="b">
        <v>1</v>
      </c>
      <c r="D126">
        <v>8048</v>
      </c>
      <c r="E126">
        <v>8123</v>
      </c>
      <c r="F126">
        <v>8.4</v>
      </c>
      <c r="G126">
        <v>7.2</v>
      </c>
      <c r="H126">
        <v>1.1666666000000001</v>
      </c>
      <c r="I126">
        <v>-0.16666664</v>
      </c>
      <c r="J126">
        <v>0.46153845999999998</v>
      </c>
    </row>
    <row r="127" spans="1:10" x14ac:dyDescent="0.3">
      <c r="A127">
        <v>125</v>
      </c>
      <c r="B127">
        <v>2003</v>
      </c>
      <c r="C127" t="b">
        <v>1</v>
      </c>
      <c r="D127">
        <v>8048</v>
      </c>
      <c r="E127">
        <v>8123</v>
      </c>
      <c r="F127">
        <v>8.4</v>
      </c>
      <c r="G127">
        <v>7.2</v>
      </c>
      <c r="H127">
        <v>1.1666666000000001</v>
      </c>
      <c r="I127">
        <v>-0.16666664</v>
      </c>
      <c r="J127">
        <v>0.46153845999999998</v>
      </c>
    </row>
    <row r="128" spans="1:10" x14ac:dyDescent="0.3">
      <c r="A128">
        <v>126</v>
      </c>
      <c r="B128">
        <v>2019</v>
      </c>
      <c r="C128" t="b">
        <v>1</v>
      </c>
      <c r="D128">
        <v>8048</v>
      </c>
      <c r="E128">
        <v>8123</v>
      </c>
      <c r="F128">
        <v>8.4</v>
      </c>
      <c r="G128">
        <v>7.2</v>
      </c>
      <c r="H128">
        <v>1.1666666000000001</v>
      </c>
      <c r="I128">
        <v>-0.16666664</v>
      </c>
      <c r="J128">
        <v>0.46153845999999998</v>
      </c>
    </row>
    <row r="129" spans="1:10" x14ac:dyDescent="0.3">
      <c r="A129">
        <v>127</v>
      </c>
      <c r="B129">
        <v>2035</v>
      </c>
      <c r="C129" t="b">
        <v>1</v>
      </c>
      <c r="D129">
        <v>8048</v>
      </c>
      <c r="E129">
        <v>8123</v>
      </c>
      <c r="F129">
        <v>8.4</v>
      </c>
      <c r="G129">
        <v>7.2</v>
      </c>
      <c r="H129">
        <v>1.1666666000000001</v>
      </c>
      <c r="I129">
        <v>-0.16666664</v>
      </c>
      <c r="J129">
        <v>0.46153845999999998</v>
      </c>
    </row>
    <row r="130" spans="1:10" x14ac:dyDescent="0.3">
      <c r="A130">
        <v>128</v>
      </c>
      <c r="B130">
        <v>2051</v>
      </c>
      <c r="C130" t="b">
        <v>1</v>
      </c>
      <c r="D130">
        <v>8054</v>
      </c>
      <c r="E130">
        <v>8123</v>
      </c>
      <c r="F130">
        <v>8.4</v>
      </c>
      <c r="G130">
        <v>7.2</v>
      </c>
      <c r="H130">
        <v>1.1666666000000001</v>
      </c>
      <c r="I130">
        <v>-0.16666664</v>
      </c>
      <c r="J130">
        <v>0.46153845999999998</v>
      </c>
    </row>
    <row r="131" spans="1:10" x14ac:dyDescent="0.3">
      <c r="A131">
        <v>129</v>
      </c>
      <c r="B131">
        <v>2067</v>
      </c>
      <c r="C131" t="b">
        <v>1</v>
      </c>
      <c r="D131">
        <v>8042</v>
      </c>
      <c r="E131">
        <v>8123</v>
      </c>
      <c r="F131">
        <v>8.4</v>
      </c>
      <c r="G131">
        <v>7.2</v>
      </c>
      <c r="H131">
        <v>1.1666666000000001</v>
      </c>
      <c r="I131">
        <v>-0.16666664</v>
      </c>
      <c r="J131">
        <v>0.46153845999999998</v>
      </c>
    </row>
    <row r="132" spans="1:10" x14ac:dyDescent="0.3">
      <c r="A132">
        <v>130</v>
      </c>
      <c r="B132">
        <v>2083</v>
      </c>
      <c r="C132" t="b">
        <v>1</v>
      </c>
      <c r="D132">
        <v>8042</v>
      </c>
      <c r="E132">
        <v>8129</v>
      </c>
      <c r="F132">
        <v>8.4</v>
      </c>
      <c r="G132">
        <v>7.2</v>
      </c>
      <c r="H132">
        <v>1.1666666000000001</v>
      </c>
      <c r="I132">
        <v>-0.16666664</v>
      </c>
      <c r="J132">
        <v>0.46153845999999998</v>
      </c>
    </row>
    <row r="133" spans="1:10" x14ac:dyDescent="0.3">
      <c r="A133">
        <v>131</v>
      </c>
      <c r="B133">
        <v>2098</v>
      </c>
      <c r="C133" t="b">
        <v>1</v>
      </c>
      <c r="D133">
        <v>8042</v>
      </c>
      <c r="E133">
        <v>8117</v>
      </c>
      <c r="F133">
        <v>8</v>
      </c>
      <c r="G133">
        <v>7.2</v>
      </c>
      <c r="H133">
        <v>1.1111112000000001</v>
      </c>
      <c r="I133">
        <v>-0.11111114</v>
      </c>
      <c r="J133">
        <v>0.4736842</v>
      </c>
    </row>
    <row r="134" spans="1:10" x14ac:dyDescent="0.3">
      <c r="A134">
        <v>132</v>
      </c>
      <c r="B134">
        <v>2114</v>
      </c>
      <c r="C134" t="b">
        <v>1</v>
      </c>
      <c r="D134">
        <v>8042</v>
      </c>
      <c r="E134">
        <v>8123</v>
      </c>
      <c r="F134">
        <v>7.2</v>
      </c>
      <c r="G134">
        <v>7.2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2130</v>
      </c>
      <c r="C135" t="b">
        <v>1</v>
      </c>
      <c r="D135">
        <v>8048</v>
      </c>
      <c r="E135">
        <v>8117</v>
      </c>
      <c r="F135">
        <v>6.8</v>
      </c>
      <c r="G135">
        <v>7.2</v>
      </c>
      <c r="H135">
        <v>0.94444450000000002</v>
      </c>
      <c r="I135">
        <v>5.5555503999999999E-2</v>
      </c>
      <c r="J135">
        <v>0.51428569999999996</v>
      </c>
    </row>
    <row r="136" spans="1:10" x14ac:dyDescent="0.3">
      <c r="A136">
        <v>134</v>
      </c>
      <c r="B136">
        <v>2146</v>
      </c>
      <c r="C136" t="b">
        <v>1</v>
      </c>
      <c r="D136">
        <v>8042</v>
      </c>
      <c r="E136">
        <v>8123</v>
      </c>
      <c r="F136">
        <v>6.4</v>
      </c>
      <c r="G136">
        <v>7.2</v>
      </c>
      <c r="H136">
        <v>0.88888895999999995</v>
      </c>
      <c r="I136">
        <v>0.111111075</v>
      </c>
      <c r="J136">
        <v>0.52941172999999997</v>
      </c>
    </row>
    <row r="137" spans="1:10" x14ac:dyDescent="0.3">
      <c r="A137">
        <v>135</v>
      </c>
      <c r="B137">
        <v>2162</v>
      </c>
      <c r="C137" t="b">
        <v>1</v>
      </c>
      <c r="D137">
        <v>8048</v>
      </c>
      <c r="E137">
        <v>8123</v>
      </c>
      <c r="F137">
        <v>6</v>
      </c>
      <c r="G137">
        <v>7.2</v>
      </c>
      <c r="H137">
        <v>0.8333334</v>
      </c>
      <c r="I137">
        <v>0.16666664</v>
      </c>
      <c r="J137">
        <v>0.54545456000000003</v>
      </c>
    </row>
    <row r="138" spans="1:10" x14ac:dyDescent="0.3">
      <c r="A138">
        <v>136</v>
      </c>
      <c r="B138">
        <v>2178</v>
      </c>
      <c r="C138" t="b">
        <v>1</v>
      </c>
      <c r="D138">
        <v>8054</v>
      </c>
      <c r="E138">
        <v>8123</v>
      </c>
      <c r="F138">
        <v>6</v>
      </c>
      <c r="G138">
        <v>7.2</v>
      </c>
      <c r="H138">
        <v>0.8333334</v>
      </c>
      <c r="I138">
        <v>0.16666664</v>
      </c>
      <c r="J138">
        <v>0.54545456000000003</v>
      </c>
    </row>
    <row r="139" spans="1:10" x14ac:dyDescent="0.3">
      <c r="A139">
        <v>137</v>
      </c>
      <c r="B139">
        <v>2194</v>
      </c>
      <c r="C139" t="b">
        <v>1</v>
      </c>
      <c r="D139">
        <v>8048</v>
      </c>
      <c r="E139">
        <v>8117</v>
      </c>
      <c r="F139">
        <v>6</v>
      </c>
      <c r="G139">
        <v>7.6</v>
      </c>
      <c r="H139">
        <v>0.78947369999999994</v>
      </c>
      <c r="I139">
        <v>0.2105263</v>
      </c>
      <c r="J139">
        <v>0.55882350000000003</v>
      </c>
    </row>
    <row r="140" spans="1:10" x14ac:dyDescent="0.3">
      <c r="A140">
        <v>138</v>
      </c>
      <c r="B140">
        <v>2209</v>
      </c>
      <c r="C140" t="b">
        <v>1</v>
      </c>
      <c r="D140">
        <v>8048</v>
      </c>
      <c r="E140">
        <v>8117</v>
      </c>
      <c r="F140">
        <v>6</v>
      </c>
      <c r="G140">
        <v>8</v>
      </c>
      <c r="H140">
        <v>0.75</v>
      </c>
      <c r="I140">
        <v>0.25</v>
      </c>
      <c r="J140">
        <v>0.57142859999999995</v>
      </c>
    </row>
    <row r="141" spans="1:10" x14ac:dyDescent="0.3">
      <c r="A141">
        <v>139</v>
      </c>
      <c r="B141">
        <v>2225</v>
      </c>
      <c r="C141" t="b">
        <v>1</v>
      </c>
      <c r="D141">
        <v>8048</v>
      </c>
      <c r="E141">
        <v>8123</v>
      </c>
      <c r="F141">
        <v>6</v>
      </c>
      <c r="G141">
        <v>8</v>
      </c>
      <c r="H141">
        <v>0.75</v>
      </c>
      <c r="I141">
        <v>0.25</v>
      </c>
      <c r="J141">
        <v>0.57142859999999995</v>
      </c>
    </row>
    <row r="142" spans="1:10" x14ac:dyDescent="0.3">
      <c r="A142">
        <v>140</v>
      </c>
      <c r="B142">
        <v>2241</v>
      </c>
      <c r="C142" t="b">
        <v>1</v>
      </c>
      <c r="D142">
        <v>8048</v>
      </c>
      <c r="E142">
        <v>8123</v>
      </c>
      <c r="F142">
        <v>6</v>
      </c>
      <c r="G142">
        <v>8</v>
      </c>
      <c r="H142">
        <v>0.75</v>
      </c>
      <c r="I142">
        <v>0.25</v>
      </c>
      <c r="J142">
        <v>0.57142859999999995</v>
      </c>
    </row>
    <row r="143" spans="1:10" x14ac:dyDescent="0.3">
      <c r="A143">
        <v>141</v>
      </c>
      <c r="B143">
        <v>2257</v>
      </c>
      <c r="C143" t="b">
        <v>1</v>
      </c>
      <c r="D143">
        <v>8048</v>
      </c>
      <c r="E143">
        <v>8123</v>
      </c>
      <c r="F143">
        <v>6</v>
      </c>
      <c r="G143">
        <v>8</v>
      </c>
      <c r="H143">
        <v>0.75</v>
      </c>
      <c r="I143">
        <v>0.25</v>
      </c>
      <c r="J143">
        <v>0.57142859999999995</v>
      </c>
    </row>
    <row r="144" spans="1:10" x14ac:dyDescent="0.3">
      <c r="A144">
        <v>142</v>
      </c>
      <c r="B144">
        <v>2273</v>
      </c>
      <c r="C144" t="b">
        <v>1</v>
      </c>
      <c r="D144">
        <v>8048</v>
      </c>
      <c r="E144">
        <v>8117</v>
      </c>
      <c r="F144">
        <v>6</v>
      </c>
      <c r="G144">
        <v>8</v>
      </c>
      <c r="H144">
        <v>0.75</v>
      </c>
      <c r="I144">
        <v>0.25</v>
      </c>
      <c r="J144">
        <v>0.57142859999999995</v>
      </c>
    </row>
    <row r="145" spans="1:10" x14ac:dyDescent="0.3">
      <c r="A145">
        <v>143</v>
      </c>
      <c r="B145">
        <v>2289</v>
      </c>
      <c r="C145" t="b">
        <v>1</v>
      </c>
      <c r="D145">
        <v>8048</v>
      </c>
      <c r="E145">
        <v>8123</v>
      </c>
      <c r="F145">
        <v>6</v>
      </c>
      <c r="G145">
        <v>8</v>
      </c>
      <c r="H145">
        <v>0.75</v>
      </c>
      <c r="I145">
        <v>0.25</v>
      </c>
      <c r="J145">
        <v>0.57142859999999995</v>
      </c>
    </row>
    <row r="146" spans="1:10" x14ac:dyDescent="0.3">
      <c r="A146">
        <v>144</v>
      </c>
      <c r="B146">
        <v>2305</v>
      </c>
      <c r="C146" t="b">
        <v>1</v>
      </c>
      <c r="D146">
        <v>8054</v>
      </c>
      <c r="E146">
        <v>8117</v>
      </c>
      <c r="F146">
        <v>6</v>
      </c>
      <c r="G146">
        <v>8</v>
      </c>
      <c r="H146">
        <v>0.75</v>
      </c>
      <c r="I146">
        <v>0.25</v>
      </c>
      <c r="J146">
        <v>0.57142859999999995</v>
      </c>
    </row>
    <row r="147" spans="1:10" x14ac:dyDescent="0.3">
      <c r="A147">
        <v>145</v>
      </c>
      <c r="B147">
        <v>2321</v>
      </c>
      <c r="C147" t="b">
        <v>1</v>
      </c>
      <c r="D147">
        <v>8054</v>
      </c>
      <c r="E147">
        <v>8123</v>
      </c>
      <c r="F147">
        <v>6</v>
      </c>
      <c r="G147">
        <v>8</v>
      </c>
      <c r="H147">
        <v>0.75</v>
      </c>
      <c r="I147">
        <v>0.25</v>
      </c>
      <c r="J147">
        <v>0.57142859999999995</v>
      </c>
    </row>
    <row r="148" spans="1:10" x14ac:dyDescent="0.3">
      <c r="A148">
        <v>146</v>
      </c>
      <c r="B148">
        <v>2337</v>
      </c>
      <c r="C148" t="b">
        <v>1</v>
      </c>
      <c r="D148">
        <v>8048</v>
      </c>
      <c r="E148">
        <v>8123</v>
      </c>
      <c r="F148">
        <v>6.4</v>
      </c>
      <c r="G148">
        <v>8</v>
      </c>
      <c r="H148">
        <v>0.8</v>
      </c>
      <c r="I148">
        <v>0.19999998999999999</v>
      </c>
      <c r="J148">
        <v>0.55555560000000004</v>
      </c>
    </row>
    <row r="149" spans="1:10" x14ac:dyDescent="0.3">
      <c r="A149">
        <v>147</v>
      </c>
      <c r="B149">
        <v>2352</v>
      </c>
      <c r="C149" t="b">
        <v>1</v>
      </c>
      <c r="D149">
        <v>8048</v>
      </c>
      <c r="E149">
        <v>8123</v>
      </c>
      <c r="F149">
        <v>6.8</v>
      </c>
      <c r="G149">
        <v>8</v>
      </c>
      <c r="H149">
        <v>0.85</v>
      </c>
      <c r="I149">
        <v>0.14999998</v>
      </c>
      <c r="J149">
        <v>0.54054049999999998</v>
      </c>
    </row>
    <row r="150" spans="1:10" x14ac:dyDescent="0.3">
      <c r="A150">
        <v>148</v>
      </c>
      <c r="B150">
        <v>2368</v>
      </c>
      <c r="C150" t="b">
        <v>1</v>
      </c>
      <c r="D150">
        <v>8042</v>
      </c>
      <c r="E150">
        <v>8123</v>
      </c>
      <c r="F150">
        <v>7.2</v>
      </c>
      <c r="G150">
        <v>8</v>
      </c>
      <c r="H150">
        <v>0.9</v>
      </c>
      <c r="I150">
        <v>0.10000002400000001</v>
      </c>
      <c r="J150">
        <v>0.5263158</v>
      </c>
    </row>
    <row r="151" spans="1:10" x14ac:dyDescent="0.3">
      <c r="A151">
        <v>149</v>
      </c>
      <c r="B151">
        <v>2384</v>
      </c>
      <c r="C151" t="b">
        <v>1</v>
      </c>
      <c r="D151">
        <v>8042</v>
      </c>
      <c r="E151">
        <v>8123</v>
      </c>
      <c r="F151">
        <v>7.6</v>
      </c>
      <c r="G151">
        <v>8</v>
      </c>
      <c r="H151">
        <v>0.95</v>
      </c>
      <c r="I151">
        <v>5.0000012000000003E-2</v>
      </c>
      <c r="J151">
        <v>0.51282050000000001</v>
      </c>
    </row>
    <row r="152" spans="1:10" x14ac:dyDescent="0.3">
      <c r="A152">
        <v>150</v>
      </c>
      <c r="B152">
        <v>2400</v>
      </c>
      <c r="C152" t="b">
        <v>1</v>
      </c>
      <c r="D152">
        <v>8042</v>
      </c>
      <c r="E152">
        <v>8123</v>
      </c>
      <c r="F152">
        <v>7.6</v>
      </c>
      <c r="G152">
        <v>8</v>
      </c>
      <c r="H152">
        <v>0.95</v>
      </c>
      <c r="I152">
        <v>5.0000012000000003E-2</v>
      </c>
      <c r="J152">
        <v>0.51282050000000001</v>
      </c>
    </row>
    <row r="153" spans="1:10" x14ac:dyDescent="0.3">
      <c r="A153">
        <v>151</v>
      </c>
      <c r="B153">
        <v>2415</v>
      </c>
      <c r="C153" t="b">
        <v>1</v>
      </c>
      <c r="D153">
        <v>8042</v>
      </c>
      <c r="E153">
        <v>8123</v>
      </c>
      <c r="F153">
        <v>7.2</v>
      </c>
      <c r="G153">
        <v>8</v>
      </c>
      <c r="H153">
        <v>0.9</v>
      </c>
      <c r="I153">
        <v>0.10000002400000001</v>
      </c>
      <c r="J153">
        <v>0.5263158</v>
      </c>
    </row>
    <row r="154" spans="1:10" x14ac:dyDescent="0.3">
      <c r="A154">
        <v>152</v>
      </c>
      <c r="B154">
        <v>2431</v>
      </c>
      <c r="C154" t="b">
        <v>1</v>
      </c>
      <c r="D154">
        <v>8042</v>
      </c>
      <c r="E154">
        <v>8123</v>
      </c>
      <c r="F154">
        <v>6.8</v>
      </c>
      <c r="G154">
        <v>8</v>
      </c>
      <c r="H154">
        <v>0.85</v>
      </c>
      <c r="I154">
        <v>0.14999998</v>
      </c>
      <c r="J154">
        <v>0.54054049999999998</v>
      </c>
    </row>
    <row r="155" spans="1:10" x14ac:dyDescent="0.3">
      <c r="A155">
        <v>153</v>
      </c>
      <c r="B155">
        <v>2447</v>
      </c>
      <c r="C155" t="b">
        <v>1</v>
      </c>
      <c r="D155">
        <v>8042</v>
      </c>
      <c r="E155">
        <v>8123</v>
      </c>
      <c r="F155">
        <v>6.4</v>
      </c>
      <c r="G155">
        <v>8</v>
      </c>
      <c r="H155">
        <v>0.8</v>
      </c>
      <c r="I155">
        <v>0.19999998999999999</v>
      </c>
      <c r="J155">
        <v>0.55555560000000004</v>
      </c>
    </row>
    <row r="156" spans="1:10" x14ac:dyDescent="0.3">
      <c r="A156">
        <v>154</v>
      </c>
      <c r="B156">
        <v>2463</v>
      </c>
      <c r="C156" t="b">
        <v>1</v>
      </c>
      <c r="D156">
        <v>8042</v>
      </c>
      <c r="E156">
        <v>8117</v>
      </c>
      <c r="F156">
        <v>6</v>
      </c>
      <c r="G156">
        <v>8</v>
      </c>
      <c r="H156">
        <v>0.75</v>
      </c>
      <c r="I156">
        <v>0.25</v>
      </c>
      <c r="J156">
        <v>0.57142859999999995</v>
      </c>
    </row>
    <row r="157" spans="1:10" x14ac:dyDescent="0.3">
      <c r="A157">
        <v>155</v>
      </c>
      <c r="B157">
        <v>2479</v>
      </c>
      <c r="C157" t="b">
        <v>1</v>
      </c>
      <c r="D157">
        <v>8048</v>
      </c>
      <c r="E157">
        <v>8123</v>
      </c>
      <c r="F157">
        <v>5.6</v>
      </c>
      <c r="G157">
        <v>8</v>
      </c>
      <c r="H157">
        <v>0.7</v>
      </c>
      <c r="I157">
        <v>0.3</v>
      </c>
      <c r="J157">
        <v>0.58823526000000004</v>
      </c>
    </row>
    <row r="158" spans="1:10" x14ac:dyDescent="0.3">
      <c r="A158">
        <v>156</v>
      </c>
      <c r="B158">
        <v>2495</v>
      </c>
      <c r="C158" t="b">
        <v>1</v>
      </c>
      <c r="D158">
        <v>8048</v>
      </c>
      <c r="E158">
        <v>8123</v>
      </c>
      <c r="F158">
        <v>5.2</v>
      </c>
      <c r="G158">
        <v>8</v>
      </c>
      <c r="H158">
        <v>0.65</v>
      </c>
      <c r="I158">
        <v>0.35000002000000002</v>
      </c>
      <c r="J158">
        <v>0.60606059999999995</v>
      </c>
    </row>
    <row r="159" spans="1:10" x14ac:dyDescent="0.3">
      <c r="A159">
        <v>157</v>
      </c>
      <c r="B159">
        <v>2511</v>
      </c>
      <c r="C159" t="b">
        <v>1</v>
      </c>
      <c r="D159">
        <v>8048</v>
      </c>
      <c r="E159">
        <v>8123</v>
      </c>
      <c r="F159">
        <v>5.2</v>
      </c>
      <c r="G159">
        <v>8</v>
      </c>
      <c r="H159">
        <v>0.65</v>
      </c>
      <c r="I159">
        <v>0.35000002000000002</v>
      </c>
      <c r="J159">
        <v>0.60606059999999995</v>
      </c>
    </row>
    <row r="160" spans="1:10" x14ac:dyDescent="0.3">
      <c r="A160">
        <v>158</v>
      </c>
      <c r="B160">
        <v>2526</v>
      </c>
      <c r="C160" t="b">
        <v>1</v>
      </c>
      <c r="D160">
        <v>8048</v>
      </c>
      <c r="E160">
        <v>8117</v>
      </c>
      <c r="F160">
        <v>5.2</v>
      </c>
      <c r="G160">
        <v>8</v>
      </c>
      <c r="H160">
        <v>0.65</v>
      </c>
      <c r="I160">
        <v>0.35000002000000002</v>
      </c>
      <c r="J160">
        <v>0.60606059999999995</v>
      </c>
    </row>
    <row r="161" spans="1:10" x14ac:dyDescent="0.3">
      <c r="A161">
        <v>159</v>
      </c>
      <c r="B161">
        <v>2542</v>
      </c>
      <c r="C161" t="b">
        <v>1</v>
      </c>
      <c r="D161">
        <v>8048</v>
      </c>
      <c r="E161">
        <v>8123</v>
      </c>
      <c r="F161">
        <v>5.2</v>
      </c>
      <c r="G161">
        <v>8</v>
      </c>
      <c r="H161">
        <v>0.65</v>
      </c>
      <c r="I161">
        <v>0.35000002000000002</v>
      </c>
      <c r="J161">
        <v>0.60606059999999995</v>
      </c>
    </row>
    <row r="162" spans="1:10" x14ac:dyDescent="0.3">
      <c r="A162">
        <v>160</v>
      </c>
      <c r="B162">
        <v>2558</v>
      </c>
      <c r="C162" t="b">
        <v>1</v>
      </c>
      <c r="D162">
        <v>8048</v>
      </c>
      <c r="E162">
        <v>8123</v>
      </c>
      <c r="F162">
        <v>5.2</v>
      </c>
      <c r="G162">
        <v>8</v>
      </c>
      <c r="H162">
        <v>0.65</v>
      </c>
      <c r="I162">
        <v>0.35000002000000002</v>
      </c>
      <c r="J162">
        <v>0.60606059999999995</v>
      </c>
    </row>
    <row r="163" spans="1:10" x14ac:dyDescent="0.3">
      <c r="A163">
        <v>161</v>
      </c>
      <c r="B163">
        <v>2573</v>
      </c>
      <c r="C163" t="b">
        <v>1</v>
      </c>
      <c r="D163">
        <v>8048</v>
      </c>
      <c r="E163">
        <v>8123</v>
      </c>
      <c r="F163">
        <v>5.2</v>
      </c>
      <c r="G163">
        <v>8</v>
      </c>
      <c r="H163">
        <v>0.65</v>
      </c>
      <c r="I163">
        <v>0.35000002000000002</v>
      </c>
      <c r="J163">
        <v>0.60606059999999995</v>
      </c>
    </row>
    <row r="164" spans="1:10" x14ac:dyDescent="0.3">
      <c r="A164">
        <v>162</v>
      </c>
      <c r="B164">
        <v>2589</v>
      </c>
      <c r="C164" t="b">
        <v>1</v>
      </c>
      <c r="D164">
        <v>8048</v>
      </c>
      <c r="E164">
        <v>8123</v>
      </c>
      <c r="F164">
        <v>5.2</v>
      </c>
      <c r="G164">
        <v>8</v>
      </c>
      <c r="H164">
        <v>0.65</v>
      </c>
      <c r="I164">
        <v>0.35000002000000002</v>
      </c>
      <c r="J164">
        <v>0.60606059999999995</v>
      </c>
    </row>
    <row r="165" spans="1:10" x14ac:dyDescent="0.3">
      <c r="A165">
        <v>163</v>
      </c>
      <c r="B165">
        <v>2605</v>
      </c>
      <c r="C165" t="b">
        <v>1</v>
      </c>
      <c r="D165">
        <v>8048</v>
      </c>
      <c r="E165">
        <v>8123</v>
      </c>
      <c r="F165">
        <v>5.2</v>
      </c>
      <c r="G165">
        <v>8</v>
      </c>
      <c r="H165">
        <v>0.65</v>
      </c>
      <c r="I165">
        <v>0.35000002000000002</v>
      </c>
      <c r="J165">
        <v>0.60606059999999995</v>
      </c>
    </row>
    <row r="166" spans="1:10" x14ac:dyDescent="0.3">
      <c r="A166">
        <v>164</v>
      </c>
      <c r="B166">
        <v>2621</v>
      </c>
      <c r="C166" t="b">
        <v>1</v>
      </c>
      <c r="D166">
        <v>8048</v>
      </c>
      <c r="E166">
        <v>8117</v>
      </c>
      <c r="F166">
        <v>5.2</v>
      </c>
      <c r="G166">
        <v>8</v>
      </c>
      <c r="H166">
        <v>0.65</v>
      </c>
      <c r="I166">
        <v>0.35000002000000002</v>
      </c>
      <c r="J166">
        <v>0.60606059999999995</v>
      </c>
    </row>
    <row r="167" spans="1:10" x14ac:dyDescent="0.3">
      <c r="A167">
        <v>165</v>
      </c>
      <c r="B167">
        <v>2637</v>
      </c>
      <c r="C167" t="b">
        <v>1</v>
      </c>
      <c r="D167">
        <v>8048</v>
      </c>
      <c r="E167">
        <v>8117</v>
      </c>
      <c r="F167">
        <v>5.6</v>
      </c>
      <c r="G167">
        <v>8</v>
      </c>
      <c r="H167">
        <v>0.7</v>
      </c>
      <c r="I167">
        <v>0.3</v>
      </c>
      <c r="J167">
        <v>0.58823526000000004</v>
      </c>
    </row>
    <row r="168" spans="1:10" x14ac:dyDescent="0.3">
      <c r="A168">
        <v>166</v>
      </c>
      <c r="B168">
        <v>2653</v>
      </c>
      <c r="C168" t="b">
        <v>1</v>
      </c>
      <c r="D168">
        <v>8048</v>
      </c>
      <c r="E168">
        <v>8123</v>
      </c>
      <c r="F168">
        <v>6</v>
      </c>
      <c r="G168">
        <v>8</v>
      </c>
      <c r="H168">
        <v>0.75</v>
      </c>
      <c r="I168">
        <v>0.25</v>
      </c>
      <c r="J168">
        <v>0.57142859999999995</v>
      </c>
    </row>
    <row r="169" spans="1:10" x14ac:dyDescent="0.3">
      <c r="A169">
        <v>167</v>
      </c>
      <c r="B169">
        <v>2668</v>
      </c>
      <c r="C169" t="b">
        <v>1</v>
      </c>
      <c r="D169">
        <v>8048</v>
      </c>
      <c r="E169">
        <v>8123</v>
      </c>
      <c r="F169">
        <v>6.4</v>
      </c>
      <c r="G169">
        <v>8</v>
      </c>
      <c r="H169">
        <v>0.8</v>
      </c>
      <c r="I169">
        <v>0.19999998999999999</v>
      </c>
      <c r="J169">
        <v>0.55555560000000004</v>
      </c>
    </row>
    <row r="170" spans="1:10" x14ac:dyDescent="0.3">
      <c r="A170">
        <v>168</v>
      </c>
      <c r="B170">
        <v>2684</v>
      </c>
      <c r="C170" t="b">
        <v>1</v>
      </c>
      <c r="D170">
        <v>8048</v>
      </c>
      <c r="E170">
        <v>8123</v>
      </c>
      <c r="F170">
        <v>6.8</v>
      </c>
      <c r="G170">
        <v>8</v>
      </c>
      <c r="H170">
        <v>0.85</v>
      </c>
      <c r="I170">
        <v>0.14999998</v>
      </c>
      <c r="J170">
        <v>0.54054049999999998</v>
      </c>
    </row>
    <row r="171" spans="1:10" x14ac:dyDescent="0.3">
      <c r="A171">
        <v>169</v>
      </c>
      <c r="B171">
        <v>2700</v>
      </c>
      <c r="C171" t="b">
        <v>1</v>
      </c>
      <c r="D171">
        <v>8048</v>
      </c>
      <c r="E171">
        <v>8123</v>
      </c>
      <c r="F171">
        <v>7.2</v>
      </c>
      <c r="G171">
        <v>8</v>
      </c>
      <c r="H171">
        <v>0.9</v>
      </c>
      <c r="I171">
        <v>0.10000002400000001</v>
      </c>
      <c r="J171">
        <v>0.5263158</v>
      </c>
    </row>
    <row r="172" spans="1:10" x14ac:dyDescent="0.3">
      <c r="A172">
        <v>170</v>
      </c>
      <c r="B172">
        <v>2716</v>
      </c>
      <c r="C172" t="b">
        <v>1</v>
      </c>
      <c r="D172">
        <v>8054</v>
      </c>
      <c r="E172">
        <v>8123</v>
      </c>
      <c r="F172">
        <v>7.6</v>
      </c>
      <c r="G172">
        <v>8</v>
      </c>
      <c r="H172">
        <v>0.95</v>
      </c>
      <c r="I172">
        <v>5.0000012000000003E-2</v>
      </c>
      <c r="J172">
        <v>0.51282050000000001</v>
      </c>
    </row>
    <row r="173" spans="1:10" x14ac:dyDescent="0.3">
      <c r="A173">
        <v>171</v>
      </c>
      <c r="B173">
        <v>2731</v>
      </c>
      <c r="C173" t="b">
        <v>1</v>
      </c>
      <c r="D173">
        <v>8048</v>
      </c>
      <c r="E173">
        <v>8123</v>
      </c>
      <c r="F173">
        <v>8</v>
      </c>
      <c r="G173">
        <v>8</v>
      </c>
      <c r="H173">
        <v>1</v>
      </c>
      <c r="I173">
        <v>0</v>
      </c>
      <c r="J173">
        <v>0.5</v>
      </c>
    </row>
    <row r="174" spans="1:10" x14ac:dyDescent="0.3">
      <c r="A174">
        <v>172</v>
      </c>
      <c r="B174">
        <v>2747</v>
      </c>
      <c r="C174" t="b">
        <v>1</v>
      </c>
      <c r="D174">
        <v>8042</v>
      </c>
      <c r="E174">
        <v>8123</v>
      </c>
      <c r="F174">
        <v>8</v>
      </c>
      <c r="G174">
        <v>8</v>
      </c>
      <c r="H174">
        <v>1</v>
      </c>
      <c r="I174">
        <v>0</v>
      </c>
      <c r="J174">
        <v>0.5</v>
      </c>
    </row>
    <row r="175" spans="1:10" x14ac:dyDescent="0.3">
      <c r="A175">
        <v>173</v>
      </c>
      <c r="B175">
        <v>2763</v>
      </c>
      <c r="C175" t="b">
        <v>1</v>
      </c>
      <c r="D175">
        <v>8048</v>
      </c>
      <c r="E175">
        <v>8123</v>
      </c>
      <c r="F175">
        <v>8</v>
      </c>
      <c r="G175">
        <v>8</v>
      </c>
      <c r="H175">
        <v>1</v>
      </c>
      <c r="I175">
        <v>0</v>
      </c>
      <c r="J175">
        <v>0.5</v>
      </c>
    </row>
    <row r="176" spans="1:10" x14ac:dyDescent="0.3">
      <c r="A176">
        <v>174</v>
      </c>
      <c r="B176">
        <v>2779</v>
      </c>
      <c r="C176" t="b">
        <v>1</v>
      </c>
      <c r="D176">
        <v>8048</v>
      </c>
      <c r="E176">
        <v>8117</v>
      </c>
      <c r="F176">
        <v>8</v>
      </c>
      <c r="G176">
        <v>8</v>
      </c>
      <c r="H176">
        <v>1</v>
      </c>
      <c r="I176">
        <v>0</v>
      </c>
      <c r="J176">
        <v>0.5</v>
      </c>
    </row>
    <row r="177" spans="1:10" x14ac:dyDescent="0.3">
      <c r="A177">
        <v>175</v>
      </c>
      <c r="B177">
        <v>2795</v>
      </c>
      <c r="C177" t="b">
        <v>1</v>
      </c>
      <c r="D177">
        <v>8048</v>
      </c>
      <c r="E177">
        <v>8123</v>
      </c>
      <c r="F177">
        <v>8</v>
      </c>
      <c r="G177">
        <v>8</v>
      </c>
      <c r="H177">
        <v>1</v>
      </c>
      <c r="I177">
        <v>0</v>
      </c>
      <c r="J177">
        <v>0.5</v>
      </c>
    </row>
    <row r="178" spans="1:10" x14ac:dyDescent="0.3">
      <c r="A178">
        <v>176</v>
      </c>
      <c r="B178">
        <v>2811</v>
      </c>
      <c r="C178" t="b">
        <v>1</v>
      </c>
      <c r="D178">
        <v>8048</v>
      </c>
      <c r="E178">
        <v>8123</v>
      </c>
      <c r="F178">
        <v>8</v>
      </c>
      <c r="G178">
        <v>8</v>
      </c>
      <c r="H178">
        <v>1</v>
      </c>
      <c r="I178">
        <v>0</v>
      </c>
      <c r="J178">
        <v>0.5</v>
      </c>
    </row>
    <row r="179" spans="1:10" x14ac:dyDescent="0.3">
      <c r="A179">
        <v>177</v>
      </c>
      <c r="B179">
        <v>2826</v>
      </c>
      <c r="C179" t="b">
        <v>1</v>
      </c>
      <c r="D179">
        <v>8048</v>
      </c>
      <c r="E179">
        <v>8123</v>
      </c>
      <c r="F179">
        <v>8</v>
      </c>
      <c r="G179">
        <v>8</v>
      </c>
      <c r="H179">
        <v>1</v>
      </c>
      <c r="I179">
        <v>0</v>
      </c>
      <c r="J179">
        <v>0.5</v>
      </c>
    </row>
    <row r="180" spans="1:10" x14ac:dyDescent="0.3">
      <c r="A180">
        <v>178</v>
      </c>
      <c r="B180">
        <v>2842</v>
      </c>
      <c r="C180" t="b">
        <v>1</v>
      </c>
      <c r="D180">
        <v>8048</v>
      </c>
      <c r="E180">
        <v>8123</v>
      </c>
      <c r="F180">
        <v>8</v>
      </c>
      <c r="G180">
        <v>8</v>
      </c>
      <c r="H180">
        <v>1</v>
      </c>
      <c r="I180">
        <v>0</v>
      </c>
      <c r="J180">
        <v>0.5</v>
      </c>
    </row>
    <row r="181" spans="1:10" x14ac:dyDescent="0.3">
      <c r="A181">
        <v>179</v>
      </c>
      <c r="B181">
        <v>2858</v>
      </c>
      <c r="C181" t="b">
        <v>1</v>
      </c>
      <c r="D181">
        <v>8048</v>
      </c>
      <c r="E181">
        <v>8117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2874</v>
      </c>
      <c r="C182" t="b">
        <v>1</v>
      </c>
      <c r="D182">
        <v>8048</v>
      </c>
      <c r="E182">
        <v>8117</v>
      </c>
      <c r="F182">
        <v>8</v>
      </c>
      <c r="G182">
        <v>8</v>
      </c>
      <c r="H182">
        <v>1</v>
      </c>
      <c r="I182">
        <v>0</v>
      </c>
      <c r="J182">
        <v>0.5</v>
      </c>
    </row>
    <row r="183" spans="1:10" x14ac:dyDescent="0.3">
      <c r="A183">
        <v>181</v>
      </c>
      <c r="B183">
        <v>2890</v>
      </c>
      <c r="C183" t="b">
        <v>1</v>
      </c>
      <c r="D183">
        <v>8048</v>
      </c>
      <c r="E183">
        <v>8123</v>
      </c>
      <c r="F183">
        <v>8</v>
      </c>
      <c r="G183">
        <v>8</v>
      </c>
      <c r="H183">
        <v>1</v>
      </c>
      <c r="I183">
        <v>0</v>
      </c>
      <c r="J183">
        <v>0.5</v>
      </c>
    </row>
    <row r="184" spans="1:10" x14ac:dyDescent="0.3">
      <c r="A184">
        <v>182</v>
      </c>
      <c r="B184">
        <v>2906</v>
      </c>
      <c r="C184" t="b">
        <v>1</v>
      </c>
      <c r="D184">
        <v>8048</v>
      </c>
      <c r="E184">
        <v>8129</v>
      </c>
      <c r="F184">
        <v>8</v>
      </c>
      <c r="G184">
        <v>8</v>
      </c>
      <c r="H184">
        <v>1</v>
      </c>
      <c r="I184">
        <v>0</v>
      </c>
      <c r="J184">
        <v>0.5</v>
      </c>
    </row>
    <row r="185" spans="1:10" x14ac:dyDescent="0.3">
      <c r="A185">
        <v>183</v>
      </c>
      <c r="B185">
        <v>2921</v>
      </c>
      <c r="C185" t="b">
        <v>1</v>
      </c>
      <c r="D185">
        <v>8054</v>
      </c>
      <c r="E185">
        <v>8123</v>
      </c>
      <c r="F185">
        <v>8</v>
      </c>
      <c r="G185">
        <v>8</v>
      </c>
      <c r="H185">
        <v>1</v>
      </c>
      <c r="I185">
        <v>0</v>
      </c>
      <c r="J185">
        <v>0.5</v>
      </c>
    </row>
    <row r="186" spans="1:10" x14ac:dyDescent="0.3">
      <c r="A186">
        <v>184</v>
      </c>
      <c r="B186">
        <v>2937</v>
      </c>
      <c r="C186" t="b">
        <v>1</v>
      </c>
      <c r="D186">
        <v>8048</v>
      </c>
      <c r="E186">
        <v>8123</v>
      </c>
      <c r="F186">
        <v>8</v>
      </c>
      <c r="G186">
        <v>8</v>
      </c>
      <c r="H186">
        <v>1</v>
      </c>
      <c r="I186">
        <v>0</v>
      </c>
      <c r="J186">
        <v>0.5</v>
      </c>
    </row>
    <row r="187" spans="1:10" x14ac:dyDescent="0.3">
      <c r="A187">
        <v>185</v>
      </c>
      <c r="B187">
        <v>2953</v>
      </c>
      <c r="C187" t="b">
        <v>1</v>
      </c>
      <c r="D187">
        <v>8048</v>
      </c>
      <c r="E187">
        <v>8123</v>
      </c>
      <c r="F187">
        <v>8</v>
      </c>
      <c r="G187">
        <v>8</v>
      </c>
      <c r="H187">
        <v>1</v>
      </c>
      <c r="I187">
        <v>0</v>
      </c>
      <c r="J187">
        <v>0.5</v>
      </c>
    </row>
    <row r="188" spans="1:10" x14ac:dyDescent="0.3">
      <c r="A188">
        <v>186</v>
      </c>
      <c r="B188">
        <v>2969</v>
      </c>
      <c r="C188" t="b">
        <v>1</v>
      </c>
      <c r="D188">
        <v>8054</v>
      </c>
      <c r="E188">
        <v>8123</v>
      </c>
      <c r="F188">
        <v>8</v>
      </c>
      <c r="G188">
        <v>8</v>
      </c>
      <c r="H188">
        <v>1</v>
      </c>
      <c r="I188">
        <v>0</v>
      </c>
      <c r="J188">
        <v>0.5</v>
      </c>
    </row>
    <row r="189" spans="1:10" x14ac:dyDescent="0.3">
      <c r="A189">
        <v>187</v>
      </c>
      <c r="B189">
        <v>2985</v>
      </c>
      <c r="C189" t="b">
        <v>1</v>
      </c>
      <c r="D189">
        <v>8048</v>
      </c>
      <c r="E189">
        <v>8123</v>
      </c>
      <c r="F189">
        <v>8</v>
      </c>
      <c r="G189">
        <v>8</v>
      </c>
      <c r="H189">
        <v>1</v>
      </c>
      <c r="I189">
        <v>0</v>
      </c>
      <c r="J189">
        <v>0.5</v>
      </c>
    </row>
    <row r="190" spans="1:10" x14ac:dyDescent="0.3">
      <c r="A190">
        <v>188</v>
      </c>
      <c r="B190">
        <v>3001</v>
      </c>
      <c r="C190" t="b">
        <v>1</v>
      </c>
      <c r="D190">
        <v>8048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3017</v>
      </c>
      <c r="C191" t="b">
        <v>1</v>
      </c>
      <c r="D191">
        <v>8054</v>
      </c>
      <c r="E191">
        <v>8123</v>
      </c>
      <c r="F191">
        <v>8</v>
      </c>
      <c r="G191">
        <v>8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3033</v>
      </c>
      <c r="C192" t="b">
        <v>1</v>
      </c>
      <c r="D192">
        <v>8054</v>
      </c>
      <c r="E192">
        <v>8123</v>
      </c>
      <c r="F192">
        <v>8.4</v>
      </c>
      <c r="G192">
        <v>8</v>
      </c>
      <c r="H192">
        <v>1.05</v>
      </c>
      <c r="I192">
        <v>-4.9999952E-2</v>
      </c>
      <c r="J192">
        <v>0.48780489999999999</v>
      </c>
    </row>
    <row r="193" spans="1:10" x14ac:dyDescent="0.3">
      <c r="A193">
        <v>191</v>
      </c>
      <c r="B193">
        <v>3048</v>
      </c>
      <c r="C193" t="b">
        <v>1</v>
      </c>
      <c r="D193">
        <v>8054</v>
      </c>
      <c r="E193">
        <v>8123</v>
      </c>
      <c r="F193">
        <v>8.8000000000000007</v>
      </c>
      <c r="G193">
        <v>8</v>
      </c>
      <c r="H193">
        <v>1.1000000000000001</v>
      </c>
      <c r="I193">
        <v>-0.10000002400000001</v>
      </c>
      <c r="J193">
        <v>0.47619050000000002</v>
      </c>
    </row>
    <row r="194" spans="1:10" x14ac:dyDescent="0.3">
      <c r="A194">
        <v>192</v>
      </c>
      <c r="B194">
        <v>3064</v>
      </c>
      <c r="C194" t="b">
        <v>1</v>
      </c>
      <c r="D194">
        <v>8048</v>
      </c>
      <c r="E194">
        <v>8123</v>
      </c>
      <c r="F194">
        <v>9.1999999999999993</v>
      </c>
      <c r="G194">
        <v>8</v>
      </c>
      <c r="H194">
        <v>1.1499999999999999</v>
      </c>
      <c r="I194">
        <v>-0.14999998</v>
      </c>
      <c r="J194">
        <v>0.46511626</v>
      </c>
    </row>
    <row r="195" spans="1:10" x14ac:dyDescent="0.3">
      <c r="A195">
        <v>193</v>
      </c>
      <c r="B195">
        <v>3080</v>
      </c>
      <c r="C195" t="b">
        <v>1</v>
      </c>
      <c r="D195">
        <v>8054</v>
      </c>
      <c r="E195">
        <v>8123</v>
      </c>
      <c r="F195">
        <v>9.6</v>
      </c>
      <c r="G195">
        <v>8</v>
      </c>
      <c r="H195">
        <v>1.2</v>
      </c>
      <c r="I195">
        <v>-0.20000005000000001</v>
      </c>
      <c r="J195">
        <v>0.45454544000000002</v>
      </c>
    </row>
    <row r="196" spans="1:10" x14ac:dyDescent="0.3">
      <c r="A196">
        <v>194</v>
      </c>
      <c r="B196">
        <v>3096</v>
      </c>
      <c r="C196" t="b">
        <v>1</v>
      </c>
      <c r="D196">
        <v>8048</v>
      </c>
      <c r="E196">
        <v>8123</v>
      </c>
      <c r="F196">
        <v>10</v>
      </c>
      <c r="G196">
        <v>8</v>
      </c>
      <c r="H196">
        <v>1.25</v>
      </c>
      <c r="I196">
        <v>-0.25</v>
      </c>
      <c r="J196">
        <v>0.44444444999999999</v>
      </c>
    </row>
    <row r="197" spans="1:10" x14ac:dyDescent="0.3">
      <c r="A197">
        <v>195</v>
      </c>
      <c r="B197">
        <v>3112</v>
      </c>
      <c r="C197" t="b">
        <v>1</v>
      </c>
      <c r="D197">
        <v>8054</v>
      </c>
      <c r="E197">
        <v>8123</v>
      </c>
      <c r="F197">
        <v>10.4</v>
      </c>
      <c r="G197">
        <v>8</v>
      </c>
      <c r="H197">
        <v>1.3</v>
      </c>
      <c r="I197">
        <v>-0.29999995000000002</v>
      </c>
      <c r="J197">
        <v>0.43478262000000001</v>
      </c>
    </row>
    <row r="198" spans="1:10" x14ac:dyDescent="0.3">
      <c r="A198">
        <v>196</v>
      </c>
      <c r="B198">
        <v>3128</v>
      </c>
      <c r="C198" t="b">
        <v>1</v>
      </c>
      <c r="D198">
        <v>8054</v>
      </c>
      <c r="E198">
        <v>8123</v>
      </c>
      <c r="F198">
        <v>10.8</v>
      </c>
      <c r="G198">
        <v>8</v>
      </c>
      <c r="H198">
        <v>1.35</v>
      </c>
      <c r="I198">
        <v>-0.35000002000000002</v>
      </c>
      <c r="J198">
        <v>0.42553192000000001</v>
      </c>
    </row>
    <row r="199" spans="1:10" x14ac:dyDescent="0.3">
      <c r="A199">
        <v>197</v>
      </c>
      <c r="B199">
        <v>3144</v>
      </c>
      <c r="C199" t="b">
        <v>1</v>
      </c>
      <c r="D199">
        <v>8054</v>
      </c>
      <c r="E199">
        <v>8123</v>
      </c>
      <c r="F199">
        <v>11.2</v>
      </c>
      <c r="G199">
        <v>8</v>
      </c>
      <c r="H199">
        <v>1.4</v>
      </c>
      <c r="I199">
        <v>-0.39999997999999998</v>
      </c>
      <c r="J199">
        <v>0.41666666000000002</v>
      </c>
    </row>
    <row r="200" spans="1:10" x14ac:dyDescent="0.3">
      <c r="A200">
        <v>198</v>
      </c>
      <c r="B200">
        <v>3160</v>
      </c>
      <c r="C200" t="b">
        <v>1</v>
      </c>
      <c r="D200">
        <v>8048</v>
      </c>
      <c r="E200">
        <v>8123</v>
      </c>
      <c r="F200">
        <v>11.6</v>
      </c>
      <c r="G200">
        <v>8</v>
      </c>
      <c r="H200">
        <v>1.45</v>
      </c>
      <c r="I200">
        <v>-0.45000004999999998</v>
      </c>
      <c r="J200">
        <v>0.40816324999999998</v>
      </c>
    </row>
    <row r="201" spans="1:10" x14ac:dyDescent="0.3">
      <c r="A201">
        <v>199</v>
      </c>
      <c r="B201">
        <v>3176</v>
      </c>
      <c r="C201" t="b">
        <v>1</v>
      </c>
      <c r="D201">
        <v>8054</v>
      </c>
      <c r="E201">
        <v>8123</v>
      </c>
      <c r="F201">
        <v>12</v>
      </c>
      <c r="G201">
        <v>8</v>
      </c>
      <c r="H201">
        <v>1.5</v>
      </c>
      <c r="I201">
        <v>-0.5</v>
      </c>
      <c r="J201">
        <v>0.4</v>
      </c>
    </row>
    <row r="202" spans="1:10" x14ac:dyDescent="0.3">
      <c r="A202">
        <v>200</v>
      </c>
      <c r="B202">
        <v>3192</v>
      </c>
      <c r="C202" t="b">
        <v>1</v>
      </c>
      <c r="D202">
        <v>8048</v>
      </c>
      <c r="E202">
        <v>8123</v>
      </c>
      <c r="F202">
        <v>12.4</v>
      </c>
      <c r="G202">
        <v>8</v>
      </c>
      <c r="H202">
        <v>1.55</v>
      </c>
      <c r="I202">
        <v>-0.54999995000000002</v>
      </c>
      <c r="J202">
        <v>0.39215686999999999</v>
      </c>
    </row>
    <row r="203" spans="1:10" x14ac:dyDescent="0.3">
      <c r="A203">
        <v>201</v>
      </c>
      <c r="B203">
        <v>3208</v>
      </c>
      <c r="C203" t="b">
        <v>1</v>
      </c>
      <c r="D203">
        <v>8048</v>
      </c>
      <c r="E203">
        <v>8123</v>
      </c>
      <c r="F203">
        <v>12.4</v>
      </c>
      <c r="G203">
        <v>8</v>
      </c>
      <c r="H203">
        <v>1.55</v>
      </c>
      <c r="I203">
        <v>-0.54999995000000002</v>
      </c>
      <c r="J203">
        <v>0.39215686999999999</v>
      </c>
    </row>
    <row r="204" spans="1:10" x14ac:dyDescent="0.3">
      <c r="A204">
        <v>202</v>
      </c>
      <c r="B204">
        <v>3223</v>
      </c>
      <c r="C204" t="b">
        <v>1</v>
      </c>
      <c r="D204">
        <v>8048</v>
      </c>
      <c r="E204">
        <v>8123</v>
      </c>
      <c r="F204">
        <v>12.4</v>
      </c>
      <c r="G204">
        <v>8</v>
      </c>
      <c r="H204">
        <v>1.55</v>
      </c>
      <c r="I204">
        <v>-0.54999995000000002</v>
      </c>
      <c r="J204">
        <v>0.39215686999999999</v>
      </c>
    </row>
    <row r="205" spans="1:10" x14ac:dyDescent="0.3">
      <c r="A205">
        <v>203</v>
      </c>
      <c r="B205">
        <v>3239</v>
      </c>
      <c r="C205" t="b">
        <v>1</v>
      </c>
      <c r="D205">
        <v>8048</v>
      </c>
      <c r="E205">
        <v>8123</v>
      </c>
      <c r="F205">
        <v>12.4</v>
      </c>
      <c r="G205">
        <v>8</v>
      </c>
      <c r="H205">
        <v>1.55</v>
      </c>
      <c r="I205">
        <v>-0.54999995000000002</v>
      </c>
      <c r="J205">
        <v>0.39215686999999999</v>
      </c>
    </row>
    <row r="206" spans="1:10" x14ac:dyDescent="0.3">
      <c r="A206">
        <v>204</v>
      </c>
      <c r="B206">
        <v>3255</v>
      </c>
      <c r="C206" t="b">
        <v>1</v>
      </c>
      <c r="D206">
        <v>8054</v>
      </c>
      <c r="E206">
        <v>8123</v>
      </c>
      <c r="F206">
        <v>12.4</v>
      </c>
      <c r="G206">
        <v>8</v>
      </c>
      <c r="H206">
        <v>1.55</v>
      </c>
      <c r="I206">
        <v>-0.54999995000000002</v>
      </c>
      <c r="J206">
        <v>0.39215686999999999</v>
      </c>
    </row>
    <row r="207" spans="1:10" x14ac:dyDescent="0.3">
      <c r="A207">
        <v>205</v>
      </c>
      <c r="B207">
        <v>3271</v>
      </c>
      <c r="C207" t="b">
        <v>1</v>
      </c>
      <c r="D207">
        <v>8048</v>
      </c>
      <c r="E207">
        <v>8123</v>
      </c>
      <c r="F207">
        <v>12</v>
      </c>
      <c r="G207">
        <v>8</v>
      </c>
      <c r="H207">
        <v>1.5</v>
      </c>
      <c r="I207">
        <v>-0.5</v>
      </c>
      <c r="J207">
        <v>0.4</v>
      </c>
    </row>
    <row r="208" spans="1:10" x14ac:dyDescent="0.3">
      <c r="A208">
        <v>206</v>
      </c>
      <c r="B208">
        <v>3286</v>
      </c>
      <c r="C208" t="b">
        <v>1</v>
      </c>
      <c r="D208">
        <v>8048</v>
      </c>
      <c r="E208">
        <v>8123</v>
      </c>
      <c r="F208">
        <v>11.6</v>
      </c>
      <c r="G208">
        <v>8</v>
      </c>
      <c r="H208">
        <v>1.45</v>
      </c>
      <c r="I208">
        <v>-0.45000004999999998</v>
      </c>
      <c r="J208">
        <v>0.40816324999999998</v>
      </c>
    </row>
    <row r="209" spans="1:10" x14ac:dyDescent="0.3">
      <c r="A209">
        <v>207</v>
      </c>
      <c r="B209">
        <v>3302</v>
      </c>
      <c r="C209" t="b">
        <v>1</v>
      </c>
      <c r="D209">
        <v>8048</v>
      </c>
      <c r="E209">
        <v>8123</v>
      </c>
      <c r="F209">
        <v>11.2</v>
      </c>
      <c r="G209">
        <v>8</v>
      </c>
      <c r="H209">
        <v>1.4</v>
      </c>
      <c r="I209">
        <v>-0.39999997999999998</v>
      </c>
      <c r="J209">
        <v>0.41666666000000002</v>
      </c>
    </row>
    <row r="210" spans="1:10" x14ac:dyDescent="0.3">
      <c r="A210">
        <v>208</v>
      </c>
      <c r="B210">
        <v>3318</v>
      </c>
      <c r="C210" t="b">
        <v>1</v>
      </c>
      <c r="D210">
        <v>8048</v>
      </c>
      <c r="E210">
        <v>8123</v>
      </c>
      <c r="F210">
        <v>10.8</v>
      </c>
      <c r="G210">
        <v>8</v>
      </c>
      <c r="H210">
        <v>1.35</v>
      </c>
      <c r="I210">
        <v>-0.35000002000000002</v>
      </c>
      <c r="J210">
        <v>0.42553192000000001</v>
      </c>
    </row>
    <row r="211" spans="1:10" x14ac:dyDescent="0.3">
      <c r="A211">
        <v>209</v>
      </c>
      <c r="B211">
        <v>3334</v>
      </c>
      <c r="C211" t="b">
        <v>1</v>
      </c>
      <c r="D211">
        <v>8048</v>
      </c>
      <c r="E211">
        <v>8123</v>
      </c>
      <c r="F211">
        <v>10.4</v>
      </c>
      <c r="G211">
        <v>8</v>
      </c>
      <c r="H211">
        <v>1.3</v>
      </c>
      <c r="I211">
        <v>-0.29999995000000002</v>
      </c>
      <c r="J211">
        <v>0.43478262000000001</v>
      </c>
    </row>
    <row r="212" spans="1:10" x14ac:dyDescent="0.3">
      <c r="A212">
        <v>210</v>
      </c>
      <c r="B212">
        <v>3349</v>
      </c>
      <c r="C212" t="b">
        <v>1</v>
      </c>
      <c r="D212">
        <v>8048</v>
      </c>
      <c r="E212">
        <v>8123</v>
      </c>
      <c r="F212">
        <v>10</v>
      </c>
      <c r="G212">
        <v>8</v>
      </c>
      <c r="H212">
        <v>1.25</v>
      </c>
      <c r="I212">
        <v>-0.25</v>
      </c>
      <c r="J212">
        <v>0.44444444999999999</v>
      </c>
    </row>
    <row r="213" spans="1:10" x14ac:dyDescent="0.3">
      <c r="A213">
        <v>211</v>
      </c>
      <c r="B213">
        <v>3365</v>
      </c>
      <c r="C213" t="b">
        <v>1</v>
      </c>
      <c r="D213">
        <v>8054</v>
      </c>
      <c r="E213">
        <v>8123</v>
      </c>
      <c r="F213">
        <v>9.6</v>
      </c>
      <c r="G213">
        <v>8</v>
      </c>
      <c r="H213">
        <v>1.2</v>
      </c>
      <c r="I213">
        <v>-0.20000005000000001</v>
      </c>
      <c r="J213">
        <v>0.45454544000000002</v>
      </c>
    </row>
    <row r="214" spans="1:10" x14ac:dyDescent="0.3">
      <c r="A214">
        <v>212</v>
      </c>
      <c r="B214">
        <v>3381</v>
      </c>
      <c r="C214" t="b">
        <v>1</v>
      </c>
      <c r="D214">
        <v>8054</v>
      </c>
      <c r="E214">
        <v>8123</v>
      </c>
      <c r="F214">
        <v>9.1999999999999993</v>
      </c>
      <c r="G214">
        <v>8</v>
      </c>
      <c r="H214">
        <v>1.1499999999999999</v>
      </c>
      <c r="I214">
        <v>-0.14999998</v>
      </c>
      <c r="J214">
        <v>0.46511626</v>
      </c>
    </row>
    <row r="215" spans="1:10" x14ac:dyDescent="0.3">
      <c r="A215">
        <v>213</v>
      </c>
      <c r="B215">
        <v>3397</v>
      </c>
      <c r="C215" t="b">
        <v>1</v>
      </c>
      <c r="D215">
        <v>8048</v>
      </c>
      <c r="E215">
        <v>8123</v>
      </c>
      <c r="F215">
        <v>8.8000000000000007</v>
      </c>
      <c r="G215">
        <v>8</v>
      </c>
      <c r="H215">
        <v>1.1000000000000001</v>
      </c>
      <c r="I215">
        <v>-0.10000002400000001</v>
      </c>
      <c r="J215">
        <v>0.47619050000000002</v>
      </c>
    </row>
    <row r="216" spans="1:10" x14ac:dyDescent="0.3">
      <c r="A216">
        <v>214</v>
      </c>
      <c r="B216">
        <v>3413</v>
      </c>
      <c r="C216" t="b">
        <v>1</v>
      </c>
      <c r="D216">
        <v>8048</v>
      </c>
      <c r="E216">
        <v>8123</v>
      </c>
      <c r="F216">
        <v>8.4</v>
      </c>
      <c r="G216">
        <v>8</v>
      </c>
      <c r="H216">
        <v>1.05</v>
      </c>
      <c r="I216">
        <v>-4.9999952E-2</v>
      </c>
      <c r="J216">
        <v>0.48780489999999999</v>
      </c>
    </row>
    <row r="217" spans="1:10" x14ac:dyDescent="0.3">
      <c r="A217">
        <v>215</v>
      </c>
      <c r="B217">
        <v>3429</v>
      </c>
      <c r="C217" t="b">
        <v>1</v>
      </c>
      <c r="D217">
        <v>8048</v>
      </c>
      <c r="E217">
        <v>8123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3445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3461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3476</v>
      </c>
      <c r="C220" t="b">
        <v>1</v>
      </c>
      <c r="D220">
        <v>8054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3492</v>
      </c>
      <c r="C221" t="b">
        <v>1</v>
      </c>
      <c r="D221">
        <v>8048</v>
      </c>
      <c r="E221">
        <v>8117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3508</v>
      </c>
      <c r="C222" t="b">
        <v>1</v>
      </c>
      <c r="D222">
        <v>8048</v>
      </c>
      <c r="E222">
        <v>8123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3524</v>
      </c>
      <c r="C223" t="b">
        <v>1</v>
      </c>
      <c r="D223">
        <v>8048</v>
      </c>
      <c r="E223">
        <v>8123</v>
      </c>
      <c r="F223">
        <v>8</v>
      </c>
      <c r="G223">
        <v>8</v>
      </c>
      <c r="H223">
        <v>1</v>
      </c>
      <c r="I223">
        <v>0</v>
      </c>
      <c r="J223">
        <v>0.5</v>
      </c>
    </row>
    <row r="224" spans="1:10" x14ac:dyDescent="0.3">
      <c r="A224">
        <v>222</v>
      </c>
      <c r="B224">
        <v>3539</v>
      </c>
      <c r="C224" t="b">
        <v>1</v>
      </c>
      <c r="D224">
        <v>8054</v>
      </c>
      <c r="E224">
        <v>8117</v>
      </c>
      <c r="F224">
        <v>8</v>
      </c>
      <c r="G224">
        <v>8</v>
      </c>
      <c r="H224">
        <v>1</v>
      </c>
      <c r="I224">
        <v>0</v>
      </c>
      <c r="J224">
        <v>0.5</v>
      </c>
    </row>
    <row r="225" spans="1:10" x14ac:dyDescent="0.3">
      <c r="A225">
        <v>223</v>
      </c>
      <c r="B225">
        <v>3555</v>
      </c>
      <c r="C225" t="b">
        <v>1</v>
      </c>
      <c r="D225">
        <v>8054</v>
      </c>
      <c r="E225">
        <v>8123</v>
      </c>
      <c r="F225">
        <v>8</v>
      </c>
      <c r="G225">
        <v>8</v>
      </c>
      <c r="H225">
        <v>1</v>
      </c>
      <c r="I225">
        <v>0</v>
      </c>
      <c r="J225">
        <v>0.5</v>
      </c>
    </row>
    <row r="226" spans="1:10" x14ac:dyDescent="0.3">
      <c r="A226">
        <v>224</v>
      </c>
      <c r="B226">
        <v>3571</v>
      </c>
      <c r="C226" t="b">
        <v>1</v>
      </c>
      <c r="D226">
        <v>8048</v>
      </c>
      <c r="E226">
        <v>8123</v>
      </c>
      <c r="F226">
        <v>8</v>
      </c>
      <c r="G226">
        <v>8</v>
      </c>
      <c r="H226">
        <v>1</v>
      </c>
      <c r="I226">
        <v>0</v>
      </c>
      <c r="J226">
        <v>0.5</v>
      </c>
    </row>
    <row r="227" spans="1:10" x14ac:dyDescent="0.3">
      <c r="A227">
        <v>225</v>
      </c>
      <c r="B227">
        <v>3587</v>
      </c>
      <c r="C227" t="b">
        <v>1</v>
      </c>
      <c r="D227">
        <v>8042</v>
      </c>
      <c r="E227">
        <v>8123</v>
      </c>
      <c r="F227">
        <v>8</v>
      </c>
      <c r="G227">
        <v>8</v>
      </c>
      <c r="H227">
        <v>1</v>
      </c>
      <c r="I227">
        <v>0</v>
      </c>
      <c r="J227">
        <v>0.5</v>
      </c>
    </row>
    <row r="228" spans="1:10" x14ac:dyDescent="0.3">
      <c r="A228">
        <v>226</v>
      </c>
      <c r="B228">
        <v>3603</v>
      </c>
      <c r="C228" t="b">
        <v>1</v>
      </c>
      <c r="D228">
        <v>8042</v>
      </c>
      <c r="E228">
        <v>8123</v>
      </c>
      <c r="F228">
        <v>8</v>
      </c>
      <c r="G228">
        <v>8</v>
      </c>
      <c r="H228">
        <v>1</v>
      </c>
      <c r="I228">
        <v>0</v>
      </c>
      <c r="J228">
        <v>0.5</v>
      </c>
    </row>
    <row r="229" spans="1:10" x14ac:dyDescent="0.3">
      <c r="A229">
        <v>227</v>
      </c>
      <c r="B229">
        <v>3619</v>
      </c>
      <c r="C229" t="b">
        <v>1</v>
      </c>
      <c r="D229">
        <v>8042</v>
      </c>
      <c r="E229">
        <v>8123</v>
      </c>
      <c r="F229">
        <v>7.6</v>
      </c>
      <c r="G229">
        <v>8</v>
      </c>
      <c r="H229">
        <v>0.95</v>
      </c>
      <c r="I229">
        <v>5.0000012000000003E-2</v>
      </c>
      <c r="J229">
        <v>0.51282050000000001</v>
      </c>
    </row>
    <row r="230" spans="1:10" x14ac:dyDescent="0.3">
      <c r="A230">
        <v>228</v>
      </c>
      <c r="B230">
        <v>3635</v>
      </c>
      <c r="C230" t="b">
        <v>1</v>
      </c>
      <c r="D230">
        <v>8042</v>
      </c>
      <c r="E230">
        <v>8123</v>
      </c>
      <c r="F230">
        <v>7.2</v>
      </c>
      <c r="G230">
        <v>8</v>
      </c>
      <c r="H230">
        <v>0.9</v>
      </c>
      <c r="I230">
        <v>0.10000002400000001</v>
      </c>
      <c r="J230">
        <v>0.5263158</v>
      </c>
    </row>
    <row r="231" spans="1:10" x14ac:dyDescent="0.3">
      <c r="A231">
        <v>229</v>
      </c>
      <c r="B231">
        <v>3651</v>
      </c>
      <c r="C231" t="b">
        <v>1</v>
      </c>
      <c r="D231">
        <v>8037</v>
      </c>
      <c r="E231">
        <v>8129</v>
      </c>
      <c r="F231">
        <v>6.8</v>
      </c>
      <c r="G231">
        <v>8</v>
      </c>
      <c r="H231">
        <v>0.85</v>
      </c>
      <c r="I231">
        <v>0.14999998</v>
      </c>
      <c r="J231">
        <v>0.54054049999999998</v>
      </c>
    </row>
    <row r="232" spans="1:10" x14ac:dyDescent="0.3">
      <c r="A232">
        <v>230</v>
      </c>
      <c r="B232">
        <v>3666</v>
      </c>
      <c r="C232" t="b">
        <v>1</v>
      </c>
      <c r="D232">
        <v>8048</v>
      </c>
      <c r="E232">
        <v>8123</v>
      </c>
      <c r="F232">
        <v>6.4</v>
      </c>
      <c r="G232">
        <v>8</v>
      </c>
      <c r="H232">
        <v>0.8</v>
      </c>
      <c r="I232">
        <v>0.19999998999999999</v>
      </c>
      <c r="J232">
        <v>0.55555560000000004</v>
      </c>
    </row>
    <row r="233" spans="1:10" x14ac:dyDescent="0.3">
      <c r="A233">
        <v>231</v>
      </c>
      <c r="B233">
        <v>3682</v>
      </c>
      <c r="C233" t="b">
        <v>1</v>
      </c>
      <c r="D233">
        <v>8042</v>
      </c>
      <c r="E233">
        <v>8123</v>
      </c>
      <c r="F233">
        <v>6</v>
      </c>
      <c r="G233">
        <v>8</v>
      </c>
      <c r="H233">
        <v>0.75</v>
      </c>
      <c r="I233">
        <v>0.25</v>
      </c>
      <c r="J233">
        <v>0.57142859999999995</v>
      </c>
    </row>
    <row r="234" spans="1:10" x14ac:dyDescent="0.3">
      <c r="A234">
        <v>232</v>
      </c>
      <c r="B234">
        <v>3699</v>
      </c>
      <c r="C234" t="b">
        <v>1</v>
      </c>
      <c r="D234">
        <v>8048</v>
      </c>
      <c r="E234">
        <v>8123</v>
      </c>
      <c r="F234">
        <v>5.6</v>
      </c>
      <c r="G234">
        <v>8</v>
      </c>
      <c r="H234">
        <v>0.7</v>
      </c>
      <c r="I234">
        <v>0.3</v>
      </c>
      <c r="J234">
        <v>0.58823526000000004</v>
      </c>
    </row>
    <row r="235" spans="1:10" x14ac:dyDescent="0.3">
      <c r="A235">
        <v>233</v>
      </c>
      <c r="B235">
        <v>3714</v>
      </c>
      <c r="C235" t="b">
        <v>1</v>
      </c>
      <c r="D235">
        <v>8048</v>
      </c>
      <c r="E235">
        <v>8117</v>
      </c>
      <c r="F235">
        <v>5.6</v>
      </c>
      <c r="G235">
        <v>8</v>
      </c>
      <c r="H235">
        <v>0.7</v>
      </c>
      <c r="I235">
        <v>0.3</v>
      </c>
      <c r="J235">
        <v>0.58823526000000004</v>
      </c>
    </row>
    <row r="236" spans="1:10" x14ac:dyDescent="0.3">
      <c r="A236">
        <v>234</v>
      </c>
      <c r="B236">
        <v>3730</v>
      </c>
      <c r="C236" t="b">
        <v>1</v>
      </c>
      <c r="D236">
        <v>8048</v>
      </c>
      <c r="E236">
        <v>8123</v>
      </c>
      <c r="F236">
        <v>5.6</v>
      </c>
      <c r="G236">
        <v>8</v>
      </c>
      <c r="H236">
        <v>0.7</v>
      </c>
      <c r="I236">
        <v>0.3</v>
      </c>
      <c r="J236">
        <v>0.58823526000000004</v>
      </c>
    </row>
    <row r="237" spans="1:10" x14ac:dyDescent="0.3">
      <c r="A237">
        <v>235</v>
      </c>
      <c r="B237">
        <v>3746</v>
      </c>
      <c r="C237" t="b">
        <v>1</v>
      </c>
      <c r="D237">
        <v>8054</v>
      </c>
      <c r="E237">
        <v>8123</v>
      </c>
      <c r="F237">
        <v>5.6</v>
      </c>
      <c r="G237">
        <v>8</v>
      </c>
      <c r="H237">
        <v>0.7</v>
      </c>
      <c r="I237">
        <v>0.3</v>
      </c>
      <c r="J237">
        <v>0.58823526000000004</v>
      </c>
    </row>
    <row r="238" spans="1:10" x14ac:dyDescent="0.3">
      <c r="A238">
        <v>236</v>
      </c>
      <c r="B238">
        <v>3762</v>
      </c>
      <c r="C238" t="b">
        <v>1</v>
      </c>
      <c r="D238">
        <v>8048</v>
      </c>
      <c r="E238">
        <v>8117</v>
      </c>
      <c r="F238">
        <v>5.6</v>
      </c>
      <c r="G238">
        <v>8</v>
      </c>
      <c r="H238">
        <v>0.7</v>
      </c>
      <c r="I238">
        <v>0.3</v>
      </c>
      <c r="J238">
        <v>0.58823526000000004</v>
      </c>
    </row>
    <row r="239" spans="1:10" x14ac:dyDescent="0.3">
      <c r="A239">
        <v>237</v>
      </c>
      <c r="B239">
        <v>3778</v>
      </c>
      <c r="C239" t="b">
        <v>1</v>
      </c>
      <c r="D239">
        <v>8054</v>
      </c>
      <c r="E239">
        <v>8117</v>
      </c>
      <c r="F239">
        <v>5.6</v>
      </c>
      <c r="G239">
        <v>7.6</v>
      </c>
      <c r="H239">
        <v>0.73684210000000006</v>
      </c>
      <c r="I239">
        <v>0.2631579</v>
      </c>
      <c r="J239">
        <v>0.57575756</v>
      </c>
    </row>
    <row r="240" spans="1:10" x14ac:dyDescent="0.3">
      <c r="A240">
        <v>238</v>
      </c>
      <c r="B240">
        <v>3794</v>
      </c>
      <c r="C240" t="b">
        <v>1</v>
      </c>
      <c r="D240">
        <v>8048</v>
      </c>
      <c r="E240">
        <v>8111</v>
      </c>
      <c r="F240">
        <v>5.6</v>
      </c>
      <c r="G240">
        <v>7.2</v>
      </c>
      <c r="H240">
        <v>0.77777779999999996</v>
      </c>
      <c r="I240">
        <v>0.22222221</v>
      </c>
      <c r="J240">
        <v>0.5625</v>
      </c>
    </row>
    <row r="241" spans="1:10" x14ac:dyDescent="0.3">
      <c r="A241">
        <v>239</v>
      </c>
      <c r="B241">
        <v>3810</v>
      </c>
      <c r="C241" t="b">
        <v>1</v>
      </c>
      <c r="D241">
        <v>8054</v>
      </c>
      <c r="E241">
        <v>8117</v>
      </c>
      <c r="F241">
        <v>6</v>
      </c>
      <c r="G241">
        <v>6.8</v>
      </c>
      <c r="H241">
        <v>0.8823529</v>
      </c>
      <c r="I241">
        <v>0.11764708</v>
      </c>
      <c r="J241">
        <v>0.53125</v>
      </c>
    </row>
    <row r="242" spans="1:10" x14ac:dyDescent="0.3">
      <c r="A242">
        <v>240</v>
      </c>
      <c r="B242">
        <v>3826</v>
      </c>
      <c r="C242" t="b">
        <v>1</v>
      </c>
      <c r="D242">
        <v>8048</v>
      </c>
      <c r="E242">
        <v>8117</v>
      </c>
      <c r="F242">
        <v>6</v>
      </c>
      <c r="G242">
        <v>6.4</v>
      </c>
      <c r="H242">
        <v>0.9375</v>
      </c>
      <c r="I242">
        <v>6.2500015000000006E-2</v>
      </c>
      <c r="J242">
        <v>0.51612910000000001</v>
      </c>
    </row>
    <row r="243" spans="1:10" x14ac:dyDescent="0.3">
      <c r="A243">
        <v>241</v>
      </c>
      <c r="B243">
        <v>3842</v>
      </c>
      <c r="C243" t="b">
        <v>1</v>
      </c>
      <c r="D243">
        <v>8048</v>
      </c>
      <c r="E243">
        <v>8117</v>
      </c>
      <c r="F243">
        <v>6</v>
      </c>
      <c r="G243">
        <v>6</v>
      </c>
      <c r="H243">
        <v>1</v>
      </c>
      <c r="I243">
        <v>0</v>
      </c>
      <c r="J243">
        <v>0.5</v>
      </c>
    </row>
    <row r="244" spans="1:10" x14ac:dyDescent="0.3">
      <c r="A244">
        <v>242</v>
      </c>
      <c r="B244">
        <v>3858</v>
      </c>
      <c r="C244" t="b">
        <v>1</v>
      </c>
      <c r="D244">
        <v>8048</v>
      </c>
      <c r="E244">
        <v>8117</v>
      </c>
      <c r="F244">
        <v>6.4</v>
      </c>
      <c r="G244">
        <v>5.6</v>
      </c>
      <c r="H244">
        <v>1.1428571999999999</v>
      </c>
      <c r="I244">
        <v>-0.14285718</v>
      </c>
      <c r="J244">
        <v>0.46666667000000001</v>
      </c>
    </row>
    <row r="245" spans="1:10" x14ac:dyDescent="0.3">
      <c r="A245">
        <v>243</v>
      </c>
      <c r="B245">
        <v>3874</v>
      </c>
      <c r="C245" t="b">
        <v>1</v>
      </c>
      <c r="D245">
        <v>8048</v>
      </c>
      <c r="E245">
        <v>8123</v>
      </c>
      <c r="F245">
        <v>6.8</v>
      </c>
      <c r="G245">
        <v>5.2</v>
      </c>
      <c r="H245">
        <v>1.3076924000000001</v>
      </c>
      <c r="I245">
        <v>-0.30769237999999999</v>
      </c>
      <c r="J245">
        <v>0.43333329999999998</v>
      </c>
    </row>
    <row r="246" spans="1:10" x14ac:dyDescent="0.3">
      <c r="A246">
        <v>244</v>
      </c>
      <c r="B246">
        <v>3890</v>
      </c>
      <c r="C246" t="b">
        <v>1</v>
      </c>
      <c r="D246">
        <v>8048</v>
      </c>
      <c r="E246">
        <v>8123</v>
      </c>
      <c r="F246">
        <v>7.2</v>
      </c>
      <c r="G246">
        <v>4.8</v>
      </c>
      <c r="H246">
        <v>1.4999998999999999</v>
      </c>
      <c r="I246">
        <v>-0.4999999</v>
      </c>
      <c r="J246">
        <v>0.4</v>
      </c>
    </row>
    <row r="247" spans="1:10" x14ac:dyDescent="0.3">
      <c r="A247">
        <v>245</v>
      </c>
      <c r="B247">
        <v>3906</v>
      </c>
      <c r="C247" t="b">
        <v>1</v>
      </c>
      <c r="D247">
        <v>8048</v>
      </c>
      <c r="E247">
        <v>8123</v>
      </c>
      <c r="F247">
        <v>7.6</v>
      </c>
      <c r="G247">
        <v>4.8</v>
      </c>
      <c r="H247">
        <v>1.5833333000000001</v>
      </c>
      <c r="I247">
        <v>-0.58333325000000003</v>
      </c>
      <c r="J247">
        <v>0.38709680000000002</v>
      </c>
    </row>
    <row r="248" spans="1:10" x14ac:dyDescent="0.3">
      <c r="A248">
        <v>246</v>
      </c>
      <c r="B248">
        <v>3922</v>
      </c>
      <c r="C248" t="b">
        <v>1</v>
      </c>
      <c r="D248">
        <v>8054</v>
      </c>
      <c r="E248">
        <v>8123</v>
      </c>
      <c r="F248">
        <v>8</v>
      </c>
      <c r="G248">
        <v>4.8</v>
      </c>
      <c r="H248">
        <v>1.6666666000000001</v>
      </c>
      <c r="I248">
        <v>-0.6666666</v>
      </c>
      <c r="J248">
        <v>0.375</v>
      </c>
    </row>
    <row r="249" spans="1:10" x14ac:dyDescent="0.3">
      <c r="A249">
        <v>247</v>
      </c>
      <c r="B249">
        <v>3938</v>
      </c>
      <c r="C249" t="b">
        <v>1</v>
      </c>
      <c r="D249">
        <v>8054</v>
      </c>
      <c r="E249">
        <v>8123</v>
      </c>
      <c r="F249">
        <v>8.4</v>
      </c>
      <c r="G249">
        <v>4.8</v>
      </c>
      <c r="H249">
        <v>1.7499998999999999</v>
      </c>
      <c r="I249">
        <v>-0.74999990000000005</v>
      </c>
      <c r="J249">
        <v>0.36363636999999999</v>
      </c>
    </row>
    <row r="250" spans="1:10" x14ac:dyDescent="0.3">
      <c r="A250">
        <v>248</v>
      </c>
      <c r="B250">
        <v>3954</v>
      </c>
      <c r="C250" t="b">
        <v>1</v>
      </c>
      <c r="D250">
        <v>8054</v>
      </c>
      <c r="E250">
        <v>8123</v>
      </c>
      <c r="F250">
        <v>8.8000000000000007</v>
      </c>
      <c r="G250">
        <v>4.8</v>
      </c>
      <c r="H250">
        <v>1.8333333000000001</v>
      </c>
      <c r="I250">
        <v>-0.83333330000000005</v>
      </c>
      <c r="J250">
        <v>0.35294120000000001</v>
      </c>
    </row>
    <row r="251" spans="1:10" x14ac:dyDescent="0.3">
      <c r="A251">
        <v>249</v>
      </c>
      <c r="B251">
        <v>3969</v>
      </c>
      <c r="C251" t="b">
        <v>1</v>
      </c>
      <c r="D251">
        <v>8048</v>
      </c>
      <c r="E251">
        <v>8123</v>
      </c>
      <c r="F251">
        <v>9.1999999999999993</v>
      </c>
      <c r="G251">
        <v>4.8</v>
      </c>
      <c r="H251">
        <v>1.9166665000000001</v>
      </c>
      <c r="I251">
        <v>-0.91666656999999996</v>
      </c>
      <c r="J251">
        <v>0.34285715</v>
      </c>
    </row>
    <row r="252" spans="1:10" x14ac:dyDescent="0.3">
      <c r="A252">
        <v>250</v>
      </c>
      <c r="B252">
        <v>3985</v>
      </c>
      <c r="C252" t="b">
        <v>1</v>
      </c>
      <c r="D252">
        <v>8048</v>
      </c>
      <c r="E252">
        <v>8123</v>
      </c>
      <c r="F252">
        <v>9.6</v>
      </c>
      <c r="G252">
        <v>4.8</v>
      </c>
      <c r="H252">
        <v>2</v>
      </c>
      <c r="I252">
        <v>-1</v>
      </c>
      <c r="J252">
        <v>0.33333333999999998</v>
      </c>
    </row>
    <row r="253" spans="1:10" x14ac:dyDescent="0.3">
      <c r="A253">
        <v>251</v>
      </c>
      <c r="B253">
        <v>4001</v>
      </c>
      <c r="C253" t="b">
        <v>1</v>
      </c>
      <c r="D253">
        <v>8054</v>
      </c>
      <c r="E253">
        <v>8123</v>
      </c>
      <c r="F253">
        <v>10</v>
      </c>
      <c r="G253">
        <v>4.8</v>
      </c>
      <c r="H253">
        <v>2.0833333000000001</v>
      </c>
      <c r="I253">
        <v>-1.0833333000000001</v>
      </c>
      <c r="J253">
        <v>0.32432433999999999</v>
      </c>
    </row>
    <row r="254" spans="1:10" x14ac:dyDescent="0.3">
      <c r="A254">
        <v>252</v>
      </c>
      <c r="B254">
        <v>4017</v>
      </c>
      <c r="C254" t="b">
        <v>1</v>
      </c>
      <c r="D254">
        <v>8048</v>
      </c>
      <c r="E254">
        <v>8117</v>
      </c>
      <c r="F254">
        <v>10</v>
      </c>
      <c r="G254">
        <v>5.2</v>
      </c>
      <c r="H254">
        <v>1.9230769999999999</v>
      </c>
      <c r="I254">
        <v>-0.92307700000000004</v>
      </c>
      <c r="J254">
        <v>0.34210527000000002</v>
      </c>
    </row>
    <row r="255" spans="1:10" x14ac:dyDescent="0.3">
      <c r="A255">
        <v>253</v>
      </c>
      <c r="B255">
        <v>4033</v>
      </c>
      <c r="C255" t="b">
        <v>1</v>
      </c>
      <c r="D255">
        <v>8048</v>
      </c>
      <c r="E255">
        <v>8123</v>
      </c>
      <c r="F255">
        <v>10</v>
      </c>
      <c r="G255">
        <v>5.6</v>
      </c>
      <c r="H255">
        <v>1.7857143</v>
      </c>
      <c r="I255">
        <v>-0.78571429999999998</v>
      </c>
      <c r="J255">
        <v>0.35897434</v>
      </c>
    </row>
    <row r="256" spans="1:10" x14ac:dyDescent="0.3">
      <c r="A256">
        <v>254</v>
      </c>
      <c r="B256">
        <v>4049</v>
      </c>
      <c r="C256" t="b">
        <v>1</v>
      </c>
      <c r="D256">
        <v>8048</v>
      </c>
      <c r="E256">
        <v>8123</v>
      </c>
      <c r="F256">
        <v>9.6</v>
      </c>
      <c r="G256">
        <v>6</v>
      </c>
      <c r="H256">
        <v>1.6</v>
      </c>
      <c r="I256">
        <v>-0.60000010000000004</v>
      </c>
      <c r="J256">
        <v>0.38461536000000002</v>
      </c>
    </row>
    <row r="257" spans="1:10" x14ac:dyDescent="0.3">
      <c r="A257">
        <v>255</v>
      </c>
      <c r="B257">
        <v>4064</v>
      </c>
      <c r="C257" t="b">
        <v>1</v>
      </c>
      <c r="D257">
        <v>8054</v>
      </c>
      <c r="E257">
        <v>8129</v>
      </c>
      <c r="F257">
        <v>9.6</v>
      </c>
      <c r="G257">
        <v>6.4</v>
      </c>
      <c r="H257">
        <v>1.5</v>
      </c>
      <c r="I257">
        <v>-0.50000005999999997</v>
      </c>
      <c r="J257">
        <v>0.4</v>
      </c>
    </row>
    <row r="258" spans="1:10" x14ac:dyDescent="0.3">
      <c r="A258">
        <v>256</v>
      </c>
      <c r="B258">
        <v>4080</v>
      </c>
      <c r="C258" t="b">
        <v>1</v>
      </c>
      <c r="D258">
        <v>8048</v>
      </c>
      <c r="E258">
        <v>8129</v>
      </c>
      <c r="F258">
        <v>9.6</v>
      </c>
      <c r="G258">
        <v>6.8</v>
      </c>
      <c r="H258">
        <v>1.4117647</v>
      </c>
      <c r="I258">
        <v>-0.41176469999999998</v>
      </c>
      <c r="J258">
        <v>0.41463410000000001</v>
      </c>
    </row>
    <row r="259" spans="1:10" x14ac:dyDescent="0.3">
      <c r="A259">
        <v>257</v>
      </c>
      <c r="B259">
        <v>4096</v>
      </c>
      <c r="C259" t="b">
        <v>1</v>
      </c>
      <c r="D259">
        <v>8048</v>
      </c>
      <c r="E259">
        <v>8123</v>
      </c>
      <c r="F259">
        <v>9.6</v>
      </c>
      <c r="G259">
        <v>7.2</v>
      </c>
      <c r="H259">
        <v>1.3333333999999999</v>
      </c>
      <c r="I259">
        <v>-0.33333342999999999</v>
      </c>
      <c r="J259">
        <v>0.42857142999999998</v>
      </c>
    </row>
    <row r="260" spans="1:10" x14ac:dyDescent="0.3">
      <c r="A260">
        <v>258</v>
      </c>
      <c r="B260">
        <v>4112</v>
      </c>
      <c r="C260" t="b">
        <v>1</v>
      </c>
      <c r="D260">
        <v>8048</v>
      </c>
      <c r="E260">
        <v>8129</v>
      </c>
      <c r="F260">
        <v>9.6</v>
      </c>
      <c r="G260">
        <v>8</v>
      </c>
      <c r="H260">
        <v>1.2</v>
      </c>
      <c r="I260">
        <v>-0.20000005000000001</v>
      </c>
      <c r="J260">
        <v>0.45454544000000002</v>
      </c>
    </row>
    <row r="261" spans="1:10" x14ac:dyDescent="0.3">
      <c r="A261">
        <v>259</v>
      </c>
      <c r="B261">
        <v>4128</v>
      </c>
      <c r="C261" t="b">
        <v>1</v>
      </c>
      <c r="D261">
        <v>8042</v>
      </c>
      <c r="E261">
        <v>8123</v>
      </c>
      <c r="F261">
        <v>9.6</v>
      </c>
      <c r="G261">
        <v>8.8000000000000007</v>
      </c>
      <c r="H261">
        <v>1.0909091</v>
      </c>
      <c r="I261">
        <v>-9.0909110000000001E-2</v>
      </c>
      <c r="J261">
        <v>0.47826084000000002</v>
      </c>
    </row>
    <row r="262" spans="1:10" x14ac:dyDescent="0.3">
      <c r="A262">
        <v>260</v>
      </c>
      <c r="B262">
        <v>4144</v>
      </c>
      <c r="C262" t="b">
        <v>1</v>
      </c>
      <c r="D262">
        <v>8042</v>
      </c>
      <c r="E262">
        <v>8123</v>
      </c>
      <c r="F262">
        <v>9.6</v>
      </c>
      <c r="G262">
        <v>8.8000000000000007</v>
      </c>
      <c r="H262">
        <v>1.0909091</v>
      </c>
      <c r="I262">
        <v>-9.0909110000000001E-2</v>
      </c>
      <c r="J262">
        <v>0.47826084000000002</v>
      </c>
    </row>
    <row r="263" spans="1:10" x14ac:dyDescent="0.3">
      <c r="A263">
        <v>261</v>
      </c>
      <c r="B263">
        <v>4160</v>
      </c>
      <c r="C263" t="b">
        <v>1</v>
      </c>
      <c r="D263">
        <v>8042</v>
      </c>
      <c r="E263">
        <v>8117</v>
      </c>
      <c r="F263">
        <v>9.1999999999999993</v>
      </c>
      <c r="G263">
        <v>8.8000000000000007</v>
      </c>
      <c r="H263">
        <v>1.0454545</v>
      </c>
      <c r="I263">
        <v>-4.5454502000000001E-2</v>
      </c>
      <c r="J263">
        <v>0.48888890000000002</v>
      </c>
    </row>
    <row r="264" spans="1:10" x14ac:dyDescent="0.3">
      <c r="A264">
        <v>262</v>
      </c>
      <c r="B264">
        <v>4175</v>
      </c>
      <c r="C264" t="b">
        <v>1</v>
      </c>
      <c r="D264">
        <v>8048</v>
      </c>
      <c r="E264">
        <v>8123</v>
      </c>
      <c r="F264">
        <v>8.8000000000000007</v>
      </c>
      <c r="G264">
        <v>8.8000000000000007</v>
      </c>
      <c r="H264">
        <v>1</v>
      </c>
      <c r="I264">
        <v>0</v>
      </c>
      <c r="J264">
        <v>0.5</v>
      </c>
    </row>
    <row r="265" spans="1:10" x14ac:dyDescent="0.3">
      <c r="A265">
        <v>263</v>
      </c>
      <c r="B265">
        <v>4191</v>
      </c>
      <c r="C265" t="b">
        <v>1</v>
      </c>
      <c r="D265">
        <v>8054</v>
      </c>
      <c r="E265">
        <v>8123</v>
      </c>
      <c r="F265">
        <v>8</v>
      </c>
      <c r="G265">
        <v>8.8000000000000007</v>
      </c>
      <c r="H265">
        <v>0.90909090000000004</v>
      </c>
      <c r="I265">
        <v>9.0909110000000001E-2</v>
      </c>
      <c r="J265">
        <v>0.52380954999999996</v>
      </c>
    </row>
    <row r="266" spans="1:10" x14ac:dyDescent="0.3">
      <c r="A266">
        <v>264</v>
      </c>
      <c r="B266">
        <v>4207</v>
      </c>
      <c r="C266" t="b">
        <v>1</v>
      </c>
      <c r="D266">
        <v>8054</v>
      </c>
      <c r="E266">
        <v>8123</v>
      </c>
      <c r="F266">
        <v>7.6</v>
      </c>
      <c r="G266">
        <v>8.8000000000000007</v>
      </c>
      <c r="H266">
        <v>0.86363630000000002</v>
      </c>
      <c r="I266">
        <v>0.13636366999999999</v>
      </c>
      <c r="J266">
        <v>0.53658539999999999</v>
      </c>
    </row>
    <row r="267" spans="1:10" x14ac:dyDescent="0.3">
      <c r="A267">
        <v>265</v>
      </c>
      <c r="B267">
        <v>4223</v>
      </c>
      <c r="C267" t="b">
        <v>1</v>
      </c>
      <c r="D267">
        <v>8048</v>
      </c>
      <c r="E267">
        <v>8117</v>
      </c>
      <c r="F267">
        <v>7.2</v>
      </c>
      <c r="G267">
        <v>8.8000000000000007</v>
      </c>
      <c r="H267">
        <v>0.81818175000000004</v>
      </c>
      <c r="I267">
        <v>0.18181822</v>
      </c>
      <c r="J267">
        <v>0.55000000000000004</v>
      </c>
    </row>
    <row r="268" spans="1:10" x14ac:dyDescent="0.3">
      <c r="A268">
        <v>266</v>
      </c>
      <c r="B268">
        <v>4239</v>
      </c>
      <c r="C268" t="b">
        <v>1</v>
      </c>
      <c r="D268">
        <v>8048</v>
      </c>
      <c r="E268">
        <v>8123</v>
      </c>
      <c r="F268">
        <v>6.8</v>
      </c>
      <c r="G268">
        <v>8.8000000000000007</v>
      </c>
      <c r="H268">
        <v>0.77272724999999998</v>
      </c>
      <c r="I268">
        <v>0.22727272000000001</v>
      </c>
      <c r="J268">
        <v>0.56410260000000001</v>
      </c>
    </row>
    <row r="269" spans="1:10" x14ac:dyDescent="0.3">
      <c r="A269">
        <v>267</v>
      </c>
      <c r="B269">
        <v>4254</v>
      </c>
      <c r="C269" t="b">
        <v>1</v>
      </c>
      <c r="D269">
        <v>8048</v>
      </c>
      <c r="E269">
        <v>8123</v>
      </c>
      <c r="F269">
        <v>6.8</v>
      </c>
      <c r="G269">
        <v>8.8000000000000007</v>
      </c>
      <c r="H269">
        <v>0.77272724999999998</v>
      </c>
      <c r="I269">
        <v>0.22727272000000001</v>
      </c>
      <c r="J269">
        <v>0.56410260000000001</v>
      </c>
    </row>
    <row r="270" spans="1:10" x14ac:dyDescent="0.3">
      <c r="A270">
        <v>268</v>
      </c>
      <c r="B270">
        <v>4270</v>
      </c>
      <c r="C270" t="b">
        <v>1</v>
      </c>
      <c r="D270">
        <v>8048</v>
      </c>
      <c r="E270">
        <v>8123</v>
      </c>
      <c r="F270">
        <v>6.8</v>
      </c>
      <c r="G270">
        <v>8.8000000000000007</v>
      </c>
      <c r="H270">
        <v>0.77272724999999998</v>
      </c>
      <c r="I270">
        <v>0.22727272000000001</v>
      </c>
      <c r="J270">
        <v>0.56410260000000001</v>
      </c>
    </row>
    <row r="271" spans="1:10" x14ac:dyDescent="0.3">
      <c r="A271">
        <v>269</v>
      </c>
      <c r="B271">
        <v>4286</v>
      </c>
      <c r="C271" t="b">
        <v>1</v>
      </c>
      <c r="D271">
        <v>8054</v>
      </c>
      <c r="E271">
        <v>8123</v>
      </c>
      <c r="F271">
        <v>6.8</v>
      </c>
      <c r="G271">
        <v>8.8000000000000007</v>
      </c>
      <c r="H271">
        <v>0.77272724999999998</v>
      </c>
      <c r="I271">
        <v>0.22727272000000001</v>
      </c>
      <c r="J271">
        <v>0.56410260000000001</v>
      </c>
    </row>
    <row r="272" spans="1:10" x14ac:dyDescent="0.3">
      <c r="A272">
        <v>270</v>
      </c>
      <c r="B272">
        <v>4302</v>
      </c>
      <c r="C272" t="b">
        <v>1</v>
      </c>
      <c r="D272">
        <v>8048</v>
      </c>
      <c r="E272">
        <v>8117</v>
      </c>
      <c r="F272">
        <v>6.8</v>
      </c>
      <c r="G272">
        <v>8.8000000000000007</v>
      </c>
      <c r="H272">
        <v>0.77272724999999998</v>
      </c>
      <c r="I272">
        <v>0.22727272000000001</v>
      </c>
      <c r="J272">
        <v>0.56410260000000001</v>
      </c>
    </row>
    <row r="273" spans="1:10" x14ac:dyDescent="0.3">
      <c r="A273">
        <v>271</v>
      </c>
      <c r="B273">
        <v>4318</v>
      </c>
      <c r="C273" t="b">
        <v>1</v>
      </c>
      <c r="D273">
        <v>8054</v>
      </c>
      <c r="E273">
        <v>8123</v>
      </c>
      <c r="F273">
        <v>6.8</v>
      </c>
      <c r="G273">
        <v>8.8000000000000007</v>
      </c>
      <c r="H273">
        <v>0.77272724999999998</v>
      </c>
      <c r="I273">
        <v>0.22727272000000001</v>
      </c>
      <c r="J273">
        <v>0.56410260000000001</v>
      </c>
    </row>
    <row r="274" spans="1:10" x14ac:dyDescent="0.3">
      <c r="A274">
        <v>272</v>
      </c>
      <c r="B274">
        <v>4334</v>
      </c>
      <c r="C274" t="b">
        <v>1</v>
      </c>
      <c r="D274">
        <v>8054</v>
      </c>
      <c r="E274">
        <v>8123</v>
      </c>
      <c r="F274">
        <v>7.2</v>
      </c>
      <c r="G274">
        <v>8.8000000000000007</v>
      </c>
      <c r="H274">
        <v>0.81818175000000004</v>
      </c>
      <c r="I274">
        <v>0.18181822</v>
      </c>
      <c r="J274">
        <v>0.55000000000000004</v>
      </c>
    </row>
    <row r="275" spans="1:10" x14ac:dyDescent="0.3">
      <c r="A275">
        <v>273</v>
      </c>
      <c r="B275">
        <v>4350</v>
      </c>
      <c r="C275" t="b">
        <v>1</v>
      </c>
      <c r="D275">
        <v>8048</v>
      </c>
      <c r="E275">
        <v>8123</v>
      </c>
      <c r="F275">
        <v>7.6</v>
      </c>
      <c r="G275">
        <v>8.4</v>
      </c>
      <c r="H275">
        <v>0.90476190000000001</v>
      </c>
      <c r="I275">
        <v>9.5238069999999994E-2</v>
      </c>
      <c r="J275">
        <v>0.52500000000000002</v>
      </c>
    </row>
    <row r="276" spans="1:10" x14ac:dyDescent="0.3">
      <c r="A276">
        <v>274</v>
      </c>
      <c r="B276">
        <v>4365</v>
      </c>
      <c r="C276" t="b">
        <v>1</v>
      </c>
      <c r="D276">
        <v>8048</v>
      </c>
      <c r="E276">
        <v>8117</v>
      </c>
      <c r="F276">
        <v>7.6</v>
      </c>
      <c r="G276">
        <v>8</v>
      </c>
      <c r="H276">
        <v>0.95</v>
      </c>
      <c r="I276">
        <v>5.0000012000000003E-2</v>
      </c>
      <c r="J276">
        <v>0.51282050000000001</v>
      </c>
    </row>
    <row r="277" spans="1:10" x14ac:dyDescent="0.3">
      <c r="A277">
        <v>275</v>
      </c>
      <c r="B277">
        <v>4381</v>
      </c>
      <c r="C277" t="b">
        <v>1</v>
      </c>
      <c r="D277">
        <v>8054</v>
      </c>
      <c r="E277">
        <v>8123</v>
      </c>
      <c r="F277">
        <v>8</v>
      </c>
      <c r="G277">
        <v>8</v>
      </c>
      <c r="H277">
        <v>1</v>
      </c>
      <c r="I277">
        <v>0</v>
      </c>
      <c r="J277">
        <v>0.5</v>
      </c>
    </row>
    <row r="278" spans="1:10" x14ac:dyDescent="0.3">
      <c r="A278">
        <v>276</v>
      </c>
      <c r="B278">
        <v>4401</v>
      </c>
      <c r="C278" t="b">
        <v>1</v>
      </c>
      <c r="D278">
        <v>8048</v>
      </c>
      <c r="E278">
        <v>8123</v>
      </c>
      <c r="F278">
        <v>8.4</v>
      </c>
      <c r="G278">
        <v>8</v>
      </c>
      <c r="H278">
        <v>1.05</v>
      </c>
      <c r="I278">
        <v>-4.9999952E-2</v>
      </c>
      <c r="J278">
        <v>0.48780489999999999</v>
      </c>
    </row>
    <row r="279" spans="1:10" x14ac:dyDescent="0.3">
      <c r="A279">
        <v>277</v>
      </c>
      <c r="B279">
        <v>4417</v>
      </c>
      <c r="C279" t="b">
        <v>1</v>
      </c>
      <c r="D279">
        <v>8042</v>
      </c>
      <c r="E279">
        <v>8123</v>
      </c>
      <c r="F279">
        <v>8.8000000000000007</v>
      </c>
      <c r="G279">
        <v>8</v>
      </c>
      <c r="H279">
        <v>1.1000000000000001</v>
      </c>
      <c r="I279">
        <v>-0.10000002400000001</v>
      </c>
      <c r="J279">
        <v>0.47619050000000002</v>
      </c>
    </row>
    <row r="280" spans="1:10" x14ac:dyDescent="0.3">
      <c r="A280">
        <v>278</v>
      </c>
      <c r="B280">
        <v>4433</v>
      </c>
      <c r="C280" t="b">
        <v>1</v>
      </c>
      <c r="D280">
        <v>8048</v>
      </c>
      <c r="E280">
        <v>8123</v>
      </c>
      <c r="F280">
        <v>9.1999999999999993</v>
      </c>
      <c r="G280">
        <v>8</v>
      </c>
      <c r="H280">
        <v>1.1499999999999999</v>
      </c>
      <c r="I280">
        <v>-0.14999998</v>
      </c>
      <c r="J280">
        <v>0.46511626</v>
      </c>
    </row>
    <row r="281" spans="1:10" x14ac:dyDescent="0.3">
      <c r="A281">
        <v>279</v>
      </c>
      <c r="B281">
        <v>4449</v>
      </c>
      <c r="C281" t="b">
        <v>1</v>
      </c>
      <c r="D281">
        <v>8048</v>
      </c>
      <c r="E281">
        <v>8134</v>
      </c>
      <c r="F281">
        <v>9.1999999999999993</v>
      </c>
      <c r="G281">
        <v>8</v>
      </c>
      <c r="H281">
        <v>1.1499999999999999</v>
      </c>
      <c r="I281">
        <v>-0.14999998</v>
      </c>
      <c r="J281">
        <v>0.46511626</v>
      </c>
    </row>
    <row r="282" spans="1:10" x14ac:dyDescent="0.3">
      <c r="A282">
        <v>280</v>
      </c>
      <c r="B282">
        <v>4465</v>
      </c>
      <c r="C282" t="b">
        <v>1</v>
      </c>
      <c r="D282">
        <v>8048</v>
      </c>
      <c r="E282">
        <v>8129</v>
      </c>
      <c r="F282">
        <v>9.1999999999999993</v>
      </c>
      <c r="G282">
        <v>8</v>
      </c>
      <c r="H282">
        <v>1.1499999999999999</v>
      </c>
      <c r="I282">
        <v>-0.14999998</v>
      </c>
      <c r="J282">
        <v>0.46511626</v>
      </c>
    </row>
    <row r="283" spans="1:10" x14ac:dyDescent="0.3">
      <c r="A283">
        <v>281</v>
      </c>
      <c r="B283">
        <v>4481</v>
      </c>
      <c r="C283" t="b">
        <v>1</v>
      </c>
      <c r="D283">
        <v>8048</v>
      </c>
      <c r="E283">
        <v>8129</v>
      </c>
      <c r="F283">
        <v>9.1999999999999993</v>
      </c>
      <c r="G283">
        <v>8.4</v>
      </c>
      <c r="H283">
        <v>1.0952381</v>
      </c>
      <c r="I283">
        <v>-9.5238119999999996E-2</v>
      </c>
      <c r="J283">
        <v>0.47727275000000002</v>
      </c>
    </row>
    <row r="284" spans="1:10" x14ac:dyDescent="0.3">
      <c r="A284">
        <v>282</v>
      </c>
      <c r="B284">
        <v>4497</v>
      </c>
      <c r="C284" t="b">
        <v>1</v>
      </c>
      <c r="D284">
        <v>8048</v>
      </c>
      <c r="E284">
        <v>8123</v>
      </c>
      <c r="F284">
        <v>9.1999999999999993</v>
      </c>
      <c r="G284">
        <v>8.8000000000000007</v>
      </c>
      <c r="H284">
        <v>1.0454545</v>
      </c>
      <c r="I284">
        <v>-4.5454502000000001E-2</v>
      </c>
      <c r="J284">
        <v>0.48888890000000002</v>
      </c>
    </row>
    <row r="285" spans="1:10" x14ac:dyDescent="0.3">
      <c r="A285">
        <v>283</v>
      </c>
      <c r="B285">
        <v>4513</v>
      </c>
      <c r="C285" t="b">
        <v>1</v>
      </c>
      <c r="D285">
        <v>8048</v>
      </c>
      <c r="E285">
        <v>8123</v>
      </c>
      <c r="F285">
        <v>9.1999999999999993</v>
      </c>
      <c r="G285">
        <v>9.1999999999999993</v>
      </c>
      <c r="H285">
        <v>1</v>
      </c>
      <c r="I285">
        <v>0</v>
      </c>
      <c r="J285">
        <v>0.5</v>
      </c>
    </row>
    <row r="286" spans="1:10" x14ac:dyDescent="0.3">
      <c r="A286">
        <v>284</v>
      </c>
      <c r="B286">
        <v>4529</v>
      </c>
      <c r="C286" t="b">
        <v>1</v>
      </c>
      <c r="D286">
        <v>8048</v>
      </c>
      <c r="E286">
        <v>8129</v>
      </c>
      <c r="F286">
        <v>9.1999999999999993</v>
      </c>
      <c r="G286">
        <v>9.6</v>
      </c>
      <c r="H286">
        <v>0.95833325000000003</v>
      </c>
      <c r="I286">
        <v>4.1666724000000002E-2</v>
      </c>
      <c r="J286">
        <v>0.51063835999999996</v>
      </c>
    </row>
    <row r="287" spans="1:10" x14ac:dyDescent="0.3">
      <c r="A287">
        <v>285</v>
      </c>
      <c r="B287">
        <v>4544</v>
      </c>
      <c r="C287" t="b">
        <v>1</v>
      </c>
      <c r="D287">
        <v>8054</v>
      </c>
      <c r="E287">
        <v>8123</v>
      </c>
      <c r="F287">
        <v>9.1999999999999993</v>
      </c>
      <c r="G287">
        <v>9.6</v>
      </c>
      <c r="H287">
        <v>0.95833325000000003</v>
      </c>
      <c r="I287">
        <v>4.1666724000000002E-2</v>
      </c>
      <c r="J287">
        <v>0.51063835999999996</v>
      </c>
    </row>
    <row r="288" spans="1:10" x14ac:dyDescent="0.3">
      <c r="A288">
        <v>286</v>
      </c>
      <c r="B288">
        <v>4560</v>
      </c>
      <c r="C288" t="b">
        <v>1</v>
      </c>
      <c r="D288">
        <v>8054</v>
      </c>
      <c r="E288">
        <v>8117</v>
      </c>
      <c r="F288">
        <v>9.1999999999999993</v>
      </c>
      <c r="G288">
        <v>9.6</v>
      </c>
      <c r="H288">
        <v>0.95833325000000003</v>
      </c>
      <c r="I288">
        <v>4.1666724000000002E-2</v>
      </c>
      <c r="J288">
        <v>0.51063835999999996</v>
      </c>
    </row>
    <row r="289" spans="1:10" x14ac:dyDescent="0.3">
      <c r="A289">
        <v>287</v>
      </c>
      <c r="B289">
        <v>4576</v>
      </c>
      <c r="C289" t="b">
        <v>1</v>
      </c>
      <c r="D289">
        <v>8048</v>
      </c>
      <c r="E289">
        <v>8123</v>
      </c>
      <c r="F289">
        <v>8.8000000000000007</v>
      </c>
      <c r="G289">
        <v>9.6</v>
      </c>
      <c r="H289">
        <v>0.9166666</v>
      </c>
      <c r="I289">
        <v>8.333335E-2</v>
      </c>
      <c r="J289">
        <v>0.52173910000000001</v>
      </c>
    </row>
    <row r="290" spans="1:10" x14ac:dyDescent="0.3">
      <c r="A290">
        <v>288</v>
      </c>
      <c r="B290">
        <v>4592</v>
      </c>
      <c r="C290" t="b">
        <v>1</v>
      </c>
      <c r="D290">
        <v>8054</v>
      </c>
      <c r="E290">
        <v>8123</v>
      </c>
      <c r="F290">
        <v>8.8000000000000007</v>
      </c>
      <c r="G290">
        <v>9.6</v>
      </c>
      <c r="H290">
        <v>0.9166666</v>
      </c>
      <c r="I290">
        <v>8.333335E-2</v>
      </c>
      <c r="J290">
        <v>0.52173910000000001</v>
      </c>
    </row>
    <row r="291" spans="1:10" x14ac:dyDescent="0.3">
      <c r="A291">
        <v>289</v>
      </c>
      <c r="B291">
        <v>4608</v>
      </c>
      <c r="C291" t="b">
        <v>1</v>
      </c>
      <c r="D291">
        <v>8048</v>
      </c>
      <c r="E291">
        <v>8123</v>
      </c>
      <c r="F291">
        <v>9.1999999999999993</v>
      </c>
      <c r="G291">
        <v>9.6</v>
      </c>
      <c r="H291">
        <v>0.95833325000000003</v>
      </c>
      <c r="I291">
        <v>4.1666724000000002E-2</v>
      </c>
      <c r="J291">
        <v>0.51063835999999996</v>
      </c>
    </row>
    <row r="292" spans="1:10" x14ac:dyDescent="0.3">
      <c r="A292">
        <v>290</v>
      </c>
      <c r="B292">
        <v>4624</v>
      </c>
      <c r="C292" t="b">
        <v>1</v>
      </c>
      <c r="D292">
        <v>8048</v>
      </c>
      <c r="E292">
        <v>8117</v>
      </c>
      <c r="F292">
        <v>8.8000000000000007</v>
      </c>
      <c r="G292">
        <v>9.6</v>
      </c>
      <c r="H292">
        <v>0.9166666</v>
      </c>
      <c r="I292">
        <v>8.333335E-2</v>
      </c>
      <c r="J292">
        <v>0.52173910000000001</v>
      </c>
    </row>
    <row r="293" spans="1:10" x14ac:dyDescent="0.3">
      <c r="A293">
        <v>291</v>
      </c>
      <c r="B293">
        <v>4640</v>
      </c>
      <c r="C293" t="b">
        <v>1</v>
      </c>
      <c r="D293">
        <v>8054</v>
      </c>
      <c r="E293">
        <v>8123</v>
      </c>
      <c r="F293">
        <v>8.8000000000000007</v>
      </c>
      <c r="G293">
        <v>9.6</v>
      </c>
      <c r="H293">
        <v>0.9166666</v>
      </c>
      <c r="I293">
        <v>8.333335E-2</v>
      </c>
      <c r="J293">
        <v>0.52173910000000001</v>
      </c>
    </row>
    <row r="294" spans="1:10" x14ac:dyDescent="0.3">
      <c r="A294">
        <v>292</v>
      </c>
      <c r="B294">
        <v>4656</v>
      </c>
      <c r="C294" t="b">
        <v>1</v>
      </c>
      <c r="D294">
        <v>8054</v>
      </c>
      <c r="E294">
        <v>8123</v>
      </c>
      <c r="F294">
        <v>9.1999999999999993</v>
      </c>
      <c r="G294">
        <v>9.6</v>
      </c>
      <c r="H294">
        <v>0.95833325000000003</v>
      </c>
      <c r="I294">
        <v>4.1666724000000002E-2</v>
      </c>
      <c r="J294">
        <v>0.51063835999999996</v>
      </c>
    </row>
    <row r="295" spans="1:10" x14ac:dyDescent="0.3">
      <c r="A295">
        <v>293</v>
      </c>
      <c r="B295">
        <v>4672</v>
      </c>
      <c r="C295" t="b">
        <v>1</v>
      </c>
      <c r="D295">
        <v>8048</v>
      </c>
      <c r="E295">
        <v>8123</v>
      </c>
      <c r="F295">
        <v>9.1999999999999993</v>
      </c>
      <c r="G295">
        <v>9.6</v>
      </c>
      <c r="H295">
        <v>0.95833325000000003</v>
      </c>
      <c r="I295">
        <v>4.1666724000000002E-2</v>
      </c>
      <c r="J295">
        <v>0.51063835999999996</v>
      </c>
    </row>
    <row r="296" spans="1:10" x14ac:dyDescent="0.3">
      <c r="A296">
        <v>294</v>
      </c>
      <c r="B296">
        <v>4688</v>
      </c>
      <c r="C296" t="b">
        <v>1</v>
      </c>
      <c r="D296">
        <v>8048</v>
      </c>
      <c r="E296">
        <v>8123</v>
      </c>
      <c r="F296">
        <v>9.1999999999999993</v>
      </c>
      <c r="G296">
        <v>9.6</v>
      </c>
      <c r="H296">
        <v>0.95833325000000003</v>
      </c>
      <c r="I296">
        <v>4.1666724000000002E-2</v>
      </c>
      <c r="J296">
        <v>0.51063835999999996</v>
      </c>
    </row>
    <row r="297" spans="1:10" x14ac:dyDescent="0.3">
      <c r="A297">
        <v>295</v>
      </c>
      <c r="B297">
        <v>4704</v>
      </c>
      <c r="C297" t="b">
        <v>1</v>
      </c>
      <c r="D297">
        <v>8054</v>
      </c>
      <c r="E297">
        <v>8123</v>
      </c>
      <c r="F297">
        <v>9.6</v>
      </c>
      <c r="G297">
        <v>9.6</v>
      </c>
      <c r="H297">
        <v>1</v>
      </c>
      <c r="I297">
        <v>0</v>
      </c>
      <c r="J297">
        <v>0.5</v>
      </c>
    </row>
    <row r="298" spans="1:10" x14ac:dyDescent="0.3">
      <c r="A298">
        <v>296</v>
      </c>
      <c r="B298">
        <v>4720</v>
      </c>
      <c r="C298" t="b">
        <v>1</v>
      </c>
      <c r="D298">
        <v>8048</v>
      </c>
      <c r="E298">
        <v>8123</v>
      </c>
      <c r="F298">
        <v>9.6</v>
      </c>
      <c r="G298">
        <v>9.1999999999999993</v>
      </c>
      <c r="H298">
        <v>1.0434783999999999</v>
      </c>
      <c r="I298">
        <v>-4.3478324999999998E-2</v>
      </c>
      <c r="J298">
        <v>0.48936170000000001</v>
      </c>
    </row>
    <row r="299" spans="1:10" x14ac:dyDescent="0.3">
      <c r="A299">
        <v>297</v>
      </c>
      <c r="B299">
        <v>4735</v>
      </c>
      <c r="C299" t="b">
        <v>1</v>
      </c>
      <c r="D299">
        <v>8048</v>
      </c>
      <c r="E299">
        <v>8123</v>
      </c>
      <c r="F299">
        <v>9.6</v>
      </c>
      <c r="G299">
        <v>8.8000000000000007</v>
      </c>
      <c r="H299">
        <v>1.0909091</v>
      </c>
      <c r="I299">
        <v>-9.0909110000000001E-2</v>
      </c>
      <c r="J299">
        <v>0.47826084000000002</v>
      </c>
    </row>
    <row r="300" spans="1:10" x14ac:dyDescent="0.3">
      <c r="A300">
        <v>298</v>
      </c>
      <c r="B300">
        <v>4752</v>
      </c>
      <c r="C300" t="b">
        <v>1</v>
      </c>
      <c r="D300">
        <v>8054</v>
      </c>
      <c r="E300">
        <v>8123</v>
      </c>
      <c r="F300">
        <v>9.6</v>
      </c>
      <c r="G300">
        <v>8.4</v>
      </c>
      <c r="H300">
        <v>1.1428571999999999</v>
      </c>
      <c r="I300">
        <v>-0.14285724</v>
      </c>
      <c r="J300">
        <v>0.46666664000000002</v>
      </c>
    </row>
    <row r="301" spans="1:10" x14ac:dyDescent="0.3">
      <c r="A301">
        <v>299</v>
      </c>
      <c r="B301">
        <v>4767</v>
      </c>
      <c r="C301" t="b">
        <v>1</v>
      </c>
      <c r="D301">
        <v>8048</v>
      </c>
      <c r="E301">
        <v>8123</v>
      </c>
      <c r="F301">
        <v>9.6</v>
      </c>
      <c r="G301">
        <v>8</v>
      </c>
      <c r="H301">
        <v>1.2</v>
      </c>
      <c r="I301">
        <v>-0.20000005000000001</v>
      </c>
      <c r="J301">
        <v>0.45454544000000002</v>
      </c>
    </row>
    <row r="302" spans="1:10" x14ac:dyDescent="0.3">
      <c r="A302">
        <v>300</v>
      </c>
      <c r="B302">
        <v>4783</v>
      </c>
      <c r="C302" t="b">
        <v>1</v>
      </c>
      <c r="D302">
        <v>8042</v>
      </c>
      <c r="E302">
        <v>8123</v>
      </c>
      <c r="F302">
        <v>9.6</v>
      </c>
      <c r="G302">
        <v>8</v>
      </c>
      <c r="H302">
        <v>1.2</v>
      </c>
      <c r="I302">
        <v>-0.20000005000000001</v>
      </c>
      <c r="J302">
        <v>0.45454544000000002</v>
      </c>
    </row>
    <row r="303" spans="1:10" x14ac:dyDescent="0.3">
      <c r="A303">
        <v>301</v>
      </c>
      <c r="B303">
        <v>4799</v>
      </c>
      <c r="C303" t="b">
        <v>1</v>
      </c>
      <c r="D303">
        <v>8048</v>
      </c>
      <c r="E303">
        <v>8123</v>
      </c>
      <c r="F303">
        <v>9.6</v>
      </c>
      <c r="G303">
        <v>8</v>
      </c>
      <c r="H303">
        <v>1.2</v>
      </c>
      <c r="I303">
        <v>-0.20000005000000001</v>
      </c>
      <c r="J303">
        <v>0.45454544000000002</v>
      </c>
    </row>
    <row r="304" spans="1:10" x14ac:dyDescent="0.3">
      <c r="A304">
        <v>302</v>
      </c>
      <c r="B304">
        <v>4815</v>
      </c>
      <c r="C304" t="b">
        <v>1</v>
      </c>
      <c r="D304">
        <v>8054</v>
      </c>
      <c r="E304">
        <v>8123</v>
      </c>
      <c r="F304">
        <v>9.6</v>
      </c>
      <c r="G304">
        <v>8</v>
      </c>
      <c r="H304">
        <v>1.2</v>
      </c>
      <c r="I304">
        <v>-0.20000005000000001</v>
      </c>
      <c r="J304">
        <v>0.45454544000000002</v>
      </c>
    </row>
    <row r="305" spans="1:10" x14ac:dyDescent="0.3">
      <c r="A305">
        <v>303</v>
      </c>
      <c r="B305">
        <v>4831</v>
      </c>
      <c r="C305" t="b">
        <v>1</v>
      </c>
      <c r="D305">
        <v>8048</v>
      </c>
      <c r="E305">
        <v>8123</v>
      </c>
      <c r="F305">
        <v>9.1999999999999993</v>
      </c>
      <c r="G305">
        <v>8</v>
      </c>
      <c r="H305">
        <v>1.1499999999999999</v>
      </c>
      <c r="I305">
        <v>-0.14999998</v>
      </c>
      <c r="J305">
        <v>0.46511626</v>
      </c>
    </row>
    <row r="306" spans="1:10" x14ac:dyDescent="0.3">
      <c r="A306">
        <v>304</v>
      </c>
      <c r="B306">
        <v>4847</v>
      </c>
      <c r="C306" t="b">
        <v>1</v>
      </c>
      <c r="D306">
        <v>8048</v>
      </c>
      <c r="E306">
        <v>8123</v>
      </c>
      <c r="F306">
        <v>8.8000000000000007</v>
      </c>
      <c r="G306">
        <v>8</v>
      </c>
      <c r="H306">
        <v>1.1000000000000001</v>
      </c>
      <c r="I306">
        <v>-0.10000002400000001</v>
      </c>
      <c r="J306">
        <v>0.47619050000000002</v>
      </c>
    </row>
    <row r="307" spans="1:10" x14ac:dyDescent="0.3">
      <c r="A307">
        <v>305</v>
      </c>
      <c r="B307">
        <v>4863</v>
      </c>
      <c r="C307" t="b">
        <v>1</v>
      </c>
      <c r="D307">
        <v>8048</v>
      </c>
      <c r="E307">
        <v>8123</v>
      </c>
      <c r="F307">
        <v>8.8000000000000007</v>
      </c>
      <c r="G307">
        <v>8</v>
      </c>
      <c r="H307">
        <v>1.1000000000000001</v>
      </c>
      <c r="I307">
        <v>-0.10000002400000001</v>
      </c>
      <c r="J307">
        <v>0.47619050000000002</v>
      </c>
    </row>
    <row r="308" spans="1:10" x14ac:dyDescent="0.3">
      <c r="A308">
        <v>306</v>
      </c>
      <c r="B308">
        <v>4879</v>
      </c>
      <c r="C308" t="b">
        <v>1</v>
      </c>
      <c r="D308">
        <v>8048</v>
      </c>
      <c r="E308">
        <v>8123</v>
      </c>
      <c r="F308">
        <v>8.8000000000000007</v>
      </c>
      <c r="G308">
        <v>8</v>
      </c>
      <c r="H308">
        <v>1.1000000000000001</v>
      </c>
      <c r="I308">
        <v>-0.10000002400000001</v>
      </c>
      <c r="J308">
        <v>0.47619050000000002</v>
      </c>
    </row>
    <row r="309" spans="1:10" x14ac:dyDescent="0.3">
      <c r="A309">
        <v>307</v>
      </c>
      <c r="B309">
        <v>4895</v>
      </c>
      <c r="C309" t="b">
        <v>1</v>
      </c>
      <c r="D309">
        <v>8048</v>
      </c>
      <c r="E309">
        <v>8123</v>
      </c>
      <c r="F309">
        <v>8.4</v>
      </c>
      <c r="G309">
        <v>8</v>
      </c>
      <c r="H309">
        <v>1.05</v>
      </c>
      <c r="I309">
        <v>-4.9999952E-2</v>
      </c>
      <c r="J309">
        <v>0.48780489999999999</v>
      </c>
    </row>
    <row r="310" spans="1:10" x14ac:dyDescent="0.3">
      <c r="A310">
        <v>308</v>
      </c>
      <c r="B310">
        <v>4911</v>
      </c>
      <c r="C310" t="b">
        <v>1</v>
      </c>
      <c r="D310">
        <v>8048</v>
      </c>
      <c r="E310">
        <v>8123</v>
      </c>
      <c r="F310">
        <v>8.4</v>
      </c>
      <c r="G310">
        <v>8</v>
      </c>
      <c r="H310">
        <v>1.05</v>
      </c>
      <c r="I310">
        <v>-4.9999952E-2</v>
      </c>
      <c r="J310">
        <v>0.48780489999999999</v>
      </c>
    </row>
    <row r="311" spans="1:10" x14ac:dyDescent="0.3">
      <c r="A311">
        <v>309</v>
      </c>
      <c r="B311">
        <v>4926</v>
      </c>
      <c r="C311" t="b">
        <v>1</v>
      </c>
      <c r="D311">
        <v>8048</v>
      </c>
      <c r="E311">
        <v>8123</v>
      </c>
      <c r="F311">
        <v>8.4</v>
      </c>
      <c r="G311">
        <v>8</v>
      </c>
      <c r="H311">
        <v>1.05</v>
      </c>
      <c r="I311">
        <v>-4.9999952E-2</v>
      </c>
      <c r="J311">
        <v>0.48780489999999999</v>
      </c>
    </row>
    <row r="312" spans="1:10" x14ac:dyDescent="0.3">
      <c r="A312">
        <v>310</v>
      </c>
      <c r="B312">
        <v>4942</v>
      </c>
      <c r="C312" t="b">
        <v>1</v>
      </c>
      <c r="D312">
        <v>8048</v>
      </c>
      <c r="E312">
        <v>8123</v>
      </c>
      <c r="F312">
        <v>8</v>
      </c>
      <c r="G312">
        <v>8</v>
      </c>
      <c r="H312">
        <v>1</v>
      </c>
      <c r="I312">
        <v>0</v>
      </c>
      <c r="J312">
        <v>0.5</v>
      </c>
    </row>
    <row r="313" spans="1:10" x14ac:dyDescent="0.3">
      <c r="A313">
        <v>311</v>
      </c>
      <c r="B313">
        <v>4958</v>
      </c>
      <c r="C313" t="b">
        <v>1</v>
      </c>
      <c r="D313">
        <v>8048</v>
      </c>
      <c r="E313">
        <v>8117</v>
      </c>
      <c r="F313">
        <v>8</v>
      </c>
      <c r="G313">
        <v>8</v>
      </c>
      <c r="H313">
        <v>1</v>
      </c>
      <c r="I313">
        <v>0</v>
      </c>
      <c r="J313">
        <v>0.5</v>
      </c>
    </row>
    <row r="314" spans="1:10" x14ac:dyDescent="0.3">
      <c r="A314">
        <v>312</v>
      </c>
      <c r="B314">
        <v>4974</v>
      </c>
      <c r="C314" t="b">
        <v>1</v>
      </c>
      <c r="D314">
        <v>8048</v>
      </c>
      <c r="E314">
        <v>8123</v>
      </c>
      <c r="F314">
        <v>8</v>
      </c>
      <c r="G314">
        <v>8</v>
      </c>
      <c r="H314">
        <v>1</v>
      </c>
      <c r="I314">
        <v>0</v>
      </c>
      <c r="J314">
        <v>0.5</v>
      </c>
    </row>
    <row r="315" spans="1:10" x14ac:dyDescent="0.3">
      <c r="A315">
        <v>313</v>
      </c>
      <c r="B315">
        <v>4990</v>
      </c>
      <c r="C315" t="b">
        <v>1</v>
      </c>
      <c r="D315">
        <v>8048</v>
      </c>
      <c r="E315">
        <v>8123</v>
      </c>
      <c r="F315">
        <v>8</v>
      </c>
      <c r="G315">
        <v>8</v>
      </c>
      <c r="H315">
        <v>1</v>
      </c>
      <c r="I315">
        <v>0</v>
      </c>
      <c r="J315">
        <v>0.5</v>
      </c>
    </row>
    <row r="316" spans="1:10" x14ac:dyDescent="0.3">
      <c r="A316">
        <v>314</v>
      </c>
      <c r="B316">
        <v>5006</v>
      </c>
      <c r="C316" t="b">
        <v>1</v>
      </c>
      <c r="D316">
        <v>8054</v>
      </c>
      <c r="E316">
        <v>8123</v>
      </c>
      <c r="F316">
        <v>8</v>
      </c>
      <c r="G316">
        <v>8</v>
      </c>
      <c r="H316">
        <v>1</v>
      </c>
      <c r="I316">
        <v>0</v>
      </c>
      <c r="J316">
        <v>0.5</v>
      </c>
    </row>
    <row r="317" spans="1:10" x14ac:dyDescent="0.3">
      <c r="A317">
        <v>315</v>
      </c>
      <c r="B317">
        <v>5022</v>
      </c>
      <c r="C317" t="b">
        <v>1</v>
      </c>
      <c r="D317">
        <v>8054</v>
      </c>
      <c r="E317">
        <v>8117</v>
      </c>
      <c r="F317">
        <v>8</v>
      </c>
      <c r="G317">
        <v>8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5038</v>
      </c>
      <c r="C318" t="b">
        <v>1</v>
      </c>
      <c r="D318">
        <v>8048</v>
      </c>
      <c r="E318">
        <v>8123</v>
      </c>
      <c r="F318">
        <v>8</v>
      </c>
      <c r="G318">
        <v>8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5054</v>
      </c>
      <c r="C319" t="b">
        <v>1</v>
      </c>
      <c r="D319">
        <v>8054</v>
      </c>
      <c r="E319">
        <v>8123</v>
      </c>
      <c r="F319">
        <v>8.4</v>
      </c>
      <c r="G319">
        <v>8</v>
      </c>
      <c r="H319">
        <v>1.05</v>
      </c>
      <c r="I319">
        <v>-4.9999952E-2</v>
      </c>
      <c r="J319">
        <v>0.48780489999999999</v>
      </c>
    </row>
    <row r="320" spans="1:10" x14ac:dyDescent="0.3">
      <c r="A320">
        <v>318</v>
      </c>
      <c r="B320">
        <v>5069</v>
      </c>
      <c r="C320" t="b">
        <v>1</v>
      </c>
      <c r="D320">
        <v>8048</v>
      </c>
      <c r="E320">
        <v>8123</v>
      </c>
      <c r="F320">
        <v>8.8000000000000007</v>
      </c>
      <c r="G320">
        <v>8</v>
      </c>
      <c r="H320">
        <v>1.1000000000000001</v>
      </c>
      <c r="I320">
        <v>-0.10000002400000001</v>
      </c>
      <c r="J320">
        <v>0.47619050000000002</v>
      </c>
    </row>
    <row r="321" spans="1:10" x14ac:dyDescent="0.3">
      <c r="A321">
        <v>319</v>
      </c>
      <c r="B321">
        <v>5085</v>
      </c>
      <c r="C321" t="b">
        <v>1</v>
      </c>
      <c r="D321">
        <v>8048</v>
      </c>
      <c r="E321">
        <v>8123</v>
      </c>
      <c r="F321">
        <v>8.8000000000000007</v>
      </c>
      <c r="G321">
        <v>8</v>
      </c>
      <c r="H321">
        <v>1.1000000000000001</v>
      </c>
      <c r="I321">
        <v>-0.10000002400000001</v>
      </c>
      <c r="J321">
        <v>0.47619050000000002</v>
      </c>
    </row>
    <row r="322" spans="1:10" x14ac:dyDescent="0.3">
      <c r="A322">
        <v>320</v>
      </c>
      <c r="B322">
        <v>5101</v>
      </c>
      <c r="C322" t="b">
        <v>1</v>
      </c>
      <c r="D322">
        <v>8054</v>
      </c>
      <c r="E322">
        <v>8123</v>
      </c>
      <c r="F322">
        <v>8.8000000000000007</v>
      </c>
      <c r="G322">
        <v>8</v>
      </c>
      <c r="H322">
        <v>1.1000000000000001</v>
      </c>
      <c r="I322">
        <v>-0.10000002400000001</v>
      </c>
      <c r="J322">
        <v>0.47619050000000002</v>
      </c>
    </row>
    <row r="323" spans="1:10" x14ac:dyDescent="0.3">
      <c r="A323">
        <v>321</v>
      </c>
      <c r="B323">
        <v>5117</v>
      </c>
      <c r="C323" t="b">
        <v>1</v>
      </c>
      <c r="D323">
        <v>8054</v>
      </c>
      <c r="E323">
        <v>8123</v>
      </c>
      <c r="F323">
        <v>9.1999999999999993</v>
      </c>
      <c r="G323">
        <v>8</v>
      </c>
      <c r="H323">
        <v>1.1499999999999999</v>
      </c>
      <c r="I323">
        <v>-0.14999998</v>
      </c>
      <c r="J323">
        <v>0.46511626</v>
      </c>
    </row>
    <row r="324" spans="1:10" x14ac:dyDescent="0.3">
      <c r="A324">
        <v>322</v>
      </c>
      <c r="B324">
        <v>5133</v>
      </c>
      <c r="C324" t="b">
        <v>1</v>
      </c>
      <c r="D324">
        <v>8054</v>
      </c>
      <c r="E324">
        <v>8123</v>
      </c>
      <c r="F324">
        <v>9.6</v>
      </c>
      <c r="G324">
        <v>8</v>
      </c>
      <c r="H324">
        <v>1.2</v>
      </c>
      <c r="I324">
        <v>-0.20000005000000001</v>
      </c>
      <c r="J324">
        <v>0.45454544000000002</v>
      </c>
    </row>
    <row r="325" spans="1:10" x14ac:dyDescent="0.3">
      <c r="A325">
        <v>323</v>
      </c>
      <c r="B325">
        <v>5149</v>
      </c>
      <c r="C325" t="b">
        <v>1</v>
      </c>
      <c r="D325">
        <v>8054</v>
      </c>
      <c r="E325">
        <v>8123</v>
      </c>
      <c r="F325">
        <v>10</v>
      </c>
      <c r="G325">
        <v>8</v>
      </c>
      <c r="H325">
        <v>1.25</v>
      </c>
      <c r="I325">
        <v>-0.25</v>
      </c>
      <c r="J325">
        <v>0.44444444999999999</v>
      </c>
    </row>
    <row r="326" spans="1:10" x14ac:dyDescent="0.3">
      <c r="A326">
        <v>324</v>
      </c>
      <c r="B326">
        <v>5165</v>
      </c>
      <c r="C326" t="b">
        <v>1</v>
      </c>
      <c r="D326">
        <v>8054</v>
      </c>
      <c r="E326">
        <v>8123</v>
      </c>
      <c r="F326">
        <v>10.4</v>
      </c>
      <c r="G326">
        <v>8</v>
      </c>
      <c r="H326">
        <v>1.3</v>
      </c>
      <c r="I326">
        <v>-0.29999995000000002</v>
      </c>
      <c r="J326">
        <v>0.43478262000000001</v>
      </c>
    </row>
    <row r="327" spans="1:10" x14ac:dyDescent="0.3">
      <c r="A327">
        <v>325</v>
      </c>
      <c r="B327">
        <v>5180</v>
      </c>
      <c r="C327" t="b">
        <v>1</v>
      </c>
      <c r="D327">
        <v>8054</v>
      </c>
      <c r="E327">
        <v>8117</v>
      </c>
      <c r="F327">
        <v>10.8</v>
      </c>
      <c r="G327">
        <v>8</v>
      </c>
      <c r="H327">
        <v>1.35</v>
      </c>
      <c r="I327">
        <v>-0.35000002000000002</v>
      </c>
      <c r="J327">
        <v>0.42553192000000001</v>
      </c>
    </row>
    <row r="328" spans="1:10" x14ac:dyDescent="0.3">
      <c r="A328">
        <v>326</v>
      </c>
      <c r="B328">
        <v>5196</v>
      </c>
      <c r="C328" t="b">
        <v>1</v>
      </c>
      <c r="D328">
        <v>8054</v>
      </c>
      <c r="E328">
        <v>8123</v>
      </c>
      <c r="F328">
        <v>11.2</v>
      </c>
      <c r="G328">
        <v>8</v>
      </c>
      <c r="H328">
        <v>1.4</v>
      </c>
      <c r="I328">
        <v>-0.39999997999999998</v>
      </c>
      <c r="J328">
        <v>0.41666666000000002</v>
      </c>
    </row>
    <row r="329" spans="1:10" x14ac:dyDescent="0.3">
      <c r="A329">
        <v>327</v>
      </c>
      <c r="B329">
        <v>5212</v>
      </c>
      <c r="C329" t="b">
        <v>1</v>
      </c>
      <c r="D329">
        <v>8048</v>
      </c>
      <c r="E329">
        <v>8117</v>
      </c>
      <c r="F329">
        <v>11.6</v>
      </c>
      <c r="G329">
        <v>8</v>
      </c>
      <c r="H329">
        <v>1.45</v>
      </c>
      <c r="I329">
        <v>-0.45000004999999998</v>
      </c>
      <c r="J329">
        <v>0.40816324999999998</v>
      </c>
    </row>
    <row r="330" spans="1:10" x14ac:dyDescent="0.3">
      <c r="A330">
        <v>328</v>
      </c>
      <c r="B330">
        <v>5228</v>
      </c>
      <c r="C330" t="b">
        <v>1</v>
      </c>
      <c r="D330">
        <v>8048</v>
      </c>
      <c r="E330">
        <v>8123</v>
      </c>
      <c r="F330">
        <v>12</v>
      </c>
      <c r="G330">
        <v>8</v>
      </c>
      <c r="H330">
        <v>1.5</v>
      </c>
      <c r="I330">
        <v>-0.5</v>
      </c>
      <c r="J330">
        <v>0.4</v>
      </c>
    </row>
    <row r="331" spans="1:10" x14ac:dyDescent="0.3">
      <c r="A331">
        <v>329</v>
      </c>
      <c r="B331">
        <v>5244</v>
      </c>
      <c r="C331" t="b">
        <v>1</v>
      </c>
      <c r="D331">
        <v>8048</v>
      </c>
      <c r="E331">
        <v>8123</v>
      </c>
      <c r="F331">
        <v>12</v>
      </c>
      <c r="G331">
        <v>8</v>
      </c>
      <c r="H331">
        <v>1.5</v>
      </c>
      <c r="I331">
        <v>-0.5</v>
      </c>
      <c r="J331">
        <v>0.4</v>
      </c>
    </row>
    <row r="332" spans="1:10" x14ac:dyDescent="0.3">
      <c r="A332">
        <v>330</v>
      </c>
      <c r="B332">
        <v>5260</v>
      </c>
      <c r="C332" t="b">
        <v>1</v>
      </c>
      <c r="D332">
        <v>8048</v>
      </c>
      <c r="E332">
        <v>8123</v>
      </c>
      <c r="F332">
        <v>12</v>
      </c>
      <c r="G332">
        <v>8</v>
      </c>
      <c r="H332">
        <v>1.5</v>
      </c>
      <c r="I332">
        <v>-0.5</v>
      </c>
      <c r="J332">
        <v>0.4</v>
      </c>
    </row>
    <row r="333" spans="1:10" x14ac:dyDescent="0.3">
      <c r="A333">
        <v>331</v>
      </c>
      <c r="B333">
        <v>5276</v>
      </c>
      <c r="C333" t="b">
        <v>1</v>
      </c>
      <c r="D333">
        <v>8048</v>
      </c>
      <c r="E333">
        <v>8123</v>
      </c>
      <c r="F333">
        <v>12</v>
      </c>
      <c r="G333">
        <v>8</v>
      </c>
      <c r="H333">
        <v>1.5</v>
      </c>
      <c r="I333">
        <v>-0.5</v>
      </c>
      <c r="J333">
        <v>0.4</v>
      </c>
    </row>
    <row r="334" spans="1:10" x14ac:dyDescent="0.3">
      <c r="A334">
        <v>332</v>
      </c>
      <c r="B334">
        <v>5292</v>
      </c>
      <c r="C334" t="b">
        <v>1</v>
      </c>
      <c r="D334">
        <v>8048</v>
      </c>
      <c r="E334">
        <v>8123</v>
      </c>
      <c r="F334">
        <v>11.6</v>
      </c>
      <c r="G334">
        <v>8</v>
      </c>
      <c r="H334">
        <v>1.45</v>
      </c>
      <c r="I334">
        <v>-0.45000004999999998</v>
      </c>
      <c r="J334">
        <v>0.40816324999999998</v>
      </c>
    </row>
    <row r="335" spans="1:10" x14ac:dyDescent="0.3">
      <c r="A335">
        <v>333</v>
      </c>
      <c r="B335">
        <v>5308</v>
      </c>
      <c r="C335" t="b">
        <v>1</v>
      </c>
      <c r="D335">
        <v>8048</v>
      </c>
      <c r="E335">
        <v>8123</v>
      </c>
      <c r="F335">
        <v>11.2</v>
      </c>
      <c r="G335">
        <v>8</v>
      </c>
      <c r="H335">
        <v>1.4</v>
      </c>
      <c r="I335">
        <v>-0.39999997999999998</v>
      </c>
      <c r="J335">
        <v>0.41666666000000002</v>
      </c>
    </row>
    <row r="336" spans="1:10" x14ac:dyDescent="0.3">
      <c r="A336">
        <v>334</v>
      </c>
      <c r="B336">
        <v>5324</v>
      </c>
      <c r="C336" t="b">
        <v>1</v>
      </c>
      <c r="D336">
        <v>8048</v>
      </c>
      <c r="E336">
        <v>8123</v>
      </c>
      <c r="F336">
        <v>11.2</v>
      </c>
      <c r="G336">
        <v>8</v>
      </c>
      <c r="H336">
        <v>1.4</v>
      </c>
      <c r="I336">
        <v>-0.39999997999999998</v>
      </c>
      <c r="J336">
        <v>0.41666666000000002</v>
      </c>
    </row>
    <row r="337" spans="1:10" x14ac:dyDescent="0.3">
      <c r="A337">
        <v>335</v>
      </c>
      <c r="B337">
        <v>5340</v>
      </c>
      <c r="C337" t="b">
        <v>1</v>
      </c>
      <c r="D337">
        <v>8054</v>
      </c>
      <c r="E337">
        <v>8111</v>
      </c>
      <c r="F337">
        <v>11.2</v>
      </c>
      <c r="G337">
        <v>8</v>
      </c>
      <c r="H337">
        <v>1.4</v>
      </c>
      <c r="I337">
        <v>-0.39999997999999998</v>
      </c>
      <c r="J337">
        <v>0.41666666000000002</v>
      </c>
    </row>
    <row r="338" spans="1:10" x14ac:dyDescent="0.3">
      <c r="A338">
        <v>336</v>
      </c>
      <c r="B338">
        <v>5356</v>
      </c>
      <c r="C338" t="b">
        <v>1</v>
      </c>
      <c r="D338">
        <v>8048</v>
      </c>
      <c r="E338">
        <v>8111</v>
      </c>
      <c r="F338">
        <v>10.8</v>
      </c>
      <c r="G338">
        <v>8</v>
      </c>
      <c r="H338">
        <v>1.35</v>
      </c>
      <c r="I338">
        <v>-0.35000002000000002</v>
      </c>
      <c r="J338">
        <v>0.42553192000000001</v>
      </c>
    </row>
    <row r="339" spans="1:10" x14ac:dyDescent="0.3">
      <c r="A339">
        <v>337</v>
      </c>
      <c r="B339">
        <v>5372</v>
      </c>
      <c r="C339" t="b">
        <v>1</v>
      </c>
      <c r="D339">
        <v>8054</v>
      </c>
      <c r="E339">
        <v>8117</v>
      </c>
      <c r="F339">
        <v>10.4</v>
      </c>
      <c r="G339">
        <v>7.6</v>
      </c>
      <c r="H339">
        <v>1.3684210999999999</v>
      </c>
      <c r="I339">
        <v>-0.36842101999999999</v>
      </c>
      <c r="J339">
        <v>0.42222222999999998</v>
      </c>
    </row>
    <row r="340" spans="1:10" x14ac:dyDescent="0.3">
      <c r="A340">
        <v>338</v>
      </c>
      <c r="B340">
        <v>5388</v>
      </c>
      <c r="C340" t="b">
        <v>1</v>
      </c>
      <c r="D340">
        <v>8048</v>
      </c>
      <c r="E340">
        <v>8117</v>
      </c>
      <c r="F340">
        <v>10</v>
      </c>
      <c r="G340">
        <v>7.2</v>
      </c>
      <c r="H340">
        <v>1.388889</v>
      </c>
      <c r="I340">
        <v>-0.38888893000000002</v>
      </c>
      <c r="J340">
        <v>0.41860459999999999</v>
      </c>
    </row>
    <row r="341" spans="1:10" x14ac:dyDescent="0.3">
      <c r="A341">
        <v>339</v>
      </c>
      <c r="B341">
        <v>5404</v>
      </c>
      <c r="C341" t="b">
        <v>1</v>
      </c>
      <c r="D341">
        <v>8042</v>
      </c>
      <c r="E341">
        <v>8117</v>
      </c>
      <c r="F341">
        <v>9.6</v>
      </c>
      <c r="G341">
        <v>6.8</v>
      </c>
      <c r="H341">
        <v>1.4117647</v>
      </c>
      <c r="I341">
        <v>-0.41176469999999998</v>
      </c>
      <c r="J341">
        <v>0.41463410000000001</v>
      </c>
    </row>
    <row r="342" spans="1:10" x14ac:dyDescent="0.3">
      <c r="A342">
        <v>340</v>
      </c>
      <c r="B342">
        <v>5420</v>
      </c>
      <c r="C342" t="b">
        <v>1</v>
      </c>
      <c r="D342">
        <v>8048</v>
      </c>
      <c r="E342">
        <v>8117</v>
      </c>
      <c r="F342">
        <v>9.1999999999999993</v>
      </c>
      <c r="G342">
        <v>6.4</v>
      </c>
      <c r="H342">
        <v>1.4375</v>
      </c>
      <c r="I342">
        <v>-0.43749993999999998</v>
      </c>
      <c r="J342">
        <v>0.41025642000000001</v>
      </c>
    </row>
    <row r="343" spans="1:10" x14ac:dyDescent="0.3">
      <c r="A343">
        <v>341</v>
      </c>
      <c r="B343">
        <v>5435</v>
      </c>
      <c r="C343" t="b">
        <v>1</v>
      </c>
      <c r="D343">
        <v>8048</v>
      </c>
      <c r="E343">
        <v>8129</v>
      </c>
      <c r="F343">
        <v>8.8000000000000007</v>
      </c>
      <c r="G343">
        <v>6</v>
      </c>
      <c r="H343">
        <v>1.4666667</v>
      </c>
      <c r="I343">
        <v>-0.46666669999999999</v>
      </c>
      <c r="J343">
        <v>0.40540540000000003</v>
      </c>
    </row>
    <row r="344" spans="1:10" x14ac:dyDescent="0.3">
      <c r="A344">
        <v>342</v>
      </c>
      <c r="B344">
        <v>5451</v>
      </c>
      <c r="C344" t="b">
        <v>1</v>
      </c>
      <c r="D344">
        <v>8042</v>
      </c>
      <c r="E344">
        <v>8123</v>
      </c>
      <c r="F344">
        <v>8.4</v>
      </c>
      <c r="G344">
        <v>5.6</v>
      </c>
      <c r="H344">
        <v>1.5</v>
      </c>
      <c r="I344">
        <v>-0.49999997000000002</v>
      </c>
      <c r="J344">
        <v>0.4</v>
      </c>
    </row>
    <row r="345" spans="1:10" x14ac:dyDescent="0.3">
      <c r="A345">
        <v>343</v>
      </c>
      <c r="B345">
        <v>5467</v>
      </c>
      <c r="C345" t="b">
        <v>1</v>
      </c>
      <c r="D345">
        <v>8042</v>
      </c>
      <c r="E345">
        <v>8117</v>
      </c>
      <c r="F345">
        <v>7.6</v>
      </c>
      <c r="G345">
        <v>5.2</v>
      </c>
      <c r="H345">
        <v>1.4615385999999999</v>
      </c>
      <c r="I345">
        <v>-0.46153850000000002</v>
      </c>
      <c r="J345">
        <v>0.40625</v>
      </c>
    </row>
    <row r="346" spans="1:10" x14ac:dyDescent="0.3">
      <c r="A346">
        <v>344</v>
      </c>
      <c r="B346">
        <v>5483</v>
      </c>
      <c r="C346" t="b">
        <v>1</v>
      </c>
      <c r="D346">
        <v>8042</v>
      </c>
      <c r="E346">
        <v>8123</v>
      </c>
      <c r="F346">
        <v>7.2</v>
      </c>
      <c r="G346">
        <v>5.2</v>
      </c>
      <c r="H346">
        <v>1.3846153999999999</v>
      </c>
      <c r="I346">
        <v>-0.3846154</v>
      </c>
      <c r="J346">
        <v>0.41935483000000001</v>
      </c>
    </row>
    <row r="347" spans="1:10" x14ac:dyDescent="0.3">
      <c r="A347">
        <v>345</v>
      </c>
      <c r="B347">
        <v>5499</v>
      </c>
      <c r="C347" t="b">
        <v>1</v>
      </c>
      <c r="D347">
        <v>8048</v>
      </c>
      <c r="E347">
        <v>8123</v>
      </c>
      <c r="F347">
        <v>6.8</v>
      </c>
      <c r="G347">
        <v>5.2</v>
      </c>
      <c r="H347">
        <v>1.3076924000000001</v>
      </c>
      <c r="I347">
        <v>-0.30769237999999999</v>
      </c>
      <c r="J347">
        <v>0.43333329999999998</v>
      </c>
    </row>
    <row r="348" spans="1:10" x14ac:dyDescent="0.3">
      <c r="A348">
        <v>346</v>
      </c>
      <c r="B348">
        <v>5515</v>
      </c>
      <c r="C348" t="b">
        <v>1</v>
      </c>
      <c r="D348">
        <v>8048</v>
      </c>
      <c r="E348">
        <v>8123</v>
      </c>
      <c r="F348">
        <v>6.4</v>
      </c>
      <c r="G348">
        <v>5.2</v>
      </c>
      <c r="H348">
        <v>1.2307693</v>
      </c>
      <c r="I348">
        <v>-0.23076928999999999</v>
      </c>
      <c r="J348">
        <v>0.44827582999999999</v>
      </c>
    </row>
    <row r="349" spans="1:10" x14ac:dyDescent="0.3">
      <c r="A349">
        <v>347</v>
      </c>
      <c r="B349">
        <v>5530</v>
      </c>
      <c r="C349" t="b">
        <v>1</v>
      </c>
      <c r="D349">
        <v>8054</v>
      </c>
      <c r="E349">
        <v>8117</v>
      </c>
      <c r="F349">
        <v>6.4</v>
      </c>
      <c r="G349">
        <v>5.2</v>
      </c>
      <c r="H349">
        <v>1.2307693</v>
      </c>
      <c r="I349">
        <v>-0.23076928999999999</v>
      </c>
      <c r="J349">
        <v>0.44827582999999999</v>
      </c>
    </row>
    <row r="350" spans="1:10" x14ac:dyDescent="0.3">
      <c r="A350">
        <v>348</v>
      </c>
      <c r="B350">
        <v>5546</v>
      </c>
      <c r="C350" t="b">
        <v>1</v>
      </c>
      <c r="D350">
        <v>8054</v>
      </c>
      <c r="E350">
        <v>8117</v>
      </c>
      <c r="F350">
        <v>6.4</v>
      </c>
      <c r="G350">
        <v>5.2</v>
      </c>
      <c r="H350">
        <v>1.2307693</v>
      </c>
      <c r="I350">
        <v>-0.23076928999999999</v>
      </c>
      <c r="J350">
        <v>0.44827582999999999</v>
      </c>
    </row>
    <row r="351" spans="1:10" x14ac:dyDescent="0.3">
      <c r="A351">
        <v>349</v>
      </c>
      <c r="B351">
        <v>5562</v>
      </c>
      <c r="C351" t="b">
        <v>1</v>
      </c>
      <c r="D351">
        <v>8048</v>
      </c>
      <c r="E351">
        <v>8117</v>
      </c>
      <c r="F351">
        <v>6.4</v>
      </c>
      <c r="G351">
        <v>4.8</v>
      </c>
      <c r="H351">
        <v>1.3333333000000001</v>
      </c>
      <c r="I351">
        <v>-0.3333333</v>
      </c>
      <c r="J351">
        <v>0.42857139999999999</v>
      </c>
    </row>
    <row r="352" spans="1:10" x14ac:dyDescent="0.3">
      <c r="A352">
        <v>350</v>
      </c>
      <c r="B352">
        <v>5578</v>
      </c>
      <c r="C352" t="b">
        <v>1</v>
      </c>
      <c r="D352">
        <v>8054</v>
      </c>
      <c r="E352">
        <v>8111</v>
      </c>
      <c r="F352">
        <v>6.8</v>
      </c>
      <c r="G352">
        <v>4.4000000000000004</v>
      </c>
      <c r="H352">
        <v>1.5454545</v>
      </c>
      <c r="I352">
        <v>-0.54545456000000003</v>
      </c>
      <c r="J352">
        <v>0.39285713</v>
      </c>
    </row>
    <row r="353" spans="1:10" x14ac:dyDescent="0.3">
      <c r="A353">
        <v>351</v>
      </c>
      <c r="B353">
        <v>5594</v>
      </c>
      <c r="C353" t="b">
        <v>1</v>
      </c>
      <c r="D353">
        <v>8054</v>
      </c>
      <c r="E353">
        <v>8117</v>
      </c>
      <c r="F353">
        <v>7.2</v>
      </c>
      <c r="G353">
        <v>4</v>
      </c>
      <c r="H353">
        <v>1.8</v>
      </c>
      <c r="I353">
        <v>-0.79999995000000002</v>
      </c>
      <c r="J353">
        <v>0.35714287</v>
      </c>
    </row>
    <row r="354" spans="1:10" x14ac:dyDescent="0.3">
      <c r="A354">
        <v>352</v>
      </c>
      <c r="B354">
        <v>5610</v>
      </c>
      <c r="C354" t="b">
        <v>1</v>
      </c>
      <c r="D354">
        <v>8042</v>
      </c>
      <c r="E354">
        <v>8117</v>
      </c>
      <c r="F354">
        <v>7.6</v>
      </c>
      <c r="G354">
        <v>4</v>
      </c>
      <c r="H354">
        <v>1.9</v>
      </c>
      <c r="I354">
        <v>-0.9</v>
      </c>
      <c r="J354">
        <v>0.34482755999999998</v>
      </c>
    </row>
    <row r="355" spans="1:10" x14ac:dyDescent="0.3">
      <c r="A355">
        <v>353</v>
      </c>
      <c r="B355">
        <v>5626</v>
      </c>
      <c r="C355" t="b">
        <v>1</v>
      </c>
      <c r="D355">
        <v>8042</v>
      </c>
      <c r="E355">
        <v>8123</v>
      </c>
      <c r="F355">
        <v>7.6</v>
      </c>
      <c r="G355">
        <v>4</v>
      </c>
      <c r="H355">
        <v>1.9</v>
      </c>
      <c r="I355">
        <v>-0.9</v>
      </c>
      <c r="J355">
        <v>0.34482755999999998</v>
      </c>
    </row>
    <row r="356" spans="1:10" x14ac:dyDescent="0.3">
      <c r="A356">
        <v>354</v>
      </c>
      <c r="B356">
        <v>5642</v>
      </c>
      <c r="C356" t="b">
        <v>1</v>
      </c>
      <c r="D356">
        <v>8037</v>
      </c>
      <c r="E356">
        <v>8117</v>
      </c>
      <c r="F356">
        <v>7.2</v>
      </c>
      <c r="G356">
        <v>4</v>
      </c>
      <c r="H356">
        <v>1.8</v>
      </c>
      <c r="I356">
        <v>-0.79999995000000002</v>
      </c>
      <c r="J356">
        <v>0.35714287</v>
      </c>
    </row>
    <row r="357" spans="1:10" x14ac:dyDescent="0.3">
      <c r="A357">
        <v>355</v>
      </c>
      <c r="B357">
        <v>5658</v>
      </c>
      <c r="C357" t="b">
        <v>1</v>
      </c>
      <c r="D357">
        <v>8037</v>
      </c>
      <c r="E357">
        <v>8117</v>
      </c>
      <c r="F357">
        <v>6.8</v>
      </c>
      <c r="G357">
        <v>4</v>
      </c>
      <c r="H357">
        <v>1.7</v>
      </c>
      <c r="I357">
        <v>-0.70000004999999998</v>
      </c>
      <c r="J357">
        <v>0.37037036000000001</v>
      </c>
    </row>
    <row r="358" spans="1:10" x14ac:dyDescent="0.3">
      <c r="A358">
        <v>356</v>
      </c>
      <c r="B358">
        <v>5674</v>
      </c>
      <c r="C358" t="b">
        <v>1</v>
      </c>
      <c r="D358">
        <v>8042</v>
      </c>
      <c r="E358">
        <v>8123</v>
      </c>
      <c r="F358">
        <v>6.4</v>
      </c>
      <c r="G358">
        <v>4</v>
      </c>
      <c r="H358">
        <v>1.6</v>
      </c>
      <c r="I358">
        <v>-0.6</v>
      </c>
      <c r="J358">
        <v>0.3846154</v>
      </c>
    </row>
    <row r="359" spans="1:10" x14ac:dyDescent="0.3">
      <c r="A359">
        <v>357</v>
      </c>
      <c r="B359">
        <v>5690</v>
      </c>
      <c r="C359" t="b">
        <v>1</v>
      </c>
      <c r="D359">
        <v>8042</v>
      </c>
      <c r="E359">
        <v>8129</v>
      </c>
      <c r="F359">
        <v>6</v>
      </c>
      <c r="G359">
        <v>4.4000000000000004</v>
      </c>
      <c r="H359">
        <v>1.3636364000000001</v>
      </c>
      <c r="I359">
        <v>-0.36363634</v>
      </c>
      <c r="J359">
        <v>0.42307696</v>
      </c>
    </row>
    <row r="360" spans="1:10" x14ac:dyDescent="0.3">
      <c r="A360">
        <v>358</v>
      </c>
      <c r="B360">
        <v>5706</v>
      </c>
      <c r="C360" t="b">
        <v>1</v>
      </c>
      <c r="D360">
        <v>8042</v>
      </c>
      <c r="E360">
        <v>8123</v>
      </c>
      <c r="F360">
        <v>6</v>
      </c>
      <c r="G360">
        <v>4.8</v>
      </c>
      <c r="H360">
        <v>1.25</v>
      </c>
      <c r="I360">
        <v>-0.24999995999999999</v>
      </c>
      <c r="J360">
        <v>0.44444444999999999</v>
      </c>
    </row>
    <row r="361" spans="1:10" x14ac:dyDescent="0.3">
      <c r="A361">
        <v>359</v>
      </c>
      <c r="B361">
        <v>5722</v>
      </c>
      <c r="C361" t="b">
        <v>1</v>
      </c>
      <c r="D361">
        <v>8048</v>
      </c>
      <c r="E361">
        <v>8123</v>
      </c>
      <c r="F361">
        <v>6</v>
      </c>
      <c r="G361">
        <v>4.8</v>
      </c>
      <c r="H361">
        <v>1.25</v>
      </c>
      <c r="I361">
        <v>-0.24999995999999999</v>
      </c>
      <c r="J361">
        <v>0.44444444999999999</v>
      </c>
    </row>
    <row r="362" spans="1:10" x14ac:dyDescent="0.3">
      <c r="A362">
        <v>360</v>
      </c>
      <c r="B362">
        <v>5738</v>
      </c>
      <c r="C362" t="b">
        <v>1</v>
      </c>
      <c r="D362">
        <v>8054</v>
      </c>
      <c r="E362">
        <v>8117</v>
      </c>
      <c r="F362">
        <v>6</v>
      </c>
      <c r="G362">
        <v>4.8</v>
      </c>
      <c r="H362">
        <v>1.25</v>
      </c>
      <c r="I362">
        <v>-0.24999995999999999</v>
      </c>
      <c r="J362">
        <v>0.44444444999999999</v>
      </c>
    </row>
    <row r="363" spans="1:10" x14ac:dyDescent="0.3">
      <c r="A363">
        <v>361</v>
      </c>
      <c r="B363">
        <v>5754</v>
      </c>
      <c r="C363" t="b">
        <v>1</v>
      </c>
      <c r="D363">
        <v>8048</v>
      </c>
      <c r="E363">
        <v>8123</v>
      </c>
      <c r="F363">
        <v>6.4</v>
      </c>
      <c r="G363">
        <v>4.8</v>
      </c>
      <c r="H363">
        <v>1.3333333000000001</v>
      </c>
      <c r="I363">
        <v>-0.3333333</v>
      </c>
      <c r="J363">
        <v>0.42857139999999999</v>
      </c>
    </row>
    <row r="364" spans="1:10" x14ac:dyDescent="0.3">
      <c r="A364">
        <v>362</v>
      </c>
      <c r="B364">
        <v>5770</v>
      </c>
      <c r="C364" t="b">
        <v>1</v>
      </c>
      <c r="D364">
        <v>8054</v>
      </c>
      <c r="E364">
        <v>8123</v>
      </c>
      <c r="F364">
        <v>6.4</v>
      </c>
      <c r="G364">
        <v>4.8</v>
      </c>
      <c r="H364">
        <v>1.3333333000000001</v>
      </c>
      <c r="I364">
        <v>-0.3333333</v>
      </c>
      <c r="J364">
        <v>0.42857139999999999</v>
      </c>
    </row>
    <row r="365" spans="1:10" x14ac:dyDescent="0.3">
      <c r="A365">
        <v>363</v>
      </c>
      <c r="B365">
        <v>5786</v>
      </c>
      <c r="C365" t="b">
        <v>1</v>
      </c>
      <c r="D365">
        <v>8048</v>
      </c>
      <c r="E365">
        <v>8123</v>
      </c>
      <c r="F365">
        <v>6.4</v>
      </c>
      <c r="G365">
        <v>4.8</v>
      </c>
      <c r="H365">
        <v>1.3333333000000001</v>
      </c>
      <c r="I365">
        <v>-0.3333333</v>
      </c>
      <c r="J365">
        <v>0.42857139999999999</v>
      </c>
    </row>
    <row r="366" spans="1:10" x14ac:dyDescent="0.3">
      <c r="A366">
        <v>364</v>
      </c>
      <c r="B366">
        <v>5802</v>
      </c>
      <c r="C366" t="b">
        <v>1</v>
      </c>
      <c r="D366">
        <v>8048</v>
      </c>
      <c r="E366">
        <v>8123</v>
      </c>
      <c r="F366">
        <v>6.4</v>
      </c>
      <c r="G366">
        <v>5.2</v>
      </c>
      <c r="H366">
        <v>1.2307693</v>
      </c>
      <c r="I366">
        <v>-0.23076928999999999</v>
      </c>
      <c r="J366">
        <v>0.44827582999999999</v>
      </c>
    </row>
    <row r="367" spans="1:10" x14ac:dyDescent="0.3">
      <c r="A367">
        <v>365</v>
      </c>
      <c r="B367">
        <v>5818</v>
      </c>
      <c r="C367" t="b">
        <v>1</v>
      </c>
      <c r="D367">
        <v>8048</v>
      </c>
      <c r="E367">
        <v>8123</v>
      </c>
      <c r="F367">
        <v>6</v>
      </c>
      <c r="G367">
        <v>5.6</v>
      </c>
      <c r="H367">
        <v>1.0714284999999999</v>
      </c>
      <c r="I367">
        <v>-7.142859E-2</v>
      </c>
      <c r="J367">
        <v>0.48275859999999998</v>
      </c>
    </row>
    <row r="368" spans="1:10" x14ac:dyDescent="0.3">
      <c r="A368">
        <v>366</v>
      </c>
      <c r="B368">
        <v>5834</v>
      </c>
      <c r="C368" t="b">
        <v>1</v>
      </c>
      <c r="D368">
        <v>8048</v>
      </c>
      <c r="E368">
        <v>8123</v>
      </c>
      <c r="F368">
        <v>5.6</v>
      </c>
      <c r="G368">
        <v>6</v>
      </c>
      <c r="H368">
        <v>0.93333334000000001</v>
      </c>
      <c r="I368">
        <v>6.6666685000000003E-2</v>
      </c>
      <c r="J368">
        <v>0.51724135999999998</v>
      </c>
    </row>
    <row r="369" spans="1:10" x14ac:dyDescent="0.3">
      <c r="A369">
        <v>367</v>
      </c>
      <c r="B369">
        <v>5850</v>
      </c>
      <c r="C369" t="b">
        <v>1</v>
      </c>
      <c r="D369">
        <v>8048</v>
      </c>
      <c r="E369">
        <v>8123</v>
      </c>
      <c r="F369">
        <v>5.2</v>
      </c>
      <c r="G369">
        <v>6.4</v>
      </c>
      <c r="H369">
        <v>0.81249994000000003</v>
      </c>
      <c r="I369">
        <v>0.18750004000000001</v>
      </c>
      <c r="J369">
        <v>0.55172414000000003</v>
      </c>
    </row>
    <row r="370" spans="1:10" x14ac:dyDescent="0.3">
      <c r="A370">
        <v>368</v>
      </c>
      <c r="B370">
        <v>5866</v>
      </c>
      <c r="C370" t="b">
        <v>1</v>
      </c>
      <c r="D370">
        <v>8048</v>
      </c>
      <c r="E370">
        <v>8123</v>
      </c>
      <c r="F370">
        <v>5.2</v>
      </c>
      <c r="G370">
        <v>6.8</v>
      </c>
      <c r="H370">
        <v>0.76470583999999997</v>
      </c>
      <c r="I370">
        <v>0.23529416</v>
      </c>
      <c r="J370">
        <v>0.56666665999999999</v>
      </c>
    </row>
    <row r="371" spans="1:10" x14ac:dyDescent="0.3">
      <c r="A371">
        <v>369</v>
      </c>
      <c r="B371">
        <v>5882</v>
      </c>
      <c r="C371" t="b">
        <v>1</v>
      </c>
      <c r="D371">
        <v>8048</v>
      </c>
      <c r="E371">
        <v>8123</v>
      </c>
      <c r="F371">
        <v>5.6</v>
      </c>
      <c r="G371">
        <v>7.2</v>
      </c>
      <c r="H371">
        <v>0.77777779999999996</v>
      </c>
      <c r="I371">
        <v>0.22222221</v>
      </c>
      <c r="J371">
        <v>0.5625</v>
      </c>
    </row>
    <row r="372" spans="1:10" x14ac:dyDescent="0.3">
      <c r="A372">
        <v>370</v>
      </c>
      <c r="B372">
        <v>5898</v>
      </c>
      <c r="C372" t="b">
        <v>1</v>
      </c>
      <c r="D372">
        <v>8048</v>
      </c>
      <c r="E372">
        <v>8123</v>
      </c>
      <c r="F372">
        <v>6</v>
      </c>
      <c r="G372">
        <v>7.6</v>
      </c>
      <c r="H372">
        <v>0.78947369999999994</v>
      </c>
      <c r="I372">
        <v>0.2105263</v>
      </c>
      <c r="J372">
        <v>0.55882350000000003</v>
      </c>
    </row>
    <row r="373" spans="1:10" x14ac:dyDescent="0.3">
      <c r="A373">
        <v>371</v>
      </c>
      <c r="B373">
        <v>5914</v>
      </c>
      <c r="C373" t="b">
        <v>1</v>
      </c>
      <c r="D373">
        <v>8048</v>
      </c>
      <c r="E373">
        <v>8123</v>
      </c>
      <c r="F373">
        <v>6.4</v>
      </c>
      <c r="G373">
        <v>8</v>
      </c>
      <c r="H373">
        <v>0.8</v>
      </c>
      <c r="I373">
        <v>0.19999998999999999</v>
      </c>
      <c r="J373">
        <v>0.55555560000000004</v>
      </c>
    </row>
    <row r="374" spans="1:10" x14ac:dyDescent="0.3">
      <c r="A374">
        <v>372</v>
      </c>
      <c r="B374">
        <v>5929</v>
      </c>
      <c r="C374" t="b">
        <v>1</v>
      </c>
      <c r="D374">
        <v>8048</v>
      </c>
      <c r="E374">
        <v>8117</v>
      </c>
      <c r="F374">
        <v>6.8</v>
      </c>
      <c r="G374">
        <v>8</v>
      </c>
      <c r="H374">
        <v>0.85</v>
      </c>
      <c r="I374">
        <v>0.14999998</v>
      </c>
      <c r="J374">
        <v>0.54054049999999998</v>
      </c>
    </row>
    <row r="375" spans="1:10" x14ac:dyDescent="0.3">
      <c r="A375">
        <v>373</v>
      </c>
      <c r="B375">
        <v>5945</v>
      </c>
      <c r="C375" t="b">
        <v>1</v>
      </c>
      <c r="D375">
        <v>8048</v>
      </c>
      <c r="E375">
        <v>8123</v>
      </c>
      <c r="F375">
        <v>7.2</v>
      </c>
      <c r="G375">
        <v>8</v>
      </c>
      <c r="H375">
        <v>0.9</v>
      </c>
      <c r="I375">
        <v>0.10000002400000001</v>
      </c>
      <c r="J375">
        <v>0.5263158</v>
      </c>
    </row>
    <row r="376" spans="1:10" x14ac:dyDescent="0.3">
      <c r="A376">
        <v>374</v>
      </c>
      <c r="B376">
        <v>5961</v>
      </c>
      <c r="C376" t="b">
        <v>1</v>
      </c>
      <c r="D376">
        <v>8048</v>
      </c>
      <c r="E376">
        <v>8123</v>
      </c>
      <c r="F376">
        <v>7.6</v>
      </c>
      <c r="G376">
        <v>8</v>
      </c>
      <c r="H376">
        <v>0.95</v>
      </c>
      <c r="I376">
        <v>5.0000012000000003E-2</v>
      </c>
      <c r="J376">
        <v>0.51282050000000001</v>
      </c>
    </row>
    <row r="377" spans="1:10" x14ac:dyDescent="0.3">
      <c r="A377">
        <v>375</v>
      </c>
      <c r="B377">
        <v>5977</v>
      </c>
      <c r="C377" t="b">
        <v>1</v>
      </c>
      <c r="D377">
        <v>8048</v>
      </c>
      <c r="E377">
        <v>8123</v>
      </c>
      <c r="F377">
        <v>8</v>
      </c>
      <c r="G377">
        <v>8</v>
      </c>
      <c r="H377">
        <v>1</v>
      </c>
      <c r="I377">
        <v>0</v>
      </c>
      <c r="J377">
        <v>0.5</v>
      </c>
    </row>
    <row r="378" spans="1:10" x14ac:dyDescent="0.3">
      <c r="A378">
        <v>376</v>
      </c>
      <c r="B378">
        <v>5993</v>
      </c>
      <c r="C378" t="b">
        <v>1</v>
      </c>
      <c r="D378">
        <v>8054</v>
      </c>
      <c r="E378">
        <v>8123</v>
      </c>
      <c r="F378">
        <v>8</v>
      </c>
      <c r="G378">
        <v>8</v>
      </c>
      <c r="H378">
        <v>1</v>
      </c>
      <c r="I378">
        <v>0</v>
      </c>
      <c r="J378">
        <v>0.5</v>
      </c>
    </row>
    <row r="379" spans="1:10" x14ac:dyDescent="0.3">
      <c r="A379">
        <v>377</v>
      </c>
      <c r="B379">
        <v>6009</v>
      </c>
      <c r="C379" t="b">
        <v>1</v>
      </c>
      <c r="D379">
        <v>8048</v>
      </c>
      <c r="E379">
        <v>8123</v>
      </c>
      <c r="F379">
        <v>8</v>
      </c>
      <c r="G379">
        <v>8</v>
      </c>
      <c r="H379">
        <v>1</v>
      </c>
      <c r="I379">
        <v>0</v>
      </c>
      <c r="J379">
        <v>0.5</v>
      </c>
    </row>
    <row r="380" spans="1:10" x14ac:dyDescent="0.3">
      <c r="A380">
        <v>378</v>
      </c>
      <c r="B380">
        <v>6025</v>
      </c>
      <c r="C380" t="b">
        <v>1</v>
      </c>
      <c r="D380">
        <v>8048</v>
      </c>
      <c r="E380">
        <v>8117</v>
      </c>
      <c r="F380">
        <v>8</v>
      </c>
      <c r="G380">
        <v>8</v>
      </c>
      <c r="H380">
        <v>1</v>
      </c>
      <c r="I380">
        <v>0</v>
      </c>
      <c r="J380">
        <v>0.5</v>
      </c>
    </row>
    <row r="381" spans="1:10" x14ac:dyDescent="0.3">
      <c r="A381">
        <v>379</v>
      </c>
      <c r="B381">
        <v>6041</v>
      </c>
      <c r="C381" t="b">
        <v>1</v>
      </c>
      <c r="D381">
        <v>8048</v>
      </c>
      <c r="E381">
        <v>8123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6056</v>
      </c>
      <c r="C382" t="b">
        <v>1</v>
      </c>
      <c r="D382">
        <v>8048</v>
      </c>
      <c r="E382">
        <v>8117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6072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6088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6104</v>
      </c>
      <c r="C385" t="b">
        <v>1</v>
      </c>
      <c r="D385">
        <v>8054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6120</v>
      </c>
      <c r="C386" t="b">
        <v>1</v>
      </c>
      <c r="D386">
        <v>8054</v>
      </c>
      <c r="E386">
        <v>8123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6136</v>
      </c>
      <c r="C387" t="b">
        <v>1</v>
      </c>
      <c r="D387">
        <v>8048</v>
      </c>
      <c r="E387">
        <v>8123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6151</v>
      </c>
      <c r="C388" t="b">
        <v>1</v>
      </c>
      <c r="D388">
        <v>8048</v>
      </c>
      <c r="E388">
        <v>8123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6167</v>
      </c>
      <c r="C389" t="b">
        <v>1</v>
      </c>
      <c r="D389">
        <v>8048</v>
      </c>
      <c r="E389">
        <v>8117</v>
      </c>
      <c r="F389">
        <v>8</v>
      </c>
      <c r="G389">
        <v>8</v>
      </c>
      <c r="H389">
        <v>1</v>
      </c>
      <c r="I389">
        <v>0</v>
      </c>
      <c r="J389">
        <v>0.5</v>
      </c>
    </row>
    <row r="390" spans="1:10" x14ac:dyDescent="0.3">
      <c r="A390">
        <v>388</v>
      </c>
      <c r="B390">
        <v>6183</v>
      </c>
      <c r="C390" t="b">
        <v>1</v>
      </c>
      <c r="D390">
        <v>8048</v>
      </c>
      <c r="E390">
        <v>8117</v>
      </c>
      <c r="F390">
        <v>8</v>
      </c>
      <c r="G390">
        <v>8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6199</v>
      </c>
      <c r="C391" t="b">
        <v>1</v>
      </c>
      <c r="D391">
        <v>8048</v>
      </c>
      <c r="E391">
        <v>8129</v>
      </c>
      <c r="F391">
        <v>8</v>
      </c>
      <c r="G391">
        <v>8</v>
      </c>
      <c r="H391">
        <v>1</v>
      </c>
      <c r="I391">
        <v>0</v>
      </c>
      <c r="J391">
        <v>0.5</v>
      </c>
    </row>
    <row r="392" spans="1:10" x14ac:dyDescent="0.3">
      <c r="A392">
        <v>390</v>
      </c>
      <c r="B392">
        <v>6215</v>
      </c>
      <c r="C392" t="b">
        <v>1</v>
      </c>
      <c r="D392">
        <v>8048</v>
      </c>
      <c r="E392">
        <v>8123</v>
      </c>
      <c r="F392">
        <v>8</v>
      </c>
      <c r="G392">
        <v>8</v>
      </c>
      <c r="H392">
        <v>1</v>
      </c>
      <c r="I392">
        <v>0</v>
      </c>
      <c r="J392">
        <v>0.5</v>
      </c>
    </row>
    <row r="393" spans="1:10" x14ac:dyDescent="0.3">
      <c r="A393">
        <v>391</v>
      </c>
      <c r="B393">
        <v>6231</v>
      </c>
      <c r="C393" t="b">
        <v>1</v>
      </c>
      <c r="D393">
        <v>8048</v>
      </c>
      <c r="E393">
        <v>8123</v>
      </c>
      <c r="F393">
        <v>8</v>
      </c>
      <c r="G393">
        <v>8</v>
      </c>
      <c r="H393">
        <v>1</v>
      </c>
      <c r="I393">
        <v>0</v>
      </c>
      <c r="J393">
        <v>0.5</v>
      </c>
    </row>
    <row r="394" spans="1:10" x14ac:dyDescent="0.3">
      <c r="A394">
        <v>392</v>
      </c>
      <c r="B394">
        <v>6247</v>
      </c>
      <c r="C394" t="b">
        <v>1</v>
      </c>
      <c r="D394">
        <v>8042</v>
      </c>
      <c r="E394">
        <v>8123</v>
      </c>
      <c r="F394">
        <v>8</v>
      </c>
      <c r="G394">
        <v>8</v>
      </c>
      <c r="H394">
        <v>1</v>
      </c>
      <c r="I394">
        <v>0</v>
      </c>
      <c r="J394">
        <v>0.5</v>
      </c>
    </row>
    <row r="395" spans="1:10" x14ac:dyDescent="0.3">
      <c r="A395">
        <v>393</v>
      </c>
      <c r="B395">
        <v>6263</v>
      </c>
      <c r="C395" t="b">
        <v>1</v>
      </c>
      <c r="D395">
        <v>8048</v>
      </c>
      <c r="E395">
        <v>8123</v>
      </c>
      <c r="F395">
        <v>8</v>
      </c>
      <c r="G395">
        <v>8</v>
      </c>
      <c r="H395">
        <v>1</v>
      </c>
      <c r="I395">
        <v>0</v>
      </c>
      <c r="J395">
        <v>0.5</v>
      </c>
    </row>
    <row r="396" spans="1:10" x14ac:dyDescent="0.3">
      <c r="A396">
        <v>394</v>
      </c>
      <c r="B396">
        <v>6278</v>
      </c>
      <c r="C396" t="b">
        <v>1</v>
      </c>
      <c r="D396">
        <v>8048</v>
      </c>
      <c r="E396">
        <v>8123</v>
      </c>
      <c r="F396">
        <v>8</v>
      </c>
      <c r="G396">
        <v>8</v>
      </c>
      <c r="H396">
        <v>1</v>
      </c>
      <c r="I396">
        <v>0</v>
      </c>
      <c r="J396">
        <v>0.5</v>
      </c>
    </row>
    <row r="397" spans="1:10" x14ac:dyDescent="0.3">
      <c r="A397">
        <v>395</v>
      </c>
      <c r="B397">
        <v>6294</v>
      </c>
      <c r="C397" t="b">
        <v>1</v>
      </c>
      <c r="D397">
        <v>8054</v>
      </c>
      <c r="E397">
        <v>8123</v>
      </c>
      <c r="F397">
        <v>8</v>
      </c>
      <c r="G397">
        <v>8</v>
      </c>
      <c r="H397">
        <v>1</v>
      </c>
      <c r="I397">
        <v>0</v>
      </c>
      <c r="J397">
        <v>0.5</v>
      </c>
    </row>
    <row r="398" spans="1:10" x14ac:dyDescent="0.3">
      <c r="A398">
        <v>396</v>
      </c>
      <c r="B398">
        <v>6310</v>
      </c>
      <c r="C398" t="b">
        <v>1</v>
      </c>
      <c r="D398">
        <v>8048</v>
      </c>
      <c r="E398">
        <v>8123</v>
      </c>
      <c r="F398">
        <v>8</v>
      </c>
      <c r="G398">
        <v>8</v>
      </c>
      <c r="H398">
        <v>1</v>
      </c>
      <c r="I398">
        <v>0</v>
      </c>
      <c r="J398">
        <v>0.5</v>
      </c>
    </row>
    <row r="399" spans="1:10" x14ac:dyDescent="0.3">
      <c r="A399">
        <v>397</v>
      </c>
      <c r="B399">
        <v>6326</v>
      </c>
      <c r="C399" t="b">
        <v>1</v>
      </c>
      <c r="D399">
        <v>8048</v>
      </c>
      <c r="E399">
        <v>8123</v>
      </c>
      <c r="F399">
        <v>8</v>
      </c>
      <c r="G399">
        <v>8</v>
      </c>
      <c r="H399">
        <v>1</v>
      </c>
      <c r="I399">
        <v>0</v>
      </c>
      <c r="J399">
        <v>0.5</v>
      </c>
    </row>
    <row r="400" spans="1:10" x14ac:dyDescent="0.3">
      <c r="A400">
        <v>398</v>
      </c>
      <c r="B400">
        <v>6342</v>
      </c>
      <c r="C400" t="b">
        <v>1</v>
      </c>
      <c r="D400">
        <v>8054</v>
      </c>
      <c r="E400">
        <v>8134</v>
      </c>
      <c r="F400">
        <v>8</v>
      </c>
      <c r="G400">
        <v>8</v>
      </c>
      <c r="H400">
        <v>1</v>
      </c>
      <c r="I400">
        <v>0</v>
      </c>
      <c r="J400">
        <v>0.5</v>
      </c>
    </row>
    <row r="401" spans="1:10" x14ac:dyDescent="0.3">
      <c r="A401">
        <v>399</v>
      </c>
      <c r="B401">
        <v>6358</v>
      </c>
      <c r="C401" t="b">
        <v>1</v>
      </c>
      <c r="D401">
        <v>8054</v>
      </c>
      <c r="E401">
        <v>8129</v>
      </c>
      <c r="F401">
        <v>8.4</v>
      </c>
      <c r="G401">
        <v>8</v>
      </c>
      <c r="H401">
        <v>1.05</v>
      </c>
      <c r="I401">
        <v>-4.9999952E-2</v>
      </c>
      <c r="J401">
        <v>0.48780489999999999</v>
      </c>
    </row>
    <row r="402" spans="1:10" x14ac:dyDescent="0.3">
      <c r="A402">
        <v>400</v>
      </c>
      <c r="B402">
        <v>6374</v>
      </c>
      <c r="C402" t="b">
        <v>1</v>
      </c>
      <c r="D402">
        <v>8048</v>
      </c>
      <c r="E402">
        <v>8129</v>
      </c>
      <c r="F402">
        <v>8.4</v>
      </c>
      <c r="G402">
        <v>8.4</v>
      </c>
      <c r="H402">
        <v>1</v>
      </c>
      <c r="I402">
        <v>0</v>
      </c>
      <c r="J402">
        <v>0.5</v>
      </c>
    </row>
    <row r="403" spans="1:10" x14ac:dyDescent="0.3">
      <c r="A403">
        <v>401</v>
      </c>
      <c r="B403">
        <v>6390</v>
      </c>
      <c r="C403" t="b">
        <v>1</v>
      </c>
      <c r="D403">
        <v>8054</v>
      </c>
      <c r="E403">
        <v>8134</v>
      </c>
      <c r="F403">
        <v>8.8000000000000007</v>
      </c>
      <c r="G403">
        <v>8.8000000000000007</v>
      </c>
      <c r="H403">
        <v>1</v>
      </c>
      <c r="I403">
        <v>0</v>
      </c>
      <c r="J403">
        <v>0.5</v>
      </c>
    </row>
    <row r="404" spans="1:10" x14ac:dyDescent="0.3">
      <c r="A404">
        <v>402</v>
      </c>
      <c r="B404">
        <v>6406</v>
      </c>
      <c r="C404" t="b">
        <v>1</v>
      </c>
      <c r="D404">
        <v>8048</v>
      </c>
      <c r="E404">
        <v>8129</v>
      </c>
      <c r="F404">
        <v>9.1999999999999993</v>
      </c>
      <c r="G404">
        <v>9.1999999999999993</v>
      </c>
      <c r="H404">
        <v>1</v>
      </c>
      <c r="I404">
        <v>0</v>
      </c>
      <c r="J404">
        <v>0.5</v>
      </c>
    </row>
    <row r="405" spans="1:10" x14ac:dyDescent="0.3">
      <c r="A405">
        <v>403</v>
      </c>
      <c r="B405">
        <v>6422</v>
      </c>
      <c r="C405" t="b">
        <v>1</v>
      </c>
      <c r="D405">
        <v>8048</v>
      </c>
      <c r="E405">
        <v>8123</v>
      </c>
      <c r="F405">
        <v>9.1999999999999993</v>
      </c>
      <c r="G405">
        <v>9.6</v>
      </c>
      <c r="H405">
        <v>0.95833325000000003</v>
      </c>
      <c r="I405">
        <v>4.1666724000000002E-2</v>
      </c>
      <c r="J405">
        <v>0.51063835999999996</v>
      </c>
    </row>
    <row r="406" spans="1:10" x14ac:dyDescent="0.3">
      <c r="A406">
        <v>404</v>
      </c>
      <c r="B406">
        <v>6438</v>
      </c>
      <c r="C406" t="b">
        <v>1</v>
      </c>
      <c r="D406">
        <v>8048</v>
      </c>
      <c r="E406">
        <v>8123</v>
      </c>
      <c r="F406">
        <v>9.1999999999999993</v>
      </c>
      <c r="G406">
        <v>10</v>
      </c>
      <c r="H406">
        <v>0.91999995999999995</v>
      </c>
      <c r="I406">
        <v>8.0000020000000005E-2</v>
      </c>
      <c r="J406">
        <v>0.52083330000000005</v>
      </c>
    </row>
    <row r="407" spans="1:10" x14ac:dyDescent="0.3">
      <c r="A407">
        <v>405</v>
      </c>
      <c r="B407">
        <v>6453</v>
      </c>
      <c r="C407" t="b">
        <v>1</v>
      </c>
      <c r="D407">
        <v>8048</v>
      </c>
      <c r="E407">
        <v>8123</v>
      </c>
      <c r="F407">
        <v>9.1999999999999993</v>
      </c>
      <c r="G407">
        <v>10</v>
      </c>
      <c r="H407">
        <v>0.91999995999999995</v>
      </c>
      <c r="I407">
        <v>8.0000020000000005E-2</v>
      </c>
      <c r="J407">
        <v>0.52083330000000005</v>
      </c>
    </row>
    <row r="408" spans="1:10" x14ac:dyDescent="0.3">
      <c r="A408">
        <v>406</v>
      </c>
      <c r="B408">
        <v>6469</v>
      </c>
      <c r="C408" t="b">
        <v>1</v>
      </c>
      <c r="D408">
        <v>8048</v>
      </c>
      <c r="E408">
        <v>8123</v>
      </c>
      <c r="F408">
        <v>9.1999999999999993</v>
      </c>
      <c r="G408">
        <v>10</v>
      </c>
      <c r="H408">
        <v>0.91999995999999995</v>
      </c>
      <c r="I408">
        <v>8.0000020000000005E-2</v>
      </c>
      <c r="J408">
        <v>0.52083330000000005</v>
      </c>
    </row>
    <row r="409" spans="1:10" x14ac:dyDescent="0.3">
      <c r="A409">
        <v>407</v>
      </c>
      <c r="B409">
        <v>6485</v>
      </c>
      <c r="C409" t="b">
        <v>1</v>
      </c>
      <c r="D409">
        <v>8048</v>
      </c>
      <c r="E409">
        <v>8123</v>
      </c>
      <c r="F409">
        <v>9.1999999999999993</v>
      </c>
      <c r="G409">
        <v>10</v>
      </c>
      <c r="H409">
        <v>0.91999995999999995</v>
      </c>
      <c r="I409">
        <v>8.0000020000000005E-2</v>
      </c>
      <c r="J409">
        <v>0.52083330000000005</v>
      </c>
    </row>
    <row r="410" spans="1:10" x14ac:dyDescent="0.3">
      <c r="A410">
        <v>408</v>
      </c>
      <c r="B410">
        <v>6501</v>
      </c>
      <c r="C410" t="b">
        <v>1</v>
      </c>
      <c r="D410">
        <v>8048</v>
      </c>
      <c r="E410">
        <v>8123</v>
      </c>
      <c r="F410">
        <v>9.1999999999999993</v>
      </c>
      <c r="G410">
        <v>10</v>
      </c>
      <c r="H410">
        <v>0.91999995999999995</v>
      </c>
      <c r="I410">
        <v>8.0000020000000005E-2</v>
      </c>
      <c r="J410">
        <v>0.52083330000000005</v>
      </c>
    </row>
    <row r="411" spans="1:10" x14ac:dyDescent="0.3">
      <c r="A411">
        <v>409</v>
      </c>
      <c r="B411">
        <v>6517</v>
      </c>
      <c r="C411" t="b">
        <v>1</v>
      </c>
      <c r="D411">
        <v>8048</v>
      </c>
      <c r="E411">
        <v>8117</v>
      </c>
      <c r="F411">
        <v>9.1999999999999993</v>
      </c>
      <c r="G411">
        <v>10</v>
      </c>
      <c r="H411">
        <v>0.91999995999999995</v>
      </c>
      <c r="I411">
        <v>8.0000020000000005E-2</v>
      </c>
      <c r="J411">
        <v>0.52083330000000005</v>
      </c>
    </row>
    <row r="412" spans="1:10" x14ac:dyDescent="0.3">
      <c r="A412">
        <v>410</v>
      </c>
      <c r="B412">
        <v>6533</v>
      </c>
      <c r="C412" t="b">
        <v>1</v>
      </c>
      <c r="D412">
        <v>8048</v>
      </c>
      <c r="E412">
        <v>8117</v>
      </c>
      <c r="F412">
        <v>9.1999999999999993</v>
      </c>
      <c r="G412">
        <v>10</v>
      </c>
      <c r="H412">
        <v>0.91999995999999995</v>
      </c>
      <c r="I412">
        <v>8.0000020000000005E-2</v>
      </c>
      <c r="J412">
        <v>0.52083330000000005</v>
      </c>
    </row>
    <row r="413" spans="1:10" x14ac:dyDescent="0.3">
      <c r="A413">
        <v>411</v>
      </c>
      <c r="B413">
        <v>6549</v>
      </c>
      <c r="C413" t="b">
        <v>1</v>
      </c>
      <c r="D413">
        <v>8048</v>
      </c>
      <c r="E413">
        <v>8117</v>
      </c>
      <c r="F413">
        <v>9.1999999999999993</v>
      </c>
      <c r="G413">
        <v>9.6</v>
      </c>
      <c r="H413">
        <v>0.95833325000000003</v>
      </c>
      <c r="I413">
        <v>4.1666724000000002E-2</v>
      </c>
      <c r="J413">
        <v>0.51063835999999996</v>
      </c>
    </row>
    <row r="414" spans="1:10" x14ac:dyDescent="0.3">
      <c r="A414">
        <v>412</v>
      </c>
      <c r="B414">
        <v>6565</v>
      </c>
      <c r="C414" t="b">
        <v>1</v>
      </c>
      <c r="D414">
        <v>8048</v>
      </c>
      <c r="E414">
        <v>8111</v>
      </c>
      <c r="F414">
        <v>9.1999999999999993</v>
      </c>
      <c r="G414">
        <v>9.1999999999999993</v>
      </c>
      <c r="H414">
        <v>1</v>
      </c>
      <c r="I414">
        <v>0</v>
      </c>
      <c r="J414">
        <v>0.5</v>
      </c>
    </row>
    <row r="415" spans="1:10" x14ac:dyDescent="0.3">
      <c r="A415">
        <v>413</v>
      </c>
      <c r="B415">
        <v>6580</v>
      </c>
      <c r="C415" t="b">
        <v>1</v>
      </c>
      <c r="D415">
        <v>8054</v>
      </c>
      <c r="E415">
        <v>8123</v>
      </c>
      <c r="F415">
        <v>9.1999999999999993</v>
      </c>
      <c r="G415">
        <v>8.8000000000000007</v>
      </c>
      <c r="H415">
        <v>1.0454545</v>
      </c>
      <c r="I415">
        <v>-4.5454502000000001E-2</v>
      </c>
      <c r="J415">
        <v>0.48888890000000002</v>
      </c>
    </row>
    <row r="416" spans="1:10" x14ac:dyDescent="0.3">
      <c r="A416">
        <v>414</v>
      </c>
      <c r="B416">
        <v>6596</v>
      </c>
      <c r="C416" t="b">
        <v>1</v>
      </c>
      <c r="D416">
        <v>8054</v>
      </c>
      <c r="E416">
        <v>8123</v>
      </c>
      <c r="F416">
        <v>8.8000000000000007</v>
      </c>
      <c r="G416">
        <v>8.4</v>
      </c>
      <c r="H416">
        <v>1.0476190999999999</v>
      </c>
      <c r="I416">
        <v>-4.7619120000000001E-2</v>
      </c>
      <c r="J416">
        <v>0.48837206</v>
      </c>
    </row>
    <row r="417" spans="1:10" x14ac:dyDescent="0.3">
      <c r="A417">
        <v>415</v>
      </c>
      <c r="B417">
        <v>6612</v>
      </c>
      <c r="C417" t="b">
        <v>1</v>
      </c>
      <c r="D417">
        <v>8048</v>
      </c>
      <c r="E417">
        <v>8123</v>
      </c>
      <c r="F417">
        <v>8.8000000000000007</v>
      </c>
      <c r="G417">
        <v>8</v>
      </c>
      <c r="H417">
        <v>1.1000000000000001</v>
      </c>
      <c r="I417">
        <v>-0.10000002400000001</v>
      </c>
      <c r="J417">
        <v>0.47619050000000002</v>
      </c>
    </row>
    <row r="418" spans="1:10" x14ac:dyDescent="0.3">
      <c r="A418">
        <v>416</v>
      </c>
      <c r="B418">
        <v>6628</v>
      </c>
      <c r="C418" t="b">
        <v>1</v>
      </c>
      <c r="D418">
        <v>8054</v>
      </c>
      <c r="E418">
        <v>8123</v>
      </c>
      <c r="F418">
        <v>8.8000000000000007</v>
      </c>
      <c r="G418">
        <v>7.6</v>
      </c>
      <c r="H418">
        <v>1.1578946999999999</v>
      </c>
      <c r="I418">
        <v>-0.15789478000000001</v>
      </c>
      <c r="J418">
        <v>0.46341463999999999</v>
      </c>
    </row>
    <row r="419" spans="1:10" x14ac:dyDescent="0.3">
      <c r="A419">
        <v>417</v>
      </c>
      <c r="B419">
        <v>6644</v>
      </c>
      <c r="C419" t="b">
        <v>1</v>
      </c>
      <c r="D419">
        <v>8048</v>
      </c>
      <c r="E419">
        <v>8123</v>
      </c>
      <c r="F419">
        <v>8.8000000000000007</v>
      </c>
      <c r="G419">
        <v>7.2</v>
      </c>
      <c r="H419">
        <v>1.2222223000000001</v>
      </c>
      <c r="I419">
        <v>-0.22222227999999999</v>
      </c>
      <c r="J419">
        <v>0.45</v>
      </c>
    </row>
    <row r="420" spans="1:10" x14ac:dyDescent="0.3">
      <c r="A420">
        <v>418</v>
      </c>
      <c r="B420">
        <v>6660</v>
      </c>
      <c r="C420" t="b">
        <v>1</v>
      </c>
      <c r="D420">
        <v>8048</v>
      </c>
      <c r="E420">
        <v>8123</v>
      </c>
      <c r="F420">
        <v>8.8000000000000007</v>
      </c>
      <c r="G420">
        <v>6.8</v>
      </c>
      <c r="H420">
        <v>1.2941176999999999</v>
      </c>
      <c r="I420">
        <v>-0.29411763000000002</v>
      </c>
      <c r="J420">
        <v>0.43589744000000002</v>
      </c>
    </row>
    <row r="421" spans="1:10" x14ac:dyDescent="0.3">
      <c r="A421">
        <v>419</v>
      </c>
      <c r="B421">
        <v>6676</v>
      </c>
      <c r="C421" t="b">
        <v>1</v>
      </c>
      <c r="D421">
        <v>8054</v>
      </c>
      <c r="E421">
        <v>8123</v>
      </c>
      <c r="F421">
        <v>8.8000000000000007</v>
      </c>
      <c r="G421">
        <v>6.4</v>
      </c>
      <c r="H421">
        <v>1.375</v>
      </c>
      <c r="I421">
        <v>-0.375</v>
      </c>
      <c r="J421">
        <v>0.4210526</v>
      </c>
    </row>
    <row r="422" spans="1:10" x14ac:dyDescent="0.3">
      <c r="A422">
        <v>420</v>
      </c>
      <c r="B422">
        <v>6692</v>
      </c>
      <c r="C422" t="b">
        <v>1</v>
      </c>
      <c r="D422">
        <v>8054</v>
      </c>
      <c r="E422">
        <v>8123</v>
      </c>
      <c r="F422">
        <v>9.1999999999999993</v>
      </c>
      <c r="G422">
        <v>6.4</v>
      </c>
      <c r="H422">
        <v>1.4375</v>
      </c>
      <c r="I422">
        <v>-0.43749993999999998</v>
      </c>
      <c r="J422">
        <v>0.41025642000000001</v>
      </c>
    </row>
    <row r="423" spans="1:10" x14ac:dyDescent="0.3">
      <c r="A423">
        <v>421</v>
      </c>
      <c r="B423">
        <v>6708</v>
      </c>
      <c r="C423" t="b">
        <v>1</v>
      </c>
      <c r="D423">
        <v>8048</v>
      </c>
      <c r="E423">
        <v>8123</v>
      </c>
      <c r="F423">
        <v>9.1999999999999993</v>
      </c>
      <c r="G423">
        <v>6.4</v>
      </c>
      <c r="H423">
        <v>1.4375</v>
      </c>
      <c r="I423">
        <v>-0.43749993999999998</v>
      </c>
      <c r="J423">
        <v>0.41025642000000001</v>
      </c>
    </row>
    <row r="424" spans="1:10" x14ac:dyDescent="0.3">
      <c r="A424">
        <v>422</v>
      </c>
      <c r="B424">
        <v>6724</v>
      </c>
      <c r="C424" t="b">
        <v>1</v>
      </c>
      <c r="D424">
        <v>8048</v>
      </c>
      <c r="E424">
        <v>8117</v>
      </c>
      <c r="F424">
        <v>9.1999999999999993</v>
      </c>
      <c r="G424">
        <v>6.4</v>
      </c>
      <c r="H424">
        <v>1.4375</v>
      </c>
      <c r="I424">
        <v>-0.43749993999999998</v>
      </c>
      <c r="J424">
        <v>0.41025642000000001</v>
      </c>
    </row>
    <row r="425" spans="1:10" x14ac:dyDescent="0.3">
      <c r="A425">
        <v>423</v>
      </c>
      <c r="B425">
        <v>6740</v>
      </c>
      <c r="C425" t="b">
        <v>1</v>
      </c>
      <c r="D425">
        <v>8048</v>
      </c>
      <c r="E425">
        <v>8123</v>
      </c>
      <c r="F425">
        <v>9.1999999999999993</v>
      </c>
      <c r="G425">
        <v>6.4</v>
      </c>
      <c r="H425">
        <v>1.4375</v>
      </c>
      <c r="I425">
        <v>-0.43749993999999998</v>
      </c>
      <c r="J425">
        <v>0.41025642000000001</v>
      </c>
    </row>
    <row r="426" spans="1:10" x14ac:dyDescent="0.3">
      <c r="A426">
        <v>424</v>
      </c>
      <c r="B426">
        <v>6756</v>
      </c>
      <c r="C426" t="b">
        <v>1</v>
      </c>
      <c r="D426">
        <v>8042</v>
      </c>
      <c r="E426">
        <v>8123</v>
      </c>
      <c r="F426">
        <v>9.1999999999999993</v>
      </c>
      <c r="G426">
        <v>6.4</v>
      </c>
      <c r="H426">
        <v>1.4375</v>
      </c>
      <c r="I426">
        <v>-0.43749993999999998</v>
      </c>
      <c r="J426">
        <v>0.41025642000000001</v>
      </c>
    </row>
    <row r="427" spans="1:10" x14ac:dyDescent="0.3">
      <c r="A427">
        <v>425</v>
      </c>
      <c r="B427">
        <v>6772</v>
      </c>
      <c r="C427" t="b">
        <v>1</v>
      </c>
      <c r="D427">
        <v>8048</v>
      </c>
      <c r="E427">
        <v>8117</v>
      </c>
      <c r="F427">
        <v>9.1999999999999993</v>
      </c>
      <c r="G427">
        <v>6.4</v>
      </c>
      <c r="H427">
        <v>1.4375</v>
      </c>
      <c r="I427">
        <v>-0.43749993999999998</v>
      </c>
      <c r="J427">
        <v>0.41025642000000001</v>
      </c>
    </row>
    <row r="428" spans="1:10" x14ac:dyDescent="0.3">
      <c r="A428">
        <v>426</v>
      </c>
      <c r="B428">
        <v>6788</v>
      </c>
      <c r="C428" t="b">
        <v>1</v>
      </c>
      <c r="D428">
        <v>8048</v>
      </c>
      <c r="E428">
        <v>8123</v>
      </c>
      <c r="F428">
        <v>9.1999999999999993</v>
      </c>
      <c r="G428">
        <v>6.8</v>
      </c>
      <c r="H428">
        <v>1.3529412000000001</v>
      </c>
      <c r="I428">
        <v>-0.35294110000000001</v>
      </c>
      <c r="J428">
        <v>0.42499999999999999</v>
      </c>
    </row>
    <row r="429" spans="1:10" x14ac:dyDescent="0.3">
      <c r="A429">
        <v>427</v>
      </c>
      <c r="B429">
        <v>6804</v>
      </c>
      <c r="C429" t="b">
        <v>1</v>
      </c>
      <c r="D429">
        <v>8048</v>
      </c>
      <c r="E429">
        <v>8123</v>
      </c>
      <c r="F429">
        <v>9.1999999999999993</v>
      </c>
      <c r="G429">
        <v>7.2</v>
      </c>
      <c r="H429">
        <v>1.2777778</v>
      </c>
      <c r="I429">
        <v>-0.27777780000000002</v>
      </c>
      <c r="J429">
        <v>0.43902439999999998</v>
      </c>
    </row>
    <row r="430" spans="1:10" x14ac:dyDescent="0.3">
      <c r="A430">
        <v>428</v>
      </c>
      <c r="B430">
        <v>6820</v>
      </c>
      <c r="C430" t="b">
        <v>1</v>
      </c>
      <c r="D430">
        <v>8048</v>
      </c>
      <c r="E430">
        <v>8117</v>
      </c>
      <c r="F430">
        <v>9.1999999999999993</v>
      </c>
      <c r="G430">
        <v>7.6</v>
      </c>
      <c r="H430">
        <v>1.2105262999999999</v>
      </c>
      <c r="I430">
        <v>-0.2105263</v>
      </c>
      <c r="J430">
        <v>0.45238096</v>
      </c>
    </row>
    <row r="431" spans="1:10" x14ac:dyDescent="0.3">
      <c r="A431">
        <v>429</v>
      </c>
      <c r="B431">
        <v>6835</v>
      </c>
      <c r="C431" t="b">
        <v>1</v>
      </c>
      <c r="D431">
        <v>8048</v>
      </c>
      <c r="E431">
        <v>8123</v>
      </c>
      <c r="F431">
        <v>9.1999999999999993</v>
      </c>
      <c r="G431">
        <v>8</v>
      </c>
      <c r="H431">
        <v>1.1499999999999999</v>
      </c>
      <c r="I431">
        <v>-0.14999998</v>
      </c>
      <c r="J431">
        <v>0.46511626</v>
      </c>
    </row>
    <row r="432" spans="1:10" x14ac:dyDescent="0.3">
      <c r="A432">
        <v>430</v>
      </c>
      <c r="B432">
        <v>6851</v>
      </c>
      <c r="C432" t="b">
        <v>1</v>
      </c>
      <c r="D432">
        <v>8054</v>
      </c>
      <c r="E432">
        <v>8123</v>
      </c>
      <c r="F432">
        <v>9.1999999999999993</v>
      </c>
      <c r="G432">
        <v>8</v>
      </c>
      <c r="H432">
        <v>1.1499999999999999</v>
      </c>
      <c r="I432">
        <v>-0.14999998</v>
      </c>
      <c r="J432">
        <v>0.46511626</v>
      </c>
    </row>
    <row r="433" spans="1:10" x14ac:dyDescent="0.3">
      <c r="A433">
        <v>431</v>
      </c>
      <c r="B433">
        <v>6867</v>
      </c>
      <c r="C433" t="b">
        <v>1</v>
      </c>
      <c r="D433">
        <v>8048</v>
      </c>
      <c r="E433">
        <v>8123</v>
      </c>
      <c r="F433">
        <v>8.8000000000000007</v>
      </c>
      <c r="G433">
        <v>8</v>
      </c>
      <c r="H433">
        <v>1.1000000000000001</v>
      </c>
      <c r="I433">
        <v>-0.10000002400000001</v>
      </c>
      <c r="J433">
        <v>0.47619050000000002</v>
      </c>
    </row>
    <row r="434" spans="1:10" x14ac:dyDescent="0.3">
      <c r="A434">
        <v>432</v>
      </c>
      <c r="B434">
        <v>6883</v>
      </c>
      <c r="C434" t="b">
        <v>1</v>
      </c>
      <c r="D434">
        <v>8048</v>
      </c>
      <c r="E434">
        <v>8123</v>
      </c>
      <c r="F434">
        <v>8.4</v>
      </c>
      <c r="G434">
        <v>8</v>
      </c>
      <c r="H434">
        <v>1.05</v>
      </c>
      <c r="I434">
        <v>-4.9999952E-2</v>
      </c>
      <c r="J434">
        <v>0.48780489999999999</v>
      </c>
    </row>
    <row r="435" spans="1:10" x14ac:dyDescent="0.3">
      <c r="A435">
        <v>433</v>
      </c>
      <c r="B435">
        <v>6899</v>
      </c>
      <c r="C435" t="b">
        <v>1</v>
      </c>
      <c r="D435">
        <v>8042</v>
      </c>
      <c r="E435">
        <v>8117</v>
      </c>
      <c r="F435">
        <v>8.4</v>
      </c>
      <c r="G435">
        <v>8</v>
      </c>
      <c r="H435">
        <v>1.05</v>
      </c>
      <c r="I435">
        <v>-4.9999952E-2</v>
      </c>
      <c r="J435">
        <v>0.48780489999999999</v>
      </c>
    </row>
    <row r="436" spans="1:10" x14ac:dyDescent="0.3">
      <c r="A436">
        <v>434</v>
      </c>
      <c r="B436">
        <v>6915</v>
      </c>
      <c r="C436" t="b">
        <v>1</v>
      </c>
      <c r="D436">
        <v>8048</v>
      </c>
      <c r="E436">
        <v>8117</v>
      </c>
      <c r="F436">
        <v>8.4</v>
      </c>
      <c r="G436">
        <v>8</v>
      </c>
      <c r="H436">
        <v>1.05</v>
      </c>
      <c r="I436">
        <v>-4.9999952E-2</v>
      </c>
      <c r="J436">
        <v>0.48780489999999999</v>
      </c>
    </row>
    <row r="437" spans="1:10" x14ac:dyDescent="0.3">
      <c r="A437">
        <v>435</v>
      </c>
      <c r="B437">
        <v>6931</v>
      </c>
      <c r="C437" t="b">
        <v>1</v>
      </c>
      <c r="D437">
        <v>8048</v>
      </c>
      <c r="E437">
        <v>8117</v>
      </c>
      <c r="F437">
        <v>8</v>
      </c>
      <c r="G437">
        <v>7.6</v>
      </c>
      <c r="H437">
        <v>1.0526316</v>
      </c>
      <c r="I437">
        <v>-5.2631589999999999E-2</v>
      </c>
      <c r="J437">
        <v>0.48717946000000001</v>
      </c>
    </row>
    <row r="438" spans="1:10" x14ac:dyDescent="0.3">
      <c r="A438">
        <v>436</v>
      </c>
      <c r="B438">
        <v>6947</v>
      </c>
      <c r="C438" t="b">
        <v>1</v>
      </c>
      <c r="D438">
        <v>8048</v>
      </c>
      <c r="E438">
        <v>8117</v>
      </c>
      <c r="F438">
        <v>8</v>
      </c>
      <c r="G438">
        <v>7.2</v>
      </c>
      <c r="H438">
        <v>1.1111112000000001</v>
      </c>
      <c r="I438">
        <v>-0.11111114</v>
      </c>
      <c r="J438">
        <v>0.4736842</v>
      </c>
    </row>
    <row r="439" spans="1:10" x14ac:dyDescent="0.3">
      <c r="A439">
        <v>437</v>
      </c>
      <c r="B439">
        <v>6962</v>
      </c>
      <c r="C439" t="b">
        <v>1</v>
      </c>
      <c r="D439">
        <v>8048</v>
      </c>
      <c r="E439">
        <v>8123</v>
      </c>
      <c r="F439">
        <v>8</v>
      </c>
      <c r="G439">
        <v>6.8</v>
      </c>
      <c r="H439">
        <v>1.1764705</v>
      </c>
      <c r="I439">
        <v>-0.17647055</v>
      </c>
      <c r="J439">
        <v>0.45945944999999999</v>
      </c>
    </row>
    <row r="440" spans="1:10" x14ac:dyDescent="0.3">
      <c r="A440">
        <v>438</v>
      </c>
      <c r="B440">
        <v>6978</v>
      </c>
      <c r="C440" t="b">
        <v>1</v>
      </c>
      <c r="D440">
        <v>8048</v>
      </c>
      <c r="E440">
        <v>8117</v>
      </c>
      <c r="F440">
        <v>8</v>
      </c>
      <c r="G440">
        <v>6.4</v>
      </c>
      <c r="H440">
        <v>1.25</v>
      </c>
      <c r="I440">
        <v>-0.24999999000000001</v>
      </c>
      <c r="J440">
        <v>0.44444447999999998</v>
      </c>
    </row>
    <row r="441" spans="1:10" x14ac:dyDescent="0.3">
      <c r="A441">
        <v>439</v>
      </c>
      <c r="B441">
        <v>6994</v>
      </c>
      <c r="C441" t="b">
        <v>1</v>
      </c>
      <c r="D441">
        <v>8048</v>
      </c>
      <c r="E441">
        <v>8123</v>
      </c>
      <c r="F441">
        <v>8</v>
      </c>
      <c r="G441">
        <v>6</v>
      </c>
      <c r="H441">
        <v>1.3333333999999999</v>
      </c>
      <c r="I441">
        <v>-0.33333333999999998</v>
      </c>
      <c r="J441">
        <v>0.42857142999999998</v>
      </c>
    </row>
    <row r="442" spans="1:10" x14ac:dyDescent="0.3">
      <c r="A442">
        <v>440</v>
      </c>
      <c r="B442">
        <v>7010</v>
      </c>
      <c r="C442" t="b">
        <v>1</v>
      </c>
      <c r="D442">
        <v>8048</v>
      </c>
      <c r="E442">
        <v>8117</v>
      </c>
      <c r="F442">
        <v>8</v>
      </c>
      <c r="G442">
        <v>5.6</v>
      </c>
      <c r="H442">
        <v>1.4285715000000001</v>
      </c>
      <c r="I442">
        <v>-0.42857146000000002</v>
      </c>
      <c r="J442">
        <v>0.41176467999999999</v>
      </c>
    </row>
    <row r="443" spans="1:10" x14ac:dyDescent="0.3">
      <c r="A443">
        <v>441</v>
      </c>
      <c r="B443">
        <v>7026</v>
      </c>
      <c r="C443" t="b">
        <v>1</v>
      </c>
      <c r="D443">
        <v>8048</v>
      </c>
      <c r="E443">
        <v>8123</v>
      </c>
      <c r="F443">
        <v>8</v>
      </c>
      <c r="G443">
        <v>5.6</v>
      </c>
      <c r="H443">
        <v>1.4285715000000001</v>
      </c>
      <c r="I443">
        <v>-0.42857146000000002</v>
      </c>
      <c r="J443">
        <v>0.41176467999999999</v>
      </c>
    </row>
    <row r="444" spans="1:10" x14ac:dyDescent="0.3">
      <c r="A444">
        <v>442</v>
      </c>
      <c r="B444">
        <v>7042</v>
      </c>
      <c r="C444" t="b">
        <v>1</v>
      </c>
      <c r="D444">
        <v>8048</v>
      </c>
      <c r="E444">
        <v>8123</v>
      </c>
      <c r="F444">
        <v>8</v>
      </c>
      <c r="G444">
        <v>5.6</v>
      </c>
      <c r="H444">
        <v>1.4285715000000001</v>
      </c>
      <c r="I444">
        <v>-0.42857146000000002</v>
      </c>
      <c r="J444">
        <v>0.41176467999999999</v>
      </c>
    </row>
    <row r="445" spans="1:10" x14ac:dyDescent="0.3">
      <c r="A445">
        <v>443</v>
      </c>
      <c r="B445">
        <v>7058</v>
      </c>
      <c r="C445" t="b">
        <v>1</v>
      </c>
      <c r="D445">
        <v>8048</v>
      </c>
      <c r="E445">
        <v>8117</v>
      </c>
      <c r="F445">
        <v>8</v>
      </c>
      <c r="G445">
        <v>5.6</v>
      </c>
      <c r="H445">
        <v>1.4285715000000001</v>
      </c>
      <c r="I445">
        <v>-0.42857146000000002</v>
      </c>
      <c r="J445">
        <v>0.41176467999999999</v>
      </c>
    </row>
    <row r="446" spans="1:10" x14ac:dyDescent="0.3">
      <c r="A446">
        <v>444</v>
      </c>
      <c r="B446">
        <v>7074</v>
      </c>
      <c r="C446" t="b">
        <v>1</v>
      </c>
      <c r="D446">
        <v>8048</v>
      </c>
      <c r="E446">
        <v>8117</v>
      </c>
      <c r="F446">
        <v>8</v>
      </c>
      <c r="G446">
        <v>5.2</v>
      </c>
      <c r="H446">
        <v>1.5384616</v>
      </c>
      <c r="I446">
        <v>-0.53846156999999994</v>
      </c>
      <c r="J446">
        <v>0.39393938000000001</v>
      </c>
    </row>
    <row r="447" spans="1:10" x14ac:dyDescent="0.3">
      <c r="A447">
        <v>445</v>
      </c>
      <c r="B447">
        <v>7090</v>
      </c>
      <c r="C447" t="b">
        <v>1</v>
      </c>
      <c r="D447">
        <v>8048</v>
      </c>
      <c r="E447">
        <v>8117</v>
      </c>
      <c r="F447">
        <v>8</v>
      </c>
      <c r="G447">
        <v>4.8</v>
      </c>
      <c r="H447">
        <v>1.6666666000000001</v>
      </c>
      <c r="I447">
        <v>-0.6666666</v>
      </c>
      <c r="J447">
        <v>0.375</v>
      </c>
    </row>
    <row r="448" spans="1:10" x14ac:dyDescent="0.3">
      <c r="A448">
        <v>446</v>
      </c>
      <c r="B448">
        <v>7106</v>
      </c>
      <c r="C448" t="b">
        <v>1</v>
      </c>
      <c r="D448">
        <v>8048</v>
      </c>
      <c r="E448">
        <v>8123</v>
      </c>
      <c r="F448">
        <v>8</v>
      </c>
      <c r="G448">
        <v>4.4000000000000004</v>
      </c>
      <c r="H448">
        <v>1.8181818000000001</v>
      </c>
      <c r="I448">
        <v>-0.81818175000000004</v>
      </c>
      <c r="J448">
        <v>0.35483872999999999</v>
      </c>
    </row>
    <row r="449" spans="1:10" x14ac:dyDescent="0.3">
      <c r="A449">
        <v>447</v>
      </c>
      <c r="B449">
        <v>7122</v>
      </c>
      <c r="C449" t="b">
        <v>1</v>
      </c>
      <c r="D449">
        <v>8048</v>
      </c>
      <c r="E449">
        <v>8123</v>
      </c>
      <c r="F449">
        <v>8</v>
      </c>
      <c r="G449">
        <v>4</v>
      </c>
      <c r="H449">
        <v>2</v>
      </c>
      <c r="I449">
        <v>-1</v>
      </c>
      <c r="J449">
        <v>0.33333333999999998</v>
      </c>
    </row>
    <row r="450" spans="1:10" x14ac:dyDescent="0.3">
      <c r="A450">
        <v>448</v>
      </c>
      <c r="B450">
        <v>7138</v>
      </c>
      <c r="C450" t="b">
        <v>1</v>
      </c>
      <c r="D450">
        <v>8048</v>
      </c>
      <c r="E450">
        <v>8117</v>
      </c>
      <c r="F450">
        <v>8</v>
      </c>
      <c r="G450">
        <v>3.6</v>
      </c>
      <c r="H450">
        <v>2.2222222999999999</v>
      </c>
      <c r="I450">
        <v>-1.2222223000000001</v>
      </c>
      <c r="J450">
        <v>0.31034482000000002</v>
      </c>
    </row>
    <row r="451" spans="1:10" x14ac:dyDescent="0.3">
      <c r="A451">
        <v>449</v>
      </c>
      <c r="B451">
        <v>7154</v>
      </c>
      <c r="C451" t="b">
        <v>1</v>
      </c>
      <c r="D451">
        <v>8048</v>
      </c>
      <c r="E451">
        <v>8123</v>
      </c>
      <c r="F451">
        <v>8</v>
      </c>
      <c r="G451">
        <v>3.6</v>
      </c>
      <c r="H451">
        <v>2.2222222999999999</v>
      </c>
      <c r="I451">
        <v>-1.2222223000000001</v>
      </c>
      <c r="J451">
        <v>0.31034482000000002</v>
      </c>
    </row>
    <row r="452" spans="1:10" x14ac:dyDescent="0.3">
      <c r="A452">
        <v>450</v>
      </c>
      <c r="B452">
        <v>7170</v>
      </c>
      <c r="C452" t="b">
        <v>1</v>
      </c>
      <c r="D452">
        <v>8054</v>
      </c>
      <c r="E452">
        <v>8123</v>
      </c>
      <c r="F452">
        <v>8</v>
      </c>
      <c r="G452">
        <v>4</v>
      </c>
      <c r="H452">
        <v>2</v>
      </c>
      <c r="I452">
        <v>-1</v>
      </c>
      <c r="J452">
        <v>0.33333333999999998</v>
      </c>
    </row>
    <row r="453" spans="1:10" x14ac:dyDescent="0.3">
      <c r="A453">
        <v>451</v>
      </c>
      <c r="B453">
        <v>7186</v>
      </c>
      <c r="C453" t="b">
        <v>1</v>
      </c>
      <c r="D453">
        <v>8048</v>
      </c>
      <c r="E453">
        <v>8123</v>
      </c>
      <c r="F453">
        <v>8</v>
      </c>
      <c r="G453">
        <v>4.4000000000000004</v>
      </c>
      <c r="H453">
        <v>1.8181818000000001</v>
      </c>
      <c r="I453">
        <v>-0.81818175000000004</v>
      </c>
      <c r="J453">
        <v>0.35483872999999999</v>
      </c>
    </row>
    <row r="454" spans="1:10" x14ac:dyDescent="0.3">
      <c r="A454">
        <v>452</v>
      </c>
      <c r="B454">
        <v>7202</v>
      </c>
      <c r="C454" t="b">
        <v>1</v>
      </c>
      <c r="D454">
        <v>8054</v>
      </c>
      <c r="E454">
        <v>8123</v>
      </c>
      <c r="F454">
        <v>8</v>
      </c>
      <c r="G454">
        <v>4.8</v>
      </c>
      <c r="H454">
        <v>1.6666666000000001</v>
      </c>
      <c r="I454">
        <v>-0.6666666</v>
      </c>
      <c r="J454">
        <v>0.375</v>
      </c>
    </row>
    <row r="455" spans="1:10" x14ac:dyDescent="0.3">
      <c r="A455">
        <v>453</v>
      </c>
      <c r="B455">
        <v>7218</v>
      </c>
      <c r="C455" t="b">
        <v>1</v>
      </c>
      <c r="D455">
        <v>8054</v>
      </c>
      <c r="E455">
        <v>8123</v>
      </c>
      <c r="F455">
        <v>8.4</v>
      </c>
      <c r="G455">
        <v>5.2</v>
      </c>
      <c r="H455">
        <v>1.6153846000000001</v>
      </c>
      <c r="I455">
        <v>-0.61538459999999995</v>
      </c>
      <c r="J455">
        <v>0.38235295000000002</v>
      </c>
    </row>
    <row r="456" spans="1:10" x14ac:dyDescent="0.3">
      <c r="A456">
        <v>454</v>
      </c>
      <c r="B456">
        <v>7233</v>
      </c>
      <c r="C456" t="b">
        <v>1</v>
      </c>
      <c r="D456">
        <v>8048</v>
      </c>
      <c r="E456">
        <v>8123</v>
      </c>
      <c r="F456">
        <v>8.8000000000000007</v>
      </c>
      <c r="G456">
        <v>5.6</v>
      </c>
      <c r="H456">
        <v>1.5714287</v>
      </c>
      <c r="I456">
        <v>-0.57142866000000003</v>
      </c>
      <c r="J456">
        <v>0.38888889999999998</v>
      </c>
    </row>
    <row r="457" spans="1:10" x14ac:dyDescent="0.3">
      <c r="A457">
        <v>455</v>
      </c>
      <c r="B457">
        <v>7249</v>
      </c>
      <c r="C457" t="b">
        <v>1</v>
      </c>
      <c r="D457">
        <v>8048</v>
      </c>
      <c r="E457">
        <v>8117</v>
      </c>
      <c r="F457">
        <v>8.8000000000000007</v>
      </c>
      <c r="G457">
        <v>6</v>
      </c>
      <c r="H457">
        <v>1.4666667</v>
      </c>
      <c r="I457">
        <v>-0.46666669999999999</v>
      </c>
      <c r="J457">
        <v>0.40540540000000003</v>
      </c>
    </row>
    <row r="458" spans="1:10" x14ac:dyDescent="0.3">
      <c r="A458">
        <v>456</v>
      </c>
      <c r="B458">
        <v>7265</v>
      </c>
      <c r="C458" t="b">
        <v>1</v>
      </c>
      <c r="D458">
        <v>8048</v>
      </c>
      <c r="E458">
        <v>8123</v>
      </c>
      <c r="F458">
        <v>8.8000000000000007</v>
      </c>
      <c r="G458">
        <v>6</v>
      </c>
      <c r="H458">
        <v>1.4666667</v>
      </c>
      <c r="I458">
        <v>-0.46666669999999999</v>
      </c>
      <c r="J458">
        <v>0.40540540000000003</v>
      </c>
    </row>
    <row r="459" spans="1:10" x14ac:dyDescent="0.3">
      <c r="A459">
        <v>457</v>
      </c>
      <c r="B459">
        <v>7281</v>
      </c>
      <c r="C459" t="b">
        <v>1</v>
      </c>
      <c r="D459">
        <v>8048</v>
      </c>
      <c r="E459">
        <v>8123</v>
      </c>
      <c r="F459">
        <v>8.8000000000000007</v>
      </c>
      <c r="G459">
        <v>6</v>
      </c>
      <c r="H459">
        <v>1.4666667</v>
      </c>
      <c r="I459">
        <v>-0.46666669999999999</v>
      </c>
      <c r="J459">
        <v>0.40540540000000003</v>
      </c>
    </row>
    <row r="460" spans="1:10" x14ac:dyDescent="0.3">
      <c r="A460">
        <v>458</v>
      </c>
      <c r="B460">
        <v>7297</v>
      </c>
      <c r="C460" t="b">
        <v>1</v>
      </c>
      <c r="D460">
        <v>8048</v>
      </c>
      <c r="E460">
        <v>8123</v>
      </c>
      <c r="F460">
        <v>8.8000000000000007</v>
      </c>
      <c r="G460">
        <v>6</v>
      </c>
      <c r="H460">
        <v>1.4666667</v>
      </c>
      <c r="I460">
        <v>-0.46666669999999999</v>
      </c>
      <c r="J460">
        <v>0.40540540000000003</v>
      </c>
    </row>
    <row r="461" spans="1:10" x14ac:dyDescent="0.3">
      <c r="A461">
        <v>459</v>
      </c>
      <c r="B461">
        <v>7312</v>
      </c>
      <c r="C461" t="b">
        <v>1</v>
      </c>
      <c r="D461">
        <v>8048</v>
      </c>
      <c r="E461">
        <v>8123</v>
      </c>
      <c r="F461">
        <v>8.8000000000000007</v>
      </c>
      <c r="G461">
        <v>6.4</v>
      </c>
      <c r="H461">
        <v>1.375</v>
      </c>
      <c r="I461">
        <v>-0.375</v>
      </c>
      <c r="J461">
        <v>0.4210526</v>
      </c>
    </row>
    <row r="462" spans="1:10" x14ac:dyDescent="0.3">
      <c r="A462">
        <v>460</v>
      </c>
      <c r="B462">
        <v>7328</v>
      </c>
      <c r="C462" t="b">
        <v>1</v>
      </c>
      <c r="D462">
        <v>8048</v>
      </c>
      <c r="E462">
        <v>8123</v>
      </c>
      <c r="F462">
        <v>8.8000000000000007</v>
      </c>
      <c r="G462">
        <v>6.8</v>
      </c>
      <c r="H462">
        <v>1.2941176999999999</v>
      </c>
      <c r="I462">
        <v>-0.29411763000000002</v>
      </c>
      <c r="J462">
        <v>0.43589744000000002</v>
      </c>
    </row>
    <row r="463" spans="1:10" x14ac:dyDescent="0.3">
      <c r="A463">
        <v>461</v>
      </c>
      <c r="B463">
        <v>7344</v>
      </c>
      <c r="C463" t="b">
        <v>1</v>
      </c>
      <c r="D463">
        <v>8048</v>
      </c>
      <c r="E463">
        <v>8123</v>
      </c>
      <c r="F463">
        <v>8.8000000000000007</v>
      </c>
      <c r="G463">
        <v>7.2</v>
      </c>
      <c r="H463">
        <v>1.2222223000000001</v>
      </c>
      <c r="I463">
        <v>-0.22222227999999999</v>
      </c>
      <c r="J463">
        <v>0.45</v>
      </c>
    </row>
    <row r="464" spans="1:10" x14ac:dyDescent="0.3">
      <c r="A464">
        <v>462</v>
      </c>
      <c r="B464">
        <v>7360</v>
      </c>
      <c r="C464" t="b">
        <v>1</v>
      </c>
      <c r="D464">
        <v>8048</v>
      </c>
      <c r="E464">
        <v>8123</v>
      </c>
      <c r="F464">
        <v>8.8000000000000007</v>
      </c>
      <c r="G464">
        <v>7.6</v>
      </c>
      <c r="H464">
        <v>1.1578946999999999</v>
      </c>
      <c r="I464">
        <v>-0.15789478000000001</v>
      </c>
      <c r="J464">
        <v>0.46341463999999999</v>
      </c>
    </row>
    <row r="465" spans="1:10" x14ac:dyDescent="0.3">
      <c r="A465">
        <v>463</v>
      </c>
      <c r="B465">
        <v>7376</v>
      </c>
      <c r="C465" t="b">
        <v>1</v>
      </c>
      <c r="D465">
        <v>8048</v>
      </c>
      <c r="E465">
        <v>8123</v>
      </c>
      <c r="F465">
        <v>8.8000000000000007</v>
      </c>
      <c r="G465">
        <v>8</v>
      </c>
      <c r="H465">
        <v>1.1000000000000001</v>
      </c>
      <c r="I465">
        <v>-0.10000002400000001</v>
      </c>
      <c r="J465">
        <v>0.47619050000000002</v>
      </c>
    </row>
    <row r="466" spans="1:10" x14ac:dyDescent="0.3">
      <c r="A466">
        <v>464</v>
      </c>
      <c r="B466">
        <v>7392</v>
      </c>
      <c r="C466" t="b">
        <v>1</v>
      </c>
      <c r="D466">
        <v>8048</v>
      </c>
      <c r="E466">
        <v>8123</v>
      </c>
      <c r="F466">
        <v>8.8000000000000007</v>
      </c>
      <c r="G466">
        <v>8</v>
      </c>
      <c r="H466">
        <v>1.1000000000000001</v>
      </c>
      <c r="I466">
        <v>-0.10000002400000001</v>
      </c>
      <c r="J466">
        <v>0.47619050000000002</v>
      </c>
    </row>
    <row r="467" spans="1:10" x14ac:dyDescent="0.3">
      <c r="A467">
        <v>465</v>
      </c>
      <c r="B467">
        <v>7408</v>
      </c>
      <c r="C467" t="b">
        <v>1</v>
      </c>
      <c r="D467">
        <v>8048</v>
      </c>
      <c r="E467">
        <v>8123</v>
      </c>
      <c r="F467">
        <v>8.8000000000000007</v>
      </c>
      <c r="G467">
        <v>8</v>
      </c>
      <c r="H467">
        <v>1.1000000000000001</v>
      </c>
      <c r="I467">
        <v>-0.10000002400000001</v>
      </c>
      <c r="J467">
        <v>0.47619050000000002</v>
      </c>
    </row>
    <row r="468" spans="1:10" x14ac:dyDescent="0.3">
      <c r="A468">
        <v>466</v>
      </c>
      <c r="B468">
        <v>7424</v>
      </c>
      <c r="C468" t="b">
        <v>1</v>
      </c>
      <c r="D468">
        <v>8054</v>
      </c>
      <c r="E468">
        <v>8117</v>
      </c>
      <c r="F468">
        <v>8.8000000000000007</v>
      </c>
      <c r="G468">
        <v>8</v>
      </c>
      <c r="H468">
        <v>1.1000000000000001</v>
      </c>
      <c r="I468">
        <v>-0.10000002400000001</v>
      </c>
      <c r="J468">
        <v>0.47619050000000002</v>
      </c>
    </row>
    <row r="469" spans="1:10" x14ac:dyDescent="0.3">
      <c r="A469">
        <v>467</v>
      </c>
      <c r="B469">
        <v>7440</v>
      </c>
      <c r="C469" t="b">
        <v>1</v>
      </c>
      <c r="D469">
        <v>8048</v>
      </c>
      <c r="E469">
        <v>8123</v>
      </c>
      <c r="F469">
        <v>8.8000000000000007</v>
      </c>
      <c r="G469">
        <v>8</v>
      </c>
      <c r="H469">
        <v>1.1000000000000001</v>
      </c>
      <c r="I469">
        <v>-0.10000002400000001</v>
      </c>
      <c r="J469">
        <v>0.47619050000000002</v>
      </c>
    </row>
    <row r="470" spans="1:10" x14ac:dyDescent="0.3">
      <c r="A470">
        <v>468</v>
      </c>
      <c r="B470">
        <v>7455</v>
      </c>
      <c r="C470" t="b">
        <v>1</v>
      </c>
      <c r="D470">
        <v>8048</v>
      </c>
      <c r="E470">
        <v>8123</v>
      </c>
      <c r="F470">
        <v>8.4</v>
      </c>
      <c r="G470">
        <v>8</v>
      </c>
      <c r="H470">
        <v>1.05</v>
      </c>
      <c r="I470">
        <v>-4.9999952E-2</v>
      </c>
      <c r="J470">
        <v>0.48780489999999999</v>
      </c>
    </row>
    <row r="471" spans="1:10" x14ac:dyDescent="0.3">
      <c r="A471">
        <v>469</v>
      </c>
      <c r="B471">
        <v>7471</v>
      </c>
      <c r="C471" t="b">
        <v>1</v>
      </c>
      <c r="D471">
        <v>8048</v>
      </c>
      <c r="E471">
        <v>8117</v>
      </c>
      <c r="F471">
        <v>8</v>
      </c>
      <c r="G471">
        <v>8</v>
      </c>
      <c r="H471">
        <v>1</v>
      </c>
      <c r="I471">
        <v>0</v>
      </c>
      <c r="J471">
        <v>0.5</v>
      </c>
    </row>
    <row r="472" spans="1:10" x14ac:dyDescent="0.3">
      <c r="A472">
        <v>470</v>
      </c>
      <c r="B472">
        <v>7487</v>
      </c>
      <c r="C472" t="b">
        <v>1</v>
      </c>
      <c r="D472">
        <v>8048</v>
      </c>
      <c r="E472">
        <v>8117</v>
      </c>
      <c r="F472">
        <v>8</v>
      </c>
      <c r="G472">
        <v>7.6</v>
      </c>
      <c r="H472">
        <v>1.0526316</v>
      </c>
      <c r="I472">
        <v>-5.2631589999999999E-2</v>
      </c>
      <c r="J472">
        <v>0.48717946000000001</v>
      </c>
    </row>
    <row r="473" spans="1:10" x14ac:dyDescent="0.3">
      <c r="A473">
        <v>471</v>
      </c>
      <c r="B473">
        <v>7503</v>
      </c>
      <c r="C473" t="b">
        <v>1</v>
      </c>
      <c r="D473">
        <v>8048</v>
      </c>
      <c r="E473">
        <v>8123</v>
      </c>
      <c r="F473">
        <v>8</v>
      </c>
      <c r="G473">
        <v>7.6</v>
      </c>
      <c r="H473">
        <v>1.0526316</v>
      </c>
      <c r="I473">
        <v>-5.2631589999999999E-2</v>
      </c>
      <c r="J473">
        <v>0.48717946000000001</v>
      </c>
    </row>
    <row r="474" spans="1:10" x14ac:dyDescent="0.3">
      <c r="A474">
        <v>472</v>
      </c>
      <c r="B474">
        <v>7519</v>
      </c>
      <c r="C474" t="b">
        <v>1</v>
      </c>
      <c r="D474">
        <v>8048</v>
      </c>
      <c r="E474">
        <v>8117</v>
      </c>
      <c r="F474">
        <v>8</v>
      </c>
      <c r="G474">
        <v>7.2</v>
      </c>
      <c r="H474">
        <v>1.1111112000000001</v>
      </c>
      <c r="I474">
        <v>-0.11111114</v>
      </c>
      <c r="J474">
        <v>0.4736842</v>
      </c>
    </row>
    <row r="475" spans="1:10" x14ac:dyDescent="0.3">
      <c r="A475">
        <v>473</v>
      </c>
      <c r="B475">
        <v>7535</v>
      </c>
      <c r="C475" t="b">
        <v>1</v>
      </c>
      <c r="D475">
        <v>8048</v>
      </c>
      <c r="E475">
        <v>8123</v>
      </c>
      <c r="F475">
        <v>8</v>
      </c>
      <c r="G475">
        <v>6.8</v>
      </c>
      <c r="H475">
        <v>1.1764705</v>
      </c>
      <c r="I475">
        <v>-0.17647055</v>
      </c>
      <c r="J475">
        <v>0.45945944999999999</v>
      </c>
    </row>
    <row r="476" spans="1:10" x14ac:dyDescent="0.3">
      <c r="A476">
        <v>474</v>
      </c>
      <c r="B476">
        <v>7551</v>
      </c>
      <c r="C476" t="b">
        <v>1</v>
      </c>
      <c r="D476">
        <v>8048</v>
      </c>
      <c r="E476">
        <v>8123</v>
      </c>
      <c r="F476">
        <v>8</v>
      </c>
      <c r="G476">
        <v>6.8</v>
      </c>
      <c r="H476">
        <v>1.1764705</v>
      </c>
      <c r="I476">
        <v>-0.17647055</v>
      </c>
      <c r="J476">
        <v>0.45945944999999999</v>
      </c>
    </row>
    <row r="477" spans="1:10" x14ac:dyDescent="0.3">
      <c r="A477">
        <v>475</v>
      </c>
      <c r="B477">
        <v>7567</v>
      </c>
      <c r="C477" t="b">
        <v>1</v>
      </c>
      <c r="D477">
        <v>8048</v>
      </c>
      <c r="E477">
        <v>8123</v>
      </c>
      <c r="F477">
        <v>8</v>
      </c>
      <c r="G477">
        <v>6.8</v>
      </c>
      <c r="H477">
        <v>1.1764705</v>
      </c>
      <c r="I477">
        <v>-0.17647055</v>
      </c>
      <c r="J477">
        <v>0.45945944999999999</v>
      </c>
    </row>
    <row r="478" spans="1:10" x14ac:dyDescent="0.3">
      <c r="A478">
        <v>476</v>
      </c>
      <c r="B478">
        <v>7583</v>
      </c>
      <c r="C478" t="b">
        <v>1</v>
      </c>
      <c r="D478">
        <v>8054</v>
      </c>
      <c r="E478">
        <v>8123</v>
      </c>
      <c r="F478">
        <v>8</v>
      </c>
      <c r="G478">
        <v>6.8</v>
      </c>
      <c r="H478">
        <v>1.1764705</v>
      </c>
      <c r="I478">
        <v>-0.17647055</v>
      </c>
      <c r="J478">
        <v>0.45945944999999999</v>
      </c>
    </row>
    <row r="479" spans="1:10" x14ac:dyDescent="0.3">
      <c r="A479">
        <v>477</v>
      </c>
      <c r="B479">
        <v>7598</v>
      </c>
      <c r="C479" t="b">
        <v>1</v>
      </c>
      <c r="D479">
        <v>8048</v>
      </c>
      <c r="E479">
        <v>8123</v>
      </c>
      <c r="F479">
        <v>8</v>
      </c>
      <c r="G479">
        <v>6.8</v>
      </c>
      <c r="H479">
        <v>1.1764705</v>
      </c>
      <c r="I479">
        <v>-0.17647055</v>
      </c>
      <c r="J479">
        <v>0.45945944999999999</v>
      </c>
    </row>
    <row r="480" spans="1:10" x14ac:dyDescent="0.3">
      <c r="A480">
        <v>478</v>
      </c>
      <c r="B480">
        <v>7614</v>
      </c>
      <c r="C480" t="b">
        <v>1</v>
      </c>
      <c r="D480">
        <v>8048</v>
      </c>
      <c r="E480">
        <v>8123</v>
      </c>
      <c r="F480">
        <v>8</v>
      </c>
      <c r="G480">
        <v>6.8</v>
      </c>
      <c r="H480">
        <v>1.1764705</v>
      </c>
      <c r="I480">
        <v>-0.17647055</v>
      </c>
      <c r="J480">
        <v>0.45945944999999999</v>
      </c>
    </row>
    <row r="481" spans="1:10" x14ac:dyDescent="0.3">
      <c r="A481">
        <v>479</v>
      </c>
      <c r="B481">
        <v>7630</v>
      </c>
      <c r="C481" t="b">
        <v>1</v>
      </c>
      <c r="D481">
        <v>8048</v>
      </c>
      <c r="E481">
        <v>8117</v>
      </c>
      <c r="F481">
        <v>8</v>
      </c>
      <c r="G481">
        <v>6.8</v>
      </c>
      <c r="H481">
        <v>1.1764705</v>
      </c>
      <c r="I481">
        <v>-0.17647055</v>
      </c>
      <c r="J481">
        <v>0.45945944999999999</v>
      </c>
    </row>
    <row r="482" spans="1:10" x14ac:dyDescent="0.3">
      <c r="A482">
        <v>480</v>
      </c>
      <c r="B482">
        <v>7646</v>
      </c>
      <c r="C482" t="b">
        <v>1</v>
      </c>
      <c r="D482">
        <v>8048</v>
      </c>
      <c r="E482">
        <v>8117</v>
      </c>
      <c r="F482">
        <v>8</v>
      </c>
      <c r="G482">
        <v>6.8</v>
      </c>
      <c r="H482">
        <v>1.1764705</v>
      </c>
      <c r="I482">
        <v>-0.17647055</v>
      </c>
      <c r="J482">
        <v>0.45945944999999999</v>
      </c>
    </row>
    <row r="483" spans="1:10" x14ac:dyDescent="0.3">
      <c r="A483">
        <v>481</v>
      </c>
      <c r="B483">
        <v>7662</v>
      </c>
      <c r="C483" t="b">
        <v>1</v>
      </c>
      <c r="D483">
        <v>8048</v>
      </c>
      <c r="E483">
        <v>8123</v>
      </c>
      <c r="F483">
        <v>8</v>
      </c>
      <c r="G483">
        <v>6.8</v>
      </c>
      <c r="H483">
        <v>1.1764705</v>
      </c>
      <c r="I483">
        <v>-0.17647055</v>
      </c>
      <c r="J483">
        <v>0.45945944999999999</v>
      </c>
    </row>
    <row r="484" spans="1:10" x14ac:dyDescent="0.3">
      <c r="A484">
        <v>482</v>
      </c>
      <c r="B484">
        <v>7677</v>
      </c>
      <c r="C484" t="b">
        <v>1</v>
      </c>
      <c r="D484">
        <v>8048</v>
      </c>
      <c r="E484">
        <v>8123</v>
      </c>
      <c r="F484">
        <v>8</v>
      </c>
      <c r="G484">
        <v>6.8</v>
      </c>
      <c r="H484">
        <v>1.1764705</v>
      </c>
      <c r="I484">
        <v>-0.17647055</v>
      </c>
      <c r="J484">
        <v>0.45945944999999999</v>
      </c>
    </row>
    <row r="485" spans="1:10" x14ac:dyDescent="0.3">
      <c r="A485">
        <v>483</v>
      </c>
      <c r="B485">
        <v>7693</v>
      </c>
      <c r="C485" t="b">
        <v>1</v>
      </c>
      <c r="D485">
        <v>8048</v>
      </c>
      <c r="E485">
        <v>8123</v>
      </c>
      <c r="F485">
        <v>8</v>
      </c>
      <c r="G485">
        <v>6.8</v>
      </c>
      <c r="H485">
        <v>1.1764705</v>
      </c>
      <c r="I485">
        <v>-0.17647055</v>
      </c>
      <c r="J485">
        <v>0.45945944999999999</v>
      </c>
    </row>
    <row r="486" spans="1:10" x14ac:dyDescent="0.3">
      <c r="A486">
        <v>484</v>
      </c>
      <c r="B486">
        <v>7710</v>
      </c>
      <c r="C486" t="b">
        <v>1</v>
      </c>
      <c r="D486">
        <v>8048</v>
      </c>
      <c r="E486">
        <v>8129</v>
      </c>
      <c r="F486">
        <v>8</v>
      </c>
      <c r="G486">
        <v>6.8</v>
      </c>
      <c r="H486">
        <v>1.1764705</v>
      </c>
      <c r="I486">
        <v>-0.17647055</v>
      </c>
      <c r="J486">
        <v>0.45945944999999999</v>
      </c>
    </row>
    <row r="487" spans="1:10" x14ac:dyDescent="0.3">
      <c r="A487">
        <v>485</v>
      </c>
      <c r="B487">
        <v>7725</v>
      </c>
      <c r="C487" t="b">
        <v>1</v>
      </c>
      <c r="D487">
        <v>8048</v>
      </c>
      <c r="E487">
        <v>8129</v>
      </c>
      <c r="F487">
        <v>8</v>
      </c>
      <c r="G487">
        <v>7.2</v>
      </c>
      <c r="H487">
        <v>1.1111112000000001</v>
      </c>
      <c r="I487">
        <v>-0.11111114</v>
      </c>
      <c r="J487">
        <v>0.4736842</v>
      </c>
    </row>
    <row r="488" spans="1:10" x14ac:dyDescent="0.3">
      <c r="A488">
        <v>486</v>
      </c>
      <c r="B488">
        <v>7741</v>
      </c>
      <c r="C488" t="b">
        <v>1</v>
      </c>
      <c r="D488">
        <v>8048</v>
      </c>
      <c r="E488">
        <v>8129</v>
      </c>
      <c r="F488">
        <v>8</v>
      </c>
      <c r="G488">
        <v>7.6</v>
      </c>
      <c r="H488">
        <v>1.0526316</v>
      </c>
      <c r="I488">
        <v>-5.2631589999999999E-2</v>
      </c>
      <c r="J488">
        <v>0.48717946000000001</v>
      </c>
    </row>
    <row r="489" spans="1:10" x14ac:dyDescent="0.3">
      <c r="A489">
        <v>487</v>
      </c>
      <c r="B489">
        <v>7757</v>
      </c>
      <c r="C489" t="b">
        <v>1</v>
      </c>
      <c r="D489">
        <v>8054</v>
      </c>
      <c r="E489">
        <v>8129</v>
      </c>
      <c r="F489">
        <v>8</v>
      </c>
      <c r="G489">
        <v>8.4</v>
      </c>
      <c r="H489">
        <v>0.95238100000000003</v>
      </c>
      <c r="I489">
        <v>4.7619003999999999E-2</v>
      </c>
      <c r="J489">
        <v>0.51219510000000001</v>
      </c>
    </row>
    <row r="490" spans="1:10" x14ac:dyDescent="0.3">
      <c r="A490">
        <v>488</v>
      </c>
      <c r="B490">
        <v>7773</v>
      </c>
      <c r="C490" t="b">
        <v>1</v>
      </c>
      <c r="D490">
        <v>8048</v>
      </c>
      <c r="E490">
        <v>8129</v>
      </c>
      <c r="F490">
        <v>8</v>
      </c>
      <c r="G490">
        <v>9.1999999999999993</v>
      </c>
      <c r="H490">
        <v>0.86956524999999996</v>
      </c>
      <c r="I490">
        <v>0.13043477000000001</v>
      </c>
      <c r="J490">
        <v>0.53488369999999996</v>
      </c>
    </row>
    <row r="491" spans="1:10" x14ac:dyDescent="0.3">
      <c r="A491">
        <v>489</v>
      </c>
      <c r="B491">
        <v>7789</v>
      </c>
      <c r="C491" t="b">
        <v>1</v>
      </c>
      <c r="D491">
        <v>8048</v>
      </c>
      <c r="E491">
        <v>8117</v>
      </c>
      <c r="F491">
        <v>8</v>
      </c>
      <c r="G491">
        <v>9.6</v>
      </c>
      <c r="H491">
        <v>0.83333330000000005</v>
      </c>
      <c r="I491">
        <v>0.1666667</v>
      </c>
      <c r="J491">
        <v>0.54545456000000003</v>
      </c>
    </row>
    <row r="492" spans="1:10" x14ac:dyDescent="0.3">
      <c r="A492">
        <v>490</v>
      </c>
      <c r="B492">
        <v>7804</v>
      </c>
      <c r="C492" t="b">
        <v>1</v>
      </c>
      <c r="D492">
        <v>8048</v>
      </c>
      <c r="E492">
        <v>8123</v>
      </c>
      <c r="F492">
        <v>8</v>
      </c>
      <c r="G492">
        <v>10</v>
      </c>
      <c r="H492">
        <v>0.8</v>
      </c>
      <c r="I492">
        <v>0.2</v>
      </c>
      <c r="J492">
        <v>0.55555560000000004</v>
      </c>
    </row>
    <row r="493" spans="1:10" x14ac:dyDescent="0.3">
      <c r="A493">
        <v>491</v>
      </c>
      <c r="B493">
        <v>7820</v>
      </c>
      <c r="C493" t="b">
        <v>1</v>
      </c>
      <c r="D493">
        <v>8048</v>
      </c>
      <c r="E493">
        <v>8123</v>
      </c>
      <c r="F493">
        <v>8</v>
      </c>
      <c r="G493">
        <v>10</v>
      </c>
      <c r="H493">
        <v>0.8</v>
      </c>
      <c r="I493">
        <v>0.2</v>
      </c>
      <c r="J493">
        <v>0.55555560000000004</v>
      </c>
    </row>
    <row r="494" spans="1:10" x14ac:dyDescent="0.3">
      <c r="A494">
        <v>492</v>
      </c>
      <c r="B494">
        <v>7836</v>
      </c>
      <c r="C494" t="b">
        <v>1</v>
      </c>
      <c r="D494">
        <v>8054</v>
      </c>
      <c r="E494">
        <v>8123</v>
      </c>
      <c r="F494">
        <v>8</v>
      </c>
      <c r="G494">
        <v>10</v>
      </c>
      <c r="H494">
        <v>0.8</v>
      </c>
      <c r="I494">
        <v>0.2</v>
      </c>
      <c r="J494">
        <v>0.55555560000000004</v>
      </c>
    </row>
    <row r="495" spans="1:10" x14ac:dyDescent="0.3">
      <c r="A495">
        <v>493</v>
      </c>
      <c r="B495">
        <v>7851</v>
      </c>
      <c r="C495" t="b">
        <v>1</v>
      </c>
      <c r="D495">
        <v>8054</v>
      </c>
      <c r="E495">
        <v>8129</v>
      </c>
      <c r="F495">
        <v>8</v>
      </c>
      <c r="G495">
        <v>10</v>
      </c>
      <c r="H495">
        <v>0.8</v>
      </c>
      <c r="I495">
        <v>0.2</v>
      </c>
      <c r="J495">
        <v>0.55555560000000004</v>
      </c>
    </row>
    <row r="496" spans="1:10" x14ac:dyDescent="0.3">
      <c r="A496">
        <v>494</v>
      </c>
      <c r="B496">
        <v>7867</v>
      </c>
      <c r="C496" t="b">
        <v>1</v>
      </c>
      <c r="D496">
        <v>8048</v>
      </c>
      <c r="E496">
        <v>8117</v>
      </c>
      <c r="F496">
        <v>8</v>
      </c>
      <c r="G496">
        <v>10</v>
      </c>
      <c r="H496">
        <v>0.8</v>
      </c>
      <c r="I496">
        <v>0.2</v>
      </c>
      <c r="J496">
        <v>0.55555560000000004</v>
      </c>
    </row>
    <row r="497" spans="1:10" x14ac:dyDescent="0.3">
      <c r="A497">
        <v>495</v>
      </c>
      <c r="B497">
        <v>7883</v>
      </c>
      <c r="C497" t="b">
        <v>1</v>
      </c>
      <c r="D497">
        <v>8048</v>
      </c>
      <c r="E497">
        <v>8123</v>
      </c>
      <c r="F497">
        <v>8</v>
      </c>
      <c r="G497">
        <v>10</v>
      </c>
      <c r="H497">
        <v>0.8</v>
      </c>
      <c r="I497">
        <v>0.2</v>
      </c>
      <c r="J497">
        <v>0.55555560000000004</v>
      </c>
    </row>
    <row r="498" spans="1:10" x14ac:dyDescent="0.3">
      <c r="A498">
        <v>496</v>
      </c>
      <c r="B498">
        <v>7899</v>
      </c>
      <c r="C498" t="b">
        <v>1</v>
      </c>
      <c r="D498">
        <v>8048</v>
      </c>
      <c r="E498">
        <v>8129</v>
      </c>
      <c r="F498">
        <v>8</v>
      </c>
      <c r="G498">
        <v>10</v>
      </c>
      <c r="H498">
        <v>0.8</v>
      </c>
      <c r="I498">
        <v>0.2</v>
      </c>
      <c r="J498">
        <v>0.55555560000000004</v>
      </c>
    </row>
    <row r="499" spans="1:10" x14ac:dyDescent="0.3">
      <c r="A499">
        <v>497</v>
      </c>
      <c r="B499">
        <v>7915</v>
      </c>
      <c r="C499" t="b">
        <v>1</v>
      </c>
      <c r="D499">
        <v>8048</v>
      </c>
      <c r="E499">
        <v>8117</v>
      </c>
      <c r="F499">
        <v>8</v>
      </c>
      <c r="G499">
        <v>10</v>
      </c>
      <c r="H499">
        <v>0.8</v>
      </c>
      <c r="I499">
        <v>0.2</v>
      </c>
      <c r="J499">
        <v>0.55555560000000004</v>
      </c>
    </row>
    <row r="500" spans="1:10" x14ac:dyDescent="0.3">
      <c r="A500">
        <v>498</v>
      </c>
      <c r="B500">
        <v>7931</v>
      </c>
      <c r="C500" t="b">
        <v>1</v>
      </c>
      <c r="D500">
        <v>8048</v>
      </c>
      <c r="E500">
        <v>8117</v>
      </c>
      <c r="F500">
        <v>8</v>
      </c>
      <c r="G500">
        <v>9.6</v>
      </c>
      <c r="H500">
        <v>0.83333330000000005</v>
      </c>
      <c r="I500">
        <v>0.1666667</v>
      </c>
      <c r="J500">
        <v>0.54545456000000003</v>
      </c>
    </row>
    <row r="501" spans="1:10" x14ac:dyDescent="0.3">
      <c r="A501">
        <v>499</v>
      </c>
      <c r="B501">
        <v>7946</v>
      </c>
      <c r="C501" t="b">
        <v>1</v>
      </c>
      <c r="D501">
        <v>8054</v>
      </c>
      <c r="E501">
        <v>8117</v>
      </c>
      <c r="F501">
        <v>8</v>
      </c>
      <c r="G501">
        <v>9.1999999999999993</v>
      </c>
      <c r="H501">
        <v>0.86956524999999996</v>
      </c>
      <c r="I501">
        <v>0.13043477000000001</v>
      </c>
      <c r="J501">
        <v>0.53488369999999996</v>
      </c>
    </row>
    <row r="502" spans="1:10" x14ac:dyDescent="0.3">
      <c r="A502">
        <v>500</v>
      </c>
      <c r="B502">
        <v>7963</v>
      </c>
      <c r="C502" t="b">
        <v>1</v>
      </c>
      <c r="D502">
        <v>8048</v>
      </c>
      <c r="E502">
        <v>8117</v>
      </c>
      <c r="F502">
        <v>8</v>
      </c>
      <c r="G502">
        <v>8.8000000000000007</v>
      </c>
      <c r="H502">
        <v>0.90909090000000004</v>
      </c>
      <c r="I502">
        <v>9.0909110000000001E-2</v>
      </c>
      <c r="J502">
        <v>0.52380954999999996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2EE-35D8-4492-8D89-E619023C044C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8054</v>
      </c>
      <c r="E2">
        <v>8123</v>
      </c>
      <c r="F2">
        <v>14</v>
      </c>
      <c r="G2">
        <v>8</v>
      </c>
      <c r="H2">
        <v>1.75</v>
      </c>
      <c r="I2">
        <v>-0.75</v>
      </c>
      <c r="J2">
        <v>0.36363636999999999</v>
      </c>
    </row>
    <row r="3" spans="1:10" x14ac:dyDescent="0.3">
      <c r="A3">
        <v>1</v>
      </c>
      <c r="B3">
        <v>28</v>
      </c>
      <c r="C3" t="b">
        <v>1</v>
      </c>
      <c r="D3">
        <v>8048</v>
      </c>
      <c r="E3">
        <v>8123</v>
      </c>
      <c r="F3">
        <v>14</v>
      </c>
      <c r="G3">
        <v>8</v>
      </c>
      <c r="H3">
        <v>1.75</v>
      </c>
      <c r="I3">
        <v>-0.75</v>
      </c>
      <c r="J3">
        <v>0.36363636999999999</v>
      </c>
    </row>
    <row r="4" spans="1:10" x14ac:dyDescent="0.3">
      <c r="A4">
        <v>2</v>
      </c>
      <c r="B4">
        <v>44</v>
      </c>
      <c r="C4" t="b">
        <v>1</v>
      </c>
      <c r="D4">
        <v>8048</v>
      </c>
      <c r="E4">
        <v>8117</v>
      </c>
      <c r="F4">
        <v>12</v>
      </c>
      <c r="G4">
        <v>8</v>
      </c>
      <c r="H4">
        <v>1.5</v>
      </c>
      <c r="I4">
        <v>-0.5</v>
      </c>
      <c r="J4">
        <v>0.4</v>
      </c>
    </row>
    <row r="5" spans="1:10" x14ac:dyDescent="0.3">
      <c r="A5">
        <v>3</v>
      </c>
      <c r="B5">
        <v>59</v>
      </c>
      <c r="C5" t="b">
        <v>1</v>
      </c>
      <c r="D5">
        <v>8048</v>
      </c>
      <c r="E5">
        <v>8123</v>
      </c>
      <c r="F5">
        <v>11</v>
      </c>
      <c r="G5">
        <v>8</v>
      </c>
      <c r="H5">
        <v>1.375</v>
      </c>
      <c r="I5">
        <v>-0.375</v>
      </c>
      <c r="J5">
        <v>0.42105262999999998</v>
      </c>
    </row>
    <row r="6" spans="1:10" x14ac:dyDescent="0.3">
      <c r="A6">
        <v>4</v>
      </c>
      <c r="B6">
        <v>75</v>
      </c>
      <c r="C6" t="b">
        <v>1</v>
      </c>
      <c r="D6">
        <v>8048</v>
      </c>
      <c r="E6">
        <v>8123</v>
      </c>
      <c r="F6">
        <v>10.4</v>
      </c>
      <c r="G6">
        <v>8</v>
      </c>
      <c r="H6">
        <v>1.3</v>
      </c>
      <c r="I6">
        <v>-0.29999995000000002</v>
      </c>
      <c r="J6">
        <v>0.43478262000000001</v>
      </c>
    </row>
    <row r="7" spans="1:10" x14ac:dyDescent="0.3">
      <c r="A7">
        <v>5</v>
      </c>
      <c r="B7">
        <v>91</v>
      </c>
      <c r="C7" t="b">
        <v>1</v>
      </c>
      <c r="D7">
        <v>8048</v>
      </c>
      <c r="E7">
        <v>8123</v>
      </c>
      <c r="F7">
        <v>10</v>
      </c>
      <c r="G7">
        <v>8</v>
      </c>
      <c r="H7">
        <v>1.25</v>
      </c>
      <c r="I7">
        <v>-0.25</v>
      </c>
      <c r="J7">
        <v>0.44444444999999999</v>
      </c>
    </row>
    <row r="8" spans="1:10" x14ac:dyDescent="0.3">
      <c r="A8">
        <v>6</v>
      </c>
      <c r="B8">
        <v>107</v>
      </c>
      <c r="C8" t="b">
        <v>1</v>
      </c>
      <c r="D8">
        <v>8048</v>
      </c>
      <c r="E8">
        <v>8123</v>
      </c>
      <c r="F8">
        <v>9.7142859999999995</v>
      </c>
      <c r="G8">
        <v>8</v>
      </c>
      <c r="H8">
        <v>1.2142857</v>
      </c>
      <c r="I8">
        <v>-0.21428573000000001</v>
      </c>
      <c r="J8">
        <v>0.45161289999999998</v>
      </c>
    </row>
    <row r="9" spans="1:10" x14ac:dyDescent="0.3">
      <c r="A9">
        <v>7</v>
      </c>
      <c r="B9">
        <v>123</v>
      </c>
      <c r="C9" t="b">
        <v>1</v>
      </c>
      <c r="D9">
        <v>8048</v>
      </c>
      <c r="E9">
        <v>8123</v>
      </c>
      <c r="F9">
        <v>9.5</v>
      </c>
      <c r="G9">
        <v>8</v>
      </c>
      <c r="H9">
        <v>1.1875</v>
      </c>
      <c r="I9">
        <v>-0.1875</v>
      </c>
      <c r="J9">
        <v>0.45714285999999998</v>
      </c>
    </row>
    <row r="10" spans="1:10" x14ac:dyDescent="0.3">
      <c r="A10">
        <v>8</v>
      </c>
      <c r="B10">
        <v>139</v>
      </c>
      <c r="C10" t="b">
        <v>1</v>
      </c>
      <c r="D10">
        <v>8048</v>
      </c>
      <c r="E10">
        <v>8123</v>
      </c>
      <c r="F10">
        <v>9.3333329999999997</v>
      </c>
      <c r="G10">
        <v>8</v>
      </c>
      <c r="H10">
        <v>1.1666666000000001</v>
      </c>
      <c r="I10">
        <v>-0.16666663000000001</v>
      </c>
      <c r="J10">
        <v>0.46153850000000002</v>
      </c>
    </row>
    <row r="11" spans="1:10" x14ac:dyDescent="0.3">
      <c r="A11">
        <v>9</v>
      </c>
      <c r="B11">
        <v>154</v>
      </c>
      <c r="C11" t="b">
        <v>1</v>
      </c>
      <c r="D11">
        <v>8048</v>
      </c>
      <c r="E11">
        <v>8123</v>
      </c>
      <c r="F11">
        <v>9.1999999999999993</v>
      </c>
      <c r="G11">
        <v>8</v>
      </c>
      <c r="H11">
        <v>1.1499999999999999</v>
      </c>
      <c r="I11">
        <v>-0.14999998</v>
      </c>
      <c r="J11">
        <v>0.46511626</v>
      </c>
    </row>
    <row r="12" spans="1:10" x14ac:dyDescent="0.3">
      <c r="A12">
        <v>10</v>
      </c>
      <c r="B12">
        <v>169</v>
      </c>
      <c r="C12" t="b">
        <v>1</v>
      </c>
      <c r="D12">
        <v>8048</v>
      </c>
      <c r="E12">
        <v>8123</v>
      </c>
      <c r="F12">
        <v>9.0909089999999999</v>
      </c>
      <c r="G12">
        <v>8</v>
      </c>
      <c r="H12">
        <v>1.1363635999999999</v>
      </c>
      <c r="I12">
        <v>-0.13636363000000001</v>
      </c>
      <c r="J12">
        <v>0.46808514000000001</v>
      </c>
    </row>
    <row r="13" spans="1:10" x14ac:dyDescent="0.3">
      <c r="A13">
        <v>11</v>
      </c>
      <c r="B13">
        <v>185</v>
      </c>
      <c r="C13" t="b">
        <v>1</v>
      </c>
      <c r="D13">
        <v>8048</v>
      </c>
      <c r="E13">
        <v>8123</v>
      </c>
      <c r="F13">
        <v>9</v>
      </c>
      <c r="G13">
        <v>8</v>
      </c>
      <c r="H13">
        <v>1.125</v>
      </c>
      <c r="I13">
        <v>-0.125</v>
      </c>
      <c r="J13">
        <v>0.47058823999999999</v>
      </c>
    </row>
    <row r="14" spans="1:10" x14ac:dyDescent="0.3">
      <c r="A14">
        <v>12</v>
      </c>
      <c r="B14">
        <v>201</v>
      </c>
      <c r="C14" t="b">
        <v>1</v>
      </c>
      <c r="D14">
        <v>8048</v>
      </c>
      <c r="E14">
        <v>8123</v>
      </c>
      <c r="F14">
        <v>8.9230769999999993</v>
      </c>
      <c r="G14">
        <v>8</v>
      </c>
      <c r="H14">
        <v>1.1153846000000001</v>
      </c>
      <c r="I14">
        <v>-0.11538458</v>
      </c>
      <c r="J14">
        <v>0.47272726999999998</v>
      </c>
    </row>
    <row r="15" spans="1:10" x14ac:dyDescent="0.3">
      <c r="A15">
        <v>13</v>
      </c>
      <c r="B15">
        <v>217</v>
      </c>
      <c r="C15" t="b">
        <v>1</v>
      </c>
      <c r="D15">
        <v>8048</v>
      </c>
      <c r="E15">
        <v>8123</v>
      </c>
      <c r="F15">
        <v>8.8571419999999996</v>
      </c>
      <c r="G15">
        <v>8</v>
      </c>
      <c r="H15">
        <v>1.1071428000000001</v>
      </c>
      <c r="I15">
        <v>-0.10714280599999999</v>
      </c>
      <c r="J15">
        <v>0.47457626000000003</v>
      </c>
    </row>
    <row r="16" spans="1:10" x14ac:dyDescent="0.3">
      <c r="A16">
        <v>14</v>
      </c>
      <c r="B16">
        <v>233</v>
      </c>
      <c r="C16" t="b">
        <v>1</v>
      </c>
      <c r="D16">
        <v>8048</v>
      </c>
      <c r="E16">
        <v>8123</v>
      </c>
      <c r="F16">
        <v>8.8000000000000007</v>
      </c>
      <c r="G16">
        <v>8</v>
      </c>
      <c r="H16">
        <v>1.1000000000000001</v>
      </c>
      <c r="I16">
        <v>-0.10000002400000001</v>
      </c>
      <c r="J16">
        <v>0.47619050000000002</v>
      </c>
    </row>
    <row r="17" spans="1:10" x14ac:dyDescent="0.3">
      <c r="A17">
        <v>15</v>
      </c>
      <c r="B17">
        <v>248</v>
      </c>
      <c r="C17" t="b">
        <v>1</v>
      </c>
      <c r="D17">
        <v>8048</v>
      </c>
      <c r="E17">
        <v>8123</v>
      </c>
      <c r="F17">
        <v>8.4</v>
      </c>
      <c r="G17">
        <v>8</v>
      </c>
      <c r="H17">
        <v>1.05</v>
      </c>
      <c r="I17">
        <v>-4.9999952E-2</v>
      </c>
      <c r="J17">
        <v>0.48780489999999999</v>
      </c>
    </row>
    <row r="18" spans="1:10" x14ac:dyDescent="0.3">
      <c r="A18">
        <v>16</v>
      </c>
      <c r="B18">
        <v>264</v>
      </c>
      <c r="C18" t="b">
        <v>1</v>
      </c>
      <c r="D18">
        <v>8048</v>
      </c>
      <c r="E18">
        <v>8134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279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295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311</v>
      </c>
      <c r="C21" t="b">
        <v>1</v>
      </c>
      <c r="D21">
        <v>8048</v>
      </c>
      <c r="E21">
        <v>8123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326</v>
      </c>
      <c r="C22" t="b">
        <v>1</v>
      </c>
      <c r="D22">
        <v>8048</v>
      </c>
      <c r="E22">
        <v>8117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342</v>
      </c>
      <c r="C23" t="b">
        <v>1</v>
      </c>
      <c r="D23">
        <v>8048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358</v>
      </c>
      <c r="C24" t="b">
        <v>1</v>
      </c>
      <c r="D24">
        <v>8042</v>
      </c>
      <c r="E24">
        <v>8123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374</v>
      </c>
      <c r="C25" t="b">
        <v>1</v>
      </c>
      <c r="D25">
        <v>8048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390</v>
      </c>
      <c r="C26" t="b">
        <v>1</v>
      </c>
      <c r="D26">
        <v>8048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406</v>
      </c>
      <c r="C27" t="b">
        <v>1</v>
      </c>
      <c r="D27">
        <v>8048</v>
      </c>
      <c r="E27">
        <v>8117</v>
      </c>
      <c r="F27">
        <v>8</v>
      </c>
      <c r="G27">
        <v>8</v>
      </c>
      <c r="H27">
        <v>1</v>
      </c>
      <c r="I27">
        <v>0</v>
      </c>
      <c r="J27">
        <v>0.5</v>
      </c>
    </row>
    <row r="28" spans="1:10" x14ac:dyDescent="0.3">
      <c r="A28">
        <v>26</v>
      </c>
      <c r="B28">
        <v>422</v>
      </c>
      <c r="C28" t="b">
        <v>1</v>
      </c>
      <c r="D28">
        <v>8048</v>
      </c>
      <c r="E28">
        <v>8117</v>
      </c>
      <c r="F28">
        <v>8</v>
      </c>
      <c r="G28">
        <v>8</v>
      </c>
      <c r="H28">
        <v>1</v>
      </c>
      <c r="I28">
        <v>0</v>
      </c>
      <c r="J28">
        <v>0.5</v>
      </c>
    </row>
    <row r="29" spans="1:10" x14ac:dyDescent="0.3">
      <c r="A29">
        <v>27</v>
      </c>
      <c r="B29">
        <v>438</v>
      </c>
      <c r="C29" t="b">
        <v>1</v>
      </c>
      <c r="D29">
        <v>8048</v>
      </c>
      <c r="E29">
        <v>8117</v>
      </c>
      <c r="F29">
        <v>8</v>
      </c>
      <c r="G29">
        <v>7.6</v>
      </c>
      <c r="H29">
        <v>1.0526316</v>
      </c>
      <c r="I29">
        <v>-5.2631589999999999E-2</v>
      </c>
      <c r="J29">
        <v>0.48717946000000001</v>
      </c>
    </row>
    <row r="30" spans="1:10" x14ac:dyDescent="0.3">
      <c r="A30">
        <v>28</v>
      </c>
      <c r="B30">
        <v>453</v>
      </c>
      <c r="C30" t="b">
        <v>1</v>
      </c>
      <c r="D30">
        <v>8048</v>
      </c>
      <c r="E30">
        <v>8123</v>
      </c>
      <c r="F30">
        <v>8</v>
      </c>
      <c r="G30">
        <v>7.2</v>
      </c>
      <c r="H30">
        <v>1.1111112000000001</v>
      </c>
      <c r="I30">
        <v>-0.11111114</v>
      </c>
      <c r="J30">
        <v>0.4736842</v>
      </c>
    </row>
    <row r="31" spans="1:10" x14ac:dyDescent="0.3">
      <c r="A31">
        <v>29</v>
      </c>
      <c r="B31">
        <v>484</v>
      </c>
      <c r="C31" t="b">
        <v>1</v>
      </c>
      <c r="D31">
        <v>8042</v>
      </c>
      <c r="E31">
        <v>8123</v>
      </c>
      <c r="F31">
        <v>8</v>
      </c>
      <c r="G31">
        <v>6.8</v>
      </c>
      <c r="H31">
        <v>1.1764705</v>
      </c>
      <c r="I31">
        <v>-0.17647055</v>
      </c>
      <c r="J31">
        <v>0.45945944999999999</v>
      </c>
    </row>
    <row r="32" spans="1:10" x14ac:dyDescent="0.3">
      <c r="A32">
        <v>30</v>
      </c>
      <c r="B32">
        <v>500</v>
      </c>
      <c r="C32" t="b">
        <v>1</v>
      </c>
      <c r="D32">
        <v>8048</v>
      </c>
      <c r="E32">
        <v>8123</v>
      </c>
      <c r="F32">
        <v>8</v>
      </c>
      <c r="G32">
        <v>6.8</v>
      </c>
      <c r="H32">
        <v>1.1764705</v>
      </c>
      <c r="I32">
        <v>-0.17647055</v>
      </c>
      <c r="J32">
        <v>0.45945944999999999</v>
      </c>
    </row>
    <row r="33" spans="1:10" x14ac:dyDescent="0.3">
      <c r="A33">
        <v>31</v>
      </c>
      <c r="B33">
        <v>516</v>
      </c>
      <c r="C33" t="b">
        <v>1</v>
      </c>
      <c r="D33">
        <v>8048</v>
      </c>
      <c r="E33">
        <v>8123</v>
      </c>
      <c r="F33">
        <v>8</v>
      </c>
      <c r="G33">
        <v>6.8</v>
      </c>
      <c r="H33">
        <v>1.1764705</v>
      </c>
      <c r="I33">
        <v>-0.17647055</v>
      </c>
      <c r="J33">
        <v>0.45945944999999999</v>
      </c>
    </row>
    <row r="34" spans="1:10" x14ac:dyDescent="0.3">
      <c r="A34">
        <v>32</v>
      </c>
      <c r="B34">
        <v>532</v>
      </c>
      <c r="C34" t="b">
        <v>1</v>
      </c>
      <c r="D34">
        <v>8048</v>
      </c>
      <c r="E34">
        <v>8117</v>
      </c>
      <c r="F34">
        <v>8</v>
      </c>
      <c r="G34">
        <v>6.8</v>
      </c>
      <c r="H34">
        <v>1.1764705</v>
      </c>
      <c r="I34">
        <v>-0.17647055</v>
      </c>
      <c r="J34">
        <v>0.45945944999999999</v>
      </c>
    </row>
    <row r="35" spans="1:10" x14ac:dyDescent="0.3">
      <c r="A35">
        <v>33</v>
      </c>
      <c r="B35">
        <v>548</v>
      </c>
      <c r="C35" t="b">
        <v>1</v>
      </c>
      <c r="D35">
        <v>8048</v>
      </c>
      <c r="E35">
        <v>8123</v>
      </c>
      <c r="F35">
        <v>8</v>
      </c>
      <c r="G35">
        <v>6.8</v>
      </c>
      <c r="H35">
        <v>1.1764705</v>
      </c>
      <c r="I35">
        <v>-0.17647055</v>
      </c>
      <c r="J35">
        <v>0.45945944999999999</v>
      </c>
    </row>
    <row r="36" spans="1:10" x14ac:dyDescent="0.3">
      <c r="A36">
        <v>34</v>
      </c>
      <c r="B36">
        <v>564</v>
      </c>
      <c r="C36" t="b">
        <v>1</v>
      </c>
      <c r="D36">
        <v>8048</v>
      </c>
      <c r="E36">
        <v>8123</v>
      </c>
      <c r="F36">
        <v>8</v>
      </c>
      <c r="G36">
        <v>6.8</v>
      </c>
      <c r="H36">
        <v>1.1764705</v>
      </c>
      <c r="I36">
        <v>-0.17647055</v>
      </c>
      <c r="J36">
        <v>0.45945944999999999</v>
      </c>
    </row>
    <row r="37" spans="1:10" x14ac:dyDescent="0.3">
      <c r="A37">
        <v>35</v>
      </c>
      <c r="B37">
        <v>580</v>
      </c>
      <c r="C37" t="b">
        <v>1</v>
      </c>
      <c r="D37">
        <v>8042</v>
      </c>
      <c r="E37">
        <v>8123</v>
      </c>
      <c r="F37">
        <v>8</v>
      </c>
      <c r="G37">
        <v>6.8</v>
      </c>
      <c r="H37">
        <v>1.1764705</v>
      </c>
      <c r="I37">
        <v>-0.17647055</v>
      </c>
      <c r="J37">
        <v>0.45945944999999999</v>
      </c>
    </row>
    <row r="38" spans="1:10" x14ac:dyDescent="0.3">
      <c r="A38">
        <v>36</v>
      </c>
      <c r="B38">
        <v>595</v>
      </c>
      <c r="C38" t="b">
        <v>1</v>
      </c>
      <c r="D38">
        <v>8054</v>
      </c>
      <c r="E38">
        <v>8123</v>
      </c>
      <c r="F38">
        <v>8</v>
      </c>
      <c r="G38">
        <v>6.8</v>
      </c>
      <c r="H38">
        <v>1.1764705</v>
      </c>
      <c r="I38">
        <v>-0.17647055</v>
      </c>
      <c r="J38">
        <v>0.45945944999999999</v>
      </c>
    </row>
    <row r="39" spans="1:10" x14ac:dyDescent="0.3">
      <c r="A39">
        <v>37</v>
      </c>
      <c r="B39">
        <v>611</v>
      </c>
      <c r="C39" t="b">
        <v>1</v>
      </c>
      <c r="D39">
        <v>8054</v>
      </c>
      <c r="E39">
        <v>8123</v>
      </c>
      <c r="F39">
        <v>8</v>
      </c>
      <c r="G39">
        <v>6.8</v>
      </c>
      <c r="H39">
        <v>1.1764705</v>
      </c>
      <c r="I39">
        <v>-0.17647055</v>
      </c>
      <c r="J39">
        <v>0.45945944999999999</v>
      </c>
    </row>
    <row r="40" spans="1:10" x14ac:dyDescent="0.3">
      <c r="A40">
        <v>38</v>
      </c>
      <c r="B40">
        <v>627</v>
      </c>
      <c r="C40" t="b">
        <v>1</v>
      </c>
      <c r="D40">
        <v>8054</v>
      </c>
      <c r="E40">
        <v>8123</v>
      </c>
      <c r="F40">
        <v>8.4</v>
      </c>
      <c r="G40">
        <v>6.8</v>
      </c>
      <c r="H40">
        <v>1.2352939999999999</v>
      </c>
      <c r="I40">
        <v>-0.23529402999999999</v>
      </c>
      <c r="J40">
        <v>0.44736843999999998</v>
      </c>
    </row>
    <row r="41" spans="1:10" x14ac:dyDescent="0.3">
      <c r="A41">
        <v>39</v>
      </c>
      <c r="B41">
        <v>643</v>
      </c>
      <c r="C41" t="b">
        <v>1</v>
      </c>
      <c r="D41">
        <v>8054</v>
      </c>
      <c r="E41">
        <v>8123</v>
      </c>
      <c r="F41">
        <v>8.8000000000000007</v>
      </c>
      <c r="G41">
        <v>6.8</v>
      </c>
      <c r="H41">
        <v>1.2941176999999999</v>
      </c>
      <c r="I41">
        <v>-0.29411763000000002</v>
      </c>
      <c r="J41">
        <v>0.43589744000000002</v>
      </c>
    </row>
    <row r="42" spans="1:10" x14ac:dyDescent="0.3">
      <c r="A42">
        <v>40</v>
      </c>
      <c r="B42">
        <v>658</v>
      </c>
      <c r="C42" t="b">
        <v>1</v>
      </c>
      <c r="D42">
        <v>8054</v>
      </c>
      <c r="E42">
        <v>8117</v>
      </c>
      <c r="F42">
        <v>9.1999999999999993</v>
      </c>
      <c r="G42">
        <v>6.8</v>
      </c>
      <c r="H42">
        <v>1.3529412000000001</v>
      </c>
      <c r="I42">
        <v>-0.35294110000000001</v>
      </c>
      <c r="J42">
        <v>0.42499999999999999</v>
      </c>
    </row>
    <row r="43" spans="1:10" x14ac:dyDescent="0.3">
      <c r="A43">
        <v>41</v>
      </c>
      <c r="B43">
        <v>674</v>
      </c>
      <c r="C43" t="b">
        <v>1</v>
      </c>
      <c r="D43">
        <v>8054</v>
      </c>
      <c r="E43">
        <v>8111</v>
      </c>
      <c r="F43">
        <v>9.6</v>
      </c>
      <c r="G43">
        <v>6.8</v>
      </c>
      <c r="H43">
        <v>1.4117647</v>
      </c>
      <c r="I43">
        <v>-0.41176469999999998</v>
      </c>
      <c r="J43">
        <v>0.41463410000000001</v>
      </c>
    </row>
    <row r="44" spans="1:10" x14ac:dyDescent="0.3">
      <c r="A44">
        <v>42</v>
      </c>
      <c r="B44">
        <v>690</v>
      </c>
      <c r="C44" t="b">
        <v>1</v>
      </c>
      <c r="D44">
        <v>8048</v>
      </c>
      <c r="E44">
        <v>8123</v>
      </c>
      <c r="F44">
        <v>10</v>
      </c>
      <c r="G44">
        <v>7.2</v>
      </c>
      <c r="H44">
        <v>1.388889</v>
      </c>
      <c r="I44">
        <v>-0.38888893000000002</v>
      </c>
      <c r="J44">
        <v>0.41860459999999999</v>
      </c>
    </row>
    <row r="45" spans="1:10" x14ac:dyDescent="0.3">
      <c r="A45">
        <v>43</v>
      </c>
      <c r="B45">
        <v>706</v>
      </c>
      <c r="C45" t="b">
        <v>1</v>
      </c>
      <c r="D45">
        <v>8048</v>
      </c>
      <c r="E45">
        <v>8117</v>
      </c>
      <c r="F45">
        <v>10.4</v>
      </c>
      <c r="G45">
        <v>7.2</v>
      </c>
      <c r="H45">
        <v>1.4444444000000001</v>
      </c>
      <c r="I45">
        <v>-0.44444442000000001</v>
      </c>
      <c r="J45">
        <v>0.40909094000000001</v>
      </c>
    </row>
    <row r="46" spans="1:10" x14ac:dyDescent="0.3">
      <c r="A46">
        <v>44</v>
      </c>
      <c r="B46">
        <v>722</v>
      </c>
      <c r="C46" t="b">
        <v>1</v>
      </c>
      <c r="D46">
        <v>8048</v>
      </c>
      <c r="E46">
        <v>8117</v>
      </c>
      <c r="F46">
        <v>10.4</v>
      </c>
      <c r="G46">
        <v>7.2</v>
      </c>
      <c r="H46">
        <v>1.4444444000000001</v>
      </c>
      <c r="I46">
        <v>-0.44444442000000001</v>
      </c>
      <c r="J46">
        <v>0.40909094000000001</v>
      </c>
    </row>
    <row r="47" spans="1:10" x14ac:dyDescent="0.3">
      <c r="A47">
        <v>45</v>
      </c>
      <c r="B47">
        <v>738</v>
      </c>
      <c r="C47" t="b">
        <v>1</v>
      </c>
      <c r="D47">
        <v>8042</v>
      </c>
      <c r="E47">
        <v>8123</v>
      </c>
      <c r="F47">
        <v>10.4</v>
      </c>
      <c r="G47">
        <v>6.8</v>
      </c>
      <c r="H47">
        <v>1.5294117</v>
      </c>
      <c r="I47">
        <v>-0.52941170000000004</v>
      </c>
      <c r="J47">
        <v>0.39534881999999999</v>
      </c>
    </row>
    <row r="48" spans="1:10" x14ac:dyDescent="0.3">
      <c r="A48">
        <v>46</v>
      </c>
      <c r="B48">
        <v>754</v>
      </c>
      <c r="C48" t="b">
        <v>1</v>
      </c>
      <c r="D48">
        <v>8048</v>
      </c>
      <c r="E48">
        <v>8123</v>
      </c>
      <c r="F48">
        <v>10.4</v>
      </c>
      <c r="G48">
        <v>6.8</v>
      </c>
      <c r="H48">
        <v>1.5294117</v>
      </c>
      <c r="I48">
        <v>-0.52941170000000004</v>
      </c>
      <c r="J48">
        <v>0.39534881999999999</v>
      </c>
    </row>
    <row r="49" spans="1:10" x14ac:dyDescent="0.3">
      <c r="A49">
        <v>47</v>
      </c>
      <c r="B49">
        <v>770</v>
      </c>
      <c r="C49" t="b">
        <v>1</v>
      </c>
      <c r="D49">
        <v>8048</v>
      </c>
      <c r="E49">
        <v>8129</v>
      </c>
      <c r="F49">
        <v>10.4</v>
      </c>
      <c r="G49">
        <v>6.8</v>
      </c>
      <c r="H49">
        <v>1.5294117</v>
      </c>
      <c r="I49">
        <v>-0.52941170000000004</v>
      </c>
      <c r="J49">
        <v>0.39534881999999999</v>
      </c>
    </row>
    <row r="50" spans="1:10" x14ac:dyDescent="0.3">
      <c r="A50">
        <v>48</v>
      </c>
      <c r="B50">
        <v>786</v>
      </c>
      <c r="C50" t="b">
        <v>1</v>
      </c>
      <c r="D50">
        <v>8048</v>
      </c>
      <c r="E50">
        <v>8123</v>
      </c>
      <c r="F50">
        <v>10.4</v>
      </c>
      <c r="G50">
        <v>6.8</v>
      </c>
      <c r="H50">
        <v>1.5294117</v>
      </c>
      <c r="I50">
        <v>-0.52941170000000004</v>
      </c>
      <c r="J50">
        <v>0.39534881999999999</v>
      </c>
    </row>
    <row r="51" spans="1:10" x14ac:dyDescent="0.3">
      <c r="A51">
        <v>49</v>
      </c>
      <c r="B51">
        <v>802</v>
      </c>
      <c r="C51" t="b">
        <v>1</v>
      </c>
      <c r="D51">
        <v>8048</v>
      </c>
      <c r="E51">
        <v>8123</v>
      </c>
      <c r="F51">
        <v>10.4</v>
      </c>
      <c r="G51">
        <v>6.8</v>
      </c>
      <c r="H51">
        <v>1.5294117</v>
      </c>
      <c r="I51">
        <v>-0.52941170000000004</v>
      </c>
      <c r="J51">
        <v>0.39534881999999999</v>
      </c>
    </row>
    <row r="52" spans="1:10" x14ac:dyDescent="0.3">
      <c r="A52">
        <v>50</v>
      </c>
      <c r="B52">
        <v>818</v>
      </c>
      <c r="C52" t="b">
        <v>1</v>
      </c>
      <c r="D52">
        <v>8048</v>
      </c>
      <c r="E52">
        <v>8123</v>
      </c>
      <c r="F52">
        <v>10.4</v>
      </c>
      <c r="G52">
        <v>6.8</v>
      </c>
      <c r="H52">
        <v>1.5294117</v>
      </c>
      <c r="I52">
        <v>-0.52941170000000004</v>
      </c>
      <c r="J52">
        <v>0.39534881999999999</v>
      </c>
    </row>
    <row r="53" spans="1:10" x14ac:dyDescent="0.3">
      <c r="A53">
        <v>51</v>
      </c>
      <c r="B53">
        <v>835</v>
      </c>
      <c r="C53" t="b">
        <v>1</v>
      </c>
      <c r="D53">
        <v>8048</v>
      </c>
      <c r="E53">
        <v>8123</v>
      </c>
      <c r="F53">
        <v>10.4</v>
      </c>
      <c r="G53">
        <v>6.8</v>
      </c>
      <c r="H53">
        <v>1.5294117</v>
      </c>
      <c r="I53">
        <v>-0.52941170000000004</v>
      </c>
      <c r="J53">
        <v>0.39534881999999999</v>
      </c>
    </row>
    <row r="54" spans="1:10" x14ac:dyDescent="0.3">
      <c r="A54">
        <v>52</v>
      </c>
      <c r="B54">
        <v>850</v>
      </c>
      <c r="C54" t="b">
        <v>1</v>
      </c>
      <c r="D54">
        <v>8054</v>
      </c>
      <c r="E54">
        <v>8123</v>
      </c>
      <c r="F54">
        <v>10.4</v>
      </c>
      <c r="G54">
        <v>6.8</v>
      </c>
      <c r="H54">
        <v>1.5294117</v>
      </c>
      <c r="I54">
        <v>-0.52941170000000004</v>
      </c>
      <c r="J54">
        <v>0.39534881999999999</v>
      </c>
    </row>
    <row r="55" spans="1:10" x14ac:dyDescent="0.3">
      <c r="A55">
        <v>53</v>
      </c>
      <c r="B55">
        <v>866</v>
      </c>
      <c r="C55" t="b">
        <v>1</v>
      </c>
      <c r="D55">
        <v>8054</v>
      </c>
      <c r="E55">
        <v>8123</v>
      </c>
      <c r="F55">
        <v>10</v>
      </c>
      <c r="G55">
        <v>6.8</v>
      </c>
      <c r="H55">
        <v>1.4705881999999999</v>
      </c>
      <c r="I55">
        <v>-0.47058820000000001</v>
      </c>
      <c r="J55">
        <v>0.40476193999999999</v>
      </c>
    </row>
    <row r="56" spans="1:10" x14ac:dyDescent="0.3">
      <c r="A56">
        <v>54</v>
      </c>
      <c r="B56">
        <v>882</v>
      </c>
      <c r="C56" t="b">
        <v>1</v>
      </c>
      <c r="D56">
        <v>8048</v>
      </c>
      <c r="E56">
        <v>8123</v>
      </c>
      <c r="F56">
        <v>9.6</v>
      </c>
      <c r="G56">
        <v>6.8</v>
      </c>
      <c r="H56">
        <v>1.4117647</v>
      </c>
      <c r="I56">
        <v>-0.41176469999999998</v>
      </c>
      <c r="J56">
        <v>0.41463410000000001</v>
      </c>
    </row>
    <row r="57" spans="1:10" x14ac:dyDescent="0.3">
      <c r="A57">
        <v>55</v>
      </c>
      <c r="B57">
        <v>898</v>
      </c>
      <c r="C57" t="b">
        <v>1</v>
      </c>
      <c r="D57">
        <v>8048</v>
      </c>
      <c r="E57">
        <v>8123</v>
      </c>
      <c r="F57">
        <v>9.1999999999999993</v>
      </c>
      <c r="G57">
        <v>6.8</v>
      </c>
      <c r="H57">
        <v>1.3529412000000001</v>
      </c>
      <c r="I57">
        <v>-0.35294110000000001</v>
      </c>
      <c r="J57">
        <v>0.42499999999999999</v>
      </c>
    </row>
    <row r="58" spans="1:10" x14ac:dyDescent="0.3">
      <c r="A58">
        <v>56</v>
      </c>
      <c r="B58">
        <v>913</v>
      </c>
      <c r="C58" t="b">
        <v>1</v>
      </c>
      <c r="D58">
        <v>8048</v>
      </c>
      <c r="E58">
        <v>8123</v>
      </c>
      <c r="F58">
        <v>8.8000000000000007</v>
      </c>
      <c r="G58">
        <v>6.8</v>
      </c>
      <c r="H58">
        <v>1.2941176999999999</v>
      </c>
      <c r="I58">
        <v>-0.29411763000000002</v>
      </c>
      <c r="J58">
        <v>0.43589744000000002</v>
      </c>
    </row>
    <row r="59" spans="1:10" x14ac:dyDescent="0.3">
      <c r="A59">
        <v>57</v>
      </c>
      <c r="B59">
        <v>929</v>
      </c>
      <c r="C59" t="b">
        <v>1</v>
      </c>
      <c r="D59">
        <v>8048</v>
      </c>
      <c r="E59">
        <v>8123</v>
      </c>
      <c r="F59">
        <v>8.4</v>
      </c>
      <c r="G59">
        <v>6.8</v>
      </c>
      <c r="H59">
        <v>1.2352939999999999</v>
      </c>
      <c r="I59">
        <v>-0.23529402999999999</v>
      </c>
      <c r="J59">
        <v>0.44736843999999998</v>
      </c>
    </row>
    <row r="60" spans="1:10" x14ac:dyDescent="0.3">
      <c r="A60">
        <v>58</v>
      </c>
      <c r="B60">
        <v>945</v>
      </c>
      <c r="C60" t="b">
        <v>1</v>
      </c>
      <c r="D60">
        <v>8048</v>
      </c>
      <c r="E60">
        <v>8123</v>
      </c>
      <c r="F60">
        <v>8</v>
      </c>
      <c r="G60">
        <v>7.2</v>
      </c>
      <c r="H60">
        <v>1.1111112000000001</v>
      </c>
      <c r="I60">
        <v>-0.11111114</v>
      </c>
      <c r="J60">
        <v>0.4736842</v>
      </c>
    </row>
    <row r="61" spans="1:10" x14ac:dyDescent="0.3">
      <c r="A61">
        <v>59</v>
      </c>
      <c r="B61">
        <v>961</v>
      </c>
      <c r="C61" t="b">
        <v>1</v>
      </c>
      <c r="D61">
        <v>8054</v>
      </c>
      <c r="E61">
        <v>8123</v>
      </c>
      <c r="F61">
        <v>8</v>
      </c>
      <c r="G61">
        <v>7.6</v>
      </c>
      <c r="H61">
        <v>1.0526316</v>
      </c>
      <c r="I61">
        <v>-5.2631589999999999E-2</v>
      </c>
      <c r="J61">
        <v>0.48717946000000001</v>
      </c>
    </row>
    <row r="62" spans="1:10" x14ac:dyDescent="0.3">
      <c r="A62">
        <v>60</v>
      </c>
      <c r="B62">
        <v>976</v>
      </c>
      <c r="C62" t="b">
        <v>1</v>
      </c>
      <c r="D62">
        <v>8048</v>
      </c>
      <c r="E62">
        <v>8123</v>
      </c>
      <c r="F62">
        <v>8</v>
      </c>
      <c r="G62">
        <v>8</v>
      </c>
      <c r="H62">
        <v>1</v>
      </c>
      <c r="I62">
        <v>0</v>
      </c>
      <c r="J62">
        <v>0.5</v>
      </c>
    </row>
    <row r="63" spans="1:10" x14ac:dyDescent="0.3">
      <c r="A63">
        <v>61</v>
      </c>
      <c r="B63">
        <v>992</v>
      </c>
      <c r="C63" t="b">
        <v>1</v>
      </c>
      <c r="D63">
        <v>8048</v>
      </c>
      <c r="E63">
        <v>8123</v>
      </c>
      <c r="F63">
        <v>8</v>
      </c>
      <c r="G63">
        <v>8</v>
      </c>
      <c r="H63">
        <v>1</v>
      </c>
      <c r="I63">
        <v>0</v>
      </c>
      <c r="J63">
        <v>0.5</v>
      </c>
    </row>
    <row r="64" spans="1:10" x14ac:dyDescent="0.3">
      <c r="A64">
        <v>62</v>
      </c>
      <c r="B64">
        <v>1008</v>
      </c>
      <c r="C64" t="b">
        <v>1</v>
      </c>
      <c r="D64">
        <v>8048</v>
      </c>
      <c r="E64">
        <v>8123</v>
      </c>
      <c r="F64">
        <v>8</v>
      </c>
      <c r="G64">
        <v>8</v>
      </c>
      <c r="H64">
        <v>1</v>
      </c>
      <c r="I64">
        <v>0</v>
      </c>
      <c r="J64">
        <v>0.5</v>
      </c>
    </row>
    <row r="65" spans="1:10" x14ac:dyDescent="0.3">
      <c r="A65">
        <v>63</v>
      </c>
      <c r="B65">
        <v>1024</v>
      </c>
      <c r="C65" t="b">
        <v>1</v>
      </c>
      <c r="D65">
        <v>8048</v>
      </c>
      <c r="E65">
        <v>8117</v>
      </c>
      <c r="F65">
        <v>8</v>
      </c>
      <c r="G65">
        <v>8</v>
      </c>
      <c r="H65">
        <v>1</v>
      </c>
      <c r="I65">
        <v>0</v>
      </c>
      <c r="J65">
        <v>0.5</v>
      </c>
    </row>
    <row r="66" spans="1:10" x14ac:dyDescent="0.3">
      <c r="A66">
        <v>64</v>
      </c>
      <c r="B66">
        <v>1039</v>
      </c>
      <c r="C66" t="b">
        <v>1</v>
      </c>
      <c r="D66">
        <v>8048</v>
      </c>
      <c r="E66">
        <v>8123</v>
      </c>
      <c r="F66">
        <v>8</v>
      </c>
      <c r="G66">
        <v>8</v>
      </c>
      <c r="H66">
        <v>1</v>
      </c>
      <c r="I66">
        <v>0</v>
      </c>
      <c r="J66">
        <v>0.5</v>
      </c>
    </row>
    <row r="67" spans="1:10" x14ac:dyDescent="0.3">
      <c r="A67">
        <v>65</v>
      </c>
      <c r="B67">
        <v>1056</v>
      </c>
      <c r="C67" t="b">
        <v>1</v>
      </c>
      <c r="D67">
        <v>8048</v>
      </c>
      <c r="E67">
        <v>8123</v>
      </c>
      <c r="F67">
        <v>8</v>
      </c>
      <c r="G67">
        <v>8</v>
      </c>
      <c r="H67">
        <v>1</v>
      </c>
      <c r="I67">
        <v>0</v>
      </c>
      <c r="J67">
        <v>0.5</v>
      </c>
    </row>
    <row r="68" spans="1:10" x14ac:dyDescent="0.3">
      <c r="A68">
        <v>66</v>
      </c>
      <c r="B68">
        <v>1072</v>
      </c>
      <c r="C68" t="b">
        <v>1</v>
      </c>
      <c r="D68">
        <v>8048</v>
      </c>
      <c r="E68">
        <v>8129</v>
      </c>
      <c r="F68">
        <v>8</v>
      </c>
      <c r="G68">
        <v>8</v>
      </c>
      <c r="H68">
        <v>1</v>
      </c>
      <c r="I68">
        <v>0</v>
      </c>
      <c r="J68">
        <v>0.5</v>
      </c>
    </row>
    <row r="69" spans="1:10" x14ac:dyDescent="0.3">
      <c r="A69">
        <v>67</v>
      </c>
      <c r="B69">
        <v>1087</v>
      </c>
      <c r="C69" t="b">
        <v>1</v>
      </c>
      <c r="D69">
        <v>8048</v>
      </c>
      <c r="E69">
        <v>8123</v>
      </c>
      <c r="F69">
        <v>8</v>
      </c>
      <c r="G69">
        <v>8</v>
      </c>
      <c r="H69">
        <v>1</v>
      </c>
      <c r="I69">
        <v>0</v>
      </c>
      <c r="J69">
        <v>0.5</v>
      </c>
    </row>
    <row r="70" spans="1:10" x14ac:dyDescent="0.3">
      <c r="A70">
        <v>68</v>
      </c>
      <c r="B70">
        <v>1103</v>
      </c>
      <c r="C70" t="b">
        <v>1</v>
      </c>
      <c r="D70">
        <v>8048</v>
      </c>
      <c r="E70">
        <v>8123</v>
      </c>
      <c r="F70">
        <v>8</v>
      </c>
      <c r="G70">
        <v>8</v>
      </c>
      <c r="H70">
        <v>1</v>
      </c>
      <c r="I70">
        <v>0</v>
      </c>
      <c r="J70">
        <v>0.5</v>
      </c>
    </row>
    <row r="71" spans="1:10" x14ac:dyDescent="0.3">
      <c r="A71">
        <v>69</v>
      </c>
      <c r="B71">
        <v>1119</v>
      </c>
      <c r="C71" t="b">
        <v>1</v>
      </c>
      <c r="D71">
        <v>8054</v>
      </c>
      <c r="E71">
        <v>8123</v>
      </c>
      <c r="F71">
        <v>8</v>
      </c>
      <c r="G71">
        <v>8</v>
      </c>
      <c r="H71">
        <v>1</v>
      </c>
      <c r="I71">
        <v>0</v>
      </c>
      <c r="J71">
        <v>0.5</v>
      </c>
    </row>
    <row r="72" spans="1:10" x14ac:dyDescent="0.3">
      <c r="A72">
        <v>70</v>
      </c>
      <c r="B72">
        <v>1135</v>
      </c>
      <c r="C72" t="b">
        <v>1</v>
      </c>
      <c r="D72">
        <v>8048</v>
      </c>
      <c r="E72">
        <v>8117</v>
      </c>
      <c r="F72">
        <v>8</v>
      </c>
      <c r="G72">
        <v>8</v>
      </c>
      <c r="H72">
        <v>1</v>
      </c>
      <c r="I72">
        <v>0</v>
      </c>
      <c r="J72">
        <v>0.5</v>
      </c>
    </row>
    <row r="73" spans="1:10" x14ac:dyDescent="0.3">
      <c r="A73">
        <v>71</v>
      </c>
      <c r="B73">
        <v>1151</v>
      </c>
      <c r="C73" t="b">
        <v>1</v>
      </c>
      <c r="D73">
        <v>8048</v>
      </c>
      <c r="E73">
        <v>8117</v>
      </c>
      <c r="F73">
        <v>8</v>
      </c>
      <c r="G73">
        <v>8</v>
      </c>
      <c r="H73">
        <v>1</v>
      </c>
      <c r="I73">
        <v>0</v>
      </c>
      <c r="J73">
        <v>0.5</v>
      </c>
    </row>
    <row r="74" spans="1:10" x14ac:dyDescent="0.3">
      <c r="A74">
        <v>72</v>
      </c>
      <c r="B74">
        <v>1167</v>
      </c>
      <c r="C74" t="b">
        <v>1</v>
      </c>
      <c r="D74">
        <v>8048</v>
      </c>
      <c r="E74">
        <v>8117</v>
      </c>
      <c r="F74">
        <v>8</v>
      </c>
      <c r="G74">
        <v>7.6</v>
      </c>
      <c r="H74">
        <v>1.0526316</v>
      </c>
      <c r="I74">
        <v>-5.2631589999999999E-2</v>
      </c>
      <c r="J74">
        <v>0.48717946000000001</v>
      </c>
    </row>
    <row r="75" spans="1:10" x14ac:dyDescent="0.3">
      <c r="A75">
        <v>73</v>
      </c>
      <c r="B75">
        <v>1182</v>
      </c>
      <c r="C75" t="b">
        <v>1</v>
      </c>
      <c r="D75">
        <v>8048</v>
      </c>
      <c r="E75">
        <v>8117</v>
      </c>
      <c r="F75">
        <v>8</v>
      </c>
      <c r="G75">
        <v>7.2</v>
      </c>
      <c r="H75">
        <v>1.1111112000000001</v>
      </c>
      <c r="I75">
        <v>-0.11111114</v>
      </c>
      <c r="J75">
        <v>0.4736842</v>
      </c>
    </row>
    <row r="76" spans="1:10" x14ac:dyDescent="0.3">
      <c r="A76">
        <v>74</v>
      </c>
      <c r="B76">
        <v>1198</v>
      </c>
      <c r="C76" t="b">
        <v>1</v>
      </c>
      <c r="D76">
        <v>8048</v>
      </c>
      <c r="E76">
        <v>8117</v>
      </c>
      <c r="F76">
        <v>8</v>
      </c>
      <c r="G76">
        <v>6.8</v>
      </c>
      <c r="H76">
        <v>1.1764705</v>
      </c>
      <c r="I76">
        <v>-0.17647055</v>
      </c>
      <c r="J76">
        <v>0.45945944999999999</v>
      </c>
    </row>
    <row r="77" spans="1:10" x14ac:dyDescent="0.3">
      <c r="A77">
        <v>75</v>
      </c>
      <c r="B77">
        <v>1214</v>
      </c>
      <c r="C77" t="b">
        <v>1</v>
      </c>
      <c r="D77">
        <v>8048</v>
      </c>
      <c r="E77">
        <v>8117</v>
      </c>
      <c r="F77">
        <v>8</v>
      </c>
      <c r="G77">
        <v>6.4</v>
      </c>
      <c r="H77">
        <v>1.25</v>
      </c>
      <c r="I77">
        <v>-0.24999999000000001</v>
      </c>
      <c r="J77">
        <v>0.44444447999999998</v>
      </c>
    </row>
    <row r="78" spans="1:10" x14ac:dyDescent="0.3">
      <c r="A78">
        <v>76</v>
      </c>
      <c r="B78">
        <v>1230</v>
      </c>
      <c r="C78" t="b">
        <v>1</v>
      </c>
      <c r="D78">
        <v>8048</v>
      </c>
      <c r="E78">
        <v>8117</v>
      </c>
      <c r="F78">
        <v>8</v>
      </c>
      <c r="G78">
        <v>6</v>
      </c>
      <c r="H78">
        <v>1.3333333999999999</v>
      </c>
      <c r="I78">
        <v>-0.33333333999999998</v>
      </c>
      <c r="J78">
        <v>0.42857142999999998</v>
      </c>
    </row>
    <row r="79" spans="1:10" x14ac:dyDescent="0.3">
      <c r="A79">
        <v>77</v>
      </c>
      <c r="B79">
        <v>1245</v>
      </c>
      <c r="C79" t="b">
        <v>1</v>
      </c>
      <c r="D79">
        <v>8048</v>
      </c>
      <c r="E79">
        <v>8117</v>
      </c>
      <c r="F79">
        <v>8</v>
      </c>
      <c r="G79">
        <v>5.6</v>
      </c>
      <c r="H79">
        <v>1.4285715000000001</v>
      </c>
      <c r="I79">
        <v>-0.42857146000000002</v>
      </c>
      <c r="J79">
        <v>0.41176467999999999</v>
      </c>
    </row>
    <row r="80" spans="1:10" x14ac:dyDescent="0.3">
      <c r="A80">
        <v>78</v>
      </c>
      <c r="B80">
        <v>1260</v>
      </c>
      <c r="C80" t="b">
        <v>1</v>
      </c>
      <c r="D80">
        <v>8048</v>
      </c>
      <c r="E80">
        <v>8123</v>
      </c>
      <c r="F80">
        <v>8</v>
      </c>
      <c r="G80">
        <v>5.2</v>
      </c>
      <c r="H80">
        <v>1.5384616</v>
      </c>
      <c r="I80">
        <v>-0.53846156999999994</v>
      </c>
      <c r="J80">
        <v>0.39393938000000001</v>
      </c>
    </row>
    <row r="81" spans="1:10" x14ac:dyDescent="0.3">
      <c r="A81">
        <v>79</v>
      </c>
      <c r="B81">
        <v>1276</v>
      </c>
      <c r="C81" t="b">
        <v>1</v>
      </c>
      <c r="D81">
        <v>8054</v>
      </c>
      <c r="E81">
        <v>8123</v>
      </c>
      <c r="F81">
        <v>8</v>
      </c>
      <c r="G81">
        <v>4.8</v>
      </c>
      <c r="H81">
        <v>1.6666666000000001</v>
      </c>
      <c r="I81">
        <v>-0.6666666</v>
      </c>
      <c r="J81">
        <v>0.375</v>
      </c>
    </row>
    <row r="82" spans="1:10" x14ac:dyDescent="0.3">
      <c r="A82">
        <v>80</v>
      </c>
      <c r="B82">
        <v>1292</v>
      </c>
      <c r="C82" t="b">
        <v>1</v>
      </c>
      <c r="D82">
        <v>8048</v>
      </c>
      <c r="E82">
        <v>8129</v>
      </c>
      <c r="F82">
        <v>8</v>
      </c>
      <c r="G82">
        <v>4.8</v>
      </c>
      <c r="H82">
        <v>1.6666666000000001</v>
      </c>
      <c r="I82">
        <v>-0.6666666</v>
      </c>
      <c r="J82">
        <v>0.375</v>
      </c>
    </row>
    <row r="83" spans="1:10" x14ac:dyDescent="0.3">
      <c r="A83">
        <v>81</v>
      </c>
      <c r="B83">
        <v>1308</v>
      </c>
      <c r="C83" t="b">
        <v>1</v>
      </c>
      <c r="D83">
        <v>8042</v>
      </c>
      <c r="E83">
        <v>8123</v>
      </c>
      <c r="F83">
        <v>8</v>
      </c>
      <c r="G83">
        <v>4.8</v>
      </c>
      <c r="H83">
        <v>1.6666666000000001</v>
      </c>
      <c r="I83">
        <v>-0.6666666</v>
      </c>
      <c r="J83">
        <v>0.375</v>
      </c>
    </row>
    <row r="84" spans="1:10" x14ac:dyDescent="0.3">
      <c r="A84">
        <v>82</v>
      </c>
      <c r="B84">
        <v>1324</v>
      </c>
      <c r="C84" t="b">
        <v>1</v>
      </c>
      <c r="D84">
        <v>8048</v>
      </c>
      <c r="E84">
        <v>8123</v>
      </c>
      <c r="F84">
        <v>8</v>
      </c>
      <c r="G84">
        <v>4.8</v>
      </c>
      <c r="H84">
        <v>1.6666666000000001</v>
      </c>
      <c r="I84">
        <v>-0.6666666</v>
      </c>
      <c r="J84">
        <v>0.375</v>
      </c>
    </row>
    <row r="85" spans="1:10" x14ac:dyDescent="0.3">
      <c r="A85">
        <v>83</v>
      </c>
      <c r="B85">
        <v>1341</v>
      </c>
      <c r="C85" t="b">
        <v>1</v>
      </c>
      <c r="D85">
        <v>8042</v>
      </c>
      <c r="E85">
        <v>8123</v>
      </c>
      <c r="F85">
        <v>8</v>
      </c>
      <c r="G85">
        <v>4.8</v>
      </c>
      <c r="H85">
        <v>1.6666666000000001</v>
      </c>
      <c r="I85">
        <v>-0.6666666</v>
      </c>
      <c r="J85">
        <v>0.375</v>
      </c>
    </row>
    <row r="86" spans="1:10" x14ac:dyDescent="0.3">
      <c r="A86">
        <v>84</v>
      </c>
      <c r="B86">
        <v>1357</v>
      </c>
      <c r="C86" t="b">
        <v>1</v>
      </c>
      <c r="D86">
        <v>8048</v>
      </c>
      <c r="E86">
        <v>8123</v>
      </c>
      <c r="F86">
        <v>8</v>
      </c>
      <c r="G86">
        <v>4.8</v>
      </c>
      <c r="H86">
        <v>1.6666666000000001</v>
      </c>
      <c r="I86">
        <v>-0.6666666</v>
      </c>
      <c r="J86">
        <v>0.375</v>
      </c>
    </row>
    <row r="87" spans="1:10" x14ac:dyDescent="0.3">
      <c r="A87">
        <v>85</v>
      </c>
      <c r="B87">
        <v>1372</v>
      </c>
      <c r="C87" t="b">
        <v>1</v>
      </c>
      <c r="D87">
        <v>8054</v>
      </c>
      <c r="E87">
        <v>8123</v>
      </c>
      <c r="F87">
        <v>8</v>
      </c>
      <c r="G87">
        <v>4.8</v>
      </c>
      <c r="H87">
        <v>1.6666666000000001</v>
      </c>
      <c r="I87">
        <v>-0.6666666</v>
      </c>
      <c r="J87">
        <v>0.375</v>
      </c>
    </row>
    <row r="88" spans="1:10" x14ac:dyDescent="0.3">
      <c r="A88">
        <v>86</v>
      </c>
      <c r="B88">
        <v>1388</v>
      </c>
      <c r="C88" t="b">
        <v>1</v>
      </c>
      <c r="D88">
        <v>8048</v>
      </c>
      <c r="E88">
        <v>8117</v>
      </c>
      <c r="F88">
        <v>8</v>
      </c>
      <c r="G88">
        <v>4.8</v>
      </c>
      <c r="H88">
        <v>1.6666666000000001</v>
      </c>
      <c r="I88">
        <v>-0.6666666</v>
      </c>
      <c r="J88">
        <v>0.375</v>
      </c>
    </row>
    <row r="89" spans="1:10" x14ac:dyDescent="0.3">
      <c r="A89">
        <v>87</v>
      </c>
      <c r="B89">
        <v>1404</v>
      </c>
      <c r="C89" t="b">
        <v>1</v>
      </c>
      <c r="D89">
        <v>8042</v>
      </c>
      <c r="E89">
        <v>8123</v>
      </c>
      <c r="F89">
        <v>8</v>
      </c>
      <c r="G89">
        <v>5.2</v>
      </c>
      <c r="H89">
        <v>1.5384616</v>
      </c>
      <c r="I89">
        <v>-0.53846156999999994</v>
      </c>
      <c r="J89">
        <v>0.39393938000000001</v>
      </c>
    </row>
    <row r="90" spans="1:10" x14ac:dyDescent="0.3">
      <c r="A90">
        <v>88</v>
      </c>
      <c r="B90">
        <v>1420</v>
      </c>
      <c r="C90" t="b">
        <v>1</v>
      </c>
      <c r="D90">
        <v>8042</v>
      </c>
      <c r="E90">
        <v>8123</v>
      </c>
      <c r="F90">
        <v>8</v>
      </c>
      <c r="G90">
        <v>5.6</v>
      </c>
      <c r="H90">
        <v>1.4285715000000001</v>
      </c>
      <c r="I90">
        <v>-0.42857146000000002</v>
      </c>
      <c r="J90">
        <v>0.41176467999999999</v>
      </c>
    </row>
    <row r="91" spans="1:10" x14ac:dyDescent="0.3">
      <c r="A91">
        <v>89</v>
      </c>
      <c r="B91">
        <v>1436</v>
      </c>
      <c r="C91" t="b">
        <v>1</v>
      </c>
      <c r="D91">
        <v>8048</v>
      </c>
      <c r="E91">
        <v>8129</v>
      </c>
      <c r="F91">
        <v>8</v>
      </c>
      <c r="G91">
        <v>6</v>
      </c>
      <c r="H91">
        <v>1.3333333999999999</v>
      </c>
      <c r="I91">
        <v>-0.33333333999999998</v>
      </c>
      <c r="J91">
        <v>0.42857142999999998</v>
      </c>
    </row>
    <row r="92" spans="1:10" x14ac:dyDescent="0.3">
      <c r="A92">
        <v>90</v>
      </c>
      <c r="B92">
        <v>1452</v>
      </c>
      <c r="C92" t="b">
        <v>1</v>
      </c>
      <c r="D92">
        <v>8042</v>
      </c>
      <c r="E92">
        <v>8129</v>
      </c>
      <c r="F92">
        <v>7.6</v>
      </c>
      <c r="G92">
        <v>6.4</v>
      </c>
      <c r="H92">
        <v>1.1875</v>
      </c>
      <c r="I92">
        <v>-0.18749996999999999</v>
      </c>
      <c r="J92">
        <v>0.45714285999999998</v>
      </c>
    </row>
    <row r="93" spans="1:10" x14ac:dyDescent="0.3">
      <c r="A93">
        <v>91</v>
      </c>
      <c r="B93">
        <v>1468</v>
      </c>
      <c r="C93" t="b">
        <v>1</v>
      </c>
      <c r="D93">
        <v>8042</v>
      </c>
      <c r="E93">
        <v>8129</v>
      </c>
      <c r="F93">
        <v>7.2</v>
      </c>
      <c r="G93">
        <v>7.2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1484</v>
      </c>
      <c r="C94" t="b">
        <v>1</v>
      </c>
      <c r="D94">
        <v>8042</v>
      </c>
      <c r="E94">
        <v>8134</v>
      </c>
      <c r="F94">
        <v>6.8</v>
      </c>
      <c r="G94">
        <v>8</v>
      </c>
      <c r="H94">
        <v>0.85</v>
      </c>
      <c r="I94">
        <v>0.14999998</v>
      </c>
      <c r="J94">
        <v>0.54054049999999998</v>
      </c>
    </row>
    <row r="95" spans="1:10" x14ac:dyDescent="0.3">
      <c r="A95">
        <v>93</v>
      </c>
      <c r="B95">
        <v>1500</v>
      </c>
      <c r="C95" t="b">
        <v>1</v>
      </c>
      <c r="D95">
        <v>8048</v>
      </c>
      <c r="E95">
        <v>8134</v>
      </c>
      <c r="F95">
        <v>6.4</v>
      </c>
      <c r="G95">
        <v>8.8000000000000007</v>
      </c>
      <c r="H95">
        <v>0.72727275000000002</v>
      </c>
      <c r="I95">
        <v>0.27272728000000002</v>
      </c>
      <c r="J95">
        <v>0.57894736999999996</v>
      </c>
    </row>
    <row r="96" spans="1:10" x14ac:dyDescent="0.3">
      <c r="A96">
        <v>94</v>
      </c>
      <c r="B96">
        <v>1516</v>
      </c>
      <c r="C96" t="b">
        <v>1</v>
      </c>
      <c r="D96">
        <v>8048</v>
      </c>
      <c r="E96">
        <v>8129</v>
      </c>
      <c r="F96">
        <v>6</v>
      </c>
      <c r="G96">
        <v>9.6</v>
      </c>
      <c r="H96">
        <v>0.625</v>
      </c>
      <c r="I96">
        <v>0.37500002999999998</v>
      </c>
      <c r="J96">
        <v>0.61538464000000004</v>
      </c>
    </row>
    <row r="97" spans="1:10" x14ac:dyDescent="0.3">
      <c r="A97">
        <v>95</v>
      </c>
      <c r="B97">
        <v>1532</v>
      </c>
      <c r="C97" t="b">
        <v>1</v>
      </c>
      <c r="D97">
        <v>8048</v>
      </c>
      <c r="E97">
        <v>8123</v>
      </c>
      <c r="F97">
        <v>6</v>
      </c>
      <c r="G97">
        <v>10</v>
      </c>
      <c r="H97">
        <v>0.6</v>
      </c>
      <c r="I97">
        <v>0.4</v>
      </c>
      <c r="J97">
        <v>0.625</v>
      </c>
    </row>
    <row r="98" spans="1:10" x14ac:dyDescent="0.3">
      <c r="A98">
        <v>96</v>
      </c>
      <c r="B98">
        <v>1548</v>
      </c>
      <c r="C98" t="b">
        <v>1</v>
      </c>
      <c r="D98">
        <v>8048</v>
      </c>
      <c r="E98">
        <v>8123</v>
      </c>
      <c r="F98">
        <v>6</v>
      </c>
      <c r="G98">
        <v>10.4</v>
      </c>
      <c r="H98">
        <v>0.57692310000000002</v>
      </c>
      <c r="I98">
        <v>0.42307689999999998</v>
      </c>
      <c r="J98">
        <v>0.63414632999999998</v>
      </c>
    </row>
    <row r="99" spans="1:10" x14ac:dyDescent="0.3">
      <c r="A99">
        <v>97</v>
      </c>
      <c r="B99">
        <v>1564</v>
      </c>
      <c r="C99" t="b">
        <v>1</v>
      </c>
      <c r="D99">
        <v>8048</v>
      </c>
      <c r="E99">
        <v>8123</v>
      </c>
      <c r="F99">
        <v>6</v>
      </c>
      <c r="G99">
        <v>10.4</v>
      </c>
      <c r="H99">
        <v>0.57692310000000002</v>
      </c>
      <c r="I99">
        <v>0.42307689999999998</v>
      </c>
      <c r="J99">
        <v>0.63414632999999998</v>
      </c>
    </row>
    <row r="100" spans="1:10" x14ac:dyDescent="0.3">
      <c r="A100">
        <v>98</v>
      </c>
      <c r="B100">
        <v>1580</v>
      </c>
      <c r="C100" t="b">
        <v>1</v>
      </c>
      <c r="D100">
        <v>8048</v>
      </c>
      <c r="E100">
        <v>8123</v>
      </c>
      <c r="F100">
        <v>6</v>
      </c>
      <c r="G100">
        <v>10.4</v>
      </c>
      <c r="H100">
        <v>0.57692310000000002</v>
      </c>
      <c r="I100">
        <v>0.42307689999999998</v>
      </c>
      <c r="J100">
        <v>0.63414632999999998</v>
      </c>
    </row>
    <row r="101" spans="1:10" x14ac:dyDescent="0.3">
      <c r="A101">
        <v>99</v>
      </c>
      <c r="B101">
        <v>1596</v>
      </c>
      <c r="C101" t="b">
        <v>1</v>
      </c>
      <c r="D101">
        <v>8048</v>
      </c>
      <c r="E101">
        <v>8123</v>
      </c>
      <c r="F101">
        <v>6</v>
      </c>
      <c r="G101">
        <v>10.4</v>
      </c>
      <c r="H101">
        <v>0.57692310000000002</v>
      </c>
      <c r="I101">
        <v>0.42307689999999998</v>
      </c>
      <c r="J101">
        <v>0.63414632999999998</v>
      </c>
    </row>
    <row r="102" spans="1:10" x14ac:dyDescent="0.3">
      <c r="A102">
        <v>100</v>
      </c>
      <c r="B102">
        <v>1611</v>
      </c>
      <c r="C102" t="b">
        <v>1</v>
      </c>
      <c r="D102">
        <v>8048</v>
      </c>
      <c r="E102">
        <v>8123</v>
      </c>
      <c r="F102">
        <v>6</v>
      </c>
      <c r="G102">
        <v>10.4</v>
      </c>
      <c r="H102">
        <v>0.57692310000000002</v>
      </c>
      <c r="I102">
        <v>0.42307689999999998</v>
      </c>
      <c r="J102">
        <v>0.63414632999999998</v>
      </c>
    </row>
    <row r="103" spans="1:10" x14ac:dyDescent="0.3">
      <c r="A103">
        <v>101</v>
      </c>
      <c r="B103">
        <v>1627</v>
      </c>
      <c r="C103" t="b">
        <v>1</v>
      </c>
      <c r="D103">
        <v>8048</v>
      </c>
      <c r="E103">
        <v>8117</v>
      </c>
      <c r="F103">
        <v>6</v>
      </c>
      <c r="G103">
        <v>10.4</v>
      </c>
      <c r="H103">
        <v>0.57692310000000002</v>
      </c>
      <c r="I103">
        <v>0.42307689999999998</v>
      </c>
      <c r="J103">
        <v>0.63414632999999998</v>
      </c>
    </row>
    <row r="104" spans="1:10" x14ac:dyDescent="0.3">
      <c r="A104">
        <v>102</v>
      </c>
      <c r="B104">
        <v>1643</v>
      </c>
      <c r="C104" t="b">
        <v>1</v>
      </c>
      <c r="D104">
        <v>8048</v>
      </c>
      <c r="E104">
        <v>8117</v>
      </c>
      <c r="F104">
        <v>6</v>
      </c>
      <c r="G104">
        <v>10.4</v>
      </c>
      <c r="H104">
        <v>0.57692310000000002</v>
      </c>
      <c r="I104">
        <v>0.42307689999999998</v>
      </c>
      <c r="J104">
        <v>0.63414632999999998</v>
      </c>
    </row>
    <row r="105" spans="1:10" x14ac:dyDescent="0.3">
      <c r="A105">
        <v>103</v>
      </c>
      <c r="B105">
        <v>1659</v>
      </c>
      <c r="C105" t="b">
        <v>1</v>
      </c>
      <c r="D105">
        <v>8048</v>
      </c>
      <c r="E105">
        <v>8117</v>
      </c>
      <c r="F105">
        <v>6</v>
      </c>
      <c r="G105">
        <v>10</v>
      </c>
      <c r="H105">
        <v>0.6</v>
      </c>
      <c r="I105">
        <v>0.4</v>
      </c>
      <c r="J105">
        <v>0.625</v>
      </c>
    </row>
    <row r="106" spans="1:10" x14ac:dyDescent="0.3">
      <c r="A106">
        <v>104</v>
      </c>
      <c r="B106">
        <v>1675</v>
      </c>
      <c r="C106" t="b">
        <v>1</v>
      </c>
      <c r="D106">
        <v>8048</v>
      </c>
      <c r="E106">
        <v>8117</v>
      </c>
      <c r="F106">
        <v>6</v>
      </c>
      <c r="G106">
        <v>9.6</v>
      </c>
      <c r="H106">
        <v>0.625</v>
      </c>
      <c r="I106">
        <v>0.37500002999999998</v>
      </c>
      <c r="J106">
        <v>0.61538464000000004</v>
      </c>
    </row>
    <row r="107" spans="1:10" x14ac:dyDescent="0.3">
      <c r="A107">
        <v>105</v>
      </c>
      <c r="B107">
        <v>1691</v>
      </c>
      <c r="C107" t="b">
        <v>1</v>
      </c>
      <c r="D107">
        <v>8048</v>
      </c>
      <c r="E107">
        <v>8117</v>
      </c>
      <c r="F107">
        <v>6.4</v>
      </c>
      <c r="G107">
        <v>9.1999999999999993</v>
      </c>
      <c r="H107">
        <v>0.69565220000000005</v>
      </c>
      <c r="I107">
        <v>0.3043478</v>
      </c>
      <c r="J107">
        <v>0.58974355000000001</v>
      </c>
    </row>
    <row r="108" spans="1:10" x14ac:dyDescent="0.3">
      <c r="A108">
        <v>106</v>
      </c>
      <c r="B108">
        <v>1707</v>
      </c>
      <c r="C108" t="b">
        <v>1</v>
      </c>
      <c r="D108">
        <v>8048</v>
      </c>
      <c r="E108">
        <v>8117</v>
      </c>
      <c r="F108">
        <v>6.8</v>
      </c>
      <c r="G108">
        <v>8.4</v>
      </c>
      <c r="H108">
        <v>0.80952389999999996</v>
      </c>
      <c r="I108">
        <v>0.19047612999999999</v>
      </c>
      <c r="J108">
        <v>0.55263156000000002</v>
      </c>
    </row>
    <row r="109" spans="1:10" x14ac:dyDescent="0.3">
      <c r="A109">
        <v>107</v>
      </c>
      <c r="B109">
        <v>1723</v>
      </c>
      <c r="C109" t="b">
        <v>1</v>
      </c>
      <c r="D109">
        <v>8048</v>
      </c>
      <c r="E109">
        <v>8117</v>
      </c>
      <c r="F109">
        <v>7.2</v>
      </c>
      <c r="G109">
        <v>7.6</v>
      </c>
      <c r="H109">
        <v>0.9473684</v>
      </c>
      <c r="I109">
        <v>5.2631589999999999E-2</v>
      </c>
      <c r="J109">
        <v>0.51351349999999996</v>
      </c>
    </row>
    <row r="110" spans="1:10" x14ac:dyDescent="0.3">
      <c r="A110">
        <v>108</v>
      </c>
      <c r="B110">
        <v>1739</v>
      </c>
      <c r="C110" t="b">
        <v>1</v>
      </c>
      <c r="D110">
        <v>8048</v>
      </c>
      <c r="E110">
        <v>8123</v>
      </c>
      <c r="F110">
        <v>7.6</v>
      </c>
      <c r="G110">
        <v>6.8</v>
      </c>
      <c r="H110">
        <v>1.1176470000000001</v>
      </c>
      <c r="I110">
        <v>-0.11764701499999999</v>
      </c>
      <c r="J110">
        <v>0.47222224000000002</v>
      </c>
    </row>
    <row r="111" spans="1:10" x14ac:dyDescent="0.3">
      <c r="A111">
        <v>109</v>
      </c>
      <c r="B111">
        <v>1755</v>
      </c>
      <c r="C111" t="b">
        <v>1</v>
      </c>
      <c r="D111">
        <v>8048</v>
      </c>
      <c r="E111">
        <v>8123</v>
      </c>
      <c r="F111">
        <v>8</v>
      </c>
      <c r="G111">
        <v>6</v>
      </c>
      <c r="H111">
        <v>1.3333333999999999</v>
      </c>
      <c r="I111">
        <v>-0.33333333999999998</v>
      </c>
      <c r="J111">
        <v>0.42857142999999998</v>
      </c>
    </row>
    <row r="112" spans="1:10" x14ac:dyDescent="0.3">
      <c r="A112">
        <v>110</v>
      </c>
      <c r="B112">
        <v>1771</v>
      </c>
      <c r="C112" t="b">
        <v>1</v>
      </c>
      <c r="D112">
        <v>8048</v>
      </c>
      <c r="E112">
        <v>8123</v>
      </c>
      <c r="F112">
        <v>8</v>
      </c>
      <c r="G112">
        <v>5.6</v>
      </c>
      <c r="H112">
        <v>1.4285715000000001</v>
      </c>
      <c r="I112">
        <v>-0.42857146000000002</v>
      </c>
      <c r="J112">
        <v>0.41176467999999999</v>
      </c>
    </row>
    <row r="113" spans="1:10" x14ac:dyDescent="0.3">
      <c r="A113">
        <v>111</v>
      </c>
      <c r="B113">
        <v>1787</v>
      </c>
      <c r="C113" t="b">
        <v>1</v>
      </c>
      <c r="D113">
        <v>8048</v>
      </c>
      <c r="E113">
        <v>8123</v>
      </c>
      <c r="F113">
        <v>8</v>
      </c>
      <c r="G113">
        <v>5.2</v>
      </c>
      <c r="H113">
        <v>1.5384616</v>
      </c>
      <c r="I113">
        <v>-0.53846156999999994</v>
      </c>
      <c r="J113">
        <v>0.39393938000000001</v>
      </c>
    </row>
    <row r="114" spans="1:10" x14ac:dyDescent="0.3">
      <c r="A114">
        <v>112</v>
      </c>
      <c r="B114">
        <v>1803</v>
      </c>
      <c r="C114" t="b">
        <v>1</v>
      </c>
      <c r="D114">
        <v>8048</v>
      </c>
      <c r="E114">
        <v>8123</v>
      </c>
      <c r="F114">
        <v>8</v>
      </c>
      <c r="G114">
        <v>5.2</v>
      </c>
      <c r="H114">
        <v>1.5384616</v>
      </c>
      <c r="I114">
        <v>-0.53846156999999994</v>
      </c>
      <c r="J114">
        <v>0.39393938000000001</v>
      </c>
    </row>
    <row r="115" spans="1:10" x14ac:dyDescent="0.3">
      <c r="A115">
        <v>113</v>
      </c>
      <c r="B115">
        <v>1819</v>
      </c>
      <c r="C115" t="b">
        <v>1</v>
      </c>
      <c r="D115">
        <v>8048</v>
      </c>
      <c r="E115">
        <v>8117</v>
      </c>
      <c r="F115">
        <v>8</v>
      </c>
      <c r="G115">
        <v>5.2</v>
      </c>
      <c r="H115">
        <v>1.5384616</v>
      </c>
      <c r="I115">
        <v>-0.53846156999999994</v>
      </c>
      <c r="J115">
        <v>0.39393938000000001</v>
      </c>
    </row>
    <row r="116" spans="1:10" x14ac:dyDescent="0.3">
      <c r="A116">
        <v>114</v>
      </c>
      <c r="B116">
        <v>1835</v>
      </c>
      <c r="C116" t="b">
        <v>1</v>
      </c>
      <c r="D116">
        <v>8048</v>
      </c>
      <c r="E116">
        <v>8117</v>
      </c>
      <c r="F116">
        <v>8</v>
      </c>
      <c r="G116">
        <v>5.2</v>
      </c>
      <c r="H116">
        <v>1.5384616</v>
      </c>
      <c r="I116">
        <v>-0.53846156999999994</v>
      </c>
      <c r="J116">
        <v>0.39393938000000001</v>
      </c>
    </row>
    <row r="117" spans="1:10" x14ac:dyDescent="0.3">
      <c r="A117">
        <v>115</v>
      </c>
      <c r="B117">
        <v>1850</v>
      </c>
      <c r="C117" t="b">
        <v>1</v>
      </c>
      <c r="D117">
        <v>8048</v>
      </c>
      <c r="E117">
        <v>8117</v>
      </c>
      <c r="F117">
        <v>8</v>
      </c>
      <c r="G117">
        <v>4.8</v>
      </c>
      <c r="H117">
        <v>1.6666666000000001</v>
      </c>
      <c r="I117">
        <v>-0.6666666</v>
      </c>
      <c r="J117">
        <v>0.375</v>
      </c>
    </row>
    <row r="118" spans="1:10" x14ac:dyDescent="0.3">
      <c r="A118">
        <v>116</v>
      </c>
      <c r="B118">
        <v>1866</v>
      </c>
      <c r="C118" t="b">
        <v>1</v>
      </c>
      <c r="D118">
        <v>8048</v>
      </c>
      <c r="E118">
        <v>8117</v>
      </c>
      <c r="F118">
        <v>8</v>
      </c>
      <c r="G118">
        <v>4.4000000000000004</v>
      </c>
      <c r="H118">
        <v>1.8181818000000001</v>
      </c>
      <c r="I118">
        <v>-0.81818175000000004</v>
      </c>
      <c r="J118">
        <v>0.35483872999999999</v>
      </c>
    </row>
    <row r="119" spans="1:10" x14ac:dyDescent="0.3">
      <c r="A119">
        <v>117</v>
      </c>
      <c r="B119">
        <v>1882</v>
      </c>
      <c r="C119" t="b">
        <v>1</v>
      </c>
      <c r="D119">
        <v>8048</v>
      </c>
      <c r="E119">
        <v>8117</v>
      </c>
      <c r="F119">
        <v>8</v>
      </c>
      <c r="G119">
        <v>4</v>
      </c>
      <c r="H119">
        <v>2</v>
      </c>
      <c r="I119">
        <v>-1</v>
      </c>
      <c r="J119">
        <v>0.33333333999999998</v>
      </c>
    </row>
    <row r="120" spans="1:10" x14ac:dyDescent="0.3">
      <c r="A120">
        <v>118</v>
      </c>
      <c r="B120">
        <v>1898</v>
      </c>
      <c r="C120" t="b">
        <v>1</v>
      </c>
      <c r="D120">
        <v>8048</v>
      </c>
      <c r="E120">
        <v>8117</v>
      </c>
      <c r="F120">
        <v>8</v>
      </c>
      <c r="G120">
        <v>4</v>
      </c>
      <c r="H120">
        <v>2</v>
      </c>
      <c r="I120">
        <v>-1</v>
      </c>
      <c r="J120">
        <v>0.33333333999999998</v>
      </c>
    </row>
    <row r="121" spans="1:10" x14ac:dyDescent="0.3">
      <c r="A121">
        <v>119</v>
      </c>
      <c r="B121">
        <v>1914</v>
      </c>
      <c r="C121" t="b">
        <v>1</v>
      </c>
      <c r="D121">
        <v>8048</v>
      </c>
      <c r="E121">
        <v>8117</v>
      </c>
      <c r="F121">
        <v>8</v>
      </c>
      <c r="G121">
        <v>4</v>
      </c>
      <c r="H121">
        <v>2</v>
      </c>
      <c r="I121">
        <v>-1</v>
      </c>
      <c r="J121">
        <v>0.33333333999999998</v>
      </c>
    </row>
    <row r="122" spans="1:10" x14ac:dyDescent="0.3">
      <c r="A122">
        <v>120</v>
      </c>
      <c r="B122">
        <v>1930</v>
      </c>
      <c r="C122" t="b">
        <v>1</v>
      </c>
      <c r="D122">
        <v>8048</v>
      </c>
      <c r="E122">
        <v>8123</v>
      </c>
      <c r="F122">
        <v>8</v>
      </c>
      <c r="G122">
        <v>4</v>
      </c>
      <c r="H122">
        <v>2</v>
      </c>
      <c r="I122">
        <v>-1</v>
      </c>
      <c r="J122">
        <v>0.33333333999999998</v>
      </c>
    </row>
    <row r="123" spans="1:10" x14ac:dyDescent="0.3">
      <c r="A123">
        <v>121</v>
      </c>
      <c r="B123">
        <v>1946</v>
      </c>
      <c r="C123" t="b">
        <v>1</v>
      </c>
      <c r="D123">
        <v>8048</v>
      </c>
      <c r="E123">
        <v>8117</v>
      </c>
      <c r="F123">
        <v>8</v>
      </c>
      <c r="G123">
        <v>4</v>
      </c>
      <c r="H123">
        <v>2</v>
      </c>
      <c r="I123">
        <v>-1</v>
      </c>
      <c r="J123">
        <v>0.33333333999999998</v>
      </c>
    </row>
    <row r="124" spans="1:10" x14ac:dyDescent="0.3">
      <c r="A124">
        <v>122</v>
      </c>
      <c r="B124">
        <v>1962</v>
      </c>
      <c r="C124" t="b">
        <v>1</v>
      </c>
      <c r="D124">
        <v>8048</v>
      </c>
      <c r="E124">
        <v>8117</v>
      </c>
      <c r="F124">
        <v>8</v>
      </c>
      <c r="G124">
        <v>4</v>
      </c>
      <c r="H124">
        <v>2</v>
      </c>
      <c r="I124">
        <v>-1</v>
      </c>
      <c r="J124">
        <v>0.33333333999999998</v>
      </c>
    </row>
    <row r="125" spans="1:10" x14ac:dyDescent="0.3">
      <c r="A125">
        <v>123</v>
      </c>
      <c r="B125">
        <v>1978</v>
      </c>
      <c r="C125" t="b">
        <v>1</v>
      </c>
      <c r="D125">
        <v>8048</v>
      </c>
      <c r="E125">
        <v>8129</v>
      </c>
      <c r="F125">
        <v>8</v>
      </c>
      <c r="G125">
        <v>4</v>
      </c>
      <c r="H125">
        <v>2</v>
      </c>
      <c r="I125">
        <v>-1</v>
      </c>
      <c r="J125">
        <v>0.33333333999999998</v>
      </c>
    </row>
    <row r="126" spans="1:10" x14ac:dyDescent="0.3">
      <c r="A126">
        <v>124</v>
      </c>
      <c r="B126">
        <v>1994</v>
      </c>
      <c r="C126" t="b">
        <v>1</v>
      </c>
      <c r="D126">
        <v>8048</v>
      </c>
      <c r="E126">
        <v>8123</v>
      </c>
      <c r="F126">
        <v>8</v>
      </c>
      <c r="G126">
        <v>4.4000000000000004</v>
      </c>
      <c r="H126">
        <v>1.8181818000000001</v>
      </c>
      <c r="I126">
        <v>-0.81818175000000004</v>
      </c>
      <c r="J126">
        <v>0.35483872999999999</v>
      </c>
    </row>
    <row r="127" spans="1:10" x14ac:dyDescent="0.3">
      <c r="A127">
        <v>125</v>
      </c>
      <c r="B127">
        <v>2009</v>
      </c>
      <c r="C127" t="b">
        <v>1</v>
      </c>
      <c r="D127">
        <v>8048</v>
      </c>
      <c r="E127">
        <v>8123</v>
      </c>
      <c r="F127">
        <v>8</v>
      </c>
      <c r="G127">
        <v>4.4000000000000004</v>
      </c>
      <c r="H127">
        <v>1.8181818000000001</v>
      </c>
      <c r="I127">
        <v>-0.81818175000000004</v>
      </c>
      <c r="J127">
        <v>0.35483872999999999</v>
      </c>
    </row>
    <row r="128" spans="1:10" x14ac:dyDescent="0.3">
      <c r="A128">
        <v>126</v>
      </c>
      <c r="B128">
        <v>2025</v>
      </c>
      <c r="C128" t="b">
        <v>1</v>
      </c>
      <c r="D128">
        <v>8042</v>
      </c>
      <c r="E128">
        <v>8117</v>
      </c>
      <c r="F128">
        <v>8</v>
      </c>
      <c r="G128">
        <v>4.4000000000000004</v>
      </c>
      <c r="H128">
        <v>1.8181818000000001</v>
      </c>
      <c r="I128">
        <v>-0.81818175000000004</v>
      </c>
      <c r="J128">
        <v>0.35483872999999999</v>
      </c>
    </row>
    <row r="129" spans="1:10" x14ac:dyDescent="0.3">
      <c r="A129">
        <v>127</v>
      </c>
      <c r="B129">
        <v>2041</v>
      </c>
      <c r="C129" t="b">
        <v>1</v>
      </c>
      <c r="D129">
        <v>8048</v>
      </c>
      <c r="E129">
        <v>8123</v>
      </c>
      <c r="F129">
        <v>8</v>
      </c>
      <c r="G129">
        <v>4.4000000000000004</v>
      </c>
      <c r="H129">
        <v>1.8181818000000001</v>
      </c>
      <c r="I129">
        <v>-0.81818175000000004</v>
      </c>
      <c r="J129">
        <v>0.35483872999999999</v>
      </c>
    </row>
    <row r="130" spans="1:10" x14ac:dyDescent="0.3">
      <c r="A130">
        <v>128</v>
      </c>
      <c r="B130">
        <v>2057</v>
      </c>
      <c r="C130" t="b">
        <v>1</v>
      </c>
      <c r="D130">
        <v>8048</v>
      </c>
      <c r="E130">
        <v>8117</v>
      </c>
      <c r="F130">
        <v>8</v>
      </c>
      <c r="G130">
        <v>4.4000000000000004</v>
      </c>
      <c r="H130">
        <v>1.8181818000000001</v>
      </c>
      <c r="I130">
        <v>-0.81818175000000004</v>
      </c>
      <c r="J130">
        <v>0.35483872999999999</v>
      </c>
    </row>
    <row r="131" spans="1:10" x14ac:dyDescent="0.3">
      <c r="A131">
        <v>129</v>
      </c>
      <c r="B131">
        <v>2073</v>
      </c>
      <c r="C131" t="b">
        <v>1</v>
      </c>
      <c r="D131">
        <v>8048</v>
      </c>
      <c r="E131">
        <v>8117</v>
      </c>
      <c r="F131">
        <v>8</v>
      </c>
      <c r="G131">
        <v>4</v>
      </c>
      <c r="H131">
        <v>2</v>
      </c>
      <c r="I131">
        <v>-1</v>
      </c>
      <c r="J131">
        <v>0.33333333999999998</v>
      </c>
    </row>
    <row r="132" spans="1:10" x14ac:dyDescent="0.3">
      <c r="A132">
        <v>130</v>
      </c>
      <c r="B132">
        <v>2089</v>
      </c>
      <c r="C132" t="b">
        <v>1</v>
      </c>
      <c r="D132">
        <v>8048</v>
      </c>
      <c r="E132">
        <v>8117</v>
      </c>
      <c r="F132">
        <v>8</v>
      </c>
      <c r="G132">
        <v>4</v>
      </c>
      <c r="H132">
        <v>2</v>
      </c>
      <c r="I132">
        <v>-1</v>
      </c>
      <c r="J132">
        <v>0.33333333999999998</v>
      </c>
    </row>
    <row r="133" spans="1:10" x14ac:dyDescent="0.3">
      <c r="A133">
        <v>131</v>
      </c>
      <c r="B133">
        <v>2105</v>
      </c>
      <c r="C133" t="b">
        <v>1</v>
      </c>
      <c r="D133">
        <v>8054</v>
      </c>
      <c r="E133">
        <v>8117</v>
      </c>
      <c r="F133">
        <v>8</v>
      </c>
      <c r="G133">
        <v>4</v>
      </c>
      <c r="H133">
        <v>2</v>
      </c>
      <c r="I133">
        <v>-1</v>
      </c>
      <c r="J133">
        <v>0.33333333999999998</v>
      </c>
    </row>
    <row r="134" spans="1:10" x14ac:dyDescent="0.3">
      <c r="A134">
        <v>132</v>
      </c>
      <c r="B134">
        <v>2121</v>
      </c>
      <c r="C134" t="b">
        <v>1</v>
      </c>
      <c r="D134">
        <v>8048</v>
      </c>
      <c r="E134">
        <v>8117</v>
      </c>
      <c r="F134">
        <v>8</v>
      </c>
      <c r="G134">
        <v>4</v>
      </c>
      <c r="H134">
        <v>2</v>
      </c>
      <c r="I134">
        <v>-1</v>
      </c>
      <c r="J134">
        <v>0.33333333999999998</v>
      </c>
    </row>
    <row r="135" spans="1:10" x14ac:dyDescent="0.3">
      <c r="A135">
        <v>133</v>
      </c>
      <c r="B135">
        <v>2137</v>
      </c>
      <c r="C135" t="b">
        <v>1</v>
      </c>
      <c r="D135">
        <v>8048</v>
      </c>
      <c r="E135">
        <v>8123</v>
      </c>
      <c r="F135">
        <v>8</v>
      </c>
      <c r="G135">
        <v>4</v>
      </c>
      <c r="H135">
        <v>2</v>
      </c>
      <c r="I135">
        <v>-1</v>
      </c>
      <c r="J135">
        <v>0.33333333999999998</v>
      </c>
    </row>
    <row r="136" spans="1:10" x14ac:dyDescent="0.3">
      <c r="A136">
        <v>134</v>
      </c>
      <c r="B136">
        <v>2153</v>
      </c>
      <c r="C136" t="b">
        <v>1</v>
      </c>
      <c r="D136">
        <v>8048</v>
      </c>
      <c r="E136">
        <v>8123</v>
      </c>
      <c r="F136">
        <v>8</v>
      </c>
      <c r="G136">
        <v>4</v>
      </c>
      <c r="H136">
        <v>2</v>
      </c>
      <c r="I136">
        <v>-1</v>
      </c>
      <c r="J136">
        <v>0.33333333999999998</v>
      </c>
    </row>
    <row r="137" spans="1:10" x14ac:dyDescent="0.3">
      <c r="A137">
        <v>135</v>
      </c>
      <c r="B137">
        <v>2169</v>
      </c>
      <c r="C137" t="b">
        <v>1</v>
      </c>
      <c r="D137">
        <v>8048</v>
      </c>
      <c r="E137">
        <v>8117</v>
      </c>
      <c r="F137">
        <v>8</v>
      </c>
      <c r="G137">
        <v>4</v>
      </c>
      <c r="H137">
        <v>2</v>
      </c>
      <c r="I137">
        <v>-1</v>
      </c>
      <c r="J137">
        <v>0.33333333999999998</v>
      </c>
    </row>
    <row r="138" spans="1:10" x14ac:dyDescent="0.3">
      <c r="A138">
        <v>136</v>
      </c>
      <c r="B138">
        <v>2184</v>
      </c>
      <c r="C138" t="b">
        <v>1</v>
      </c>
      <c r="D138">
        <v>8048</v>
      </c>
      <c r="E138">
        <v>8123</v>
      </c>
      <c r="F138">
        <v>8</v>
      </c>
      <c r="G138">
        <v>4.4000000000000004</v>
      </c>
      <c r="H138">
        <v>1.8181818000000001</v>
      </c>
      <c r="I138">
        <v>-0.81818175000000004</v>
      </c>
      <c r="J138">
        <v>0.35483872999999999</v>
      </c>
    </row>
    <row r="139" spans="1:10" x14ac:dyDescent="0.3">
      <c r="A139">
        <v>137</v>
      </c>
      <c r="B139">
        <v>2201</v>
      </c>
      <c r="C139" t="b">
        <v>1</v>
      </c>
      <c r="D139">
        <v>8048</v>
      </c>
      <c r="E139">
        <v>8117</v>
      </c>
      <c r="F139">
        <v>8</v>
      </c>
      <c r="G139">
        <v>4.8</v>
      </c>
      <c r="H139">
        <v>1.6666666000000001</v>
      </c>
      <c r="I139">
        <v>-0.6666666</v>
      </c>
      <c r="J139">
        <v>0.375</v>
      </c>
    </row>
    <row r="140" spans="1:10" x14ac:dyDescent="0.3">
      <c r="A140">
        <v>138</v>
      </c>
      <c r="B140">
        <v>2216</v>
      </c>
      <c r="C140" t="b">
        <v>1</v>
      </c>
      <c r="D140">
        <v>8048</v>
      </c>
      <c r="E140">
        <v>8123</v>
      </c>
      <c r="F140">
        <v>8</v>
      </c>
      <c r="G140">
        <v>5.2</v>
      </c>
      <c r="H140">
        <v>1.5384616</v>
      </c>
      <c r="I140">
        <v>-0.53846156999999994</v>
      </c>
      <c r="J140">
        <v>0.39393938000000001</v>
      </c>
    </row>
    <row r="141" spans="1:10" x14ac:dyDescent="0.3">
      <c r="A141">
        <v>139</v>
      </c>
      <c r="B141">
        <v>2232</v>
      </c>
      <c r="C141" t="b">
        <v>1</v>
      </c>
      <c r="D141">
        <v>8048</v>
      </c>
      <c r="E141">
        <v>8123</v>
      </c>
      <c r="F141">
        <v>8</v>
      </c>
      <c r="G141">
        <v>5.2</v>
      </c>
      <c r="H141">
        <v>1.5384616</v>
      </c>
      <c r="I141">
        <v>-0.53846156999999994</v>
      </c>
      <c r="J141">
        <v>0.39393938000000001</v>
      </c>
    </row>
    <row r="142" spans="1:10" x14ac:dyDescent="0.3">
      <c r="A142">
        <v>140</v>
      </c>
      <c r="B142">
        <v>2248</v>
      </c>
      <c r="C142" t="b">
        <v>1</v>
      </c>
      <c r="D142">
        <v>8054</v>
      </c>
      <c r="E142">
        <v>8123</v>
      </c>
      <c r="F142">
        <v>8</v>
      </c>
      <c r="G142">
        <v>5.2</v>
      </c>
      <c r="H142">
        <v>1.5384616</v>
      </c>
      <c r="I142">
        <v>-0.53846156999999994</v>
      </c>
      <c r="J142">
        <v>0.39393938000000001</v>
      </c>
    </row>
    <row r="143" spans="1:10" x14ac:dyDescent="0.3">
      <c r="A143">
        <v>141</v>
      </c>
      <c r="B143">
        <v>2264</v>
      </c>
      <c r="C143" t="b">
        <v>1</v>
      </c>
      <c r="D143">
        <v>8048</v>
      </c>
      <c r="E143">
        <v>8123</v>
      </c>
      <c r="F143">
        <v>8</v>
      </c>
      <c r="G143">
        <v>5.2</v>
      </c>
      <c r="H143">
        <v>1.5384616</v>
      </c>
      <c r="I143">
        <v>-0.53846156999999994</v>
      </c>
      <c r="J143">
        <v>0.39393938000000001</v>
      </c>
    </row>
    <row r="144" spans="1:10" x14ac:dyDescent="0.3">
      <c r="A144">
        <v>142</v>
      </c>
      <c r="B144">
        <v>2279</v>
      </c>
      <c r="C144" t="b">
        <v>1</v>
      </c>
      <c r="D144">
        <v>8048</v>
      </c>
      <c r="E144">
        <v>8123</v>
      </c>
      <c r="F144">
        <v>8</v>
      </c>
      <c r="G144">
        <v>5.2</v>
      </c>
      <c r="H144">
        <v>1.5384616</v>
      </c>
      <c r="I144">
        <v>-0.53846156999999994</v>
      </c>
      <c r="J144">
        <v>0.39393938000000001</v>
      </c>
    </row>
    <row r="145" spans="1:10" x14ac:dyDescent="0.3">
      <c r="A145">
        <v>143</v>
      </c>
      <c r="B145">
        <v>2296</v>
      </c>
      <c r="C145" t="b">
        <v>1</v>
      </c>
      <c r="D145">
        <v>8048</v>
      </c>
      <c r="E145">
        <v>8123</v>
      </c>
      <c r="F145">
        <v>8</v>
      </c>
      <c r="G145">
        <v>5.2</v>
      </c>
      <c r="H145">
        <v>1.5384616</v>
      </c>
      <c r="I145">
        <v>-0.53846156999999994</v>
      </c>
      <c r="J145">
        <v>0.39393938000000001</v>
      </c>
    </row>
    <row r="146" spans="1:10" x14ac:dyDescent="0.3">
      <c r="A146">
        <v>144</v>
      </c>
      <c r="B146">
        <v>2311</v>
      </c>
      <c r="C146" t="b">
        <v>1</v>
      </c>
      <c r="D146">
        <v>8048</v>
      </c>
      <c r="E146">
        <v>8123</v>
      </c>
      <c r="F146">
        <v>8</v>
      </c>
      <c r="G146">
        <v>5.6</v>
      </c>
      <c r="H146">
        <v>1.4285715000000001</v>
      </c>
      <c r="I146">
        <v>-0.42857146000000002</v>
      </c>
      <c r="J146">
        <v>0.41176467999999999</v>
      </c>
    </row>
    <row r="147" spans="1:10" x14ac:dyDescent="0.3">
      <c r="A147">
        <v>145</v>
      </c>
      <c r="B147">
        <v>2327</v>
      </c>
      <c r="C147" t="b">
        <v>1</v>
      </c>
      <c r="D147">
        <v>8048</v>
      </c>
      <c r="E147">
        <v>8123</v>
      </c>
      <c r="F147">
        <v>8</v>
      </c>
      <c r="G147">
        <v>6</v>
      </c>
      <c r="H147">
        <v>1.3333333999999999</v>
      </c>
      <c r="I147">
        <v>-0.33333333999999998</v>
      </c>
      <c r="J147">
        <v>0.42857142999999998</v>
      </c>
    </row>
    <row r="148" spans="1:10" x14ac:dyDescent="0.3">
      <c r="A148">
        <v>146</v>
      </c>
      <c r="B148">
        <v>2343</v>
      </c>
      <c r="C148" t="b">
        <v>1</v>
      </c>
      <c r="D148">
        <v>8048</v>
      </c>
      <c r="E148">
        <v>8123</v>
      </c>
      <c r="F148">
        <v>8</v>
      </c>
      <c r="G148">
        <v>6.4</v>
      </c>
      <c r="H148">
        <v>1.25</v>
      </c>
      <c r="I148">
        <v>-0.24999999000000001</v>
      </c>
      <c r="J148">
        <v>0.44444447999999998</v>
      </c>
    </row>
    <row r="149" spans="1:10" x14ac:dyDescent="0.3">
      <c r="A149">
        <v>147</v>
      </c>
      <c r="B149">
        <v>2359</v>
      </c>
      <c r="C149" t="b">
        <v>1</v>
      </c>
      <c r="D149">
        <v>8048</v>
      </c>
      <c r="E149">
        <v>8123</v>
      </c>
      <c r="F149">
        <v>8</v>
      </c>
      <c r="G149">
        <v>6.8</v>
      </c>
      <c r="H149">
        <v>1.1764705</v>
      </c>
      <c r="I149">
        <v>-0.17647055</v>
      </c>
      <c r="J149">
        <v>0.45945944999999999</v>
      </c>
    </row>
    <row r="150" spans="1:10" x14ac:dyDescent="0.3">
      <c r="A150">
        <v>148</v>
      </c>
      <c r="B150">
        <v>2375</v>
      </c>
      <c r="C150" t="b">
        <v>1</v>
      </c>
      <c r="D150">
        <v>8054</v>
      </c>
      <c r="E150">
        <v>8123</v>
      </c>
      <c r="F150">
        <v>8</v>
      </c>
      <c r="G150">
        <v>7.2</v>
      </c>
      <c r="H150">
        <v>1.1111112000000001</v>
      </c>
      <c r="I150">
        <v>-0.11111114</v>
      </c>
      <c r="J150">
        <v>0.4736842</v>
      </c>
    </row>
    <row r="151" spans="1:10" x14ac:dyDescent="0.3">
      <c r="A151">
        <v>149</v>
      </c>
      <c r="B151">
        <v>2391</v>
      </c>
      <c r="C151" t="b">
        <v>1</v>
      </c>
      <c r="D151">
        <v>8048</v>
      </c>
      <c r="E151">
        <v>8123</v>
      </c>
      <c r="F151">
        <v>8</v>
      </c>
      <c r="G151">
        <v>7.6</v>
      </c>
      <c r="H151">
        <v>1.0526316</v>
      </c>
      <c r="I151">
        <v>-5.2631589999999999E-2</v>
      </c>
      <c r="J151">
        <v>0.48717946000000001</v>
      </c>
    </row>
    <row r="152" spans="1:10" x14ac:dyDescent="0.3">
      <c r="A152">
        <v>150</v>
      </c>
      <c r="B152">
        <v>2407</v>
      </c>
      <c r="C152" t="b">
        <v>1</v>
      </c>
      <c r="D152">
        <v>8048</v>
      </c>
      <c r="E152">
        <v>8123</v>
      </c>
      <c r="F152">
        <v>8</v>
      </c>
      <c r="G152">
        <v>8</v>
      </c>
      <c r="H152">
        <v>1</v>
      </c>
      <c r="I152">
        <v>0</v>
      </c>
      <c r="J152">
        <v>0.5</v>
      </c>
    </row>
    <row r="153" spans="1:10" x14ac:dyDescent="0.3">
      <c r="A153">
        <v>151</v>
      </c>
      <c r="B153">
        <v>2423</v>
      </c>
      <c r="C153" t="b">
        <v>1</v>
      </c>
      <c r="D153">
        <v>8048</v>
      </c>
      <c r="E153">
        <v>8123</v>
      </c>
      <c r="F153">
        <v>8</v>
      </c>
      <c r="G153">
        <v>8</v>
      </c>
      <c r="H153">
        <v>1</v>
      </c>
      <c r="I153">
        <v>0</v>
      </c>
      <c r="J153">
        <v>0.5</v>
      </c>
    </row>
    <row r="154" spans="1:10" x14ac:dyDescent="0.3">
      <c r="A154">
        <v>152</v>
      </c>
      <c r="B154">
        <v>2439</v>
      </c>
      <c r="C154" t="b">
        <v>1</v>
      </c>
      <c r="D154">
        <v>8042</v>
      </c>
      <c r="E154">
        <v>8123</v>
      </c>
      <c r="F154">
        <v>8</v>
      </c>
      <c r="G154">
        <v>8</v>
      </c>
      <c r="H154">
        <v>1</v>
      </c>
      <c r="I154">
        <v>0</v>
      </c>
      <c r="J154">
        <v>0.5</v>
      </c>
    </row>
    <row r="155" spans="1:10" x14ac:dyDescent="0.3">
      <c r="A155">
        <v>153</v>
      </c>
      <c r="B155">
        <v>2455</v>
      </c>
      <c r="C155" t="b">
        <v>1</v>
      </c>
      <c r="D155">
        <v>8048</v>
      </c>
      <c r="E155">
        <v>8123</v>
      </c>
      <c r="F155">
        <v>8</v>
      </c>
      <c r="G155">
        <v>8</v>
      </c>
      <c r="H155">
        <v>1</v>
      </c>
      <c r="I155">
        <v>0</v>
      </c>
      <c r="J155">
        <v>0.5</v>
      </c>
    </row>
    <row r="156" spans="1:10" x14ac:dyDescent="0.3">
      <c r="A156">
        <v>154</v>
      </c>
      <c r="B156">
        <v>2471</v>
      </c>
      <c r="C156" t="b">
        <v>1</v>
      </c>
      <c r="D156">
        <v>8042</v>
      </c>
      <c r="E156">
        <v>8117</v>
      </c>
      <c r="F156">
        <v>8</v>
      </c>
      <c r="G156">
        <v>8</v>
      </c>
      <c r="H156">
        <v>1</v>
      </c>
      <c r="I156">
        <v>0</v>
      </c>
      <c r="J156">
        <v>0.5</v>
      </c>
    </row>
    <row r="157" spans="1:10" x14ac:dyDescent="0.3">
      <c r="A157">
        <v>155</v>
      </c>
      <c r="B157">
        <v>2487</v>
      </c>
      <c r="C157" t="b">
        <v>1</v>
      </c>
      <c r="D157">
        <v>8042</v>
      </c>
      <c r="E157">
        <v>8123</v>
      </c>
      <c r="F157">
        <v>7.6</v>
      </c>
      <c r="G157">
        <v>8</v>
      </c>
      <c r="H157">
        <v>0.95</v>
      </c>
      <c r="I157">
        <v>5.0000012000000003E-2</v>
      </c>
      <c r="J157">
        <v>0.51282050000000001</v>
      </c>
    </row>
    <row r="158" spans="1:10" x14ac:dyDescent="0.3">
      <c r="A158">
        <v>156</v>
      </c>
      <c r="B158">
        <v>2502</v>
      </c>
      <c r="C158" t="b">
        <v>1</v>
      </c>
      <c r="D158">
        <v>8048</v>
      </c>
      <c r="E158">
        <v>8123</v>
      </c>
      <c r="F158">
        <v>7.2</v>
      </c>
      <c r="G158">
        <v>8</v>
      </c>
      <c r="H158">
        <v>0.9</v>
      </c>
      <c r="I158">
        <v>0.10000002400000001</v>
      </c>
      <c r="J158">
        <v>0.5263158</v>
      </c>
    </row>
    <row r="159" spans="1:10" x14ac:dyDescent="0.3">
      <c r="A159">
        <v>157</v>
      </c>
      <c r="B159">
        <v>2518</v>
      </c>
      <c r="C159" t="b">
        <v>1</v>
      </c>
      <c r="D159">
        <v>8048</v>
      </c>
      <c r="E159">
        <v>8129</v>
      </c>
      <c r="F159">
        <v>7.2</v>
      </c>
      <c r="G159">
        <v>8</v>
      </c>
      <c r="H159">
        <v>0.9</v>
      </c>
      <c r="I159">
        <v>0.10000002400000001</v>
      </c>
      <c r="J159">
        <v>0.5263158</v>
      </c>
    </row>
    <row r="160" spans="1:10" x14ac:dyDescent="0.3">
      <c r="A160">
        <v>158</v>
      </c>
      <c r="B160">
        <v>2534</v>
      </c>
      <c r="C160" t="b">
        <v>1</v>
      </c>
      <c r="D160">
        <v>8048</v>
      </c>
      <c r="E160">
        <v>8123</v>
      </c>
      <c r="F160">
        <v>7.2</v>
      </c>
      <c r="G160">
        <v>8</v>
      </c>
      <c r="H160">
        <v>0.9</v>
      </c>
      <c r="I160">
        <v>0.10000002400000001</v>
      </c>
      <c r="J160">
        <v>0.5263158</v>
      </c>
    </row>
    <row r="161" spans="1:10" x14ac:dyDescent="0.3">
      <c r="A161">
        <v>159</v>
      </c>
      <c r="B161">
        <v>2550</v>
      </c>
      <c r="C161" t="b">
        <v>1</v>
      </c>
      <c r="D161">
        <v>8048</v>
      </c>
      <c r="E161">
        <v>8123</v>
      </c>
      <c r="F161">
        <v>7.2</v>
      </c>
      <c r="G161">
        <v>8</v>
      </c>
      <c r="H161">
        <v>0.9</v>
      </c>
      <c r="I161">
        <v>0.10000002400000001</v>
      </c>
      <c r="J161">
        <v>0.5263158</v>
      </c>
    </row>
    <row r="162" spans="1:10" x14ac:dyDescent="0.3">
      <c r="A162">
        <v>160</v>
      </c>
      <c r="B162">
        <v>2566</v>
      </c>
      <c r="C162" t="b">
        <v>1</v>
      </c>
      <c r="D162">
        <v>8048</v>
      </c>
      <c r="E162">
        <v>8123</v>
      </c>
      <c r="F162">
        <v>7.2</v>
      </c>
      <c r="G162">
        <v>8</v>
      </c>
      <c r="H162">
        <v>0.9</v>
      </c>
      <c r="I162">
        <v>0.10000002400000001</v>
      </c>
      <c r="J162">
        <v>0.5263158</v>
      </c>
    </row>
    <row r="163" spans="1:10" x14ac:dyDescent="0.3">
      <c r="A163">
        <v>161</v>
      </c>
      <c r="B163">
        <v>2582</v>
      </c>
      <c r="C163" t="b">
        <v>1</v>
      </c>
      <c r="D163">
        <v>8048</v>
      </c>
      <c r="E163">
        <v>8123</v>
      </c>
      <c r="F163">
        <v>7.2</v>
      </c>
      <c r="G163">
        <v>8</v>
      </c>
      <c r="H163">
        <v>0.9</v>
      </c>
      <c r="I163">
        <v>0.10000002400000001</v>
      </c>
      <c r="J163">
        <v>0.5263158</v>
      </c>
    </row>
    <row r="164" spans="1:10" x14ac:dyDescent="0.3">
      <c r="A164">
        <v>162</v>
      </c>
      <c r="B164">
        <v>2598</v>
      </c>
      <c r="C164" t="b">
        <v>1</v>
      </c>
      <c r="D164">
        <v>8054</v>
      </c>
      <c r="E164">
        <v>8123</v>
      </c>
      <c r="F164">
        <v>7.2</v>
      </c>
      <c r="G164">
        <v>8</v>
      </c>
      <c r="H164">
        <v>0.9</v>
      </c>
      <c r="I164">
        <v>0.10000002400000001</v>
      </c>
      <c r="J164">
        <v>0.5263158</v>
      </c>
    </row>
    <row r="165" spans="1:10" x14ac:dyDescent="0.3">
      <c r="A165">
        <v>163</v>
      </c>
      <c r="B165">
        <v>2614</v>
      </c>
      <c r="C165" t="b">
        <v>1</v>
      </c>
      <c r="D165">
        <v>8042</v>
      </c>
      <c r="E165">
        <v>8117</v>
      </c>
      <c r="F165">
        <v>7.2</v>
      </c>
      <c r="G165">
        <v>8</v>
      </c>
      <c r="H165">
        <v>0.9</v>
      </c>
      <c r="I165">
        <v>0.10000002400000001</v>
      </c>
      <c r="J165">
        <v>0.5263158</v>
      </c>
    </row>
    <row r="166" spans="1:10" x14ac:dyDescent="0.3">
      <c r="A166">
        <v>164</v>
      </c>
      <c r="B166">
        <v>2629</v>
      </c>
      <c r="C166" t="b">
        <v>1</v>
      </c>
      <c r="D166">
        <v>8042</v>
      </c>
      <c r="E166">
        <v>8123</v>
      </c>
      <c r="F166">
        <v>7.2</v>
      </c>
      <c r="G166">
        <v>8</v>
      </c>
      <c r="H166">
        <v>0.9</v>
      </c>
      <c r="I166">
        <v>0.10000002400000001</v>
      </c>
      <c r="J166">
        <v>0.5263158</v>
      </c>
    </row>
    <row r="167" spans="1:10" x14ac:dyDescent="0.3">
      <c r="A167">
        <v>165</v>
      </c>
      <c r="B167">
        <v>2645</v>
      </c>
      <c r="C167" t="b">
        <v>1</v>
      </c>
      <c r="D167">
        <v>8042</v>
      </c>
      <c r="E167">
        <v>8123</v>
      </c>
      <c r="F167">
        <v>6.8</v>
      </c>
      <c r="G167">
        <v>8</v>
      </c>
      <c r="H167">
        <v>0.85</v>
      </c>
      <c r="I167">
        <v>0.14999998</v>
      </c>
      <c r="J167">
        <v>0.54054049999999998</v>
      </c>
    </row>
    <row r="168" spans="1:10" x14ac:dyDescent="0.3">
      <c r="A168">
        <v>166</v>
      </c>
      <c r="B168">
        <v>2661</v>
      </c>
      <c r="C168" t="b">
        <v>1</v>
      </c>
      <c r="D168">
        <v>8042</v>
      </c>
      <c r="E168">
        <v>8123</v>
      </c>
      <c r="F168">
        <v>6.4</v>
      </c>
      <c r="G168">
        <v>8</v>
      </c>
      <c r="H168">
        <v>0.8</v>
      </c>
      <c r="I168">
        <v>0.19999998999999999</v>
      </c>
      <c r="J168">
        <v>0.55555560000000004</v>
      </c>
    </row>
    <row r="169" spans="1:10" x14ac:dyDescent="0.3">
      <c r="A169">
        <v>167</v>
      </c>
      <c r="B169">
        <v>2677</v>
      </c>
      <c r="C169" t="b">
        <v>1</v>
      </c>
      <c r="D169">
        <v>8042</v>
      </c>
      <c r="E169">
        <v>8123</v>
      </c>
      <c r="F169">
        <v>6</v>
      </c>
      <c r="G169">
        <v>8</v>
      </c>
      <c r="H169">
        <v>0.75</v>
      </c>
      <c r="I169">
        <v>0.25</v>
      </c>
      <c r="J169">
        <v>0.57142859999999995</v>
      </c>
    </row>
    <row r="170" spans="1:10" x14ac:dyDescent="0.3">
      <c r="A170">
        <v>168</v>
      </c>
      <c r="B170">
        <v>2693</v>
      </c>
      <c r="C170" t="b">
        <v>1</v>
      </c>
      <c r="D170">
        <v>8042</v>
      </c>
      <c r="E170">
        <v>8123</v>
      </c>
      <c r="F170">
        <v>5.6</v>
      </c>
      <c r="G170">
        <v>8</v>
      </c>
      <c r="H170">
        <v>0.7</v>
      </c>
      <c r="I170">
        <v>0.3</v>
      </c>
      <c r="J170">
        <v>0.58823526000000004</v>
      </c>
    </row>
    <row r="171" spans="1:10" x14ac:dyDescent="0.3">
      <c r="A171">
        <v>169</v>
      </c>
      <c r="B171">
        <v>2709</v>
      </c>
      <c r="C171" t="b">
        <v>1</v>
      </c>
      <c r="D171">
        <v>8048</v>
      </c>
      <c r="E171">
        <v>8123</v>
      </c>
      <c r="F171">
        <v>5.2</v>
      </c>
      <c r="G171">
        <v>8</v>
      </c>
      <c r="H171">
        <v>0.65</v>
      </c>
      <c r="I171">
        <v>0.35000002000000002</v>
      </c>
      <c r="J171">
        <v>0.60606059999999995</v>
      </c>
    </row>
    <row r="172" spans="1:10" x14ac:dyDescent="0.3">
      <c r="A172">
        <v>170</v>
      </c>
      <c r="B172">
        <v>2725</v>
      </c>
      <c r="C172" t="b">
        <v>1</v>
      </c>
      <c r="D172">
        <v>8048</v>
      </c>
      <c r="E172">
        <v>8123</v>
      </c>
      <c r="F172">
        <v>5.2</v>
      </c>
      <c r="G172">
        <v>8</v>
      </c>
      <c r="H172">
        <v>0.65</v>
      </c>
      <c r="I172">
        <v>0.35000002000000002</v>
      </c>
      <c r="J172">
        <v>0.60606059999999995</v>
      </c>
    </row>
    <row r="173" spans="1:10" x14ac:dyDescent="0.3">
      <c r="A173">
        <v>171</v>
      </c>
      <c r="B173">
        <v>2741</v>
      </c>
      <c r="C173" t="b">
        <v>1</v>
      </c>
      <c r="D173">
        <v>8048</v>
      </c>
      <c r="E173">
        <v>8123</v>
      </c>
      <c r="F173">
        <v>5.6</v>
      </c>
      <c r="G173">
        <v>8</v>
      </c>
      <c r="H173">
        <v>0.7</v>
      </c>
      <c r="I173">
        <v>0.3</v>
      </c>
      <c r="J173">
        <v>0.58823526000000004</v>
      </c>
    </row>
    <row r="174" spans="1:10" x14ac:dyDescent="0.3">
      <c r="A174">
        <v>172</v>
      </c>
      <c r="B174">
        <v>2757</v>
      </c>
      <c r="C174" t="b">
        <v>1</v>
      </c>
      <c r="D174">
        <v>8048</v>
      </c>
      <c r="E174">
        <v>8123</v>
      </c>
      <c r="F174">
        <v>5.6</v>
      </c>
      <c r="G174">
        <v>8</v>
      </c>
      <c r="H174">
        <v>0.7</v>
      </c>
      <c r="I174">
        <v>0.3</v>
      </c>
      <c r="J174">
        <v>0.58823526000000004</v>
      </c>
    </row>
    <row r="175" spans="1:10" x14ac:dyDescent="0.3">
      <c r="A175">
        <v>173</v>
      </c>
      <c r="B175">
        <v>2772</v>
      </c>
      <c r="C175" t="b">
        <v>1</v>
      </c>
      <c r="D175">
        <v>8048</v>
      </c>
      <c r="E175">
        <v>8123</v>
      </c>
      <c r="F175">
        <v>5.6</v>
      </c>
      <c r="G175">
        <v>8</v>
      </c>
      <c r="H175">
        <v>0.7</v>
      </c>
      <c r="I175">
        <v>0.3</v>
      </c>
      <c r="J175">
        <v>0.58823526000000004</v>
      </c>
    </row>
    <row r="176" spans="1:10" x14ac:dyDescent="0.3">
      <c r="A176">
        <v>174</v>
      </c>
      <c r="B176">
        <v>2788</v>
      </c>
      <c r="C176" t="b">
        <v>1</v>
      </c>
      <c r="D176">
        <v>8054</v>
      </c>
      <c r="E176">
        <v>8123</v>
      </c>
      <c r="F176">
        <v>5.6</v>
      </c>
      <c r="G176">
        <v>8</v>
      </c>
      <c r="H176">
        <v>0.7</v>
      </c>
      <c r="I176">
        <v>0.3</v>
      </c>
      <c r="J176">
        <v>0.58823526000000004</v>
      </c>
    </row>
    <row r="177" spans="1:10" x14ac:dyDescent="0.3">
      <c r="A177">
        <v>175</v>
      </c>
      <c r="B177">
        <v>2804</v>
      </c>
      <c r="C177" t="b">
        <v>1</v>
      </c>
      <c r="D177">
        <v>8048</v>
      </c>
      <c r="E177">
        <v>8123</v>
      </c>
      <c r="F177">
        <v>5.6</v>
      </c>
      <c r="G177">
        <v>8</v>
      </c>
      <c r="H177">
        <v>0.7</v>
      </c>
      <c r="I177">
        <v>0.3</v>
      </c>
      <c r="J177">
        <v>0.58823526000000004</v>
      </c>
    </row>
    <row r="178" spans="1:10" x14ac:dyDescent="0.3">
      <c r="A178">
        <v>176</v>
      </c>
      <c r="B178">
        <v>2820</v>
      </c>
      <c r="C178" t="b">
        <v>1</v>
      </c>
      <c r="D178">
        <v>8048</v>
      </c>
      <c r="E178">
        <v>8123</v>
      </c>
      <c r="F178">
        <v>5.6</v>
      </c>
      <c r="G178">
        <v>8</v>
      </c>
      <c r="H178">
        <v>0.7</v>
      </c>
      <c r="I178">
        <v>0.3</v>
      </c>
      <c r="J178">
        <v>0.58823526000000004</v>
      </c>
    </row>
    <row r="179" spans="1:10" x14ac:dyDescent="0.3">
      <c r="A179">
        <v>177</v>
      </c>
      <c r="B179">
        <v>2836</v>
      </c>
      <c r="C179" t="b">
        <v>1</v>
      </c>
      <c r="D179">
        <v>8048</v>
      </c>
      <c r="E179">
        <v>8123</v>
      </c>
      <c r="F179">
        <v>5.6</v>
      </c>
      <c r="G179">
        <v>8</v>
      </c>
      <c r="H179">
        <v>0.7</v>
      </c>
      <c r="I179">
        <v>0.3</v>
      </c>
      <c r="J179">
        <v>0.58823526000000004</v>
      </c>
    </row>
    <row r="180" spans="1:10" x14ac:dyDescent="0.3">
      <c r="A180">
        <v>178</v>
      </c>
      <c r="B180">
        <v>2852</v>
      </c>
      <c r="C180" t="b">
        <v>1</v>
      </c>
      <c r="D180">
        <v>8048</v>
      </c>
      <c r="E180">
        <v>8117</v>
      </c>
      <c r="F180">
        <v>5.6</v>
      </c>
      <c r="G180">
        <v>8</v>
      </c>
      <c r="H180">
        <v>0.7</v>
      </c>
      <c r="I180">
        <v>0.3</v>
      </c>
      <c r="J180">
        <v>0.58823526000000004</v>
      </c>
    </row>
    <row r="181" spans="1:10" x14ac:dyDescent="0.3">
      <c r="A181">
        <v>179</v>
      </c>
      <c r="B181">
        <v>2868</v>
      </c>
      <c r="C181" t="b">
        <v>1</v>
      </c>
      <c r="D181">
        <v>8048</v>
      </c>
      <c r="E181">
        <v>8129</v>
      </c>
      <c r="F181">
        <v>5.6</v>
      </c>
      <c r="G181">
        <v>8</v>
      </c>
      <c r="H181">
        <v>0.7</v>
      </c>
      <c r="I181">
        <v>0.3</v>
      </c>
      <c r="J181">
        <v>0.58823526000000004</v>
      </c>
    </row>
    <row r="182" spans="1:10" x14ac:dyDescent="0.3">
      <c r="A182">
        <v>180</v>
      </c>
      <c r="B182">
        <v>2884</v>
      </c>
      <c r="C182" t="b">
        <v>1</v>
      </c>
      <c r="D182">
        <v>8042</v>
      </c>
      <c r="E182">
        <v>8123</v>
      </c>
      <c r="F182">
        <v>6</v>
      </c>
      <c r="G182">
        <v>8</v>
      </c>
      <c r="H182">
        <v>0.75</v>
      </c>
      <c r="I182">
        <v>0.25</v>
      </c>
      <c r="J182">
        <v>0.57142859999999995</v>
      </c>
    </row>
    <row r="183" spans="1:10" x14ac:dyDescent="0.3">
      <c r="A183">
        <v>181</v>
      </c>
      <c r="B183">
        <v>2900</v>
      </c>
      <c r="C183" t="b">
        <v>1</v>
      </c>
      <c r="D183">
        <v>8048</v>
      </c>
      <c r="E183">
        <v>8123</v>
      </c>
      <c r="F183">
        <v>6.4</v>
      </c>
      <c r="G183">
        <v>8</v>
      </c>
      <c r="H183">
        <v>0.8</v>
      </c>
      <c r="I183">
        <v>0.19999998999999999</v>
      </c>
      <c r="J183">
        <v>0.55555560000000004</v>
      </c>
    </row>
    <row r="184" spans="1:10" x14ac:dyDescent="0.3">
      <c r="A184">
        <v>182</v>
      </c>
      <c r="B184">
        <v>2915</v>
      </c>
      <c r="C184" t="b">
        <v>1</v>
      </c>
      <c r="D184">
        <v>8048</v>
      </c>
      <c r="E184">
        <v>8129</v>
      </c>
      <c r="F184">
        <v>6.8</v>
      </c>
      <c r="G184">
        <v>8</v>
      </c>
      <c r="H184">
        <v>0.85</v>
      </c>
      <c r="I184">
        <v>0.14999998</v>
      </c>
      <c r="J184">
        <v>0.54054049999999998</v>
      </c>
    </row>
    <row r="185" spans="1:10" x14ac:dyDescent="0.3">
      <c r="A185">
        <v>183</v>
      </c>
      <c r="B185">
        <v>2931</v>
      </c>
      <c r="C185" t="b">
        <v>1</v>
      </c>
      <c r="D185">
        <v>8048</v>
      </c>
      <c r="E185">
        <v>8117</v>
      </c>
      <c r="F185">
        <v>7.2</v>
      </c>
      <c r="G185">
        <v>8</v>
      </c>
      <c r="H185">
        <v>0.9</v>
      </c>
      <c r="I185">
        <v>0.10000002400000001</v>
      </c>
      <c r="J185">
        <v>0.5263158</v>
      </c>
    </row>
    <row r="186" spans="1:10" x14ac:dyDescent="0.3">
      <c r="A186">
        <v>184</v>
      </c>
      <c r="B186">
        <v>2947</v>
      </c>
      <c r="C186" t="b">
        <v>1</v>
      </c>
      <c r="D186">
        <v>8048</v>
      </c>
      <c r="E186">
        <v>8123</v>
      </c>
      <c r="F186">
        <v>7.6</v>
      </c>
      <c r="G186">
        <v>8</v>
      </c>
      <c r="H186">
        <v>0.95</v>
      </c>
      <c r="I186">
        <v>5.0000012000000003E-2</v>
      </c>
      <c r="J186">
        <v>0.51282050000000001</v>
      </c>
    </row>
    <row r="187" spans="1:10" x14ac:dyDescent="0.3">
      <c r="A187">
        <v>185</v>
      </c>
      <c r="B187">
        <v>2963</v>
      </c>
      <c r="C187" t="b">
        <v>1</v>
      </c>
      <c r="D187">
        <v>8048</v>
      </c>
      <c r="E187">
        <v>8123</v>
      </c>
      <c r="F187">
        <v>8</v>
      </c>
      <c r="G187">
        <v>8</v>
      </c>
      <c r="H187">
        <v>1</v>
      </c>
      <c r="I187">
        <v>0</v>
      </c>
      <c r="J187">
        <v>0.5</v>
      </c>
    </row>
    <row r="188" spans="1:10" x14ac:dyDescent="0.3">
      <c r="A188">
        <v>186</v>
      </c>
      <c r="B188">
        <v>2979</v>
      </c>
      <c r="C188" t="b">
        <v>1</v>
      </c>
      <c r="D188">
        <v>8048</v>
      </c>
      <c r="E188">
        <v>8123</v>
      </c>
      <c r="F188">
        <v>8</v>
      </c>
      <c r="G188">
        <v>8</v>
      </c>
      <c r="H188">
        <v>1</v>
      </c>
      <c r="I188">
        <v>0</v>
      </c>
      <c r="J188">
        <v>0.5</v>
      </c>
    </row>
    <row r="189" spans="1:10" x14ac:dyDescent="0.3">
      <c r="A189">
        <v>187</v>
      </c>
      <c r="B189">
        <v>2995</v>
      </c>
      <c r="C189" t="b">
        <v>1</v>
      </c>
      <c r="D189">
        <v>8048</v>
      </c>
      <c r="E189">
        <v>8123</v>
      </c>
      <c r="F189">
        <v>8</v>
      </c>
      <c r="G189">
        <v>8</v>
      </c>
      <c r="H189">
        <v>1</v>
      </c>
      <c r="I189">
        <v>0</v>
      </c>
      <c r="J189">
        <v>0.5</v>
      </c>
    </row>
    <row r="190" spans="1:10" x14ac:dyDescent="0.3">
      <c r="A190">
        <v>188</v>
      </c>
      <c r="B190">
        <v>3010</v>
      </c>
      <c r="C190" t="b">
        <v>1</v>
      </c>
      <c r="D190">
        <v>8048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3026</v>
      </c>
      <c r="C191" t="b">
        <v>1</v>
      </c>
      <c r="D191">
        <v>8048</v>
      </c>
      <c r="E191">
        <v>8123</v>
      </c>
      <c r="F191">
        <v>8</v>
      </c>
      <c r="G191">
        <v>8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3042</v>
      </c>
      <c r="C192" t="b">
        <v>1</v>
      </c>
      <c r="D192">
        <v>8048</v>
      </c>
      <c r="E192">
        <v>8123</v>
      </c>
      <c r="F192">
        <v>8</v>
      </c>
      <c r="G192">
        <v>8</v>
      </c>
      <c r="H192">
        <v>1</v>
      </c>
      <c r="I192">
        <v>0</v>
      </c>
      <c r="J192">
        <v>0.5</v>
      </c>
    </row>
    <row r="193" spans="1:10" x14ac:dyDescent="0.3">
      <c r="A193">
        <v>191</v>
      </c>
      <c r="B193">
        <v>3058</v>
      </c>
      <c r="C193" t="b">
        <v>1</v>
      </c>
      <c r="D193">
        <v>8048</v>
      </c>
      <c r="E193">
        <v>8123</v>
      </c>
      <c r="F193">
        <v>8</v>
      </c>
      <c r="G193">
        <v>8</v>
      </c>
      <c r="H193">
        <v>1</v>
      </c>
      <c r="I193">
        <v>0</v>
      </c>
      <c r="J193">
        <v>0.5</v>
      </c>
    </row>
    <row r="194" spans="1:10" x14ac:dyDescent="0.3">
      <c r="A194">
        <v>192</v>
      </c>
      <c r="B194">
        <v>3074</v>
      </c>
      <c r="C194" t="b">
        <v>1</v>
      </c>
      <c r="D194">
        <v>8048</v>
      </c>
      <c r="E194">
        <v>8134</v>
      </c>
      <c r="F194">
        <v>8</v>
      </c>
      <c r="G194">
        <v>8</v>
      </c>
      <c r="H194">
        <v>1</v>
      </c>
      <c r="I194">
        <v>0</v>
      </c>
      <c r="J194">
        <v>0.5</v>
      </c>
    </row>
    <row r="195" spans="1:10" x14ac:dyDescent="0.3">
      <c r="A195">
        <v>193</v>
      </c>
      <c r="B195">
        <v>3090</v>
      </c>
      <c r="C195" t="b">
        <v>1</v>
      </c>
      <c r="D195">
        <v>8048</v>
      </c>
      <c r="E195">
        <v>8123</v>
      </c>
      <c r="F195">
        <v>8</v>
      </c>
      <c r="G195">
        <v>8</v>
      </c>
      <c r="H195">
        <v>1</v>
      </c>
      <c r="I195">
        <v>0</v>
      </c>
      <c r="J195">
        <v>0.5</v>
      </c>
    </row>
    <row r="196" spans="1:10" x14ac:dyDescent="0.3">
      <c r="A196">
        <v>194</v>
      </c>
      <c r="B196">
        <v>3106</v>
      </c>
      <c r="C196" t="b">
        <v>1</v>
      </c>
      <c r="D196">
        <v>8048</v>
      </c>
      <c r="E196">
        <v>8123</v>
      </c>
      <c r="F196">
        <v>8</v>
      </c>
      <c r="G196">
        <v>8</v>
      </c>
      <c r="H196">
        <v>1</v>
      </c>
      <c r="I196">
        <v>0</v>
      </c>
      <c r="J196">
        <v>0.5</v>
      </c>
    </row>
    <row r="197" spans="1:10" x14ac:dyDescent="0.3">
      <c r="A197">
        <v>195</v>
      </c>
      <c r="B197">
        <v>3122</v>
      </c>
      <c r="C197" t="b">
        <v>1</v>
      </c>
      <c r="D197">
        <v>8048</v>
      </c>
      <c r="E197">
        <v>8123</v>
      </c>
      <c r="F197">
        <v>8</v>
      </c>
      <c r="G197">
        <v>8</v>
      </c>
      <c r="H197">
        <v>1</v>
      </c>
      <c r="I197">
        <v>0</v>
      </c>
      <c r="J197">
        <v>0.5</v>
      </c>
    </row>
    <row r="198" spans="1:10" x14ac:dyDescent="0.3">
      <c r="A198">
        <v>196</v>
      </c>
      <c r="B198">
        <v>3138</v>
      </c>
      <c r="C198" t="b">
        <v>1</v>
      </c>
      <c r="D198">
        <v>8048</v>
      </c>
      <c r="E198">
        <v>8117</v>
      </c>
      <c r="F198">
        <v>8</v>
      </c>
      <c r="G198">
        <v>8</v>
      </c>
      <c r="H198">
        <v>1</v>
      </c>
      <c r="I198">
        <v>0</v>
      </c>
      <c r="J198">
        <v>0.5</v>
      </c>
    </row>
    <row r="199" spans="1:10" x14ac:dyDescent="0.3">
      <c r="A199">
        <v>197</v>
      </c>
      <c r="B199">
        <v>3154</v>
      </c>
      <c r="C199" t="b">
        <v>1</v>
      </c>
      <c r="D199">
        <v>8048</v>
      </c>
      <c r="E199">
        <v>8123</v>
      </c>
      <c r="F199">
        <v>8</v>
      </c>
      <c r="G199">
        <v>8</v>
      </c>
      <c r="H199">
        <v>1</v>
      </c>
      <c r="I199">
        <v>0</v>
      </c>
      <c r="J199">
        <v>0.5</v>
      </c>
    </row>
    <row r="200" spans="1:10" x14ac:dyDescent="0.3">
      <c r="A200">
        <v>198</v>
      </c>
      <c r="B200">
        <v>3170</v>
      </c>
      <c r="C200" t="b">
        <v>1</v>
      </c>
      <c r="D200">
        <v>8048</v>
      </c>
      <c r="E200">
        <v>8123</v>
      </c>
      <c r="F200">
        <v>8</v>
      </c>
      <c r="G200">
        <v>8</v>
      </c>
      <c r="H200">
        <v>1</v>
      </c>
      <c r="I200">
        <v>0</v>
      </c>
      <c r="J200">
        <v>0.5</v>
      </c>
    </row>
    <row r="201" spans="1:10" x14ac:dyDescent="0.3">
      <c r="A201">
        <v>199</v>
      </c>
      <c r="B201">
        <v>3186</v>
      </c>
      <c r="C201" t="b">
        <v>1</v>
      </c>
      <c r="D201">
        <v>8048</v>
      </c>
      <c r="E201">
        <v>8129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3202</v>
      </c>
      <c r="C202" t="b">
        <v>1</v>
      </c>
      <c r="D202">
        <v>8048</v>
      </c>
      <c r="E202">
        <v>8123</v>
      </c>
      <c r="F202">
        <v>8</v>
      </c>
      <c r="G202">
        <v>8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3218</v>
      </c>
      <c r="C203" t="b">
        <v>1</v>
      </c>
      <c r="D203">
        <v>8048</v>
      </c>
      <c r="E203">
        <v>8123</v>
      </c>
      <c r="F203">
        <v>8</v>
      </c>
      <c r="G203">
        <v>8</v>
      </c>
      <c r="H203">
        <v>1</v>
      </c>
      <c r="I203">
        <v>0</v>
      </c>
      <c r="J203">
        <v>0.5</v>
      </c>
    </row>
    <row r="204" spans="1:10" x14ac:dyDescent="0.3">
      <c r="A204">
        <v>202</v>
      </c>
      <c r="B204">
        <v>3234</v>
      </c>
      <c r="C204" t="b">
        <v>1</v>
      </c>
      <c r="D204">
        <v>8048</v>
      </c>
      <c r="E204">
        <v>8123</v>
      </c>
      <c r="F204">
        <v>8</v>
      </c>
      <c r="G204">
        <v>8</v>
      </c>
      <c r="H204">
        <v>1</v>
      </c>
      <c r="I204">
        <v>0</v>
      </c>
      <c r="J204">
        <v>0.5</v>
      </c>
    </row>
    <row r="205" spans="1:10" x14ac:dyDescent="0.3">
      <c r="A205">
        <v>203</v>
      </c>
      <c r="B205">
        <v>3250</v>
      </c>
      <c r="C205" t="b">
        <v>1</v>
      </c>
      <c r="D205">
        <v>8042</v>
      </c>
      <c r="E205">
        <v>8123</v>
      </c>
      <c r="F205">
        <v>8</v>
      </c>
      <c r="G205">
        <v>8</v>
      </c>
      <c r="H205">
        <v>1</v>
      </c>
      <c r="I205">
        <v>0</v>
      </c>
      <c r="J205">
        <v>0.5</v>
      </c>
    </row>
    <row r="206" spans="1:10" x14ac:dyDescent="0.3">
      <c r="A206">
        <v>204</v>
      </c>
      <c r="B206">
        <v>3266</v>
      </c>
      <c r="C206" t="b">
        <v>1</v>
      </c>
      <c r="D206">
        <v>8048</v>
      </c>
      <c r="E206">
        <v>8123</v>
      </c>
      <c r="F206">
        <v>8</v>
      </c>
      <c r="G206">
        <v>8</v>
      </c>
      <c r="H206">
        <v>1</v>
      </c>
      <c r="I206">
        <v>0</v>
      </c>
      <c r="J206">
        <v>0.5</v>
      </c>
    </row>
    <row r="207" spans="1:10" x14ac:dyDescent="0.3">
      <c r="A207">
        <v>205</v>
      </c>
      <c r="B207">
        <v>3282</v>
      </c>
      <c r="C207" t="b">
        <v>1</v>
      </c>
      <c r="D207">
        <v>8048</v>
      </c>
      <c r="E207">
        <v>8123</v>
      </c>
      <c r="F207">
        <v>8</v>
      </c>
      <c r="G207">
        <v>8</v>
      </c>
      <c r="H207">
        <v>1</v>
      </c>
      <c r="I207">
        <v>0</v>
      </c>
      <c r="J207">
        <v>0.5</v>
      </c>
    </row>
    <row r="208" spans="1:10" x14ac:dyDescent="0.3">
      <c r="A208">
        <v>206</v>
      </c>
      <c r="B208">
        <v>3298</v>
      </c>
      <c r="C208" t="b">
        <v>1</v>
      </c>
      <c r="D208">
        <v>8048</v>
      </c>
      <c r="E208">
        <v>8123</v>
      </c>
      <c r="F208">
        <v>8</v>
      </c>
      <c r="G208">
        <v>8</v>
      </c>
      <c r="H208">
        <v>1</v>
      </c>
      <c r="I208">
        <v>0</v>
      </c>
      <c r="J208">
        <v>0.5</v>
      </c>
    </row>
    <row r="209" spans="1:10" x14ac:dyDescent="0.3">
      <c r="A209">
        <v>207</v>
      </c>
      <c r="B209">
        <v>3314</v>
      </c>
      <c r="C209" t="b">
        <v>1</v>
      </c>
      <c r="D209">
        <v>8048</v>
      </c>
      <c r="E209">
        <v>8123</v>
      </c>
      <c r="F209">
        <v>8</v>
      </c>
      <c r="G209">
        <v>8</v>
      </c>
      <c r="H209">
        <v>1</v>
      </c>
      <c r="I209">
        <v>0</v>
      </c>
      <c r="J209">
        <v>0.5</v>
      </c>
    </row>
    <row r="210" spans="1:10" x14ac:dyDescent="0.3">
      <c r="A210">
        <v>208</v>
      </c>
      <c r="B210">
        <v>3330</v>
      </c>
      <c r="C210" t="b">
        <v>1</v>
      </c>
      <c r="D210">
        <v>8042</v>
      </c>
      <c r="E210">
        <v>8123</v>
      </c>
      <c r="F210">
        <v>8</v>
      </c>
      <c r="G210">
        <v>8</v>
      </c>
      <c r="H210">
        <v>1</v>
      </c>
      <c r="I210">
        <v>0</v>
      </c>
      <c r="J210">
        <v>0.5</v>
      </c>
    </row>
    <row r="211" spans="1:10" x14ac:dyDescent="0.3">
      <c r="A211">
        <v>209</v>
      </c>
      <c r="B211">
        <v>3345</v>
      </c>
      <c r="C211" t="b">
        <v>1</v>
      </c>
      <c r="D211">
        <v>8048</v>
      </c>
      <c r="E211">
        <v>8117</v>
      </c>
      <c r="F211">
        <v>8</v>
      </c>
      <c r="G211">
        <v>8</v>
      </c>
      <c r="H211">
        <v>1</v>
      </c>
      <c r="I211">
        <v>0</v>
      </c>
      <c r="J211">
        <v>0.5</v>
      </c>
    </row>
    <row r="212" spans="1:10" x14ac:dyDescent="0.3">
      <c r="A212">
        <v>210</v>
      </c>
      <c r="B212">
        <v>3361</v>
      </c>
      <c r="C212" t="b">
        <v>1</v>
      </c>
      <c r="D212">
        <v>8048</v>
      </c>
      <c r="E212">
        <v>8123</v>
      </c>
      <c r="F212">
        <v>8</v>
      </c>
      <c r="G212">
        <v>8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3377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3393</v>
      </c>
      <c r="C214" t="b">
        <v>1</v>
      </c>
      <c r="D214">
        <v>8054</v>
      </c>
      <c r="E214">
        <v>8117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3409</v>
      </c>
      <c r="C215" t="b">
        <v>1</v>
      </c>
      <c r="D215">
        <v>8048</v>
      </c>
      <c r="E215">
        <v>8123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3425</v>
      </c>
      <c r="C216" t="b">
        <v>1</v>
      </c>
      <c r="D216">
        <v>8042</v>
      </c>
      <c r="E216">
        <v>8117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3441</v>
      </c>
      <c r="C217" t="b">
        <v>1</v>
      </c>
      <c r="D217">
        <v>8048</v>
      </c>
      <c r="E217">
        <v>8117</v>
      </c>
      <c r="F217">
        <v>8</v>
      </c>
      <c r="G217">
        <v>7.6</v>
      </c>
      <c r="H217">
        <v>1.0526316</v>
      </c>
      <c r="I217">
        <v>-5.2631589999999999E-2</v>
      </c>
      <c r="J217">
        <v>0.48717946000000001</v>
      </c>
    </row>
    <row r="218" spans="1:10" x14ac:dyDescent="0.3">
      <c r="A218">
        <v>216</v>
      </c>
      <c r="B218">
        <v>3457</v>
      </c>
      <c r="C218" t="b">
        <v>1</v>
      </c>
      <c r="D218">
        <v>8048</v>
      </c>
      <c r="E218">
        <v>8123</v>
      </c>
      <c r="F218">
        <v>8</v>
      </c>
      <c r="G218">
        <v>7.2</v>
      </c>
      <c r="H218">
        <v>1.1111112000000001</v>
      </c>
      <c r="I218">
        <v>-0.11111114</v>
      </c>
      <c r="J218">
        <v>0.4736842</v>
      </c>
    </row>
    <row r="219" spans="1:10" x14ac:dyDescent="0.3">
      <c r="A219">
        <v>217</v>
      </c>
      <c r="B219">
        <v>3473</v>
      </c>
      <c r="C219" t="b">
        <v>1</v>
      </c>
      <c r="D219">
        <v>8048</v>
      </c>
      <c r="E219">
        <v>8123</v>
      </c>
      <c r="F219">
        <v>8</v>
      </c>
      <c r="G219">
        <v>7.2</v>
      </c>
      <c r="H219">
        <v>1.1111112000000001</v>
      </c>
      <c r="I219">
        <v>-0.11111114</v>
      </c>
      <c r="J219">
        <v>0.4736842</v>
      </c>
    </row>
    <row r="220" spans="1:10" x14ac:dyDescent="0.3">
      <c r="A220">
        <v>218</v>
      </c>
      <c r="B220">
        <v>3489</v>
      </c>
      <c r="C220" t="b">
        <v>1</v>
      </c>
      <c r="D220">
        <v>8042</v>
      </c>
      <c r="E220">
        <v>8123</v>
      </c>
      <c r="F220">
        <v>8</v>
      </c>
      <c r="G220">
        <v>7.2</v>
      </c>
      <c r="H220">
        <v>1.1111112000000001</v>
      </c>
      <c r="I220">
        <v>-0.11111114</v>
      </c>
      <c r="J220">
        <v>0.4736842</v>
      </c>
    </row>
    <row r="221" spans="1:10" x14ac:dyDescent="0.3">
      <c r="A221">
        <v>219</v>
      </c>
      <c r="B221">
        <v>3504</v>
      </c>
      <c r="C221" t="b">
        <v>1</v>
      </c>
      <c r="D221">
        <v>8048</v>
      </c>
      <c r="E221">
        <v>8123</v>
      </c>
      <c r="F221">
        <v>8</v>
      </c>
      <c r="G221">
        <v>7.2</v>
      </c>
      <c r="H221">
        <v>1.1111112000000001</v>
      </c>
      <c r="I221">
        <v>-0.11111114</v>
      </c>
      <c r="J221">
        <v>0.4736842</v>
      </c>
    </row>
    <row r="222" spans="1:10" x14ac:dyDescent="0.3">
      <c r="A222">
        <v>220</v>
      </c>
      <c r="B222">
        <v>3520</v>
      </c>
      <c r="C222" t="b">
        <v>1</v>
      </c>
      <c r="D222">
        <v>8054</v>
      </c>
      <c r="E222">
        <v>8123</v>
      </c>
      <c r="F222">
        <v>8</v>
      </c>
      <c r="G222">
        <v>7.2</v>
      </c>
      <c r="H222">
        <v>1.1111112000000001</v>
      </c>
      <c r="I222">
        <v>-0.11111114</v>
      </c>
      <c r="J222">
        <v>0.4736842</v>
      </c>
    </row>
    <row r="223" spans="1:10" x14ac:dyDescent="0.3">
      <c r="A223">
        <v>221</v>
      </c>
      <c r="B223">
        <v>3536</v>
      </c>
      <c r="C223" t="b">
        <v>1</v>
      </c>
      <c r="D223">
        <v>8054</v>
      </c>
      <c r="E223">
        <v>8123</v>
      </c>
      <c r="F223">
        <v>8</v>
      </c>
      <c r="G223">
        <v>7.2</v>
      </c>
      <c r="H223">
        <v>1.1111112000000001</v>
      </c>
      <c r="I223">
        <v>-0.11111114</v>
      </c>
      <c r="J223">
        <v>0.4736842</v>
      </c>
    </row>
    <row r="224" spans="1:10" x14ac:dyDescent="0.3">
      <c r="A224">
        <v>222</v>
      </c>
      <c r="B224">
        <v>3552</v>
      </c>
      <c r="C224" t="b">
        <v>1</v>
      </c>
      <c r="D224">
        <v>8060</v>
      </c>
      <c r="E224">
        <v>8123</v>
      </c>
      <c r="F224">
        <v>8.4</v>
      </c>
      <c r="G224">
        <v>7.2</v>
      </c>
      <c r="H224">
        <v>1.1666666000000001</v>
      </c>
      <c r="I224">
        <v>-0.16666664</v>
      </c>
      <c r="J224">
        <v>0.46153845999999998</v>
      </c>
    </row>
    <row r="225" spans="1:10" x14ac:dyDescent="0.3">
      <c r="A225">
        <v>223</v>
      </c>
      <c r="B225">
        <v>3568</v>
      </c>
      <c r="C225" t="b">
        <v>1</v>
      </c>
      <c r="D225">
        <v>8054</v>
      </c>
      <c r="E225">
        <v>8123</v>
      </c>
      <c r="F225">
        <v>8.8000000000000007</v>
      </c>
      <c r="G225">
        <v>7.2</v>
      </c>
      <c r="H225">
        <v>1.2222223000000001</v>
      </c>
      <c r="I225">
        <v>-0.22222227999999999</v>
      </c>
      <c r="J225">
        <v>0.45</v>
      </c>
    </row>
    <row r="226" spans="1:10" x14ac:dyDescent="0.3">
      <c r="A226">
        <v>224</v>
      </c>
      <c r="B226">
        <v>3584</v>
      </c>
      <c r="C226" t="b">
        <v>1</v>
      </c>
      <c r="D226">
        <v>8054</v>
      </c>
      <c r="E226">
        <v>8123</v>
      </c>
      <c r="F226">
        <v>9.1999999999999993</v>
      </c>
      <c r="G226">
        <v>7.2</v>
      </c>
      <c r="H226">
        <v>1.2777778</v>
      </c>
      <c r="I226">
        <v>-0.27777780000000002</v>
      </c>
      <c r="J226">
        <v>0.43902439999999998</v>
      </c>
    </row>
    <row r="227" spans="1:10" x14ac:dyDescent="0.3">
      <c r="A227">
        <v>225</v>
      </c>
      <c r="B227">
        <v>3600</v>
      </c>
      <c r="C227" t="b">
        <v>1</v>
      </c>
      <c r="D227">
        <v>8054</v>
      </c>
      <c r="E227">
        <v>8123</v>
      </c>
      <c r="F227">
        <v>9.6</v>
      </c>
      <c r="G227">
        <v>7.2</v>
      </c>
      <c r="H227">
        <v>1.3333333999999999</v>
      </c>
      <c r="I227">
        <v>-0.33333342999999999</v>
      </c>
      <c r="J227">
        <v>0.42857142999999998</v>
      </c>
    </row>
    <row r="228" spans="1:10" x14ac:dyDescent="0.3">
      <c r="A228">
        <v>226</v>
      </c>
      <c r="B228">
        <v>3615</v>
      </c>
      <c r="C228" t="b">
        <v>1</v>
      </c>
      <c r="D228">
        <v>8054</v>
      </c>
      <c r="E228">
        <v>8123</v>
      </c>
      <c r="F228">
        <v>10</v>
      </c>
      <c r="G228">
        <v>7.2</v>
      </c>
      <c r="H228">
        <v>1.388889</v>
      </c>
      <c r="I228">
        <v>-0.38888893000000002</v>
      </c>
      <c r="J228">
        <v>0.41860459999999999</v>
      </c>
    </row>
    <row r="229" spans="1:10" x14ac:dyDescent="0.3">
      <c r="A229">
        <v>227</v>
      </c>
      <c r="B229">
        <v>3631</v>
      </c>
      <c r="C229" t="b">
        <v>1</v>
      </c>
      <c r="D229">
        <v>8042</v>
      </c>
      <c r="E229">
        <v>8123</v>
      </c>
      <c r="F229">
        <v>10.4</v>
      </c>
      <c r="G229">
        <v>7.2</v>
      </c>
      <c r="H229">
        <v>1.4444444000000001</v>
      </c>
      <c r="I229">
        <v>-0.44444442000000001</v>
      </c>
      <c r="J229">
        <v>0.40909094000000001</v>
      </c>
    </row>
    <row r="230" spans="1:10" x14ac:dyDescent="0.3">
      <c r="A230">
        <v>228</v>
      </c>
      <c r="B230">
        <v>3646</v>
      </c>
      <c r="C230" t="b">
        <v>1</v>
      </c>
      <c r="D230">
        <v>8042</v>
      </c>
      <c r="E230">
        <v>8123</v>
      </c>
      <c r="F230">
        <v>10.8</v>
      </c>
      <c r="G230">
        <v>7.2</v>
      </c>
      <c r="H230">
        <v>1.5000001000000001</v>
      </c>
      <c r="I230">
        <v>-0.50000005999999997</v>
      </c>
      <c r="J230">
        <v>0.39999997999999998</v>
      </c>
    </row>
    <row r="231" spans="1:10" x14ac:dyDescent="0.3">
      <c r="A231">
        <v>229</v>
      </c>
      <c r="B231">
        <v>3662</v>
      </c>
      <c r="C231" t="b">
        <v>1</v>
      </c>
      <c r="D231">
        <v>8048</v>
      </c>
      <c r="E231">
        <v>8123</v>
      </c>
      <c r="F231">
        <v>10.8</v>
      </c>
      <c r="G231">
        <v>7.2</v>
      </c>
      <c r="H231">
        <v>1.5000001000000001</v>
      </c>
      <c r="I231">
        <v>-0.50000005999999997</v>
      </c>
      <c r="J231">
        <v>0.39999997999999998</v>
      </c>
    </row>
    <row r="232" spans="1:10" x14ac:dyDescent="0.3">
      <c r="A232">
        <v>230</v>
      </c>
      <c r="B232">
        <v>3678</v>
      </c>
      <c r="C232" t="b">
        <v>1</v>
      </c>
      <c r="D232">
        <v>8042</v>
      </c>
      <c r="E232">
        <v>8117</v>
      </c>
      <c r="F232">
        <v>10.4</v>
      </c>
      <c r="G232">
        <v>7.6</v>
      </c>
      <c r="H232">
        <v>1.3684210999999999</v>
      </c>
      <c r="I232">
        <v>-0.36842101999999999</v>
      </c>
      <c r="J232">
        <v>0.42222222999999998</v>
      </c>
    </row>
    <row r="233" spans="1:10" x14ac:dyDescent="0.3">
      <c r="A233">
        <v>231</v>
      </c>
      <c r="B233">
        <v>3694</v>
      </c>
      <c r="C233" t="b">
        <v>1</v>
      </c>
      <c r="D233">
        <v>8042</v>
      </c>
      <c r="E233">
        <v>8123</v>
      </c>
      <c r="F233">
        <v>10</v>
      </c>
      <c r="G233">
        <v>8</v>
      </c>
      <c r="H233">
        <v>1.25</v>
      </c>
      <c r="I233">
        <v>-0.25</v>
      </c>
      <c r="J233">
        <v>0.44444444999999999</v>
      </c>
    </row>
    <row r="234" spans="1:10" x14ac:dyDescent="0.3">
      <c r="A234">
        <v>232</v>
      </c>
      <c r="B234">
        <v>3710</v>
      </c>
      <c r="C234" t="b">
        <v>1</v>
      </c>
      <c r="D234">
        <v>8048</v>
      </c>
      <c r="E234">
        <v>8129</v>
      </c>
      <c r="F234">
        <v>9.6</v>
      </c>
      <c r="G234">
        <v>8</v>
      </c>
      <c r="H234">
        <v>1.2</v>
      </c>
      <c r="I234">
        <v>-0.20000005000000001</v>
      </c>
      <c r="J234">
        <v>0.45454544000000002</v>
      </c>
    </row>
    <row r="235" spans="1:10" x14ac:dyDescent="0.3">
      <c r="A235">
        <v>233</v>
      </c>
      <c r="B235">
        <v>3726</v>
      </c>
      <c r="C235" t="b">
        <v>1</v>
      </c>
      <c r="D235">
        <v>8048</v>
      </c>
      <c r="E235">
        <v>8123</v>
      </c>
      <c r="F235">
        <v>9.6</v>
      </c>
      <c r="G235">
        <v>8</v>
      </c>
      <c r="H235">
        <v>1.2</v>
      </c>
      <c r="I235">
        <v>-0.20000005000000001</v>
      </c>
      <c r="J235">
        <v>0.45454544000000002</v>
      </c>
    </row>
    <row r="236" spans="1:10" x14ac:dyDescent="0.3">
      <c r="A236">
        <v>234</v>
      </c>
      <c r="B236">
        <v>3741</v>
      </c>
      <c r="C236" t="b">
        <v>1</v>
      </c>
      <c r="D236">
        <v>8054</v>
      </c>
      <c r="E236">
        <v>8123</v>
      </c>
      <c r="F236">
        <v>9.6</v>
      </c>
      <c r="G236">
        <v>8</v>
      </c>
      <c r="H236">
        <v>1.2</v>
      </c>
      <c r="I236">
        <v>-0.20000005000000001</v>
      </c>
      <c r="J236">
        <v>0.45454544000000002</v>
      </c>
    </row>
    <row r="237" spans="1:10" x14ac:dyDescent="0.3">
      <c r="A237">
        <v>235</v>
      </c>
      <c r="B237">
        <v>3758</v>
      </c>
      <c r="C237" t="b">
        <v>1</v>
      </c>
      <c r="D237">
        <v>8054</v>
      </c>
      <c r="E237">
        <v>8123</v>
      </c>
      <c r="F237">
        <v>9.6</v>
      </c>
      <c r="G237">
        <v>8</v>
      </c>
      <c r="H237">
        <v>1.2</v>
      </c>
      <c r="I237">
        <v>-0.20000005000000001</v>
      </c>
      <c r="J237">
        <v>0.45454544000000002</v>
      </c>
    </row>
    <row r="238" spans="1:10" x14ac:dyDescent="0.3">
      <c r="A238">
        <v>236</v>
      </c>
      <c r="B238">
        <v>3773</v>
      </c>
      <c r="C238" t="b">
        <v>1</v>
      </c>
      <c r="D238">
        <v>8048</v>
      </c>
      <c r="E238">
        <v>8123</v>
      </c>
      <c r="F238">
        <v>9.6</v>
      </c>
      <c r="G238">
        <v>8</v>
      </c>
      <c r="H238">
        <v>1.2</v>
      </c>
      <c r="I238">
        <v>-0.20000005000000001</v>
      </c>
      <c r="J238">
        <v>0.45454544000000002</v>
      </c>
    </row>
    <row r="239" spans="1:10" x14ac:dyDescent="0.3">
      <c r="A239">
        <v>237</v>
      </c>
      <c r="B239">
        <v>3789</v>
      </c>
      <c r="C239" t="b">
        <v>1</v>
      </c>
      <c r="D239">
        <v>8048</v>
      </c>
      <c r="E239">
        <v>8123</v>
      </c>
      <c r="F239">
        <v>9.1999999999999993</v>
      </c>
      <c r="G239">
        <v>8</v>
      </c>
      <c r="H239">
        <v>1.1499999999999999</v>
      </c>
      <c r="I239">
        <v>-0.14999998</v>
      </c>
      <c r="J239">
        <v>0.46511626</v>
      </c>
    </row>
    <row r="240" spans="1:10" x14ac:dyDescent="0.3">
      <c r="A240">
        <v>238</v>
      </c>
      <c r="B240">
        <v>3805</v>
      </c>
      <c r="C240" t="b">
        <v>1</v>
      </c>
      <c r="D240">
        <v>8048</v>
      </c>
      <c r="E240">
        <v>8123</v>
      </c>
      <c r="F240">
        <v>8.8000000000000007</v>
      </c>
      <c r="G240">
        <v>8</v>
      </c>
      <c r="H240">
        <v>1.1000000000000001</v>
      </c>
      <c r="I240">
        <v>-0.10000002400000001</v>
      </c>
      <c r="J240">
        <v>0.47619050000000002</v>
      </c>
    </row>
    <row r="241" spans="1:10" x14ac:dyDescent="0.3">
      <c r="A241">
        <v>239</v>
      </c>
      <c r="B241">
        <v>3822</v>
      </c>
      <c r="C241" t="b">
        <v>1</v>
      </c>
      <c r="D241">
        <v>8048</v>
      </c>
      <c r="E241">
        <v>8117</v>
      </c>
      <c r="F241">
        <v>8.4</v>
      </c>
      <c r="G241">
        <v>8</v>
      </c>
      <c r="H241">
        <v>1.05</v>
      </c>
      <c r="I241">
        <v>-4.9999952E-2</v>
      </c>
      <c r="J241">
        <v>0.48780489999999999</v>
      </c>
    </row>
    <row r="242" spans="1:10" x14ac:dyDescent="0.3">
      <c r="A242">
        <v>240</v>
      </c>
      <c r="B242">
        <v>3837</v>
      </c>
      <c r="C242" t="b">
        <v>1</v>
      </c>
      <c r="D242">
        <v>8048</v>
      </c>
      <c r="E242">
        <v>8117</v>
      </c>
      <c r="F242">
        <v>8</v>
      </c>
      <c r="G242">
        <v>8</v>
      </c>
      <c r="H242">
        <v>1</v>
      </c>
      <c r="I242">
        <v>0</v>
      </c>
      <c r="J242">
        <v>0.5</v>
      </c>
    </row>
    <row r="243" spans="1:10" x14ac:dyDescent="0.3">
      <c r="A243">
        <v>241</v>
      </c>
      <c r="B243">
        <v>3853</v>
      </c>
      <c r="C243" t="b">
        <v>1</v>
      </c>
      <c r="D243">
        <v>8048</v>
      </c>
      <c r="E243">
        <v>8123</v>
      </c>
      <c r="F243">
        <v>7.6</v>
      </c>
      <c r="G243">
        <v>8</v>
      </c>
      <c r="H243">
        <v>0.95</v>
      </c>
      <c r="I243">
        <v>5.0000012000000003E-2</v>
      </c>
      <c r="J243">
        <v>0.51282050000000001</v>
      </c>
    </row>
    <row r="244" spans="1:10" x14ac:dyDescent="0.3">
      <c r="A244">
        <v>242</v>
      </c>
      <c r="B244">
        <v>3869</v>
      </c>
      <c r="C244" t="b">
        <v>1</v>
      </c>
      <c r="D244">
        <v>8048</v>
      </c>
      <c r="E244">
        <v>8123</v>
      </c>
      <c r="F244">
        <v>7.2</v>
      </c>
      <c r="G244">
        <v>8</v>
      </c>
      <c r="H244">
        <v>0.9</v>
      </c>
      <c r="I244">
        <v>0.10000002400000001</v>
      </c>
      <c r="J244">
        <v>0.5263158</v>
      </c>
    </row>
    <row r="245" spans="1:10" x14ac:dyDescent="0.3">
      <c r="A245">
        <v>243</v>
      </c>
      <c r="B245">
        <v>3885</v>
      </c>
      <c r="C245" t="b">
        <v>1</v>
      </c>
      <c r="D245">
        <v>8048</v>
      </c>
      <c r="E245">
        <v>8123</v>
      </c>
      <c r="F245">
        <v>6.8</v>
      </c>
      <c r="G245">
        <v>8</v>
      </c>
      <c r="H245">
        <v>0.85</v>
      </c>
      <c r="I245">
        <v>0.14999998</v>
      </c>
      <c r="J245">
        <v>0.54054049999999998</v>
      </c>
    </row>
    <row r="246" spans="1:10" x14ac:dyDescent="0.3">
      <c r="A246">
        <v>244</v>
      </c>
      <c r="B246">
        <v>3901</v>
      </c>
      <c r="C246" t="b">
        <v>1</v>
      </c>
      <c r="D246">
        <v>8048</v>
      </c>
      <c r="E246">
        <v>8123</v>
      </c>
      <c r="F246">
        <v>6.8</v>
      </c>
      <c r="G246">
        <v>8</v>
      </c>
      <c r="H246">
        <v>0.85</v>
      </c>
      <c r="I246">
        <v>0.14999998</v>
      </c>
      <c r="J246">
        <v>0.54054049999999998</v>
      </c>
    </row>
    <row r="247" spans="1:10" x14ac:dyDescent="0.3">
      <c r="A247">
        <v>245</v>
      </c>
      <c r="B247">
        <v>3917</v>
      </c>
      <c r="C247" t="b">
        <v>1</v>
      </c>
      <c r="D247">
        <v>8048</v>
      </c>
      <c r="E247">
        <v>8123</v>
      </c>
      <c r="F247">
        <v>7.2</v>
      </c>
      <c r="G247">
        <v>8</v>
      </c>
      <c r="H247">
        <v>0.9</v>
      </c>
      <c r="I247">
        <v>0.10000002400000001</v>
      </c>
      <c r="J247">
        <v>0.5263158</v>
      </c>
    </row>
    <row r="248" spans="1:10" x14ac:dyDescent="0.3">
      <c r="A248">
        <v>246</v>
      </c>
      <c r="B248">
        <v>3933</v>
      </c>
      <c r="C248" t="b">
        <v>1</v>
      </c>
      <c r="D248">
        <v>8048</v>
      </c>
      <c r="E248">
        <v>8123</v>
      </c>
      <c r="F248">
        <v>7.6</v>
      </c>
      <c r="G248">
        <v>8</v>
      </c>
      <c r="H248">
        <v>0.95</v>
      </c>
      <c r="I248">
        <v>5.0000012000000003E-2</v>
      </c>
      <c r="J248">
        <v>0.51282050000000001</v>
      </c>
    </row>
    <row r="249" spans="1:10" x14ac:dyDescent="0.3">
      <c r="A249">
        <v>247</v>
      </c>
      <c r="B249">
        <v>3948</v>
      </c>
      <c r="C249" t="b">
        <v>1</v>
      </c>
      <c r="D249">
        <v>8048</v>
      </c>
      <c r="E249">
        <v>8123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3964</v>
      </c>
      <c r="C250" t="b">
        <v>1</v>
      </c>
      <c r="D250">
        <v>8048</v>
      </c>
      <c r="E250">
        <v>8123</v>
      </c>
      <c r="F250">
        <v>8</v>
      </c>
      <c r="G250">
        <v>8</v>
      </c>
      <c r="H250">
        <v>1</v>
      </c>
      <c r="I250">
        <v>0</v>
      </c>
      <c r="J250">
        <v>0.5</v>
      </c>
    </row>
    <row r="251" spans="1:10" x14ac:dyDescent="0.3">
      <c r="A251">
        <v>249</v>
      </c>
      <c r="B251">
        <v>3980</v>
      </c>
      <c r="C251" t="b">
        <v>1</v>
      </c>
      <c r="D251">
        <v>8048</v>
      </c>
      <c r="E251">
        <v>8129</v>
      </c>
      <c r="F251">
        <v>8</v>
      </c>
      <c r="G251">
        <v>8</v>
      </c>
      <c r="H251">
        <v>1</v>
      </c>
      <c r="I251">
        <v>0</v>
      </c>
      <c r="J251">
        <v>0.5</v>
      </c>
    </row>
    <row r="252" spans="1:10" x14ac:dyDescent="0.3">
      <c r="A252">
        <v>250</v>
      </c>
      <c r="B252">
        <v>3996</v>
      </c>
      <c r="C252" t="b">
        <v>1</v>
      </c>
      <c r="D252">
        <v>8048</v>
      </c>
      <c r="E252">
        <v>8123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4012</v>
      </c>
      <c r="C253" t="b">
        <v>1</v>
      </c>
      <c r="D253">
        <v>8048</v>
      </c>
      <c r="E253">
        <v>8123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4028</v>
      </c>
      <c r="C254" t="b">
        <v>1</v>
      </c>
      <c r="D254">
        <v>8048</v>
      </c>
      <c r="E254">
        <v>8123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4044</v>
      </c>
      <c r="C255" t="b">
        <v>1</v>
      </c>
      <c r="D255">
        <v>8042</v>
      </c>
      <c r="E255">
        <v>8129</v>
      </c>
      <c r="F255">
        <v>8</v>
      </c>
      <c r="G255">
        <v>8</v>
      </c>
      <c r="H255">
        <v>1</v>
      </c>
      <c r="I255">
        <v>0</v>
      </c>
      <c r="J255">
        <v>0.5</v>
      </c>
    </row>
    <row r="256" spans="1:10" x14ac:dyDescent="0.3">
      <c r="A256">
        <v>254</v>
      </c>
      <c r="B256">
        <v>4060</v>
      </c>
      <c r="C256" t="b">
        <v>1</v>
      </c>
      <c r="D256">
        <v>8042</v>
      </c>
      <c r="E256">
        <v>8123</v>
      </c>
      <c r="F256">
        <v>8</v>
      </c>
      <c r="G256">
        <v>8</v>
      </c>
      <c r="H256">
        <v>1</v>
      </c>
      <c r="I256">
        <v>0</v>
      </c>
      <c r="J256">
        <v>0.5</v>
      </c>
    </row>
    <row r="257" spans="1:10" x14ac:dyDescent="0.3">
      <c r="A257">
        <v>255</v>
      </c>
      <c r="B257">
        <v>4075</v>
      </c>
      <c r="C257" t="b">
        <v>1</v>
      </c>
      <c r="D257">
        <v>8048</v>
      </c>
      <c r="E257">
        <v>8117</v>
      </c>
      <c r="F257">
        <v>8</v>
      </c>
      <c r="G257">
        <v>8</v>
      </c>
      <c r="H257">
        <v>1</v>
      </c>
      <c r="I257">
        <v>0</v>
      </c>
      <c r="J257">
        <v>0.5</v>
      </c>
    </row>
    <row r="258" spans="1:10" x14ac:dyDescent="0.3">
      <c r="A258">
        <v>256</v>
      </c>
      <c r="B258">
        <v>4091</v>
      </c>
      <c r="C258" t="b">
        <v>1</v>
      </c>
      <c r="D258">
        <v>8042</v>
      </c>
      <c r="E258">
        <v>8123</v>
      </c>
      <c r="F258">
        <v>7.6</v>
      </c>
      <c r="G258">
        <v>8</v>
      </c>
      <c r="H258">
        <v>0.95</v>
      </c>
      <c r="I258">
        <v>5.0000012000000003E-2</v>
      </c>
      <c r="J258">
        <v>0.51282050000000001</v>
      </c>
    </row>
    <row r="259" spans="1:10" x14ac:dyDescent="0.3">
      <c r="A259">
        <v>257</v>
      </c>
      <c r="B259">
        <v>4107</v>
      </c>
      <c r="C259" t="b">
        <v>1</v>
      </c>
      <c r="D259">
        <v>8048</v>
      </c>
      <c r="E259">
        <v>8123</v>
      </c>
      <c r="F259">
        <v>7.2</v>
      </c>
      <c r="G259">
        <v>8</v>
      </c>
      <c r="H259">
        <v>0.9</v>
      </c>
      <c r="I259">
        <v>0.10000002400000001</v>
      </c>
      <c r="J259">
        <v>0.5263158</v>
      </c>
    </row>
    <row r="260" spans="1:10" x14ac:dyDescent="0.3">
      <c r="A260">
        <v>258</v>
      </c>
      <c r="B260">
        <v>4123</v>
      </c>
      <c r="C260" t="b">
        <v>1</v>
      </c>
      <c r="D260">
        <v>8048</v>
      </c>
      <c r="E260">
        <v>8123</v>
      </c>
      <c r="F260">
        <v>7.2</v>
      </c>
      <c r="G260">
        <v>8</v>
      </c>
      <c r="H260">
        <v>0.9</v>
      </c>
      <c r="I260">
        <v>0.10000002400000001</v>
      </c>
      <c r="J260">
        <v>0.5263158</v>
      </c>
    </row>
    <row r="261" spans="1:10" x14ac:dyDescent="0.3">
      <c r="A261">
        <v>259</v>
      </c>
      <c r="B261">
        <v>4139</v>
      </c>
      <c r="C261" t="b">
        <v>1</v>
      </c>
      <c r="D261">
        <v>8048</v>
      </c>
      <c r="E261">
        <v>8123</v>
      </c>
      <c r="F261">
        <v>7.2</v>
      </c>
      <c r="G261">
        <v>8</v>
      </c>
      <c r="H261">
        <v>0.9</v>
      </c>
      <c r="I261">
        <v>0.10000002400000001</v>
      </c>
      <c r="J261">
        <v>0.5263158</v>
      </c>
    </row>
    <row r="262" spans="1:10" x14ac:dyDescent="0.3">
      <c r="A262">
        <v>260</v>
      </c>
      <c r="B262">
        <v>4155</v>
      </c>
      <c r="C262" t="b">
        <v>1</v>
      </c>
      <c r="D262">
        <v>8048</v>
      </c>
      <c r="E262">
        <v>8123</v>
      </c>
      <c r="F262">
        <v>7.2</v>
      </c>
      <c r="G262">
        <v>8</v>
      </c>
      <c r="H262">
        <v>0.9</v>
      </c>
      <c r="I262">
        <v>0.10000002400000001</v>
      </c>
      <c r="J262">
        <v>0.5263158</v>
      </c>
    </row>
    <row r="263" spans="1:10" x14ac:dyDescent="0.3">
      <c r="A263">
        <v>261</v>
      </c>
      <c r="B263">
        <v>4171</v>
      </c>
      <c r="C263" t="b">
        <v>1</v>
      </c>
      <c r="D263">
        <v>8048</v>
      </c>
      <c r="E263">
        <v>8123</v>
      </c>
      <c r="F263">
        <v>7.2</v>
      </c>
      <c r="G263">
        <v>8</v>
      </c>
      <c r="H263">
        <v>0.9</v>
      </c>
      <c r="I263">
        <v>0.10000002400000001</v>
      </c>
      <c r="J263">
        <v>0.5263158</v>
      </c>
    </row>
    <row r="264" spans="1:10" x14ac:dyDescent="0.3">
      <c r="A264">
        <v>262</v>
      </c>
      <c r="B264">
        <v>4187</v>
      </c>
      <c r="C264" t="b">
        <v>1</v>
      </c>
      <c r="D264">
        <v>8048</v>
      </c>
      <c r="E264">
        <v>8117</v>
      </c>
      <c r="F264">
        <v>7.2</v>
      </c>
      <c r="G264">
        <v>8</v>
      </c>
      <c r="H264">
        <v>0.9</v>
      </c>
      <c r="I264">
        <v>0.10000002400000001</v>
      </c>
      <c r="J264">
        <v>0.5263158</v>
      </c>
    </row>
    <row r="265" spans="1:10" x14ac:dyDescent="0.3">
      <c r="A265">
        <v>263</v>
      </c>
      <c r="B265">
        <v>4203</v>
      </c>
      <c r="C265" t="b">
        <v>1</v>
      </c>
      <c r="D265">
        <v>8048</v>
      </c>
      <c r="E265">
        <v>8117</v>
      </c>
      <c r="F265">
        <v>7.2</v>
      </c>
      <c r="G265">
        <v>8</v>
      </c>
      <c r="H265">
        <v>0.9</v>
      </c>
      <c r="I265">
        <v>0.10000002400000001</v>
      </c>
      <c r="J265">
        <v>0.5263158</v>
      </c>
    </row>
    <row r="266" spans="1:10" x14ac:dyDescent="0.3">
      <c r="A266">
        <v>264</v>
      </c>
      <c r="B266">
        <v>4219</v>
      </c>
      <c r="C266" t="b">
        <v>1</v>
      </c>
      <c r="D266">
        <v>8042</v>
      </c>
      <c r="E266">
        <v>8123</v>
      </c>
      <c r="F266">
        <v>7.2</v>
      </c>
      <c r="G266">
        <v>8</v>
      </c>
      <c r="H266">
        <v>0.9</v>
      </c>
      <c r="I266">
        <v>0.10000002400000001</v>
      </c>
      <c r="J266">
        <v>0.5263158</v>
      </c>
    </row>
    <row r="267" spans="1:10" x14ac:dyDescent="0.3">
      <c r="A267">
        <v>265</v>
      </c>
      <c r="B267">
        <v>4235</v>
      </c>
      <c r="C267" t="b">
        <v>1</v>
      </c>
      <c r="D267">
        <v>8054</v>
      </c>
      <c r="E267">
        <v>8123</v>
      </c>
      <c r="F267">
        <v>7.2</v>
      </c>
      <c r="G267">
        <v>8</v>
      </c>
      <c r="H267">
        <v>0.9</v>
      </c>
      <c r="I267">
        <v>0.10000002400000001</v>
      </c>
      <c r="J267">
        <v>0.5263158</v>
      </c>
    </row>
    <row r="268" spans="1:10" x14ac:dyDescent="0.3">
      <c r="A268">
        <v>266</v>
      </c>
      <c r="B268">
        <v>4251</v>
      </c>
      <c r="C268" t="b">
        <v>1</v>
      </c>
      <c r="D268">
        <v>8054</v>
      </c>
      <c r="E268">
        <v>8117</v>
      </c>
      <c r="F268">
        <v>7.2</v>
      </c>
      <c r="G268">
        <v>7.6</v>
      </c>
      <c r="H268">
        <v>0.9473684</v>
      </c>
      <c r="I268">
        <v>5.2631589999999999E-2</v>
      </c>
      <c r="J268">
        <v>0.51351349999999996</v>
      </c>
    </row>
    <row r="269" spans="1:10" x14ac:dyDescent="0.3">
      <c r="A269">
        <v>267</v>
      </c>
      <c r="B269">
        <v>4267</v>
      </c>
      <c r="C269" t="b">
        <v>1</v>
      </c>
      <c r="D269">
        <v>8054</v>
      </c>
      <c r="E269">
        <v>8123</v>
      </c>
      <c r="F269">
        <v>7.6</v>
      </c>
      <c r="G269">
        <v>7.6</v>
      </c>
      <c r="H269">
        <v>1</v>
      </c>
      <c r="I269">
        <v>0</v>
      </c>
      <c r="J269">
        <v>0.5</v>
      </c>
    </row>
    <row r="270" spans="1:10" x14ac:dyDescent="0.3">
      <c r="A270">
        <v>268</v>
      </c>
      <c r="B270">
        <v>4283</v>
      </c>
      <c r="C270" t="b">
        <v>1</v>
      </c>
      <c r="D270">
        <v>8054</v>
      </c>
      <c r="E270">
        <v>8123</v>
      </c>
      <c r="F270">
        <v>8</v>
      </c>
      <c r="G270">
        <v>7.6</v>
      </c>
      <c r="H270">
        <v>1.0526316</v>
      </c>
      <c r="I270">
        <v>-5.2631589999999999E-2</v>
      </c>
      <c r="J270">
        <v>0.48717946000000001</v>
      </c>
    </row>
    <row r="271" spans="1:10" x14ac:dyDescent="0.3">
      <c r="A271">
        <v>269</v>
      </c>
      <c r="B271">
        <v>4299</v>
      </c>
      <c r="C271" t="b">
        <v>1</v>
      </c>
      <c r="D271">
        <v>8054</v>
      </c>
      <c r="E271">
        <v>8123</v>
      </c>
      <c r="F271">
        <v>8.4</v>
      </c>
      <c r="G271">
        <v>7.6</v>
      </c>
      <c r="H271">
        <v>1.1052630999999999</v>
      </c>
      <c r="I271">
        <v>-0.10526312</v>
      </c>
      <c r="J271">
        <v>0.47499999999999998</v>
      </c>
    </row>
    <row r="272" spans="1:10" x14ac:dyDescent="0.3">
      <c r="A272">
        <v>270</v>
      </c>
      <c r="B272">
        <v>4315</v>
      </c>
      <c r="C272" t="b">
        <v>1</v>
      </c>
      <c r="D272">
        <v>8054</v>
      </c>
      <c r="E272">
        <v>8129</v>
      </c>
      <c r="F272">
        <v>8.8000000000000007</v>
      </c>
      <c r="G272">
        <v>7.6</v>
      </c>
      <c r="H272">
        <v>1.1578946999999999</v>
      </c>
      <c r="I272">
        <v>-0.15789478000000001</v>
      </c>
      <c r="J272">
        <v>0.46341463999999999</v>
      </c>
    </row>
    <row r="273" spans="1:10" x14ac:dyDescent="0.3">
      <c r="A273">
        <v>271</v>
      </c>
      <c r="B273">
        <v>4330</v>
      </c>
      <c r="C273" t="b">
        <v>1</v>
      </c>
      <c r="D273">
        <v>8054</v>
      </c>
      <c r="E273">
        <v>8123</v>
      </c>
      <c r="F273">
        <v>9.6</v>
      </c>
      <c r="G273">
        <v>7.6</v>
      </c>
      <c r="H273">
        <v>1.263158</v>
      </c>
      <c r="I273">
        <v>-0.26315796000000002</v>
      </c>
      <c r="J273">
        <v>0.44186044000000002</v>
      </c>
    </row>
    <row r="274" spans="1:10" x14ac:dyDescent="0.3">
      <c r="A274">
        <v>272</v>
      </c>
      <c r="B274">
        <v>4346</v>
      </c>
      <c r="C274" t="b">
        <v>1</v>
      </c>
      <c r="D274">
        <v>8048</v>
      </c>
      <c r="E274">
        <v>8123</v>
      </c>
      <c r="F274">
        <v>10.4</v>
      </c>
      <c r="G274">
        <v>7.6</v>
      </c>
      <c r="H274">
        <v>1.3684210999999999</v>
      </c>
      <c r="I274">
        <v>-0.36842101999999999</v>
      </c>
      <c r="J274">
        <v>0.42222222999999998</v>
      </c>
    </row>
    <row r="275" spans="1:10" x14ac:dyDescent="0.3">
      <c r="A275">
        <v>273</v>
      </c>
      <c r="B275">
        <v>4362</v>
      </c>
      <c r="C275" t="b">
        <v>1</v>
      </c>
      <c r="D275">
        <v>8048</v>
      </c>
      <c r="E275">
        <v>8117</v>
      </c>
      <c r="F275">
        <v>10.8</v>
      </c>
      <c r="G275">
        <v>7.6</v>
      </c>
      <c r="H275">
        <v>1.4210526999999999</v>
      </c>
      <c r="I275">
        <v>-0.42105266000000002</v>
      </c>
      <c r="J275">
        <v>0.41304347000000002</v>
      </c>
    </row>
    <row r="276" spans="1:10" x14ac:dyDescent="0.3">
      <c r="A276">
        <v>274</v>
      </c>
      <c r="B276">
        <v>4378</v>
      </c>
      <c r="C276" t="b">
        <v>1</v>
      </c>
      <c r="D276">
        <v>8048</v>
      </c>
      <c r="E276">
        <v>8123</v>
      </c>
      <c r="F276">
        <v>10.8</v>
      </c>
      <c r="G276">
        <v>7.6</v>
      </c>
      <c r="H276">
        <v>1.4210526999999999</v>
      </c>
      <c r="I276">
        <v>-0.42105266000000002</v>
      </c>
      <c r="J276">
        <v>0.41304347000000002</v>
      </c>
    </row>
    <row r="277" spans="1:10" x14ac:dyDescent="0.3">
      <c r="A277">
        <v>275</v>
      </c>
      <c r="B277">
        <v>4394</v>
      </c>
      <c r="C277" t="b">
        <v>1</v>
      </c>
      <c r="D277">
        <v>8054</v>
      </c>
      <c r="E277">
        <v>8123</v>
      </c>
      <c r="F277">
        <v>10.8</v>
      </c>
      <c r="G277">
        <v>7.6</v>
      </c>
      <c r="H277">
        <v>1.4210526999999999</v>
      </c>
      <c r="I277">
        <v>-0.42105266000000002</v>
      </c>
      <c r="J277">
        <v>0.41304347000000002</v>
      </c>
    </row>
    <row r="278" spans="1:10" x14ac:dyDescent="0.3">
      <c r="A278">
        <v>276</v>
      </c>
      <c r="B278">
        <v>4410</v>
      </c>
      <c r="C278" t="b">
        <v>1</v>
      </c>
      <c r="D278">
        <v>8048</v>
      </c>
      <c r="E278">
        <v>8123</v>
      </c>
      <c r="F278">
        <v>10.8</v>
      </c>
      <c r="G278">
        <v>7.6</v>
      </c>
      <c r="H278">
        <v>1.4210526999999999</v>
      </c>
      <c r="I278">
        <v>-0.42105266000000002</v>
      </c>
      <c r="J278">
        <v>0.41304347000000002</v>
      </c>
    </row>
    <row r="279" spans="1:10" x14ac:dyDescent="0.3">
      <c r="A279">
        <v>277</v>
      </c>
      <c r="B279">
        <v>4426</v>
      </c>
      <c r="C279" t="b">
        <v>1</v>
      </c>
      <c r="D279">
        <v>8054</v>
      </c>
      <c r="E279">
        <v>8123</v>
      </c>
      <c r="F279">
        <v>10.8</v>
      </c>
      <c r="G279">
        <v>7.6</v>
      </c>
      <c r="H279">
        <v>1.4210526999999999</v>
      </c>
      <c r="I279">
        <v>-0.42105266000000002</v>
      </c>
      <c r="J279">
        <v>0.41304347000000002</v>
      </c>
    </row>
    <row r="280" spans="1:10" x14ac:dyDescent="0.3">
      <c r="A280">
        <v>278</v>
      </c>
      <c r="B280">
        <v>4442</v>
      </c>
      <c r="C280" t="b">
        <v>1</v>
      </c>
      <c r="D280">
        <v>8048</v>
      </c>
      <c r="E280">
        <v>8123</v>
      </c>
      <c r="F280">
        <v>10.8</v>
      </c>
      <c r="G280">
        <v>7.6</v>
      </c>
      <c r="H280">
        <v>1.4210526999999999</v>
      </c>
      <c r="I280">
        <v>-0.42105266000000002</v>
      </c>
      <c r="J280">
        <v>0.41304347000000002</v>
      </c>
    </row>
    <row r="281" spans="1:10" x14ac:dyDescent="0.3">
      <c r="A281">
        <v>279</v>
      </c>
      <c r="B281">
        <v>4457</v>
      </c>
      <c r="C281" t="b">
        <v>1</v>
      </c>
      <c r="D281">
        <v>8048</v>
      </c>
      <c r="E281">
        <v>8123</v>
      </c>
      <c r="F281">
        <v>10.8</v>
      </c>
      <c r="G281">
        <v>7.6</v>
      </c>
      <c r="H281">
        <v>1.4210526999999999</v>
      </c>
      <c r="I281">
        <v>-0.42105266000000002</v>
      </c>
      <c r="J281">
        <v>0.41304347000000002</v>
      </c>
    </row>
    <row r="282" spans="1:10" x14ac:dyDescent="0.3">
      <c r="A282">
        <v>280</v>
      </c>
      <c r="B282">
        <v>4473</v>
      </c>
      <c r="C282" t="b">
        <v>1</v>
      </c>
      <c r="D282">
        <v>8048</v>
      </c>
      <c r="E282">
        <v>8123</v>
      </c>
      <c r="F282">
        <v>10.8</v>
      </c>
      <c r="G282">
        <v>7.6</v>
      </c>
      <c r="H282">
        <v>1.4210526999999999</v>
      </c>
      <c r="I282">
        <v>-0.42105266000000002</v>
      </c>
      <c r="J282">
        <v>0.41304347000000002</v>
      </c>
    </row>
    <row r="283" spans="1:10" x14ac:dyDescent="0.3">
      <c r="A283">
        <v>281</v>
      </c>
      <c r="B283">
        <v>4489</v>
      </c>
      <c r="C283" t="b">
        <v>1</v>
      </c>
      <c r="D283">
        <v>8048</v>
      </c>
      <c r="E283">
        <v>8129</v>
      </c>
      <c r="F283">
        <v>10.8</v>
      </c>
      <c r="G283">
        <v>8</v>
      </c>
      <c r="H283">
        <v>1.35</v>
      </c>
      <c r="I283">
        <v>-0.35000002000000002</v>
      </c>
      <c r="J283">
        <v>0.42553192000000001</v>
      </c>
    </row>
    <row r="284" spans="1:10" x14ac:dyDescent="0.3">
      <c r="A284">
        <v>282</v>
      </c>
      <c r="B284">
        <v>4505</v>
      </c>
      <c r="C284" t="b">
        <v>1</v>
      </c>
      <c r="D284">
        <v>8048</v>
      </c>
      <c r="E284">
        <v>8123</v>
      </c>
      <c r="F284">
        <v>10.4</v>
      </c>
      <c r="G284">
        <v>8</v>
      </c>
      <c r="H284">
        <v>1.3</v>
      </c>
      <c r="I284">
        <v>-0.29999995000000002</v>
      </c>
      <c r="J284">
        <v>0.43478262000000001</v>
      </c>
    </row>
    <row r="285" spans="1:10" x14ac:dyDescent="0.3">
      <c r="A285">
        <v>283</v>
      </c>
      <c r="B285">
        <v>4520</v>
      </c>
      <c r="C285" t="b">
        <v>1</v>
      </c>
      <c r="D285">
        <v>8048</v>
      </c>
      <c r="E285">
        <v>8123</v>
      </c>
      <c r="F285">
        <v>10</v>
      </c>
      <c r="G285">
        <v>8</v>
      </c>
      <c r="H285">
        <v>1.25</v>
      </c>
      <c r="I285">
        <v>-0.25</v>
      </c>
      <c r="J285">
        <v>0.44444444999999999</v>
      </c>
    </row>
    <row r="286" spans="1:10" x14ac:dyDescent="0.3">
      <c r="A286">
        <v>284</v>
      </c>
      <c r="B286">
        <v>4536</v>
      </c>
      <c r="C286" t="b">
        <v>1</v>
      </c>
      <c r="D286">
        <v>8042</v>
      </c>
      <c r="E286">
        <v>8123</v>
      </c>
      <c r="F286">
        <v>9.6</v>
      </c>
      <c r="G286">
        <v>8</v>
      </c>
      <c r="H286">
        <v>1.2</v>
      </c>
      <c r="I286">
        <v>-0.20000005000000001</v>
      </c>
      <c r="J286">
        <v>0.45454544000000002</v>
      </c>
    </row>
    <row r="287" spans="1:10" x14ac:dyDescent="0.3">
      <c r="A287">
        <v>285</v>
      </c>
      <c r="B287">
        <v>4552</v>
      </c>
      <c r="C287" t="b">
        <v>1</v>
      </c>
      <c r="D287">
        <v>8048</v>
      </c>
      <c r="E287">
        <v>8123</v>
      </c>
      <c r="F287">
        <v>9.1999999999999993</v>
      </c>
      <c r="G287">
        <v>8</v>
      </c>
      <c r="H287">
        <v>1.1499999999999999</v>
      </c>
      <c r="I287">
        <v>-0.14999998</v>
      </c>
      <c r="J287">
        <v>0.46511626</v>
      </c>
    </row>
    <row r="288" spans="1:10" x14ac:dyDescent="0.3">
      <c r="A288">
        <v>286</v>
      </c>
      <c r="B288">
        <v>4568</v>
      </c>
      <c r="C288" t="b">
        <v>1</v>
      </c>
      <c r="D288">
        <v>8048</v>
      </c>
      <c r="E288">
        <v>8123</v>
      </c>
      <c r="F288">
        <v>8.8000000000000007</v>
      </c>
      <c r="G288">
        <v>8</v>
      </c>
      <c r="H288">
        <v>1.1000000000000001</v>
      </c>
      <c r="I288">
        <v>-0.10000002400000001</v>
      </c>
      <c r="J288">
        <v>0.47619050000000002</v>
      </c>
    </row>
    <row r="289" spans="1:10" x14ac:dyDescent="0.3">
      <c r="A289">
        <v>287</v>
      </c>
      <c r="B289">
        <v>4585</v>
      </c>
      <c r="C289" t="b">
        <v>1</v>
      </c>
      <c r="D289">
        <v>8048</v>
      </c>
      <c r="E289">
        <v>8117</v>
      </c>
      <c r="F289">
        <v>8.4</v>
      </c>
      <c r="G289">
        <v>8</v>
      </c>
      <c r="H289">
        <v>1.05</v>
      </c>
      <c r="I289">
        <v>-4.9999952E-2</v>
      </c>
      <c r="J289">
        <v>0.48780489999999999</v>
      </c>
    </row>
    <row r="290" spans="1:10" x14ac:dyDescent="0.3">
      <c r="A290">
        <v>288</v>
      </c>
      <c r="B290">
        <v>4600</v>
      </c>
      <c r="C290" t="b">
        <v>1</v>
      </c>
      <c r="D290">
        <v>8042</v>
      </c>
      <c r="E290">
        <v>8117</v>
      </c>
      <c r="F290">
        <v>8</v>
      </c>
      <c r="G290">
        <v>8</v>
      </c>
      <c r="H290">
        <v>1</v>
      </c>
      <c r="I290">
        <v>0</v>
      </c>
      <c r="J290">
        <v>0.5</v>
      </c>
    </row>
    <row r="291" spans="1:10" x14ac:dyDescent="0.3">
      <c r="A291">
        <v>289</v>
      </c>
      <c r="B291">
        <v>4616</v>
      </c>
      <c r="C291" t="b">
        <v>1</v>
      </c>
      <c r="D291">
        <v>8048</v>
      </c>
      <c r="E291">
        <v>8117</v>
      </c>
      <c r="F291">
        <v>8</v>
      </c>
      <c r="G291">
        <v>7.6</v>
      </c>
      <c r="H291">
        <v>1.0526316</v>
      </c>
      <c r="I291">
        <v>-5.2631589999999999E-2</v>
      </c>
      <c r="J291">
        <v>0.48717946000000001</v>
      </c>
    </row>
    <row r="292" spans="1:10" x14ac:dyDescent="0.3">
      <c r="A292">
        <v>290</v>
      </c>
      <c r="B292">
        <v>4632</v>
      </c>
      <c r="C292" t="b">
        <v>1</v>
      </c>
      <c r="D292">
        <v>8042</v>
      </c>
      <c r="E292">
        <v>8117</v>
      </c>
      <c r="F292">
        <v>8</v>
      </c>
      <c r="G292">
        <v>7.2</v>
      </c>
      <c r="H292">
        <v>1.1111112000000001</v>
      </c>
      <c r="I292">
        <v>-0.11111114</v>
      </c>
      <c r="J292">
        <v>0.4736842</v>
      </c>
    </row>
    <row r="293" spans="1:10" x14ac:dyDescent="0.3">
      <c r="A293">
        <v>291</v>
      </c>
      <c r="B293">
        <v>4648</v>
      </c>
      <c r="C293" t="b">
        <v>1</v>
      </c>
      <c r="D293">
        <v>8048</v>
      </c>
      <c r="E293">
        <v>8111</v>
      </c>
      <c r="F293">
        <v>8</v>
      </c>
      <c r="G293">
        <v>6.8</v>
      </c>
      <c r="H293">
        <v>1.1764705</v>
      </c>
      <c r="I293">
        <v>-0.17647055</v>
      </c>
      <c r="J293">
        <v>0.45945944999999999</v>
      </c>
    </row>
    <row r="294" spans="1:10" x14ac:dyDescent="0.3">
      <c r="A294">
        <v>292</v>
      </c>
      <c r="B294">
        <v>4664</v>
      </c>
      <c r="C294" t="b">
        <v>1</v>
      </c>
      <c r="D294">
        <v>8048</v>
      </c>
      <c r="E294">
        <v>8117</v>
      </c>
      <c r="F294">
        <v>8</v>
      </c>
      <c r="G294">
        <v>6.4</v>
      </c>
      <c r="H294">
        <v>1.25</v>
      </c>
      <c r="I294">
        <v>-0.24999999000000001</v>
      </c>
      <c r="J294">
        <v>0.44444447999999998</v>
      </c>
    </row>
    <row r="295" spans="1:10" x14ac:dyDescent="0.3">
      <c r="A295">
        <v>293</v>
      </c>
      <c r="B295">
        <v>4680</v>
      </c>
      <c r="C295" t="b">
        <v>1</v>
      </c>
      <c r="D295">
        <v>8042</v>
      </c>
      <c r="E295">
        <v>8123</v>
      </c>
      <c r="F295">
        <v>8</v>
      </c>
      <c r="G295">
        <v>6</v>
      </c>
      <c r="H295">
        <v>1.3333333999999999</v>
      </c>
      <c r="I295">
        <v>-0.33333333999999998</v>
      </c>
      <c r="J295">
        <v>0.42857142999999998</v>
      </c>
    </row>
    <row r="296" spans="1:10" x14ac:dyDescent="0.3">
      <c r="A296">
        <v>294</v>
      </c>
      <c r="B296">
        <v>4695</v>
      </c>
      <c r="C296" t="b">
        <v>1</v>
      </c>
      <c r="D296">
        <v>8042</v>
      </c>
      <c r="E296">
        <v>8123</v>
      </c>
      <c r="F296">
        <v>7.6</v>
      </c>
      <c r="G296">
        <v>5.6</v>
      </c>
      <c r="H296">
        <v>1.3571428000000001</v>
      </c>
      <c r="I296">
        <v>-0.35714287</v>
      </c>
      <c r="J296">
        <v>0.42424244</v>
      </c>
    </row>
    <row r="297" spans="1:10" x14ac:dyDescent="0.3">
      <c r="A297">
        <v>295</v>
      </c>
      <c r="B297">
        <v>4711</v>
      </c>
      <c r="C297" t="b">
        <v>1</v>
      </c>
      <c r="D297">
        <v>8042</v>
      </c>
      <c r="E297">
        <v>8123</v>
      </c>
      <c r="F297">
        <v>7.2</v>
      </c>
      <c r="G297">
        <v>5.6</v>
      </c>
      <c r="H297">
        <v>1.2857143</v>
      </c>
      <c r="I297">
        <v>-0.28571426999999999</v>
      </c>
      <c r="J297">
        <v>0.43750002999999998</v>
      </c>
    </row>
    <row r="298" spans="1:10" x14ac:dyDescent="0.3">
      <c r="A298">
        <v>296</v>
      </c>
      <c r="B298">
        <v>4727</v>
      </c>
      <c r="C298" t="b">
        <v>1</v>
      </c>
      <c r="D298">
        <v>8048</v>
      </c>
      <c r="E298">
        <v>8123</v>
      </c>
      <c r="F298">
        <v>6.8</v>
      </c>
      <c r="G298">
        <v>5.6</v>
      </c>
      <c r="H298">
        <v>1.2142857</v>
      </c>
      <c r="I298">
        <v>-0.21428578000000001</v>
      </c>
      <c r="J298">
        <v>0.45161291999999997</v>
      </c>
    </row>
    <row r="299" spans="1:10" x14ac:dyDescent="0.3">
      <c r="A299">
        <v>297</v>
      </c>
      <c r="B299">
        <v>4743</v>
      </c>
      <c r="C299" t="b">
        <v>1</v>
      </c>
      <c r="D299">
        <v>8054</v>
      </c>
      <c r="E299">
        <v>8117</v>
      </c>
      <c r="F299">
        <v>6.4</v>
      </c>
      <c r="G299">
        <v>5.6</v>
      </c>
      <c r="H299">
        <v>1.1428571999999999</v>
      </c>
      <c r="I299">
        <v>-0.14285718</v>
      </c>
      <c r="J299">
        <v>0.46666667000000001</v>
      </c>
    </row>
    <row r="300" spans="1:10" x14ac:dyDescent="0.3">
      <c r="A300">
        <v>298</v>
      </c>
      <c r="B300">
        <v>4759</v>
      </c>
      <c r="C300" t="b">
        <v>1</v>
      </c>
      <c r="D300">
        <v>8054</v>
      </c>
      <c r="E300">
        <v>8123</v>
      </c>
      <c r="F300">
        <v>6.4</v>
      </c>
      <c r="G300">
        <v>5.6</v>
      </c>
      <c r="H300">
        <v>1.1428571999999999</v>
      </c>
      <c r="I300">
        <v>-0.14285718</v>
      </c>
      <c r="J300">
        <v>0.46666667000000001</v>
      </c>
    </row>
    <row r="301" spans="1:10" x14ac:dyDescent="0.3">
      <c r="A301">
        <v>299</v>
      </c>
      <c r="B301">
        <v>4774</v>
      </c>
      <c r="C301" t="b">
        <v>1</v>
      </c>
      <c r="D301">
        <v>8054</v>
      </c>
      <c r="E301">
        <v>8117</v>
      </c>
      <c r="F301">
        <v>6.8</v>
      </c>
      <c r="G301">
        <v>5.6</v>
      </c>
      <c r="H301">
        <v>1.2142857</v>
      </c>
      <c r="I301">
        <v>-0.21428578000000001</v>
      </c>
      <c r="J301">
        <v>0.45161291999999997</v>
      </c>
    </row>
    <row r="302" spans="1:10" x14ac:dyDescent="0.3">
      <c r="A302">
        <v>300</v>
      </c>
      <c r="B302">
        <v>4790</v>
      </c>
      <c r="C302" t="b">
        <v>1</v>
      </c>
      <c r="D302">
        <v>8054</v>
      </c>
      <c r="E302">
        <v>8117</v>
      </c>
      <c r="F302">
        <v>7.2</v>
      </c>
      <c r="G302">
        <v>5.2</v>
      </c>
      <c r="H302">
        <v>1.3846153999999999</v>
      </c>
      <c r="I302">
        <v>-0.3846154</v>
      </c>
      <c r="J302">
        <v>0.41935483000000001</v>
      </c>
    </row>
    <row r="303" spans="1:10" x14ac:dyDescent="0.3">
      <c r="A303">
        <v>301</v>
      </c>
      <c r="B303">
        <v>4806</v>
      </c>
      <c r="C303" t="b">
        <v>1</v>
      </c>
      <c r="D303">
        <v>8048</v>
      </c>
      <c r="E303">
        <v>8117</v>
      </c>
      <c r="F303">
        <v>7.6</v>
      </c>
      <c r="G303">
        <v>4.8</v>
      </c>
      <c r="H303">
        <v>1.5833333000000001</v>
      </c>
      <c r="I303">
        <v>-0.58333325000000003</v>
      </c>
      <c r="J303">
        <v>0.38709680000000002</v>
      </c>
    </row>
    <row r="304" spans="1:10" x14ac:dyDescent="0.3">
      <c r="A304">
        <v>302</v>
      </c>
      <c r="B304">
        <v>4822</v>
      </c>
      <c r="C304" t="b">
        <v>1</v>
      </c>
      <c r="D304">
        <v>8054</v>
      </c>
      <c r="E304">
        <v>8117</v>
      </c>
      <c r="F304">
        <v>8</v>
      </c>
      <c r="G304">
        <v>4.4000000000000004</v>
      </c>
      <c r="H304">
        <v>1.8181818000000001</v>
      </c>
      <c r="I304">
        <v>-0.81818175000000004</v>
      </c>
      <c r="J304">
        <v>0.35483872999999999</v>
      </c>
    </row>
    <row r="305" spans="1:10" x14ac:dyDescent="0.3">
      <c r="A305">
        <v>303</v>
      </c>
      <c r="B305">
        <v>4838</v>
      </c>
      <c r="C305" t="b">
        <v>1</v>
      </c>
      <c r="D305">
        <v>8042</v>
      </c>
      <c r="E305">
        <v>8111</v>
      </c>
      <c r="F305">
        <v>8.4</v>
      </c>
      <c r="G305">
        <v>4</v>
      </c>
      <c r="H305">
        <v>2.1</v>
      </c>
      <c r="I305">
        <v>-1.0999999</v>
      </c>
      <c r="J305">
        <v>0.32258067000000001</v>
      </c>
    </row>
    <row r="306" spans="1:10" x14ac:dyDescent="0.3">
      <c r="A306">
        <v>304</v>
      </c>
      <c r="B306">
        <v>4854</v>
      </c>
      <c r="C306" t="b">
        <v>1</v>
      </c>
      <c r="D306">
        <v>8048</v>
      </c>
      <c r="E306">
        <v>8117</v>
      </c>
      <c r="F306">
        <v>8.4</v>
      </c>
      <c r="G306">
        <v>4</v>
      </c>
      <c r="H306">
        <v>2.1</v>
      </c>
      <c r="I306">
        <v>-1.0999999</v>
      </c>
      <c r="J306">
        <v>0.32258067000000001</v>
      </c>
    </row>
    <row r="307" spans="1:10" x14ac:dyDescent="0.3">
      <c r="A307">
        <v>305</v>
      </c>
      <c r="B307">
        <v>4870</v>
      </c>
      <c r="C307" t="b">
        <v>1</v>
      </c>
      <c r="D307">
        <v>8048</v>
      </c>
      <c r="E307">
        <v>8123</v>
      </c>
      <c r="F307">
        <v>8.4</v>
      </c>
      <c r="G307">
        <v>4</v>
      </c>
      <c r="H307">
        <v>2.1</v>
      </c>
      <c r="I307">
        <v>-1.0999999</v>
      </c>
      <c r="J307">
        <v>0.32258067000000001</v>
      </c>
    </row>
    <row r="308" spans="1:10" x14ac:dyDescent="0.3">
      <c r="A308">
        <v>306</v>
      </c>
      <c r="B308">
        <v>4886</v>
      </c>
      <c r="C308" t="b">
        <v>1</v>
      </c>
      <c r="D308">
        <v>8042</v>
      </c>
      <c r="E308">
        <v>8123</v>
      </c>
      <c r="F308">
        <v>8.4</v>
      </c>
      <c r="G308">
        <v>4</v>
      </c>
      <c r="H308">
        <v>2.1</v>
      </c>
      <c r="I308">
        <v>-1.0999999</v>
      </c>
      <c r="J308">
        <v>0.32258067000000001</v>
      </c>
    </row>
    <row r="309" spans="1:10" x14ac:dyDescent="0.3">
      <c r="A309">
        <v>307</v>
      </c>
      <c r="B309">
        <v>4902</v>
      </c>
      <c r="C309" t="b">
        <v>1</v>
      </c>
      <c r="D309">
        <v>8048</v>
      </c>
      <c r="E309">
        <v>8123</v>
      </c>
      <c r="F309">
        <v>8.4</v>
      </c>
      <c r="G309">
        <v>4.4000000000000004</v>
      </c>
      <c r="H309">
        <v>1.9090908</v>
      </c>
      <c r="I309">
        <v>-0.90909076</v>
      </c>
      <c r="J309">
        <v>0.34375002999999998</v>
      </c>
    </row>
    <row r="310" spans="1:10" x14ac:dyDescent="0.3">
      <c r="A310">
        <v>308</v>
      </c>
      <c r="B310">
        <v>4918</v>
      </c>
      <c r="C310" t="b">
        <v>1</v>
      </c>
      <c r="D310">
        <v>8048</v>
      </c>
      <c r="E310">
        <v>8123</v>
      </c>
      <c r="F310">
        <v>8.4</v>
      </c>
      <c r="G310">
        <v>4.8</v>
      </c>
      <c r="H310">
        <v>1.7499998999999999</v>
      </c>
      <c r="I310">
        <v>-0.74999990000000005</v>
      </c>
      <c r="J310">
        <v>0.36363636999999999</v>
      </c>
    </row>
    <row r="311" spans="1:10" x14ac:dyDescent="0.3">
      <c r="A311">
        <v>309</v>
      </c>
      <c r="B311">
        <v>4934</v>
      </c>
      <c r="C311" t="b">
        <v>1</v>
      </c>
      <c r="D311">
        <v>8048</v>
      </c>
      <c r="E311">
        <v>8123</v>
      </c>
      <c r="F311">
        <v>8.8000000000000007</v>
      </c>
      <c r="G311">
        <v>5.2</v>
      </c>
      <c r="H311">
        <v>1.6923078</v>
      </c>
      <c r="I311">
        <v>-0.69230780000000003</v>
      </c>
      <c r="J311">
        <v>0.37142855000000002</v>
      </c>
    </row>
    <row r="312" spans="1:10" x14ac:dyDescent="0.3">
      <c r="A312">
        <v>310</v>
      </c>
      <c r="B312">
        <v>4950</v>
      </c>
      <c r="C312" t="b">
        <v>1</v>
      </c>
      <c r="D312">
        <v>8048</v>
      </c>
      <c r="E312">
        <v>8123</v>
      </c>
      <c r="F312">
        <v>9.1999999999999993</v>
      </c>
      <c r="G312">
        <v>5.2</v>
      </c>
      <c r="H312">
        <v>1.7692308000000001</v>
      </c>
      <c r="I312">
        <v>-0.76923079999999999</v>
      </c>
      <c r="J312">
        <v>0.36111110000000002</v>
      </c>
    </row>
    <row r="313" spans="1:10" x14ac:dyDescent="0.3">
      <c r="A313">
        <v>311</v>
      </c>
      <c r="B313">
        <v>4966</v>
      </c>
      <c r="C313" t="b">
        <v>1</v>
      </c>
      <c r="D313">
        <v>8048</v>
      </c>
      <c r="E313">
        <v>8123</v>
      </c>
      <c r="F313">
        <v>9.6</v>
      </c>
      <c r="G313">
        <v>5.2</v>
      </c>
      <c r="H313">
        <v>1.8461540000000001</v>
      </c>
      <c r="I313">
        <v>-0.84615399999999996</v>
      </c>
      <c r="J313">
        <v>0.35135132000000002</v>
      </c>
    </row>
    <row r="314" spans="1:10" x14ac:dyDescent="0.3">
      <c r="A314">
        <v>312</v>
      </c>
      <c r="B314">
        <v>4982</v>
      </c>
      <c r="C314" t="b">
        <v>1</v>
      </c>
      <c r="D314">
        <v>8042</v>
      </c>
      <c r="E314">
        <v>8111</v>
      </c>
      <c r="F314">
        <v>10</v>
      </c>
      <c r="G314">
        <v>5.2</v>
      </c>
      <c r="H314">
        <v>1.9230769999999999</v>
      </c>
      <c r="I314">
        <v>-0.92307700000000004</v>
      </c>
      <c r="J314">
        <v>0.34210527000000002</v>
      </c>
    </row>
    <row r="315" spans="1:10" x14ac:dyDescent="0.3">
      <c r="A315">
        <v>313</v>
      </c>
      <c r="B315">
        <v>4998</v>
      </c>
      <c r="C315" t="b">
        <v>1</v>
      </c>
      <c r="D315">
        <v>8048</v>
      </c>
      <c r="E315">
        <v>8111</v>
      </c>
      <c r="F315">
        <v>10</v>
      </c>
      <c r="G315">
        <v>5.2</v>
      </c>
      <c r="H315">
        <v>1.9230769999999999</v>
      </c>
      <c r="I315">
        <v>-0.92307700000000004</v>
      </c>
      <c r="J315">
        <v>0.34210527000000002</v>
      </c>
    </row>
    <row r="316" spans="1:10" x14ac:dyDescent="0.3">
      <c r="A316">
        <v>314</v>
      </c>
      <c r="B316">
        <v>5014</v>
      </c>
      <c r="C316" t="b">
        <v>1</v>
      </c>
      <c r="D316">
        <v>8048</v>
      </c>
      <c r="E316">
        <v>8111</v>
      </c>
      <c r="F316">
        <v>9.6</v>
      </c>
      <c r="G316">
        <v>4.4000000000000004</v>
      </c>
      <c r="H316">
        <v>2.1818181999999999</v>
      </c>
      <c r="I316">
        <v>-1.1818181999999999</v>
      </c>
      <c r="J316">
        <v>0.31428572999999999</v>
      </c>
    </row>
    <row r="317" spans="1:10" x14ac:dyDescent="0.3">
      <c r="A317">
        <v>315</v>
      </c>
      <c r="B317">
        <v>5029</v>
      </c>
      <c r="C317" t="b">
        <v>1</v>
      </c>
      <c r="D317">
        <v>8048</v>
      </c>
      <c r="E317">
        <v>8117</v>
      </c>
      <c r="F317">
        <v>9.1999999999999993</v>
      </c>
      <c r="G317">
        <v>4</v>
      </c>
      <c r="H317">
        <v>2.2999999999999998</v>
      </c>
      <c r="I317">
        <v>-1.3</v>
      </c>
      <c r="J317">
        <v>0.30303029999999997</v>
      </c>
    </row>
    <row r="318" spans="1:10" x14ac:dyDescent="0.3">
      <c r="A318">
        <v>316</v>
      </c>
      <c r="B318">
        <v>5045</v>
      </c>
      <c r="C318" t="b">
        <v>1</v>
      </c>
      <c r="D318">
        <v>8048</v>
      </c>
      <c r="E318">
        <v>8117</v>
      </c>
      <c r="F318">
        <v>8.8000000000000007</v>
      </c>
      <c r="G318">
        <v>3.6</v>
      </c>
      <c r="H318">
        <v>2.4444447</v>
      </c>
      <c r="I318">
        <v>-1.4444444999999999</v>
      </c>
      <c r="J318">
        <v>0.29032257</v>
      </c>
    </row>
    <row r="319" spans="1:10" x14ac:dyDescent="0.3">
      <c r="A319">
        <v>317</v>
      </c>
      <c r="B319">
        <v>5061</v>
      </c>
      <c r="C319" t="b">
        <v>1</v>
      </c>
      <c r="D319">
        <v>8048</v>
      </c>
      <c r="E319">
        <v>8117</v>
      </c>
      <c r="F319">
        <v>8.4</v>
      </c>
      <c r="G319">
        <v>3.6</v>
      </c>
      <c r="H319">
        <v>2.3333333000000001</v>
      </c>
      <c r="I319">
        <v>-1.3333333000000001</v>
      </c>
      <c r="J319">
        <v>0.29999998</v>
      </c>
    </row>
    <row r="320" spans="1:10" x14ac:dyDescent="0.3">
      <c r="A320">
        <v>318</v>
      </c>
      <c r="B320">
        <v>5077</v>
      </c>
      <c r="C320" t="b">
        <v>1</v>
      </c>
      <c r="D320">
        <v>8048</v>
      </c>
      <c r="E320">
        <v>8123</v>
      </c>
      <c r="F320">
        <v>8</v>
      </c>
      <c r="G320">
        <v>3.6</v>
      </c>
      <c r="H320">
        <v>2.2222222999999999</v>
      </c>
      <c r="I320">
        <v>-1.2222223000000001</v>
      </c>
      <c r="J320">
        <v>0.31034482000000002</v>
      </c>
    </row>
    <row r="321" spans="1:10" x14ac:dyDescent="0.3">
      <c r="A321">
        <v>319</v>
      </c>
      <c r="B321">
        <v>5093</v>
      </c>
      <c r="C321" t="b">
        <v>1</v>
      </c>
      <c r="D321">
        <v>8048</v>
      </c>
      <c r="E321">
        <v>8123</v>
      </c>
      <c r="F321">
        <v>8</v>
      </c>
      <c r="G321">
        <v>3.6</v>
      </c>
      <c r="H321">
        <v>2.2222222999999999</v>
      </c>
      <c r="I321">
        <v>-1.2222223000000001</v>
      </c>
      <c r="J321">
        <v>0.31034482000000002</v>
      </c>
    </row>
    <row r="322" spans="1:10" x14ac:dyDescent="0.3">
      <c r="A322">
        <v>320</v>
      </c>
      <c r="B322">
        <v>5109</v>
      </c>
      <c r="C322" t="b">
        <v>1</v>
      </c>
      <c r="D322">
        <v>8048</v>
      </c>
      <c r="E322">
        <v>8129</v>
      </c>
      <c r="F322">
        <v>8</v>
      </c>
      <c r="G322">
        <v>4</v>
      </c>
      <c r="H322">
        <v>2</v>
      </c>
      <c r="I322">
        <v>-1</v>
      </c>
      <c r="J322">
        <v>0.33333333999999998</v>
      </c>
    </row>
    <row r="323" spans="1:10" x14ac:dyDescent="0.3">
      <c r="A323">
        <v>321</v>
      </c>
      <c r="B323">
        <v>5125</v>
      </c>
      <c r="C323" t="b">
        <v>1</v>
      </c>
      <c r="D323">
        <v>8048</v>
      </c>
      <c r="E323">
        <v>8129</v>
      </c>
      <c r="F323">
        <v>8</v>
      </c>
      <c r="G323">
        <v>4.4000000000000004</v>
      </c>
      <c r="H323">
        <v>1.8181818000000001</v>
      </c>
      <c r="I323">
        <v>-0.81818175000000004</v>
      </c>
      <c r="J323">
        <v>0.35483872999999999</v>
      </c>
    </row>
    <row r="324" spans="1:10" x14ac:dyDescent="0.3">
      <c r="A324">
        <v>322</v>
      </c>
      <c r="B324">
        <v>5140</v>
      </c>
      <c r="C324" t="b">
        <v>1</v>
      </c>
      <c r="D324">
        <v>8054</v>
      </c>
      <c r="E324">
        <v>8123</v>
      </c>
      <c r="F324">
        <v>8</v>
      </c>
      <c r="G324">
        <v>4.4000000000000004</v>
      </c>
      <c r="H324">
        <v>1.8181818000000001</v>
      </c>
      <c r="I324">
        <v>-0.81818175000000004</v>
      </c>
      <c r="J324">
        <v>0.35483872999999999</v>
      </c>
    </row>
    <row r="325" spans="1:10" x14ac:dyDescent="0.3">
      <c r="A325">
        <v>323</v>
      </c>
      <c r="B325">
        <v>5157</v>
      </c>
      <c r="C325" t="b">
        <v>1</v>
      </c>
      <c r="D325">
        <v>8054</v>
      </c>
      <c r="E325">
        <v>8123</v>
      </c>
      <c r="F325">
        <v>8</v>
      </c>
      <c r="G325">
        <v>4.4000000000000004</v>
      </c>
      <c r="H325">
        <v>1.8181818000000001</v>
      </c>
      <c r="I325">
        <v>-0.81818175000000004</v>
      </c>
      <c r="J325">
        <v>0.35483872999999999</v>
      </c>
    </row>
    <row r="326" spans="1:10" x14ac:dyDescent="0.3">
      <c r="A326">
        <v>324</v>
      </c>
      <c r="B326">
        <v>5172</v>
      </c>
      <c r="C326" t="b">
        <v>1</v>
      </c>
      <c r="D326">
        <v>8054</v>
      </c>
      <c r="E326">
        <v>8117</v>
      </c>
      <c r="F326">
        <v>8.4</v>
      </c>
      <c r="G326">
        <v>4.4000000000000004</v>
      </c>
      <c r="H326">
        <v>1.9090908</v>
      </c>
      <c r="I326">
        <v>-0.90909076</v>
      </c>
      <c r="J326">
        <v>0.34375002999999998</v>
      </c>
    </row>
    <row r="327" spans="1:10" x14ac:dyDescent="0.3">
      <c r="A327">
        <v>325</v>
      </c>
      <c r="B327">
        <v>5188</v>
      </c>
      <c r="C327" t="b">
        <v>1</v>
      </c>
      <c r="D327">
        <v>8054</v>
      </c>
      <c r="E327">
        <v>8123</v>
      </c>
      <c r="F327">
        <v>8.8000000000000007</v>
      </c>
      <c r="G327">
        <v>4.4000000000000004</v>
      </c>
      <c r="H327">
        <v>2</v>
      </c>
      <c r="I327">
        <v>-1</v>
      </c>
      <c r="J327">
        <v>0.3333333</v>
      </c>
    </row>
    <row r="328" spans="1:10" x14ac:dyDescent="0.3">
      <c r="A328">
        <v>326</v>
      </c>
      <c r="B328">
        <v>5204</v>
      </c>
      <c r="C328" t="b">
        <v>1</v>
      </c>
      <c r="D328">
        <v>8054</v>
      </c>
      <c r="E328">
        <v>8117</v>
      </c>
      <c r="F328">
        <v>9.1999999999999993</v>
      </c>
      <c r="G328">
        <v>4.4000000000000004</v>
      </c>
      <c r="H328">
        <v>2.0909089999999999</v>
      </c>
      <c r="I328">
        <v>-1.0909089999999999</v>
      </c>
      <c r="J328">
        <v>0.32352942000000001</v>
      </c>
    </row>
    <row r="329" spans="1:10" x14ac:dyDescent="0.3">
      <c r="A329">
        <v>327</v>
      </c>
      <c r="B329">
        <v>5220</v>
      </c>
      <c r="C329" t="b">
        <v>1</v>
      </c>
      <c r="D329">
        <v>8054</v>
      </c>
      <c r="E329">
        <v>8123</v>
      </c>
      <c r="F329">
        <v>9.6</v>
      </c>
      <c r="G329">
        <v>4.4000000000000004</v>
      </c>
      <c r="H329">
        <v>2.1818181999999999</v>
      </c>
      <c r="I329">
        <v>-1.1818181999999999</v>
      </c>
      <c r="J329">
        <v>0.31428572999999999</v>
      </c>
    </row>
    <row r="330" spans="1:10" x14ac:dyDescent="0.3">
      <c r="A330">
        <v>328</v>
      </c>
      <c r="B330">
        <v>5236</v>
      </c>
      <c r="C330" t="b">
        <v>1</v>
      </c>
      <c r="D330">
        <v>8054</v>
      </c>
      <c r="E330">
        <v>8123</v>
      </c>
      <c r="F330">
        <v>10</v>
      </c>
      <c r="G330">
        <v>4.4000000000000004</v>
      </c>
      <c r="H330">
        <v>2.2727273000000001</v>
      </c>
      <c r="I330">
        <v>-1.2727272999999999</v>
      </c>
      <c r="J330">
        <v>0.30555557999999999</v>
      </c>
    </row>
    <row r="331" spans="1:10" x14ac:dyDescent="0.3">
      <c r="A331">
        <v>329</v>
      </c>
      <c r="B331">
        <v>5252</v>
      </c>
      <c r="C331" t="b">
        <v>1</v>
      </c>
      <c r="D331">
        <v>8060</v>
      </c>
      <c r="E331">
        <v>8123</v>
      </c>
      <c r="F331">
        <v>10.4</v>
      </c>
      <c r="G331">
        <v>5.2</v>
      </c>
      <c r="H331">
        <v>2</v>
      </c>
      <c r="I331">
        <v>-1</v>
      </c>
      <c r="J331">
        <v>0.33333333999999998</v>
      </c>
    </row>
    <row r="332" spans="1:10" x14ac:dyDescent="0.3">
      <c r="A332">
        <v>330</v>
      </c>
      <c r="B332">
        <v>5267</v>
      </c>
      <c r="C332" t="b">
        <v>1</v>
      </c>
      <c r="D332">
        <v>8054</v>
      </c>
      <c r="E332">
        <v>8123</v>
      </c>
      <c r="F332">
        <v>10.8</v>
      </c>
      <c r="G332">
        <v>6</v>
      </c>
      <c r="H332">
        <v>1.8000001000000001</v>
      </c>
      <c r="I332">
        <v>-0.8</v>
      </c>
      <c r="J332">
        <v>0.35714287</v>
      </c>
    </row>
    <row r="333" spans="1:10" x14ac:dyDescent="0.3">
      <c r="A333">
        <v>331</v>
      </c>
      <c r="B333">
        <v>5283</v>
      </c>
      <c r="C333" t="b">
        <v>1</v>
      </c>
      <c r="D333">
        <v>8054</v>
      </c>
      <c r="E333">
        <v>8123</v>
      </c>
      <c r="F333">
        <v>11.2</v>
      </c>
      <c r="G333">
        <v>6.8</v>
      </c>
      <c r="H333">
        <v>1.6470587000000001</v>
      </c>
      <c r="I333">
        <v>-0.64705869999999999</v>
      </c>
      <c r="J333">
        <v>0.37777779</v>
      </c>
    </row>
    <row r="334" spans="1:10" x14ac:dyDescent="0.3">
      <c r="A334">
        <v>332</v>
      </c>
      <c r="B334">
        <v>5299</v>
      </c>
      <c r="C334" t="b">
        <v>1</v>
      </c>
      <c r="D334">
        <v>8054</v>
      </c>
      <c r="E334">
        <v>8123</v>
      </c>
      <c r="F334">
        <v>11.6</v>
      </c>
      <c r="G334">
        <v>7.2</v>
      </c>
      <c r="H334">
        <v>1.6111112000000001</v>
      </c>
      <c r="I334">
        <v>-0.61111119999999997</v>
      </c>
      <c r="J334">
        <v>0.38297873999999998</v>
      </c>
    </row>
    <row r="335" spans="1:10" x14ac:dyDescent="0.3">
      <c r="A335">
        <v>333</v>
      </c>
      <c r="B335">
        <v>5315</v>
      </c>
      <c r="C335" t="b">
        <v>1</v>
      </c>
      <c r="D335">
        <v>8054</v>
      </c>
      <c r="E335">
        <v>8123</v>
      </c>
      <c r="F335">
        <v>12</v>
      </c>
      <c r="G335">
        <v>7.6</v>
      </c>
      <c r="H335">
        <v>1.5789473999999999</v>
      </c>
      <c r="I335">
        <v>-0.57894736999999996</v>
      </c>
      <c r="J335">
        <v>0.38775510000000002</v>
      </c>
    </row>
    <row r="336" spans="1:10" x14ac:dyDescent="0.3">
      <c r="A336">
        <v>334</v>
      </c>
      <c r="B336">
        <v>5331</v>
      </c>
      <c r="C336" t="b">
        <v>1</v>
      </c>
      <c r="D336">
        <v>8054</v>
      </c>
      <c r="E336">
        <v>8123</v>
      </c>
      <c r="F336">
        <v>12.4</v>
      </c>
      <c r="G336">
        <v>8</v>
      </c>
      <c r="H336">
        <v>1.55</v>
      </c>
      <c r="I336">
        <v>-0.54999995000000002</v>
      </c>
      <c r="J336">
        <v>0.39215686999999999</v>
      </c>
    </row>
    <row r="337" spans="1:10" x14ac:dyDescent="0.3">
      <c r="A337">
        <v>335</v>
      </c>
      <c r="B337">
        <v>5347</v>
      </c>
      <c r="C337" t="b">
        <v>1</v>
      </c>
      <c r="D337">
        <v>8048</v>
      </c>
      <c r="E337">
        <v>8123</v>
      </c>
      <c r="F337">
        <v>12.8</v>
      </c>
      <c r="G337">
        <v>8</v>
      </c>
      <c r="H337">
        <v>1.6</v>
      </c>
      <c r="I337">
        <v>-0.6</v>
      </c>
      <c r="J337">
        <v>0.3846154</v>
      </c>
    </row>
    <row r="338" spans="1:10" x14ac:dyDescent="0.3">
      <c r="A338">
        <v>336</v>
      </c>
      <c r="B338">
        <v>5363</v>
      </c>
      <c r="C338" t="b">
        <v>1</v>
      </c>
      <c r="D338">
        <v>8048</v>
      </c>
      <c r="E338">
        <v>8117</v>
      </c>
      <c r="F338">
        <v>13.2</v>
      </c>
      <c r="G338">
        <v>8</v>
      </c>
      <c r="H338">
        <v>1.65</v>
      </c>
      <c r="I338">
        <v>-0.65</v>
      </c>
      <c r="J338">
        <v>0.37735847</v>
      </c>
    </row>
    <row r="339" spans="1:10" x14ac:dyDescent="0.3">
      <c r="A339">
        <v>337</v>
      </c>
      <c r="B339">
        <v>5379</v>
      </c>
      <c r="C339" t="b">
        <v>1</v>
      </c>
      <c r="D339">
        <v>8042</v>
      </c>
      <c r="E339">
        <v>8123</v>
      </c>
      <c r="F339">
        <v>13.2</v>
      </c>
      <c r="G339">
        <v>8</v>
      </c>
      <c r="H339">
        <v>1.65</v>
      </c>
      <c r="I339">
        <v>-0.65</v>
      </c>
      <c r="J339">
        <v>0.37735847</v>
      </c>
    </row>
    <row r="340" spans="1:10" x14ac:dyDescent="0.3">
      <c r="A340">
        <v>338</v>
      </c>
      <c r="B340">
        <v>5395</v>
      </c>
      <c r="C340" t="b">
        <v>1</v>
      </c>
      <c r="D340">
        <v>8048</v>
      </c>
      <c r="E340">
        <v>8117</v>
      </c>
      <c r="F340">
        <v>13.2</v>
      </c>
      <c r="G340">
        <v>8</v>
      </c>
      <c r="H340">
        <v>1.65</v>
      </c>
      <c r="I340">
        <v>-0.65</v>
      </c>
      <c r="J340">
        <v>0.37735847</v>
      </c>
    </row>
    <row r="341" spans="1:10" x14ac:dyDescent="0.3">
      <c r="A341">
        <v>339</v>
      </c>
      <c r="B341">
        <v>5410</v>
      </c>
      <c r="C341" t="b">
        <v>1</v>
      </c>
      <c r="D341">
        <v>8042</v>
      </c>
      <c r="E341">
        <v>8123</v>
      </c>
      <c r="F341">
        <v>12.8</v>
      </c>
      <c r="G341">
        <v>8</v>
      </c>
      <c r="H341">
        <v>1.6</v>
      </c>
      <c r="I341">
        <v>-0.6</v>
      </c>
      <c r="J341">
        <v>0.3846154</v>
      </c>
    </row>
    <row r="342" spans="1:10" x14ac:dyDescent="0.3">
      <c r="A342">
        <v>340</v>
      </c>
      <c r="B342">
        <v>5426</v>
      </c>
      <c r="C342" t="b">
        <v>1</v>
      </c>
      <c r="D342">
        <v>8048</v>
      </c>
      <c r="E342">
        <v>8117</v>
      </c>
      <c r="F342">
        <v>12.4</v>
      </c>
      <c r="G342">
        <v>7.6</v>
      </c>
      <c r="H342">
        <v>1.6315789000000001</v>
      </c>
      <c r="I342">
        <v>-0.63157890000000005</v>
      </c>
      <c r="J342">
        <v>0.38</v>
      </c>
    </row>
    <row r="343" spans="1:10" x14ac:dyDescent="0.3">
      <c r="A343">
        <v>341</v>
      </c>
      <c r="B343">
        <v>5442</v>
      </c>
      <c r="C343" t="b">
        <v>1</v>
      </c>
      <c r="D343">
        <v>8054</v>
      </c>
      <c r="E343">
        <v>8123</v>
      </c>
      <c r="F343">
        <v>12</v>
      </c>
      <c r="G343">
        <v>7.6</v>
      </c>
      <c r="H343">
        <v>1.5789473999999999</v>
      </c>
      <c r="I343">
        <v>-0.57894736999999996</v>
      </c>
      <c r="J343">
        <v>0.38775510000000002</v>
      </c>
    </row>
    <row r="344" spans="1:10" x14ac:dyDescent="0.3">
      <c r="A344">
        <v>342</v>
      </c>
      <c r="B344">
        <v>5458</v>
      </c>
      <c r="C344" t="b">
        <v>1</v>
      </c>
      <c r="D344">
        <v>8060</v>
      </c>
      <c r="E344">
        <v>8117</v>
      </c>
      <c r="F344">
        <v>11.6</v>
      </c>
      <c r="G344">
        <v>7.2</v>
      </c>
      <c r="H344">
        <v>1.6111112000000001</v>
      </c>
      <c r="I344">
        <v>-0.61111119999999997</v>
      </c>
      <c r="J344">
        <v>0.38297873999999998</v>
      </c>
    </row>
    <row r="345" spans="1:10" x14ac:dyDescent="0.3">
      <c r="A345">
        <v>343</v>
      </c>
      <c r="B345">
        <v>5474</v>
      </c>
      <c r="C345" t="b">
        <v>1</v>
      </c>
      <c r="D345">
        <v>8054</v>
      </c>
      <c r="E345">
        <v>8123</v>
      </c>
      <c r="F345">
        <v>11.6</v>
      </c>
      <c r="G345">
        <v>7.2</v>
      </c>
      <c r="H345">
        <v>1.6111112000000001</v>
      </c>
      <c r="I345">
        <v>-0.61111119999999997</v>
      </c>
      <c r="J345">
        <v>0.38297873999999998</v>
      </c>
    </row>
    <row r="346" spans="1:10" x14ac:dyDescent="0.3">
      <c r="A346">
        <v>344</v>
      </c>
      <c r="B346">
        <v>5490</v>
      </c>
      <c r="C346" t="b">
        <v>1</v>
      </c>
      <c r="D346">
        <v>8054</v>
      </c>
      <c r="E346">
        <v>8123</v>
      </c>
      <c r="F346">
        <v>11.6</v>
      </c>
      <c r="G346">
        <v>7.2</v>
      </c>
      <c r="H346">
        <v>1.6111112000000001</v>
      </c>
      <c r="I346">
        <v>-0.61111119999999997</v>
      </c>
      <c r="J346">
        <v>0.38297873999999998</v>
      </c>
    </row>
    <row r="347" spans="1:10" x14ac:dyDescent="0.3">
      <c r="A347">
        <v>345</v>
      </c>
      <c r="B347">
        <v>5506</v>
      </c>
      <c r="C347" t="b">
        <v>1</v>
      </c>
      <c r="D347">
        <v>8054</v>
      </c>
      <c r="E347">
        <v>8123</v>
      </c>
      <c r="F347">
        <v>11.6</v>
      </c>
      <c r="G347">
        <v>7.2</v>
      </c>
      <c r="H347">
        <v>1.6111112000000001</v>
      </c>
      <c r="I347">
        <v>-0.61111119999999997</v>
      </c>
      <c r="J347">
        <v>0.38297873999999998</v>
      </c>
    </row>
    <row r="348" spans="1:10" x14ac:dyDescent="0.3">
      <c r="A348">
        <v>346</v>
      </c>
      <c r="B348">
        <v>5521</v>
      </c>
      <c r="C348" t="b">
        <v>1</v>
      </c>
      <c r="D348">
        <v>8054</v>
      </c>
      <c r="E348">
        <v>8123</v>
      </c>
      <c r="F348">
        <v>11.6</v>
      </c>
      <c r="G348">
        <v>7.2</v>
      </c>
      <c r="H348">
        <v>1.6111112000000001</v>
      </c>
      <c r="I348">
        <v>-0.61111119999999997</v>
      </c>
      <c r="J348">
        <v>0.38297873999999998</v>
      </c>
    </row>
    <row r="349" spans="1:10" x14ac:dyDescent="0.3">
      <c r="A349">
        <v>347</v>
      </c>
      <c r="B349">
        <v>5537</v>
      </c>
      <c r="C349" t="b">
        <v>1</v>
      </c>
      <c r="D349">
        <v>8054</v>
      </c>
      <c r="E349">
        <v>8123</v>
      </c>
      <c r="F349">
        <v>11.6</v>
      </c>
      <c r="G349">
        <v>7.2</v>
      </c>
      <c r="H349">
        <v>1.6111112000000001</v>
      </c>
      <c r="I349">
        <v>-0.61111119999999997</v>
      </c>
      <c r="J349">
        <v>0.38297873999999998</v>
      </c>
    </row>
    <row r="350" spans="1:10" x14ac:dyDescent="0.3">
      <c r="A350">
        <v>348</v>
      </c>
      <c r="B350">
        <v>5553</v>
      </c>
      <c r="C350" t="b">
        <v>1</v>
      </c>
      <c r="D350">
        <v>8042</v>
      </c>
      <c r="E350">
        <v>8123</v>
      </c>
      <c r="F350">
        <v>11.6</v>
      </c>
      <c r="G350">
        <v>7.2</v>
      </c>
      <c r="H350">
        <v>1.6111112000000001</v>
      </c>
      <c r="I350">
        <v>-0.61111119999999997</v>
      </c>
      <c r="J350">
        <v>0.38297873999999998</v>
      </c>
    </row>
    <row r="351" spans="1:10" x14ac:dyDescent="0.3">
      <c r="A351">
        <v>349</v>
      </c>
      <c r="B351">
        <v>5569</v>
      </c>
      <c r="C351" t="b">
        <v>1</v>
      </c>
      <c r="D351">
        <v>8048</v>
      </c>
      <c r="E351">
        <v>8123</v>
      </c>
      <c r="F351">
        <v>11.6</v>
      </c>
      <c r="G351">
        <v>7.2</v>
      </c>
      <c r="H351">
        <v>1.6111112000000001</v>
      </c>
      <c r="I351">
        <v>-0.61111119999999997</v>
      </c>
      <c r="J351">
        <v>0.38297873999999998</v>
      </c>
    </row>
    <row r="352" spans="1:10" x14ac:dyDescent="0.3">
      <c r="A352">
        <v>350</v>
      </c>
      <c r="B352">
        <v>5585</v>
      </c>
      <c r="C352" t="b">
        <v>1</v>
      </c>
      <c r="D352">
        <v>8048</v>
      </c>
      <c r="E352">
        <v>8123</v>
      </c>
      <c r="F352">
        <v>11.2</v>
      </c>
      <c r="G352">
        <v>7.2</v>
      </c>
      <c r="H352">
        <v>1.5555555999999999</v>
      </c>
      <c r="I352">
        <v>-0.55555560000000004</v>
      </c>
      <c r="J352">
        <v>0.39130433999999997</v>
      </c>
    </row>
    <row r="353" spans="1:10" x14ac:dyDescent="0.3">
      <c r="A353">
        <v>351</v>
      </c>
      <c r="B353">
        <v>5601</v>
      </c>
      <c r="C353" t="b">
        <v>1</v>
      </c>
      <c r="D353">
        <v>8048</v>
      </c>
      <c r="E353">
        <v>8117</v>
      </c>
      <c r="F353">
        <v>10.8</v>
      </c>
      <c r="G353">
        <v>7.2</v>
      </c>
      <c r="H353">
        <v>1.5000001000000001</v>
      </c>
      <c r="I353">
        <v>-0.50000005999999997</v>
      </c>
      <c r="J353">
        <v>0.39999997999999998</v>
      </c>
    </row>
    <row r="354" spans="1:10" x14ac:dyDescent="0.3">
      <c r="A354">
        <v>352</v>
      </c>
      <c r="B354">
        <v>5617</v>
      </c>
      <c r="C354" t="b">
        <v>1</v>
      </c>
      <c r="D354">
        <v>8042</v>
      </c>
      <c r="E354">
        <v>8117</v>
      </c>
      <c r="F354">
        <v>10.8</v>
      </c>
      <c r="G354">
        <v>7.2</v>
      </c>
      <c r="H354">
        <v>1.5000001000000001</v>
      </c>
      <c r="I354">
        <v>-0.50000005999999997</v>
      </c>
      <c r="J354">
        <v>0.39999997999999998</v>
      </c>
    </row>
    <row r="355" spans="1:10" x14ac:dyDescent="0.3">
      <c r="A355">
        <v>353</v>
      </c>
      <c r="B355">
        <v>5633</v>
      </c>
      <c r="C355" t="b">
        <v>1</v>
      </c>
      <c r="D355">
        <v>8048</v>
      </c>
      <c r="E355">
        <v>8123</v>
      </c>
      <c r="F355">
        <v>10.8</v>
      </c>
      <c r="G355">
        <v>7.2</v>
      </c>
      <c r="H355">
        <v>1.5000001000000001</v>
      </c>
      <c r="I355">
        <v>-0.50000005999999997</v>
      </c>
      <c r="J355">
        <v>0.39999997999999998</v>
      </c>
    </row>
    <row r="356" spans="1:10" x14ac:dyDescent="0.3">
      <c r="A356">
        <v>354</v>
      </c>
      <c r="B356">
        <v>5648</v>
      </c>
      <c r="C356" t="b">
        <v>1</v>
      </c>
      <c r="D356">
        <v>8048</v>
      </c>
      <c r="E356">
        <v>8123</v>
      </c>
      <c r="F356">
        <v>10.8</v>
      </c>
      <c r="G356">
        <v>7.2</v>
      </c>
      <c r="H356">
        <v>1.5000001000000001</v>
      </c>
      <c r="I356">
        <v>-0.50000005999999997</v>
      </c>
      <c r="J356">
        <v>0.39999997999999998</v>
      </c>
    </row>
    <row r="357" spans="1:10" x14ac:dyDescent="0.3">
      <c r="A357">
        <v>355</v>
      </c>
      <c r="B357">
        <v>5664</v>
      </c>
      <c r="C357" t="b">
        <v>1</v>
      </c>
      <c r="D357">
        <v>8048</v>
      </c>
      <c r="E357">
        <v>8117</v>
      </c>
      <c r="F357">
        <v>10.8</v>
      </c>
      <c r="G357">
        <v>7.2</v>
      </c>
      <c r="H357">
        <v>1.5000001000000001</v>
      </c>
      <c r="I357">
        <v>-0.50000005999999997</v>
      </c>
      <c r="J357">
        <v>0.39999997999999998</v>
      </c>
    </row>
    <row r="358" spans="1:10" x14ac:dyDescent="0.3">
      <c r="A358">
        <v>356</v>
      </c>
      <c r="B358">
        <v>5680</v>
      </c>
      <c r="C358" t="b">
        <v>1</v>
      </c>
      <c r="D358">
        <v>8054</v>
      </c>
      <c r="E358">
        <v>8123</v>
      </c>
      <c r="F358">
        <v>10.8</v>
      </c>
      <c r="G358">
        <v>7.2</v>
      </c>
      <c r="H358">
        <v>1.5000001000000001</v>
      </c>
      <c r="I358">
        <v>-0.50000005999999997</v>
      </c>
      <c r="J358">
        <v>0.39999997999999998</v>
      </c>
    </row>
    <row r="359" spans="1:10" x14ac:dyDescent="0.3">
      <c r="A359">
        <v>357</v>
      </c>
      <c r="B359">
        <v>5696</v>
      </c>
      <c r="C359" t="b">
        <v>1</v>
      </c>
      <c r="D359">
        <v>8048</v>
      </c>
      <c r="E359">
        <v>8117</v>
      </c>
      <c r="F359">
        <v>10.8</v>
      </c>
      <c r="G359">
        <v>7.6</v>
      </c>
      <c r="H359">
        <v>1.4210526999999999</v>
      </c>
      <c r="I359">
        <v>-0.42105266000000002</v>
      </c>
      <c r="J359">
        <v>0.41304347000000002</v>
      </c>
    </row>
    <row r="360" spans="1:10" x14ac:dyDescent="0.3">
      <c r="A360">
        <v>358</v>
      </c>
      <c r="B360">
        <v>5712</v>
      </c>
      <c r="C360" t="b">
        <v>1</v>
      </c>
      <c r="D360">
        <v>8048</v>
      </c>
      <c r="E360">
        <v>8123</v>
      </c>
      <c r="F360">
        <v>10.4</v>
      </c>
      <c r="G360">
        <v>7.6</v>
      </c>
      <c r="H360">
        <v>1.3684210999999999</v>
      </c>
      <c r="I360">
        <v>-0.36842101999999999</v>
      </c>
      <c r="J360">
        <v>0.42222222999999998</v>
      </c>
    </row>
    <row r="361" spans="1:10" x14ac:dyDescent="0.3">
      <c r="A361">
        <v>359</v>
      </c>
      <c r="B361">
        <v>5728</v>
      </c>
      <c r="C361" t="b">
        <v>1</v>
      </c>
      <c r="D361">
        <v>8048</v>
      </c>
      <c r="E361">
        <v>8123</v>
      </c>
      <c r="F361">
        <v>10</v>
      </c>
      <c r="G361">
        <v>7.6</v>
      </c>
      <c r="H361">
        <v>1.3157894999999999</v>
      </c>
      <c r="I361">
        <v>-0.3157895</v>
      </c>
      <c r="J361">
        <v>0.43181816000000001</v>
      </c>
    </row>
    <row r="362" spans="1:10" x14ac:dyDescent="0.3">
      <c r="A362">
        <v>360</v>
      </c>
      <c r="B362">
        <v>5744</v>
      </c>
      <c r="C362" t="b">
        <v>1</v>
      </c>
      <c r="D362">
        <v>8048</v>
      </c>
      <c r="E362">
        <v>8123</v>
      </c>
      <c r="F362">
        <v>9.6</v>
      </c>
      <c r="G362">
        <v>7.6</v>
      </c>
      <c r="H362">
        <v>1.263158</v>
      </c>
      <c r="I362">
        <v>-0.26315796000000002</v>
      </c>
      <c r="J362">
        <v>0.44186044000000002</v>
      </c>
    </row>
    <row r="363" spans="1:10" x14ac:dyDescent="0.3">
      <c r="A363">
        <v>361</v>
      </c>
      <c r="B363">
        <v>5760</v>
      </c>
      <c r="C363" t="b">
        <v>1</v>
      </c>
      <c r="D363">
        <v>8048</v>
      </c>
      <c r="E363">
        <v>8123</v>
      </c>
      <c r="F363">
        <v>9.1999999999999993</v>
      </c>
      <c r="G363">
        <v>7.6</v>
      </c>
      <c r="H363">
        <v>1.2105262999999999</v>
      </c>
      <c r="I363">
        <v>-0.2105263</v>
      </c>
      <c r="J363">
        <v>0.45238096</v>
      </c>
    </row>
    <row r="364" spans="1:10" x14ac:dyDescent="0.3">
      <c r="A364">
        <v>362</v>
      </c>
      <c r="B364">
        <v>5776</v>
      </c>
      <c r="C364" t="b">
        <v>1</v>
      </c>
      <c r="D364">
        <v>8048</v>
      </c>
      <c r="E364">
        <v>8123</v>
      </c>
      <c r="F364">
        <v>8.8000000000000007</v>
      </c>
      <c r="G364">
        <v>7.6</v>
      </c>
      <c r="H364">
        <v>1.1578946999999999</v>
      </c>
      <c r="I364">
        <v>-0.15789478000000001</v>
      </c>
      <c r="J364">
        <v>0.46341463999999999</v>
      </c>
    </row>
    <row r="365" spans="1:10" x14ac:dyDescent="0.3">
      <c r="A365">
        <v>363</v>
      </c>
      <c r="B365">
        <v>5791</v>
      </c>
      <c r="C365" t="b">
        <v>1</v>
      </c>
      <c r="D365">
        <v>8048</v>
      </c>
      <c r="E365">
        <v>8123</v>
      </c>
      <c r="F365">
        <v>8.4</v>
      </c>
      <c r="G365">
        <v>7.6</v>
      </c>
      <c r="H365">
        <v>1.1052630999999999</v>
      </c>
      <c r="I365">
        <v>-0.10526312</v>
      </c>
      <c r="J365">
        <v>0.47499999999999998</v>
      </c>
    </row>
    <row r="366" spans="1:10" x14ac:dyDescent="0.3">
      <c r="A366">
        <v>364</v>
      </c>
      <c r="B366">
        <v>5807</v>
      </c>
      <c r="C366" t="b">
        <v>1</v>
      </c>
      <c r="D366">
        <v>8048</v>
      </c>
      <c r="E366">
        <v>8123</v>
      </c>
      <c r="F366">
        <v>8</v>
      </c>
      <c r="G366">
        <v>7.6</v>
      </c>
      <c r="H366">
        <v>1.0526316</v>
      </c>
      <c r="I366">
        <v>-5.2631589999999999E-2</v>
      </c>
      <c r="J366">
        <v>0.48717946000000001</v>
      </c>
    </row>
    <row r="367" spans="1:10" x14ac:dyDescent="0.3">
      <c r="A367">
        <v>365</v>
      </c>
      <c r="B367">
        <v>5823</v>
      </c>
      <c r="C367" t="b">
        <v>1</v>
      </c>
      <c r="D367">
        <v>8048</v>
      </c>
      <c r="E367">
        <v>8117</v>
      </c>
      <c r="F367">
        <v>8</v>
      </c>
      <c r="G367">
        <v>7.6</v>
      </c>
      <c r="H367">
        <v>1.0526316</v>
      </c>
      <c r="I367">
        <v>-5.2631589999999999E-2</v>
      </c>
      <c r="J367">
        <v>0.48717946000000001</v>
      </c>
    </row>
    <row r="368" spans="1:10" x14ac:dyDescent="0.3">
      <c r="A368">
        <v>366</v>
      </c>
      <c r="B368">
        <v>5839</v>
      </c>
      <c r="C368" t="b">
        <v>1</v>
      </c>
      <c r="D368">
        <v>8048</v>
      </c>
      <c r="E368">
        <v>8123</v>
      </c>
      <c r="F368">
        <v>8</v>
      </c>
      <c r="G368">
        <v>7.6</v>
      </c>
      <c r="H368">
        <v>1.0526316</v>
      </c>
      <c r="I368">
        <v>-5.2631589999999999E-2</v>
      </c>
      <c r="J368">
        <v>0.48717946000000001</v>
      </c>
    </row>
    <row r="369" spans="1:10" x14ac:dyDescent="0.3">
      <c r="A369">
        <v>367</v>
      </c>
      <c r="B369">
        <v>5855</v>
      </c>
      <c r="C369" t="b">
        <v>1</v>
      </c>
      <c r="D369">
        <v>8048</v>
      </c>
      <c r="E369">
        <v>8123</v>
      </c>
      <c r="F369">
        <v>8</v>
      </c>
      <c r="G369">
        <v>7.6</v>
      </c>
      <c r="H369">
        <v>1.0526316</v>
      </c>
      <c r="I369">
        <v>-5.2631589999999999E-2</v>
      </c>
      <c r="J369">
        <v>0.48717946000000001</v>
      </c>
    </row>
    <row r="370" spans="1:10" x14ac:dyDescent="0.3">
      <c r="A370">
        <v>368</v>
      </c>
      <c r="B370">
        <v>5871</v>
      </c>
      <c r="C370" t="b">
        <v>1</v>
      </c>
      <c r="D370">
        <v>8048</v>
      </c>
      <c r="E370">
        <v>8129</v>
      </c>
      <c r="F370">
        <v>8</v>
      </c>
      <c r="G370">
        <v>7.6</v>
      </c>
      <c r="H370">
        <v>1.0526316</v>
      </c>
      <c r="I370">
        <v>-5.2631589999999999E-2</v>
      </c>
      <c r="J370">
        <v>0.48717946000000001</v>
      </c>
    </row>
    <row r="371" spans="1:10" x14ac:dyDescent="0.3">
      <c r="A371">
        <v>369</v>
      </c>
      <c r="B371">
        <v>5887</v>
      </c>
      <c r="C371" t="b">
        <v>1</v>
      </c>
      <c r="D371">
        <v>8048</v>
      </c>
      <c r="E371">
        <v>8123</v>
      </c>
      <c r="F371">
        <v>8</v>
      </c>
      <c r="G371">
        <v>7.6</v>
      </c>
      <c r="H371">
        <v>1.0526316</v>
      </c>
      <c r="I371">
        <v>-5.2631589999999999E-2</v>
      </c>
      <c r="J371">
        <v>0.48717946000000001</v>
      </c>
    </row>
    <row r="372" spans="1:10" x14ac:dyDescent="0.3">
      <c r="A372">
        <v>370</v>
      </c>
      <c r="B372">
        <v>5902</v>
      </c>
      <c r="C372" t="b">
        <v>1</v>
      </c>
      <c r="D372">
        <v>8048</v>
      </c>
      <c r="E372">
        <v>8123</v>
      </c>
      <c r="F372">
        <v>8</v>
      </c>
      <c r="G372">
        <v>8</v>
      </c>
      <c r="H372">
        <v>1</v>
      </c>
      <c r="I372">
        <v>0</v>
      </c>
      <c r="J372">
        <v>0.5</v>
      </c>
    </row>
    <row r="373" spans="1:10" x14ac:dyDescent="0.3">
      <c r="A373">
        <v>371</v>
      </c>
      <c r="B373">
        <v>5918</v>
      </c>
      <c r="C373" t="b">
        <v>1</v>
      </c>
      <c r="D373">
        <v>8048</v>
      </c>
      <c r="E373">
        <v>8123</v>
      </c>
      <c r="F373">
        <v>8</v>
      </c>
      <c r="G373">
        <v>8</v>
      </c>
      <c r="H373">
        <v>1</v>
      </c>
      <c r="I373">
        <v>0</v>
      </c>
      <c r="J373">
        <v>0.5</v>
      </c>
    </row>
    <row r="374" spans="1:10" x14ac:dyDescent="0.3">
      <c r="A374">
        <v>372</v>
      </c>
      <c r="B374">
        <v>5934</v>
      </c>
      <c r="C374" t="b">
        <v>1</v>
      </c>
      <c r="D374">
        <v>8048</v>
      </c>
      <c r="E374">
        <v>8117</v>
      </c>
      <c r="F374">
        <v>8</v>
      </c>
      <c r="G374">
        <v>8</v>
      </c>
      <c r="H374">
        <v>1</v>
      </c>
      <c r="I374">
        <v>0</v>
      </c>
      <c r="J374">
        <v>0.5</v>
      </c>
    </row>
    <row r="375" spans="1:10" x14ac:dyDescent="0.3">
      <c r="A375">
        <v>373</v>
      </c>
      <c r="B375">
        <v>5950</v>
      </c>
      <c r="C375" t="b">
        <v>1</v>
      </c>
      <c r="D375">
        <v>8048</v>
      </c>
      <c r="E375">
        <v>8123</v>
      </c>
      <c r="F375">
        <v>8</v>
      </c>
      <c r="G375">
        <v>8</v>
      </c>
      <c r="H375">
        <v>1</v>
      </c>
      <c r="I375">
        <v>0</v>
      </c>
      <c r="J375">
        <v>0.5</v>
      </c>
    </row>
    <row r="376" spans="1:10" x14ac:dyDescent="0.3">
      <c r="A376">
        <v>374</v>
      </c>
      <c r="B376">
        <v>5967</v>
      </c>
      <c r="C376" t="b">
        <v>1</v>
      </c>
      <c r="D376">
        <v>8048</v>
      </c>
      <c r="E376">
        <v>8117</v>
      </c>
      <c r="F376">
        <v>8</v>
      </c>
      <c r="G376">
        <v>8</v>
      </c>
      <c r="H376">
        <v>1</v>
      </c>
      <c r="I376">
        <v>0</v>
      </c>
      <c r="J376">
        <v>0.5</v>
      </c>
    </row>
    <row r="377" spans="1:10" x14ac:dyDescent="0.3">
      <c r="A377">
        <v>375</v>
      </c>
      <c r="B377">
        <v>5982</v>
      </c>
      <c r="C377" t="b">
        <v>1</v>
      </c>
      <c r="D377">
        <v>8048</v>
      </c>
      <c r="E377">
        <v>8123</v>
      </c>
      <c r="F377">
        <v>8</v>
      </c>
      <c r="G377">
        <v>8</v>
      </c>
      <c r="H377">
        <v>1</v>
      </c>
      <c r="I377">
        <v>0</v>
      </c>
      <c r="J377">
        <v>0.5</v>
      </c>
    </row>
    <row r="378" spans="1:10" x14ac:dyDescent="0.3">
      <c r="A378">
        <v>376</v>
      </c>
      <c r="B378">
        <v>5998</v>
      </c>
      <c r="C378" t="b">
        <v>1</v>
      </c>
      <c r="D378">
        <v>8054</v>
      </c>
      <c r="E378">
        <v>8123</v>
      </c>
      <c r="F378">
        <v>8</v>
      </c>
      <c r="G378">
        <v>8</v>
      </c>
      <c r="H378">
        <v>1</v>
      </c>
      <c r="I378">
        <v>0</v>
      </c>
      <c r="J378">
        <v>0.5</v>
      </c>
    </row>
    <row r="379" spans="1:10" x14ac:dyDescent="0.3">
      <c r="A379">
        <v>377</v>
      </c>
      <c r="B379">
        <v>6014</v>
      </c>
      <c r="C379" t="b">
        <v>1</v>
      </c>
      <c r="D379">
        <v>8048</v>
      </c>
      <c r="E379">
        <v>8117</v>
      </c>
      <c r="F379">
        <v>8</v>
      </c>
      <c r="G379">
        <v>8</v>
      </c>
      <c r="H379">
        <v>1</v>
      </c>
      <c r="I379">
        <v>0</v>
      </c>
      <c r="J379">
        <v>0.5</v>
      </c>
    </row>
    <row r="380" spans="1:10" x14ac:dyDescent="0.3">
      <c r="A380">
        <v>378</v>
      </c>
      <c r="B380">
        <v>6030</v>
      </c>
      <c r="C380" t="b">
        <v>1</v>
      </c>
      <c r="D380">
        <v>8048</v>
      </c>
      <c r="E380">
        <v>8123</v>
      </c>
      <c r="F380">
        <v>8</v>
      </c>
      <c r="G380">
        <v>8</v>
      </c>
      <c r="H380">
        <v>1</v>
      </c>
      <c r="I380">
        <v>0</v>
      </c>
      <c r="J380">
        <v>0.5</v>
      </c>
    </row>
    <row r="381" spans="1:10" x14ac:dyDescent="0.3">
      <c r="A381">
        <v>379</v>
      </c>
      <c r="B381">
        <v>6046</v>
      </c>
      <c r="C381" t="b">
        <v>1</v>
      </c>
      <c r="D381">
        <v>8042</v>
      </c>
      <c r="E381">
        <v>8123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6062</v>
      </c>
      <c r="C382" t="b">
        <v>1</v>
      </c>
      <c r="D382">
        <v>8054</v>
      </c>
      <c r="E382">
        <v>8123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6078</v>
      </c>
      <c r="C383" t="b">
        <v>1</v>
      </c>
      <c r="D383">
        <v>8054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6094</v>
      </c>
      <c r="C384" t="b">
        <v>1</v>
      </c>
      <c r="D384">
        <v>8054</v>
      </c>
      <c r="E384">
        <v>8123</v>
      </c>
      <c r="F384">
        <v>8.4</v>
      </c>
      <c r="G384">
        <v>8</v>
      </c>
      <c r="H384">
        <v>1.05</v>
      </c>
      <c r="I384">
        <v>-4.9999952E-2</v>
      </c>
      <c r="J384">
        <v>0.48780489999999999</v>
      </c>
    </row>
    <row r="385" spans="1:10" x14ac:dyDescent="0.3">
      <c r="A385">
        <v>383</v>
      </c>
      <c r="B385">
        <v>6109</v>
      </c>
      <c r="C385" t="b">
        <v>1</v>
      </c>
      <c r="D385">
        <v>8054</v>
      </c>
      <c r="E385">
        <v>8123</v>
      </c>
      <c r="F385">
        <v>8.8000000000000007</v>
      </c>
      <c r="G385">
        <v>8</v>
      </c>
      <c r="H385">
        <v>1.1000000000000001</v>
      </c>
      <c r="I385">
        <v>-0.10000002400000001</v>
      </c>
      <c r="J385">
        <v>0.47619050000000002</v>
      </c>
    </row>
    <row r="386" spans="1:10" x14ac:dyDescent="0.3">
      <c r="A386">
        <v>384</v>
      </c>
      <c r="B386">
        <v>6125</v>
      </c>
      <c r="C386" t="b">
        <v>1</v>
      </c>
      <c r="D386">
        <v>8054</v>
      </c>
      <c r="E386">
        <v>8123</v>
      </c>
      <c r="F386">
        <v>9.1999999999999993</v>
      </c>
      <c r="G386">
        <v>8</v>
      </c>
      <c r="H386">
        <v>1.1499999999999999</v>
      </c>
      <c r="I386">
        <v>-0.14999998</v>
      </c>
      <c r="J386">
        <v>0.46511626</v>
      </c>
    </row>
    <row r="387" spans="1:10" x14ac:dyDescent="0.3">
      <c r="A387">
        <v>385</v>
      </c>
      <c r="B387">
        <v>6142</v>
      </c>
      <c r="C387" t="b">
        <v>1</v>
      </c>
      <c r="D387">
        <v>8054</v>
      </c>
      <c r="E387">
        <v>8123</v>
      </c>
      <c r="F387">
        <v>9.6</v>
      </c>
      <c r="G387">
        <v>8</v>
      </c>
      <c r="H387">
        <v>1.2</v>
      </c>
      <c r="I387">
        <v>-0.20000005000000001</v>
      </c>
      <c r="J387">
        <v>0.45454544000000002</v>
      </c>
    </row>
    <row r="388" spans="1:10" x14ac:dyDescent="0.3">
      <c r="A388">
        <v>386</v>
      </c>
      <c r="B388">
        <v>6157</v>
      </c>
      <c r="C388" t="b">
        <v>1</v>
      </c>
      <c r="D388">
        <v>8048</v>
      </c>
      <c r="E388">
        <v>8117</v>
      </c>
      <c r="F388">
        <v>10</v>
      </c>
      <c r="G388">
        <v>8</v>
      </c>
      <c r="H388">
        <v>1.25</v>
      </c>
      <c r="I388">
        <v>-0.25</v>
      </c>
      <c r="J388">
        <v>0.44444444999999999</v>
      </c>
    </row>
    <row r="389" spans="1:10" x14ac:dyDescent="0.3">
      <c r="A389">
        <v>387</v>
      </c>
      <c r="B389">
        <v>6173</v>
      </c>
      <c r="C389" t="b">
        <v>1</v>
      </c>
      <c r="D389">
        <v>8048</v>
      </c>
      <c r="E389">
        <v>8117</v>
      </c>
      <c r="F389">
        <v>10.4</v>
      </c>
      <c r="G389">
        <v>8</v>
      </c>
      <c r="H389">
        <v>1.3</v>
      </c>
      <c r="I389">
        <v>-0.29999995000000002</v>
      </c>
      <c r="J389">
        <v>0.43478262000000001</v>
      </c>
    </row>
    <row r="390" spans="1:10" x14ac:dyDescent="0.3">
      <c r="A390">
        <v>388</v>
      </c>
      <c r="B390">
        <v>6189</v>
      </c>
      <c r="C390" t="b">
        <v>1</v>
      </c>
      <c r="D390">
        <v>8048</v>
      </c>
      <c r="E390">
        <v>8111</v>
      </c>
      <c r="F390">
        <v>10.4</v>
      </c>
      <c r="G390">
        <v>7.6</v>
      </c>
      <c r="H390">
        <v>1.3684210999999999</v>
      </c>
      <c r="I390">
        <v>-0.36842101999999999</v>
      </c>
      <c r="J390">
        <v>0.42222222999999998</v>
      </c>
    </row>
    <row r="391" spans="1:10" x14ac:dyDescent="0.3">
      <c r="A391">
        <v>389</v>
      </c>
      <c r="B391">
        <v>6205</v>
      </c>
      <c r="C391" t="b">
        <v>1</v>
      </c>
      <c r="D391">
        <v>8054</v>
      </c>
      <c r="E391">
        <v>8123</v>
      </c>
      <c r="F391">
        <v>10.4</v>
      </c>
      <c r="G391">
        <v>7.2</v>
      </c>
      <c r="H391">
        <v>1.4444444000000001</v>
      </c>
      <c r="I391">
        <v>-0.44444442000000001</v>
      </c>
      <c r="J391">
        <v>0.40909094000000001</v>
      </c>
    </row>
    <row r="392" spans="1:10" x14ac:dyDescent="0.3">
      <c r="A392">
        <v>390</v>
      </c>
      <c r="B392">
        <v>6221</v>
      </c>
      <c r="C392" t="b">
        <v>1</v>
      </c>
      <c r="D392">
        <v>8048</v>
      </c>
      <c r="E392">
        <v>8117</v>
      </c>
      <c r="F392">
        <v>10.4</v>
      </c>
      <c r="G392">
        <v>6.8</v>
      </c>
      <c r="H392">
        <v>1.5294117</v>
      </c>
      <c r="I392">
        <v>-0.52941170000000004</v>
      </c>
      <c r="J392">
        <v>0.39534881999999999</v>
      </c>
    </row>
    <row r="393" spans="1:10" x14ac:dyDescent="0.3">
      <c r="A393">
        <v>391</v>
      </c>
      <c r="B393">
        <v>6237</v>
      </c>
      <c r="C393" t="b">
        <v>1</v>
      </c>
      <c r="D393">
        <v>8048</v>
      </c>
      <c r="E393">
        <v>8111</v>
      </c>
      <c r="F393">
        <v>10.4</v>
      </c>
      <c r="G393">
        <v>6.4</v>
      </c>
      <c r="H393">
        <v>1.6249998999999999</v>
      </c>
      <c r="I393">
        <v>-0.62499994000000003</v>
      </c>
      <c r="J393">
        <v>0.38095242000000001</v>
      </c>
    </row>
    <row r="394" spans="1:10" x14ac:dyDescent="0.3">
      <c r="A394">
        <v>392</v>
      </c>
      <c r="B394">
        <v>6253</v>
      </c>
      <c r="C394" t="b">
        <v>1</v>
      </c>
      <c r="D394">
        <v>8048</v>
      </c>
      <c r="E394">
        <v>8123</v>
      </c>
      <c r="F394">
        <v>10.4</v>
      </c>
      <c r="G394">
        <v>6</v>
      </c>
      <c r="H394">
        <v>1.7333331999999999</v>
      </c>
      <c r="I394">
        <v>-0.73333329999999997</v>
      </c>
      <c r="J394">
        <v>0.36585367000000002</v>
      </c>
    </row>
    <row r="395" spans="1:10" x14ac:dyDescent="0.3">
      <c r="A395">
        <v>393</v>
      </c>
      <c r="B395">
        <v>6269</v>
      </c>
      <c r="C395" t="b">
        <v>1</v>
      </c>
      <c r="D395">
        <v>8048</v>
      </c>
      <c r="E395">
        <v>8123</v>
      </c>
      <c r="F395">
        <v>10.4</v>
      </c>
      <c r="G395">
        <v>6</v>
      </c>
      <c r="H395">
        <v>1.7333331999999999</v>
      </c>
      <c r="I395">
        <v>-0.73333329999999997</v>
      </c>
      <c r="J395">
        <v>0.36585367000000002</v>
      </c>
    </row>
    <row r="396" spans="1:10" x14ac:dyDescent="0.3">
      <c r="A396">
        <v>394</v>
      </c>
      <c r="B396">
        <v>6285</v>
      </c>
      <c r="C396" t="b">
        <v>1</v>
      </c>
      <c r="D396">
        <v>8054</v>
      </c>
      <c r="E396">
        <v>8123</v>
      </c>
      <c r="F396">
        <v>10.4</v>
      </c>
      <c r="G396">
        <v>6</v>
      </c>
      <c r="H396">
        <v>1.7333331999999999</v>
      </c>
      <c r="I396">
        <v>-0.73333329999999997</v>
      </c>
      <c r="J396">
        <v>0.36585367000000002</v>
      </c>
    </row>
    <row r="397" spans="1:10" x14ac:dyDescent="0.3">
      <c r="A397">
        <v>395</v>
      </c>
      <c r="B397">
        <v>6301</v>
      </c>
      <c r="C397" t="b">
        <v>1</v>
      </c>
      <c r="D397">
        <v>8048</v>
      </c>
      <c r="E397">
        <v>8123</v>
      </c>
      <c r="F397">
        <v>10.4</v>
      </c>
      <c r="G397">
        <v>6</v>
      </c>
      <c r="H397">
        <v>1.7333331999999999</v>
      </c>
      <c r="I397">
        <v>-0.73333329999999997</v>
      </c>
      <c r="J397">
        <v>0.36585367000000002</v>
      </c>
    </row>
    <row r="398" spans="1:10" x14ac:dyDescent="0.3">
      <c r="A398">
        <v>396</v>
      </c>
      <c r="B398">
        <v>6317</v>
      </c>
      <c r="C398" t="b">
        <v>1</v>
      </c>
      <c r="D398">
        <v>8048</v>
      </c>
      <c r="E398">
        <v>8123</v>
      </c>
      <c r="F398">
        <v>10.4</v>
      </c>
      <c r="G398">
        <v>6</v>
      </c>
      <c r="H398">
        <v>1.7333331999999999</v>
      </c>
      <c r="I398">
        <v>-0.73333329999999997</v>
      </c>
      <c r="J398">
        <v>0.36585367000000002</v>
      </c>
    </row>
    <row r="399" spans="1:10" x14ac:dyDescent="0.3">
      <c r="A399">
        <v>397</v>
      </c>
      <c r="B399">
        <v>6333</v>
      </c>
      <c r="C399" t="b">
        <v>1</v>
      </c>
      <c r="D399">
        <v>8048</v>
      </c>
      <c r="E399">
        <v>8123</v>
      </c>
      <c r="F399">
        <v>10</v>
      </c>
      <c r="G399">
        <v>6</v>
      </c>
      <c r="H399">
        <v>1.6666666000000001</v>
      </c>
      <c r="I399">
        <v>-0.66666669999999995</v>
      </c>
      <c r="J399">
        <v>0.375</v>
      </c>
    </row>
    <row r="400" spans="1:10" x14ac:dyDescent="0.3">
      <c r="A400">
        <v>398</v>
      </c>
      <c r="B400">
        <v>6349</v>
      </c>
      <c r="C400" t="b">
        <v>1</v>
      </c>
      <c r="D400">
        <v>8048</v>
      </c>
      <c r="E400">
        <v>8123</v>
      </c>
      <c r="F400">
        <v>9.6</v>
      </c>
      <c r="G400">
        <v>6</v>
      </c>
      <c r="H400">
        <v>1.6</v>
      </c>
      <c r="I400">
        <v>-0.60000010000000004</v>
      </c>
      <c r="J400">
        <v>0.38461536000000002</v>
      </c>
    </row>
    <row r="401" spans="1:10" x14ac:dyDescent="0.3">
      <c r="A401">
        <v>399</v>
      </c>
      <c r="B401">
        <v>6365</v>
      </c>
      <c r="C401" t="b">
        <v>1</v>
      </c>
      <c r="D401">
        <v>8042</v>
      </c>
      <c r="E401">
        <v>8123</v>
      </c>
      <c r="F401">
        <v>9.1999999999999993</v>
      </c>
      <c r="G401">
        <v>6</v>
      </c>
      <c r="H401">
        <v>1.5333333</v>
      </c>
      <c r="I401">
        <v>-0.53333330000000001</v>
      </c>
      <c r="J401">
        <v>0.39473686000000002</v>
      </c>
    </row>
    <row r="402" spans="1:10" x14ac:dyDescent="0.3">
      <c r="A402">
        <v>400</v>
      </c>
      <c r="B402">
        <v>6380</v>
      </c>
      <c r="C402" t="b">
        <v>1</v>
      </c>
      <c r="D402">
        <v>8048</v>
      </c>
      <c r="E402">
        <v>8123</v>
      </c>
      <c r="F402">
        <v>8.8000000000000007</v>
      </c>
      <c r="G402">
        <v>6</v>
      </c>
      <c r="H402">
        <v>1.4666667</v>
      </c>
      <c r="I402">
        <v>-0.46666669999999999</v>
      </c>
      <c r="J402">
        <v>0.40540540000000003</v>
      </c>
    </row>
    <row r="403" spans="1:10" x14ac:dyDescent="0.3">
      <c r="A403">
        <v>401</v>
      </c>
      <c r="B403">
        <v>6396</v>
      </c>
      <c r="C403" t="b">
        <v>1</v>
      </c>
      <c r="D403">
        <v>8048</v>
      </c>
      <c r="E403">
        <v>8123</v>
      </c>
      <c r="F403">
        <v>8.4</v>
      </c>
      <c r="G403">
        <v>6</v>
      </c>
      <c r="H403">
        <v>1.4</v>
      </c>
      <c r="I403">
        <v>-0.39999994999999999</v>
      </c>
      <c r="J403">
        <v>0.4166667</v>
      </c>
    </row>
    <row r="404" spans="1:10" x14ac:dyDescent="0.3">
      <c r="A404">
        <v>402</v>
      </c>
      <c r="B404">
        <v>6412</v>
      </c>
      <c r="C404" t="b">
        <v>1</v>
      </c>
      <c r="D404">
        <v>8048</v>
      </c>
      <c r="E404">
        <v>8123</v>
      </c>
      <c r="F404">
        <v>8</v>
      </c>
      <c r="G404">
        <v>6</v>
      </c>
      <c r="H404">
        <v>1.3333333999999999</v>
      </c>
      <c r="I404">
        <v>-0.33333333999999998</v>
      </c>
      <c r="J404">
        <v>0.42857142999999998</v>
      </c>
    </row>
    <row r="405" spans="1:10" x14ac:dyDescent="0.3">
      <c r="A405">
        <v>403</v>
      </c>
      <c r="B405">
        <v>6428</v>
      </c>
      <c r="C405" t="b">
        <v>1</v>
      </c>
      <c r="D405">
        <v>8048</v>
      </c>
      <c r="E405">
        <v>8123</v>
      </c>
      <c r="F405">
        <v>8</v>
      </c>
      <c r="G405">
        <v>6.4</v>
      </c>
      <c r="H405">
        <v>1.25</v>
      </c>
      <c r="I405">
        <v>-0.24999999000000001</v>
      </c>
      <c r="J405">
        <v>0.44444447999999998</v>
      </c>
    </row>
    <row r="406" spans="1:10" x14ac:dyDescent="0.3">
      <c r="A406">
        <v>404</v>
      </c>
      <c r="B406">
        <v>6444</v>
      </c>
      <c r="C406" t="b">
        <v>1</v>
      </c>
      <c r="D406">
        <v>8048</v>
      </c>
      <c r="E406">
        <v>8123</v>
      </c>
      <c r="F406">
        <v>8</v>
      </c>
      <c r="G406">
        <v>6.8</v>
      </c>
      <c r="H406">
        <v>1.1764705</v>
      </c>
      <c r="I406">
        <v>-0.17647055</v>
      </c>
      <c r="J406">
        <v>0.45945944999999999</v>
      </c>
    </row>
    <row r="407" spans="1:10" x14ac:dyDescent="0.3">
      <c r="A407">
        <v>405</v>
      </c>
      <c r="B407">
        <v>6459</v>
      </c>
      <c r="C407" t="b">
        <v>1</v>
      </c>
      <c r="D407">
        <v>8048</v>
      </c>
      <c r="E407">
        <v>8123</v>
      </c>
      <c r="F407">
        <v>8</v>
      </c>
      <c r="G407">
        <v>7.2</v>
      </c>
      <c r="H407">
        <v>1.1111112000000001</v>
      </c>
      <c r="I407">
        <v>-0.11111114</v>
      </c>
      <c r="J407">
        <v>0.4736842</v>
      </c>
    </row>
    <row r="408" spans="1:10" x14ac:dyDescent="0.3">
      <c r="A408">
        <v>406</v>
      </c>
      <c r="B408">
        <v>6475</v>
      </c>
      <c r="C408" t="b">
        <v>1</v>
      </c>
      <c r="D408">
        <v>8048</v>
      </c>
      <c r="E408">
        <v>8123</v>
      </c>
      <c r="F408">
        <v>8</v>
      </c>
      <c r="G408">
        <v>7.6</v>
      </c>
      <c r="H408">
        <v>1.0526316</v>
      </c>
      <c r="I408">
        <v>-5.2631589999999999E-2</v>
      </c>
      <c r="J408">
        <v>0.48717946000000001</v>
      </c>
    </row>
    <row r="409" spans="1:10" x14ac:dyDescent="0.3">
      <c r="A409">
        <v>407</v>
      </c>
      <c r="B409">
        <v>6491</v>
      </c>
      <c r="C409" t="b">
        <v>1</v>
      </c>
      <c r="D409">
        <v>8048</v>
      </c>
      <c r="E409">
        <v>8123</v>
      </c>
      <c r="F409">
        <v>8</v>
      </c>
      <c r="G409">
        <v>8</v>
      </c>
      <c r="H409">
        <v>1</v>
      </c>
      <c r="I409">
        <v>0</v>
      </c>
      <c r="J409">
        <v>0.5</v>
      </c>
    </row>
    <row r="410" spans="1:10" x14ac:dyDescent="0.3">
      <c r="A410">
        <v>408</v>
      </c>
      <c r="B410">
        <v>6507</v>
      </c>
      <c r="C410" t="b">
        <v>1</v>
      </c>
      <c r="D410">
        <v>8048</v>
      </c>
      <c r="E410">
        <v>8123</v>
      </c>
      <c r="F410">
        <v>8</v>
      </c>
      <c r="G410">
        <v>8</v>
      </c>
      <c r="H410">
        <v>1</v>
      </c>
      <c r="I410">
        <v>0</v>
      </c>
      <c r="J410">
        <v>0.5</v>
      </c>
    </row>
    <row r="411" spans="1:10" x14ac:dyDescent="0.3">
      <c r="A411">
        <v>409</v>
      </c>
      <c r="B411">
        <v>6523</v>
      </c>
      <c r="C411" t="b">
        <v>1</v>
      </c>
      <c r="D411">
        <v>8048</v>
      </c>
      <c r="E411">
        <v>8123</v>
      </c>
      <c r="F411">
        <v>8</v>
      </c>
      <c r="G411">
        <v>8</v>
      </c>
      <c r="H411">
        <v>1</v>
      </c>
      <c r="I411">
        <v>0</v>
      </c>
      <c r="J411">
        <v>0.5</v>
      </c>
    </row>
    <row r="412" spans="1:10" x14ac:dyDescent="0.3">
      <c r="A412">
        <v>410</v>
      </c>
      <c r="B412">
        <v>6539</v>
      </c>
      <c r="C412" t="b">
        <v>1</v>
      </c>
      <c r="D412">
        <v>8048</v>
      </c>
      <c r="E412">
        <v>8123</v>
      </c>
      <c r="F412">
        <v>8</v>
      </c>
      <c r="G412">
        <v>8</v>
      </c>
      <c r="H412">
        <v>1</v>
      </c>
      <c r="I412">
        <v>0</v>
      </c>
      <c r="J412">
        <v>0.5</v>
      </c>
    </row>
    <row r="413" spans="1:10" x14ac:dyDescent="0.3">
      <c r="A413">
        <v>411</v>
      </c>
      <c r="B413">
        <v>6555</v>
      </c>
      <c r="C413" t="b">
        <v>1</v>
      </c>
      <c r="D413">
        <v>8048</v>
      </c>
      <c r="E413">
        <v>8117</v>
      </c>
      <c r="F413">
        <v>8</v>
      </c>
      <c r="G413">
        <v>8</v>
      </c>
      <c r="H413">
        <v>1</v>
      </c>
      <c r="I413">
        <v>0</v>
      </c>
      <c r="J413">
        <v>0.5</v>
      </c>
    </row>
    <row r="414" spans="1:10" x14ac:dyDescent="0.3">
      <c r="A414">
        <v>412</v>
      </c>
      <c r="B414">
        <v>6571</v>
      </c>
      <c r="C414" t="b">
        <v>1</v>
      </c>
      <c r="D414">
        <v>8048</v>
      </c>
      <c r="E414">
        <v>8117</v>
      </c>
      <c r="F414">
        <v>8</v>
      </c>
      <c r="G414">
        <v>8</v>
      </c>
      <c r="H414">
        <v>1</v>
      </c>
      <c r="I414">
        <v>0</v>
      </c>
      <c r="J414">
        <v>0.5</v>
      </c>
    </row>
    <row r="415" spans="1:10" x14ac:dyDescent="0.3">
      <c r="A415">
        <v>413</v>
      </c>
      <c r="B415">
        <v>6587</v>
      </c>
      <c r="C415" t="b">
        <v>1</v>
      </c>
      <c r="D415">
        <v>8048</v>
      </c>
      <c r="E415">
        <v>8123</v>
      </c>
      <c r="F415">
        <v>8</v>
      </c>
      <c r="G415">
        <v>8</v>
      </c>
      <c r="H415">
        <v>1</v>
      </c>
      <c r="I415">
        <v>0</v>
      </c>
      <c r="J415">
        <v>0.5</v>
      </c>
    </row>
    <row r="416" spans="1:10" x14ac:dyDescent="0.3">
      <c r="A416">
        <v>414</v>
      </c>
      <c r="B416">
        <v>6603</v>
      </c>
      <c r="C416" t="b">
        <v>1</v>
      </c>
      <c r="D416">
        <v>8048</v>
      </c>
      <c r="E416">
        <v>8123</v>
      </c>
      <c r="F416">
        <v>8</v>
      </c>
      <c r="G416">
        <v>8</v>
      </c>
      <c r="H416">
        <v>1</v>
      </c>
      <c r="I416">
        <v>0</v>
      </c>
      <c r="J416">
        <v>0.5</v>
      </c>
    </row>
    <row r="417" spans="1:10" x14ac:dyDescent="0.3">
      <c r="A417">
        <v>415</v>
      </c>
      <c r="B417">
        <v>6619</v>
      </c>
      <c r="C417" t="b">
        <v>1</v>
      </c>
      <c r="D417">
        <v>8048</v>
      </c>
      <c r="E417">
        <v>8117</v>
      </c>
      <c r="F417">
        <v>8</v>
      </c>
      <c r="G417">
        <v>7.6</v>
      </c>
      <c r="H417">
        <v>1.0526316</v>
      </c>
      <c r="I417">
        <v>-5.2631589999999999E-2</v>
      </c>
      <c r="J417">
        <v>0.48717946000000001</v>
      </c>
    </row>
    <row r="418" spans="1:10" x14ac:dyDescent="0.3">
      <c r="A418">
        <v>416</v>
      </c>
      <c r="B418">
        <v>6634</v>
      </c>
      <c r="C418" t="b">
        <v>1</v>
      </c>
      <c r="D418">
        <v>8048</v>
      </c>
      <c r="E418">
        <v>8129</v>
      </c>
      <c r="F418">
        <v>8</v>
      </c>
      <c r="G418">
        <v>7.6</v>
      </c>
      <c r="H418">
        <v>1.0526316</v>
      </c>
      <c r="I418">
        <v>-5.2631589999999999E-2</v>
      </c>
      <c r="J418">
        <v>0.48717946000000001</v>
      </c>
    </row>
    <row r="419" spans="1:10" x14ac:dyDescent="0.3">
      <c r="A419">
        <v>417</v>
      </c>
      <c r="B419">
        <v>6651</v>
      </c>
      <c r="C419" t="b">
        <v>1</v>
      </c>
      <c r="D419">
        <v>8048</v>
      </c>
      <c r="E419">
        <v>8117</v>
      </c>
      <c r="F419">
        <v>8</v>
      </c>
      <c r="G419">
        <v>7.6</v>
      </c>
      <c r="H419">
        <v>1.0526316</v>
      </c>
      <c r="I419">
        <v>-5.2631589999999999E-2</v>
      </c>
      <c r="J419">
        <v>0.48717946000000001</v>
      </c>
    </row>
    <row r="420" spans="1:10" x14ac:dyDescent="0.3">
      <c r="A420">
        <v>418</v>
      </c>
      <c r="B420">
        <v>6666</v>
      </c>
      <c r="C420" t="b">
        <v>1</v>
      </c>
      <c r="D420">
        <v>8042</v>
      </c>
      <c r="E420">
        <v>8117</v>
      </c>
      <c r="F420">
        <v>8</v>
      </c>
      <c r="G420">
        <v>7.2</v>
      </c>
      <c r="H420">
        <v>1.1111112000000001</v>
      </c>
      <c r="I420">
        <v>-0.11111114</v>
      </c>
      <c r="J420">
        <v>0.4736842</v>
      </c>
    </row>
    <row r="421" spans="1:10" x14ac:dyDescent="0.3">
      <c r="A421">
        <v>419</v>
      </c>
      <c r="B421">
        <v>6682</v>
      </c>
      <c r="C421" t="b">
        <v>1</v>
      </c>
      <c r="D421">
        <v>8048</v>
      </c>
      <c r="E421">
        <v>8117</v>
      </c>
      <c r="F421">
        <v>8</v>
      </c>
      <c r="G421">
        <v>6.8</v>
      </c>
      <c r="H421">
        <v>1.1764705</v>
      </c>
      <c r="I421">
        <v>-0.17647055</v>
      </c>
      <c r="J421">
        <v>0.45945944999999999</v>
      </c>
    </row>
    <row r="422" spans="1:10" x14ac:dyDescent="0.3">
      <c r="A422">
        <v>420</v>
      </c>
      <c r="B422">
        <v>6698</v>
      </c>
      <c r="C422" t="b">
        <v>1</v>
      </c>
      <c r="D422">
        <v>8048</v>
      </c>
      <c r="E422">
        <v>8117</v>
      </c>
      <c r="F422">
        <v>8</v>
      </c>
      <c r="G422">
        <v>6.4</v>
      </c>
      <c r="H422">
        <v>1.25</v>
      </c>
      <c r="I422">
        <v>-0.24999999000000001</v>
      </c>
      <c r="J422">
        <v>0.44444447999999998</v>
      </c>
    </row>
    <row r="423" spans="1:10" x14ac:dyDescent="0.3">
      <c r="A423">
        <v>421</v>
      </c>
      <c r="B423">
        <v>6714</v>
      </c>
      <c r="C423" t="b">
        <v>1</v>
      </c>
      <c r="D423">
        <v>8048</v>
      </c>
      <c r="E423">
        <v>8123</v>
      </c>
      <c r="F423">
        <v>8</v>
      </c>
      <c r="G423">
        <v>6</v>
      </c>
      <c r="H423">
        <v>1.3333333999999999</v>
      </c>
      <c r="I423">
        <v>-0.33333333999999998</v>
      </c>
      <c r="J423">
        <v>0.42857142999999998</v>
      </c>
    </row>
    <row r="424" spans="1:10" x14ac:dyDescent="0.3">
      <c r="A424">
        <v>422</v>
      </c>
      <c r="B424">
        <v>6730</v>
      </c>
      <c r="C424" t="b">
        <v>1</v>
      </c>
      <c r="D424">
        <v>8048</v>
      </c>
      <c r="E424">
        <v>8117</v>
      </c>
      <c r="F424">
        <v>8</v>
      </c>
      <c r="G424">
        <v>5.6</v>
      </c>
      <c r="H424">
        <v>1.4285715000000001</v>
      </c>
      <c r="I424">
        <v>-0.42857146000000002</v>
      </c>
      <c r="J424">
        <v>0.41176467999999999</v>
      </c>
    </row>
    <row r="425" spans="1:10" x14ac:dyDescent="0.3">
      <c r="A425">
        <v>423</v>
      </c>
      <c r="B425">
        <v>6755</v>
      </c>
      <c r="C425" t="b">
        <v>1</v>
      </c>
      <c r="D425">
        <v>8048</v>
      </c>
      <c r="E425">
        <v>8117</v>
      </c>
      <c r="F425">
        <v>8</v>
      </c>
      <c r="G425">
        <v>5.2</v>
      </c>
      <c r="H425">
        <v>1.5384616</v>
      </c>
      <c r="I425">
        <v>-0.53846156999999994</v>
      </c>
      <c r="J425">
        <v>0.39393938000000001</v>
      </c>
    </row>
    <row r="426" spans="1:10" x14ac:dyDescent="0.3">
      <c r="A426">
        <v>424</v>
      </c>
      <c r="B426">
        <v>6771</v>
      </c>
      <c r="C426" t="b">
        <v>1</v>
      </c>
      <c r="D426">
        <v>8048</v>
      </c>
      <c r="E426">
        <v>8117</v>
      </c>
      <c r="F426">
        <v>8</v>
      </c>
      <c r="G426">
        <v>4.8</v>
      </c>
      <c r="H426">
        <v>1.6666666000000001</v>
      </c>
      <c r="I426">
        <v>-0.6666666</v>
      </c>
      <c r="J426">
        <v>0.375</v>
      </c>
    </row>
    <row r="427" spans="1:10" x14ac:dyDescent="0.3">
      <c r="A427">
        <v>425</v>
      </c>
      <c r="B427">
        <v>6787</v>
      </c>
      <c r="C427" t="b">
        <v>1</v>
      </c>
      <c r="D427">
        <v>8048</v>
      </c>
      <c r="E427">
        <v>8111</v>
      </c>
      <c r="F427">
        <v>8</v>
      </c>
      <c r="G427">
        <v>4.4000000000000004</v>
      </c>
      <c r="H427">
        <v>1.8181818000000001</v>
      </c>
      <c r="I427">
        <v>-0.81818175000000004</v>
      </c>
      <c r="J427">
        <v>0.35483872999999999</v>
      </c>
    </row>
    <row r="428" spans="1:10" x14ac:dyDescent="0.3">
      <c r="A428">
        <v>426</v>
      </c>
      <c r="B428">
        <v>6803</v>
      </c>
      <c r="C428" t="b">
        <v>1</v>
      </c>
      <c r="D428">
        <v>8042</v>
      </c>
      <c r="E428">
        <v>8117</v>
      </c>
      <c r="F428">
        <v>8</v>
      </c>
      <c r="G428">
        <v>4</v>
      </c>
      <c r="H428">
        <v>2</v>
      </c>
      <c r="I428">
        <v>-1</v>
      </c>
      <c r="J428">
        <v>0.33333333999999998</v>
      </c>
    </row>
    <row r="429" spans="1:10" x14ac:dyDescent="0.3">
      <c r="A429">
        <v>427</v>
      </c>
      <c r="B429">
        <v>6819</v>
      </c>
      <c r="C429" t="b">
        <v>1</v>
      </c>
      <c r="D429">
        <v>8048</v>
      </c>
      <c r="E429">
        <v>8111</v>
      </c>
      <c r="F429">
        <v>8</v>
      </c>
      <c r="G429">
        <v>3.6</v>
      </c>
      <c r="H429">
        <v>2.2222222999999999</v>
      </c>
      <c r="I429">
        <v>-1.2222223000000001</v>
      </c>
      <c r="J429">
        <v>0.31034482000000002</v>
      </c>
    </row>
    <row r="430" spans="1:10" x14ac:dyDescent="0.3">
      <c r="A430">
        <v>428</v>
      </c>
      <c r="B430">
        <v>6835</v>
      </c>
      <c r="C430" t="b">
        <v>1</v>
      </c>
      <c r="D430">
        <v>8048</v>
      </c>
      <c r="E430">
        <v>8111</v>
      </c>
      <c r="F430">
        <v>8</v>
      </c>
      <c r="G430">
        <v>2.8</v>
      </c>
      <c r="H430">
        <v>2.8571430000000002</v>
      </c>
      <c r="I430">
        <v>-1.8571428000000001</v>
      </c>
      <c r="J430">
        <v>0.25925925</v>
      </c>
    </row>
    <row r="431" spans="1:10" x14ac:dyDescent="0.3">
      <c r="A431">
        <v>429</v>
      </c>
      <c r="B431">
        <v>6851</v>
      </c>
      <c r="C431" t="b">
        <v>1</v>
      </c>
      <c r="D431">
        <v>8048</v>
      </c>
      <c r="E431">
        <v>8123</v>
      </c>
      <c r="F431">
        <v>8</v>
      </c>
      <c r="G431">
        <v>2</v>
      </c>
      <c r="H431">
        <v>4</v>
      </c>
      <c r="I431">
        <v>-3</v>
      </c>
      <c r="J431">
        <v>0.2</v>
      </c>
    </row>
    <row r="432" spans="1:10" x14ac:dyDescent="0.3">
      <c r="A432">
        <v>430</v>
      </c>
      <c r="B432">
        <v>6867</v>
      </c>
      <c r="C432" t="b">
        <v>1</v>
      </c>
      <c r="D432">
        <v>8048</v>
      </c>
      <c r="E432">
        <v>8123</v>
      </c>
      <c r="F432">
        <v>8</v>
      </c>
      <c r="G432">
        <v>2</v>
      </c>
      <c r="H432">
        <v>4</v>
      </c>
      <c r="I432">
        <v>-3</v>
      </c>
      <c r="J432">
        <v>0.2</v>
      </c>
    </row>
    <row r="433" spans="1:10" x14ac:dyDescent="0.3">
      <c r="A433">
        <v>431</v>
      </c>
      <c r="B433">
        <v>6882</v>
      </c>
      <c r="C433" t="b">
        <v>1</v>
      </c>
      <c r="D433">
        <v>8054</v>
      </c>
      <c r="E433">
        <v>8123</v>
      </c>
      <c r="F433">
        <v>8</v>
      </c>
      <c r="G433">
        <v>2</v>
      </c>
      <c r="H433">
        <v>4</v>
      </c>
      <c r="I433">
        <v>-3</v>
      </c>
      <c r="J433">
        <v>0.2</v>
      </c>
    </row>
    <row r="434" spans="1:10" x14ac:dyDescent="0.3">
      <c r="A434">
        <v>432</v>
      </c>
      <c r="B434">
        <v>6899</v>
      </c>
      <c r="C434" t="b">
        <v>1</v>
      </c>
      <c r="D434">
        <v>8054</v>
      </c>
      <c r="E434">
        <v>8123</v>
      </c>
      <c r="F434">
        <v>8</v>
      </c>
      <c r="G434">
        <v>2</v>
      </c>
      <c r="H434">
        <v>4</v>
      </c>
      <c r="I434">
        <v>-3</v>
      </c>
      <c r="J434">
        <v>0.2</v>
      </c>
    </row>
    <row r="435" spans="1:10" x14ac:dyDescent="0.3">
      <c r="A435">
        <v>433</v>
      </c>
      <c r="B435">
        <v>6914</v>
      </c>
      <c r="C435" t="b">
        <v>1</v>
      </c>
      <c r="D435">
        <v>8048</v>
      </c>
      <c r="E435">
        <v>8123</v>
      </c>
      <c r="F435">
        <v>8</v>
      </c>
      <c r="G435">
        <v>2.4</v>
      </c>
      <c r="H435">
        <v>3.3333333000000001</v>
      </c>
      <c r="I435">
        <v>-2.3333333000000001</v>
      </c>
      <c r="J435">
        <v>0.23076925000000001</v>
      </c>
    </row>
    <row r="436" spans="1:10" x14ac:dyDescent="0.3">
      <c r="A436">
        <v>434</v>
      </c>
      <c r="B436">
        <v>6930</v>
      </c>
      <c r="C436" t="b">
        <v>1</v>
      </c>
      <c r="D436">
        <v>8048</v>
      </c>
      <c r="E436">
        <v>8117</v>
      </c>
      <c r="F436">
        <v>8</v>
      </c>
      <c r="G436">
        <v>2.8</v>
      </c>
      <c r="H436">
        <v>2.8571430000000002</v>
      </c>
      <c r="I436">
        <v>-1.8571428000000001</v>
      </c>
      <c r="J436">
        <v>0.25925925</v>
      </c>
    </row>
    <row r="437" spans="1:10" x14ac:dyDescent="0.3">
      <c r="A437">
        <v>435</v>
      </c>
      <c r="B437">
        <v>6946</v>
      </c>
      <c r="C437" t="b">
        <v>1</v>
      </c>
      <c r="D437">
        <v>8048</v>
      </c>
      <c r="E437">
        <v>8123</v>
      </c>
      <c r="F437">
        <v>8</v>
      </c>
      <c r="G437">
        <v>3.2</v>
      </c>
      <c r="H437">
        <v>2.5</v>
      </c>
      <c r="I437">
        <v>-1.5</v>
      </c>
      <c r="J437">
        <v>0.28571429999999998</v>
      </c>
    </row>
    <row r="438" spans="1:10" x14ac:dyDescent="0.3">
      <c r="A438">
        <v>436</v>
      </c>
      <c r="B438">
        <v>6962</v>
      </c>
      <c r="C438" t="b">
        <v>1</v>
      </c>
      <c r="D438">
        <v>8048</v>
      </c>
      <c r="E438">
        <v>8123</v>
      </c>
      <c r="F438">
        <v>8</v>
      </c>
      <c r="G438">
        <v>3.6</v>
      </c>
      <c r="H438">
        <v>2.2222222999999999</v>
      </c>
      <c r="I438">
        <v>-1.2222223000000001</v>
      </c>
      <c r="J438">
        <v>0.31034482000000002</v>
      </c>
    </row>
    <row r="439" spans="1:10" x14ac:dyDescent="0.3">
      <c r="A439">
        <v>437</v>
      </c>
      <c r="B439">
        <v>6977</v>
      </c>
      <c r="C439" t="b">
        <v>1</v>
      </c>
      <c r="D439">
        <v>8048</v>
      </c>
      <c r="E439">
        <v>8123</v>
      </c>
      <c r="F439">
        <v>8</v>
      </c>
      <c r="G439">
        <v>4</v>
      </c>
      <c r="H439">
        <v>2</v>
      </c>
      <c r="I439">
        <v>-1</v>
      </c>
      <c r="J439">
        <v>0.33333333999999998</v>
      </c>
    </row>
    <row r="440" spans="1:10" x14ac:dyDescent="0.3">
      <c r="A440">
        <v>438</v>
      </c>
      <c r="B440">
        <v>6993</v>
      </c>
      <c r="C440" t="b">
        <v>1</v>
      </c>
      <c r="D440">
        <v>8048</v>
      </c>
      <c r="E440">
        <v>8129</v>
      </c>
      <c r="F440">
        <v>8</v>
      </c>
      <c r="G440">
        <v>4.4000000000000004</v>
      </c>
      <c r="H440">
        <v>1.8181818000000001</v>
      </c>
      <c r="I440">
        <v>-0.81818175000000004</v>
      </c>
      <c r="J440">
        <v>0.35483872999999999</v>
      </c>
    </row>
    <row r="441" spans="1:10" x14ac:dyDescent="0.3">
      <c r="A441">
        <v>439</v>
      </c>
      <c r="B441">
        <v>7009</v>
      </c>
      <c r="C441" t="b">
        <v>1</v>
      </c>
      <c r="D441">
        <v>8048</v>
      </c>
      <c r="E441">
        <v>8123</v>
      </c>
      <c r="F441">
        <v>8</v>
      </c>
      <c r="G441">
        <v>4.8</v>
      </c>
      <c r="H441">
        <v>1.6666666000000001</v>
      </c>
      <c r="I441">
        <v>-0.6666666</v>
      </c>
      <c r="J441">
        <v>0.375</v>
      </c>
    </row>
    <row r="442" spans="1:10" x14ac:dyDescent="0.3">
      <c r="A442">
        <v>440</v>
      </c>
      <c r="B442">
        <v>7025</v>
      </c>
      <c r="C442" t="b">
        <v>1</v>
      </c>
      <c r="D442">
        <v>8042</v>
      </c>
      <c r="E442">
        <v>8123</v>
      </c>
      <c r="F442">
        <v>8</v>
      </c>
      <c r="G442">
        <v>5.2</v>
      </c>
      <c r="H442">
        <v>1.5384616</v>
      </c>
      <c r="I442">
        <v>-0.53846156999999994</v>
      </c>
      <c r="J442">
        <v>0.39393938000000001</v>
      </c>
    </row>
    <row r="443" spans="1:10" x14ac:dyDescent="0.3">
      <c r="A443">
        <v>441</v>
      </c>
      <c r="B443">
        <v>7041</v>
      </c>
      <c r="C443" t="b">
        <v>1</v>
      </c>
      <c r="D443">
        <v>8048</v>
      </c>
      <c r="E443">
        <v>8117</v>
      </c>
      <c r="F443">
        <v>8</v>
      </c>
      <c r="G443">
        <v>5.6</v>
      </c>
      <c r="H443">
        <v>1.4285715000000001</v>
      </c>
      <c r="I443">
        <v>-0.42857146000000002</v>
      </c>
      <c r="J443">
        <v>0.41176467999999999</v>
      </c>
    </row>
    <row r="444" spans="1:10" x14ac:dyDescent="0.3">
      <c r="A444">
        <v>442</v>
      </c>
      <c r="B444">
        <v>7056</v>
      </c>
      <c r="C444" t="b">
        <v>1</v>
      </c>
      <c r="D444">
        <v>8048</v>
      </c>
      <c r="E444">
        <v>8123</v>
      </c>
      <c r="F444">
        <v>8</v>
      </c>
      <c r="G444">
        <v>6</v>
      </c>
      <c r="H444">
        <v>1.3333333999999999</v>
      </c>
      <c r="I444">
        <v>-0.33333333999999998</v>
      </c>
      <c r="J444">
        <v>0.42857142999999998</v>
      </c>
    </row>
    <row r="445" spans="1:10" x14ac:dyDescent="0.3">
      <c r="A445">
        <v>443</v>
      </c>
      <c r="B445">
        <v>7072</v>
      </c>
      <c r="C445" t="b">
        <v>1</v>
      </c>
      <c r="D445">
        <v>8048</v>
      </c>
      <c r="E445">
        <v>8117</v>
      </c>
      <c r="F445">
        <v>8</v>
      </c>
      <c r="G445">
        <v>6.8</v>
      </c>
      <c r="H445">
        <v>1.1764705</v>
      </c>
      <c r="I445">
        <v>-0.17647055</v>
      </c>
      <c r="J445">
        <v>0.45945944999999999</v>
      </c>
    </row>
    <row r="446" spans="1:10" x14ac:dyDescent="0.3">
      <c r="A446">
        <v>444</v>
      </c>
      <c r="B446">
        <v>7088</v>
      </c>
      <c r="C446" t="b">
        <v>1</v>
      </c>
      <c r="D446">
        <v>8048</v>
      </c>
      <c r="E446">
        <v>8117</v>
      </c>
      <c r="F446">
        <v>8</v>
      </c>
      <c r="G446">
        <v>7.2</v>
      </c>
      <c r="H446">
        <v>1.1111112000000001</v>
      </c>
      <c r="I446">
        <v>-0.11111114</v>
      </c>
      <c r="J446">
        <v>0.4736842</v>
      </c>
    </row>
    <row r="447" spans="1:10" x14ac:dyDescent="0.3">
      <c r="A447">
        <v>445</v>
      </c>
      <c r="B447">
        <v>7104</v>
      </c>
      <c r="C447" t="b">
        <v>1</v>
      </c>
      <c r="D447">
        <v>8048</v>
      </c>
      <c r="E447">
        <v>8123</v>
      </c>
      <c r="F447">
        <v>8</v>
      </c>
      <c r="G447">
        <v>7.2</v>
      </c>
      <c r="H447">
        <v>1.1111112000000001</v>
      </c>
      <c r="I447">
        <v>-0.11111114</v>
      </c>
      <c r="J447">
        <v>0.4736842</v>
      </c>
    </row>
    <row r="448" spans="1:10" x14ac:dyDescent="0.3">
      <c r="A448">
        <v>446</v>
      </c>
      <c r="B448">
        <v>7120</v>
      </c>
      <c r="C448" t="b">
        <v>1</v>
      </c>
      <c r="D448">
        <v>8048</v>
      </c>
      <c r="E448">
        <v>8123</v>
      </c>
      <c r="F448">
        <v>8</v>
      </c>
      <c r="G448">
        <v>7.2</v>
      </c>
      <c r="H448">
        <v>1.1111112000000001</v>
      </c>
      <c r="I448">
        <v>-0.11111114</v>
      </c>
      <c r="J448">
        <v>0.4736842</v>
      </c>
    </row>
    <row r="449" spans="1:10" x14ac:dyDescent="0.3">
      <c r="A449">
        <v>447</v>
      </c>
      <c r="B449">
        <v>7136</v>
      </c>
      <c r="C449" t="b">
        <v>1</v>
      </c>
      <c r="D449">
        <v>8048</v>
      </c>
      <c r="E449">
        <v>8117</v>
      </c>
      <c r="F449">
        <v>8</v>
      </c>
      <c r="G449">
        <v>6.8</v>
      </c>
      <c r="H449">
        <v>1.1764705</v>
      </c>
      <c r="I449">
        <v>-0.17647055</v>
      </c>
      <c r="J449">
        <v>0.45945944999999999</v>
      </c>
    </row>
    <row r="450" spans="1:10" x14ac:dyDescent="0.3">
      <c r="A450">
        <v>448</v>
      </c>
      <c r="B450">
        <v>7152</v>
      </c>
      <c r="C450" t="b">
        <v>1</v>
      </c>
      <c r="D450">
        <v>8048</v>
      </c>
      <c r="E450">
        <v>8123</v>
      </c>
      <c r="F450">
        <v>8</v>
      </c>
      <c r="G450">
        <v>6.8</v>
      </c>
      <c r="H450">
        <v>1.1764705</v>
      </c>
      <c r="I450">
        <v>-0.17647055</v>
      </c>
      <c r="J450">
        <v>0.45945944999999999</v>
      </c>
    </row>
    <row r="451" spans="1:10" x14ac:dyDescent="0.3">
      <c r="A451">
        <v>449</v>
      </c>
      <c r="B451">
        <v>7167</v>
      </c>
      <c r="C451" t="b">
        <v>1</v>
      </c>
      <c r="D451">
        <v>8048</v>
      </c>
      <c r="E451">
        <v>8123</v>
      </c>
      <c r="F451">
        <v>8</v>
      </c>
      <c r="G451">
        <v>6.8</v>
      </c>
      <c r="H451">
        <v>1.1764705</v>
      </c>
      <c r="I451">
        <v>-0.17647055</v>
      </c>
      <c r="J451">
        <v>0.45945944999999999</v>
      </c>
    </row>
    <row r="452" spans="1:10" x14ac:dyDescent="0.3">
      <c r="A452">
        <v>450</v>
      </c>
      <c r="B452">
        <v>7183</v>
      </c>
      <c r="C452" t="b">
        <v>1</v>
      </c>
      <c r="D452">
        <v>8048</v>
      </c>
      <c r="E452">
        <v>8129</v>
      </c>
      <c r="F452">
        <v>8</v>
      </c>
      <c r="G452">
        <v>6.8</v>
      </c>
      <c r="H452">
        <v>1.1764705</v>
      </c>
      <c r="I452">
        <v>-0.17647055</v>
      </c>
      <c r="J452">
        <v>0.45945944999999999</v>
      </c>
    </row>
    <row r="453" spans="1:10" x14ac:dyDescent="0.3">
      <c r="A453">
        <v>451</v>
      </c>
      <c r="B453">
        <v>7200</v>
      </c>
      <c r="C453" t="b">
        <v>1</v>
      </c>
      <c r="D453">
        <v>8048</v>
      </c>
      <c r="E453">
        <v>8123</v>
      </c>
      <c r="F453">
        <v>8</v>
      </c>
      <c r="G453">
        <v>6.8</v>
      </c>
      <c r="H453">
        <v>1.1764705</v>
      </c>
      <c r="I453">
        <v>-0.17647055</v>
      </c>
      <c r="J453">
        <v>0.45945944999999999</v>
      </c>
    </row>
    <row r="454" spans="1:10" x14ac:dyDescent="0.3">
      <c r="A454">
        <v>452</v>
      </c>
      <c r="B454">
        <v>7215</v>
      </c>
      <c r="C454" t="b">
        <v>1</v>
      </c>
      <c r="D454">
        <v>8048</v>
      </c>
      <c r="E454">
        <v>8123</v>
      </c>
      <c r="F454">
        <v>8</v>
      </c>
      <c r="G454">
        <v>6.8</v>
      </c>
      <c r="H454">
        <v>1.1764705</v>
      </c>
      <c r="I454">
        <v>-0.17647055</v>
      </c>
      <c r="J454">
        <v>0.45945944999999999</v>
      </c>
    </row>
    <row r="455" spans="1:10" x14ac:dyDescent="0.3">
      <c r="A455">
        <v>453</v>
      </c>
      <c r="B455">
        <v>7231</v>
      </c>
      <c r="C455" t="b">
        <v>1</v>
      </c>
      <c r="D455">
        <v>8048</v>
      </c>
      <c r="E455">
        <v>8123</v>
      </c>
      <c r="F455">
        <v>8</v>
      </c>
      <c r="G455">
        <v>6.8</v>
      </c>
      <c r="H455">
        <v>1.1764705</v>
      </c>
      <c r="I455">
        <v>-0.17647055</v>
      </c>
      <c r="J455">
        <v>0.45945944999999999</v>
      </c>
    </row>
    <row r="456" spans="1:10" x14ac:dyDescent="0.3">
      <c r="A456">
        <v>454</v>
      </c>
      <c r="B456">
        <v>7247</v>
      </c>
      <c r="C456" t="b">
        <v>1</v>
      </c>
      <c r="D456">
        <v>8042</v>
      </c>
      <c r="E456">
        <v>8123</v>
      </c>
      <c r="F456">
        <v>8</v>
      </c>
      <c r="G456">
        <v>6.8</v>
      </c>
      <c r="H456">
        <v>1.1764705</v>
      </c>
      <c r="I456">
        <v>-0.17647055</v>
      </c>
      <c r="J456">
        <v>0.45945944999999999</v>
      </c>
    </row>
    <row r="457" spans="1:10" x14ac:dyDescent="0.3">
      <c r="A457">
        <v>455</v>
      </c>
      <c r="B457">
        <v>7263</v>
      </c>
      <c r="C457" t="b">
        <v>1</v>
      </c>
      <c r="D457">
        <v>8048</v>
      </c>
      <c r="E457">
        <v>8123</v>
      </c>
      <c r="F457">
        <v>8</v>
      </c>
      <c r="G457">
        <v>6.8</v>
      </c>
      <c r="H457">
        <v>1.1764705</v>
      </c>
      <c r="I457">
        <v>-0.17647055</v>
      </c>
      <c r="J457">
        <v>0.45945944999999999</v>
      </c>
    </row>
    <row r="458" spans="1:10" x14ac:dyDescent="0.3">
      <c r="A458">
        <v>456</v>
      </c>
      <c r="B458">
        <v>7279</v>
      </c>
      <c r="C458" t="b">
        <v>1</v>
      </c>
      <c r="D458">
        <v>8048</v>
      </c>
      <c r="E458">
        <v>8117</v>
      </c>
      <c r="F458">
        <v>8</v>
      </c>
      <c r="G458">
        <v>6.8</v>
      </c>
      <c r="H458">
        <v>1.1764705</v>
      </c>
      <c r="I458">
        <v>-0.17647055</v>
      </c>
      <c r="J458">
        <v>0.45945944999999999</v>
      </c>
    </row>
    <row r="459" spans="1:10" x14ac:dyDescent="0.3">
      <c r="A459">
        <v>457</v>
      </c>
      <c r="B459">
        <v>7294</v>
      </c>
      <c r="C459" t="b">
        <v>1</v>
      </c>
      <c r="D459">
        <v>8048</v>
      </c>
      <c r="E459">
        <v>8123</v>
      </c>
      <c r="F459">
        <v>8</v>
      </c>
      <c r="G459">
        <v>6.8</v>
      </c>
      <c r="H459">
        <v>1.1764705</v>
      </c>
      <c r="I459">
        <v>-0.17647055</v>
      </c>
      <c r="J459">
        <v>0.45945944999999999</v>
      </c>
    </row>
    <row r="460" spans="1:10" x14ac:dyDescent="0.3">
      <c r="A460">
        <v>458</v>
      </c>
      <c r="B460">
        <v>7310</v>
      </c>
      <c r="C460" t="b">
        <v>1</v>
      </c>
      <c r="D460">
        <v>8048</v>
      </c>
      <c r="E460">
        <v>8117</v>
      </c>
      <c r="F460">
        <v>8</v>
      </c>
      <c r="G460">
        <v>6.8</v>
      </c>
      <c r="H460">
        <v>1.1764705</v>
      </c>
      <c r="I460">
        <v>-0.17647055</v>
      </c>
      <c r="J460">
        <v>0.45945944999999999</v>
      </c>
    </row>
    <row r="461" spans="1:10" x14ac:dyDescent="0.3">
      <c r="A461">
        <v>459</v>
      </c>
      <c r="B461">
        <v>7326</v>
      </c>
      <c r="C461" t="b">
        <v>1</v>
      </c>
      <c r="D461">
        <v>8048</v>
      </c>
      <c r="E461">
        <v>8123</v>
      </c>
      <c r="F461">
        <v>8</v>
      </c>
      <c r="G461">
        <v>7.2</v>
      </c>
      <c r="H461">
        <v>1.1111112000000001</v>
      </c>
      <c r="I461">
        <v>-0.11111114</v>
      </c>
      <c r="J461">
        <v>0.4736842</v>
      </c>
    </row>
    <row r="462" spans="1:10" x14ac:dyDescent="0.3">
      <c r="A462">
        <v>460</v>
      </c>
      <c r="B462">
        <v>7342</v>
      </c>
      <c r="C462" t="b">
        <v>1</v>
      </c>
      <c r="D462">
        <v>8048</v>
      </c>
      <c r="E462">
        <v>8123</v>
      </c>
      <c r="F462">
        <v>8</v>
      </c>
      <c r="G462">
        <v>7.6</v>
      </c>
      <c r="H462">
        <v>1.0526316</v>
      </c>
      <c r="I462">
        <v>-5.2631589999999999E-2</v>
      </c>
      <c r="J462">
        <v>0.48717946000000001</v>
      </c>
    </row>
    <row r="463" spans="1:10" x14ac:dyDescent="0.3">
      <c r="A463">
        <v>461</v>
      </c>
      <c r="B463">
        <v>7358</v>
      </c>
      <c r="C463" t="b">
        <v>1</v>
      </c>
      <c r="D463">
        <v>8054</v>
      </c>
      <c r="E463">
        <v>8123</v>
      </c>
      <c r="F463">
        <v>8</v>
      </c>
      <c r="G463">
        <v>7.6</v>
      </c>
      <c r="H463">
        <v>1.0526316</v>
      </c>
      <c r="I463">
        <v>-5.2631589999999999E-2</v>
      </c>
      <c r="J463">
        <v>0.48717946000000001</v>
      </c>
    </row>
    <row r="464" spans="1:10" x14ac:dyDescent="0.3">
      <c r="A464">
        <v>462</v>
      </c>
      <c r="B464">
        <v>7374</v>
      </c>
      <c r="C464" t="b">
        <v>1</v>
      </c>
      <c r="D464">
        <v>8048</v>
      </c>
      <c r="E464">
        <v>8123</v>
      </c>
      <c r="F464">
        <v>8</v>
      </c>
      <c r="G464">
        <v>8</v>
      </c>
      <c r="H464">
        <v>1</v>
      </c>
      <c r="I464">
        <v>0</v>
      </c>
      <c r="J464">
        <v>0.5</v>
      </c>
    </row>
    <row r="465" spans="1:10" x14ac:dyDescent="0.3">
      <c r="A465">
        <v>463</v>
      </c>
      <c r="B465">
        <v>7389</v>
      </c>
      <c r="C465" t="b">
        <v>1</v>
      </c>
      <c r="D465">
        <v>8048</v>
      </c>
      <c r="E465">
        <v>8123</v>
      </c>
      <c r="F465">
        <v>8</v>
      </c>
      <c r="G465">
        <v>8</v>
      </c>
      <c r="H465">
        <v>1</v>
      </c>
      <c r="I465">
        <v>0</v>
      </c>
      <c r="J465">
        <v>0.5</v>
      </c>
    </row>
    <row r="466" spans="1:10" x14ac:dyDescent="0.3">
      <c r="A466">
        <v>464</v>
      </c>
      <c r="B466">
        <v>7405</v>
      </c>
      <c r="C466" t="b">
        <v>1</v>
      </c>
      <c r="D466">
        <v>8048</v>
      </c>
      <c r="E466">
        <v>8123</v>
      </c>
      <c r="F466">
        <v>8</v>
      </c>
      <c r="G466">
        <v>8</v>
      </c>
      <c r="H466">
        <v>1</v>
      </c>
      <c r="I466">
        <v>0</v>
      </c>
      <c r="J466">
        <v>0.5</v>
      </c>
    </row>
    <row r="467" spans="1:10" x14ac:dyDescent="0.3">
      <c r="A467">
        <v>465</v>
      </c>
      <c r="B467">
        <v>7421</v>
      </c>
      <c r="C467" t="b">
        <v>1</v>
      </c>
      <c r="D467">
        <v>8048</v>
      </c>
      <c r="E467">
        <v>8123</v>
      </c>
      <c r="F467">
        <v>8</v>
      </c>
      <c r="G467">
        <v>8</v>
      </c>
      <c r="H467">
        <v>1</v>
      </c>
      <c r="I467">
        <v>0</v>
      </c>
      <c r="J467">
        <v>0.5</v>
      </c>
    </row>
    <row r="468" spans="1:10" x14ac:dyDescent="0.3">
      <c r="A468">
        <v>466</v>
      </c>
      <c r="B468">
        <v>7437</v>
      </c>
      <c r="C468" t="b">
        <v>1</v>
      </c>
      <c r="D468">
        <v>8048</v>
      </c>
      <c r="E468">
        <v>8123</v>
      </c>
      <c r="F468">
        <v>8</v>
      </c>
      <c r="G468">
        <v>8</v>
      </c>
      <c r="H468">
        <v>1</v>
      </c>
      <c r="I468">
        <v>0</v>
      </c>
      <c r="J468">
        <v>0.5</v>
      </c>
    </row>
    <row r="469" spans="1:10" x14ac:dyDescent="0.3">
      <c r="A469">
        <v>467</v>
      </c>
      <c r="B469">
        <v>7453</v>
      </c>
      <c r="C469" t="b">
        <v>1</v>
      </c>
      <c r="D469">
        <v>8048</v>
      </c>
      <c r="E469">
        <v>8123</v>
      </c>
      <c r="F469">
        <v>8</v>
      </c>
      <c r="G469">
        <v>8</v>
      </c>
      <c r="H469">
        <v>1</v>
      </c>
      <c r="I469">
        <v>0</v>
      </c>
      <c r="J469">
        <v>0.5</v>
      </c>
    </row>
    <row r="470" spans="1:10" x14ac:dyDescent="0.3">
      <c r="A470">
        <v>468</v>
      </c>
      <c r="B470">
        <v>7469</v>
      </c>
      <c r="C470" t="b">
        <v>1</v>
      </c>
      <c r="D470">
        <v>8048</v>
      </c>
      <c r="E470">
        <v>8123</v>
      </c>
      <c r="F470">
        <v>8</v>
      </c>
      <c r="G470">
        <v>8</v>
      </c>
      <c r="H470">
        <v>1</v>
      </c>
      <c r="I470">
        <v>0</v>
      </c>
      <c r="J470">
        <v>0.5</v>
      </c>
    </row>
    <row r="471" spans="1:10" x14ac:dyDescent="0.3">
      <c r="A471">
        <v>469</v>
      </c>
      <c r="B471">
        <v>7485</v>
      </c>
      <c r="C471" t="b">
        <v>1</v>
      </c>
      <c r="D471">
        <v>8048</v>
      </c>
      <c r="E471">
        <v>8123</v>
      </c>
      <c r="F471">
        <v>8</v>
      </c>
      <c r="G471">
        <v>8</v>
      </c>
      <c r="H471">
        <v>1</v>
      </c>
      <c r="I471">
        <v>0</v>
      </c>
      <c r="J471">
        <v>0.5</v>
      </c>
    </row>
    <row r="472" spans="1:10" x14ac:dyDescent="0.3">
      <c r="A472">
        <v>470</v>
      </c>
      <c r="B472">
        <v>7501</v>
      </c>
      <c r="C472" t="b">
        <v>1</v>
      </c>
      <c r="D472">
        <v>8054</v>
      </c>
      <c r="E472">
        <v>8123</v>
      </c>
      <c r="F472">
        <v>8</v>
      </c>
      <c r="G472">
        <v>8</v>
      </c>
      <c r="H472">
        <v>1</v>
      </c>
      <c r="I472">
        <v>0</v>
      </c>
      <c r="J472">
        <v>0.5</v>
      </c>
    </row>
    <row r="473" spans="1:10" x14ac:dyDescent="0.3">
      <c r="A473">
        <v>471</v>
      </c>
      <c r="B473">
        <v>7517</v>
      </c>
      <c r="C473" t="b">
        <v>1</v>
      </c>
      <c r="D473">
        <v>8042</v>
      </c>
      <c r="E473">
        <v>8117</v>
      </c>
      <c r="F473">
        <v>8</v>
      </c>
      <c r="G473">
        <v>8</v>
      </c>
      <c r="H473">
        <v>1</v>
      </c>
      <c r="I473">
        <v>0</v>
      </c>
      <c r="J473">
        <v>0.5</v>
      </c>
    </row>
    <row r="474" spans="1:10" x14ac:dyDescent="0.3">
      <c r="A474">
        <v>472</v>
      </c>
      <c r="B474">
        <v>7533</v>
      </c>
      <c r="C474" t="b">
        <v>1</v>
      </c>
      <c r="D474">
        <v>8048</v>
      </c>
      <c r="E474">
        <v>8123</v>
      </c>
      <c r="F474">
        <v>8</v>
      </c>
      <c r="G474">
        <v>8</v>
      </c>
      <c r="H474">
        <v>1</v>
      </c>
      <c r="I474">
        <v>0</v>
      </c>
      <c r="J474">
        <v>0.5</v>
      </c>
    </row>
    <row r="475" spans="1:10" x14ac:dyDescent="0.3">
      <c r="A475">
        <v>473</v>
      </c>
      <c r="B475">
        <v>7548</v>
      </c>
      <c r="C475" t="b">
        <v>1</v>
      </c>
      <c r="D475">
        <v>8048</v>
      </c>
      <c r="E475">
        <v>8123</v>
      </c>
      <c r="F475">
        <v>8</v>
      </c>
      <c r="G475">
        <v>8</v>
      </c>
      <c r="H475">
        <v>1</v>
      </c>
      <c r="I475">
        <v>0</v>
      </c>
      <c r="J475">
        <v>0.5</v>
      </c>
    </row>
    <row r="476" spans="1:10" x14ac:dyDescent="0.3">
      <c r="A476">
        <v>474</v>
      </c>
      <c r="B476">
        <v>7565</v>
      </c>
      <c r="C476" t="b">
        <v>1</v>
      </c>
      <c r="D476">
        <v>8048</v>
      </c>
      <c r="E476">
        <v>8123</v>
      </c>
      <c r="F476">
        <v>8</v>
      </c>
      <c r="G476">
        <v>8</v>
      </c>
      <c r="H476">
        <v>1</v>
      </c>
      <c r="I476">
        <v>0</v>
      </c>
      <c r="J476">
        <v>0.5</v>
      </c>
    </row>
    <row r="477" spans="1:10" x14ac:dyDescent="0.3">
      <c r="A477">
        <v>475</v>
      </c>
      <c r="B477">
        <v>7580</v>
      </c>
      <c r="C477" t="b">
        <v>1</v>
      </c>
      <c r="D477">
        <v>8048</v>
      </c>
      <c r="E477">
        <v>8123</v>
      </c>
      <c r="F477">
        <v>8</v>
      </c>
      <c r="G477">
        <v>8</v>
      </c>
      <c r="H477">
        <v>1</v>
      </c>
      <c r="I477">
        <v>0</v>
      </c>
      <c r="J477">
        <v>0.5</v>
      </c>
    </row>
    <row r="478" spans="1:10" x14ac:dyDescent="0.3">
      <c r="A478">
        <v>476</v>
      </c>
      <c r="B478">
        <v>7596</v>
      </c>
      <c r="C478" t="b">
        <v>1</v>
      </c>
      <c r="D478">
        <v>8048</v>
      </c>
      <c r="E478">
        <v>8123</v>
      </c>
      <c r="F478">
        <v>8</v>
      </c>
      <c r="G478">
        <v>8</v>
      </c>
      <c r="H478">
        <v>1</v>
      </c>
      <c r="I478">
        <v>0</v>
      </c>
      <c r="J478">
        <v>0.5</v>
      </c>
    </row>
    <row r="479" spans="1:10" x14ac:dyDescent="0.3">
      <c r="A479">
        <v>477</v>
      </c>
      <c r="B479">
        <v>7628</v>
      </c>
      <c r="C479" t="b">
        <v>1</v>
      </c>
      <c r="D479">
        <v>8048</v>
      </c>
      <c r="E479">
        <v>8123</v>
      </c>
      <c r="F479">
        <v>8</v>
      </c>
      <c r="G479">
        <v>8</v>
      </c>
      <c r="H479">
        <v>1</v>
      </c>
      <c r="I479">
        <v>0</v>
      </c>
      <c r="J479">
        <v>0.5</v>
      </c>
    </row>
    <row r="480" spans="1:10" x14ac:dyDescent="0.3">
      <c r="A480">
        <v>478</v>
      </c>
      <c r="B480">
        <v>7644</v>
      </c>
      <c r="C480" t="b">
        <v>1</v>
      </c>
      <c r="D480">
        <v>8042</v>
      </c>
      <c r="E480">
        <v>8123</v>
      </c>
      <c r="F480">
        <v>8</v>
      </c>
      <c r="G480">
        <v>8</v>
      </c>
      <c r="H480">
        <v>1</v>
      </c>
      <c r="I480">
        <v>0</v>
      </c>
      <c r="J480">
        <v>0.5</v>
      </c>
    </row>
    <row r="481" spans="1:10" x14ac:dyDescent="0.3">
      <c r="A481">
        <v>479</v>
      </c>
      <c r="B481">
        <v>7660</v>
      </c>
      <c r="C481" t="b">
        <v>1</v>
      </c>
      <c r="D481">
        <v>8048</v>
      </c>
      <c r="E481">
        <v>8123</v>
      </c>
      <c r="F481">
        <v>8</v>
      </c>
      <c r="G481">
        <v>8</v>
      </c>
      <c r="H481">
        <v>1</v>
      </c>
      <c r="I481">
        <v>0</v>
      </c>
      <c r="J481">
        <v>0.5</v>
      </c>
    </row>
    <row r="482" spans="1:10" x14ac:dyDescent="0.3">
      <c r="A482">
        <v>480</v>
      </c>
      <c r="B482">
        <v>7676</v>
      </c>
      <c r="C482" t="b">
        <v>1</v>
      </c>
      <c r="D482">
        <v>8048</v>
      </c>
      <c r="E482">
        <v>8123</v>
      </c>
      <c r="F482">
        <v>8</v>
      </c>
      <c r="G482">
        <v>8</v>
      </c>
      <c r="H482">
        <v>1</v>
      </c>
      <c r="I482">
        <v>0</v>
      </c>
      <c r="J482">
        <v>0.5</v>
      </c>
    </row>
    <row r="483" spans="1:10" x14ac:dyDescent="0.3">
      <c r="A483">
        <v>481</v>
      </c>
      <c r="B483">
        <v>7692</v>
      </c>
      <c r="C483" t="b">
        <v>1</v>
      </c>
      <c r="D483">
        <v>8048</v>
      </c>
      <c r="E483">
        <v>8123</v>
      </c>
      <c r="F483">
        <v>8</v>
      </c>
      <c r="G483">
        <v>8</v>
      </c>
      <c r="H483">
        <v>1</v>
      </c>
      <c r="I483">
        <v>0</v>
      </c>
      <c r="J483">
        <v>0.5</v>
      </c>
    </row>
    <row r="484" spans="1:10" x14ac:dyDescent="0.3">
      <c r="A484">
        <v>482</v>
      </c>
      <c r="B484">
        <v>7708</v>
      </c>
      <c r="C484" t="b">
        <v>1</v>
      </c>
      <c r="D484">
        <v>8048</v>
      </c>
      <c r="E484">
        <v>8123</v>
      </c>
      <c r="F484">
        <v>8</v>
      </c>
      <c r="G484">
        <v>8</v>
      </c>
      <c r="H484">
        <v>1</v>
      </c>
      <c r="I484">
        <v>0</v>
      </c>
      <c r="J484">
        <v>0.5</v>
      </c>
    </row>
    <row r="485" spans="1:10" x14ac:dyDescent="0.3">
      <c r="A485">
        <v>483</v>
      </c>
      <c r="B485">
        <v>7723</v>
      </c>
      <c r="C485" t="b">
        <v>1</v>
      </c>
      <c r="D485">
        <v>8048</v>
      </c>
      <c r="E485">
        <v>8117</v>
      </c>
      <c r="F485">
        <v>8</v>
      </c>
      <c r="G485">
        <v>8</v>
      </c>
      <c r="H485">
        <v>1</v>
      </c>
      <c r="I485">
        <v>0</v>
      </c>
      <c r="J485">
        <v>0.5</v>
      </c>
    </row>
    <row r="486" spans="1:10" x14ac:dyDescent="0.3">
      <c r="A486">
        <v>484</v>
      </c>
      <c r="B486">
        <v>7739</v>
      </c>
      <c r="C486" t="b">
        <v>1</v>
      </c>
      <c r="D486">
        <v>8048</v>
      </c>
      <c r="E486">
        <v>8111</v>
      </c>
      <c r="F486">
        <v>8</v>
      </c>
      <c r="G486">
        <v>8</v>
      </c>
      <c r="H486">
        <v>1</v>
      </c>
      <c r="I486">
        <v>0</v>
      </c>
      <c r="J486">
        <v>0.5</v>
      </c>
    </row>
    <row r="487" spans="1:10" x14ac:dyDescent="0.3">
      <c r="A487">
        <v>485</v>
      </c>
      <c r="B487">
        <v>7755</v>
      </c>
      <c r="C487" t="b">
        <v>1</v>
      </c>
      <c r="D487">
        <v>8054</v>
      </c>
      <c r="E487">
        <v>8117</v>
      </c>
      <c r="F487">
        <v>8</v>
      </c>
      <c r="G487">
        <v>7.6</v>
      </c>
      <c r="H487">
        <v>1.0526316</v>
      </c>
      <c r="I487">
        <v>-5.2631589999999999E-2</v>
      </c>
      <c r="J487">
        <v>0.48717946000000001</v>
      </c>
    </row>
    <row r="488" spans="1:10" x14ac:dyDescent="0.3">
      <c r="A488">
        <v>486</v>
      </c>
      <c r="B488">
        <v>7771</v>
      </c>
      <c r="C488" t="b">
        <v>1</v>
      </c>
      <c r="D488">
        <v>8048</v>
      </c>
      <c r="E488">
        <v>8111</v>
      </c>
      <c r="F488">
        <v>8</v>
      </c>
      <c r="G488">
        <v>7.2</v>
      </c>
      <c r="H488">
        <v>1.1111112000000001</v>
      </c>
      <c r="I488">
        <v>-0.11111114</v>
      </c>
      <c r="J488">
        <v>0.4736842</v>
      </c>
    </row>
    <row r="489" spans="1:10" x14ac:dyDescent="0.3">
      <c r="A489">
        <v>487</v>
      </c>
      <c r="B489">
        <v>7787</v>
      </c>
      <c r="C489" t="b">
        <v>1</v>
      </c>
      <c r="D489">
        <v>8054</v>
      </c>
      <c r="E489">
        <v>8117</v>
      </c>
      <c r="F489">
        <v>8</v>
      </c>
      <c r="G489">
        <v>6.8</v>
      </c>
      <c r="H489">
        <v>1.1764705</v>
      </c>
      <c r="I489">
        <v>-0.17647055</v>
      </c>
      <c r="J489">
        <v>0.45945944999999999</v>
      </c>
    </row>
    <row r="490" spans="1:10" x14ac:dyDescent="0.3">
      <c r="A490">
        <v>488</v>
      </c>
      <c r="B490">
        <v>7803</v>
      </c>
      <c r="C490" t="b">
        <v>1</v>
      </c>
      <c r="D490">
        <v>8048</v>
      </c>
      <c r="E490">
        <v>8117</v>
      </c>
      <c r="F490">
        <v>8</v>
      </c>
      <c r="G490">
        <v>6.4</v>
      </c>
      <c r="H490">
        <v>1.25</v>
      </c>
      <c r="I490">
        <v>-0.24999999000000001</v>
      </c>
      <c r="J490">
        <v>0.44444447999999998</v>
      </c>
    </row>
    <row r="491" spans="1:10" x14ac:dyDescent="0.3">
      <c r="A491">
        <v>489</v>
      </c>
      <c r="B491">
        <v>7819</v>
      </c>
      <c r="C491" t="b">
        <v>1</v>
      </c>
      <c r="D491">
        <v>8048</v>
      </c>
      <c r="E491">
        <v>8117</v>
      </c>
      <c r="F491">
        <v>8</v>
      </c>
      <c r="G491">
        <v>6</v>
      </c>
      <c r="H491">
        <v>1.3333333999999999</v>
      </c>
      <c r="I491">
        <v>-0.33333333999999998</v>
      </c>
      <c r="J491">
        <v>0.42857142999999998</v>
      </c>
    </row>
    <row r="492" spans="1:10" x14ac:dyDescent="0.3">
      <c r="A492">
        <v>490</v>
      </c>
      <c r="B492">
        <v>7834</v>
      </c>
      <c r="C492" t="b">
        <v>1</v>
      </c>
      <c r="D492">
        <v>8048</v>
      </c>
      <c r="E492">
        <v>8117</v>
      </c>
      <c r="F492">
        <v>8</v>
      </c>
      <c r="G492">
        <v>5.6</v>
      </c>
      <c r="H492">
        <v>1.4285715000000001</v>
      </c>
      <c r="I492">
        <v>-0.42857146000000002</v>
      </c>
      <c r="J492">
        <v>0.41176467999999999</v>
      </c>
    </row>
    <row r="493" spans="1:10" x14ac:dyDescent="0.3">
      <c r="A493">
        <v>491</v>
      </c>
      <c r="B493">
        <v>7850</v>
      </c>
      <c r="C493" t="b">
        <v>1</v>
      </c>
      <c r="D493">
        <v>8048</v>
      </c>
      <c r="E493">
        <v>8123</v>
      </c>
      <c r="F493">
        <v>8</v>
      </c>
      <c r="G493">
        <v>5.2</v>
      </c>
      <c r="H493">
        <v>1.5384616</v>
      </c>
      <c r="I493">
        <v>-0.53846156999999994</v>
      </c>
      <c r="J493">
        <v>0.39393938000000001</v>
      </c>
    </row>
    <row r="494" spans="1:10" x14ac:dyDescent="0.3">
      <c r="A494">
        <v>492</v>
      </c>
      <c r="B494">
        <v>7866</v>
      </c>
      <c r="C494" t="b">
        <v>1</v>
      </c>
      <c r="D494">
        <v>8048</v>
      </c>
      <c r="E494">
        <v>8123</v>
      </c>
      <c r="F494">
        <v>8</v>
      </c>
      <c r="G494">
        <v>4.8</v>
      </c>
      <c r="H494">
        <v>1.6666666000000001</v>
      </c>
      <c r="I494">
        <v>-0.6666666</v>
      </c>
      <c r="J494">
        <v>0.375</v>
      </c>
    </row>
    <row r="495" spans="1:10" x14ac:dyDescent="0.3">
      <c r="A495">
        <v>493</v>
      </c>
      <c r="B495">
        <v>7882</v>
      </c>
      <c r="C495" t="b">
        <v>1</v>
      </c>
      <c r="D495">
        <v>8048</v>
      </c>
      <c r="E495">
        <v>8117</v>
      </c>
      <c r="F495">
        <v>8</v>
      </c>
      <c r="G495">
        <v>4.4000000000000004</v>
      </c>
      <c r="H495">
        <v>1.8181818000000001</v>
      </c>
      <c r="I495">
        <v>-0.81818175000000004</v>
      </c>
      <c r="J495">
        <v>0.35483872999999999</v>
      </c>
    </row>
    <row r="496" spans="1:10" x14ac:dyDescent="0.3">
      <c r="A496">
        <v>494</v>
      </c>
      <c r="B496">
        <v>7898</v>
      </c>
      <c r="C496" t="b">
        <v>1</v>
      </c>
      <c r="D496">
        <v>8048</v>
      </c>
      <c r="E496">
        <v>8117</v>
      </c>
      <c r="F496">
        <v>8</v>
      </c>
      <c r="G496">
        <v>4</v>
      </c>
      <c r="H496">
        <v>2</v>
      </c>
      <c r="I496">
        <v>-1</v>
      </c>
      <c r="J496">
        <v>0.33333333999999998</v>
      </c>
    </row>
    <row r="497" spans="1:10" x14ac:dyDescent="0.3">
      <c r="A497">
        <v>495</v>
      </c>
      <c r="B497">
        <v>7914</v>
      </c>
      <c r="C497" t="b">
        <v>1</v>
      </c>
      <c r="D497">
        <v>8048</v>
      </c>
      <c r="E497">
        <v>8123</v>
      </c>
      <c r="F497">
        <v>8</v>
      </c>
      <c r="G497">
        <v>4</v>
      </c>
      <c r="H497">
        <v>2</v>
      </c>
      <c r="I497">
        <v>-1</v>
      </c>
      <c r="J497">
        <v>0.33333333999999998</v>
      </c>
    </row>
    <row r="498" spans="1:10" x14ac:dyDescent="0.3">
      <c r="A498">
        <v>496</v>
      </c>
      <c r="B498">
        <v>7930</v>
      </c>
      <c r="C498" t="b">
        <v>1</v>
      </c>
      <c r="D498">
        <v>8048</v>
      </c>
      <c r="E498">
        <v>8123</v>
      </c>
      <c r="F498">
        <v>8</v>
      </c>
      <c r="G498">
        <v>4</v>
      </c>
      <c r="H498">
        <v>2</v>
      </c>
      <c r="I498">
        <v>-1</v>
      </c>
      <c r="J498">
        <v>0.33333333999999998</v>
      </c>
    </row>
    <row r="499" spans="1:10" x14ac:dyDescent="0.3">
      <c r="A499">
        <v>497</v>
      </c>
      <c r="B499">
        <v>7945</v>
      </c>
      <c r="C499" t="b">
        <v>1</v>
      </c>
      <c r="D499">
        <v>8048</v>
      </c>
      <c r="E499">
        <v>8123</v>
      </c>
      <c r="F499">
        <v>8</v>
      </c>
      <c r="G499">
        <v>4</v>
      </c>
      <c r="H499">
        <v>2</v>
      </c>
      <c r="I499">
        <v>-1</v>
      </c>
      <c r="J499">
        <v>0.33333333999999998</v>
      </c>
    </row>
    <row r="500" spans="1:10" x14ac:dyDescent="0.3">
      <c r="A500">
        <v>498</v>
      </c>
      <c r="B500">
        <v>7961</v>
      </c>
      <c r="C500" t="b">
        <v>1</v>
      </c>
      <c r="D500">
        <v>8048</v>
      </c>
      <c r="E500">
        <v>8123</v>
      </c>
      <c r="F500">
        <v>8</v>
      </c>
      <c r="G500">
        <v>4</v>
      </c>
      <c r="H500">
        <v>2</v>
      </c>
      <c r="I500">
        <v>-1</v>
      </c>
      <c r="J500">
        <v>0.33333333999999998</v>
      </c>
    </row>
    <row r="501" spans="1:10" x14ac:dyDescent="0.3">
      <c r="A501">
        <v>499</v>
      </c>
      <c r="B501">
        <v>7977</v>
      </c>
      <c r="C501" t="b">
        <v>1</v>
      </c>
      <c r="D501">
        <v>8054</v>
      </c>
      <c r="E501">
        <v>8123</v>
      </c>
      <c r="F501">
        <v>8</v>
      </c>
      <c r="G501">
        <v>4</v>
      </c>
      <c r="H501">
        <v>2</v>
      </c>
      <c r="I501">
        <v>-1</v>
      </c>
      <c r="J501">
        <v>0.33333333999999998</v>
      </c>
    </row>
    <row r="502" spans="1:10" x14ac:dyDescent="0.3">
      <c r="A502">
        <v>500</v>
      </c>
      <c r="B502">
        <v>7993</v>
      </c>
      <c r="C502" t="b">
        <v>1</v>
      </c>
      <c r="D502">
        <v>8048</v>
      </c>
      <c r="E502">
        <v>8117</v>
      </c>
      <c r="F502">
        <v>8</v>
      </c>
      <c r="G502">
        <v>4.4000000000000004</v>
      </c>
      <c r="H502">
        <v>1.8181818000000001</v>
      </c>
      <c r="I502">
        <v>-0.81818175000000004</v>
      </c>
      <c r="J502">
        <v>0.35483872999999999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E8F2-31B3-493D-A09E-6B9B59687838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30</v>
      </c>
      <c r="C3" t="b">
        <v>1</v>
      </c>
      <c r="D3">
        <v>8054</v>
      </c>
      <c r="E3">
        <v>8123</v>
      </c>
      <c r="F3">
        <v>11</v>
      </c>
      <c r="G3">
        <v>8</v>
      </c>
      <c r="H3">
        <v>1.375</v>
      </c>
      <c r="I3">
        <v>-0.375</v>
      </c>
      <c r="J3">
        <v>0.42105262999999998</v>
      </c>
    </row>
    <row r="4" spans="1:10" x14ac:dyDescent="0.3">
      <c r="A4">
        <v>2</v>
      </c>
      <c r="B4">
        <v>47</v>
      </c>
      <c r="C4" t="b">
        <v>1</v>
      </c>
      <c r="D4">
        <v>8048</v>
      </c>
      <c r="E4">
        <v>8123</v>
      </c>
      <c r="F4">
        <v>10</v>
      </c>
      <c r="G4">
        <v>8</v>
      </c>
      <c r="H4">
        <v>1.25</v>
      </c>
      <c r="I4">
        <v>-0.25</v>
      </c>
      <c r="J4">
        <v>0.44444444999999999</v>
      </c>
    </row>
    <row r="5" spans="1:10" x14ac:dyDescent="0.3">
      <c r="A5">
        <v>3</v>
      </c>
      <c r="B5">
        <v>62</v>
      </c>
      <c r="C5" t="b">
        <v>1</v>
      </c>
      <c r="D5">
        <v>8048</v>
      </c>
      <c r="E5">
        <v>8123</v>
      </c>
      <c r="F5">
        <v>9.5</v>
      </c>
      <c r="G5">
        <v>8</v>
      </c>
      <c r="H5">
        <v>1.1875</v>
      </c>
      <c r="I5">
        <v>-0.1875</v>
      </c>
      <c r="J5">
        <v>0.45714285999999998</v>
      </c>
    </row>
    <row r="6" spans="1:10" x14ac:dyDescent="0.3">
      <c r="A6">
        <v>4</v>
      </c>
      <c r="B6">
        <v>79</v>
      </c>
      <c r="C6" t="b">
        <v>1</v>
      </c>
      <c r="D6">
        <v>8048</v>
      </c>
      <c r="E6">
        <v>8123</v>
      </c>
      <c r="F6">
        <v>9.1999999999999993</v>
      </c>
      <c r="G6">
        <v>8</v>
      </c>
      <c r="H6">
        <v>1.1499999999999999</v>
      </c>
      <c r="I6">
        <v>-0.14999998</v>
      </c>
      <c r="J6">
        <v>0.46511626</v>
      </c>
    </row>
    <row r="7" spans="1:10" x14ac:dyDescent="0.3">
      <c r="A7">
        <v>5</v>
      </c>
      <c r="B7">
        <v>94</v>
      </c>
      <c r="C7" t="b">
        <v>1</v>
      </c>
      <c r="D7">
        <v>8048</v>
      </c>
      <c r="E7">
        <v>8117</v>
      </c>
      <c r="F7">
        <v>9</v>
      </c>
      <c r="G7">
        <v>8</v>
      </c>
      <c r="H7">
        <v>1.125</v>
      </c>
      <c r="I7">
        <v>-0.125</v>
      </c>
      <c r="J7">
        <v>0.47058823999999999</v>
      </c>
    </row>
    <row r="8" spans="1:10" x14ac:dyDescent="0.3">
      <c r="A8">
        <v>6</v>
      </c>
      <c r="B8">
        <v>110</v>
      </c>
      <c r="C8" t="b">
        <v>1</v>
      </c>
      <c r="D8">
        <v>8048</v>
      </c>
      <c r="E8">
        <v>8117</v>
      </c>
      <c r="F8">
        <v>8.8571419999999996</v>
      </c>
      <c r="G8">
        <v>8</v>
      </c>
      <c r="H8">
        <v>1.1071428000000001</v>
      </c>
      <c r="I8">
        <v>-0.10714280599999999</v>
      </c>
      <c r="J8">
        <v>0.47457626000000003</v>
      </c>
    </row>
    <row r="9" spans="1:10" x14ac:dyDescent="0.3">
      <c r="A9">
        <v>7</v>
      </c>
      <c r="B9">
        <v>126</v>
      </c>
      <c r="C9" t="b">
        <v>1</v>
      </c>
      <c r="D9">
        <v>8048</v>
      </c>
      <c r="E9">
        <v>8123</v>
      </c>
      <c r="F9">
        <v>8.75</v>
      </c>
      <c r="G9">
        <v>8</v>
      </c>
      <c r="H9">
        <v>1.09375</v>
      </c>
      <c r="I9">
        <v>-9.375E-2</v>
      </c>
      <c r="J9">
        <v>0.47761193000000002</v>
      </c>
    </row>
    <row r="10" spans="1:10" x14ac:dyDescent="0.3">
      <c r="A10">
        <v>8</v>
      </c>
      <c r="B10">
        <v>142</v>
      </c>
      <c r="C10" t="b">
        <v>1</v>
      </c>
      <c r="D10">
        <v>8048</v>
      </c>
      <c r="E10">
        <v>8123</v>
      </c>
      <c r="F10">
        <v>8.6666670000000003</v>
      </c>
      <c r="G10">
        <v>8</v>
      </c>
      <c r="H10">
        <v>1.0833333999999999</v>
      </c>
      <c r="I10">
        <v>-8.3333370000000004E-2</v>
      </c>
      <c r="J10">
        <v>0.47999996</v>
      </c>
    </row>
    <row r="11" spans="1:10" x14ac:dyDescent="0.3">
      <c r="A11">
        <v>9</v>
      </c>
      <c r="B11">
        <v>158</v>
      </c>
      <c r="C11" t="b">
        <v>1</v>
      </c>
      <c r="D11">
        <v>8048</v>
      </c>
      <c r="E11">
        <v>8123</v>
      </c>
      <c r="F11">
        <v>8.6</v>
      </c>
      <c r="G11">
        <v>8</v>
      </c>
      <c r="H11">
        <v>1.075</v>
      </c>
      <c r="I11">
        <v>-7.5000049999999999E-2</v>
      </c>
      <c r="J11">
        <v>0.48192770000000001</v>
      </c>
    </row>
    <row r="12" spans="1:10" x14ac:dyDescent="0.3">
      <c r="A12">
        <v>10</v>
      </c>
      <c r="B12">
        <v>174</v>
      </c>
      <c r="C12" t="b">
        <v>1</v>
      </c>
      <c r="D12">
        <v>8048</v>
      </c>
      <c r="E12">
        <v>8123</v>
      </c>
      <c r="F12">
        <v>8.5454550000000005</v>
      </c>
      <c r="G12">
        <v>8</v>
      </c>
      <c r="H12">
        <v>1.0681818999999999</v>
      </c>
      <c r="I12">
        <v>-6.8181870000000006E-2</v>
      </c>
      <c r="J12">
        <v>0.48351644999999999</v>
      </c>
    </row>
    <row r="13" spans="1:10" x14ac:dyDescent="0.3">
      <c r="A13">
        <v>11</v>
      </c>
      <c r="B13">
        <v>190</v>
      </c>
      <c r="C13" t="b">
        <v>1</v>
      </c>
      <c r="D13">
        <v>8054</v>
      </c>
      <c r="E13">
        <v>8123</v>
      </c>
      <c r="F13">
        <v>8.5</v>
      </c>
      <c r="G13">
        <v>8</v>
      </c>
      <c r="H13">
        <v>1.0625</v>
      </c>
      <c r="I13">
        <v>-6.25E-2</v>
      </c>
      <c r="J13">
        <v>0.48484850000000002</v>
      </c>
    </row>
    <row r="14" spans="1:10" x14ac:dyDescent="0.3">
      <c r="A14">
        <v>12</v>
      </c>
      <c r="B14">
        <v>206</v>
      </c>
      <c r="C14" t="b">
        <v>1</v>
      </c>
      <c r="D14">
        <v>8048</v>
      </c>
      <c r="E14">
        <v>8117</v>
      </c>
      <c r="F14">
        <v>8.4615379999999991</v>
      </c>
      <c r="G14">
        <v>8</v>
      </c>
      <c r="H14">
        <v>1.0576923</v>
      </c>
      <c r="I14">
        <v>-5.769229E-2</v>
      </c>
      <c r="J14">
        <v>0.48598131999999999</v>
      </c>
    </row>
    <row r="15" spans="1:10" x14ac:dyDescent="0.3">
      <c r="A15">
        <v>13</v>
      </c>
      <c r="B15">
        <v>221</v>
      </c>
      <c r="C15" t="b">
        <v>1</v>
      </c>
      <c r="D15">
        <v>8048</v>
      </c>
      <c r="E15">
        <v>8111</v>
      </c>
      <c r="F15">
        <v>8.4285720000000008</v>
      </c>
      <c r="G15">
        <v>8</v>
      </c>
      <c r="H15">
        <v>1.0535715000000001</v>
      </c>
      <c r="I15">
        <v>-5.3571463E-2</v>
      </c>
      <c r="J15">
        <v>0.48695650000000001</v>
      </c>
    </row>
    <row r="16" spans="1:10" x14ac:dyDescent="0.3">
      <c r="A16">
        <v>14</v>
      </c>
      <c r="B16">
        <v>237</v>
      </c>
      <c r="C16" t="b">
        <v>1</v>
      </c>
      <c r="D16">
        <v>8048</v>
      </c>
      <c r="E16">
        <v>8117</v>
      </c>
      <c r="F16">
        <v>8.4</v>
      </c>
      <c r="G16">
        <v>7.6</v>
      </c>
      <c r="H16">
        <v>1.1052630999999999</v>
      </c>
      <c r="I16">
        <v>-0.10526312</v>
      </c>
      <c r="J16">
        <v>0.47499999999999998</v>
      </c>
    </row>
    <row r="17" spans="1:10" x14ac:dyDescent="0.3">
      <c r="A17">
        <v>15</v>
      </c>
      <c r="B17">
        <v>253</v>
      </c>
      <c r="C17" t="b">
        <v>1</v>
      </c>
      <c r="D17">
        <v>8048</v>
      </c>
      <c r="E17">
        <v>8117</v>
      </c>
      <c r="F17">
        <v>8.4</v>
      </c>
      <c r="G17">
        <v>7.2</v>
      </c>
      <c r="H17">
        <v>1.1666666000000001</v>
      </c>
      <c r="I17">
        <v>-0.16666664</v>
      </c>
      <c r="J17">
        <v>0.46153845999999998</v>
      </c>
    </row>
    <row r="18" spans="1:10" x14ac:dyDescent="0.3">
      <c r="A18">
        <v>16</v>
      </c>
      <c r="B18">
        <v>269</v>
      </c>
      <c r="C18" t="b">
        <v>1</v>
      </c>
      <c r="D18">
        <v>8048</v>
      </c>
      <c r="E18">
        <v>8117</v>
      </c>
      <c r="F18">
        <v>8</v>
      </c>
      <c r="G18">
        <v>6.8</v>
      </c>
      <c r="H18">
        <v>1.1764705</v>
      </c>
      <c r="I18">
        <v>-0.17647055</v>
      </c>
      <c r="J18">
        <v>0.45945944999999999</v>
      </c>
    </row>
    <row r="19" spans="1:10" x14ac:dyDescent="0.3">
      <c r="A19">
        <v>17</v>
      </c>
      <c r="B19">
        <v>285</v>
      </c>
      <c r="C19" t="b">
        <v>1</v>
      </c>
      <c r="D19">
        <v>8048</v>
      </c>
      <c r="E19">
        <v>8117</v>
      </c>
      <c r="F19">
        <v>8</v>
      </c>
      <c r="G19">
        <v>6.4</v>
      </c>
      <c r="H19">
        <v>1.25</v>
      </c>
      <c r="I19">
        <v>-0.24999999000000001</v>
      </c>
      <c r="J19">
        <v>0.44444447999999998</v>
      </c>
    </row>
    <row r="20" spans="1:10" x14ac:dyDescent="0.3">
      <c r="A20">
        <v>18</v>
      </c>
      <c r="B20">
        <v>301</v>
      </c>
      <c r="C20" t="b">
        <v>1</v>
      </c>
      <c r="D20">
        <v>8048</v>
      </c>
      <c r="E20">
        <v>8117</v>
      </c>
      <c r="F20">
        <v>8</v>
      </c>
      <c r="G20">
        <v>6</v>
      </c>
      <c r="H20">
        <v>1.3333333999999999</v>
      </c>
      <c r="I20">
        <v>-0.33333333999999998</v>
      </c>
      <c r="J20">
        <v>0.42857142999999998</v>
      </c>
    </row>
    <row r="21" spans="1:10" x14ac:dyDescent="0.3">
      <c r="A21">
        <v>19</v>
      </c>
      <c r="B21">
        <v>317</v>
      </c>
      <c r="C21" t="b">
        <v>1</v>
      </c>
      <c r="D21">
        <v>8048</v>
      </c>
      <c r="E21">
        <v>8117</v>
      </c>
      <c r="F21">
        <v>8</v>
      </c>
      <c r="G21">
        <v>5.6</v>
      </c>
      <c r="H21">
        <v>1.4285715000000001</v>
      </c>
      <c r="I21">
        <v>-0.42857146000000002</v>
      </c>
      <c r="J21">
        <v>0.41176467999999999</v>
      </c>
    </row>
    <row r="22" spans="1:10" x14ac:dyDescent="0.3">
      <c r="A22">
        <v>20</v>
      </c>
      <c r="B22">
        <v>333</v>
      </c>
      <c r="C22" t="b">
        <v>1</v>
      </c>
      <c r="D22">
        <v>8048</v>
      </c>
      <c r="E22">
        <v>8117</v>
      </c>
      <c r="F22">
        <v>8</v>
      </c>
      <c r="G22">
        <v>5.2</v>
      </c>
      <c r="H22">
        <v>1.5384616</v>
      </c>
      <c r="I22">
        <v>-0.53846156999999994</v>
      </c>
      <c r="J22">
        <v>0.39393938000000001</v>
      </c>
    </row>
    <row r="23" spans="1:10" x14ac:dyDescent="0.3">
      <c r="A23">
        <v>21</v>
      </c>
      <c r="B23">
        <v>348</v>
      </c>
      <c r="C23" t="b">
        <v>1</v>
      </c>
      <c r="D23">
        <v>8054</v>
      </c>
      <c r="E23">
        <v>8111</v>
      </c>
      <c r="F23">
        <v>8</v>
      </c>
      <c r="G23">
        <v>4.8</v>
      </c>
      <c r="H23">
        <v>1.6666666000000001</v>
      </c>
      <c r="I23">
        <v>-0.6666666</v>
      </c>
      <c r="J23">
        <v>0.375</v>
      </c>
    </row>
    <row r="24" spans="1:10" x14ac:dyDescent="0.3">
      <c r="A24">
        <v>22</v>
      </c>
      <c r="B24">
        <v>364</v>
      </c>
      <c r="C24" t="b">
        <v>1</v>
      </c>
      <c r="D24">
        <v>8048</v>
      </c>
      <c r="E24">
        <v>8111</v>
      </c>
      <c r="F24">
        <v>8</v>
      </c>
      <c r="G24">
        <v>4.4000000000000004</v>
      </c>
      <c r="H24">
        <v>1.8181818000000001</v>
      </c>
      <c r="I24">
        <v>-0.81818175000000004</v>
      </c>
      <c r="J24">
        <v>0.35483872999999999</v>
      </c>
    </row>
    <row r="25" spans="1:10" x14ac:dyDescent="0.3">
      <c r="A25">
        <v>23</v>
      </c>
      <c r="B25">
        <v>380</v>
      </c>
      <c r="C25" t="b">
        <v>1</v>
      </c>
      <c r="D25">
        <v>8048</v>
      </c>
      <c r="E25">
        <v>8117</v>
      </c>
      <c r="F25">
        <v>8</v>
      </c>
      <c r="G25">
        <v>4</v>
      </c>
      <c r="H25">
        <v>2</v>
      </c>
      <c r="I25">
        <v>-1</v>
      </c>
      <c r="J25">
        <v>0.33333333999999998</v>
      </c>
    </row>
    <row r="26" spans="1:10" x14ac:dyDescent="0.3">
      <c r="A26">
        <v>24</v>
      </c>
      <c r="B26">
        <v>396</v>
      </c>
      <c r="C26" t="b">
        <v>1</v>
      </c>
      <c r="D26">
        <v>8048</v>
      </c>
      <c r="E26">
        <v>8123</v>
      </c>
      <c r="F26">
        <v>8</v>
      </c>
      <c r="G26">
        <v>3.6</v>
      </c>
      <c r="H26">
        <v>2.2222222999999999</v>
      </c>
      <c r="I26">
        <v>-1.2222223000000001</v>
      </c>
      <c r="J26">
        <v>0.31034482000000002</v>
      </c>
    </row>
    <row r="27" spans="1:10" x14ac:dyDescent="0.3">
      <c r="A27">
        <v>25</v>
      </c>
      <c r="B27">
        <v>412</v>
      </c>
      <c r="C27" t="b">
        <v>1</v>
      </c>
      <c r="D27">
        <v>8048</v>
      </c>
      <c r="E27">
        <v>8123</v>
      </c>
      <c r="F27">
        <v>8</v>
      </c>
      <c r="G27">
        <v>3.2</v>
      </c>
      <c r="H27">
        <v>2.5</v>
      </c>
      <c r="I27">
        <v>-1.5</v>
      </c>
      <c r="J27">
        <v>0.28571429999999998</v>
      </c>
    </row>
    <row r="28" spans="1:10" x14ac:dyDescent="0.3">
      <c r="A28">
        <v>26</v>
      </c>
      <c r="B28">
        <v>428</v>
      </c>
      <c r="C28" t="b">
        <v>1</v>
      </c>
      <c r="D28">
        <v>8048</v>
      </c>
      <c r="E28">
        <v>8117</v>
      </c>
      <c r="F28">
        <v>8</v>
      </c>
      <c r="G28">
        <v>2.8</v>
      </c>
      <c r="H28">
        <v>2.8571430000000002</v>
      </c>
      <c r="I28">
        <v>-1.8571428000000001</v>
      </c>
      <c r="J28">
        <v>0.25925925</v>
      </c>
    </row>
    <row r="29" spans="1:10" x14ac:dyDescent="0.3">
      <c r="A29">
        <v>27</v>
      </c>
      <c r="B29">
        <v>444</v>
      </c>
      <c r="C29" t="b">
        <v>1</v>
      </c>
      <c r="D29">
        <v>8048</v>
      </c>
      <c r="E29">
        <v>8123</v>
      </c>
      <c r="F29">
        <v>8</v>
      </c>
      <c r="G29">
        <v>2.8</v>
      </c>
      <c r="H29">
        <v>2.8571430000000002</v>
      </c>
      <c r="I29">
        <v>-1.8571428000000001</v>
      </c>
      <c r="J29">
        <v>0.25925925</v>
      </c>
    </row>
    <row r="30" spans="1:10" x14ac:dyDescent="0.3">
      <c r="A30">
        <v>28</v>
      </c>
      <c r="B30">
        <v>460</v>
      </c>
      <c r="C30" t="b">
        <v>1</v>
      </c>
      <c r="D30">
        <v>8048</v>
      </c>
      <c r="E30">
        <v>8117</v>
      </c>
      <c r="F30">
        <v>8</v>
      </c>
      <c r="G30">
        <v>2.8</v>
      </c>
      <c r="H30">
        <v>2.8571430000000002</v>
      </c>
      <c r="I30">
        <v>-1.8571428000000001</v>
      </c>
      <c r="J30">
        <v>0.25925925</v>
      </c>
    </row>
    <row r="31" spans="1:10" x14ac:dyDescent="0.3">
      <c r="A31">
        <v>29</v>
      </c>
      <c r="B31">
        <v>475</v>
      </c>
      <c r="C31" t="b">
        <v>1</v>
      </c>
      <c r="D31">
        <v>8054</v>
      </c>
      <c r="E31">
        <v>8123</v>
      </c>
      <c r="F31">
        <v>8</v>
      </c>
      <c r="G31">
        <v>3.2</v>
      </c>
      <c r="H31">
        <v>2.5</v>
      </c>
      <c r="I31">
        <v>-1.5</v>
      </c>
      <c r="J31">
        <v>0.28571429999999998</v>
      </c>
    </row>
    <row r="32" spans="1:10" x14ac:dyDescent="0.3">
      <c r="A32">
        <v>30</v>
      </c>
      <c r="B32">
        <v>491</v>
      </c>
      <c r="C32" t="b">
        <v>1</v>
      </c>
      <c r="D32">
        <v>8048</v>
      </c>
      <c r="E32">
        <v>8123</v>
      </c>
      <c r="F32">
        <v>8</v>
      </c>
      <c r="G32">
        <v>3.6</v>
      </c>
      <c r="H32">
        <v>2.2222222999999999</v>
      </c>
      <c r="I32">
        <v>-1.2222223000000001</v>
      </c>
      <c r="J32">
        <v>0.31034482000000002</v>
      </c>
    </row>
    <row r="33" spans="1:10" x14ac:dyDescent="0.3">
      <c r="A33">
        <v>31</v>
      </c>
      <c r="B33">
        <v>507</v>
      </c>
      <c r="C33" t="b">
        <v>1</v>
      </c>
      <c r="D33">
        <v>8054</v>
      </c>
      <c r="E33">
        <v>8117</v>
      </c>
      <c r="F33">
        <v>8</v>
      </c>
      <c r="G33">
        <v>4</v>
      </c>
      <c r="H33">
        <v>2</v>
      </c>
      <c r="I33">
        <v>-1</v>
      </c>
      <c r="J33">
        <v>0.33333333999999998</v>
      </c>
    </row>
    <row r="34" spans="1:10" x14ac:dyDescent="0.3">
      <c r="A34">
        <v>32</v>
      </c>
      <c r="B34">
        <v>523</v>
      </c>
      <c r="C34" t="b">
        <v>1</v>
      </c>
      <c r="D34">
        <v>8048</v>
      </c>
      <c r="E34">
        <v>8117</v>
      </c>
      <c r="F34">
        <v>8</v>
      </c>
      <c r="G34">
        <v>4</v>
      </c>
      <c r="H34">
        <v>2</v>
      </c>
      <c r="I34">
        <v>-1</v>
      </c>
      <c r="J34">
        <v>0.33333333999999998</v>
      </c>
    </row>
    <row r="35" spans="1:10" x14ac:dyDescent="0.3">
      <c r="A35">
        <v>33</v>
      </c>
      <c r="B35">
        <v>539</v>
      </c>
      <c r="C35" t="b">
        <v>1</v>
      </c>
      <c r="D35">
        <v>8054</v>
      </c>
      <c r="E35">
        <v>8117</v>
      </c>
      <c r="F35">
        <v>8.4</v>
      </c>
      <c r="G35">
        <v>4</v>
      </c>
      <c r="H35">
        <v>2.1</v>
      </c>
      <c r="I35">
        <v>-1.0999999</v>
      </c>
      <c r="J35">
        <v>0.32258067000000001</v>
      </c>
    </row>
    <row r="36" spans="1:10" x14ac:dyDescent="0.3">
      <c r="A36">
        <v>34</v>
      </c>
      <c r="B36">
        <v>555</v>
      </c>
      <c r="C36" t="b">
        <v>1</v>
      </c>
      <c r="D36">
        <v>8048</v>
      </c>
      <c r="E36">
        <v>8117</v>
      </c>
      <c r="F36">
        <v>8.4</v>
      </c>
      <c r="G36">
        <v>4</v>
      </c>
      <c r="H36">
        <v>2.1</v>
      </c>
      <c r="I36">
        <v>-1.0999999</v>
      </c>
      <c r="J36">
        <v>0.32258067000000001</v>
      </c>
    </row>
    <row r="37" spans="1:10" x14ac:dyDescent="0.3">
      <c r="A37">
        <v>35</v>
      </c>
      <c r="B37">
        <v>571</v>
      </c>
      <c r="C37" t="b">
        <v>1</v>
      </c>
      <c r="D37">
        <v>8048</v>
      </c>
      <c r="E37">
        <v>8117</v>
      </c>
      <c r="F37">
        <v>8.4</v>
      </c>
      <c r="G37">
        <v>4</v>
      </c>
      <c r="H37">
        <v>2.1</v>
      </c>
      <c r="I37">
        <v>-1.0999999</v>
      </c>
      <c r="J37">
        <v>0.32258067000000001</v>
      </c>
    </row>
    <row r="38" spans="1:10" x14ac:dyDescent="0.3">
      <c r="A38">
        <v>36</v>
      </c>
      <c r="B38">
        <v>587</v>
      </c>
      <c r="C38" t="b">
        <v>1</v>
      </c>
      <c r="D38">
        <v>8054</v>
      </c>
      <c r="E38">
        <v>8117</v>
      </c>
      <c r="F38">
        <v>8.4</v>
      </c>
      <c r="G38">
        <v>4</v>
      </c>
      <c r="H38">
        <v>2.1</v>
      </c>
      <c r="I38">
        <v>-1.0999999</v>
      </c>
      <c r="J38">
        <v>0.32258067000000001</v>
      </c>
    </row>
    <row r="39" spans="1:10" x14ac:dyDescent="0.3">
      <c r="A39">
        <v>37</v>
      </c>
      <c r="B39">
        <v>603</v>
      </c>
      <c r="C39" t="b">
        <v>1</v>
      </c>
      <c r="D39">
        <v>8048</v>
      </c>
      <c r="E39">
        <v>8123</v>
      </c>
      <c r="F39">
        <v>8.4</v>
      </c>
      <c r="G39">
        <v>4</v>
      </c>
      <c r="H39">
        <v>2.1</v>
      </c>
      <c r="I39">
        <v>-1.0999999</v>
      </c>
      <c r="J39">
        <v>0.32258067000000001</v>
      </c>
    </row>
    <row r="40" spans="1:10" x14ac:dyDescent="0.3">
      <c r="A40">
        <v>38</v>
      </c>
      <c r="B40">
        <v>619</v>
      </c>
      <c r="C40" t="b">
        <v>1</v>
      </c>
      <c r="D40">
        <v>8048</v>
      </c>
      <c r="E40">
        <v>8123</v>
      </c>
      <c r="F40">
        <v>8.4</v>
      </c>
      <c r="G40">
        <v>4</v>
      </c>
      <c r="H40">
        <v>2.1</v>
      </c>
      <c r="I40">
        <v>-1.0999999</v>
      </c>
      <c r="J40">
        <v>0.32258067000000001</v>
      </c>
    </row>
    <row r="41" spans="1:10" x14ac:dyDescent="0.3">
      <c r="A41">
        <v>39</v>
      </c>
      <c r="B41">
        <v>635</v>
      </c>
      <c r="C41" t="b">
        <v>1</v>
      </c>
      <c r="D41">
        <v>8048</v>
      </c>
      <c r="E41">
        <v>8117</v>
      </c>
      <c r="F41">
        <v>8.4</v>
      </c>
      <c r="G41">
        <v>4</v>
      </c>
      <c r="H41">
        <v>2.1</v>
      </c>
      <c r="I41">
        <v>-1.0999999</v>
      </c>
      <c r="J41">
        <v>0.32258067000000001</v>
      </c>
    </row>
    <row r="42" spans="1:10" x14ac:dyDescent="0.3">
      <c r="A42">
        <v>40</v>
      </c>
      <c r="B42">
        <v>651</v>
      </c>
      <c r="C42" t="b">
        <v>1</v>
      </c>
      <c r="D42">
        <v>8054</v>
      </c>
      <c r="E42">
        <v>8123</v>
      </c>
      <c r="F42">
        <v>8.4</v>
      </c>
      <c r="G42">
        <v>4.4000000000000004</v>
      </c>
      <c r="H42">
        <v>1.9090908</v>
      </c>
      <c r="I42">
        <v>-0.90909076</v>
      </c>
      <c r="J42">
        <v>0.34375002999999998</v>
      </c>
    </row>
    <row r="43" spans="1:10" x14ac:dyDescent="0.3">
      <c r="A43">
        <v>41</v>
      </c>
      <c r="B43">
        <v>674</v>
      </c>
      <c r="C43" t="b">
        <v>1</v>
      </c>
      <c r="D43">
        <v>8042</v>
      </c>
      <c r="E43">
        <v>8123</v>
      </c>
      <c r="F43">
        <v>8.4</v>
      </c>
      <c r="G43">
        <v>4.8</v>
      </c>
      <c r="H43">
        <v>1.7499998999999999</v>
      </c>
      <c r="I43">
        <v>-0.74999990000000005</v>
      </c>
      <c r="J43">
        <v>0.36363636999999999</v>
      </c>
    </row>
    <row r="44" spans="1:10" x14ac:dyDescent="0.3">
      <c r="A44">
        <v>42</v>
      </c>
      <c r="B44">
        <v>690</v>
      </c>
      <c r="C44" t="b">
        <v>1</v>
      </c>
      <c r="D44">
        <v>8048</v>
      </c>
      <c r="E44">
        <v>8123</v>
      </c>
      <c r="F44">
        <v>8.4</v>
      </c>
      <c r="G44">
        <v>4.8</v>
      </c>
      <c r="H44">
        <v>1.7499998999999999</v>
      </c>
      <c r="I44">
        <v>-0.74999990000000005</v>
      </c>
      <c r="J44">
        <v>0.36363636999999999</v>
      </c>
    </row>
    <row r="45" spans="1:10" x14ac:dyDescent="0.3">
      <c r="A45">
        <v>43</v>
      </c>
      <c r="B45">
        <v>706</v>
      </c>
      <c r="C45" t="b">
        <v>1</v>
      </c>
      <c r="D45">
        <v>8054</v>
      </c>
      <c r="E45">
        <v>8123</v>
      </c>
      <c r="F45">
        <v>8.4</v>
      </c>
      <c r="G45">
        <v>4.8</v>
      </c>
      <c r="H45">
        <v>1.7499998999999999</v>
      </c>
      <c r="I45">
        <v>-0.74999990000000005</v>
      </c>
      <c r="J45">
        <v>0.36363636999999999</v>
      </c>
    </row>
    <row r="46" spans="1:10" x14ac:dyDescent="0.3">
      <c r="A46">
        <v>44</v>
      </c>
      <c r="B46">
        <v>721</v>
      </c>
      <c r="C46" t="b">
        <v>1</v>
      </c>
      <c r="D46">
        <v>8048</v>
      </c>
      <c r="E46">
        <v>8117</v>
      </c>
      <c r="F46">
        <v>8.4</v>
      </c>
      <c r="G46">
        <v>4.8</v>
      </c>
      <c r="H46">
        <v>1.7499998999999999</v>
      </c>
      <c r="I46">
        <v>-0.74999990000000005</v>
      </c>
      <c r="J46">
        <v>0.36363636999999999</v>
      </c>
    </row>
    <row r="47" spans="1:10" x14ac:dyDescent="0.3">
      <c r="A47">
        <v>45</v>
      </c>
      <c r="B47">
        <v>737</v>
      </c>
      <c r="C47" t="b">
        <v>1</v>
      </c>
      <c r="D47">
        <v>8048</v>
      </c>
      <c r="E47">
        <v>8123</v>
      </c>
      <c r="F47">
        <v>8.4</v>
      </c>
      <c r="G47">
        <v>4.8</v>
      </c>
      <c r="H47">
        <v>1.7499998999999999</v>
      </c>
      <c r="I47">
        <v>-0.74999990000000005</v>
      </c>
      <c r="J47">
        <v>0.36363636999999999</v>
      </c>
    </row>
    <row r="48" spans="1:10" x14ac:dyDescent="0.3">
      <c r="A48">
        <v>46</v>
      </c>
      <c r="B48">
        <v>753</v>
      </c>
      <c r="C48" t="b">
        <v>1</v>
      </c>
      <c r="D48">
        <v>8048</v>
      </c>
      <c r="E48">
        <v>8117</v>
      </c>
      <c r="F48">
        <v>8.4</v>
      </c>
      <c r="G48">
        <v>4.8</v>
      </c>
      <c r="H48">
        <v>1.7499998999999999</v>
      </c>
      <c r="I48">
        <v>-0.74999990000000005</v>
      </c>
      <c r="J48">
        <v>0.36363636999999999</v>
      </c>
    </row>
    <row r="49" spans="1:10" x14ac:dyDescent="0.3">
      <c r="A49">
        <v>47</v>
      </c>
      <c r="B49">
        <v>769</v>
      </c>
      <c r="C49" t="b">
        <v>1</v>
      </c>
      <c r="D49">
        <v>8048</v>
      </c>
      <c r="E49">
        <v>8123</v>
      </c>
      <c r="F49">
        <v>8.4</v>
      </c>
      <c r="G49">
        <v>5.2</v>
      </c>
      <c r="H49">
        <v>1.6153846000000001</v>
      </c>
      <c r="I49">
        <v>-0.61538459999999995</v>
      </c>
      <c r="J49">
        <v>0.38235295000000002</v>
      </c>
    </row>
    <row r="50" spans="1:10" x14ac:dyDescent="0.3">
      <c r="A50">
        <v>48</v>
      </c>
      <c r="B50">
        <v>785</v>
      </c>
      <c r="C50" t="b">
        <v>1</v>
      </c>
      <c r="D50">
        <v>8048</v>
      </c>
      <c r="E50">
        <v>8123</v>
      </c>
      <c r="F50">
        <v>8</v>
      </c>
      <c r="G50">
        <v>5.6</v>
      </c>
      <c r="H50">
        <v>1.4285715000000001</v>
      </c>
      <c r="I50">
        <v>-0.42857146000000002</v>
      </c>
      <c r="J50">
        <v>0.41176467999999999</v>
      </c>
    </row>
    <row r="51" spans="1:10" x14ac:dyDescent="0.3">
      <c r="A51">
        <v>49</v>
      </c>
      <c r="B51">
        <v>801</v>
      </c>
      <c r="C51" t="b">
        <v>1</v>
      </c>
      <c r="D51">
        <v>8048</v>
      </c>
      <c r="E51">
        <v>8123</v>
      </c>
      <c r="F51">
        <v>8</v>
      </c>
      <c r="G51">
        <v>6</v>
      </c>
      <c r="H51">
        <v>1.3333333999999999</v>
      </c>
      <c r="I51">
        <v>-0.33333333999999998</v>
      </c>
      <c r="J51">
        <v>0.42857142999999998</v>
      </c>
    </row>
    <row r="52" spans="1:10" x14ac:dyDescent="0.3">
      <c r="A52">
        <v>50</v>
      </c>
      <c r="B52">
        <v>817</v>
      </c>
      <c r="C52" t="b">
        <v>1</v>
      </c>
      <c r="D52">
        <v>8048</v>
      </c>
      <c r="E52">
        <v>8117</v>
      </c>
      <c r="F52">
        <v>8</v>
      </c>
      <c r="G52">
        <v>6.4</v>
      </c>
      <c r="H52">
        <v>1.25</v>
      </c>
      <c r="I52">
        <v>-0.24999999000000001</v>
      </c>
      <c r="J52">
        <v>0.44444447999999998</v>
      </c>
    </row>
    <row r="53" spans="1:10" x14ac:dyDescent="0.3">
      <c r="A53">
        <v>51</v>
      </c>
      <c r="B53">
        <v>832</v>
      </c>
      <c r="C53" t="b">
        <v>1</v>
      </c>
      <c r="D53">
        <v>8048</v>
      </c>
      <c r="E53">
        <v>8123</v>
      </c>
      <c r="F53">
        <v>8</v>
      </c>
      <c r="G53">
        <v>6.8</v>
      </c>
      <c r="H53">
        <v>1.1764705</v>
      </c>
      <c r="I53">
        <v>-0.17647055</v>
      </c>
      <c r="J53">
        <v>0.45945944999999999</v>
      </c>
    </row>
    <row r="54" spans="1:10" x14ac:dyDescent="0.3">
      <c r="A54">
        <v>52</v>
      </c>
      <c r="B54">
        <v>848</v>
      </c>
      <c r="C54" t="b">
        <v>1</v>
      </c>
      <c r="D54">
        <v>8048</v>
      </c>
      <c r="E54">
        <v>8123</v>
      </c>
      <c r="F54">
        <v>8</v>
      </c>
      <c r="G54">
        <v>7.2</v>
      </c>
      <c r="H54">
        <v>1.1111112000000001</v>
      </c>
      <c r="I54">
        <v>-0.11111114</v>
      </c>
      <c r="J54">
        <v>0.4736842</v>
      </c>
    </row>
    <row r="55" spans="1:10" x14ac:dyDescent="0.3">
      <c r="A55">
        <v>53</v>
      </c>
      <c r="B55">
        <v>864</v>
      </c>
      <c r="C55" t="b">
        <v>1</v>
      </c>
      <c r="D55">
        <v>8048</v>
      </c>
      <c r="E55">
        <v>8123</v>
      </c>
      <c r="F55">
        <v>8</v>
      </c>
      <c r="G55">
        <v>7.6</v>
      </c>
      <c r="H55">
        <v>1.0526316</v>
      </c>
      <c r="I55">
        <v>-5.2631589999999999E-2</v>
      </c>
      <c r="J55">
        <v>0.48717946000000001</v>
      </c>
    </row>
    <row r="56" spans="1:10" x14ac:dyDescent="0.3">
      <c r="A56">
        <v>54</v>
      </c>
      <c r="B56">
        <v>880</v>
      </c>
      <c r="C56" t="b">
        <v>1</v>
      </c>
      <c r="D56">
        <v>8048</v>
      </c>
      <c r="E56">
        <v>8123</v>
      </c>
      <c r="F56">
        <v>8</v>
      </c>
      <c r="G56">
        <v>8</v>
      </c>
      <c r="H56">
        <v>1</v>
      </c>
      <c r="I56">
        <v>0</v>
      </c>
      <c r="J56">
        <v>0.5</v>
      </c>
    </row>
    <row r="57" spans="1:10" x14ac:dyDescent="0.3">
      <c r="A57">
        <v>55</v>
      </c>
      <c r="B57">
        <v>896</v>
      </c>
      <c r="C57" t="b">
        <v>1</v>
      </c>
      <c r="D57">
        <v>8048</v>
      </c>
      <c r="E57">
        <v>8117</v>
      </c>
      <c r="F57">
        <v>8</v>
      </c>
      <c r="G57">
        <v>8</v>
      </c>
      <c r="H57">
        <v>1</v>
      </c>
      <c r="I57">
        <v>0</v>
      </c>
      <c r="J57">
        <v>0.5</v>
      </c>
    </row>
    <row r="58" spans="1:10" x14ac:dyDescent="0.3">
      <c r="A58">
        <v>56</v>
      </c>
      <c r="B58">
        <v>912</v>
      </c>
      <c r="C58" t="b">
        <v>1</v>
      </c>
      <c r="D58">
        <v>8048</v>
      </c>
      <c r="E58">
        <v>8117</v>
      </c>
      <c r="F58">
        <v>8</v>
      </c>
      <c r="G58">
        <v>8</v>
      </c>
      <c r="H58">
        <v>1</v>
      </c>
      <c r="I58">
        <v>0</v>
      </c>
      <c r="J58">
        <v>0.5</v>
      </c>
    </row>
    <row r="59" spans="1:10" x14ac:dyDescent="0.3">
      <c r="A59">
        <v>57</v>
      </c>
      <c r="B59">
        <v>928</v>
      </c>
      <c r="C59" t="b">
        <v>1</v>
      </c>
      <c r="D59">
        <v>8048</v>
      </c>
      <c r="E59">
        <v>8117</v>
      </c>
      <c r="F59">
        <v>8</v>
      </c>
      <c r="G59">
        <v>7.6</v>
      </c>
      <c r="H59">
        <v>1.0526316</v>
      </c>
      <c r="I59">
        <v>-5.2631589999999999E-2</v>
      </c>
      <c r="J59">
        <v>0.48717946000000001</v>
      </c>
    </row>
    <row r="60" spans="1:10" x14ac:dyDescent="0.3">
      <c r="A60">
        <v>58</v>
      </c>
      <c r="B60">
        <v>944</v>
      </c>
      <c r="C60" t="b">
        <v>1</v>
      </c>
      <c r="D60">
        <v>8048</v>
      </c>
      <c r="E60">
        <v>8117</v>
      </c>
      <c r="F60">
        <v>8</v>
      </c>
      <c r="G60">
        <v>7.2</v>
      </c>
      <c r="H60">
        <v>1.1111112000000001</v>
      </c>
      <c r="I60">
        <v>-0.11111114</v>
      </c>
      <c r="J60">
        <v>0.4736842</v>
      </c>
    </row>
    <row r="61" spans="1:10" x14ac:dyDescent="0.3">
      <c r="A61">
        <v>59</v>
      </c>
      <c r="B61">
        <v>960</v>
      </c>
      <c r="C61" t="b">
        <v>1</v>
      </c>
      <c r="D61">
        <v>8048</v>
      </c>
      <c r="E61">
        <v>8117</v>
      </c>
      <c r="F61">
        <v>8</v>
      </c>
      <c r="G61">
        <v>6.8</v>
      </c>
      <c r="H61">
        <v>1.1764705</v>
      </c>
      <c r="I61">
        <v>-0.17647055</v>
      </c>
      <c r="J61">
        <v>0.45945944999999999</v>
      </c>
    </row>
    <row r="62" spans="1:10" x14ac:dyDescent="0.3">
      <c r="A62">
        <v>60</v>
      </c>
      <c r="B62">
        <v>975</v>
      </c>
      <c r="C62" t="b">
        <v>1</v>
      </c>
      <c r="D62">
        <v>8048</v>
      </c>
      <c r="E62">
        <v>8123</v>
      </c>
      <c r="F62">
        <v>8</v>
      </c>
      <c r="G62">
        <v>6.4</v>
      </c>
      <c r="H62">
        <v>1.25</v>
      </c>
      <c r="I62">
        <v>-0.24999999000000001</v>
      </c>
      <c r="J62">
        <v>0.44444447999999998</v>
      </c>
    </row>
    <row r="63" spans="1:10" x14ac:dyDescent="0.3">
      <c r="A63">
        <v>61</v>
      </c>
      <c r="B63">
        <v>991</v>
      </c>
      <c r="C63" t="b">
        <v>1</v>
      </c>
      <c r="D63">
        <v>8048</v>
      </c>
      <c r="E63">
        <v>8123</v>
      </c>
      <c r="F63">
        <v>8</v>
      </c>
      <c r="G63">
        <v>6</v>
      </c>
      <c r="H63">
        <v>1.3333333999999999</v>
      </c>
      <c r="I63">
        <v>-0.33333333999999998</v>
      </c>
      <c r="J63">
        <v>0.42857142999999998</v>
      </c>
    </row>
    <row r="64" spans="1:10" x14ac:dyDescent="0.3">
      <c r="A64">
        <v>62</v>
      </c>
      <c r="B64">
        <v>1007</v>
      </c>
      <c r="C64" t="b">
        <v>1</v>
      </c>
      <c r="D64">
        <v>8048</v>
      </c>
      <c r="E64">
        <v>8123</v>
      </c>
      <c r="F64">
        <v>8</v>
      </c>
      <c r="G64">
        <v>6</v>
      </c>
      <c r="H64">
        <v>1.3333333999999999</v>
      </c>
      <c r="I64">
        <v>-0.33333333999999998</v>
      </c>
      <c r="J64">
        <v>0.42857142999999998</v>
      </c>
    </row>
    <row r="65" spans="1:10" x14ac:dyDescent="0.3">
      <c r="A65">
        <v>63</v>
      </c>
      <c r="B65">
        <v>1023</v>
      </c>
      <c r="C65" t="b">
        <v>1</v>
      </c>
      <c r="D65">
        <v>8048</v>
      </c>
      <c r="E65">
        <v>8123</v>
      </c>
      <c r="F65">
        <v>8</v>
      </c>
      <c r="G65">
        <v>6</v>
      </c>
      <c r="H65">
        <v>1.3333333999999999</v>
      </c>
      <c r="I65">
        <v>-0.33333333999999998</v>
      </c>
      <c r="J65">
        <v>0.42857142999999998</v>
      </c>
    </row>
    <row r="66" spans="1:10" x14ac:dyDescent="0.3">
      <c r="A66">
        <v>64</v>
      </c>
      <c r="B66">
        <v>1039</v>
      </c>
      <c r="C66" t="b">
        <v>1</v>
      </c>
      <c r="D66">
        <v>8042</v>
      </c>
      <c r="E66">
        <v>8123</v>
      </c>
      <c r="F66">
        <v>8</v>
      </c>
      <c r="G66">
        <v>6</v>
      </c>
      <c r="H66">
        <v>1.3333333999999999</v>
      </c>
      <c r="I66">
        <v>-0.33333333999999998</v>
      </c>
      <c r="J66">
        <v>0.42857142999999998</v>
      </c>
    </row>
    <row r="67" spans="1:10" x14ac:dyDescent="0.3">
      <c r="A67">
        <v>65</v>
      </c>
      <c r="B67">
        <v>1055</v>
      </c>
      <c r="C67" t="b">
        <v>1</v>
      </c>
      <c r="D67">
        <v>8048</v>
      </c>
      <c r="E67">
        <v>8123</v>
      </c>
      <c r="F67">
        <v>8</v>
      </c>
      <c r="G67">
        <v>6</v>
      </c>
      <c r="H67">
        <v>1.3333333999999999</v>
      </c>
      <c r="I67">
        <v>-0.33333333999999998</v>
      </c>
      <c r="J67">
        <v>0.42857142999999998</v>
      </c>
    </row>
    <row r="68" spans="1:10" x14ac:dyDescent="0.3">
      <c r="A68">
        <v>66</v>
      </c>
      <c r="B68">
        <v>1071</v>
      </c>
      <c r="C68" t="b">
        <v>1</v>
      </c>
      <c r="D68">
        <v>8048</v>
      </c>
      <c r="E68">
        <v>8117</v>
      </c>
      <c r="F68">
        <v>8</v>
      </c>
      <c r="G68">
        <v>6</v>
      </c>
      <c r="H68">
        <v>1.3333333999999999</v>
      </c>
      <c r="I68">
        <v>-0.33333333999999998</v>
      </c>
      <c r="J68">
        <v>0.42857142999999998</v>
      </c>
    </row>
    <row r="69" spans="1:10" x14ac:dyDescent="0.3">
      <c r="A69">
        <v>67</v>
      </c>
      <c r="B69">
        <v>1087</v>
      </c>
      <c r="C69" t="b">
        <v>1</v>
      </c>
      <c r="D69">
        <v>8048</v>
      </c>
      <c r="E69">
        <v>8123</v>
      </c>
      <c r="F69">
        <v>8</v>
      </c>
      <c r="G69">
        <v>6</v>
      </c>
      <c r="H69">
        <v>1.3333333999999999</v>
      </c>
      <c r="I69">
        <v>-0.33333333999999998</v>
      </c>
      <c r="J69">
        <v>0.42857142999999998</v>
      </c>
    </row>
    <row r="70" spans="1:10" x14ac:dyDescent="0.3">
      <c r="A70">
        <v>68</v>
      </c>
      <c r="B70">
        <v>1103</v>
      </c>
      <c r="C70" t="b">
        <v>1</v>
      </c>
      <c r="D70">
        <v>8048</v>
      </c>
      <c r="E70">
        <v>8123</v>
      </c>
      <c r="F70">
        <v>8</v>
      </c>
      <c r="G70">
        <v>6</v>
      </c>
      <c r="H70">
        <v>1.3333333999999999</v>
      </c>
      <c r="I70">
        <v>-0.33333333999999998</v>
      </c>
      <c r="J70">
        <v>0.42857142999999998</v>
      </c>
    </row>
    <row r="71" spans="1:10" x14ac:dyDescent="0.3">
      <c r="A71">
        <v>69</v>
      </c>
      <c r="B71">
        <v>1119</v>
      </c>
      <c r="C71" t="b">
        <v>1</v>
      </c>
      <c r="D71">
        <v>8054</v>
      </c>
      <c r="E71">
        <v>8123</v>
      </c>
      <c r="F71">
        <v>8</v>
      </c>
      <c r="G71">
        <v>6</v>
      </c>
      <c r="H71">
        <v>1.3333333999999999</v>
      </c>
      <c r="I71">
        <v>-0.33333333999999998</v>
      </c>
      <c r="J71">
        <v>0.42857142999999998</v>
      </c>
    </row>
    <row r="72" spans="1:10" x14ac:dyDescent="0.3">
      <c r="A72">
        <v>70</v>
      </c>
      <c r="B72">
        <v>1135</v>
      </c>
      <c r="C72" t="b">
        <v>1</v>
      </c>
      <c r="D72">
        <v>8048</v>
      </c>
      <c r="E72">
        <v>8123</v>
      </c>
      <c r="F72">
        <v>8</v>
      </c>
      <c r="G72">
        <v>6</v>
      </c>
      <c r="H72">
        <v>1.3333333999999999</v>
      </c>
      <c r="I72">
        <v>-0.33333333999999998</v>
      </c>
      <c r="J72">
        <v>0.42857142999999998</v>
      </c>
    </row>
    <row r="73" spans="1:10" x14ac:dyDescent="0.3">
      <c r="A73">
        <v>71</v>
      </c>
      <c r="B73">
        <v>1151</v>
      </c>
      <c r="C73" t="b">
        <v>1</v>
      </c>
      <c r="D73">
        <v>8048</v>
      </c>
      <c r="E73">
        <v>8117</v>
      </c>
      <c r="F73">
        <v>8</v>
      </c>
      <c r="G73">
        <v>6</v>
      </c>
      <c r="H73">
        <v>1.3333333999999999</v>
      </c>
      <c r="I73">
        <v>-0.33333333999999998</v>
      </c>
      <c r="J73">
        <v>0.42857142999999998</v>
      </c>
    </row>
    <row r="74" spans="1:10" x14ac:dyDescent="0.3">
      <c r="A74">
        <v>72</v>
      </c>
      <c r="B74">
        <v>1167</v>
      </c>
      <c r="C74" t="b">
        <v>1</v>
      </c>
      <c r="D74">
        <v>8048</v>
      </c>
      <c r="E74">
        <v>8117</v>
      </c>
      <c r="F74">
        <v>8</v>
      </c>
      <c r="G74">
        <v>6.4</v>
      </c>
      <c r="H74">
        <v>1.25</v>
      </c>
      <c r="I74">
        <v>-0.24999999000000001</v>
      </c>
      <c r="J74">
        <v>0.44444447999999998</v>
      </c>
    </row>
    <row r="75" spans="1:10" x14ac:dyDescent="0.3">
      <c r="A75">
        <v>73</v>
      </c>
      <c r="B75">
        <v>1183</v>
      </c>
      <c r="C75" t="b">
        <v>1</v>
      </c>
      <c r="D75">
        <v>8048</v>
      </c>
      <c r="E75">
        <v>8129</v>
      </c>
      <c r="F75">
        <v>8</v>
      </c>
      <c r="G75">
        <v>6.8</v>
      </c>
      <c r="H75">
        <v>1.1764705</v>
      </c>
      <c r="I75">
        <v>-0.17647055</v>
      </c>
      <c r="J75">
        <v>0.45945944999999999</v>
      </c>
    </row>
    <row r="76" spans="1:10" x14ac:dyDescent="0.3">
      <c r="A76">
        <v>74</v>
      </c>
      <c r="B76">
        <v>1198</v>
      </c>
      <c r="C76" t="b">
        <v>1</v>
      </c>
      <c r="D76">
        <v>8048</v>
      </c>
      <c r="E76">
        <v>8123</v>
      </c>
      <c r="F76">
        <v>8</v>
      </c>
      <c r="G76">
        <v>7.2</v>
      </c>
      <c r="H76">
        <v>1.1111112000000001</v>
      </c>
      <c r="I76">
        <v>-0.11111114</v>
      </c>
      <c r="J76">
        <v>0.4736842</v>
      </c>
    </row>
    <row r="77" spans="1:10" x14ac:dyDescent="0.3">
      <c r="A77">
        <v>75</v>
      </c>
      <c r="B77">
        <v>1214</v>
      </c>
      <c r="C77" t="b">
        <v>1</v>
      </c>
      <c r="D77">
        <v>8048</v>
      </c>
      <c r="E77">
        <v>8123</v>
      </c>
      <c r="F77">
        <v>8</v>
      </c>
      <c r="G77">
        <v>7.6</v>
      </c>
      <c r="H77">
        <v>1.0526316</v>
      </c>
      <c r="I77">
        <v>-5.2631589999999999E-2</v>
      </c>
      <c r="J77">
        <v>0.48717946000000001</v>
      </c>
    </row>
    <row r="78" spans="1:10" x14ac:dyDescent="0.3">
      <c r="A78">
        <v>76</v>
      </c>
      <c r="B78">
        <v>1230</v>
      </c>
      <c r="C78" t="b">
        <v>1</v>
      </c>
      <c r="D78">
        <v>8042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1246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1261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1277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1293</v>
      </c>
      <c r="C82" t="b">
        <v>1</v>
      </c>
      <c r="D82">
        <v>8048</v>
      </c>
      <c r="E82">
        <v>8117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1308</v>
      </c>
      <c r="C83" t="b">
        <v>1</v>
      </c>
      <c r="D83">
        <v>8048</v>
      </c>
      <c r="E83">
        <v>8123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1324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1340</v>
      </c>
      <c r="C85" t="b">
        <v>1</v>
      </c>
      <c r="D85">
        <v>8054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1356</v>
      </c>
      <c r="C86" t="b">
        <v>1</v>
      </c>
      <c r="D86">
        <v>8048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1372</v>
      </c>
      <c r="C87" t="b">
        <v>1</v>
      </c>
      <c r="D87">
        <v>8048</v>
      </c>
      <c r="E87">
        <v>8123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1388</v>
      </c>
      <c r="C88" t="b">
        <v>1</v>
      </c>
      <c r="D88">
        <v>8048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1403</v>
      </c>
      <c r="C89" t="b">
        <v>1</v>
      </c>
      <c r="D89">
        <v>8048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1419</v>
      </c>
      <c r="C90" t="b">
        <v>1</v>
      </c>
      <c r="D90">
        <v>8048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1435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1451</v>
      </c>
      <c r="C92" t="b">
        <v>1</v>
      </c>
      <c r="D92">
        <v>8048</v>
      </c>
      <c r="E92">
        <v>8123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1467</v>
      </c>
      <c r="C93" t="b">
        <v>1</v>
      </c>
      <c r="D93">
        <v>8048</v>
      </c>
      <c r="E93">
        <v>8123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1483</v>
      </c>
      <c r="C94" t="b">
        <v>1</v>
      </c>
      <c r="D94">
        <v>8048</v>
      </c>
      <c r="E94">
        <v>8129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1499</v>
      </c>
      <c r="C95" t="b">
        <v>1</v>
      </c>
      <c r="D95">
        <v>8048</v>
      </c>
      <c r="E95">
        <v>8129</v>
      </c>
      <c r="F95">
        <v>8</v>
      </c>
      <c r="G95">
        <v>8</v>
      </c>
      <c r="H95">
        <v>1</v>
      </c>
      <c r="I95">
        <v>0</v>
      </c>
      <c r="J95">
        <v>0.5</v>
      </c>
    </row>
    <row r="96" spans="1:10" x14ac:dyDescent="0.3">
      <c r="A96">
        <v>94</v>
      </c>
      <c r="B96">
        <v>1515</v>
      </c>
      <c r="C96" t="b">
        <v>1</v>
      </c>
      <c r="D96">
        <v>8048</v>
      </c>
      <c r="E96">
        <v>8129</v>
      </c>
      <c r="F96">
        <v>8</v>
      </c>
      <c r="G96">
        <v>8.4</v>
      </c>
      <c r="H96">
        <v>0.95238100000000003</v>
      </c>
      <c r="I96">
        <v>4.7619003999999999E-2</v>
      </c>
      <c r="J96">
        <v>0.51219510000000001</v>
      </c>
    </row>
    <row r="97" spans="1:10" x14ac:dyDescent="0.3">
      <c r="A97">
        <v>95</v>
      </c>
      <c r="B97">
        <v>1531</v>
      </c>
      <c r="C97" t="b">
        <v>1</v>
      </c>
      <c r="D97">
        <v>8048</v>
      </c>
      <c r="E97">
        <v>8129</v>
      </c>
      <c r="F97">
        <v>8</v>
      </c>
      <c r="G97">
        <v>8.8000000000000007</v>
      </c>
      <c r="H97">
        <v>0.90909090000000004</v>
      </c>
      <c r="I97">
        <v>9.0909110000000001E-2</v>
      </c>
      <c r="J97">
        <v>0.52380954999999996</v>
      </c>
    </row>
    <row r="98" spans="1:10" x14ac:dyDescent="0.3">
      <c r="A98">
        <v>96</v>
      </c>
      <c r="B98">
        <v>1546</v>
      </c>
      <c r="C98" t="b">
        <v>1</v>
      </c>
      <c r="D98">
        <v>8048</v>
      </c>
      <c r="E98">
        <v>8123</v>
      </c>
      <c r="F98">
        <v>8</v>
      </c>
      <c r="G98">
        <v>9.1999999999999993</v>
      </c>
      <c r="H98">
        <v>0.86956524999999996</v>
      </c>
      <c r="I98">
        <v>0.13043477000000001</v>
      </c>
      <c r="J98">
        <v>0.53488369999999996</v>
      </c>
    </row>
    <row r="99" spans="1:10" x14ac:dyDescent="0.3">
      <c r="A99">
        <v>97</v>
      </c>
      <c r="B99">
        <v>1563</v>
      </c>
      <c r="C99" t="b">
        <v>1</v>
      </c>
      <c r="D99">
        <v>8048</v>
      </c>
      <c r="E99">
        <v>8129</v>
      </c>
      <c r="F99">
        <v>8</v>
      </c>
      <c r="G99">
        <v>9.6</v>
      </c>
      <c r="H99">
        <v>0.83333330000000005</v>
      </c>
      <c r="I99">
        <v>0.1666667</v>
      </c>
      <c r="J99">
        <v>0.54545456000000003</v>
      </c>
    </row>
    <row r="100" spans="1:10" x14ac:dyDescent="0.3">
      <c r="A100">
        <v>98</v>
      </c>
      <c r="B100">
        <v>1578</v>
      </c>
      <c r="C100" t="b">
        <v>1</v>
      </c>
      <c r="D100">
        <v>8048</v>
      </c>
      <c r="E100">
        <v>8123</v>
      </c>
      <c r="F100">
        <v>8</v>
      </c>
      <c r="G100">
        <v>10</v>
      </c>
      <c r="H100">
        <v>0.8</v>
      </c>
      <c r="I100">
        <v>0.2</v>
      </c>
      <c r="J100">
        <v>0.55555560000000004</v>
      </c>
    </row>
    <row r="101" spans="1:10" x14ac:dyDescent="0.3">
      <c r="A101">
        <v>99</v>
      </c>
      <c r="B101">
        <v>1594</v>
      </c>
      <c r="C101" t="b">
        <v>1</v>
      </c>
      <c r="D101">
        <v>8048</v>
      </c>
      <c r="E101">
        <v>8123</v>
      </c>
      <c r="F101">
        <v>8</v>
      </c>
      <c r="G101">
        <v>10</v>
      </c>
      <c r="H101">
        <v>0.8</v>
      </c>
      <c r="I101">
        <v>0.2</v>
      </c>
      <c r="J101">
        <v>0.55555560000000004</v>
      </c>
    </row>
    <row r="102" spans="1:10" x14ac:dyDescent="0.3">
      <c r="A102">
        <v>100</v>
      </c>
      <c r="B102">
        <v>1610</v>
      </c>
      <c r="C102" t="b">
        <v>1</v>
      </c>
      <c r="D102">
        <v>8042</v>
      </c>
      <c r="E102">
        <v>8123</v>
      </c>
      <c r="F102">
        <v>8</v>
      </c>
      <c r="G102">
        <v>10</v>
      </c>
      <c r="H102">
        <v>0.8</v>
      </c>
      <c r="I102">
        <v>0.2</v>
      </c>
      <c r="J102">
        <v>0.55555560000000004</v>
      </c>
    </row>
    <row r="103" spans="1:10" x14ac:dyDescent="0.3">
      <c r="A103">
        <v>101</v>
      </c>
      <c r="B103">
        <v>1626</v>
      </c>
      <c r="C103" t="b">
        <v>1</v>
      </c>
      <c r="D103">
        <v>8048</v>
      </c>
      <c r="E103">
        <v>8123</v>
      </c>
      <c r="F103">
        <v>8</v>
      </c>
      <c r="G103">
        <v>10</v>
      </c>
      <c r="H103">
        <v>0.8</v>
      </c>
      <c r="I103">
        <v>0.2</v>
      </c>
      <c r="J103">
        <v>0.55555560000000004</v>
      </c>
    </row>
    <row r="104" spans="1:10" x14ac:dyDescent="0.3">
      <c r="A104">
        <v>102</v>
      </c>
      <c r="B104">
        <v>1642</v>
      </c>
      <c r="C104" t="b">
        <v>1</v>
      </c>
      <c r="D104">
        <v>8042</v>
      </c>
      <c r="E104">
        <v>8123</v>
      </c>
      <c r="F104">
        <v>8</v>
      </c>
      <c r="G104">
        <v>10</v>
      </c>
      <c r="H104">
        <v>0.8</v>
      </c>
      <c r="I104">
        <v>0.2</v>
      </c>
      <c r="J104">
        <v>0.55555560000000004</v>
      </c>
    </row>
    <row r="105" spans="1:10" x14ac:dyDescent="0.3">
      <c r="A105">
        <v>103</v>
      </c>
      <c r="B105">
        <v>1658</v>
      </c>
      <c r="C105" t="b">
        <v>1</v>
      </c>
      <c r="D105">
        <v>8042</v>
      </c>
      <c r="E105">
        <v>8123</v>
      </c>
      <c r="F105">
        <v>7.6</v>
      </c>
      <c r="G105">
        <v>10</v>
      </c>
      <c r="H105">
        <v>0.76</v>
      </c>
      <c r="I105">
        <v>0.24000001000000001</v>
      </c>
      <c r="J105">
        <v>0.56818179999999996</v>
      </c>
    </row>
    <row r="106" spans="1:10" x14ac:dyDescent="0.3">
      <c r="A106">
        <v>104</v>
      </c>
      <c r="B106">
        <v>1674</v>
      </c>
      <c r="C106" t="b">
        <v>1</v>
      </c>
      <c r="D106">
        <v>8042</v>
      </c>
      <c r="E106">
        <v>8123</v>
      </c>
      <c r="F106">
        <v>7.2</v>
      </c>
      <c r="G106">
        <v>10</v>
      </c>
      <c r="H106">
        <v>0.71999997000000004</v>
      </c>
      <c r="I106">
        <v>0.28000003000000001</v>
      </c>
      <c r="J106">
        <v>0.58139529999999995</v>
      </c>
    </row>
    <row r="107" spans="1:10" x14ac:dyDescent="0.3">
      <c r="A107">
        <v>105</v>
      </c>
      <c r="B107">
        <v>1690</v>
      </c>
      <c r="C107" t="b">
        <v>1</v>
      </c>
      <c r="D107">
        <v>8042</v>
      </c>
      <c r="E107">
        <v>8123</v>
      </c>
      <c r="F107">
        <v>6.8</v>
      </c>
      <c r="G107">
        <v>10</v>
      </c>
      <c r="H107">
        <v>0.68</v>
      </c>
      <c r="I107">
        <v>0.32</v>
      </c>
      <c r="J107">
        <v>0.59523815000000002</v>
      </c>
    </row>
    <row r="108" spans="1:10" x14ac:dyDescent="0.3">
      <c r="A108">
        <v>106</v>
      </c>
      <c r="B108">
        <v>1706</v>
      </c>
      <c r="C108" t="b">
        <v>1</v>
      </c>
      <c r="D108">
        <v>8037</v>
      </c>
      <c r="E108">
        <v>8123</v>
      </c>
      <c r="F108">
        <v>6.4</v>
      </c>
      <c r="G108">
        <v>10</v>
      </c>
      <c r="H108">
        <v>0.64</v>
      </c>
      <c r="I108">
        <v>0.35999998</v>
      </c>
      <c r="J108">
        <v>0.60975610000000002</v>
      </c>
    </row>
    <row r="109" spans="1:10" x14ac:dyDescent="0.3">
      <c r="A109">
        <v>107</v>
      </c>
      <c r="B109">
        <v>1722</v>
      </c>
      <c r="C109" t="b">
        <v>1</v>
      </c>
      <c r="D109">
        <v>8048</v>
      </c>
      <c r="E109">
        <v>8123</v>
      </c>
      <c r="F109">
        <v>6</v>
      </c>
      <c r="G109">
        <v>10</v>
      </c>
      <c r="H109">
        <v>0.6</v>
      </c>
      <c r="I109">
        <v>0.4</v>
      </c>
      <c r="J109">
        <v>0.625</v>
      </c>
    </row>
    <row r="110" spans="1:10" x14ac:dyDescent="0.3">
      <c r="A110">
        <v>108</v>
      </c>
      <c r="B110">
        <v>1738</v>
      </c>
      <c r="C110" t="b">
        <v>1</v>
      </c>
      <c r="D110">
        <v>8048</v>
      </c>
      <c r="E110">
        <v>8123</v>
      </c>
      <c r="F110">
        <v>5.6</v>
      </c>
      <c r="G110">
        <v>10</v>
      </c>
      <c r="H110">
        <v>0.56000000000000005</v>
      </c>
      <c r="I110">
        <v>0.44</v>
      </c>
      <c r="J110">
        <v>0.64102559999999997</v>
      </c>
    </row>
    <row r="111" spans="1:10" x14ac:dyDescent="0.3">
      <c r="A111">
        <v>109</v>
      </c>
      <c r="B111">
        <v>1754</v>
      </c>
      <c r="C111" t="b">
        <v>1</v>
      </c>
      <c r="D111">
        <v>8048</v>
      </c>
      <c r="E111">
        <v>8123</v>
      </c>
      <c r="F111">
        <v>5.6</v>
      </c>
      <c r="G111">
        <v>9.6</v>
      </c>
      <c r="H111">
        <v>0.58333330000000005</v>
      </c>
      <c r="I111">
        <v>0.4166667</v>
      </c>
      <c r="J111">
        <v>0.63157890000000005</v>
      </c>
    </row>
    <row r="112" spans="1:10" x14ac:dyDescent="0.3">
      <c r="A112">
        <v>110</v>
      </c>
      <c r="B112">
        <v>1770</v>
      </c>
      <c r="C112" t="b">
        <v>1</v>
      </c>
      <c r="D112">
        <v>8048</v>
      </c>
      <c r="E112">
        <v>8123</v>
      </c>
      <c r="F112">
        <v>5.6</v>
      </c>
      <c r="G112">
        <v>9.1999999999999993</v>
      </c>
      <c r="H112">
        <v>0.6086956</v>
      </c>
      <c r="I112">
        <v>0.39130433999999997</v>
      </c>
      <c r="J112">
        <v>0.62162167000000002</v>
      </c>
    </row>
    <row r="113" spans="1:10" x14ac:dyDescent="0.3">
      <c r="A113">
        <v>111</v>
      </c>
      <c r="B113">
        <v>1786</v>
      </c>
      <c r="C113" t="b">
        <v>1</v>
      </c>
      <c r="D113">
        <v>8048</v>
      </c>
      <c r="E113">
        <v>8123</v>
      </c>
      <c r="F113">
        <v>5.6</v>
      </c>
      <c r="G113">
        <v>8.8000000000000007</v>
      </c>
      <c r="H113">
        <v>0.63636360000000003</v>
      </c>
      <c r="I113">
        <v>0.36363636999999999</v>
      </c>
      <c r="J113">
        <v>0.61111115999999999</v>
      </c>
    </row>
    <row r="114" spans="1:10" x14ac:dyDescent="0.3">
      <c r="A114">
        <v>112</v>
      </c>
      <c r="B114">
        <v>1802</v>
      </c>
      <c r="C114" t="b">
        <v>1</v>
      </c>
      <c r="D114">
        <v>8054</v>
      </c>
      <c r="E114">
        <v>8117</v>
      </c>
      <c r="F114">
        <v>5.6</v>
      </c>
      <c r="G114">
        <v>8.4</v>
      </c>
      <c r="H114">
        <v>0.66666669999999995</v>
      </c>
      <c r="I114">
        <v>0.3333333</v>
      </c>
      <c r="J114">
        <v>0.59999996</v>
      </c>
    </row>
    <row r="115" spans="1:10" x14ac:dyDescent="0.3">
      <c r="A115">
        <v>113</v>
      </c>
      <c r="B115">
        <v>1818</v>
      </c>
      <c r="C115" t="b">
        <v>1</v>
      </c>
      <c r="D115">
        <v>8048</v>
      </c>
      <c r="E115">
        <v>8123</v>
      </c>
      <c r="F115">
        <v>5.6</v>
      </c>
      <c r="G115">
        <v>8</v>
      </c>
      <c r="H115">
        <v>0.7</v>
      </c>
      <c r="I115">
        <v>0.3</v>
      </c>
      <c r="J115">
        <v>0.58823526000000004</v>
      </c>
    </row>
    <row r="116" spans="1:10" x14ac:dyDescent="0.3">
      <c r="A116">
        <v>114</v>
      </c>
      <c r="B116">
        <v>1833</v>
      </c>
      <c r="C116" t="b">
        <v>1</v>
      </c>
      <c r="D116">
        <v>8048</v>
      </c>
      <c r="E116">
        <v>8123</v>
      </c>
      <c r="F116">
        <v>5.6</v>
      </c>
      <c r="G116">
        <v>8</v>
      </c>
      <c r="H116">
        <v>0.7</v>
      </c>
      <c r="I116">
        <v>0.3</v>
      </c>
      <c r="J116">
        <v>0.58823526000000004</v>
      </c>
    </row>
    <row r="117" spans="1:10" x14ac:dyDescent="0.3">
      <c r="A117">
        <v>115</v>
      </c>
      <c r="B117">
        <v>1849</v>
      </c>
      <c r="C117" t="b">
        <v>1</v>
      </c>
      <c r="D117">
        <v>8048</v>
      </c>
      <c r="E117">
        <v>8117</v>
      </c>
      <c r="F117">
        <v>5.6</v>
      </c>
      <c r="G117">
        <v>8</v>
      </c>
      <c r="H117">
        <v>0.7</v>
      </c>
      <c r="I117">
        <v>0.3</v>
      </c>
      <c r="J117">
        <v>0.58823526000000004</v>
      </c>
    </row>
    <row r="118" spans="1:10" x14ac:dyDescent="0.3">
      <c r="A118">
        <v>116</v>
      </c>
      <c r="B118">
        <v>1865</v>
      </c>
      <c r="C118" t="b">
        <v>1</v>
      </c>
      <c r="D118">
        <v>8048</v>
      </c>
      <c r="E118">
        <v>8123</v>
      </c>
      <c r="F118">
        <v>5.6</v>
      </c>
      <c r="G118">
        <v>8</v>
      </c>
      <c r="H118">
        <v>0.7</v>
      </c>
      <c r="I118">
        <v>0.3</v>
      </c>
      <c r="J118">
        <v>0.58823526000000004</v>
      </c>
    </row>
    <row r="119" spans="1:10" x14ac:dyDescent="0.3">
      <c r="A119">
        <v>117</v>
      </c>
      <c r="B119">
        <v>1881</v>
      </c>
      <c r="C119" t="b">
        <v>1</v>
      </c>
      <c r="D119">
        <v>8048</v>
      </c>
      <c r="E119">
        <v>8117</v>
      </c>
      <c r="F119">
        <v>5.6</v>
      </c>
      <c r="G119">
        <v>8</v>
      </c>
      <c r="H119">
        <v>0.7</v>
      </c>
      <c r="I119">
        <v>0.3</v>
      </c>
      <c r="J119">
        <v>0.58823526000000004</v>
      </c>
    </row>
    <row r="120" spans="1:10" x14ac:dyDescent="0.3">
      <c r="A120">
        <v>118</v>
      </c>
      <c r="B120">
        <v>1897</v>
      </c>
      <c r="C120" t="b">
        <v>1</v>
      </c>
      <c r="D120">
        <v>8054</v>
      </c>
      <c r="E120">
        <v>8123</v>
      </c>
      <c r="F120">
        <v>6</v>
      </c>
      <c r="G120">
        <v>8</v>
      </c>
      <c r="H120">
        <v>0.75</v>
      </c>
      <c r="I120">
        <v>0.25</v>
      </c>
      <c r="J120">
        <v>0.57142859999999995</v>
      </c>
    </row>
    <row r="121" spans="1:10" x14ac:dyDescent="0.3">
      <c r="A121">
        <v>119</v>
      </c>
      <c r="B121">
        <v>1912</v>
      </c>
      <c r="C121" t="b">
        <v>1</v>
      </c>
      <c r="D121">
        <v>8048</v>
      </c>
      <c r="E121">
        <v>8123</v>
      </c>
      <c r="F121">
        <v>6.4</v>
      </c>
      <c r="G121">
        <v>8</v>
      </c>
      <c r="H121">
        <v>0.8</v>
      </c>
      <c r="I121">
        <v>0.19999998999999999</v>
      </c>
      <c r="J121">
        <v>0.55555560000000004</v>
      </c>
    </row>
    <row r="122" spans="1:10" x14ac:dyDescent="0.3">
      <c r="A122">
        <v>120</v>
      </c>
      <c r="B122">
        <v>1928</v>
      </c>
      <c r="C122" t="b">
        <v>1</v>
      </c>
      <c r="D122">
        <v>8048</v>
      </c>
      <c r="E122">
        <v>8117</v>
      </c>
      <c r="F122">
        <v>6.8</v>
      </c>
      <c r="G122">
        <v>8</v>
      </c>
      <c r="H122">
        <v>0.85</v>
      </c>
      <c r="I122">
        <v>0.14999998</v>
      </c>
      <c r="J122">
        <v>0.54054049999999998</v>
      </c>
    </row>
    <row r="123" spans="1:10" x14ac:dyDescent="0.3">
      <c r="A123">
        <v>121</v>
      </c>
      <c r="B123">
        <v>1944</v>
      </c>
      <c r="C123" t="b">
        <v>1</v>
      </c>
      <c r="D123">
        <v>8054</v>
      </c>
      <c r="E123">
        <v>8123</v>
      </c>
      <c r="F123">
        <v>7.2</v>
      </c>
      <c r="G123">
        <v>8</v>
      </c>
      <c r="H123">
        <v>0.9</v>
      </c>
      <c r="I123">
        <v>0.10000002400000001</v>
      </c>
      <c r="J123">
        <v>0.5263158</v>
      </c>
    </row>
    <row r="124" spans="1:10" x14ac:dyDescent="0.3">
      <c r="A124">
        <v>122</v>
      </c>
      <c r="B124">
        <v>1960</v>
      </c>
      <c r="C124" t="b">
        <v>1</v>
      </c>
      <c r="D124">
        <v>8048</v>
      </c>
      <c r="E124">
        <v>8123</v>
      </c>
      <c r="F124">
        <v>7.6</v>
      </c>
      <c r="G124">
        <v>8</v>
      </c>
      <c r="H124">
        <v>0.95</v>
      </c>
      <c r="I124">
        <v>5.0000012000000003E-2</v>
      </c>
      <c r="J124">
        <v>0.51282050000000001</v>
      </c>
    </row>
    <row r="125" spans="1:10" x14ac:dyDescent="0.3">
      <c r="A125">
        <v>123</v>
      </c>
      <c r="B125">
        <v>1975</v>
      </c>
      <c r="C125" t="b">
        <v>1</v>
      </c>
      <c r="D125">
        <v>8048</v>
      </c>
      <c r="E125">
        <v>8123</v>
      </c>
      <c r="F125">
        <v>8</v>
      </c>
      <c r="G125">
        <v>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1992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2008</v>
      </c>
      <c r="C127" t="b">
        <v>1</v>
      </c>
      <c r="D127">
        <v>8048</v>
      </c>
      <c r="E127">
        <v>8117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2024</v>
      </c>
      <c r="C128" t="b">
        <v>1</v>
      </c>
      <c r="D128">
        <v>8048</v>
      </c>
      <c r="E128">
        <v>8117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2039</v>
      </c>
      <c r="C129" t="b">
        <v>1</v>
      </c>
      <c r="D129">
        <v>8054</v>
      </c>
      <c r="E129">
        <v>8117</v>
      </c>
      <c r="F129">
        <v>8</v>
      </c>
      <c r="G129">
        <v>7.6</v>
      </c>
      <c r="H129">
        <v>1.0526316</v>
      </c>
      <c r="I129">
        <v>-5.2631589999999999E-2</v>
      </c>
      <c r="J129">
        <v>0.48717946000000001</v>
      </c>
    </row>
    <row r="130" spans="1:10" x14ac:dyDescent="0.3">
      <c r="A130">
        <v>128</v>
      </c>
      <c r="B130">
        <v>2055</v>
      </c>
      <c r="C130" t="b">
        <v>1</v>
      </c>
      <c r="D130">
        <v>8048</v>
      </c>
      <c r="E130">
        <v>8117</v>
      </c>
      <c r="F130">
        <v>8</v>
      </c>
      <c r="G130">
        <v>7.2</v>
      </c>
      <c r="H130">
        <v>1.1111112000000001</v>
      </c>
      <c r="I130">
        <v>-0.11111114</v>
      </c>
      <c r="J130">
        <v>0.4736842</v>
      </c>
    </row>
    <row r="131" spans="1:10" x14ac:dyDescent="0.3">
      <c r="A131">
        <v>129</v>
      </c>
      <c r="B131">
        <v>2071</v>
      </c>
      <c r="C131" t="b">
        <v>1</v>
      </c>
      <c r="D131">
        <v>8048</v>
      </c>
      <c r="E131">
        <v>8123</v>
      </c>
      <c r="F131">
        <v>8</v>
      </c>
      <c r="G131">
        <v>6.8</v>
      </c>
      <c r="H131">
        <v>1.1764705</v>
      </c>
      <c r="I131">
        <v>-0.17647055</v>
      </c>
      <c r="J131">
        <v>0.45945944999999999</v>
      </c>
    </row>
    <row r="132" spans="1:10" x14ac:dyDescent="0.3">
      <c r="A132">
        <v>130</v>
      </c>
      <c r="B132">
        <v>2087</v>
      </c>
      <c r="C132" t="b">
        <v>1</v>
      </c>
      <c r="D132">
        <v>8048</v>
      </c>
      <c r="E132">
        <v>8123</v>
      </c>
      <c r="F132">
        <v>8</v>
      </c>
      <c r="G132">
        <v>6.4</v>
      </c>
      <c r="H132">
        <v>1.25</v>
      </c>
      <c r="I132">
        <v>-0.24999999000000001</v>
      </c>
      <c r="J132">
        <v>0.44444447999999998</v>
      </c>
    </row>
    <row r="133" spans="1:10" x14ac:dyDescent="0.3">
      <c r="A133">
        <v>131</v>
      </c>
      <c r="B133">
        <v>2103</v>
      </c>
      <c r="C133" t="b">
        <v>1</v>
      </c>
      <c r="D133">
        <v>8048</v>
      </c>
      <c r="E133">
        <v>8123</v>
      </c>
      <c r="F133">
        <v>8</v>
      </c>
      <c r="G133">
        <v>6.4</v>
      </c>
      <c r="H133">
        <v>1.25</v>
      </c>
      <c r="I133">
        <v>-0.24999999000000001</v>
      </c>
      <c r="J133">
        <v>0.44444447999999998</v>
      </c>
    </row>
    <row r="134" spans="1:10" x14ac:dyDescent="0.3">
      <c r="A134">
        <v>132</v>
      </c>
      <c r="B134">
        <v>2119</v>
      </c>
      <c r="C134" t="b">
        <v>1</v>
      </c>
      <c r="D134">
        <v>8048</v>
      </c>
      <c r="E134">
        <v>8117</v>
      </c>
      <c r="F134">
        <v>8</v>
      </c>
      <c r="G134">
        <v>6.4</v>
      </c>
      <c r="H134">
        <v>1.25</v>
      </c>
      <c r="I134">
        <v>-0.24999999000000001</v>
      </c>
      <c r="J134">
        <v>0.44444447999999998</v>
      </c>
    </row>
    <row r="135" spans="1:10" x14ac:dyDescent="0.3">
      <c r="A135">
        <v>133</v>
      </c>
      <c r="B135">
        <v>2135</v>
      </c>
      <c r="C135" t="b">
        <v>1</v>
      </c>
      <c r="D135">
        <v>8048</v>
      </c>
      <c r="E135">
        <v>8123</v>
      </c>
      <c r="F135">
        <v>8</v>
      </c>
      <c r="G135">
        <v>6.4</v>
      </c>
      <c r="H135">
        <v>1.25</v>
      </c>
      <c r="I135">
        <v>-0.24999999000000001</v>
      </c>
      <c r="J135">
        <v>0.44444447999999998</v>
      </c>
    </row>
    <row r="136" spans="1:10" x14ac:dyDescent="0.3">
      <c r="A136">
        <v>134</v>
      </c>
      <c r="B136">
        <v>2151</v>
      </c>
      <c r="C136" t="b">
        <v>1</v>
      </c>
      <c r="D136">
        <v>8048</v>
      </c>
      <c r="E136">
        <v>8123</v>
      </c>
      <c r="F136">
        <v>8</v>
      </c>
      <c r="G136">
        <v>6.4</v>
      </c>
      <c r="H136">
        <v>1.25</v>
      </c>
      <c r="I136">
        <v>-0.24999999000000001</v>
      </c>
      <c r="J136">
        <v>0.44444447999999998</v>
      </c>
    </row>
    <row r="137" spans="1:10" x14ac:dyDescent="0.3">
      <c r="A137">
        <v>135</v>
      </c>
      <c r="B137">
        <v>2167</v>
      </c>
      <c r="C137" t="b">
        <v>1</v>
      </c>
      <c r="D137">
        <v>8048</v>
      </c>
      <c r="E137">
        <v>8117</v>
      </c>
      <c r="F137">
        <v>8</v>
      </c>
      <c r="G137">
        <v>6.4</v>
      </c>
      <c r="H137">
        <v>1.25</v>
      </c>
      <c r="I137">
        <v>-0.24999999000000001</v>
      </c>
      <c r="J137">
        <v>0.44444447999999998</v>
      </c>
    </row>
    <row r="138" spans="1:10" x14ac:dyDescent="0.3">
      <c r="A138">
        <v>136</v>
      </c>
      <c r="B138">
        <v>2183</v>
      </c>
      <c r="C138" t="b">
        <v>1</v>
      </c>
      <c r="D138">
        <v>8054</v>
      </c>
      <c r="E138">
        <v>8123</v>
      </c>
      <c r="F138">
        <v>8</v>
      </c>
      <c r="G138">
        <v>6.4</v>
      </c>
      <c r="H138">
        <v>1.25</v>
      </c>
      <c r="I138">
        <v>-0.24999999000000001</v>
      </c>
      <c r="J138">
        <v>0.44444447999999998</v>
      </c>
    </row>
    <row r="139" spans="1:10" x14ac:dyDescent="0.3">
      <c r="A139">
        <v>137</v>
      </c>
      <c r="B139">
        <v>2199</v>
      </c>
      <c r="C139" t="b">
        <v>1</v>
      </c>
      <c r="D139">
        <v>8054</v>
      </c>
      <c r="E139">
        <v>8117</v>
      </c>
      <c r="F139">
        <v>8</v>
      </c>
      <c r="G139">
        <v>6.4</v>
      </c>
      <c r="H139">
        <v>1.25</v>
      </c>
      <c r="I139">
        <v>-0.24999999000000001</v>
      </c>
      <c r="J139">
        <v>0.44444447999999998</v>
      </c>
    </row>
    <row r="140" spans="1:10" x14ac:dyDescent="0.3">
      <c r="A140">
        <v>138</v>
      </c>
      <c r="B140">
        <v>2215</v>
      </c>
      <c r="C140" t="b">
        <v>1</v>
      </c>
      <c r="D140">
        <v>8054</v>
      </c>
      <c r="E140">
        <v>8117</v>
      </c>
      <c r="F140">
        <v>8.4</v>
      </c>
      <c r="G140">
        <v>6</v>
      </c>
      <c r="H140">
        <v>1.4</v>
      </c>
      <c r="I140">
        <v>-0.39999994999999999</v>
      </c>
      <c r="J140">
        <v>0.4166667</v>
      </c>
    </row>
    <row r="141" spans="1:10" x14ac:dyDescent="0.3">
      <c r="A141">
        <v>139</v>
      </c>
      <c r="B141">
        <v>2230</v>
      </c>
      <c r="C141" t="b">
        <v>1</v>
      </c>
      <c r="D141">
        <v>8042</v>
      </c>
      <c r="E141">
        <v>8123</v>
      </c>
      <c r="F141">
        <v>8.8000000000000007</v>
      </c>
      <c r="G141">
        <v>5.6</v>
      </c>
      <c r="H141">
        <v>1.5714287</v>
      </c>
      <c r="I141">
        <v>-0.57142866000000003</v>
      </c>
      <c r="J141">
        <v>0.38888889999999998</v>
      </c>
    </row>
    <row r="142" spans="1:10" x14ac:dyDescent="0.3">
      <c r="A142">
        <v>140</v>
      </c>
      <c r="B142">
        <v>2246</v>
      </c>
      <c r="C142" t="b">
        <v>1</v>
      </c>
      <c r="D142">
        <v>8042</v>
      </c>
      <c r="E142">
        <v>8123</v>
      </c>
      <c r="F142">
        <v>9.1999999999999993</v>
      </c>
      <c r="G142">
        <v>5.6</v>
      </c>
      <c r="H142">
        <v>1.6428571999999999</v>
      </c>
      <c r="I142">
        <v>-0.64285713</v>
      </c>
      <c r="J142">
        <v>0.3783784</v>
      </c>
    </row>
    <row r="143" spans="1:10" x14ac:dyDescent="0.3">
      <c r="A143">
        <v>141</v>
      </c>
      <c r="B143">
        <v>2262</v>
      </c>
      <c r="C143" t="b">
        <v>1</v>
      </c>
      <c r="D143">
        <v>8042</v>
      </c>
      <c r="E143">
        <v>8123</v>
      </c>
      <c r="F143">
        <v>8.8000000000000007</v>
      </c>
      <c r="G143">
        <v>5.6</v>
      </c>
      <c r="H143">
        <v>1.5714287</v>
      </c>
      <c r="I143">
        <v>-0.57142866000000003</v>
      </c>
      <c r="J143">
        <v>0.38888889999999998</v>
      </c>
    </row>
    <row r="144" spans="1:10" x14ac:dyDescent="0.3">
      <c r="A144">
        <v>142</v>
      </c>
      <c r="B144">
        <v>2278</v>
      </c>
      <c r="C144" t="b">
        <v>1</v>
      </c>
      <c r="D144">
        <v>8042</v>
      </c>
      <c r="E144">
        <v>8123</v>
      </c>
      <c r="F144">
        <v>8.4</v>
      </c>
      <c r="G144">
        <v>6</v>
      </c>
      <c r="H144">
        <v>1.4</v>
      </c>
      <c r="I144">
        <v>-0.39999994999999999</v>
      </c>
      <c r="J144">
        <v>0.4166667</v>
      </c>
    </row>
    <row r="145" spans="1:10" x14ac:dyDescent="0.3">
      <c r="A145">
        <v>143</v>
      </c>
      <c r="B145">
        <v>2293</v>
      </c>
      <c r="C145" t="b">
        <v>1</v>
      </c>
      <c r="D145">
        <v>8042</v>
      </c>
      <c r="E145">
        <v>8123</v>
      </c>
      <c r="F145">
        <v>8</v>
      </c>
      <c r="G145">
        <v>6.4</v>
      </c>
      <c r="H145">
        <v>1.25</v>
      </c>
      <c r="I145">
        <v>-0.24999999000000001</v>
      </c>
      <c r="J145">
        <v>0.44444447999999998</v>
      </c>
    </row>
    <row r="146" spans="1:10" x14ac:dyDescent="0.3">
      <c r="A146">
        <v>144</v>
      </c>
      <c r="B146">
        <v>2309</v>
      </c>
      <c r="C146" t="b">
        <v>1</v>
      </c>
      <c r="D146">
        <v>8042</v>
      </c>
      <c r="E146">
        <v>8117</v>
      </c>
      <c r="F146">
        <v>7.6</v>
      </c>
      <c r="G146">
        <v>6.8</v>
      </c>
      <c r="H146">
        <v>1.1176470000000001</v>
      </c>
      <c r="I146">
        <v>-0.11764701499999999</v>
      </c>
      <c r="J146">
        <v>0.47222224000000002</v>
      </c>
    </row>
    <row r="147" spans="1:10" x14ac:dyDescent="0.3">
      <c r="A147">
        <v>145</v>
      </c>
      <c r="B147">
        <v>2325</v>
      </c>
      <c r="C147" t="b">
        <v>1</v>
      </c>
      <c r="D147">
        <v>8054</v>
      </c>
      <c r="E147">
        <v>8123</v>
      </c>
      <c r="F147">
        <v>7.2</v>
      </c>
      <c r="G147">
        <v>7.2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2341</v>
      </c>
      <c r="C148" t="b">
        <v>1</v>
      </c>
      <c r="D148">
        <v>8048</v>
      </c>
      <c r="E148">
        <v>8123</v>
      </c>
      <c r="F148">
        <v>6.8</v>
      </c>
      <c r="G148">
        <v>7.2</v>
      </c>
      <c r="H148">
        <v>0.94444450000000002</v>
      </c>
      <c r="I148">
        <v>5.5555503999999999E-2</v>
      </c>
      <c r="J148">
        <v>0.51428569999999996</v>
      </c>
    </row>
    <row r="149" spans="1:10" x14ac:dyDescent="0.3">
      <c r="A149">
        <v>147</v>
      </c>
      <c r="B149">
        <v>2357</v>
      </c>
      <c r="C149" t="b">
        <v>1</v>
      </c>
      <c r="D149">
        <v>8048</v>
      </c>
      <c r="E149">
        <v>8117</v>
      </c>
      <c r="F149">
        <v>6.8</v>
      </c>
      <c r="G149">
        <v>7.2</v>
      </c>
      <c r="H149">
        <v>0.94444450000000002</v>
      </c>
      <c r="I149">
        <v>5.5555503999999999E-2</v>
      </c>
      <c r="J149">
        <v>0.51428569999999996</v>
      </c>
    </row>
    <row r="150" spans="1:10" x14ac:dyDescent="0.3">
      <c r="A150">
        <v>148</v>
      </c>
      <c r="B150">
        <v>2373</v>
      </c>
      <c r="C150" t="b">
        <v>1</v>
      </c>
      <c r="D150">
        <v>8048</v>
      </c>
      <c r="E150">
        <v>8117</v>
      </c>
      <c r="F150">
        <v>6.8</v>
      </c>
      <c r="G150">
        <v>6.8</v>
      </c>
      <c r="H150">
        <v>1</v>
      </c>
      <c r="I150">
        <v>0</v>
      </c>
      <c r="J150">
        <v>0.5</v>
      </c>
    </row>
    <row r="151" spans="1:10" x14ac:dyDescent="0.3">
      <c r="A151">
        <v>149</v>
      </c>
      <c r="B151">
        <v>2389</v>
      </c>
      <c r="C151" t="b">
        <v>1</v>
      </c>
      <c r="D151">
        <v>8048</v>
      </c>
      <c r="E151">
        <v>8117</v>
      </c>
      <c r="F151">
        <v>6.8</v>
      </c>
      <c r="G151">
        <v>6.4</v>
      </c>
      <c r="H151">
        <v>1.0625</v>
      </c>
      <c r="I151">
        <v>-6.2500015000000006E-2</v>
      </c>
      <c r="J151">
        <v>0.48484846999999998</v>
      </c>
    </row>
    <row r="152" spans="1:10" x14ac:dyDescent="0.3">
      <c r="A152">
        <v>150</v>
      </c>
      <c r="B152">
        <v>2405</v>
      </c>
      <c r="C152" t="b">
        <v>1</v>
      </c>
      <c r="D152">
        <v>8048</v>
      </c>
      <c r="E152">
        <v>8117</v>
      </c>
      <c r="F152">
        <v>6.8</v>
      </c>
      <c r="G152">
        <v>6</v>
      </c>
      <c r="H152">
        <v>1.1333333000000001</v>
      </c>
      <c r="I152">
        <v>-0.13333337000000001</v>
      </c>
      <c r="J152">
        <v>0.46875</v>
      </c>
    </row>
    <row r="153" spans="1:10" x14ac:dyDescent="0.3">
      <c r="A153">
        <v>151</v>
      </c>
      <c r="B153">
        <v>2421</v>
      </c>
      <c r="C153" t="b">
        <v>1</v>
      </c>
      <c r="D153">
        <v>8048</v>
      </c>
      <c r="E153">
        <v>8123</v>
      </c>
      <c r="F153">
        <v>6.8</v>
      </c>
      <c r="G153">
        <v>5.6</v>
      </c>
      <c r="H153">
        <v>1.2142857</v>
      </c>
      <c r="I153">
        <v>-0.21428578000000001</v>
      </c>
      <c r="J153">
        <v>0.45161291999999997</v>
      </c>
    </row>
    <row r="154" spans="1:10" x14ac:dyDescent="0.3">
      <c r="A154">
        <v>152</v>
      </c>
      <c r="B154">
        <v>2437</v>
      </c>
      <c r="C154" t="b">
        <v>1</v>
      </c>
      <c r="D154">
        <v>8048</v>
      </c>
      <c r="E154">
        <v>8117</v>
      </c>
      <c r="F154">
        <v>6.8</v>
      </c>
      <c r="G154">
        <v>5.2</v>
      </c>
      <c r="H154">
        <v>1.3076924000000001</v>
      </c>
      <c r="I154">
        <v>-0.30769237999999999</v>
      </c>
      <c r="J154">
        <v>0.43333329999999998</v>
      </c>
    </row>
    <row r="155" spans="1:10" x14ac:dyDescent="0.3">
      <c r="A155">
        <v>153</v>
      </c>
      <c r="B155">
        <v>2452</v>
      </c>
      <c r="C155" t="b">
        <v>1</v>
      </c>
      <c r="D155">
        <v>8048</v>
      </c>
      <c r="E155">
        <v>8117</v>
      </c>
      <c r="F155">
        <v>6.4</v>
      </c>
      <c r="G155">
        <v>5.2</v>
      </c>
      <c r="H155">
        <v>1.2307693</v>
      </c>
      <c r="I155">
        <v>-0.23076928999999999</v>
      </c>
      <c r="J155">
        <v>0.44827582999999999</v>
      </c>
    </row>
    <row r="156" spans="1:10" x14ac:dyDescent="0.3">
      <c r="A156">
        <v>154</v>
      </c>
      <c r="B156">
        <v>2468</v>
      </c>
      <c r="C156" t="b">
        <v>1</v>
      </c>
      <c r="D156">
        <v>8054</v>
      </c>
      <c r="E156">
        <v>8123</v>
      </c>
      <c r="F156">
        <v>6</v>
      </c>
      <c r="G156">
        <v>5.2</v>
      </c>
      <c r="H156">
        <v>1.1538461</v>
      </c>
      <c r="I156">
        <v>-0.15384618999999999</v>
      </c>
      <c r="J156">
        <v>0.46428570000000002</v>
      </c>
    </row>
    <row r="157" spans="1:10" x14ac:dyDescent="0.3">
      <c r="A157">
        <v>155</v>
      </c>
      <c r="B157">
        <v>2484</v>
      </c>
      <c r="C157" t="b">
        <v>1</v>
      </c>
      <c r="D157">
        <v>8042</v>
      </c>
      <c r="E157">
        <v>8123</v>
      </c>
      <c r="F157">
        <v>5.6</v>
      </c>
      <c r="G157">
        <v>5.2</v>
      </c>
      <c r="H157">
        <v>1.0769230999999999</v>
      </c>
      <c r="I157">
        <v>-7.6923094999999997E-2</v>
      </c>
      <c r="J157">
        <v>0.48148150000000001</v>
      </c>
    </row>
    <row r="158" spans="1:10" x14ac:dyDescent="0.3">
      <c r="A158">
        <v>156</v>
      </c>
      <c r="B158">
        <v>2500</v>
      </c>
      <c r="C158" t="b">
        <v>1</v>
      </c>
      <c r="D158">
        <v>8048</v>
      </c>
      <c r="E158">
        <v>8117</v>
      </c>
      <c r="F158">
        <v>6</v>
      </c>
      <c r="G158">
        <v>4.8</v>
      </c>
      <c r="H158">
        <v>1.25</v>
      </c>
      <c r="I158">
        <v>-0.24999995999999999</v>
      </c>
      <c r="J158">
        <v>0.44444444999999999</v>
      </c>
    </row>
    <row r="159" spans="1:10" x14ac:dyDescent="0.3">
      <c r="A159">
        <v>157</v>
      </c>
      <c r="B159">
        <v>2516</v>
      </c>
      <c r="C159" t="b">
        <v>1</v>
      </c>
      <c r="D159">
        <v>8048</v>
      </c>
      <c r="E159">
        <v>8123</v>
      </c>
      <c r="F159">
        <v>6.4</v>
      </c>
      <c r="G159">
        <v>4.8</v>
      </c>
      <c r="H159">
        <v>1.3333333000000001</v>
      </c>
      <c r="I159">
        <v>-0.3333333</v>
      </c>
      <c r="J159">
        <v>0.42857139999999999</v>
      </c>
    </row>
    <row r="160" spans="1:10" x14ac:dyDescent="0.3">
      <c r="A160">
        <v>158</v>
      </c>
      <c r="B160">
        <v>2532</v>
      </c>
      <c r="C160" t="b">
        <v>1</v>
      </c>
      <c r="D160">
        <v>8054</v>
      </c>
      <c r="E160">
        <v>8123</v>
      </c>
      <c r="F160">
        <v>6.8</v>
      </c>
      <c r="G160">
        <v>4.8</v>
      </c>
      <c r="H160">
        <v>1.4166666000000001</v>
      </c>
      <c r="I160">
        <v>-0.41666666000000002</v>
      </c>
      <c r="J160">
        <v>0.41379312000000001</v>
      </c>
    </row>
    <row r="161" spans="1:10" x14ac:dyDescent="0.3">
      <c r="A161">
        <v>159</v>
      </c>
      <c r="B161">
        <v>2548</v>
      </c>
      <c r="C161" t="b">
        <v>1</v>
      </c>
      <c r="D161">
        <v>8048</v>
      </c>
      <c r="E161">
        <v>8123</v>
      </c>
      <c r="F161">
        <v>7.2</v>
      </c>
      <c r="G161">
        <v>4.8</v>
      </c>
      <c r="H161">
        <v>1.4999998999999999</v>
      </c>
      <c r="I161">
        <v>-0.4999999</v>
      </c>
      <c r="J161">
        <v>0.4</v>
      </c>
    </row>
    <row r="162" spans="1:10" x14ac:dyDescent="0.3">
      <c r="A162">
        <v>160</v>
      </c>
      <c r="B162">
        <v>2564</v>
      </c>
      <c r="C162" t="b">
        <v>1</v>
      </c>
      <c r="D162">
        <v>8054</v>
      </c>
      <c r="E162">
        <v>8123</v>
      </c>
      <c r="F162">
        <v>7.6</v>
      </c>
      <c r="G162">
        <v>4.8</v>
      </c>
      <c r="H162">
        <v>1.5833333000000001</v>
      </c>
      <c r="I162">
        <v>-0.58333325000000003</v>
      </c>
      <c r="J162">
        <v>0.38709680000000002</v>
      </c>
    </row>
    <row r="163" spans="1:10" x14ac:dyDescent="0.3">
      <c r="A163">
        <v>161</v>
      </c>
      <c r="B163">
        <v>2580</v>
      </c>
      <c r="C163" t="b">
        <v>1</v>
      </c>
      <c r="D163">
        <v>8048</v>
      </c>
      <c r="E163">
        <v>8117</v>
      </c>
      <c r="F163">
        <v>8</v>
      </c>
      <c r="G163">
        <v>4.8</v>
      </c>
      <c r="H163">
        <v>1.6666666000000001</v>
      </c>
      <c r="I163">
        <v>-0.6666666</v>
      </c>
      <c r="J163">
        <v>0.375</v>
      </c>
    </row>
    <row r="164" spans="1:10" x14ac:dyDescent="0.3">
      <c r="A164">
        <v>162</v>
      </c>
      <c r="B164">
        <v>2595</v>
      </c>
      <c r="C164" t="b">
        <v>1</v>
      </c>
      <c r="D164">
        <v>8048</v>
      </c>
      <c r="E164">
        <v>8117</v>
      </c>
      <c r="F164">
        <v>8</v>
      </c>
      <c r="G164">
        <v>4.8</v>
      </c>
      <c r="H164">
        <v>1.6666666000000001</v>
      </c>
      <c r="I164">
        <v>-0.6666666</v>
      </c>
      <c r="J164">
        <v>0.375</v>
      </c>
    </row>
    <row r="165" spans="1:10" x14ac:dyDescent="0.3">
      <c r="A165">
        <v>163</v>
      </c>
      <c r="B165">
        <v>2611</v>
      </c>
      <c r="C165" t="b">
        <v>1</v>
      </c>
      <c r="D165">
        <v>8048</v>
      </c>
      <c r="E165">
        <v>8117</v>
      </c>
      <c r="F165">
        <v>8</v>
      </c>
      <c r="G165">
        <v>4.8</v>
      </c>
      <c r="H165">
        <v>1.6666666000000001</v>
      </c>
      <c r="I165">
        <v>-0.6666666</v>
      </c>
      <c r="J165">
        <v>0.375</v>
      </c>
    </row>
    <row r="166" spans="1:10" x14ac:dyDescent="0.3">
      <c r="A166">
        <v>164</v>
      </c>
      <c r="B166">
        <v>2627</v>
      </c>
      <c r="C166" t="b">
        <v>1</v>
      </c>
      <c r="D166">
        <v>8048</v>
      </c>
      <c r="E166">
        <v>8117</v>
      </c>
      <c r="F166">
        <v>8</v>
      </c>
      <c r="G166">
        <v>4.8</v>
      </c>
      <c r="H166">
        <v>1.6666666000000001</v>
      </c>
      <c r="I166">
        <v>-0.6666666</v>
      </c>
      <c r="J166">
        <v>0.375</v>
      </c>
    </row>
    <row r="167" spans="1:10" x14ac:dyDescent="0.3">
      <c r="A167">
        <v>165</v>
      </c>
      <c r="B167">
        <v>2642</v>
      </c>
      <c r="C167" t="b">
        <v>1</v>
      </c>
      <c r="D167">
        <v>8054</v>
      </c>
      <c r="E167">
        <v>8117</v>
      </c>
      <c r="F167">
        <v>8</v>
      </c>
      <c r="G167">
        <v>4.8</v>
      </c>
      <c r="H167">
        <v>1.6666666000000001</v>
      </c>
      <c r="I167">
        <v>-0.6666666</v>
      </c>
      <c r="J167">
        <v>0.375</v>
      </c>
    </row>
    <row r="168" spans="1:10" x14ac:dyDescent="0.3">
      <c r="A168">
        <v>166</v>
      </c>
      <c r="B168">
        <v>2658</v>
      </c>
      <c r="C168" t="b">
        <v>1</v>
      </c>
      <c r="D168">
        <v>8054</v>
      </c>
      <c r="E168">
        <v>8123</v>
      </c>
      <c r="F168">
        <v>8</v>
      </c>
      <c r="G168">
        <v>4.8</v>
      </c>
      <c r="H168">
        <v>1.6666666000000001</v>
      </c>
      <c r="I168">
        <v>-0.6666666</v>
      </c>
      <c r="J168">
        <v>0.375</v>
      </c>
    </row>
    <row r="169" spans="1:10" x14ac:dyDescent="0.3">
      <c r="A169">
        <v>167</v>
      </c>
      <c r="B169">
        <v>2674</v>
      </c>
      <c r="C169" t="b">
        <v>1</v>
      </c>
      <c r="D169">
        <v>8048</v>
      </c>
      <c r="E169">
        <v>8123</v>
      </c>
      <c r="F169">
        <v>8</v>
      </c>
      <c r="G169">
        <v>4.8</v>
      </c>
      <c r="H169">
        <v>1.6666666000000001</v>
      </c>
      <c r="I169">
        <v>-0.6666666</v>
      </c>
      <c r="J169">
        <v>0.375</v>
      </c>
    </row>
    <row r="170" spans="1:10" x14ac:dyDescent="0.3">
      <c r="A170">
        <v>168</v>
      </c>
      <c r="B170">
        <v>2690</v>
      </c>
      <c r="C170" t="b">
        <v>1</v>
      </c>
      <c r="D170">
        <v>8042</v>
      </c>
      <c r="E170">
        <v>8117</v>
      </c>
      <c r="F170">
        <v>8</v>
      </c>
      <c r="G170">
        <v>4.8</v>
      </c>
      <c r="H170">
        <v>1.6666666000000001</v>
      </c>
      <c r="I170">
        <v>-0.6666666</v>
      </c>
      <c r="J170">
        <v>0.375</v>
      </c>
    </row>
    <row r="171" spans="1:10" x14ac:dyDescent="0.3">
      <c r="A171">
        <v>169</v>
      </c>
      <c r="B171">
        <v>2706</v>
      </c>
      <c r="C171" t="b">
        <v>1</v>
      </c>
      <c r="D171">
        <v>8048</v>
      </c>
      <c r="E171">
        <v>8123</v>
      </c>
      <c r="F171">
        <v>8</v>
      </c>
      <c r="G171">
        <v>5.2</v>
      </c>
      <c r="H171">
        <v>1.5384616</v>
      </c>
      <c r="I171">
        <v>-0.53846156999999994</v>
      </c>
      <c r="J171">
        <v>0.39393938000000001</v>
      </c>
    </row>
    <row r="172" spans="1:10" x14ac:dyDescent="0.3">
      <c r="A172">
        <v>170</v>
      </c>
      <c r="B172">
        <v>2722</v>
      </c>
      <c r="C172" t="b">
        <v>1</v>
      </c>
      <c r="D172">
        <v>8048</v>
      </c>
      <c r="E172">
        <v>8123</v>
      </c>
      <c r="F172">
        <v>8</v>
      </c>
      <c r="G172">
        <v>5.2</v>
      </c>
      <c r="H172">
        <v>1.5384616</v>
      </c>
      <c r="I172">
        <v>-0.53846156999999994</v>
      </c>
      <c r="J172">
        <v>0.39393938000000001</v>
      </c>
    </row>
    <row r="173" spans="1:10" x14ac:dyDescent="0.3">
      <c r="A173">
        <v>171</v>
      </c>
      <c r="B173">
        <v>2738</v>
      </c>
      <c r="C173" t="b">
        <v>1</v>
      </c>
      <c r="D173">
        <v>8048</v>
      </c>
      <c r="E173">
        <v>8123</v>
      </c>
      <c r="F173">
        <v>8</v>
      </c>
      <c r="G173">
        <v>5.6</v>
      </c>
      <c r="H173">
        <v>1.4285715000000001</v>
      </c>
      <c r="I173">
        <v>-0.42857146000000002</v>
      </c>
      <c r="J173">
        <v>0.41176467999999999</v>
      </c>
    </row>
    <row r="174" spans="1:10" x14ac:dyDescent="0.3">
      <c r="A174">
        <v>172</v>
      </c>
      <c r="B174">
        <v>2753</v>
      </c>
      <c r="C174" t="b">
        <v>1</v>
      </c>
      <c r="D174">
        <v>8048</v>
      </c>
      <c r="E174">
        <v>8117</v>
      </c>
      <c r="F174">
        <v>8</v>
      </c>
      <c r="G174">
        <v>5.6</v>
      </c>
      <c r="H174">
        <v>1.4285715000000001</v>
      </c>
      <c r="I174">
        <v>-0.42857146000000002</v>
      </c>
      <c r="J174">
        <v>0.41176467999999999</v>
      </c>
    </row>
    <row r="175" spans="1:10" x14ac:dyDescent="0.3">
      <c r="A175">
        <v>173</v>
      </c>
      <c r="B175">
        <v>2769</v>
      </c>
      <c r="C175" t="b">
        <v>1</v>
      </c>
      <c r="D175">
        <v>8054</v>
      </c>
      <c r="E175">
        <v>8117</v>
      </c>
      <c r="F175">
        <v>8</v>
      </c>
      <c r="G175">
        <v>5.6</v>
      </c>
      <c r="H175">
        <v>1.4285715000000001</v>
      </c>
      <c r="I175">
        <v>-0.42857146000000002</v>
      </c>
      <c r="J175">
        <v>0.41176467999999999</v>
      </c>
    </row>
    <row r="176" spans="1:10" x14ac:dyDescent="0.3">
      <c r="A176">
        <v>174</v>
      </c>
      <c r="B176">
        <v>2786</v>
      </c>
      <c r="C176" t="b">
        <v>1</v>
      </c>
      <c r="D176">
        <v>8048</v>
      </c>
      <c r="E176">
        <v>8117</v>
      </c>
      <c r="F176">
        <v>8</v>
      </c>
      <c r="G176">
        <v>5.2</v>
      </c>
      <c r="H176">
        <v>1.5384616</v>
      </c>
      <c r="I176">
        <v>-0.53846156999999994</v>
      </c>
      <c r="J176">
        <v>0.39393938000000001</v>
      </c>
    </row>
    <row r="177" spans="1:10" x14ac:dyDescent="0.3">
      <c r="A177">
        <v>175</v>
      </c>
      <c r="B177">
        <v>2801</v>
      </c>
      <c r="C177" t="b">
        <v>1</v>
      </c>
      <c r="D177">
        <v>8048</v>
      </c>
      <c r="E177">
        <v>8123</v>
      </c>
      <c r="F177">
        <v>8</v>
      </c>
      <c r="G177">
        <v>4.8</v>
      </c>
      <c r="H177">
        <v>1.6666666000000001</v>
      </c>
      <c r="I177">
        <v>-0.6666666</v>
      </c>
      <c r="J177">
        <v>0.375</v>
      </c>
    </row>
    <row r="178" spans="1:10" x14ac:dyDescent="0.3">
      <c r="A178">
        <v>176</v>
      </c>
      <c r="B178">
        <v>2817</v>
      </c>
      <c r="C178" t="b">
        <v>1</v>
      </c>
      <c r="D178">
        <v>8048</v>
      </c>
      <c r="E178">
        <v>8123</v>
      </c>
      <c r="F178">
        <v>8</v>
      </c>
      <c r="G178">
        <v>4.4000000000000004</v>
      </c>
      <c r="H178">
        <v>1.8181818000000001</v>
      </c>
      <c r="I178">
        <v>-0.81818175000000004</v>
      </c>
      <c r="J178">
        <v>0.35483872999999999</v>
      </c>
    </row>
    <row r="179" spans="1:10" x14ac:dyDescent="0.3">
      <c r="A179">
        <v>177</v>
      </c>
      <c r="B179">
        <v>2833</v>
      </c>
      <c r="C179" t="b">
        <v>1</v>
      </c>
      <c r="D179">
        <v>8048</v>
      </c>
      <c r="E179">
        <v>8123</v>
      </c>
      <c r="F179">
        <v>8</v>
      </c>
      <c r="G179">
        <v>4.4000000000000004</v>
      </c>
      <c r="H179">
        <v>1.8181818000000001</v>
      </c>
      <c r="I179">
        <v>-0.81818175000000004</v>
      </c>
      <c r="J179">
        <v>0.35483872999999999</v>
      </c>
    </row>
    <row r="180" spans="1:10" x14ac:dyDescent="0.3">
      <c r="A180">
        <v>178</v>
      </c>
      <c r="B180">
        <v>2849</v>
      </c>
      <c r="C180" t="b">
        <v>1</v>
      </c>
      <c r="D180">
        <v>8048</v>
      </c>
      <c r="E180">
        <v>8123</v>
      </c>
      <c r="F180">
        <v>8</v>
      </c>
      <c r="G180">
        <v>4.8</v>
      </c>
      <c r="H180">
        <v>1.6666666000000001</v>
      </c>
      <c r="I180">
        <v>-0.6666666</v>
      </c>
      <c r="J180">
        <v>0.375</v>
      </c>
    </row>
    <row r="181" spans="1:10" x14ac:dyDescent="0.3">
      <c r="A181">
        <v>179</v>
      </c>
      <c r="B181">
        <v>2865</v>
      </c>
      <c r="C181" t="b">
        <v>1</v>
      </c>
      <c r="D181">
        <v>8048</v>
      </c>
      <c r="E181">
        <v>8123</v>
      </c>
      <c r="F181">
        <v>8</v>
      </c>
      <c r="G181">
        <v>5.2</v>
      </c>
      <c r="H181">
        <v>1.5384616</v>
      </c>
      <c r="I181">
        <v>-0.53846156999999994</v>
      </c>
      <c r="J181">
        <v>0.39393938000000001</v>
      </c>
    </row>
    <row r="182" spans="1:10" x14ac:dyDescent="0.3">
      <c r="A182">
        <v>180</v>
      </c>
      <c r="B182">
        <v>2881</v>
      </c>
      <c r="C182" t="b">
        <v>1</v>
      </c>
      <c r="D182">
        <v>8048</v>
      </c>
      <c r="E182">
        <v>8123</v>
      </c>
      <c r="F182">
        <v>8</v>
      </c>
      <c r="G182">
        <v>5.6</v>
      </c>
      <c r="H182">
        <v>1.4285715000000001</v>
      </c>
      <c r="I182">
        <v>-0.42857146000000002</v>
      </c>
      <c r="J182">
        <v>0.41176467999999999</v>
      </c>
    </row>
    <row r="183" spans="1:10" x14ac:dyDescent="0.3">
      <c r="A183">
        <v>181</v>
      </c>
      <c r="B183">
        <v>2896</v>
      </c>
      <c r="C183" t="b">
        <v>1</v>
      </c>
      <c r="D183">
        <v>8048</v>
      </c>
      <c r="E183">
        <v>8123</v>
      </c>
      <c r="F183">
        <v>8</v>
      </c>
      <c r="G183">
        <v>6</v>
      </c>
      <c r="H183">
        <v>1.3333333999999999</v>
      </c>
      <c r="I183">
        <v>-0.33333333999999998</v>
      </c>
      <c r="J183">
        <v>0.42857142999999998</v>
      </c>
    </row>
    <row r="184" spans="1:10" x14ac:dyDescent="0.3">
      <c r="A184">
        <v>182</v>
      </c>
      <c r="B184">
        <v>2912</v>
      </c>
      <c r="C184" t="b">
        <v>1</v>
      </c>
      <c r="D184">
        <v>8048</v>
      </c>
      <c r="E184">
        <v>8123</v>
      </c>
      <c r="F184">
        <v>8</v>
      </c>
      <c r="G184">
        <v>6.4</v>
      </c>
      <c r="H184">
        <v>1.25</v>
      </c>
      <c r="I184">
        <v>-0.24999999000000001</v>
      </c>
      <c r="J184">
        <v>0.44444447999999998</v>
      </c>
    </row>
    <row r="185" spans="1:10" x14ac:dyDescent="0.3">
      <c r="A185">
        <v>183</v>
      </c>
      <c r="B185">
        <v>2928</v>
      </c>
      <c r="C185" t="b">
        <v>1</v>
      </c>
      <c r="D185">
        <v>8054</v>
      </c>
      <c r="E185">
        <v>8117</v>
      </c>
      <c r="F185">
        <v>8</v>
      </c>
      <c r="G185">
        <v>6.8</v>
      </c>
      <c r="H185">
        <v>1.1764705</v>
      </c>
      <c r="I185">
        <v>-0.17647055</v>
      </c>
      <c r="J185">
        <v>0.45945944999999999</v>
      </c>
    </row>
    <row r="186" spans="1:10" x14ac:dyDescent="0.3">
      <c r="A186">
        <v>184</v>
      </c>
      <c r="B186">
        <v>2944</v>
      </c>
      <c r="C186" t="b">
        <v>1</v>
      </c>
      <c r="D186">
        <v>8054</v>
      </c>
      <c r="E186">
        <v>8123</v>
      </c>
      <c r="F186">
        <v>8</v>
      </c>
      <c r="G186">
        <v>6.8</v>
      </c>
      <c r="H186">
        <v>1.1764705</v>
      </c>
      <c r="I186">
        <v>-0.17647055</v>
      </c>
      <c r="J186">
        <v>0.45945944999999999</v>
      </c>
    </row>
    <row r="187" spans="1:10" x14ac:dyDescent="0.3">
      <c r="A187">
        <v>185</v>
      </c>
      <c r="B187">
        <v>2960</v>
      </c>
      <c r="C187" t="b">
        <v>1</v>
      </c>
      <c r="D187">
        <v>8048</v>
      </c>
      <c r="E187">
        <v>8123</v>
      </c>
      <c r="F187">
        <v>8</v>
      </c>
      <c r="G187">
        <v>6.8</v>
      </c>
      <c r="H187">
        <v>1.1764705</v>
      </c>
      <c r="I187">
        <v>-0.17647055</v>
      </c>
      <c r="J187">
        <v>0.45945944999999999</v>
      </c>
    </row>
    <row r="188" spans="1:10" x14ac:dyDescent="0.3">
      <c r="A188">
        <v>186</v>
      </c>
      <c r="B188">
        <v>2976</v>
      </c>
      <c r="C188" t="b">
        <v>1</v>
      </c>
      <c r="D188">
        <v>8054</v>
      </c>
      <c r="E188">
        <v>8117</v>
      </c>
      <c r="F188">
        <v>8.4</v>
      </c>
      <c r="G188">
        <v>6.8</v>
      </c>
      <c r="H188">
        <v>1.2352939999999999</v>
      </c>
      <c r="I188">
        <v>-0.23529402999999999</v>
      </c>
      <c r="J188">
        <v>0.44736843999999998</v>
      </c>
    </row>
    <row r="189" spans="1:10" x14ac:dyDescent="0.3">
      <c r="A189">
        <v>187</v>
      </c>
      <c r="B189">
        <v>2992</v>
      </c>
      <c r="C189" t="b">
        <v>1</v>
      </c>
      <c r="D189">
        <v>8054</v>
      </c>
      <c r="E189">
        <v>8117</v>
      </c>
      <c r="F189">
        <v>8.8000000000000007</v>
      </c>
      <c r="G189">
        <v>6.4</v>
      </c>
      <c r="H189">
        <v>1.375</v>
      </c>
      <c r="I189">
        <v>-0.375</v>
      </c>
      <c r="J189">
        <v>0.4210526</v>
      </c>
    </row>
    <row r="190" spans="1:10" x14ac:dyDescent="0.3">
      <c r="A190">
        <v>188</v>
      </c>
      <c r="B190">
        <v>3007</v>
      </c>
      <c r="C190" t="b">
        <v>1</v>
      </c>
      <c r="D190">
        <v>8048</v>
      </c>
      <c r="E190">
        <v>8123</v>
      </c>
      <c r="F190">
        <v>9.1999999999999993</v>
      </c>
      <c r="G190">
        <v>6.4</v>
      </c>
      <c r="H190">
        <v>1.4375</v>
      </c>
      <c r="I190">
        <v>-0.43749993999999998</v>
      </c>
      <c r="J190">
        <v>0.41025642000000001</v>
      </c>
    </row>
    <row r="191" spans="1:10" x14ac:dyDescent="0.3">
      <c r="A191">
        <v>189</v>
      </c>
      <c r="B191">
        <v>3023</v>
      </c>
      <c r="C191" t="b">
        <v>1</v>
      </c>
      <c r="D191">
        <v>8054</v>
      </c>
      <c r="E191">
        <v>8123</v>
      </c>
      <c r="F191">
        <v>9.6</v>
      </c>
      <c r="G191">
        <v>6.8</v>
      </c>
      <c r="H191">
        <v>1.4117647</v>
      </c>
      <c r="I191">
        <v>-0.41176469999999998</v>
      </c>
      <c r="J191">
        <v>0.41463410000000001</v>
      </c>
    </row>
    <row r="192" spans="1:10" x14ac:dyDescent="0.3">
      <c r="A192">
        <v>190</v>
      </c>
      <c r="B192">
        <v>3039</v>
      </c>
      <c r="C192" t="b">
        <v>1</v>
      </c>
      <c r="D192">
        <v>8048</v>
      </c>
      <c r="E192">
        <v>8117</v>
      </c>
      <c r="F192">
        <v>10</v>
      </c>
      <c r="G192">
        <v>6.8</v>
      </c>
      <c r="H192">
        <v>1.4705881999999999</v>
      </c>
      <c r="I192">
        <v>-0.47058820000000001</v>
      </c>
      <c r="J192">
        <v>0.40476193999999999</v>
      </c>
    </row>
    <row r="193" spans="1:10" x14ac:dyDescent="0.3">
      <c r="A193">
        <v>191</v>
      </c>
      <c r="B193">
        <v>3055</v>
      </c>
      <c r="C193" t="b">
        <v>1</v>
      </c>
      <c r="D193">
        <v>8048</v>
      </c>
      <c r="E193">
        <v>8123</v>
      </c>
      <c r="F193">
        <v>10</v>
      </c>
      <c r="G193">
        <v>7.2</v>
      </c>
      <c r="H193">
        <v>1.388889</v>
      </c>
      <c r="I193">
        <v>-0.38888893000000002</v>
      </c>
      <c r="J193">
        <v>0.41860459999999999</v>
      </c>
    </row>
    <row r="194" spans="1:10" x14ac:dyDescent="0.3">
      <c r="A194">
        <v>192</v>
      </c>
      <c r="B194">
        <v>3071</v>
      </c>
      <c r="C194" t="b">
        <v>1</v>
      </c>
      <c r="D194">
        <v>8054</v>
      </c>
      <c r="E194">
        <v>8123</v>
      </c>
      <c r="F194">
        <v>10</v>
      </c>
      <c r="G194">
        <v>7.2</v>
      </c>
      <c r="H194">
        <v>1.388889</v>
      </c>
      <c r="I194">
        <v>-0.38888893000000002</v>
      </c>
      <c r="J194">
        <v>0.41860459999999999</v>
      </c>
    </row>
    <row r="195" spans="1:10" x14ac:dyDescent="0.3">
      <c r="A195">
        <v>193</v>
      </c>
      <c r="B195">
        <v>3087</v>
      </c>
      <c r="C195" t="b">
        <v>1</v>
      </c>
      <c r="D195">
        <v>8048</v>
      </c>
      <c r="E195">
        <v>8123</v>
      </c>
      <c r="F195">
        <v>10</v>
      </c>
      <c r="G195">
        <v>7.2</v>
      </c>
      <c r="H195">
        <v>1.388889</v>
      </c>
      <c r="I195">
        <v>-0.38888893000000002</v>
      </c>
      <c r="J195">
        <v>0.41860459999999999</v>
      </c>
    </row>
    <row r="196" spans="1:10" x14ac:dyDescent="0.3">
      <c r="A196">
        <v>194</v>
      </c>
      <c r="B196">
        <v>3103</v>
      </c>
      <c r="C196" t="b">
        <v>1</v>
      </c>
      <c r="D196">
        <v>8048</v>
      </c>
      <c r="E196">
        <v>8117</v>
      </c>
      <c r="F196">
        <v>10</v>
      </c>
      <c r="G196">
        <v>7.2</v>
      </c>
      <c r="H196">
        <v>1.388889</v>
      </c>
      <c r="I196">
        <v>-0.38888893000000002</v>
      </c>
      <c r="J196">
        <v>0.41860459999999999</v>
      </c>
    </row>
    <row r="197" spans="1:10" x14ac:dyDescent="0.3">
      <c r="A197">
        <v>195</v>
      </c>
      <c r="B197">
        <v>3119</v>
      </c>
      <c r="C197" t="b">
        <v>1</v>
      </c>
      <c r="D197">
        <v>8048</v>
      </c>
      <c r="E197">
        <v>8123</v>
      </c>
      <c r="F197">
        <v>10</v>
      </c>
      <c r="G197">
        <v>7.2</v>
      </c>
      <c r="H197">
        <v>1.388889</v>
      </c>
      <c r="I197">
        <v>-0.38888893000000002</v>
      </c>
      <c r="J197">
        <v>0.41860459999999999</v>
      </c>
    </row>
    <row r="198" spans="1:10" x14ac:dyDescent="0.3">
      <c r="A198">
        <v>196</v>
      </c>
      <c r="B198">
        <v>3135</v>
      </c>
      <c r="C198" t="b">
        <v>1</v>
      </c>
      <c r="D198">
        <v>8048</v>
      </c>
      <c r="E198">
        <v>8129</v>
      </c>
      <c r="F198">
        <v>10</v>
      </c>
      <c r="G198">
        <v>7.2</v>
      </c>
      <c r="H198">
        <v>1.388889</v>
      </c>
      <c r="I198">
        <v>-0.38888893000000002</v>
      </c>
      <c r="J198">
        <v>0.41860459999999999</v>
      </c>
    </row>
    <row r="199" spans="1:10" x14ac:dyDescent="0.3">
      <c r="A199">
        <v>197</v>
      </c>
      <c r="B199">
        <v>3151</v>
      </c>
      <c r="C199" t="b">
        <v>1</v>
      </c>
      <c r="D199">
        <v>8048</v>
      </c>
      <c r="E199">
        <v>8123</v>
      </c>
      <c r="F199">
        <v>10</v>
      </c>
      <c r="G199">
        <v>7.2</v>
      </c>
      <c r="H199">
        <v>1.388889</v>
      </c>
      <c r="I199">
        <v>-0.38888893000000002</v>
      </c>
      <c r="J199">
        <v>0.41860459999999999</v>
      </c>
    </row>
    <row r="200" spans="1:10" x14ac:dyDescent="0.3">
      <c r="A200">
        <v>198</v>
      </c>
      <c r="B200">
        <v>3167</v>
      </c>
      <c r="C200" t="b">
        <v>1</v>
      </c>
      <c r="D200">
        <v>8054</v>
      </c>
      <c r="E200">
        <v>8123</v>
      </c>
      <c r="F200">
        <v>10</v>
      </c>
      <c r="G200">
        <v>7.2</v>
      </c>
      <c r="H200">
        <v>1.388889</v>
      </c>
      <c r="I200">
        <v>-0.38888893000000002</v>
      </c>
      <c r="J200">
        <v>0.41860459999999999</v>
      </c>
    </row>
    <row r="201" spans="1:10" x14ac:dyDescent="0.3">
      <c r="A201">
        <v>199</v>
      </c>
      <c r="B201">
        <v>3182</v>
      </c>
      <c r="C201" t="b">
        <v>1</v>
      </c>
      <c r="D201">
        <v>8054</v>
      </c>
      <c r="E201">
        <v>8123</v>
      </c>
      <c r="F201">
        <v>10</v>
      </c>
      <c r="G201">
        <v>7.2</v>
      </c>
      <c r="H201">
        <v>1.388889</v>
      </c>
      <c r="I201">
        <v>-0.38888893000000002</v>
      </c>
      <c r="J201">
        <v>0.41860459999999999</v>
      </c>
    </row>
    <row r="202" spans="1:10" x14ac:dyDescent="0.3">
      <c r="A202">
        <v>200</v>
      </c>
      <c r="B202">
        <v>3199</v>
      </c>
      <c r="C202" t="b">
        <v>1</v>
      </c>
      <c r="D202">
        <v>8054</v>
      </c>
      <c r="E202">
        <v>8123</v>
      </c>
      <c r="F202">
        <v>10.4</v>
      </c>
      <c r="G202">
        <v>7.2</v>
      </c>
      <c r="H202">
        <v>1.4444444000000001</v>
      </c>
      <c r="I202">
        <v>-0.44444442000000001</v>
      </c>
      <c r="J202">
        <v>0.40909094000000001</v>
      </c>
    </row>
    <row r="203" spans="1:10" x14ac:dyDescent="0.3">
      <c r="A203">
        <v>201</v>
      </c>
      <c r="B203">
        <v>3214</v>
      </c>
      <c r="C203" t="b">
        <v>1</v>
      </c>
      <c r="D203">
        <v>8042</v>
      </c>
      <c r="E203">
        <v>8123</v>
      </c>
      <c r="F203">
        <v>10.4</v>
      </c>
      <c r="G203">
        <v>7.2</v>
      </c>
      <c r="H203">
        <v>1.4444444000000001</v>
      </c>
      <c r="I203">
        <v>-0.44444442000000001</v>
      </c>
      <c r="J203">
        <v>0.40909094000000001</v>
      </c>
    </row>
    <row r="204" spans="1:10" x14ac:dyDescent="0.3">
      <c r="A204">
        <v>202</v>
      </c>
      <c r="B204">
        <v>3230</v>
      </c>
      <c r="C204" t="b">
        <v>1</v>
      </c>
      <c r="D204">
        <v>8048</v>
      </c>
      <c r="E204">
        <v>8117</v>
      </c>
      <c r="F204">
        <v>10.4</v>
      </c>
      <c r="G204">
        <v>7.6</v>
      </c>
      <c r="H204">
        <v>1.3684210999999999</v>
      </c>
      <c r="I204">
        <v>-0.36842101999999999</v>
      </c>
      <c r="J204">
        <v>0.42222222999999998</v>
      </c>
    </row>
    <row r="205" spans="1:10" x14ac:dyDescent="0.3">
      <c r="A205">
        <v>203</v>
      </c>
      <c r="B205">
        <v>3246</v>
      </c>
      <c r="C205" t="b">
        <v>1</v>
      </c>
      <c r="D205">
        <v>8048</v>
      </c>
      <c r="E205">
        <v>8117</v>
      </c>
      <c r="F205">
        <v>10</v>
      </c>
      <c r="G205">
        <v>7.6</v>
      </c>
      <c r="H205">
        <v>1.3157894999999999</v>
      </c>
      <c r="I205">
        <v>-0.3157895</v>
      </c>
      <c r="J205">
        <v>0.43181816000000001</v>
      </c>
    </row>
    <row r="206" spans="1:10" x14ac:dyDescent="0.3">
      <c r="A206">
        <v>204</v>
      </c>
      <c r="B206">
        <v>3262</v>
      </c>
      <c r="C206" t="b">
        <v>1</v>
      </c>
      <c r="D206">
        <v>8048</v>
      </c>
      <c r="E206">
        <v>8123</v>
      </c>
      <c r="F206">
        <v>9.6</v>
      </c>
      <c r="G206">
        <v>7.6</v>
      </c>
      <c r="H206">
        <v>1.263158</v>
      </c>
      <c r="I206">
        <v>-0.26315796000000002</v>
      </c>
      <c r="J206">
        <v>0.44186044000000002</v>
      </c>
    </row>
    <row r="207" spans="1:10" x14ac:dyDescent="0.3">
      <c r="A207">
        <v>205</v>
      </c>
      <c r="B207">
        <v>3278</v>
      </c>
      <c r="C207" t="b">
        <v>1</v>
      </c>
      <c r="D207">
        <v>8048</v>
      </c>
      <c r="E207">
        <v>8123</v>
      </c>
      <c r="F207">
        <v>9.1999999999999993</v>
      </c>
      <c r="G207">
        <v>8</v>
      </c>
      <c r="H207">
        <v>1.1499999999999999</v>
      </c>
      <c r="I207">
        <v>-0.14999998</v>
      </c>
      <c r="J207">
        <v>0.46511626</v>
      </c>
    </row>
    <row r="208" spans="1:10" x14ac:dyDescent="0.3">
      <c r="A208">
        <v>206</v>
      </c>
      <c r="B208">
        <v>3293</v>
      </c>
      <c r="C208" t="b">
        <v>1</v>
      </c>
      <c r="D208">
        <v>8048</v>
      </c>
      <c r="E208">
        <v>8123</v>
      </c>
      <c r="F208">
        <v>9.1999999999999993</v>
      </c>
      <c r="G208">
        <v>8</v>
      </c>
      <c r="H208">
        <v>1.1499999999999999</v>
      </c>
      <c r="I208">
        <v>-0.14999998</v>
      </c>
      <c r="J208">
        <v>0.46511626</v>
      </c>
    </row>
    <row r="209" spans="1:10" x14ac:dyDescent="0.3">
      <c r="A209">
        <v>207</v>
      </c>
      <c r="B209">
        <v>3309</v>
      </c>
      <c r="C209" t="b">
        <v>1</v>
      </c>
      <c r="D209">
        <v>8048</v>
      </c>
      <c r="E209">
        <v>8123</v>
      </c>
      <c r="F209">
        <v>9.1999999999999993</v>
      </c>
      <c r="G209">
        <v>8</v>
      </c>
      <c r="H209">
        <v>1.1499999999999999</v>
      </c>
      <c r="I209">
        <v>-0.14999998</v>
      </c>
      <c r="J209">
        <v>0.46511626</v>
      </c>
    </row>
    <row r="210" spans="1:10" x14ac:dyDescent="0.3">
      <c r="A210">
        <v>208</v>
      </c>
      <c r="B210">
        <v>3325</v>
      </c>
      <c r="C210" t="b">
        <v>1</v>
      </c>
      <c r="D210">
        <v>8048</v>
      </c>
      <c r="E210">
        <v>8123</v>
      </c>
      <c r="F210">
        <v>9.1999999999999993</v>
      </c>
      <c r="G210">
        <v>8</v>
      </c>
      <c r="H210">
        <v>1.1499999999999999</v>
      </c>
      <c r="I210">
        <v>-0.14999998</v>
      </c>
      <c r="J210">
        <v>0.46511626</v>
      </c>
    </row>
    <row r="211" spans="1:10" x14ac:dyDescent="0.3">
      <c r="A211">
        <v>209</v>
      </c>
      <c r="B211">
        <v>3341</v>
      </c>
      <c r="C211" t="b">
        <v>1</v>
      </c>
      <c r="D211">
        <v>8054</v>
      </c>
      <c r="E211">
        <v>8123</v>
      </c>
      <c r="F211">
        <v>9.1999999999999993</v>
      </c>
      <c r="G211">
        <v>8</v>
      </c>
      <c r="H211">
        <v>1.1499999999999999</v>
      </c>
      <c r="I211">
        <v>-0.14999998</v>
      </c>
      <c r="J211">
        <v>0.46511626</v>
      </c>
    </row>
    <row r="212" spans="1:10" x14ac:dyDescent="0.3">
      <c r="A212">
        <v>210</v>
      </c>
      <c r="B212">
        <v>3357</v>
      </c>
      <c r="C212" t="b">
        <v>1</v>
      </c>
      <c r="D212">
        <v>8048</v>
      </c>
      <c r="E212">
        <v>8123</v>
      </c>
      <c r="F212">
        <v>9.1999999999999993</v>
      </c>
      <c r="G212">
        <v>8</v>
      </c>
      <c r="H212">
        <v>1.1499999999999999</v>
      </c>
      <c r="I212">
        <v>-0.14999998</v>
      </c>
      <c r="J212">
        <v>0.46511626</v>
      </c>
    </row>
    <row r="213" spans="1:10" x14ac:dyDescent="0.3">
      <c r="A213">
        <v>211</v>
      </c>
      <c r="B213">
        <v>3373</v>
      </c>
      <c r="C213" t="b">
        <v>1</v>
      </c>
      <c r="D213">
        <v>8054</v>
      </c>
      <c r="E213">
        <v>8123</v>
      </c>
      <c r="F213">
        <v>9.1999999999999993</v>
      </c>
      <c r="G213">
        <v>8</v>
      </c>
      <c r="H213">
        <v>1.1499999999999999</v>
      </c>
      <c r="I213">
        <v>-0.14999998</v>
      </c>
      <c r="J213">
        <v>0.46511626</v>
      </c>
    </row>
    <row r="214" spans="1:10" x14ac:dyDescent="0.3">
      <c r="A214">
        <v>212</v>
      </c>
      <c r="B214">
        <v>3388</v>
      </c>
      <c r="C214" t="b">
        <v>1</v>
      </c>
      <c r="D214">
        <v>8054</v>
      </c>
      <c r="E214">
        <v>8123</v>
      </c>
      <c r="F214">
        <v>9.6</v>
      </c>
      <c r="G214">
        <v>8</v>
      </c>
      <c r="H214">
        <v>1.2</v>
      </c>
      <c r="I214">
        <v>-0.20000005000000001</v>
      </c>
      <c r="J214">
        <v>0.45454544000000002</v>
      </c>
    </row>
    <row r="215" spans="1:10" x14ac:dyDescent="0.3">
      <c r="A215">
        <v>213</v>
      </c>
      <c r="B215">
        <v>3404</v>
      </c>
      <c r="C215" t="b">
        <v>1</v>
      </c>
      <c r="D215">
        <v>8048</v>
      </c>
      <c r="E215">
        <v>8123</v>
      </c>
      <c r="F215">
        <v>10</v>
      </c>
      <c r="G215">
        <v>8</v>
      </c>
      <c r="H215">
        <v>1.25</v>
      </c>
      <c r="I215">
        <v>-0.25</v>
      </c>
      <c r="J215">
        <v>0.44444444999999999</v>
      </c>
    </row>
    <row r="216" spans="1:10" x14ac:dyDescent="0.3">
      <c r="A216">
        <v>214</v>
      </c>
      <c r="B216">
        <v>3420</v>
      </c>
      <c r="C216" t="b">
        <v>1</v>
      </c>
      <c r="D216">
        <v>8048</v>
      </c>
      <c r="E216">
        <v>8123</v>
      </c>
      <c r="F216">
        <v>10</v>
      </c>
      <c r="G216">
        <v>8</v>
      </c>
      <c r="H216">
        <v>1.25</v>
      </c>
      <c r="I216">
        <v>-0.25</v>
      </c>
      <c r="J216">
        <v>0.44444444999999999</v>
      </c>
    </row>
    <row r="217" spans="1:10" x14ac:dyDescent="0.3">
      <c r="A217">
        <v>215</v>
      </c>
      <c r="B217">
        <v>3436</v>
      </c>
      <c r="C217" t="b">
        <v>1</v>
      </c>
      <c r="D217">
        <v>8048</v>
      </c>
      <c r="E217">
        <v>8123</v>
      </c>
      <c r="F217">
        <v>9.6</v>
      </c>
      <c r="G217">
        <v>8</v>
      </c>
      <c r="H217">
        <v>1.2</v>
      </c>
      <c r="I217">
        <v>-0.20000005000000001</v>
      </c>
      <c r="J217">
        <v>0.45454544000000002</v>
      </c>
    </row>
    <row r="218" spans="1:10" x14ac:dyDescent="0.3">
      <c r="A218">
        <v>216</v>
      </c>
      <c r="B218">
        <v>3452</v>
      </c>
      <c r="C218" t="b">
        <v>1</v>
      </c>
      <c r="D218">
        <v>8048</v>
      </c>
      <c r="E218">
        <v>8123</v>
      </c>
      <c r="F218">
        <v>9.1999999999999993</v>
      </c>
      <c r="G218">
        <v>8</v>
      </c>
      <c r="H218">
        <v>1.1499999999999999</v>
      </c>
      <c r="I218">
        <v>-0.14999998</v>
      </c>
      <c r="J218">
        <v>0.46511626</v>
      </c>
    </row>
    <row r="219" spans="1:10" x14ac:dyDescent="0.3">
      <c r="A219">
        <v>217</v>
      </c>
      <c r="B219">
        <v>3467</v>
      </c>
      <c r="C219" t="b">
        <v>1</v>
      </c>
      <c r="D219">
        <v>8042</v>
      </c>
      <c r="E219">
        <v>8117</v>
      </c>
      <c r="F219">
        <v>8.8000000000000007</v>
      </c>
      <c r="G219">
        <v>8</v>
      </c>
      <c r="H219">
        <v>1.1000000000000001</v>
      </c>
      <c r="I219">
        <v>-0.10000002400000001</v>
      </c>
      <c r="J219">
        <v>0.47619050000000002</v>
      </c>
    </row>
    <row r="220" spans="1:10" x14ac:dyDescent="0.3">
      <c r="A220">
        <v>218</v>
      </c>
      <c r="B220">
        <v>3483</v>
      </c>
      <c r="C220" t="b">
        <v>1</v>
      </c>
      <c r="D220">
        <v>8048</v>
      </c>
      <c r="E220">
        <v>8123</v>
      </c>
      <c r="F220">
        <v>8.8000000000000007</v>
      </c>
      <c r="G220">
        <v>8</v>
      </c>
      <c r="H220">
        <v>1.1000000000000001</v>
      </c>
      <c r="I220">
        <v>-0.10000002400000001</v>
      </c>
      <c r="J220">
        <v>0.47619050000000002</v>
      </c>
    </row>
    <row r="221" spans="1:10" x14ac:dyDescent="0.3">
      <c r="A221">
        <v>219</v>
      </c>
      <c r="B221">
        <v>3499</v>
      </c>
      <c r="C221" t="b">
        <v>1</v>
      </c>
      <c r="D221">
        <v>8048</v>
      </c>
      <c r="E221">
        <v>8123</v>
      </c>
      <c r="F221">
        <v>8.8000000000000007</v>
      </c>
      <c r="G221">
        <v>8</v>
      </c>
      <c r="H221">
        <v>1.1000000000000001</v>
      </c>
      <c r="I221">
        <v>-0.10000002400000001</v>
      </c>
      <c r="J221">
        <v>0.47619050000000002</v>
      </c>
    </row>
    <row r="222" spans="1:10" x14ac:dyDescent="0.3">
      <c r="A222">
        <v>220</v>
      </c>
      <c r="B222">
        <v>3515</v>
      </c>
      <c r="C222" t="b">
        <v>1</v>
      </c>
      <c r="D222">
        <v>8048</v>
      </c>
      <c r="E222">
        <v>8117</v>
      </c>
      <c r="F222">
        <v>8.8000000000000007</v>
      </c>
      <c r="G222">
        <v>8</v>
      </c>
      <c r="H222">
        <v>1.1000000000000001</v>
      </c>
      <c r="I222">
        <v>-0.10000002400000001</v>
      </c>
      <c r="J222">
        <v>0.47619050000000002</v>
      </c>
    </row>
    <row r="223" spans="1:10" x14ac:dyDescent="0.3">
      <c r="A223">
        <v>221</v>
      </c>
      <c r="B223">
        <v>3531</v>
      </c>
      <c r="C223" t="b">
        <v>1</v>
      </c>
      <c r="D223">
        <v>8048</v>
      </c>
      <c r="E223">
        <v>8123</v>
      </c>
      <c r="F223">
        <v>8.8000000000000007</v>
      </c>
      <c r="G223">
        <v>8</v>
      </c>
      <c r="H223">
        <v>1.1000000000000001</v>
      </c>
      <c r="I223">
        <v>-0.10000002400000001</v>
      </c>
      <c r="J223">
        <v>0.47619050000000002</v>
      </c>
    </row>
    <row r="224" spans="1:10" x14ac:dyDescent="0.3">
      <c r="A224">
        <v>222</v>
      </c>
      <c r="B224">
        <v>3547</v>
      </c>
      <c r="C224" t="b">
        <v>1</v>
      </c>
      <c r="D224">
        <v>8054</v>
      </c>
      <c r="E224">
        <v>8123</v>
      </c>
      <c r="F224">
        <v>8.8000000000000007</v>
      </c>
      <c r="G224">
        <v>8</v>
      </c>
      <c r="H224">
        <v>1.1000000000000001</v>
      </c>
      <c r="I224">
        <v>-0.10000002400000001</v>
      </c>
      <c r="J224">
        <v>0.47619050000000002</v>
      </c>
    </row>
    <row r="225" spans="1:10" x14ac:dyDescent="0.3">
      <c r="A225">
        <v>223</v>
      </c>
      <c r="B225">
        <v>3563</v>
      </c>
      <c r="C225" t="b">
        <v>1</v>
      </c>
      <c r="D225">
        <v>8048</v>
      </c>
      <c r="E225">
        <v>8117</v>
      </c>
      <c r="F225">
        <v>8.8000000000000007</v>
      </c>
      <c r="G225">
        <v>8</v>
      </c>
      <c r="H225">
        <v>1.1000000000000001</v>
      </c>
      <c r="I225">
        <v>-0.10000002400000001</v>
      </c>
      <c r="J225">
        <v>0.47619050000000002</v>
      </c>
    </row>
    <row r="226" spans="1:10" x14ac:dyDescent="0.3">
      <c r="A226">
        <v>224</v>
      </c>
      <c r="B226">
        <v>3579</v>
      </c>
      <c r="C226" t="b">
        <v>1</v>
      </c>
      <c r="D226">
        <v>8048</v>
      </c>
      <c r="E226">
        <v>8117</v>
      </c>
      <c r="F226">
        <v>8.8000000000000007</v>
      </c>
      <c r="G226">
        <v>7.6</v>
      </c>
      <c r="H226">
        <v>1.1578946999999999</v>
      </c>
      <c r="I226">
        <v>-0.15789478000000001</v>
      </c>
      <c r="J226">
        <v>0.46341463999999999</v>
      </c>
    </row>
    <row r="227" spans="1:10" x14ac:dyDescent="0.3">
      <c r="A227">
        <v>225</v>
      </c>
      <c r="B227">
        <v>3595</v>
      </c>
      <c r="C227" t="b">
        <v>1</v>
      </c>
      <c r="D227">
        <v>8048</v>
      </c>
      <c r="E227">
        <v>8117</v>
      </c>
      <c r="F227">
        <v>8.8000000000000007</v>
      </c>
      <c r="G227">
        <v>7.2</v>
      </c>
      <c r="H227">
        <v>1.2222223000000001</v>
      </c>
      <c r="I227">
        <v>-0.22222227999999999</v>
      </c>
      <c r="J227">
        <v>0.45</v>
      </c>
    </row>
    <row r="228" spans="1:10" x14ac:dyDescent="0.3">
      <c r="A228">
        <v>226</v>
      </c>
      <c r="B228">
        <v>3611</v>
      </c>
      <c r="C228" t="b">
        <v>1</v>
      </c>
      <c r="D228">
        <v>8048</v>
      </c>
      <c r="E228">
        <v>8123</v>
      </c>
      <c r="F228">
        <v>8.8000000000000007</v>
      </c>
      <c r="G228">
        <v>6.8</v>
      </c>
      <c r="H228">
        <v>1.2941176999999999</v>
      </c>
      <c r="I228">
        <v>-0.29411763000000002</v>
      </c>
      <c r="J228">
        <v>0.43589744000000002</v>
      </c>
    </row>
    <row r="229" spans="1:10" x14ac:dyDescent="0.3">
      <c r="A229">
        <v>227</v>
      </c>
      <c r="B229">
        <v>3627</v>
      </c>
      <c r="C229" t="b">
        <v>1</v>
      </c>
      <c r="D229">
        <v>8048</v>
      </c>
      <c r="E229">
        <v>8123</v>
      </c>
      <c r="F229">
        <v>8.4</v>
      </c>
      <c r="G229">
        <v>6.4</v>
      </c>
      <c r="H229">
        <v>1.3124998999999999</v>
      </c>
      <c r="I229">
        <v>-0.3124999</v>
      </c>
      <c r="J229">
        <v>0.43243247000000001</v>
      </c>
    </row>
    <row r="230" spans="1:10" x14ac:dyDescent="0.3">
      <c r="A230">
        <v>228</v>
      </c>
      <c r="B230">
        <v>3643</v>
      </c>
      <c r="C230" t="b">
        <v>1</v>
      </c>
      <c r="D230">
        <v>8048</v>
      </c>
      <c r="E230">
        <v>8123</v>
      </c>
      <c r="F230">
        <v>8</v>
      </c>
      <c r="G230">
        <v>6.4</v>
      </c>
      <c r="H230">
        <v>1.25</v>
      </c>
      <c r="I230">
        <v>-0.24999999000000001</v>
      </c>
      <c r="J230">
        <v>0.44444447999999998</v>
      </c>
    </row>
    <row r="231" spans="1:10" x14ac:dyDescent="0.3">
      <c r="A231">
        <v>229</v>
      </c>
      <c r="B231">
        <v>3659</v>
      </c>
      <c r="C231" t="b">
        <v>1</v>
      </c>
      <c r="D231">
        <v>8048</v>
      </c>
      <c r="E231">
        <v>8123</v>
      </c>
      <c r="F231">
        <v>8</v>
      </c>
      <c r="G231">
        <v>6.4</v>
      </c>
      <c r="H231">
        <v>1.25</v>
      </c>
      <c r="I231">
        <v>-0.24999999000000001</v>
      </c>
      <c r="J231">
        <v>0.44444447999999998</v>
      </c>
    </row>
    <row r="232" spans="1:10" x14ac:dyDescent="0.3">
      <c r="A232">
        <v>230</v>
      </c>
      <c r="B232">
        <v>3675</v>
      </c>
      <c r="C232" t="b">
        <v>1</v>
      </c>
      <c r="D232">
        <v>8048</v>
      </c>
      <c r="E232">
        <v>8123</v>
      </c>
      <c r="F232">
        <v>8</v>
      </c>
      <c r="G232">
        <v>6.4</v>
      </c>
      <c r="H232">
        <v>1.25</v>
      </c>
      <c r="I232">
        <v>-0.24999999000000001</v>
      </c>
      <c r="J232">
        <v>0.44444447999999998</v>
      </c>
    </row>
    <row r="233" spans="1:10" x14ac:dyDescent="0.3">
      <c r="A233">
        <v>231</v>
      </c>
      <c r="B233">
        <v>3690</v>
      </c>
      <c r="C233" t="b">
        <v>1</v>
      </c>
      <c r="D233">
        <v>8048</v>
      </c>
      <c r="E233">
        <v>8123</v>
      </c>
      <c r="F233">
        <v>8</v>
      </c>
      <c r="G233">
        <v>6.4</v>
      </c>
      <c r="H233">
        <v>1.25</v>
      </c>
      <c r="I233">
        <v>-0.24999999000000001</v>
      </c>
      <c r="J233">
        <v>0.44444447999999998</v>
      </c>
    </row>
    <row r="234" spans="1:10" x14ac:dyDescent="0.3">
      <c r="A234">
        <v>232</v>
      </c>
      <c r="B234">
        <v>3706</v>
      </c>
      <c r="C234" t="b">
        <v>1</v>
      </c>
      <c r="D234">
        <v>8048</v>
      </c>
      <c r="E234">
        <v>8123</v>
      </c>
      <c r="F234">
        <v>8</v>
      </c>
      <c r="G234">
        <v>6.4</v>
      </c>
      <c r="H234">
        <v>1.25</v>
      </c>
      <c r="I234">
        <v>-0.24999999000000001</v>
      </c>
      <c r="J234">
        <v>0.44444447999999998</v>
      </c>
    </row>
    <row r="235" spans="1:10" x14ac:dyDescent="0.3">
      <c r="A235">
        <v>233</v>
      </c>
      <c r="B235">
        <v>3722</v>
      </c>
      <c r="C235" t="b">
        <v>1</v>
      </c>
      <c r="D235">
        <v>8048</v>
      </c>
      <c r="E235">
        <v>8123</v>
      </c>
      <c r="F235">
        <v>8</v>
      </c>
      <c r="G235">
        <v>6.4</v>
      </c>
      <c r="H235">
        <v>1.25</v>
      </c>
      <c r="I235">
        <v>-0.24999999000000001</v>
      </c>
      <c r="J235">
        <v>0.44444447999999998</v>
      </c>
    </row>
    <row r="236" spans="1:10" x14ac:dyDescent="0.3">
      <c r="A236">
        <v>234</v>
      </c>
      <c r="B236">
        <v>3738</v>
      </c>
      <c r="C236" t="b">
        <v>1</v>
      </c>
      <c r="D236">
        <v>8054</v>
      </c>
      <c r="E236">
        <v>8123</v>
      </c>
      <c r="F236">
        <v>8</v>
      </c>
      <c r="G236">
        <v>6.4</v>
      </c>
      <c r="H236">
        <v>1.25</v>
      </c>
      <c r="I236">
        <v>-0.24999999000000001</v>
      </c>
      <c r="J236">
        <v>0.44444447999999998</v>
      </c>
    </row>
    <row r="237" spans="1:10" x14ac:dyDescent="0.3">
      <c r="A237">
        <v>235</v>
      </c>
      <c r="B237">
        <v>3754</v>
      </c>
      <c r="C237" t="b">
        <v>1</v>
      </c>
      <c r="D237">
        <v>8048</v>
      </c>
      <c r="E237">
        <v>8123</v>
      </c>
      <c r="F237">
        <v>8</v>
      </c>
      <c r="G237">
        <v>6.4</v>
      </c>
      <c r="H237">
        <v>1.25</v>
      </c>
      <c r="I237">
        <v>-0.24999999000000001</v>
      </c>
      <c r="J237">
        <v>0.44444447999999998</v>
      </c>
    </row>
    <row r="238" spans="1:10" x14ac:dyDescent="0.3">
      <c r="A238">
        <v>236</v>
      </c>
      <c r="B238">
        <v>3769</v>
      </c>
      <c r="C238" t="b">
        <v>1</v>
      </c>
      <c r="D238">
        <v>8048</v>
      </c>
      <c r="E238">
        <v>8117</v>
      </c>
      <c r="F238">
        <v>8</v>
      </c>
      <c r="G238">
        <v>6.4</v>
      </c>
      <c r="H238">
        <v>1.25</v>
      </c>
      <c r="I238">
        <v>-0.24999999000000001</v>
      </c>
      <c r="J238">
        <v>0.44444447999999998</v>
      </c>
    </row>
    <row r="239" spans="1:10" x14ac:dyDescent="0.3">
      <c r="A239">
        <v>237</v>
      </c>
      <c r="B239">
        <v>3785</v>
      </c>
      <c r="C239" t="b">
        <v>1</v>
      </c>
      <c r="D239">
        <v>8048</v>
      </c>
      <c r="E239">
        <v>8123</v>
      </c>
      <c r="F239">
        <v>8</v>
      </c>
      <c r="G239">
        <v>6.4</v>
      </c>
      <c r="H239">
        <v>1.25</v>
      </c>
      <c r="I239">
        <v>-0.24999999000000001</v>
      </c>
      <c r="J239">
        <v>0.44444447999999998</v>
      </c>
    </row>
    <row r="240" spans="1:10" x14ac:dyDescent="0.3">
      <c r="A240">
        <v>238</v>
      </c>
      <c r="B240">
        <v>3801</v>
      </c>
      <c r="C240" t="b">
        <v>1</v>
      </c>
      <c r="D240">
        <v>8048</v>
      </c>
      <c r="E240">
        <v>8123</v>
      </c>
      <c r="F240">
        <v>8</v>
      </c>
      <c r="G240">
        <v>6.4</v>
      </c>
      <c r="H240">
        <v>1.25</v>
      </c>
      <c r="I240">
        <v>-0.24999999000000001</v>
      </c>
      <c r="J240">
        <v>0.44444447999999998</v>
      </c>
    </row>
    <row r="241" spans="1:10" x14ac:dyDescent="0.3">
      <c r="A241">
        <v>239</v>
      </c>
      <c r="B241">
        <v>3817</v>
      </c>
      <c r="C241" t="b">
        <v>1</v>
      </c>
      <c r="D241">
        <v>8048</v>
      </c>
      <c r="E241">
        <v>8123</v>
      </c>
      <c r="F241">
        <v>8</v>
      </c>
      <c r="G241">
        <v>6.8</v>
      </c>
      <c r="H241">
        <v>1.1764705</v>
      </c>
      <c r="I241">
        <v>-0.17647055</v>
      </c>
      <c r="J241">
        <v>0.45945944999999999</v>
      </c>
    </row>
    <row r="242" spans="1:10" x14ac:dyDescent="0.3">
      <c r="A242">
        <v>240</v>
      </c>
      <c r="B242">
        <v>3833</v>
      </c>
      <c r="C242" t="b">
        <v>1</v>
      </c>
      <c r="D242">
        <v>8048</v>
      </c>
      <c r="E242">
        <v>8117</v>
      </c>
      <c r="F242">
        <v>8</v>
      </c>
      <c r="G242">
        <v>7.2</v>
      </c>
      <c r="H242">
        <v>1.1111112000000001</v>
      </c>
      <c r="I242">
        <v>-0.11111114</v>
      </c>
      <c r="J242">
        <v>0.4736842</v>
      </c>
    </row>
    <row r="243" spans="1:10" x14ac:dyDescent="0.3">
      <c r="A243">
        <v>241</v>
      </c>
      <c r="B243">
        <v>3849</v>
      </c>
      <c r="C243" t="b">
        <v>1</v>
      </c>
      <c r="D243">
        <v>8048</v>
      </c>
      <c r="E243">
        <v>8123</v>
      </c>
      <c r="F243">
        <v>8</v>
      </c>
      <c r="G243">
        <v>7.6</v>
      </c>
      <c r="H243">
        <v>1.0526316</v>
      </c>
      <c r="I243">
        <v>-5.2631589999999999E-2</v>
      </c>
      <c r="J243">
        <v>0.48717946000000001</v>
      </c>
    </row>
    <row r="244" spans="1:10" x14ac:dyDescent="0.3">
      <c r="A244">
        <v>242</v>
      </c>
      <c r="B244">
        <v>3865</v>
      </c>
      <c r="C244" t="b">
        <v>1</v>
      </c>
      <c r="D244">
        <v>8048</v>
      </c>
      <c r="E244">
        <v>8123</v>
      </c>
      <c r="F244">
        <v>8</v>
      </c>
      <c r="G244">
        <v>8</v>
      </c>
      <c r="H244">
        <v>1</v>
      </c>
      <c r="I244">
        <v>0</v>
      </c>
      <c r="J244">
        <v>0.5</v>
      </c>
    </row>
    <row r="245" spans="1:10" x14ac:dyDescent="0.3">
      <c r="A245">
        <v>243</v>
      </c>
      <c r="B245">
        <v>3881</v>
      </c>
      <c r="C245" t="b">
        <v>1</v>
      </c>
      <c r="D245">
        <v>8054</v>
      </c>
      <c r="E245">
        <v>8123</v>
      </c>
      <c r="F245">
        <v>8</v>
      </c>
      <c r="G245">
        <v>8</v>
      </c>
      <c r="H245">
        <v>1</v>
      </c>
      <c r="I245">
        <v>0</v>
      </c>
      <c r="J245">
        <v>0.5</v>
      </c>
    </row>
    <row r="246" spans="1:10" x14ac:dyDescent="0.3">
      <c r="A246">
        <v>244</v>
      </c>
      <c r="B246">
        <v>3897</v>
      </c>
      <c r="C246" t="b">
        <v>1</v>
      </c>
      <c r="D246">
        <v>8054</v>
      </c>
      <c r="E246">
        <v>8123</v>
      </c>
      <c r="F246">
        <v>8</v>
      </c>
      <c r="G246">
        <v>8</v>
      </c>
      <c r="H246">
        <v>1</v>
      </c>
      <c r="I246">
        <v>0</v>
      </c>
      <c r="J246">
        <v>0.5</v>
      </c>
    </row>
    <row r="247" spans="1:10" x14ac:dyDescent="0.3">
      <c r="A247">
        <v>245</v>
      </c>
      <c r="B247">
        <v>3913</v>
      </c>
      <c r="C247" t="b">
        <v>1</v>
      </c>
      <c r="D247">
        <v>8048</v>
      </c>
      <c r="E247">
        <v>8123</v>
      </c>
      <c r="F247">
        <v>8</v>
      </c>
      <c r="G247">
        <v>8</v>
      </c>
      <c r="H247">
        <v>1</v>
      </c>
      <c r="I247">
        <v>0</v>
      </c>
      <c r="J247">
        <v>0.5</v>
      </c>
    </row>
    <row r="248" spans="1:10" x14ac:dyDescent="0.3">
      <c r="A248">
        <v>246</v>
      </c>
      <c r="B248">
        <v>3929</v>
      </c>
      <c r="C248" t="b">
        <v>1</v>
      </c>
      <c r="D248">
        <v>8048</v>
      </c>
      <c r="E248">
        <v>8123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3944</v>
      </c>
      <c r="C249" t="b">
        <v>1</v>
      </c>
      <c r="D249">
        <v>8048</v>
      </c>
      <c r="E249">
        <v>8123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3960</v>
      </c>
      <c r="C250" t="b">
        <v>1</v>
      </c>
      <c r="D250">
        <v>8054</v>
      </c>
      <c r="E250">
        <v>8123</v>
      </c>
      <c r="F250">
        <v>8</v>
      </c>
      <c r="G250">
        <v>8</v>
      </c>
      <c r="H250">
        <v>1</v>
      </c>
      <c r="I250">
        <v>0</v>
      </c>
      <c r="J250">
        <v>0.5</v>
      </c>
    </row>
    <row r="251" spans="1:10" x14ac:dyDescent="0.3">
      <c r="A251">
        <v>249</v>
      </c>
      <c r="B251">
        <v>3976</v>
      </c>
      <c r="C251" t="b">
        <v>1</v>
      </c>
      <c r="D251">
        <v>8048</v>
      </c>
      <c r="E251">
        <v>8123</v>
      </c>
      <c r="F251">
        <v>8</v>
      </c>
      <c r="G251">
        <v>8</v>
      </c>
      <c r="H251">
        <v>1</v>
      </c>
      <c r="I251">
        <v>0</v>
      </c>
      <c r="J251">
        <v>0.5</v>
      </c>
    </row>
    <row r="252" spans="1:10" x14ac:dyDescent="0.3">
      <c r="A252">
        <v>250</v>
      </c>
      <c r="B252">
        <v>3992</v>
      </c>
      <c r="C252" t="b">
        <v>1</v>
      </c>
      <c r="D252">
        <v>8048</v>
      </c>
      <c r="E252">
        <v>8123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4008</v>
      </c>
      <c r="C253" t="b">
        <v>1</v>
      </c>
      <c r="D253">
        <v>8048</v>
      </c>
      <c r="E253">
        <v>8123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4023</v>
      </c>
      <c r="C254" t="b">
        <v>1</v>
      </c>
      <c r="D254">
        <v>8048</v>
      </c>
      <c r="E254">
        <v>8117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4039</v>
      </c>
      <c r="C255" t="b">
        <v>1</v>
      </c>
      <c r="D255">
        <v>8042</v>
      </c>
      <c r="E255">
        <v>8123</v>
      </c>
      <c r="F255">
        <v>8</v>
      </c>
      <c r="G255">
        <v>8</v>
      </c>
      <c r="H255">
        <v>1</v>
      </c>
      <c r="I255">
        <v>0</v>
      </c>
      <c r="J255">
        <v>0.5</v>
      </c>
    </row>
    <row r="256" spans="1:10" x14ac:dyDescent="0.3">
      <c r="A256">
        <v>254</v>
      </c>
      <c r="B256">
        <v>4055</v>
      </c>
      <c r="C256" t="b">
        <v>1</v>
      </c>
      <c r="D256">
        <v>8042</v>
      </c>
      <c r="E256">
        <v>8123</v>
      </c>
      <c r="F256">
        <v>8</v>
      </c>
      <c r="G256">
        <v>8</v>
      </c>
      <c r="H256">
        <v>1</v>
      </c>
      <c r="I256">
        <v>0</v>
      </c>
      <c r="J256">
        <v>0.5</v>
      </c>
    </row>
    <row r="257" spans="1:10" x14ac:dyDescent="0.3">
      <c r="A257">
        <v>255</v>
      </c>
      <c r="B257">
        <v>4071</v>
      </c>
      <c r="C257" t="b">
        <v>1</v>
      </c>
      <c r="D257">
        <v>8042</v>
      </c>
      <c r="E257">
        <v>8123</v>
      </c>
      <c r="F257">
        <v>7.6</v>
      </c>
      <c r="G257">
        <v>8</v>
      </c>
      <c r="H257">
        <v>0.95</v>
      </c>
      <c r="I257">
        <v>5.0000012000000003E-2</v>
      </c>
      <c r="J257">
        <v>0.51282050000000001</v>
      </c>
    </row>
    <row r="258" spans="1:10" x14ac:dyDescent="0.3">
      <c r="A258">
        <v>256</v>
      </c>
      <c r="B258">
        <v>4087</v>
      </c>
      <c r="C258" t="b">
        <v>1</v>
      </c>
      <c r="D258">
        <v>8042</v>
      </c>
      <c r="E258">
        <v>8117</v>
      </c>
      <c r="F258">
        <v>7.2</v>
      </c>
      <c r="G258">
        <v>8</v>
      </c>
      <c r="H258">
        <v>0.9</v>
      </c>
      <c r="I258">
        <v>0.10000002400000001</v>
      </c>
      <c r="J258">
        <v>0.5263158</v>
      </c>
    </row>
    <row r="259" spans="1:10" x14ac:dyDescent="0.3">
      <c r="A259">
        <v>257</v>
      </c>
      <c r="B259">
        <v>4103</v>
      </c>
      <c r="C259" t="b">
        <v>1</v>
      </c>
      <c r="D259">
        <v>8037</v>
      </c>
      <c r="E259">
        <v>8123</v>
      </c>
      <c r="F259">
        <v>6.8</v>
      </c>
      <c r="G259">
        <v>8</v>
      </c>
      <c r="H259">
        <v>0.85</v>
      </c>
      <c r="I259">
        <v>0.14999998</v>
      </c>
      <c r="J259">
        <v>0.54054049999999998</v>
      </c>
    </row>
    <row r="260" spans="1:10" x14ac:dyDescent="0.3">
      <c r="A260">
        <v>258</v>
      </c>
      <c r="B260">
        <v>4119</v>
      </c>
      <c r="C260" t="b">
        <v>1</v>
      </c>
      <c r="D260">
        <v>8042</v>
      </c>
      <c r="E260">
        <v>8123</v>
      </c>
      <c r="F260">
        <v>6.4</v>
      </c>
      <c r="G260">
        <v>8</v>
      </c>
      <c r="H260">
        <v>0.8</v>
      </c>
      <c r="I260">
        <v>0.19999998999999999</v>
      </c>
      <c r="J260">
        <v>0.55555560000000004</v>
      </c>
    </row>
    <row r="261" spans="1:10" x14ac:dyDescent="0.3">
      <c r="A261">
        <v>259</v>
      </c>
      <c r="B261">
        <v>4135</v>
      </c>
      <c r="C261" t="b">
        <v>1</v>
      </c>
      <c r="D261">
        <v>8042</v>
      </c>
      <c r="E261">
        <v>8123</v>
      </c>
      <c r="F261">
        <v>6</v>
      </c>
      <c r="G261">
        <v>8</v>
      </c>
      <c r="H261">
        <v>0.75</v>
      </c>
      <c r="I261">
        <v>0.25</v>
      </c>
      <c r="J261">
        <v>0.57142859999999995</v>
      </c>
    </row>
    <row r="262" spans="1:10" x14ac:dyDescent="0.3">
      <c r="A262">
        <v>260</v>
      </c>
      <c r="B262">
        <v>4151</v>
      </c>
      <c r="C262" t="b">
        <v>1</v>
      </c>
      <c r="D262">
        <v>8048</v>
      </c>
      <c r="E262">
        <v>8117</v>
      </c>
      <c r="F262">
        <v>5.6</v>
      </c>
      <c r="G262">
        <v>8</v>
      </c>
      <c r="H262">
        <v>0.7</v>
      </c>
      <c r="I262">
        <v>0.3</v>
      </c>
      <c r="J262">
        <v>0.58823526000000004</v>
      </c>
    </row>
    <row r="263" spans="1:10" x14ac:dyDescent="0.3">
      <c r="A263">
        <v>261</v>
      </c>
      <c r="B263">
        <v>4167</v>
      </c>
      <c r="C263" t="b">
        <v>1</v>
      </c>
      <c r="D263">
        <v>8054</v>
      </c>
      <c r="E263">
        <v>8123</v>
      </c>
      <c r="F263">
        <v>5.2</v>
      </c>
      <c r="G263">
        <v>8</v>
      </c>
      <c r="H263">
        <v>0.65</v>
      </c>
      <c r="I263">
        <v>0.35000002000000002</v>
      </c>
      <c r="J263">
        <v>0.60606059999999995</v>
      </c>
    </row>
    <row r="264" spans="1:10" x14ac:dyDescent="0.3">
      <c r="A264">
        <v>262</v>
      </c>
      <c r="B264">
        <v>4183</v>
      </c>
      <c r="C264" t="b">
        <v>1</v>
      </c>
      <c r="D264">
        <v>8048</v>
      </c>
      <c r="E264">
        <v>8117</v>
      </c>
      <c r="F264">
        <v>5.2</v>
      </c>
      <c r="G264">
        <v>8</v>
      </c>
      <c r="H264">
        <v>0.65</v>
      </c>
      <c r="I264">
        <v>0.35000002000000002</v>
      </c>
      <c r="J264">
        <v>0.60606059999999995</v>
      </c>
    </row>
    <row r="265" spans="1:10" x14ac:dyDescent="0.3">
      <c r="A265">
        <v>263</v>
      </c>
      <c r="B265">
        <v>4199</v>
      </c>
      <c r="C265" t="b">
        <v>1</v>
      </c>
      <c r="D265">
        <v>8054</v>
      </c>
      <c r="E265">
        <v>8123</v>
      </c>
      <c r="F265">
        <v>5.2</v>
      </c>
      <c r="G265">
        <v>8</v>
      </c>
      <c r="H265">
        <v>0.65</v>
      </c>
      <c r="I265">
        <v>0.35000002000000002</v>
      </c>
      <c r="J265">
        <v>0.60606059999999995</v>
      </c>
    </row>
    <row r="266" spans="1:10" x14ac:dyDescent="0.3">
      <c r="A266">
        <v>264</v>
      </c>
      <c r="B266">
        <v>4215</v>
      </c>
      <c r="C266" t="b">
        <v>1</v>
      </c>
      <c r="D266">
        <v>8048</v>
      </c>
      <c r="E266">
        <v>8123</v>
      </c>
      <c r="F266">
        <v>5.2</v>
      </c>
      <c r="G266">
        <v>8</v>
      </c>
      <c r="H266">
        <v>0.65</v>
      </c>
      <c r="I266">
        <v>0.35000002000000002</v>
      </c>
      <c r="J266">
        <v>0.60606059999999995</v>
      </c>
    </row>
    <row r="267" spans="1:10" x14ac:dyDescent="0.3">
      <c r="A267">
        <v>265</v>
      </c>
      <c r="B267">
        <v>4231</v>
      </c>
      <c r="C267" t="b">
        <v>1</v>
      </c>
      <c r="D267">
        <v>8054</v>
      </c>
      <c r="E267">
        <v>8117</v>
      </c>
      <c r="F267">
        <v>5.6</v>
      </c>
      <c r="G267">
        <v>8</v>
      </c>
      <c r="H267">
        <v>0.7</v>
      </c>
      <c r="I267">
        <v>0.3</v>
      </c>
      <c r="J267">
        <v>0.58823526000000004</v>
      </c>
    </row>
    <row r="268" spans="1:10" x14ac:dyDescent="0.3">
      <c r="A268">
        <v>266</v>
      </c>
      <c r="B268">
        <v>4247</v>
      </c>
      <c r="C268" t="b">
        <v>1</v>
      </c>
      <c r="D268">
        <v>8054</v>
      </c>
      <c r="E268">
        <v>8123</v>
      </c>
      <c r="F268">
        <v>6</v>
      </c>
      <c r="G268">
        <v>8</v>
      </c>
      <c r="H268">
        <v>0.75</v>
      </c>
      <c r="I268">
        <v>0.25</v>
      </c>
      <c r="J268">
        <v>0.57142859999999995</v>
      </c>
    </row>
    <row r="269" spans="1:10" x14ac:dyDescent="0.3">
      <c r="A269">
        <v>267</v>
      </c>
      <c r="B269">
        <v>4263</v>
      </c>
      <c r="C269" t="b">
        <v>1</v>
      </c>
      <c r="D269">
        <v>8048</v>
      </c>
      <c r="E269">
        <v>8123</v>
      </c>
      <c r="F269">
        <v>6.4</v>
      </c>
      <c r="G269">
        <v>8</v>
      </c>
      <c r="H269">
        <v>0.8</v>
      </c>
      <c r="I269">
        <v>0.19999998999999999</v>
      </c>
      <c r="J269">
        <v>0.55555560000000004</v>
      </c>
    </row>
    <row r="270" spans="1:10" x14ac:dyDescent="0.3">
      <c r="A270">
        <v>268</v>
      </c>
      <c r="B270">
        <v>4278</v>
      </c>
      <c r="C270" t="b">
        <v>1</v>
      </c>
      <c r="D270">
        <v>8048</v>
      </c>
      <c r="E270">
        <v>8123</v>
      </c>
      <c r="F270">
        <v>6.4</v>
      </c>
      <c r="G270">
        <v>8</v>
      </c>
      <c r="H270">
        <v>0.8</v>
      </c>
      <c r="I270">
        <v>0.19999998999999999</v>
      </c>
      <c r="J270">
        <v>0.55555560000000004</v>
      </c>
    </row>
    <row r="271" spans="1:10" x14ac:dyDescent="0.3">
      <c r="A271">
        <v>269</v>
      </c>
      <c r="B271">
        <v>4294</v>
      </c>
      <c r="C271" t="b">
        <v>1</v>
      </c>
      <c r="D271">
        <v>8048</v>
      </c>
      <c r="E271">
        <v>8123</v>
      </c>
      <c r="F271">
        <v>6.4</v>
      </c>
      <c r="G271">
        <v>8</v>
      </c>
      <c r="H271">
        <v>0.8</v>
      </c>
      <c r="I271">
        <v>0.19999998999999999</v>
      </c>
      <c r="J271">
        <v>0.55555560000000004</v>
      </c>
    </row>
    <row r="272" spans="1:10" x14ac:dyDescent="0.3">
      <c r="A272">
        <v>270</v>
      </c>
      <c r="B272">
        <v>4310</v>
      </c>
      <c r="C272" t="b">
        <v>1</v>
      </c>
      <c r="D272">
        <v>8048</v>
      </c>
      <c r="E272">
        <v>8123</v>
      </c>
      <c r="F272">
        <v>6.8</v>
      </c>
      <c r="G272">
        <v>8</v>
      </c>
      <c r="H272">
        <v>0.85</v>
      </c>
      <c r="I272">
        <v>0.14999998</v>
      </c>
      <c r="J272">
        <v>0.54054049999999998</v>
      </c>
    </row>
    <row r="273" spans="1:10" x14ac:dyDescent="0.3">
      <c r="A273">
        <v>271</v>
      </c>
      <c r="B273">
        <v>4326</v>
      </c>
      <c r="C273" t="b">
        <v>1</v>
      </c>
      <c r="D273">
        <v>8048</v>
      </c>
      <c r="E273">
        <v>8123</v>
      </c>
      <c r="F273">
        <v>7.2</v>
      </c>
      <c r="G273">
        <v>8</v>
      </c>
      <c r="H273">
        <v>0.9</v>
      </c>
      <c r="I273">
        <v>0.10000002400000001</v>
      </c>
      <c r="J273">
        <v>0.5263158</v>
      </c>
    </row>
    <row r="274" spans="1:10" x14ac:dyDescent="0.3">
      <c r="A274">
        <v>272</v>
      </c>
      <c r="B274">
        <v>4341</v>
      </c>
      <c r="C274" t="b">
        <v>1</v>
      </c>
      <c r="D274">
        <v>8048</v>
      </c>
      <c r="E274">
        <v>8123</v>
      </c>
      <c r="F274">
        <v>7.6</v>
      </c>
      <c r="G274">
        <v>8</v>
      </c>
      <c r="H274">
        <v>0.95</v>
      </c>
      <c r="I274">
        <v>5.0000012000000003E-2</v>
      </c>
      <c r="J274">
        <v>0.51282050000000001</v>
      </c>
    </row>
    <row r="275" spans="1:10" x14ac:dyDescent="0.3">
      <c r="A275">
        <v>273</v>
      </c>
      <c r="B275">
        <v>4357</v>
      </c>
      <c r="C275" t="b">
        <v>1</v>
      </c>
      <c r="D275">
        <v>8048</v>
      </c>
      <c r="E275">
        <v>8117</v>
      </c>
      <c r="F275">
        <v>8</v>
      </c>
      <c r="G275">
        <v>8</v>
      </c>
      <c r="H275">
        <v>1</v>
      </c>
      <c r="I275">
        <v>0</v>
      </c>
      <c r="J275">
        <v>0.5</v>
      </c>
    </row>
    <row r="276" spans="1:10" x14ac:dyDescent="0.3">
      <c r="A276">
        <v>274</v>
      </c>
      <c r="B276">
        <v>4373</v>
      </c>
      <c r="C276" t="b">
        <v>1</v>
      </c>
      <c r="D276">
        <v>8054</v>
      </c>
      <c r="E276">
        <v>8117</v>
      </c>
      <c r="F276">
        <v>8.4</v>
      </c>
      <c r="G276">
        <v>8</v>
      </c>
      <c r="H276">
        <v>1.05</v>
      </c>
      <c r="I276">
        <v>-4.9999952E-2</v>
      </c>
      <c r="J276">
        <v>0.48780489999999999</v>
      </c>
    </row>
    <row r="277" spans="1:10" x14ac:dyDescent="0.3">
      <c r="A277">
        <v>275</v>
      </c>
      <c r="B277">
        <v>4389</v>
      </c>
      <c r="C277" t="b">
        <v>1</v>
      </c>
      <c r="D277">
        <v>8048</v>
      </c>
      <c r="E277">
        <v>8123</v>
      </c>
      <c r="F277">
        <v>8.8000000000000007</v>
      </c>
      <c r="G277">
        <v>8</v>
      </c>
      <c r="H277">
        <v>1.1000000000000001</v>
      </c>
      <c r="I277">
        <v>-0.10000002400000001</v>
      </c>
      <c r="J277">
        <v>0.47619050000000002</v>
      </c>
    </row>
    <row r="278" spans="1:10" x14ac:dyDescent="0.3">
      <c r="A278">
        <v>276</v>
      </c>
      <c r="B278">
        <v>4405</v>
      </c>
      <c r="C278" t="b">
        <v>1</v>
      </c>
      <c r="D278">
        <v>8048</v>
      </c>
      <c r="E278">
        <v>8123</v>
      </c>
      <c r="F278">
        <v>9.1999999999999993</v>
      </c>
      <c r="G278">
        <v>8</v>
      </c>
      <c r="H278">
        <v>1.1499999999999999</v>
      </c>
      <c r="I278">
        <v>-0.14999998</v>
      </c>
      <c r="J278">
        <v>0.46511626</v>
      </c>
    </row>
    <row r="279" spans="1:10" x14ac:dyDescent="0.3">
      <c r="A279">
        <v>277</v>
      </c>
      <c r="B279">
        <v>4420</v>
      </c>
      <c r="C279" t="b">
        <v>1</v>
      </c>
      <c r="D279">
        <v>8048</v>
      </c>
      <c r="E279">
        <v>8117</v>
      </c>
      <c r="F279">
        <v>9.1999999999999993</v>
      </c>
      <c r="G279">
        <v>7.6</v>
      </c>
      <c r="H279">
        <v>1.2105262999999999</v>
      </c>
      <c r="I279">
        <v>-0.2105263</v>
      </c>
      <c r="J279">
        <v>0.45238096</v>
      </c>
    </row>
    <row r="280" spans="1:10" x14ac:dyDescent="0.3">
      <c r="A280">
        <v>278</v>
      </c>
      <c r="B280">
        <v>4436</v>
      </c>
      <c r="C280" t="b">
        <v>1</v>
      </c>
      <c r="D280">
        <v>8048</v>
      </c>
      <c r="E280">
        <v>8123</v>
      </c>
      <c r="F280">
        <v>9.1999999999999993</v>
      </c>
      <c r="G280">
        <v>7.6</v>
      </c>
      <c r="H280">
        <v>1.2105262999999999</v>
      </c>
      <c r="I280">
        <v>-0.2105263</v>
      </c>
      <c r="J280">
        <v>0.45238096</v>
      </c>
    </row>
    <row r="281" spans="1:10" x14ac:dyDescent="0.3">
      <c r="A281">
        <v>279</v>
      </c>
      <c r="B281">
        <v>4452</v>
      </c>
      <c r="C281" t="b">
        <v>1</v>
      </c>
      <c r="D281">
        <v>8048</v>
      </c>
      <c r="E281">
        <v>8123</v>
      </c>
      <c r="F281">
        <v>9.1999999999999993</v>
      </c>
      <c r="G281">
        <v>7.6</v>
      </c>
      <c r="H281">
        <v>1.2105262999999999</v>
      </c>
      <c r="I281">
        <v>-0.2105263</v>
      </c>
      <c r="J281">
        <v>0.45238096</v>
      </c>
    </row>
    <row r="282" spans="1:10" x14ac:dyDescent="0.3">
      <c r="A282">
        <v>280</v>
      </c>
      <c r="B282">
        <v>4468</v>
      </c>
      <c r="C282" t="b">
        <v>1</v>
      </c>
      <c r="D282">
        <v>8048</v>
      </c>
      <c r="E282">
        <v>8123</v>
      </c>
      <c r="F282">
        <v>8.8000000000000007</v>
      </c>
      <c r="G282">
        <v>7.6</v>
      </c>
      <c r="H282">
        <v>1.1578946999999999</v>
      </c>
      <c r="I282">
        <v>-0.15789478000000001</v>
      </c>
      <c r="J282">
        <v>0.46341463999999999</v>
      </c>
    </row>
    <row r="283" spans="1:10" x14ac:dyDescent="0.3">
      <c r="A283">
        <v>281</v>
      </c>
      <c r="B283">
        <v>4484</v>
      </c>
      <c r="C283" t="b">
        <v>1</v>
      </c>
      <c r="D283">
        <v>8048</v>
      </c>
      <c r="E283">
        <v>8123</v>
      </c>
      <c r="F283">
        <v>8.4</v>
      </c>
      <c r="G283">
        <v>7.6</v>
      </c>
      <c r="H283">
        <v>1.1052630999999999</v>
      </c>
      <c r="I283">
        <v>-0.10526312</v>
      </c>
      <c r="J283">
        <v>0.47499999999999998</v>
      </c>
    </row>
    <row r="284" spans="1:10" x14ac:dyDescent="0.3">
      <c r="A284">
        <v>282</v>
      </c>
      <c r="B284">
        <v>4500</v>
      </c>
      <c r="C284" t="b">
        <v>1</v>
      </c>
      <c r="D284">
        <v>8048</v>
      </c>
      <c r="E284">
        <v>8123</v>
      </c>
      <c r="F284">
        <v>8</v>
      </c>
      <c r="G284">
        <v>7.6</v>
      </c>
      <c r="H284">
        <v>1.0526316</v>
      </c>
      <c r="I284">
        <v>-5.2631589999999999E-2</v>
      </c>
      <c r="J284">
        <v>0.48717946000000001</v>
      </c>
    </row>
    <row r="285" spans="1:10" x14ac:dyDescent="0.3">
      <c r="A285">
        <v>283</v>
      </c>
      <c r="B285">
        <v>4516</v>
      </c>
      <c r="C285" t="b">
        <v>1</v>
      </c>
      <c r="D285">
        <v>8048</v>
      </c>
      <c r="E285">
        <v>8123</v>
      </c>
      <c r="F285">
        <v>8</v>
      </c>
      <c r="G285">
        <v>7.6</v>
      </c>
      <c r="H285">
        <v>1.0526316</v>
      </c>
      <c r="I285">
        <v>-5.2631589999999999E-2</v>
      </c>
      <c r="J285">
        <v>0.48717946000000001</v>
      </c>
    </row>
    <row r="286" spans="1:10" x14ac:dyDescent="0.3">
      <c r="A286">
        <v>284</v>
      </c>
      <c r="B286">
        <v>4532</v>
      </c>
      <c r="C286" t="b">
        <v>1</v>
      </c>
      <c r="D286">
        <v>8054</v>
      </c>
      <c r="E286">
        <v>8117</v>
      </c>
      <c r="F286">
        <v>8</v>
      </c>
      <c r="G286">
        <v>7.6</v>
      </c>
      <c r="H286">
        <v>1.0526316</v>
      </c>
      <c r="I286">
        <v>-5.2631589999999999E-2</v>
      </c>
      <c r="J286">
        <v>0.48717946000000001</v>
      </c>
    </row>
    <row r="287" spans="1:10" x14ac:dyDescent="0.3">
      <c r="A287">
        <v>285</v>
      </c>
      <c r="B287">
        <v>4548</v>
      </c>
      <c r="C287" t="b">
        <v>1</v>
      </c>
      <c r="D287">
        <v>8054</v>
      </c>
      <c r="E287">
        <v>8123</v>
      </c>
      <c r="F287">
        <v>8</v>
      </c>
      <c r="G287">
        <v>7.6</v>
      </c>
      <c r="H287">
        <v>1.0526316</v>
      </c>
      <c r="I287">
        <v>-5.2631589999999999E-2</v>
      </c>
      <c r="J287">
        <v>0.48717946000000001</v>
      </c>
    </row>
    <row r="288" spans="1:10" x14ac:dyDescent="0.3">
      <c r="A288">
        <v>286</v>
      </c>
      <c r="B288">
        <v>4565</v>
      </c>
      <c r="C288" t="b">
        <v>1</v>
      </c>
      <c r="D288">
        <v>8048</v>
      </c>
      <c r="E288">
        <v>8123</v>
      </c>
      <c r="F288">
        <v>8</v>
      </c>
      <c r="G288">
        <v>7.6</v>
      </c>
      <c r="H288">
        <v>1.0526316</v>
      </c>
      <c r="I288">
        <v>-5.2631589999999999E-2</v>
      </c>
      <c r="J288">
        <v>0.48717946000000001</v>
      </c>
    </row>
    <row r="289" spans="1:10" x14ac:dyDescent="0.3">
      <c r="A289">
        <v>287</v>
      </c>
      <c r="B289">
        <v>4581</v>
      </c>
      <c r="C289" t="b">
        <v>1</v>
      </c>
      <c r="D289">
        <v>8048</v>
      </c>
      <c r="E289">
        <v>8123</v>
      </c>
      <c r="F289">
        <v>8</v>
      </c>
      <c r="G289">
        <v>7.6</v>
      </c>
      <c r="H289">
        <v>1.0526316</v>
      </c>
      <c r="I289">
        <v>-5.2631589999999999E-2</v>
      </c>
      <c r="J289">
        <v>0.48717946000000001</v>
      </c>
    </row>
    <row r="290" spans="1:10" x14ac:dyDescent="0.3">
      <c r="A290">
        <v>288</v>
      </c>
      <c r="B290">
        <v>4597</v>
      </c>
      <c r="C290" t="b">
        <v>1</v>
      </c>
      <c r="D290">
        <v>8054</v>
      </c>
      <c r="E290">
        <v>8123</v>
      </c>
      <c r="F290">
        <v>8.4</v>
      </c>
      <c r="G290">
        <v>7.6</v>
      </c>
      <c r="H290">
        <v>1.1052630999999999</v>
      </c>
      <c r="I290">
        <v>-0.10526312</v>
      </c>
      <c r="J290">
        <v>0.47499999999999998</v>
      </c>
    </row>
    <row r="291" spans="1:10" x14ac:dyDescent="0.3">
      <c r="A291">
        <v>289</v>
      </c>
      <c r="B291">
        <v>4613</v>
      </c>
      <c r="C291" t="b">
        <v>1</v>
      </c>
      <c r="D291">
        <v>8048</v>
      </c>
      <c r="E291">
        <v>8123</v>
      </c>
      <c r="F291">
        <v>8.4</v>
      </c>
      <c r="G291">
        <v>7.6</v>
      </c>
      <c r="H291">
        <v>1.1052630999999999</v>
      </c>
      <c r="I291">
        <v>-0.10526312</v>
      </c>
      <c r="J291">
        <v>0.47499999999999998</v>
      </c>
    </row>
    <row r="292" spans="1:10" x14ac:dyDescent="0.3">
      <c r="A292">
        <v>290</v>
      </c>
      <c r="B292">
        <v>4628</v>
      </c>
      <c r="C292" t="b">
        <v>1</v>
      </c>
      <c r="D292">
        <v>8048</v>
      </c>
      <c r="E292">
        <v>8123</v>
      </c>
      <c r="F292">
        <v>8.4</v>
      </c>
      <c r="G292">
        <v>7.6</v>
      </c>
      <c r="H292">
        <v>1.1052630999999999</v>
      </c>
      <c r="I292">
        <v>-0.10526312</v>
      </c>
      <c r="J292">
        <v>0.47499999999999998</v>
      </c>
    </row>
    <row r="293" spans="1:10" x14ac:dyDescent="0.3">
      <c r="A293">
        <v>291</v>
      </c>
      <c r="B293">
        <v>4644</v>
      </c>
      <c r="C293" t="b">
        <v>1</v>
      </c>
      <c r="D293">
        <v>8054</v>
      </c>
      <c r="E293">
        <v>8117</v>
      </c>
      <c r="F293">
        <v>8.4</v>
      </c>
      <c r="G293">
        <v>7.6</v>
      </c>
      <c r="H293">
        <v>1.1052630999999999</v>
      </c>
      <c r="I293">
        <v>-0.10526312</v>
      </c>
      <c r="J293">
        <v>0.47499999999999998</v>
      </c>
    </row>
    <row r="294" spans="1:10" x14ac:dyDescent="0.3">
      <c r="A294">
        <v>292</v>
      </c>
      <c r="B294">
        <v>4660</v>
      </c>
      <c r="C294" t="b">
        <v>1</v>
      </c>
      <c r="D294">
        <v>8042</v>
      </c>
      <c r="E294">
        <v>8123</v>
      </c>
      <c r="F294">
        <v>8.4</v>
      </c>
      <c r="G294">
        <v>8</v>
      </c>
      <c r="H294">
        <v>1.05</v>
      </c>
      <c r="I294">
        <v>-4.9999952E-2</v>
      </c>
      <c r="J294">
        <v>0.48780489999999999</v>
      </c>
    </row>
    <row r="295" spans="1:10" x14ac:dyDescent="0.3">
      <c r="A295">
        <v>293</v>
      </c>
      <c r="B295">
        <v>4676</v>
      </c>
      <c r="C295" t="b">
        <v>1</v>
      </c>
      <c r="D295">
        <v>8048</v>
      </c>
      <c r="E295">
        <v>8123</v>
      </c>
      <c r="F295">
        <v>8.4</v>
      </c>
      <c r="G295">
        <v>8</v>
      </c>
      <c r="H295">
        <v>1.05</v>
      </c>
      <c r="I295">
        <v>-4.9999952E-2</v>
      </c>
      <c r="J295">
        <v>0.48780489999999999</v>
      </c>
    </row>
    <row r="296" spans="1:10" x14ac:dyDescent="0.3">
      <c r="A296">
        <v>294</v>
      </c>
      <c r="B296">
        <v>4692</v>
      </c>
      <c r="C296" t="b">
        <v>1</v>
      </c>
      <c r="D296">
        <v>8042</v>
      </c>
      <c r="E296">
        <v>8123</v>
      </c>
      <c r="F296">
        <v>8.4</v>
      </c>
      <c r="G296">
        <v>8</v>
      </c>
      <c r="H296">
        <v>1.05</v>
      </c>
      <c r="I296">
        <v>-4.9999952E-2</v>
      </c>
      <c r="J296">
        <v>0.48780489999999999</v>
      </c>
    </row>
    <row r="297" spans="1:10" x14ac:dyDescent="0.3">
      <c r="A297">
        <v>295</v>
      </c>
      <c r="B297">
        <v>4708</v>
      </c>
      <c r="C297" t="b">
        <v>1</v>
      </c>
      <c r="D297">
        <v>8042</v>
      </c>
      <c r="E297">
        <v>8123</v>
      </c>
      <c r="F297">
        <v>8</v>
      </c>
      <c r="G297">
        <v>8</v>
      </c>
      <c r="H297">
        <v>1</v>
      </c>
      <c r="I297">
        <v>0</v>
      </c>
      <c r="J297">
        <v>0.5</v>
      </c>
    </row>
    <row r="298" spans="1:10" x14ac:dyDescent="0.3">
      <c r="A298">
        <v>296</v>
      </c>
      <c r="B298">
        <v>4724</v>
      </c>
      <c r="C298" t="b">
        <v>1</v>
      </c>
      <c r="D298">
        <v>8042</v>
      </c>
      <c r="E298">
        <v>8123</v>
      </c>
      <c r="F298">
        <v>7.6</v>
      </c>
      <c r="G298">
        <v>8</v>
      </c>
      <c r="H298">
        <v>0.95</v>
      </c>
      <c r="I298">
        <v>5.0000012000000003E-2</v>
      </c>
      <c r="J298">
        <v>0.51282050000000001</v>
      </c>
    </row>
    <row r="299" spans="1:10" x14ac:dyDescent="0.3">
      <c r="A299">
        <v>297</v>
      </c>
      <c r="B299">
        <v>4739</v>
      </c>
      <c r="C299" t="b">
        <v>1</v>
      </c>
      <c r="D299">
        <v>8042</v>
      </c>
      <c r="E299">
        <v>8117</v>
      </c>
      <c r="F299">
        <v>7.2</v>
      </c>
      <c r="G299">
        <v>8</v>
      </c>
      <c r="H299">
        <v>0.9</v>
      </c>
      <c r="I299">
        <v>0.10000002400000001</v>
      </c>
      <c r="J299">
        <v>0.5263158</v>
      </c>
    </row>
    <row r="300" spans="1:10" x14ac:dyDescent="0.3">
      <c r="A300">
        <v>298</v>
      </c>
      <c r="B300">
        <v>4756</v>
      </c>
      <c r="C300" t="b">
        <v>1</v>
      </c>
      <c r="D300">
        <v>8048</v>
      </c>
      <c r="E300">
        <v>8117</v>
      </c>
      <c r="F300">
        <v>6.8</v>
      </c>
      <c r="G300">
        <v>8</v>
      </c>
      <c r="H300">
        <v>0.85</v>
      </c>
      <c r="I300">
        <v>0.14999998</v>
      </c>
      <c r="J300">
        <v>0.54054049999999998</v>
      </c>
    </row>
    <row r="301" spans="1:10" x14ac:dyDescent="0.3">
      <c r="A301">
        <v>299</v>
      </c>
      <c r="B301">
        <v>4771</v>
      </c>
      <c r="C301" t="b">
        <v>1</v>
      </c>
      <c r="D301">
        <v>8048</v>
      </c>
      <c r="E301">
        <v>8123</v>
      </c>
      <c r="F301">
        <v>6.4</v>
      </c>
      <c r="G301">
        <v>8</v>
      </c>
      <c r="H301">
        <v>0.8</v>
      </c>
      <c r="I301">
        <v>0.19999998999999999</v>
      </c>
      <c r="J301">
        <v>0.55555560000000004</v>
      </c>
    </row>
    <row r="302" spans="1:10" x14ac:dyDescent="0.3">
      <c r="A302">
        <v>300</v>
      </c>
      <c r="B302">
        <v>4787</v>
      </c>
      <c r="C302" t="b">
        <v>1</v>
      </c>
      <c r="D302">
        <v>8048</v>
      </c>
      <c r="E302">
        <v>8117</v>
      </c>
      <c r="F302">
        <v>6.4</v>
      </c>
      <c r="G302">
        <v>7.6</v>
      </c>
      <c r="H302">
        <v>0.84210527000000002</v>
      </c>
      <c r="I302">
        <v>0.15789471999999999</v>
      </c>
      <c r="J302">
        <v>0.54285709999999998</v>
      </c>
    </row>
    <row r="303" spans="1:10" x14ac:dyDescent="0.3">
      <c r="A303">
        <v>301</v>
      </c>
      <c r="B303">
        <v>4803</v>
      </c>
      <c r="C303" t="b">
        <v>1</v>
      </c>
      <c r="D303">
        <v>8048</v>
      </c>
      <c r="E303">
        <v>8123</v>
      </c>
      <c r="F303">
        <v>6.4</v>
      </c>
      <c r="G303">
        <v>7.2</v>
      </c>
      <c r="H303">
        <v>0.88888895999999995</v>
      </c>
      <c r="I303">
        <v>0.111111075</v>
      </c>
      <c r="J303">
        <v>0.52941172999999997</v>
      </c>
    </row>
    <row r="304" spans="1:10" x14ac:dyDescent="0.3">
      <c r="A304">
        <v>302</v>
      </c>
      <c r="B304">
        <v>4819</v>
      </c>
      <c r="C304" t="b">
        <v>1</v>
      </c>
      <c r="D304">
        <v>8054</v>
      </c>
      <c r="E304">
        <v>8123</v>
      </c>
      <c r="F304">
        <v>6.4</v>
      </c>
      <c r="G304">
        <v>7.2</v>
      </c>
      <c r="H304">
        <v>0.88888895999999995</v>
      </c>
      <c r="I304">
        <v>0.111111075</v>
      </c>
      <c r="J304">
        <v>0.52941172999999997</v>
      </c>
    </row>
    <row r="305" spans="1:10" x14ac:dyDescent="0.3">
      <c r="A305">
        <v>303</v>
      </c>
      <c r="B305">
        <v>4835</v>
      </c>
      <c r="C305" t="b">
        <v>1</v>
      </c>
      <c r="D305">
        <v>8048</v>
      </c>
      <c r="E305">
        <v>8117</v>
      </c>
      <c r="F305">
        <v>6</v>
      </c>
      <c r="G305">
        <v>7.2</v>
      </c>
      <c r="H305">
        <v>0.8333334</v>
      </c>
      <c r="I305">
        <v>0.16666664</v>
      </c>
      <c r="J305">
        <v>0.54545456000000003</v>
      </c>
    </row>
    <row r="306" spans="1:10" x14ac:dyDescent="0.3">
      <c r="A306">
        <v>304</v>
      </c>
      <c r="B306">
        <v>4851</v>
      </c>
      <c r="C306" t="b">
        <v>1</v>
      </c>
      <c r="D306">
        <v>8048</v>
      </c>
      <c r="E306">
        <v>8117</v>
      </c>
      <c r="F306">
        <v>6</v>
      </c>
      <c r="G306">
        <v>6.8</v>
      </c>
      <c r="H306">
        <v>0.8823529</v>
      </c>
      <c r="I306">
        <v>0.11764708</v>
      </c>
      <c r="J306">
        <v>0.53125</v>
      </c>
    </row>
    <row r="307" spans="1:10" x14ac:dyDescent="0.3">
      <c r="A307">
        <v>305</v>
      </c>
      <c r="B307">
        <v>4867</v>
      </c>
      <c r="C307" t="b">
        <v>1</v>
      </c>
      <c r="D307">
        <v>8048</v>
      </c>
      <c r="E307">
        <v>8117</v>
      </c>
      <c r="F307">
        <v>6</v>
      </c>
      <c r="G307">
        <v>6.4</v>
      </c>
      <c r="H307">
        <v>0.9375</v>
      </c>
      <c r="I307">
        <v>6.2500015000000006E-2</v>
      </c>
      <c r="J307">
        <v>0.51612910000000001</v>
      </c>
    </row>
    <row r="308" spans="1:10" x14ac:dyDescent="0.3">
      <c r="A308">
        <v>306</v>
      </c>
      <c r="B308">
        <v>4883</v>
      </c>
      <c r="C308" t="b">
        <v>1</v>
      </c>
      <c r="D308">
        <v>8048</v>
      </c>
      <c r="E308">
        <v>8117</v>
      </c>
      <c r="F308">
        <v>6</v>
      </c>
      <c r="G308">
        <v>6</v>
      </c>
      <c r="H308">
        <v>1</v>
      </c>
      <c r="I308">
        <v>0</v>
      </c>
      <c r="J308">
        <v>0.5</v>
      </c>
    </row>
    <row r="309" spans="1:10" x14ac:dyDescent="0.3">
      <c r="A309">
        <v>307</v>
      </c>
      <c r="B309">
        <v>4899</v>
      </c>
      <c r="C309" t="b">
        <v>1</v>
      </c>
      <c r="D309">
        <v>8048</v>
      </c>
      <c r="E309">
        <v>8123</v>
      </c>
      <c r="F309">
        <v>6</v>
      </c>
      <c r="G309">
        <v>5.6</v>
      </c>
      <c r="H309">
        <v>1.0714284999999999</v>
      </c>
      <c r="I309">
        <v>-7.142859E-2</v>
      </c>
      <c r="J309">
        <v>0.48275859999999998</v>
      </c>
    </row>
    <row r="310" spans="1:10" x14ac:dyDescent="0.3">
      <c r="A310">
        <v>308</v>
      </c>
      <c r="B310">
        <v>4915</v>
      </c>
      <c r="C310" t="b">
        <v>1</v>
      </c>
      <c r="D310">
        <v>8048</v>
      </c>
      <c r="E310">
        <v>8117</v>
      </c>
      <c r="F310">
        <v>6</v>
      </c>
      <c r="G310">
        <v>5.2</v>
      </c>
      <c r="H310">
        <v>1.1538461</v>
      </c>
      <c r="I310">
        <v>-0.15384618999999999</v>
      </c>
      <c r="J310">
        <v>0.46428570000000002</v>
      </c>
    </row>
    <row r="311" spans="1:10" x14ac:dyDescent="0.3">
      <c r="A311">
        <v>309</v>
      </c>
      <c r="B311">
        <v>4931</v>
      </c>
      <c r="C311" t="b">
        <v>1</v>
      </c>
      <c r="D311">
        <v>8048</v>
      </c>
      <c r="E311">
        <v>8123</v>
      </c>
      <c r="F311">
        <v>6</v>
      </c>
      <c r="G311">
        <v>4.8</v>
      </c>
      <c r="H311">
        <v>1.25</v>
      </c>
      <c r="I311">
        <v>-0.24999995999999999</v>
      </c>
      <c r="J311">
        <v>0.44444444999999999</v>
      </c>
    </row>
    <row r="312" spans="1:10" x14ac:dyDescent="0.3">
      <c r="A312">
        <v>310</v>
      </c>
      <c r="B312">
        <v>4947</v>
      </c>
      <c r="C312" t="b">
        <v>1</v>
      </c>
      <c r="D312">
        <v>8048</v>
      </c>
      <c r="E312">
        <v>8117</v>
      </c>
      <c r="F312">
        <v>6.4</v>
      </c>
      <c r="G312">
        <v>4.4000000000000004</v>
      </c>
      <c r="H312">
        <v>1.4545455</v>
      </c>
      <c r="I312">
        <v>-0.45454544000000002</v>
      </c>
      <c r="J312">
        <v>0.40740739999999998</v>
      </c>
    </row>
    <row r="313" spans="1:10" x14ac:dyDescent="0.3">
      <c r="A313">
        <v>311</v>
      </c>
      <c r="B313">
        <v>4963</v>
      </c>
      <c r="C313" t="b">
        <v>1</v>
      </c>
      <c r="D313">
        <v>8048</v>
      </c>
      <c r="E313">
        <v>8123</v>
      </c>
      <c r="F313">
        <v>6.8</v>
      </c>
      <c r="G313">
        <v>4.4000000000000004</v>
      </c>
      <c r="H313">
        <v>1.5454545</v>
      </c>
      <c r="I313">
        <v>-0.54545456000000003</v>
      </c>
      <c r="J313">
        <v>0.39285713</v>
      </c>
    </row>
    <row r="314" spans="1:10" x14ac:dyDescent="0.3">
      <c r="A314">
        <v>312</v>
      </c>
      <c r="B314">
        <v>4978</v>
      </c>
      <c r="C314" t="b">
        <v>1</v>
      </c>
      <c r="D314">
        <v>8048</v>
      </c>
      <c r="E314">
        <v>8123</v>
      </c>
      <c r="F314">
        <v>7.2</v>
      </c>
      <c r="G314">
        <v>4.4000000000000004</v>
      </c>
      <c r="H314">
        <v>1.6363635000000001</v>
      </c>
      <c r="I314">
        <v>-0.63636356999999999</v>
      </c>
      <c r="J314">
        <v>0.37931034000000002</v>
      </c>
    </row>
    <row r="315" spans="1:10" x14ac:dyDescent="0.3">
      <c r="A315">
        <v>313</v>
      </c>
      <c r="B315">
        <v>4995</v>
      </c>
      <c r="C315" t="b">
        <v>1</v>
      </c>
      <c r="D315">
        <v>8048</v>
      </c>
      <c r="E315">
        <v>8117</v>
      </c>
      <c r="F315">
        <v>7.6</v>
      </c>
      <c r="G315">
        <v>4.4000000000000004</v>
      </c>
      <c r="H315">
        <v>1.7272726</v>
      </c>
      <c r="I315">
        <v>-0.72727269999999999</v>
      </c>
      <c r="J315">
        <v>0.36666666999999997</v>
      </c>
    </row>
    <row r="316" spans="1:10" x14ac:dyDescent="0.3">
      <c r="A316">
        <v>314</v>
      </c>
      <c r="B316">
        <v>5011</v>
      </c>
      <c r="C316" t="b">
        <v>1</v>
      </c>
      <c r="D316">
        <v>8048</v>
      </c>
      <c r="E316">
        <v>8123</v>
      </c>
      <c r="F316">
        <v>8</v>
      </c>
      <c r="G316">
        <v>4.4000000000000004</v>
      </c>
      <c r="H316">
        <v>1.8181818000000001</v>
      </c>
      <c r="I316">
        <v>-0.81818175000000004</v>
      </c>
      <c r="J316">
        <v>0.35483872999999999</v>
      </c>
    </row>
    <row r="317" spans="1:10" x14ac:dyDescent="0.3">
      <c r="A317">
        <v>315</v>
      </c>
      <c r="B317">
        <v>5026</v>
      </c>
      <c r="C317" t="b">
        <v>1</v>
      </c>
      <c r="D317">
        <v>8048</v>
      </c>
      <c r="E317">
        <v>8123</v>
      </c>
      <c r="F317">
        <v>8</v>
      </c>
      <c r="G317">
        <v>4.8</v>
      </c>
      <c r="H317">
        <v>1.6666666000000001</v>
      </c>
      <c r="I317">
        <v>-0.6666666</v>
      </c>
      <c r="J317">
        <v>0.375</v>
      </c>
    </row>
    <row r="318" spans="1:10" x14ac:dyDescent="0.3">
      <c r="A318">
        <v>316</v>
      </c>
      <c r="B318">
        <v>5042</v>
      </c>
      <c r="C318" t="b">
        <v>1</v>
      </c>
      <c r="D318">
        <v>8048</v>
      </c>
      <c r="E318">
        <v>8117</v>
      </c>
      <c r="F318">
        <v>8</v>
      </c>
      <c r="G318">
        <v>5.2</v>
      </c>
      <c r="H318">
        <v>1.5384616</v>
      </c>
      <c r="I318">
        <v>-0.53846156999999994</v>
      </c>
      <c r="J318">
        <v>0.39393938000000001</v>
      </c>
    </row>
    <row r="319" spans="1:10" x14ac:dyDescent="0.3">
      <c r="A319">
        <v>317</v>
      </c>
      <c r="B319">
        <v>5058</v>
      </c>
      <c r="C319" t="b">
        <v>1</v>
      </c>
      <c r="D319">
        <v>8048</v>
      </c>
      <c r="E319">
        <v>8123</v>
      </c>
      <c r="F319">
        <v>8</v>
      </c>
      <c r="G319">
        <v>5.2</v>
      </c>
      <c r="H319">
        <v>1.5384616</v>
      </c>
      <c r="I319">
        <v>-0.53846156999999994</v>
      </c>
      <c r="J319">
        <v>0.39393938000000001</v>
      </c>
    </row>
    <row r="320" spans="1:10" x14ac:dyDescent="0.3">
      <c r="A320">
        <v>318</v>
      </c>
      <c r="B320">
        <v>5074</v>
      </c>
      <c r="C320" t="b">
        <v>1</v>
      </c>
      <c r="D320">
        <v>8048</v>
      </c>
      <c r="E320">
        <v>8117</v>
      </c>
      <c r="F320">
        <v>8</v>
      </c>
      <c r="G320">
        <v>5.2</v>
      </c>
      <c r="H320">
        <v>1.5384616</v>
      </c>
      <c r="I320">
        <v>-0.53846156999999994</v>
      </c>
      <c r="J320">
        <v>0.39393938000000001</v>
      </c>
    </row>
    <row r="321" spans="1:10" x14ac:dyDescent="0.3">
      <c r="A321">
        <v>319</v>
      </c>
      <c r="B321">
        <v>5090</v>
      </c>
      <c r="C321" t="b">
        <v>1</v>
      </c>
      <c r="D321">
        <v>8048</v>
      </c>
      <c r="E321">
        <v>8123</v>
      </c>
      <c r="F321">
        <v>8</v>
      </c>
      <c r="G321">
        <v>5.6</v>
      </c>
      <c r="H321">
        <v>1.4285715000000001</v>
      </c>
      <c r="I321">
        <v>-0.42857146000000002</v>
      </c>
      <c r="J321">
        <v>0.41176467999999999</v>
      </c>
    </row>
    <row r="322" spans="1:10" x14ac:dyDescent="0.3">
      <c r="A322">
        <v>320</v>
      </c>
      <c r="B322">
        <v>5106</v>
      </c>
      <c r="C322" t="b">
        <v>1</v>
      </c>
      <c r="D322">
        <v>8042</v>
      </c>
      <c r="E322">
        <v>8123</v>
      </c>
      <c r="F322">
        <v>8</v>
      </c>
      <c r="G322">
        <v>6</v>
      </c>
      <c r="H322">
        <v>1.3333333999999999</v>
      </c>
      <c r="I322">
        <v>-0.33333333999999998</v>
      </c>
      <c r="J322">
        <v>0.42857142999999998</v>
      </c>
    </row>
    <row r="323" spans="1:10" x14ac:dyDescent="0.3">
      <c r="A323">
        <v>321</v>
      </c>
      <c r="B323">
        <v>5122</v>
      </c>
      <c r="C323" t="b">
        <v>1</v>
      </c>
      <c r="D323">
        <v>8048</v>
      </c>
      <c r="E323">
        <v>8123</v>
      </c>
      <c r="F323">
        <v>8</v>
      </c>
      <c r="G323">
        <v>6.4</v>
      </c>
      <c r="H323">
        <v>1.25</v>
      </c>
      <c r="I323">
        <v>-0.24999999000000001</v>
      </c>
      <c r="J323">
        <v>0.44444447999999998</v>
      </c>
    </row>
    <row r="324" spans="1:10" x14ac:dyDescent="0.3">
      <c r="A324">
        <v>322</v>
      </c>
      <c r="B324">
        <v>5138</v>
      </c>
      <c r="C324" t="b">
        <v>1</v>
      </c>
      <c r="D324">
        <v>8048</v>
      </c>
      <c r="E324">
        <v>8117</v>
      </c>
      <c r="F324">
        <v>8</v>
      </c>
      <c r="G324">
        <v>6.8</v>
      </c>
      <c r="H324">
        <v>1.1764705</v>
      </c>
      <c r="I324">
        <v>-0.17647055</v>
      </c>
      <c r="J324">
        <v>0.45945944999999999</v>
      </c>
    </row>
    <row r="325" spans="1:10" x14ac:dyDescent="0.3">
      <c r="A325">
        <v>323</v>
      </c>
      <c r="B325">
        <v>5154</v>
      </c>
      <c r="C325" t="b">
        <v>1</v>
      </c>
      <c r="D325">
        <v>8048</v>
      </c>
      <c r="E325">
        <v>8123</v>
      </c>
      <c r="F325">
        <v>8</v>
      </c>
      <c r="G325">
        <v>7.2</v>
      </c>
      <c r="H325">
        <v>1.1111112000000001</v>
      </c>
      <c r="I325">
        <v>-0.11111114</v>
      </c>
      <c r="J325">
        <v>0.4736842</v>
      </c>
    </row>
    <row r="326" spans="1:10" x14ac:dyDescent="0.3">
      <c r="A326">
        <v>324</v>
      </c>
      <c r="B326">
        <v>5169</v>
      </c>
      <c r="C326" t="b">
        <v>1</v>
      </c>
      <c r="D326">
        <v>8048</v>
      </c>
      <c r="E326">
        <v>8123</v>
      </c>
      <c r="F326">
        <v>8</v>
      </c>
      <c r="G326">
        <v>7.6</v>
      </c>
      <c r="H326">
        <v>1.0526316</v>
      </c>
      <c r="I326">
        <v>-5.2631589999999999E-2</v>
      </c>
      <c r="J326">
        <v>0.48717946000000001</v>
      </c>
    </row>
    <row r="327" spans="1:10" x14ac:dyDescent="0.3">
      <c r="A327">
        <v>325</v>
      </c>
      <c r="B327">
        <v>5185</v>
      </c>
      <c r="C327" t="b">
        <v>1</v>
      </c>
      <c r="D327">
        <v>8048</v>
      </c>
      <c r="E327">
        <v>8123</v>
      </c>
      <c r="F327">
        <v>8</v>
      </c>
      <c r="G327">
        <v>8</v>
      </c>
      <c r="H327">
        <v>1</v>
      </c>
      <c r="I327">
        <v>0</v>
      </c>
      <c r="J327">
        <v>0.5</v>
      </c>
    </row>
    <row r="328" spans="1:10" x14ac:dyDescent="0.3">
      <c r="A328">
        <v>326</v>
      </c>
      <c r="B328">
        <v>5201</v>
      </c>
      <c r="C328" t="b">
        <v>1</v>
      </c>
      <c r="D328">
        <v>8048</v>
      </c>
      <c r="E328">
        <v>8123</v>
      </c>
      <c r="F328">
        <v>8</v>
      </c>
      <c r="G328">
        <v>8</v>
      </c>
      <c r="H328">
        <v>1</v>
      </c>
      <c r="I328">
        <v>0</v>
      </c>
      <c r="J328">
        <v>0.5</v>
      </c>
    </row>
    <row r="329" spans="1:10" x14ac:dyDescent="0.3">
      <c r="A329">
        <v>327</v>
      </c>
      <c r="B329">
        <v>5217</v>
      </c>
      <c r="C329" t="b">
        <v>1</v>
      </c>
      <c r="D329">
        <v>8048</v>
      </c>
      <c r="E329">
        <v>8123</v>
      </c>
      <c r="F329">
        <v>8</v>
      </c>
      <c r="G329">
        <v>8</v>
      </c>
      <c r="H329">
        <v>1</v>
      </c>
      <c r="I329">
        <v>0</v>
      </c>
      <c r="J329">
        <v>0.5</v>
      </c>
    </row>
    <row r="330" spans="1:10" x14ac:dyDescent="0.3">
      <c r="A330">
        <v>328</v>
      </c>
      <c r="B330">
        <v>5233</v>
      </c>
      <c r="C330" t="b">
        <v>1</v>
      </c>
      <c r="D330">
        <v>8048</v>
      </c>
      <c r="E330">
        <v>8123</v>
      </c>
      <c r="F330">
        <v>8</v>
      </c>
      <c r="G330">
        <v>8</v>
      </c>
      <c r="H330">
        <v>1</v>
      </c>
      <c r="I330">
        <v>0</v>
      </c>
      <c r="J330">
        <v>0.5</v>
      </c>
    </row>
    <row r="331" spans="1:10" x14ac:dyDescent="0.3">
      <c r="A331">
        <v>329</v>
      </c>
      <c r="B331">
        <v>5249</v>
      </c>
      <c r="C331" t="b">
        <v>1</v>
      </c>
      <c r="D331">
        <v>8048</v>
      </c>
      <c r="E331">
        <v>8117</v>
      </c>
      <c r="F331">
        <v>8</v>
      </c>
      <c r="G331">
        <v>8</v>
      </c>
      <c r="H331">
        <v>1</v>
      </c>
      <c r="I331">
        <v>0</v>
      </c>
      <c r="J331">
        <v>0.5</v>
      </c>
    </row>
    <row r="332" spans="1:10" x14ac:dyDescent="0.3">
      <c r="A332">
        <v>330</v>
      </c>
      <c r="B332">
        <v>5265</v>
      </c>
      <c r="C332" t="b">
        <v>1</v>
      </c>
      <c r="D332">
        <v>8048</v>
      </c>
      <c r="E332">
        <v>8123</v>
      </c>
      <c r="F332">
        <v>8</v>
      </c>
      <c r="G332">
        <v>8</v>
      </c>
      <c r="H332">
        <v>1</v>
      </c>
      <c r="I332">
        <v>0</v>
      </c>
      <c r="J332">
        <v>0.5</v>
      </c>
    </row>
    <row r="333" spans="1:10" x14ac:dyDescent="0.3">
      <c r="A333">
        <v>331</v>
      </c>
      <c r="B333">
        <v>5281</v>
      </c>
      <c r="C333" t="b">
        <v>1</v>
      </c>
      <c r="D333">
        <v>8048</v>
      </c>
      <c r="E333">
        <v>8117</v>
      </c>
      <c r="F333">
        <v>8</v>
      </c>
      <c r="G333">
        <v>8</v>
      </c>
      <c r="H333">
        <v>1</v>
      </c>
      <c r="I333">
        <v>0</v>
      </c>
      <c r="J333">
        <v>0.5</v>
      </c>
    </row>
    <row r="334" spans="1:10" x14ac:dyDescent="0.3">
      <c r="A334">
        <v>332</v>
      </c>
      <c r="B334">
        <v>5297</v>
      </c>
      <c r="C334" t="b">
        <v>1</v>
      </c>
      <c r="D334">
        <v>8048</v>
      </c>
      <c r="E334">
        <v>8117</v>
      </c>
      <c r="F334">
        <v>8</v>
      </c>
      <c r="G334">
        <v>7.6</v>
      </c>
      <c r="H334">
        <v>1.0526316</v>
      </c>
      <c r="I334">
        <v>-5.2631589999999999E-2</v>
      </c>
      <c r="J334">
        <v>0.48717946000000001</v>
      </c>
    </row>
    <row r="335" spans="1:10" x14ac:dyDescent="0.3">
      <c r="A335">
        <v>333</v>
      </c>
      <c r="B335">
        <v>5312</v>
      </c>
      <c r="C335" t="b">
        <v>1</v>
      </c>
      <c r="D335">
        <v>8042</v>
      </c>
      <c r="E335">
        <v>8123</v>
      </c>
      <c r="F335">
        <v>8</v>
      </c>
      <c r="G335">
        <v>7.2</v>
      </c>
      <c r="H335">
        <v>1.1111112000000001</v>
      </c>
      <c r="I335">
        <v>-0.11111114</v>
      </c>
      <c r="J335">
        <v>0.4736842</v>
      </c>
    </row>
    <row r="336" spans="1:10" x14ac:dyDescent="0.3">
      <c r="A336">
        <v>334</v>
      </c>
      <c r="B336">
        <v>5328</v>
      </c>
      <c r="C336" t="b">
        <v>1</v>
      </c>
      <c r="D336">
        <v>8054</v>
      </c>
      <c r="E336">
        <v>8117</v>
      </c>
      <c r="F336">
        <v>8</v>
      </c>
      <c r="G336">
        <v>6.8</v>
      </c>
      <c r="H336">
        <v>1.1764705</v>
      </c>
      <c r="I336">
        <v>-0.17647055</v>
      </c>
      <c r="J336">
        <v>0.45945944999999999</v>
      </c>
    </row>
    <row r="337" spans="1:10" x14ac:dyDescent="0.3">
      <c r="A337">
        <v>335</v>
      </c>
      <c r="B337">
        <v>5344</v>
      </c>
      <c r="C337" t="b">
        <v>1</v>
      </c>
      <c r="D337">
        <v>8048</v>
      </c>
      <c r="E337">
        <v>8123</v>
      </c>
      <c r="F337">
        <v>8</v>
      </c>
      <c r="G337">
        <v>6.4</v>
      </c>
      <c r="H337">
        <v>1.25</v>
      </c>
      <c r="I337">
        <v>-0.24999999000000001</v>
      </c>
      <c r="J337">
        <v>0.44444447999999998</v>
      </c>
    </row>
    <row r="338" spans="1:10" x14ac:dyDescent="0.3">
      <c r="A338">
        <v>336</v>
      </c>
      <c r="B338">
        <v>5359</v>
      </c>
      <c r="C338" t="b">
        <v>1</v>
      </c>
      <c r="D338">
        <v>8054</v>
      </c>
      <c r="E338">
        <v>8117</v>
      </c>
      <c r="F338">
        <v>8</v>
      </c>
      <c r="G338">
        <v>6</v>
      </c>
      <c r="H338">
        <v>1.3333333999999999</v>
      </c>
      <c r="I338">
        <v>-0.33333333999999998</v>
      </c>
      <c r="J338">
        <v>0.42857142999999998</v>
      </c>
    </row>
    <row r="339" spans="1:10" x14ac:dyDescent="0.3">
      <c r="A339">
        <v>337</v>
      </c>
      <c r="B339">
        <v>5375</v>
      </c>
      <c r="C339" t="b">
        <v>1</v>
      </c>
      <c r="D339">
        <v>8048</v>
      </c>
      <c r="E339">
        <v>8123</v>
      </c>
      <c r="F339">
        <v>8</v>
      </c>
      <c r="G339">
        <v>6</v>
      </c>
      <c r="H339">
        <v>1.3333333999999999</v>
      </c>
      <c r="I339">
        <v>-0.33333333999999998</v>
      </c>
      <c r="J339">
        <v>0.42857142999999998</v>
      </c>
    </row>
    <row r="340" spans="1:10" x14ac:dyDescent="0.3">
      <c r="A340">
        <v>338</v>
      </c>
      <c r="B340">
        <v>5391</v>
      </c>
      <c r="C340" t="b">
        <v>1</v>
      </c>
      <c r="D340">
        <v>8048</v>
      </c>
      <c r="E340">
        <v>8117</v>
      </c>
      <c r="F340">
        <v>8</v>
      </c>
      <c r="G340">
        <v>5.6</v>
      </c>
      <c r="H340">
        <v>1.4285715000000001</v>
      </c>
      <c r="I340">
        <v>-0.42857146000000002</v>
      </c>
      <c r="J340">
        <v>0.41176467999999999</v>
      </c>
    </row>
    <row r="341" spans="1:10" x14ac:dyDescent="0.3">
      <c r="A341">
        <v>339</v>
      </c>
      <c r="B341">
        <v>5407</v>
      </c>
      <c r="C341" t="b">
        <v>1</v>
      </c>
      <c r="D341">
        <v>8048</v>
      </c>
      <c r="E341">
        <v>8123</v>
      </c>
      <c r="F341">
        <v>8</v>
      </c>
      <c r="G341">
        <v>5.6</v>
      </c>
      <c r="H341">
        <v>1.4285715000000001</v>
      </c>
      <c r="I341">
        <v>-0.42857146000000002</v>
      </c>
      <c r="J341">
        <v>0.41176467999999999</v>
      </c>
    </row>
    <row r="342" spans="1:10" x14ac:dyDescent="0.3">
      <c r="A342">
        <v>340</v>
      </c>
      <c r="B342">
        <v>5423</v>
      </c>
      <c r="C342" t="b">
        <v>1</v>
      </c>
      <c r="D342">
        <v>8048</v>
      </c>
      <c r="E342">
        <v>8123</v>
      </c>
      <c r="F342">
        <v>8</v>
      </c>
      <c r="G342">
        <v>5.6</v>
      </c>
      <c r="H342">
        <v>1.4285715000000001</v>
      </c>
      <c r="I342">
        <v>-0.42857146000000002</v>
      </c>
      <c r="J342">
        <v>0.41176467999999999</v>
      </c>
    </row>
    <row r="343" spans="1:10" x14ac:dyDescent="0.3">
      <c r="A343">
        <v>341</v>
      </c>
      <c r="B343">
        <v>5455</v>
      </c>
      <c r="C343" t="b">
        <v>1</v>
      </c>
      <c r="D343">
        <v>8048</v>
      </c>
      <c r="E343">
        <v>8123</v>
      </c>
      <c r="F343">
        <v>8</v>
      </c>
      <c r="G343">
        <v>5.6</v>
      </c>
      <c r="H343">
        <v>1.4285715000000001</v>
      </c>
      <c r="I343">
        <v>-0.42857146000000002</v>
      </c>
      <c r="J343">
        <v>0.41176467999999999</v>
      </c>
    </row>
    <row r="344" spans="1:10" x14ac:dyDescent="0.3">
      <c r="A344">
        <v>342</v>
      </c>
      <c r="B344">
        <v>5471</v>
      </c>
      <c r="C344" t="b">
        <v>1</v>
      </c>
      <c r="D344">
        <v>8048</v>
      </c>
      <c r="E344">
        <v>8123</v>
      </c>
      <c r="F344">
        <v>8</v>
      </c>
      <c r="G344">
        <v>5.6</v>
      </c>
      <c r="H344">
        <v>1.4285715000000001</v>
      </c>
      <c r="I344">
        <v>-0.42857146000000002</v>
      </c>
      <c r="J344">
        <v>0.41176467999999999</v>
      </c>
    </row>
    <row r="345" spans="1:10" x14ac:dyDescent="0.3">
      <c r="A345">
        <v>343</v>
      </c>
      <c r="B345">
        <v>5487</v>
      </c>
      <c r="C345" t="b">
        <v>1</v>
      </c>
      <c r="D345">
        <v>8048</v>
      </c>
      <c r="E345">
        <v>8123</v>
      </c>
      <c r="F345">
        <v>8</v>
      </c>
      <c r="G345">
        <v>5.6</v>
      </c>
      <c r="H345">
        <v>1.4285715000000001</v>
      </c>
      <c r="I345">
        <v>-0.42857146000000002</v>
      </c>
      <c r="J345">
        <v>0.41176467999999999</v>
      </c>
    </row>
    <row r="346" spans="1:10" x14ac:dyDescent="0.3">
      <c r="A346">
        <v>344</v>
      </c>
      <c r="B346">
        <v>5502</v>
      </c>
      <c r="C346" t="b">
        <v>1</v>
      </c>
      <c r="D346">
        <v>8048</v>
      </c>
      <c r="E346">
        <v>8117</v>
      </c>
      <c r="F346">
        <v>8</v>
      </c>
      <c r="G346">
        <v>5.6</v>
      </c>
      <c r="H346">
        <v>1.4285715000000001</v>
      </c>
      <c r="I346">
        <v>-0.42857146000000002</v>
      </c>
      <c r="J346">
        <v>0.41176467999999999</v>
      </c>
    </row>
    <row r="347" spans="1:10" x14ac:dyDescent="0.3">
      <c r="A347">
        <v>345</v>
      </c>
      <c r="B347">
        <v>5518</v>
      </c>
      <c r="C347" t="b">
        <v>1</v>
      </c>
      <c r="D347">
        <v>8048</v>
      </c>
      <c r="E347">
        <v>8123</v>
      </c>
      <c r="F347">
        <v>8</v>
      </c>
      <c r="G347">
        <v>5.6</v>
      </c>
      <c r="H347">
        <v>1.4285715000000001</v>
      </c>
      <c r="I347">
        <v>-0.42857146000000002</v>
      </c>
      <c r="J347">
        <v>0.41176467999999999</v>
      </c>
    </row>
    <row r="348" spans="1:10" x14ac:dyDescent="0.3">
      <c r="A348">
        <v>346</v>
      </c>
      <c r="B348">
        <v>5533</v>
      </c>
      <c r="C348" t="b">
        <v>1</v>
      </c>
      <c r="D348">
        <v>8048</v>
      </c>
      <c r="E348">
        <v>8123</v>
      </c>
      <c r="F348">
        <v>8</v>
      </c>
      <c r="G348">
        <v>5.6</v>
      </c>
      <c r="H348">
        <v>1.4285715000000001</v>
      </c>
      <c r="I348">
        <v>-0.42857146000000002</v>
      </c>
      <c r="J348">
        <v>0.41176467999999999</v>
      </c>
    </row>
    <row r="349" spans="1:10" x14ac:dyDescent="0.3">
      <c r="A349">
        <v>347</v>
      </c>
      <c r="B349">
        <v>5549</v>
      </c>
      <c r="C349" t="b">
        <v>1</v>
      </c>
      <c r="D349">
        <v>8048</v>
      </c>
      <c r="E349">
        <v>8123</v>
      </c>
      <c r="F349">
        <v>8</v>
      </c>
      <c r="G349">
        <v>6</v>
      </c>
      <c r="H349">
        <v>1.3333333999999999</v>
      </c>
      <c r="I349">
        <v>-0.33333333999999998</v>
      </c>
      <c r="J349">
        <v>0.42857142999999998</v>
      </c>
    </row>
    <row r="350" spans="1:10" x14ac:dyDescent="0.3">
      <c r="A350">
        <v>348</v>
      </c>
      <c r="B350">
        <v>5565</v>
      </c>
      <c r="C350" t="b">
        <v>1</v>
      </c>
      <c r="D350">
        <v>8054</v>
      </c>
      <c r="E350">
        <v>8123</v>
      </c>
      <c r="F350">
        <v>8</v>
      </c>
      <c r="G350">
        <v>6.4</v>
      </c>
      <c r="H350">
        <v>1.25</v>
      </c>
      <c r="I350">
        <v>-0.24999999000000001</v>
      </c>
      <c r="J350">
        <v>0.44444447999999998</v>
      </c>
    </row>
    <row r="351" spans="1:10" x14ac:dyDescent="0.3">
      <c r="A351">
        <v>349</v>
      </c>
      <c r="B351">
        <v>5581</v>
      </c>
      <c r="C351" t="b">
        <v>1</v>
      </c>
      <c r="D351">
        <v>8054</v>
      </c>
      <c r="E351">
        <v>8123</v>
      </c>
      <c r="F351">
        <v>8</v>
      </c>
      <c r="G351">
        <v>6.8</v>
      </c>
      <c r="H351">
        <v>1.1764705</v>
      </c>
      <c r="I351">
        <v>-0.17647055</v>
      </c>
      <c r="J351">
        <v>0.45945944999999999</v>
      </c>
    </row>
    <row r="352" spans="1:10" x14ac:dyDescent="0.3">
      <c r="A352">
        <v>350</v>
      </c>
      <c r="B352">
        <v>5597</v>
      </c>
      <c r="C352" t="b">
        <v>1</v>
      </c>
      <c r="D352">
        <v>8054</v>
      </c>
      <c r="E352">
        <v>8123</v>
      </c>
      <c r="F352">
        <v>8.4</v>
      </c>
      <c r="G352">
        <v>7.2</v>
      </c>
      <c r="H352">
        <v>1.1666666000000001</v>
      </c>
      <c r="I352">
        <v>-0.16666664</v>
      </c>
      <c r="J352">
        <v>0.46153845999999998</v>
      </c>
    </row>
    <row r="353" spans="1:10" x14ac:dyDescent="0.3">
      <c r="A353">
        <v>351</v>
      </c>
      <c r="B353">
        <v>5613</v>
      </c>
      <c r="C353" t="b">
        <v>1</v>
      </c>
      <c r="D353">
        <v>8054</v>
      </c>
      <c r="E353">
        <v>8111</v>
      </c>
      <c r="F353">
        <v>8.8000000000000007</v>
      </c>
      <c r="G353">
        <v>7.6</v>
      </c>
      <c r="H353">
        <v>1.1578946999999999</v>
      </c>
      <c r="I353">
        <v>-0.15789478000000001</v>
      </c>
      <c r="J353">
        <v>0.46341463999999999</v>
      </c>
    </row>
    <row r="354" spans="1:10" x14ac:dyDescent="0.3">
      <c r="A354">
        <v>352</v>
      </c>
      <c r="B354">
        <v>5629</v>
      </c>
      <c r="C354" t="b">
        <v>1</v>
      </c>
      <c r="D354">
        <v>8054</v>
      </c>
      <c r="E354">
        <v>8117</v>
      </c>
      <c r="F354">
        <v>9.1999999999999993</v>
      </c>
      <c r="G354">
        <v>7.6</v>
      </c>
      <c r="H354">
        <v>1.2105262999999999</v>
      </c>
      <c r="I354">
        <v>-0.2105263</v>
      </c>
      <c r="J354">
        <v>0.45238096</v>
      </c>
    </row>
    <row r="355" spans="1:10" x14ac:dyDescent="0.3">
      <c r="A355">
        <v>353</v>
      </c>
      <c r="B355">
        <v>5644</v>
      </c>
      <c r="C355" t="b">
        <v>1</v>
      </c>
      <c r="D355">
        <v>8054</v>
      </c>
      <c r="E355">
        <v>8117</v>
      </c>
      <c r="F355">
        <v>9.6</v>
      </c>
      <c r="G355">
        <v>7.6</v>
      </c>
      <c r="H355">
        <v>1.263158</v>
      </c>
      <c r="I355">
        <v>-0.26315796000000002</v>
      </c>
      <c r="J355">
        <v>0.44186044000000002</v>
      </c>
    </row>
    <row r="356" spans="1:10" x14ac:dyDescent="0.3">
      <c r="A356">
        <v>354</v>
      </c>
      <c r="B356">
        <v>5660</v>
      </c>
      <c r="C356" t="b">
        <v>1</v>
      </c>
      <c r="D356">
        <v>8048</v>
      </c>
      <c r="E356">
        <v>8117</v>
      </c>
      <c r="F356">
        <v>10</v>
      </c>
      <c r="G356">
        <v>7.2</v>
      </c>
      <c r="H356">
        <v>1.388889</v>
      </c>
      <c r="I356">
        <v>-0.38888893000000002</v>
      </c>
      <c r="J356">
        <v>0.41860459999999999</v>
      </c>
    </row>
    <row r="357" spans="1:10" x14ac:dyDescent="0.3">
      <c r="A357">
        <v>355</v>
      </c>
      <c r="B357">
        <v>5676</v>
      </c>
      <c r="C357" t="b">
        <v>1</v>
      </c>
      <c r="D357">
        <v>8048</v>
      </c>
      <c r="E357">
        <v>8111</v>
      </c>
      <c r="F357">
        <v>10.4</v>
      </c>
      <c r="G357">
        <v>6.8</v>
      </c>
      <c r="H357">
        <v>1.5294117</v>
      </c>
      <c r="I357">
        <v>-0.52941170000000004</v>
      </c>
      <c r="J357">
        <v>0.39534881999999999</v>
      </c>
    </row>
    <row r="358" spans="1:10" x14ac:dyDescent="0.3">
      <c r="A358">
        <v>356</v>
      </c>
      <c r="B358">
        <v>5692</v>
      </c>
      <c r="C358" t="b">
        <v>1</v>
      </c>
      <c r="D358">
        <v>8048</v>
      </c>
      <c r="E358">
        <v>8111</v>
      </c>
      <c r="F358">
        <v>10.4</v>
      </c>
      <c r="G358">
        <v>6.4</v>
      </c>
      <c r="H358">
        <v>1.6249998999999999</v>
      </c>
      <c r="I358">
        <v>-0.62499994000000003</v>
      </c>
      <c r="J358">
        <v>0.38095242000000001</v>
      </c>
    </row>
    <row r="359" spans="1:10" x14ac:dyDescent="0.3">
      <c r="A359">
        <v>357</v>
      </c>
      <c r="B359">
        <v>5708</v>
      </c>
      <c r="C359" t="b">
        <v>1</v>
      </c>
      <c r="D359">
        <v>8048</v>
      </c>
      <c r="E359">
        <v>8111</v>
      </c>
      <c r="F359">
        <v>10.4</v>
      </c>
      <c r="G359">
        <v>5.6</v>
      </c>
      <c r="H359">
        <v>1.8571428000000001</v>
      </c>
      <c r="I359">
        <v>-0.85714279999999998</v>
      </c>
      <c r="J359">
        <v>0.35</v>
      </c>
    </row>
    <row r="360" spans="1:10" x14ac:dyDescent="0.3">
      <c r="A360">
        <v>358</v>
      </c>
      <c r="B360">
        <v>5724</v>
      </c>
      <c r="C360" t="b">
        <v>1</v>
      </c>
      <c r="D360">
        <v>8048</v>
      </c>
      <c r="E360">
        <v>8123</v>
      </c>
      <c r="F360">
        <v>10.4</v>
      </c>
      <c r="G360">
        <v>4.8</v>
      </c>
      <c r="H360">
        <v>2.1666664999999998</v>
      </c>
      <c r="I360">
        <v>-1.1666665000000001</v>
      </c>
      <c r="J360">
        <v>0.3157895</v>
      </c>
    </row>
    <row r="361" spans="1:10" x14ac:dyDescent="0.3">
      <c r="A361">
        <v>359</v>
      </c>
      <c r="B361">
        <v>5740</v>
      </c>
      <c r="C361" t="b">
        <v>1</v>
      </c>
      <c r="D361">
        <v>8042</v>
      </c>
      <c r="E361">
        <v>8123</v>
      </c>
      <c r="F361">
        <v>10.4</v>
      </c>
      <c r="G361">
        <v>4</v>
      </c>
      <c r="H361">
        <v>2.6</v>
      </c>
      <c r="I361">
        <v>-1.5999999</v>
      </c>
      <c r="J361">
        <v>0.27777780000000002</v>
      </c>
    </row>
    <row r="362" spans="1:10" x14ac:dyDescent="0.3">
      <c r="A362">
        <v>360</v>
      </c>
      <c r="B362">
        <v>5755</v>
      </c>
      <c r="C362" t="b">
        <v>1</v>
      </c>
      <c r="D362">
        <v>8048</v>
      </c>
      <c r="E362">
        <v>8123</v>
      </c>
      <c r="F362">
        <v>10.4</v>
      </c>
      <c r="G362">
        <v>4</v>
      </c>
      <c r="H362">
        <v>2.6</v>
      </c>
      <c r="I362">
        <v>-1.5999999</v>
      </c>
      <c r="J362">
        <v>0.27777780000000002</v>
      </c>
    </row>
    <row r="363" spans="1:10" x14ac:dyDescent="0.3">
      <c r="A363">
        <v>361</v>
      </c>
      <c r="B363">
        <v>5771</v>
      </c>
      <c r="C363" t="b">
        <v>1</v>
      </c>
      <c r="D363">
        <v>8048</v>
      </c>
      <c r="E363">
        <v>8123</v>
      </c>
      <c r="F363">
        <v>10.4</v>
      </c>
      <c r="G363">
        <v>4</v>
      </c>
      <c r="H363">
        <v>2.6</v>
      </c>
      <c r="I363">
        <v>-1.5999999</v>
      </c>
      <c r="J363">
        <v>0.27777780000000002</v>
      </c>
    </row>
    <row r="364" spans="1:10" x14ac:dyDescent="0.3">
      <c r="A364">
        <v>362</v>
      </c>
      <c r="B364">
        <v>5787</v>
      </c>
      <c r="C364" t="b">
        <v>1</v>
      </c>
      <c r="D364">
        <v>8054</v>
      </c>
      <c r="E364">
        <v>8123</v>
      </c>
      <c r="F364">
        <v>10.4</v>
      </c>
      <c r="G364">
        <v>4</v>
      </c>
      <c r="H364">
        <v>2.6</v>
      </c>
      <c r="I364">
        <v>-1.5999999</v>
      </c>
      <c r="J364">
        <v>0.27777780000000002</v>
      </c>
    </row>
    <row r="365" spans="1:10" x14ac:dyDescent="0.3">
      <c r="A365">
        <v>363</v>
      </c>
      <c r="B365">
        <v>5803</v>
      </c>
      <c r="C365" t="b">
        <v>1</v>
      </c>
      <c r="D365">
        <v>8054</v>
      </c>
      <c r="E365">
        <v>8123</v>
      </c>
      <c r="F365">
        <v>10.4</v>
      </c>
      <c r="G365">
        <v>4</v>
      </c>
      <c r="H365">
        <v>2.6</v>
      </c>
      <c r="I365">
        <v>-1.5999999</v>
      </c>
      <c r="J365">
        <v>0.27777780000000002</v>
      </c>
    </row>
    <row r="366" spans="1:10" x14ac:dyDescent="0.3">
      <c r="A366">
        <v>364</v>
      </c>
      <c r="B366">
        <v>5819</v>
      </c>
      <c r="C366" t="b">
        <v>1</v>
      </c>
      <c r="D366">
        <v>8048</v>
      </c>
      <c r="E366">
        <v>8123</v>
      </c>
      <c r="F366">
        <v>10.4</v>
      </c>
      <c r="G366">
        <v>4</v>
      </c>
      <c r="H366">
        <v>2.6</v>
      </c>
      <c r="I366">
        <v>-1.5999999</v>
      </c>
      <c r="J366">
        <v>0.27777780000000002</v>
      </c>
    </row>
    <row r="367" spans="1:10" x14ac:dyDescent="0.3">
      <c r="A367">
        <v>365</v>
      </c>
      <c r="B367">
        <v>5834</v>
      </c>
      <c r="C367" t="b">
        <v>1</v>
      </c>
      <c r="D367">
        <v>8048</v>
      </c>
      <c r="E367">
        <v>8123</v>
      </c>
      <c r="F367">
        <v>10</v>
      </c>
      <c r="G367">
        <v>4</v>
      </c>
      <c r="H367">
        <v>2.5</v>
      </c>
      <c r="I367">
        <v>-1.5</v>
      </c>
      <c r="J367">
        <v>0.28571429999999998</v>
      </c>
    </row>
    <row r="368" spans="1:10" x14ac:dyDescent="0.3">
      <c r="A368">
        <v>366</v>
      </c>
      <c r="B368">
        <v>5850</v>
      </c>
      <c r="C368" t="b">
        <v>1</v>
      </c>
      <c r="D368">
        <v>8048</v>
      </c>
      <c r="E368">
        <v>8123</v>
      </c>
      <c r="F368">
        <v>9.6</v>
      </c>
      <c r="G368">
        <v>4</v>
      </c>
      <c r="H368">
        <v>2.4</v>
      </c>
      <c r="I368">
        <v>-1.4000001</v>
      </c>
      <c r="J368">
        <v>0.29411763000000002</v>
      </c>
    </row>
    <row r="369" spans="1:10" x14ac:dyDescent="0.3">
      <c r="A369">
        <v>367</v>
      </c>
      <c r="B369">
        <v>5866</v>
      </c>
      <c r="C369" t="b">
        <v>1</v>
      </c>
      <c r="D369">
        <v>8048</v>
      </c>
      <c r="E369">
        <v>8117</v>
      </c>
      <c r="F369">
        <v>9.1999999999999993</v>
      </c>
      <c r="G369">
        <v>4</v>
      </c>
      <c r="H369">
        <v>2.2999999999999998</v>
      </c>
      <c r="I369">
        <v>-1.3</v>
      </c>
      <c r="J369">
        <v>0.30303029999999997</v>
      </c>
    </row>
    <row r="370" spans="1:10" x14ac:dyDescent="0.3">
      <c r="A370">
        <v>368</v>
      </c>
      <c r="B370">
        <v>5881</v>
      </c>
      <c r="C370" t="b">
        <v>1</v>
      </c>
      <c r="D370">
        <v>8048</v>
      </c>
      <c r="E370">
        <v>8123</v>
      </c>
      <c r="F370">
        <v>8.8000000000000007</v>
      </c>
      <c r="G370">
        <v>4.4000000000000004</v>
      </c>
      <c r="H370">
        <v>2</v>
      </c>
      <c r="I370">
        <v>-1</v>
      </c>
      <c r="J370">
        <v>0.3333333</v>
      </c>
    </row>
    <row r="371" spans="1:10" x14ac:dyDescent="0.3">
      <c r="A371">
        <v>369</v>
      </c>
      <c r="B371">
        <v>5897</v>
      </c>
      <c r="C371" t="b">
        <v>1</v>
      </c>
      <c r="D371">
        <v>8048</v>
      </c>
      <c r="E371">
        <v>8123</v>
      </c>
      <c r="F371">
        <v>8.4</v>
      </c>
      <c r="G371">
        <v>4.8</v>
      </c>
      <c r="H371">
        <v>1.7499998999999999</v>
      </c>
      <c r="I371">
        <v>-0.74999990000000005</v>
      </c>
      <c r="J371">
        <v>0.36363636999999999</v>
      </c>
    </row>
    <row r="372" spans="1:10" x14ac:dyDescent="0.3">
      <c r="A372">
        <v>370</v>
      </c>
      <c r="B372">
        <v>5913</v>
      </c>
      <c r="C372" t="b">
        <v>1</v>
      </c>
      <c r="D372">
        <v>8048</v>
      </c>
      <c r="E372">
        <v>8123</v>
      </c>
      <c r="F372">
        <v>8</v>
      </c>
      <c r="G372">
        <v>5.2</v>
      </c>
      <c r="H372">
        <v>1.5384616</v>
      </c>
      <c r="I372">
        <v>-0.53846156999999994</v>
      </c>
      <c r="J372">
        <v>0.39393938000000001</v>
      </c>
    </row>
    <row r="373" spans="1:10" x14ac:dyDescent="0.3">
      <c r="A373">
        <v>371</v>
      </c>
      <c r="B373">
        <v>5929</v>
      </c>
      <c r="C373" t="b">
        <v>1</v>
      </c>
      <c r="D373">
        <v>8048</v>
      </c>
      <c r="E373">
        <v>8123</v>
      </c>
      <c r="F373">
        <v>8</v>
      </c>
      <c r="G373">
        <v>5.6</v>
      </c>
      <c r="H373">
        <v>1.4285715000000001</v>
      </c>
      <c r="I373">
        <v>-0.42857146000000002</v>
      </c>
      <c r="J373">
        <v>0.41176467999999999</v>
      </c>
    </row>
    <row r="374" spans="1:10" x14ac:dyDescent="0.3">
      <c r="A374">
        <v>372</v>
      </c>
      <c r="B374">
        <v>5945</v>
      </c>
      <c r="C374" t="b">
        <v>1</v>
      </c>
      <c r="D374">
        <v>8048</v>
      </c>
      <c r="E374">
        <v>8123</v>
      </c>
      <c r="F374">
        <v>8</v>
      </c>
      <c r="G374">
        <v>6.4</v>
      </c>
      <c r="H374">
        <v>1.25</v>
      </c>
      <c r="I374">
        <v>-0.24999999000000001</v>
      </c>
      <c r="J374">
        <v>0.44444447999999998</v>
      </c>
    </row>
    <row r="375" spans="1:10" x14ac:dyDescent="0.3">
      <c r="A375">
        <v>373</v>
      </c>
      <c r="B375">
        <v>5961</v>
      </c>
      <c r="C375" t="b">
        <v>1</v>
      </c>
      <c r="D375">
        <v>8048</v>
      </c>
      <c r="E375">
        <v>8123</v>
      </c>
      <c r="F375">
        <v>8</v>
      </c>
      <c r="G375">
        <v>7.2</v>
      </c>
      <c r="H375">
        <v>1.1111112000000001</v>
      </c>
      <c r="I375">
        <v>-0.11111114</v>
      </c>
      <c r="J375">
        <v>0.4736842</v>
      </c>
    </row>
    <row r="376" spans="1:10" x14ac:dyDescent="0.3">
      <c r="A376">
        <v>374</v>
      </c>
      <c r="B376">
        <v>5977</v>
      </c>
      <c r="C376" t="b">
        <v>1</v>
      </c>
      <c r="D376">
        <v>8048</v>
      </c>
      <c r="E376">
        <v>8123</v>
      </c>
      <c r="F376">
        <v>8</v>
      </c>
      <c r="G376">
        <v>8</v>
      </c>
      <c r="H376">
        <v>1</v>
      </c>
      <c r="I376">
        <v>0</v>
      </c>
      <c r="J376">
        <v>0.5</v>
      </c>
    </row>
    <row r="377" spans="1:10" x14ac:dyDescent="0.3">
      <c r="A377">
        <v>375</v>
      </c>
      <c r="B377">
        <v>5993</v>
      </c>
      <c r="C377" t="b">
        <v>1</v>
      </c>
      <c r="D377">
        <v>8054</v>
      </c>
      <c r="E377">
        <v>8123</v>
      </c>
      <c r="F377">
        <v>8</v>
      </c>
      <c r="G377">
        <v>8</v>
      </c>
      <c r="H377">
        <v>1</v>
      </c>
      <c r="I377">
        <v>0</v>
      </c>
      <c r="J377">
        <v>0.5</v>
      </c>
    </row>
    <row r="378" spans="1:10" x14ac:dyDescent="0.3">
      <c r="A378">
        <v>376</v>
      </c>
      <c r="B378">
        <v>6008</v>
      </c>
      <c r="C378" t="b">
        <v>1</v>
      </c>
      <c r="D378">
        <v>8048</v>
      </c>
      <c r="E378">
        <v>8123</v>
      </c>
      <c r="F378">
        <v>8</v>
      </c>
      <c r="G378">
        <v>8</v>
      </c>
      <c r="H378">
        <v>1</v>
      </c>
      <c r="I378">
        <v>0</v>
      </c>
      <c r="J378">
        <v>0.5</v>
      </c>
    </row>
    <row r="379" spans="1:10" x14ac:dyDescent="0.3">
      <c r="A379">
        <v>377</v>
      </c>
      <c r="B379">
        <v>6024</v>
      </c>
      <c r="C379" t="b">
        <v>1</v>
      </c>
      <c r="D379">
        <v>8048</v>
      </c>
      <c r="E379">
        <v>8123</v>
      </c>
      <c r="F379">
        <v>8</v>
      </c>
      <c r="G379">
        <v>8</v>
      </c>
      <c r="H379">
        <v>1</v>
      </c>
      <c r="I379">
        <v>0</v>
      </c>
      <c r="J379">
        <v>0.5</v>
      </c>
    </row>
    <row r="380" spans="1:10" x14ac:dyDescent="0.3">
      <c r="A380">
        <v>378</v>
      </c>
      <c r="B380">
        <v>6040</v>
      </c>
      <c r="C380" t="b">
        <v>1</v>
      </c>
      <c r="D380">
        <v>8048</v>
      </c>
      <c r="E380">
        <v>8123</v>
      </c>
      <c r="F380">
        <v>8</v>
      </c>
      <c r="G380">
        <v>8</v>
      </c>
      <c r="H380">
        <v>1</v>
      </c>
      <c r="I380">
        <v>0</v>
      </c>
      <c r="J380">
        <v>0.5</v>
      </c>
    </row>
    <row r="381" spans="1:10" x14ac:dyDescent="0.3">
      <c r="A381">
        <v>379</v>
      </c>
      <c r="B381">
        <v>6056</v>
      </c>
      <c r="C381" t="b">
        <v>1</v>
      </c>
      <c r="D381">
        <v>8048</v>
      </c>
      <c r="E381">
        <v>8117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6072</v>
      </c>
      <c r="C382" t="b">
        <v>1</v>
      </c>
      <c r="D382">
        <v>8048</v>
      </c>
      <c r="E382">
        <v>8123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6087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6103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6119</v>
      </c>
      <c r="C385" t="b">
        <v>1</v>
      </c>
      <c r="D385">
        <v>8048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6135</v>
      </c>
      <c r="C386" t="b">
        <v>1</v>
      </c>
      <c r="D386">
        <v>8048</v>
      </c>
      <c r="E386">
        <v>8123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6151</v>
      </c>
      <c r="C387" t="b">
        <v>1</v>
      </c>
      <c r="D387">
        <v>8048</v>
      </c>
      <c r="E387">
        <v>8123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6166</v>
      </c>
      <c r="C388" t="b">
        <v>1</v>
      </c>
      <c r="D388">
        <v>8048</v>
      </c>
      <c r="E388">
        <v>8123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6182</v>
      </c>
      <c r="C389" t="b">
        <v>1</v>
      </c>
      <c r="D389">
        <v>8048</v>
      </c>
      <c r="E389">
        <v>8123</v>
      </c>
      <c r="F389">
        <v>8</v>
      </c>
      <c r="G389">
        <v>8</v>
      </c>
      <c r="H389">
        <v>1</v>
      </c>
      <c r="I389">
        <v>0</v>
      </c>
      <c r="J389">
        <v>0.5</v>
      </c>
    </row>
    <row r="390" spans="1:10" x14ac:dyDescent="0.3">
      <c r="A390">
        <v>388</v>
      </c>
      <c r="B390">
        <v>6198</v>
      </c>
      <c r="C390" t="b">
        <v>1</v>
      </c>
      <c r="D390">
        <v>8048</v>
      </c>
      <c r="E390">
        <v>8123</v>
      </c>
      <c r="F390">
        <v>8</v>
      </c>
      <c r="G390">
        <v>8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6214</v>
      </c>
      <c r="C391" t="b">
        <v>1</v>
      </c>
      <c r="D391">
        <v>8048</v>
      </c>
      <c r="E391">
        <v>8117</v>
      </c>
      <c r="F391">
        <v>8</v>
      </c>
      <c r="G391">
        <v>8</v>
      </c>
      <c r="H391">
        <v>1</v>
      </c>
      <c r="I391">
        <v>0</v>
      </c>
      <c r="J391">
        <v>0.5</v>
      </c>
    </row>
    <row r="392" spans="1:10" x14ac:dyDescent="0.3">
      <c r="A392">
        <v>390</v>
      </c>
      <c r="B392">
        <v>6230</v>
      </c>
      <c r="C392" t="b">
        <v>1</v>
      </c>
      <c r="D392">
        <v>8048</v>
      </c>
      <c r="E392">
        <v>8123</v>
      </c>
      <c r="F392">
        <v>8</v>
      </c>
      <c r="G392">
        <v>8</v>
      </c>
      <c r="H392">
        <v>1</v>
      </c>
      <c r="I392">
        <v>0</v>
      </c>
      <c r="J392">
        <v>0.5</v>
      </c>
    </row>
    <row r="393" spans="1:10" x14ac:dyDescent="0.3">
      <c r="A393">
        <v>391</v>
      </c>
      <c r="B393">
        <v>6246</v>
      </c>
      <c r="C393" t="b">
        <v>1</v>
      </c>
      <c r="D393">
        <v>8048</v>
      </c>
      <c r="E393">
        <v>8123</v>
      </c>
      <c r="F393">
        <v>8</v>
      </c>
      <c r="G393">
        <v>8</v>
      </c>
      <c r="H393">
        <v>1</v>
      </c>
      <c r="I393">
        <v>0</v>
      </c>
      <c r="J393">
        <v>0.5</v>
      </c>
    </row>
    <row r="394" spans="1:10" x14ac:dyDescent="0.3">
      <c r="A394">
        <v>392</v>
      </c>
      <c r="B394">
        <v>6261</v>
      </c>
      <c r="C394" t="b">
        <v>1</v>
      </c>
      <c r="D394">
        <v>8048</v>
      </c>
      <c r="E394">
        <v>8123</v>
      </c>
      <c r="F394">
        <v>8</v>
      </c>
      <c r="G394">
        <v>8</v>
      </c>
      <c r="H394">
        <v>1</v>
      </c>
      <c r="I394">
        <v>0</v>
      </c>
      <c r="J394">
        <v>0.5</v>
      </c>
    </row>
    <row r="395" spans="1:10" x14ac:dyDescent="0.3">
      <c r="A395">
        <v>393</v>
      </c>
      <c r="B395">
        <v>6277</v>
      </c>
      <c r="C395" t="b">
        <v>1</v>
      </c>
      <c r="D395">
        <v>8042</v>
      </c>
      <c r="E395">
        <v>8123</v>
      </c>
      <c r="F395">
        <v>8</v>
      </c>
      <c r="G395">
        <v>8</v>
      </c>
      <c r="H395">
        <v>1</v>
      </c>
      <c r="I395">
        <v>0</v>
      </c>
      <c r="J395">
        <v>0.5</v>
      </c>
    </row>
    <row r="396" spans="1:10" x14ac:dyDescent="0.3">
      <c r="A396">
        <v>394</v>
      </c>
      <c r="B396">
        <v>6293</v>
      </c>
      <c r="C396" t="b">
        <v>1</v>
      </c>
      <c r="D396">
        <v>8042</v>
      </c>
      <c r="E396">
        <v>8117</v>
      </c>
      <c r="F396">
        <v>8</v>
      </c>
      <c r="G396">
        <v>8</v>
      </c>
      <c r="H396">
        <v>1</v>
      </c>
      <c r="I396">
        <v>0</v>
      </c>
      <c r="J396">
        <v>0.5</v>
      </c>
    </row>
    <row r="397" spans="1:10" x14ac:dyDescent="0.3">
      <c r="A397">
        <v>395</v>
      </c>
      <c r="B397">
        <v>6309</v>
      </c>
      <c r="C397" t="b">
        <v>1</v>
      </c>
      <c r="D397">
        <v>8042</v>
      </c>
      <c r="E397">
        <v>8123</v>
      </c>
      <c r="F397">
        <v>7.6</v>
      </c>
      <c r="G397">
        <v>8</v>
      </c>
      <c r="H397">
        <v>0.95</v>
      </c>
      <c r="I397">
        <v>5.0000012000000003E-2</v>
      </c>
      <c r="J397">
        <v>0.51282050000000001</v>
      </c>
    </row>
    <row r="398" spans="1:10" x14ac:dyDescent="0.3">
      <c r="A398">
        <v>396</v>
      </c>
      <c r="B398">
        <v>6325</v>
      </c>
      <c r="C398" t="b">
        <v>1</v>
      </c>
      <c r="D398">
        <v>8042</v>
      </c>
      <c r="E398">
        <v>8123</v>
      </c>
      <c r="F398">
        <v>7.2</v>
      </c>
      <c r="G398">
        <v>8</v>
      </c>
      <c r="H398">
        <v>0.9</v>
      </c>
      <c r="I398">
        <v>0.10000002400000001</v>
      </c>
      <c r="J398">
        <v>0.5263158</v>
      </c>
    </row>
    <row r="399" spans="1:10" x14ac:dyDescent="0.3">
      <c r="A399">
        <v>397</v>
      </c>
      <c r="B399">
        <v>6341</v>
      </c>
      <c r="C399" t="b">
        <v>1</v>
      </c>
      <c r="D399">
        <v>8042</v>
      </c>
      <c r="E399">
        <v>8123</v>
      </c>
      <c r="F399">
        <v>6.8</v>
      </c>
      <c r="G399">
        <v>8</v>
      </c>
      <c r="H399">
        <v>0.85</v>
      </c>
      <c r="I399">
        <v>0.14999998</v>
      </c>
      <c r="J399">
        <v>0.54054049999999998</v>
      </c>
    </row>
    <row r="400" spans="1:10" x14ac:dyDescent="0.3">
      <c r="A400">
        <v>398</v>
      </c>
      <c r="B400">
        <v>6356</v>
      </c>
      <c r="C400" t="b">
        <v>1</v>
      </c>
      <c r="D400">
        <v>8037</v>
      </c>
      <c r="E400">
        <v>8123</v>
      </c>
      <c r="F400">
        <v>6.4</v>
      </c>
      <c r="G400">
        <v>8</v>
      </c>
      <c r="H400">
        <v>0.8</v>
      </c>
      <c r="I400">
        <v>0.19999998999999999</v>
      </c>
      <c r="J400">
        <v>0.55555560000000004</v>
      </c>
    </row>
    <row r="401" spans="1:10" x14ac:dyDescent="0.3">
      <c r="A401">
        <v>399</v>
      </c>
      <c r="B401">
        <v>6372</v>
      </c>
      <c r="C401" t="b">
        <v>1</v>
      </c>
      <c r="D401">
        <v>8048</v>
      </c>
      <c r="E401">
        <v>8117</v>
      </c>
      <c r="F401">
        <v>6</v>
      </c>
      <c r="G401">
        <v>8</v>
      </c>
      <c r="H401">
        <v>0.75</v>
      </c>
      <c r="I401">
        <v>0.25</v>
      </c>
      <c r="J401">
        <v>0.57142859999999995</v>
      </c>
    </row>
    <row r="402" spans="1:10" x14ac:dyDescent="0.3">
      <c r="A402">
        <v>400</v>
      </c>
      <c r="B402">
        <v>6388</v>
      </c>
      <c r="C402" t="b">
        <v>1</v>
      </c>
      <c r="D402">
        <v>8048</v>
      </c>
      <c r="E402">
        <v>8117</v>
      </c>
      <c r="F402">
        <v>5.6</v>
      </c>
      <c r="G402">
        <v>8</v>
      </c>
      <c r="H402">
        <v>0.7</v>
      </c>
      <c r="I402">
        <v>0.3</v>
      </c>
      <c r="J402">
        <v>0.58823526000000004</v>
      </c>
    </row>
    <row r="403" spans="1:10" x14ac:dyDescent="0.3">
      <c r="A403">
        <v>401</v>
      </c>
      <c r="B403">
        <v>6404</v>
      </c>
      <c r="C403" t="b">
        <v>1</v>
      </c>
      <c r="D403">
        <v>8048</v>
      </c>
      <c r="E403">
        <v>8129</v>
      </c>
      <c r="F403">
        <v>5.6</v>
      </c>
      <c r="G403">
        <v>8</v>
      </c>
      <c r="H403">
        <v>0.7</v>
      </c>
      <c r="I403">
        <v>0.3</v>
      </c>
      <c r="J403">
        <v>0.58823526000000004</v>
      </c>
    </row>
    <row r="404" spans="1:10" x14ac:dyDescent="0.3">
      <c r="A404">
        <v>402</v>
      </c>
      <c r="B404">
        <v>6419</v>
      </c>
      <c r="C404" t="b">
        <v>1</v>
      </c>
      <c r="D404">
        <v>8048</v>
      </c>
      <c r="E404">
        <v>8123</v>
      </c>
      <c r="F404">
        <v>5.6</v>
      </c>
      <c r="G404">
        <v>8</v>
      </c>
      <c r="H404">
        <v>0.7</v>
      </c>
      <c r="I404">
        <v>0.3</v>
      </c>
      <c r="J404">
        <v>0.58823526000000004</v>
      </c>
    </row>
    <row r="405" spans="1:10" x14ac:dyDescent="0.3">
      <c r="A405">
        <v>403</v>
      </c>
      <c r="B405">
        <v>6436</v>
      </c>
      <c r="C405" t="b">
        <v>1</v>
      </c>
      <c r="D405">
        <v>8048</v>
      </c>
      <c r="E405">
        <v>8123</v>
      </c>
      <c r="F405">
        <v>5.6</v>
      </c>
      <c r="G405">
        <v>8</v>
      </c>
      <c r="H405">
        <v>0.7</v>
      </c>
      <c r="I405">
        <v>0.3</v>
      </c>
      <c r="J405">
        <v>0.58823526000000004</v>
      </c>
    </row>
    <row r="406" spans="1:10" x14ac:dyDescent="0.3">
      <c r="A406">
        <v>404</v>
      </c>
      <c r="B406">
        <v>6451</v>
      </c>
      <c r="C406" t="b">
        <v>1</v>
      </c>
      <c r="D406">
        <v>8048</v>
      </c>
      <c r="E406">
        <v>8123</v>
      </c>
      <c r="F406">
        <v>5.6</v>
      </c>
      <c r="G406">
        <v>8</v>
      </c>
      <c r="H406">
        <v>0.7</v>
      </c>
      <c r="I406">
        <v>0.3</v>
      </c>
      <c r="J406">
        <v>0.58823526000000004</v>
      </c>
    </row>
    <row r="407" spans="1:10" x14ac:dyDescent="0.3">
      <c r="A407">
        <v>405</v>
      </c>
      <c r="B407">
        <v>6467</v>
      </c>
      <c r="C407" t="b">
        <v>1</v>
      </c>
      <c r="D407">
        <v>8048</v>
      </c>
      <c r="E407">
        <v>8129</v>
      </c>
      <c r="F407">
        <v>5.6</v>
      </c>
      <c r="G407">
        <v>8</v>
      </c>
      <c r="H407">
        <v>0.7</v>
      </c>
      <c r="I407">
        <v>0.3</v>
      </c>
      <c r="J407">
        <v>0.58823526000000004</v>
      </c>
    </row>
    <row r="408" spans="1:10" x14ac:dyDescent="0.3">
      <c r="A408">
        <v>406</v>
      </c>
      <c r="B408">
        <v>6483</v>
      </c>
      <c r="C408" t="b">
        <v>1</v>
      </c>
      <c r="D408">
        <v>8042</v>
      </c>
      <c r="E408">
        <v>8123</v>
      </c>
      <c r="F408">
        <v>5.6</v>
      </c>
      <c r="G408">
        <v>8</v>
      </c>
      <c r="H408">
        <v>0.7</v>
      </c>
      <c r="I408">
        <v>0.3</v>
      </c>
      <c r="J408">
        <v>0.58823526000000004</v>
      </c>
    </row>
    <row r="409" spans="1:10" x14ac:dyDescent="0.3">
      <c r="A409">
        <v>407</v>
      </c>
      <c r="B409">
        <v>6499</v>
      </c>
      <c r="C409" t="b">
        <v>1</v>
      </c>
      <c r="D409">
        <v>8048</v>
      </c>
      <c r="E409">
        <v>8123</v>
      </c>
      <c r="F409">
        <v>5.6</v>
      </c>
      <c r="G409">
        <v>8</v>
      </c>
      <c r="H409">
        <v>0.7</v>
      </c>
      <c r="I409">
        <v>0.3</v>
      </c>
      <c r="J409">
        <v>0.58823526000000004</v>
      </c>
    </row>
    <row r="410" spans="1:10" x14ac:dyDescent="0.3">
      <c r="A410">
        <v>408</v>
      </c>
      <c r="B410">
        <v>6515</v>
      </c>
      <c r="C410" t="b">
        <v>1</v>
      </c>
      <c r="D410">
        <v>8048</v>
      </c>
      <c r="E410">
        <v>8123</v>
      </c>
      <c r="F410">
        <v>5.6</v>
      </c>
      <c r="G410">
        <v>8</v>
      </c>
      <c r="H410">
        <v>0.7</v>
      </c>
      <c r="I410">
        <v>0.3</v>
      </c>
      <c r="J410">
        <v>0.58823526000000004</v>
      </c>
    </row>
    <row r="411" spans="1:10" x14ac:dyDescent="0.3">
      <c r="A411">
        <v>409</v>
      </c>
      <c r="B411">
        <v>6531</v>
      </c>
      <c r="C411" t="b">
        <v>1</v>
      </c>
      <c r="D411">
        <v>8054</v>
      </c>
      <c r="E411">
        <v>8123</v>
      </c>
      <c r="F411">
        <v>5.6</v>
      </c>
      <c r="G411">
        <v>8</v>
      </c>
      <c r="H411">
        <v>0.7</v>
      </c>
      <c r="I411">
        <v>0.3</v>
      </c>
      <c r="J411">
        <v>0.58823526000000004</v>
      </c>
    </row>
    <row r="412" spans="1:10" x14ac:dyDescent="0.3">
      <c r="A412">
        <v>410</v>
      </c>
      <c r="B412">
        <v>6547</v>
      </c>
      <c r="C412" t="b">
        <v>1</v>
      </c>
      <c r="D412">
        <v>8048</v>
      </c>
      <c r="E412">
        <v>8123</v>
      </c>
      <c r="F412">
        <v>6</v>
      </c>
      <c r="G412">
        <v>8</v>
      </c>
      <c r="H412">
        <v>0.75</v>
      </c>
      <c r="I412">
        <v>0.25</v>
      </c>
      <c r="J412">
        <v>0.57142859999999995</v>
      </c>
    </row>
    <row r="413" spans="1:10" x14ac:dyDescent="0.3">
      <c r="A413">
        <v>411</v>
      </c>
      <c r="B413">
        <v>6562</v>
      </c>
      <c r="C413" t="b">
        <v>1</v>
      </c>
      <c r="D413">
        <v>8048</v>
      </c>
      <c r="E413">
        <v>8117</v>
      </c>
      <c r="F413">
        <v>6.4</v>
      </c>
      <c r="G413">
        <v>8</v>
      </c>
      <c r="H413">
        <v>0.8</v>
      </c>
      <c r="I413">
        <v>0.19999998999999999</v>
      </c>
      <c r="J413">
        <v>0.55555560000000004</v>
      </c>
    </row>
    <row r="414" spans="1:10" x14ac:dyDescent="0.3">
      <c r="A414">
        <v>412</v>
      </c>
      <c r="B414">
        <v>6578</v>
      </c>
      <c r="C414" t="b">
        <v>1</v>
      </c>
      <c r="D414">
        <v>8042</v>
      </c>
      <c r="E414">
        <v>8123</v>
      </c>
      <c r="F414">
        <v>6.8</v>
      </c>
      <c r="G414">
        <v>8</v>
      </c>
      <c r="H414">
        <v>0.85</v>
      </c>
      <c r="I414">
        <v>0.14999998</v>
      </c>
      <c r="J414">
        <v>0.54054049999999998</v>
      </c>
    </row>
    <row r="415" spans="1:10" x14ac:dyDescent="0.3">
      <c r="A415">
        <v>413</v>
      </c>
      <c r="B415">
        <v>6594</v>
      </c>
      <c r="C415" t="b">
        <v>1</v>
      </c>
      <c r="D415">
        <v>8042</v>
      </c>
      <c r="E415">
        <v>8117</v>
      </c>
      <c r="F415">
        <v>7.2</v>
      </c>
      <c r="G415">
        <v>8</v>
      </c>
      <c r="H415">
        <v>0.9</v>
      </c>
      <c r="I415">
        <v>0.10000002400000001</v>
      </c>
      <c r="J415">
        <v>0.5263158</v>
      </c>
    </row>
    <row r="416" spans="1:10" x14ac:dyDescent="0.3">
      <c r="A416">
        <v>414</v>
      </c>
      <c r="B416">
        <v>6610</v>
      </c>
      <c r="C416" t="b">
        <v>1</v>
      </c>
      <c r="D416">
        <v>8042</v>
      </c>
      <c r="E416">
        <v>8117</v>
      </c>
      <c r="F416">
        <v>7.2</v>
      </c>
      <c r="G416">
        <v>7.6</v>
      </c>
      <c r="H416">
        <v>0.9473684</v>
      </c>
      <c r="I416">
        <v>5.2631589999999999E-2</v>
      </c>
      <c r="J416">
        <v>0.51351349999999996</v>
      </c>
    </row>
    <row r="417" spans="1:10" x14ac:dyDescent="0.3">
      <c r="A417">
        <v>415</v>
      </c>
      <c r="B417">
        <v>6626</v>
      </c>
      <c r="C417" t="b">
        <v>1</v>
      </c>
      <c r="D417">
        <v>8048</v>
      </c>
      <c r="E417">
        <v>8117</v>
      </c>
      <c r="F417">
        <v>7.2</v>
      </c>
      <c r="G417">
        <v>7.2</v>
      </c>
      <c r="H417">
        <v>1</v>
      </c>
      <c r="I417">
        <v>0</v>
      </c>
      <c r="J417">
        <v>0.5</v>
      </c>
    </row>
    <row r="418" spans="1:10" x14ac:dyDescent="0.3">
      <c r="A418">
        <v>416</v>
      </c>
      <c r="B418">
        <v>6642</v>
      </c>
      <c r="C418" t="b">
        <v>1</v>
      </c>
      <c r="D418">
        <v>8042</v>
      </c>
      <c r="E418">
        <v>8117</v>
      </c>
      <c r="F418">
        <v>6.8</v>
      </c>
      <c r="G418">
        <v>6.8</v>
      </c>
      <c r="H418">
        <v>1</v>
      </c>
      <c r="I418">
        <v>0</v>
      </c>
      <c r="J418">
        <v>0.5</v>
      </c>
    </row>
    <row r="419" spans="1:10" x14ac:dyDescent="0.3">
      <c r="A419">
        <v>417</v>
      </c>
      <c r="B419">
        <v>6658</v>
      </c>
      <c r="C419" t="b">
        <v>1</v>
      </c>
      <c r="D419">
        <v>8048</v>
      </c>
      <c r="E419">
        <v>8117</v>
      </c>
      <c r="F419">
        <v>6.4</v>
      </c>
      <c r="G419">
        <v>6.4</v>
      </c>
      <c r="H419">
        <v>1</v>
      </c>
      <c r="I419">
        <v>0</v>
      </c>
      <c r="J419">
        <v>0.5</v>
      </c>
    </row>
    <row r="420" spans="1:10" x14ac:dyDescent="0.3">
      <c r="A420">
        <v>418</v>
      </c>
      <c r="B420">
        <v>6674</v>
      </c>
      <c r="C420" t="b">
        <v>1</v>
      </c>
      <c r="D420">
        <v>8048</v>
      </c>
      <c r="E420">
        <v>8117</v>
      </c>
      <c r="F420">
        <v>6.4</v>
      </c>
      <c r="G420">
        <v>6</v>
      </c>
      <c r="H420">
        <v>1.0666667000000001</v>
      </c>
      <c r="I420">
        <v>-6.6666685000000003E-2</v>
      </c>
      <c r="J420">
        <v>0.48387098000000001</v>
      </c>
    </row>
    <row r="421" spans="1:10" x14ac:dyDescent="0.3">
      <c r="A421">
        <v>419</v>
      </c>
      <c r="B421">
        <v>6689</v>
      </c>
      <c r="C421" t="b">
        <v>1</v>
      </c>
      <c r="D421">
        <v>8054</v>
      </c>
      <c r="E421">
        <v>8123</v>
      </c>
      <c r="F421">
        <v>6.4</v>
      </c>
      <c r="G421">
        <v>5.6</v>
      </c>
      <c r="H421">
        <v>1.1428571999999999</v>
      </c>
      <c r="I421">
        <v>-0.14285718</v>
      </c>
      <c r="J421">
        <v>0.46666667000000001</v>
      </c>
    </row>
    <row r="422" spans="1:10" x14ac:dyDescent="0.3">
      <c r="A422">
        <v>420</v>
      </c>
      <c r="B422">
        <v>6705</v>
      </c>
      <c r="C422" t="b">
        <v>1</v>
      </c>
      <c r="D422">
        <v>8048</v>
      </c>
      <c r="E422">
        <v>8123</v>
      </c>
      <c r="F422">
        <v>6.4</v>
      </c>
      <c r="G422">
        <v>5.2</v>
      </c>
      <c r="H422">
        <v>1.2307693</v>
      </c>
      <c r="I422">
        <v>-0.23076928999999999</v>
      </c>
      <c r="J422">
        <v>0.44827582999999999</v>
      </c>
    </row>
    <row r="423" spans="1:10" x14ac:dyDescent="0.3">
      <c r="A423">
        <v>421</v>
      </c>
      <c r="B423">
        <v>6721</v>
      </c>
      <c r="C423" t="b">
        <v>1</v>
      </c>
      <c r="D423">
        <v>8048</v>
      </c>
      <c r="E423">
        <v>8129</v>
      </c>
      <c r="F423">
        <v>6.4</v>
      </c>
      <c r="G423">
        <v>5.2</v>
      </c>
      <c r="H423">
        <v>1.2307693</v>
      </c>
      <c r="I423">
        <v>-0.23076928999999999</v>
      </c>
      <c r="J423">
        <v>0.44827582999999999</v>
      </c>
    </row>
    <row r="424" spans="1:10" x14ac:dyDescent="0.3">
      <c r="A424">
        <v>422</v>
      </c>
      <c r="B424">
        <v>6737</v>
      </c>
      <c r="C424" t="b">
        <v>1</v>
      </c>
      <c r="D424">
        <v>8048</v>
      </c>
      <c r="E424">
        <v>8129</v>
      </c>
      <c r="F424">
        <v>6.4</v>
      </c>
      <c r="G424">
        <v>5.2</v>
      </c>
      <c r="H424">
        <v>1.2307693</v>
      </c>
      <c r="I424">
        <v>-0.23076928999999999</v>
      </c>
      <c r="J424">
        <v>0.44827582999999999</v>
      </c>
    </row>
    <row r="425" spans="1:10" x14ac:dyDescent="0.3">
      <c r="A425">
        <v>423</v>
      </c>
      <c r="B425">
        <v>6753</v>
      </c>
      <c r="C425" t="b">
        <v>1</v>
      </c>
      <c r="D425">
        <v>8048</v>
      </c>
      <c r="E425">
        <v>8129</v>
      </c>
      <c r="F425">
        <v>6.4</v>
      </c>
      <c r="G425">
        <v>5.6</v>
      </c>
      <c r="H425">
        <v>1.1428571999999999</v>
      </c>
      <c r="I425">
        <v>-0.14285718</v>
      </c>
      <c r="J425">
        <v>0.46666667000000001</v>
      </c>
    </row>
    <row r="426" spans="1:10" x14ac:dyDescent="0.3">
      <c r="A426">
        <v>424</v>
      </c>
      <c r="B426">
        <v>6768</v>
      </c>
      <c r="C426" t="b">
        <v>1</v>
      </c>
      <c r="D426">
        <v>8048</v>
      </c>
      <c r="E426">
        <v>8129</v>
      </c>
      <c r="F426">
        <v>6.4</v>
      </c>
      <c r="G426">
        <v>6</v>
      </c>
      <c r="H426">
        <v>1.0666667000000001</v>
      </c>
      <c r="I426">
        <v>-6.6666685000000003E-2</v>
      </c>
      <c r="J426">
        <v>0.48387098000000001</v>
      </c>
    </row>
    <row r="427" spans="1:10" x14ac:dyDescent="0.3">
      <c r="A427">
        <v>425</v>
      </c>
      <c r="B427">
        <v>6784</v>
      </c>
      <c r="C427" t="b">
        <v>1</v>
      </c>
      <c r="D427">
        <v>8048</v>
      </c>
      <c r="E427">
        <v>8123</v>
      </c>
      <c r="F427">
        <v>6.4</v>
      </c>
      <c r="G427">
        <v>6.4</v>
      </c>
      <c r="H427">
        <v>1</v>
      </c>
      <c r="I427">
        <v>0</v>
      </c>
      <c r="J427">
        <v>0.5</v>
      </c>
    </row>
    <row r="428" spans="1:10" x14ac:dyDescent="0.3">
      <c r="A428">
        <v>426</v>
      </c>
      <c r="B428">
        <v>6800</v>
      </c>
      <c r="C428" t="b">
        <v>1</v>
      </c>
      <c r="D428">
        <v>8054</v>
      </c>
      <c r="E428">
        <v>8123</v>
      </c>
      <c r="F428">
        <v>6.4</v>
      </c>
      <c r="G428">
        <v>6.8</v>
      </c>
      <c r="H428">
        <v>0.94117649999999997</v>
      </c>
      <c r="I428">
        <v>5.8823540000000001E-2</v>
      </c>
      <c r="J428">
        <v>0.51515149999999998</v>
      </c>
    </row>
    <row r="429" spans="1:10" x14ac:dyDescent="0.3">
      <c r="A429">
        <v>427</v>
      </c>
      <c r="B429">
        <v>6816</v>
      </c>
      <c r="C429" t="b">
        <v>1</v>
      </c>
      <c r="D429">
        <v>8054</v>
      </c>
      <c r="E429">
        <v>8123</v>
      </c>
      <c r="F429">
        <v>6.4</v>
      </c>
      <c r="G429">
        <v>6.8</v>
      </c>
      <c r="H429">
        <v>0.94117649999999997</v>
      </c>
      <c r="I429">
        <v>5.8823540000000001E-2</v>
      </c>
      <c r="J429">
        <v>0.51515149999999998</v>
      </c>
    </row>
    <row r="430" spans="1:10" x14ac:dyDescent="0.3">
      <c r="A430">
        <v>428</v>
      </c>
      <c r="B430">
        <v>6832</v>
      </c>
      <c r="C430" t="b">
        <v>1</v>
      </c>
      <c r="D430">
        <v>8054</v>
      </c>
      <c r="E430">
        <v>8123</v>
      </c>
      <c r="F430">
        <v>6.8</v>
      </c>
      <c r="G430">
        <v>6.8</v>
      </c>
      <c r="H430">
        <v>1</v>
      </c>
      <c r="I430">
        <v>0</v>
      </c>
      <c r="J430">
        <v>0.5</v>
      </c>
    </row>
    <row r="431" spans="1:10" x14ac:dyDescent="0.3">
      <c r="A431">
        <v>429</v>
      </c>
      <c r="B431">
        <v>6848</v>
      </c>
      <c r="C431" t="b">
        <v>1</v>
      </c>
      <c r="D431">
        <v>8054</v>
      </c>
      <c r="E431">
        <v>8123</v>
      </c>
      <c r="F431">
        <v>7.6</v>
      </c>
      <c r="G431">
        <v>7.2</v>
      </c>
      <c r="H431">
        <v>1.0555555999999999</v>
      </c>
      <c r="I431">
        <v>-5.5555569999999999E-2</v>
      </c>
      <c r="J431">
        <v>0.48648649999999999</v>
      </c>
    </row>
    <row r="432" spans="1:10" x14ac:dyDescent="0.3">
      <c r="A432">
        <v>430</v>
      </c>
      <c r="B432">
        <v>6864</v>
      </c>
      <c r="C432" t="b">
        <v>1</v>
      </c>
      <c r="D432">
        <v>8048</v>
      </c>
      <c r="E432">
        <v>8117</v>
      </c>
      <c r="F432">
        <v>8.4</v>
      </c>
      <c r="G432">
        <v>7.6</v>
      </c>
      <c r="H432">
        <v>1.1052630999999999</v>
      </c>
      <c r="I432">
        <v>-0.10526312</v>
      </c>
      <c r="J432">
        <v>0.47499999999999998</v>
      </c>
    </row>
    <row r="433" spans="1:10" x14ac:dyDescent="0.3">
      <c r="A433">
        <v>431</v>
      </c>
      <c r="B433">
        <v>6879</v>
      </c>
      <c r="C433" t="b">
        <v>1</v>
      </c>
      <c r="D433">
        <v>8048</v>
      </c>
      <c r="E433">
        <v>8123</v>
      </c>
      <c r="F433">
        <v>9.1999999999999993</v>
      </c>
      <c r="G433">
        <v>8</v>
      </c>
      <c r="H433">
        <v>1.1499999999999999</v>
      </c>
      <c r="I433">
        <v>-0.14999998</v>
      </c>
      <c r="J433">
        <v>0.46511626</v>
      </c>
    </row>
    <row r="434" spans="1:10" x14ac:dyDescent="0.3">
      <c r="A434">
        <v>432</v>
      </c>
      <c r="B434">
        <v>6895</v>
      </c>
      <c r="C434" t="b">
        <v>1</v>
      </c>
      <c r="D434">
        <v>8048</v>
      </c>
      <c r="E434">
        <v>8123</v>
      </c>
      <c r="F434">
        <v>9.6</v>
      </c>
      <c r="G434">
        <v>8.4</v>
      </c>
      <c r="H434">
        <v>1.1428571999999999</v>
      </c>
      <c r="I434">
        <v>-0.14285724</v>
      </c>
      <c r="J434">
        <v>0.46666664000000002</v>
      </c>
    </row>
    <row r="435" spans="1:10" x14ac:dyDescent="0.3">
      <c r="A435">
        <v>433</v>
      </c>
      <c r="B435">
        <v>6911</v>
      </c>
      <c r="C435" t="b">
        <v>1</v>
      </c>
      <c r="D435">
        <v>8048</v>
      </c>
      <c r="E435">
        <v>8129</v>
      </c>
      <c r="F435">
        <v>9.6</v>
      </c>
      <c r="G435">
        <v>8.8000000000000007</v>
      </c>
      <c r="H435">
        <v>1.0909091</v>
      </c>
      <c r="I435">
        <v>-9.0909110000000001E-2</v>
      </c>
      <c r="J435">
        <v>0.47826084000000002</v>
      </c>
    </row>
    <row r="436" spans="1:10" x14ac:dyDescent="0.3">
      <c r="A436">
        <v>434</v>
      </c>
      <c r="B436">
        <v>6927</v>
      </c>
      <c r="C436" t="b">
        <v>1</v>
      </c>
      <c r="D436">
        <v>8048</v>
      </c>
      <c r="E436">
        <v>8129</v>
      </c>
      <c r="F436">
        <v>9.6</v>
      </c>
      <c r="G436">
        <v>9.1999999999999993</v>
      </c>
      <c r="H436">
        <v>1.0434783999999999</v>
      </c>
      <c r="I436">
        <v>-4.3478324999999998E-2</v>
      </c>
      <c r="J436">
        <v>0.48936170000000001</v>
      </c>
    </row>
    <row r="437" spans="1:10" x14ac:dyDescent="0.3">
      <c r="A437">
        <v>435</v>
      </c>
      <c r="B437">
        <v>6943</v>
      </c>
      <c r="C437" t="b">
        <v>1</v>
      </c>
      <c r="D437">
        <v>8042</v>
      </c>
      <c r="E437">
        <v>8129</v>
      </c>
      <c r="F437">
        <v>9.6</v>
      </c>
      <c r="G437">
        <v>10</v>
      </c>
      <c r="H437">
        <v>0.96000004000000005</v>
      </c>
      <c r="I437">
        <v>3.9999960000000001E-2</v>
      </c>
      <c r="J437">
        <v>0.51020410000000005</v>
      </c>
    </row>
    <row r="438" spans="1:10" x14ac:dyDescent="0.3">
      <c r="A438">
        <v>436</v>
      </c>
      <c r="B438">
        <v>6959</v>
      </c>
      <c r="C438" t="b">
        <v>1</v>
      </c>
      <c r="D438">
        <v>8048</v>
      </c>
      <c r="E438">
        <v>8129</v>
      </c>
      <c r="F438">
        <v>9.6</v>
      </c>
      <c r="G438">
        <v>10.4</v>
      </c>
      <c r="H438">
        <v>0.92307700000000004</v>
      </c>
      <c r="I438">
        <v>7.6923005000000003E-2</v>
      </c>
      <c r="J438">
        <v>0.52</v>
      </c>
    </row>
    <row r="439" spans="1:10" x14ac:dyDescent="0.3">
      <c r="A439">
        <v>437</v>
      </c>
      <c r="B439">
        <v>6975</v>
      </c>
      <c r="C439" t="b">
        <v>1</v>
      </c>
      <c r="D439">
        <v>8048</v>
      </c>
      <c r="E439">
        <v>8129</v>
      </c>
      <c r="F439">
        <v>9.6</v>
      </c>
      <c r="G439">
        <v>10.8</v>
      </c>
      <c r="H439">
        <v>0.88888889999999998</v>
      </c>
      <c r="I439">
        <v>0.11111109</v>
      </c>
      <c r="J439">
        <v>0.52941172999999997</v>
      </c>
    </row>
    <row r="440" spans="1:10" x14ac:dyDescent="0.3">
      <c r="A440">
        <v>438</v>
      </c>
      <c r="B440">
        <v>6991</v>
      </c>
      <c r="C440" t="b">
        <v>1</v>
      </c>
      <c r="D440">
        <v>8048</v>
      </c>
      <c r="E440">
        <v>8117</v>
      </c>
      <c r="F440">
        <v>9.6</v>
      </c>
      <c r="G440">
        <v>10.8</v>
      </c>
      <c r="H440">
        <v>0.88888889999999998</v>
      </c>
      <c r="I440">
        <v>0.11111109</v>
      </c>
      <c r="J440">
        <v>0.52941172999999997</v>
      </c>
    </row>
    <row r="441" spans="1:10" x14ac:dyDescent="0.3">
      <c r="A441">
        <v>439</v>
      </c>
      <c r="B441">
        <v>7006</v>
      </c>
      <c r="C441" t="b">
        <v>1</v>
      </c>
      <c r="D441">
        <v>8048</v>
      </c>
      <c r="E441">
        <v>8123</v>
      </c>
      <c r="F441">
        <v>9.6</v>
      </c>
      <c r="G441">
        <v>10.8</v>
      </c>
      <c r="H441">
        <v>0.88888889999999998</v>
      </c>
      <c r="I441">
        <v>0.11111109</v>
      </c>
      <c r="J441">
        <v>0.52941172999999997</v>
      </c>
    </row>
    <row r="442" spans="1:10" x14ac:dyDescent="0.3">
      <c r="A442">
        <v>440</v>
      </c>
      <c r="B442">
        <v>7022</v>
      </c>
      <c r="C442" t="b">
        <v>1</v>
      </c>
      <c r="D442">
        <v>8054</v>
      </c>
      <c r="E442">
        <v>8117</v>
      </c>
      <c r="F442">
        <v>9.6</v>
      </c>
      <c r="G442">
        <v>10.4</v>
      </c>
      <c r="H442">
        <v>0.92307700000000004</v>
      </c>
      <c r="I442">
        <v>7.6923005000000003E-2</v>
      </c>
      <c r="J442">
        <v>0.52</v>
      </c>
    </row>
    <row r="443" spans="1:10" x14ac:dyDescent="0.3">
      <c r="A443">
        <v>441</v>
      </c>
      <c r="B443">
        <v>7038</v>
      </c>
      <c r="C443" t="b">
        <v>1</v>
      </c>
      <c r="D443">
        <v>8054</v>
      </c>
      <c r="E443">
        <v>8123</v>
      </c>
      <c r="F443">
        <v>9.6</v>
      </c>
      <c r="G443">
        <v>10</v>
      </c>
      <c r="H443">
        <v>0.96000004000000005</v>
      </c>
      <c r="I443">
        <v>3.9999960000000001E-2</v>
      </c>
      <c r="J443">
        <v>0.51020410000000005</v>
      </c>
    </row>
    <row r="444" spans="1:10" x14ac:dyDescent="0.3">
      <c r="A444">
        <v>442</v>
      </c>
      <c r="B444">
        <v>7054</v>
      </c>
      <c r="C444" t="b">
        <v>1</v>
      </c>
      <c r="D444">
        <v>8048</v>
      </c>
      <c r="E444">
        <v>8123</v>
      </c>
      <c r="F444">
        <v>9.6</v>
      </c>
      <c r="G444">
        <v>10</v>
      </c>
      <c r="H444">
        <v>0.96000004000000005</v>
      </c>
      <c r="I444">
        <v>3.9999960000000001E-2</v>
      </c>
      <c r="J444">
        <v>0.51020410000000005</v>
      </c>
    </row>
    <row r="445" spans="1:10" x14ac:dyDescent="0.3">
      <c r="A445">
        <v>443</v>
      </c>
      <c r="B445">
        <v>7070</v>
      </c>
      <c r="C445" t="b">
        <v>1</v>
      </c>
      <c r="D445">
        <v>8048</v>
      </c>
      <c r="E445">
        <v>8123</v>
      </c>
      <c r="F445">
        <v>9.1999999999999993</v>
      </c>
      <c r="G445">
        <v>10</v>
      </c>
      <c r="H445">
        <v>0.91999995999999995</v>
      </c>
      <c r="I445">
        <v>8.0000020000000005E-2</v>
      </c>
      <c r="J445">
        <v>0.52083330000000005</v>
      </c>
    </row>
    <row r="446" spans="1:10" x14ac:dyDescent="0.3">
      <c r="A446">
        <v>444</v>
      </c>
      <c r="B446">
        <v>7086</v>
      </c>
      <c r="C446" t="b">
        <v>1</v>
      </c>
      <c r="D446">
        <v>8048</v>
      </c>
      <c r="E446">
        <v>8123</v>
      </c>
      <c r="F446">
        <v>8.8000000000000007</v>
      </c>
      <c r="G446">
        <v>10</v>
      </c>
      <c r="H446">
        <v>0.88</v>
      </c>
      <c r="I446">
        <v>0.11999998000000001</v>
      </c>
      <c r="J446">
        <v>0.53191489999999997</v>
      </c>
    </row>
    <row r="447" spans="1:10" x14ac:dyDescent="0.3">
      <c r="A447">
        <v>445</v>
      </c>
      <c r="B447">
        <v>7102</v>
      </c>
      <c r="C447" t="b">
        <v>1</v>
      </c>
      <c r="D447">
        <v>8048</v>
      </c>
      <c r="E447">
        <v>8117</v>
      </c>
      <c r="F447">
        <v>8.4</v>
      </c>
      <c r="G447">
        <v>10</v>
      </c>
      <c r="H447">
        <v>0.84</v>
      </c>
      <c r="I447">
        <v>0.16000004000000001</v>
      </c>
      <c r="J447">
        <v>0.54347825000000005</v>
      </c>
    </row>
    <row r="448" spans="1:10" x14ac:dyDescent="0.3">
      <c r="A448">
        <v>446</v>
      </c>
      <c r="B448">
        <v>7117</v>
      </c>
      <c r="C448" t="b">
        <v>1</v>
      </c>
      <c r="D448">
        <v>8048</v>
      </c>
      <c r="E448">
        <v>8123</v>
      </c>
      <c r="F448">
        <v>8</v>
      </c>
      <c r="G448">
        <v>10</v>
      </c>
      <c r="H448">
        <v>0.8</v>
      </c>
      <c r="I448">
        <v>0.2</v>
      </c>
      <c r="J448">
        <v>0.55555560000000004</v>
      </c>
    </row>
    <row r="449" spans="1:10" x14ac:dyDescent="0.3">
      <c r="A449">
        <v>447</v>
      </c>
      <c r="B449">
        <v>7133</v>
      </c>
      <c r="C449" t="b">
        <v>1</v>
      </c>
      <c r="D449">
        <v>8048</v>
      </c>
      <c r="E449">
        <v>8129</v>
      </c>
      <c r="F449">
        <v>8</v>
      </c>
      <c r="G449">
        <v>10</v>
      </c>
      <c r="H449">
        <v>0.8</v>
      </c>
      <c r="I449">
        <v>0.2</v>
      </c>
      <c r="J449">
        <v>0.55555560000000004</v>
      </c>
    </row>
    <row r="450" spans="1:10" x14ac:dyDescent="0.3">
      <c r="A450">
        <v>448</v>
      </c>
      <c r="B450">
        <v>7149</v>
      </c>
      <c r="C450" t="b">
        <v>1</v>
      </c>
      <c r="D450">
        <v>8048</v>
      </c>
      <c r="E450">
        <v>8123</v>
      </c>
      <c r="F450">
        <v>8</v>
      </c>
      <c r="G450">
        <v>10</v>
      </c>
      <c r="H450">
        <v>0.8</v>
      </c>
      <c r="I450">
        <v>0.2</v>
      </c>
      <c r="J450">
        <v>0.55555560000000004</v>
      </c>
    </row>
    <row r="451" spans="1:10" x14ac:dyDescent="0.3">
      <c r="A451">
        <v>449</v>
      </c>
      <c r="B451">
        <v>7165</v>
      </c>
      <c r="C451" t="b">
        <v>1</v>
      </c>
      <c r="D451">
        <v>8042</v>
      </c>
      <c r="E451">
        <v>8123</v>
      </c>
      <c r="F451">
        <v>8</v>
      </c>
      <c r="G451">
        <v>10</v>
      </c>
      <c r="H451">
        <v>0.8</v>
      </c>
      <c r="I451">
        <v>0.2</v>
      </c>
      <c r="J451">
        <v>0.55555560000000004</v>
      </c>
    </row>
    <row r="452" spans="1:10" x14ac:dyDescent="0.3">
      <c r="A452">
        <v>450</v>
      </c>
      <c r="B452">
        <v>7181</v>
      </c>
      <c r="C452" t="b">
        <v>1</v>
      </c>
      <c r="D452">
        <v>8042</v>
      </c>
      <c r="E452">
        <v>8123</v>
      </c>
      <c r="F452">
        <v>8</v>
      </c>
      <c r="G452">
        <v>9.6</v>
      </c>
      <c r="H452">
        <v>0.83333330000000005</v>
      </c>
      <c r="I452">
        <v>0.1666667</v>
      </c>
      <c r="J452">
        <v>0.54545456000000003</v>
      </c>
    </row>
    <row r="453" spans="1:10" x14ac:dyDescent="0.3">
      <c r="A453">
        <v>451</v>
      </c>
      <c r="B453">
        <v>7197</v>
      </c>
      <c r="C453" t="b">
        <v>1</v>
      </c>
      <c r="D453">
        <v>8042</v>
      </c>
      <c r="E453">
        <v>8123</v>
      </c>
      <c r="F453">
        <v>7.6</v>
      </c>
      <c r="G453">
        <v>9.1999999999999993</v>
      </c>
      <c r="H453">
        <v>0.82608694000000005</v>
      </c>
      <c r="I453">
        <v>0.17391303</v>
      </c>
      <c r="J453">
        <v>0.54761903999999995</v>
      </c>
    </row>
    <row r="454" spans="1:10" x14ac:dyDescent="0.3">
      <c r="A454">
        <v>452</v>
      </c>
      <c r="B454">
        <v>7212</v>
      </c>
      <c r="C454" t="b">
        <v>1</v>
      </c>
      <c r="D454">
        <v>8042</v>
      </c>
      <c r="E454">
        <v>8117</v>
      </c>
      <c r="F454">
        <v>7.2</v>
      </c>
      <c r="G454">
        <v>8.8000000000000007</v>
      </c>
      <c r="H454">
        <v>0.81818175000000004</v>
      </c>
      <c r="I454">
        <v>0.18181822</v>
      </c>
      <c r="J454">
        <v>0.55000000000000004</v>
      </c>
    </row>
    <row r="455" spans="1:10" x14ac:dyDescent="0.3">
      <c r="A455">
        <v>453</v>
      </c>
      <c r="B455">
        <v>7228</v>
      </c>
      <c r="C455" t="b">
        <v>1</v>
      </c>
      <c r="D455">
        <v>8042</v>
      </c>
      <c r="E455">
        <v>8123</v>
      </c>
      <c r="F455">
        <v>6.8</v>
      </c>
      <c r="G455">
        <v>8.4</v>
      </c>
      <c r="H455">
        <v>0.80952389999999996</v>
      </c>
      <c r="I455">
        <v>0.19047612999999999</v>
      </c>
      <c r="J455">
        <v>0.55263156000000002</v>
      </c>
    </row>
    <row r="456" spans="1:10" x14ac:dyDescent="0.3">
      <c r="A456">
        <v>454</v>
      </c>
      <c r="B456">
        <v>7244</v>
      </c>
      <c r="C456" t="b">
        <v>1</v>
      </c>
      <c r="D456">
        <v>8042</v>
      </c>
      <c r="E456">
        <v>8123</v>
      </c>
      <c r="F456">
        <v>6.4</v>
      </c>
      <c r="G456">
        <v>8</v>
      </c>
      <c r="H456">
        <v>0.8</v>
      </c>
      <c r="I456">
        <v>0.19999998999999999</v>
      </c>
      <c r="J456">
        <v>0.55555560000000004</v>
      </c>
    </row>
    <row r="457" spans="1:10" x14ac:dyDescent="0.3">
      <c r="A457">
        <v>455</v>
      </c>
      <c r="B457">
        <v>7260</v>
      </c>
      <c r="C457" t="b">
        <v>1</v>
      </c>
      <c r="D457">
        <v>8042</v>
      </c>
      <c r="E457">
        <v>8117</v>
      </c>
      <c r="F457">
        <v>6</v>
      </c>
      <c r="G457">
        <v>8</v>
      </c>
      <c r="H457">
        <v>0.75</v>
      </c>
      <c r="I457">
        <v>0.25</v>
      </c>
      <c r="J457">
        <v>0.57142859999999995</v>
      </c>
    </row>
    <row r="458" spans="1:10" x14ac:dyDescent="0.3">
      <c r="A458">
        <v>456</v>
      </c>
      <c r="B458">
        <v>7276</v>
      </c>
      <c r="C458" t="b">
        <v>1</v>
      </c>
      <c r="D458">
        <v>8042</v>
      </c>
      <c r="E458">
        <v>8123</v>
      </c>
      <c r="F458">
        <v>5.6</v>
      </c>
      <c r="G458">
        <v>8</v>
      </c>
      <c r="H458">
        <v>0.7</v>
      </c>
      <c r="I458">
        <v>0.3</v>
      </c>
      <c r="J458">
        <v>0.58823526000000004</v>
      </c>
    </row>
    <row r="459" spans="1:10" x14ac:dyDescent="0.3">
      <c r="A459">
        <v>457</v>
      </c>
      <c r="B459">
        <v>7292</v>
      </c>
      <c r="C459" t="b">
        <v>1</v>
      </c>
      <c r="D459">
        <v>8048</v>
      </c>
      <c r="E459">
        <v>8117</v>
      </c>
      <c r="F459">
        <v>5.2</v>
      </c>
      <c r="G459">
        <v>8</v>
      </c>
      <c r="H459">
        <v>0.65</v>
      </c>
      <c r="I459">
        <v>0.35000002000000002</v>
      </c>
      <c r="J459">
        <v>0.60606059999999995</v>
      </c>
    </row>
    <row r="460" spans="1:10" x14ac:dyDescent="0.3">
      <c r="A460">
        <v>458</v>
      </c>
      <c r="B460">
        <v>7307</v>
      </c>
      <c r="C460" t="b">
        <v>1</v>
      </c>
      <c r="D460">
        <v>8042</v>
      </c>
      <c r="E460">
        <v>8111</v>
      </c>
      <c r="F460">
        <v>4.8</v>
      </c>
      <c r="G460">
        <v>7.6</v>
      </c>
      <c r="H460">
        <v>0.631579</v>
      </c>
      <c r="I460">
        <v>0.36842101999999999</v>
      </c>
      <c r="J460">
        <v>0.61290323999999996</v>
      </c>
    </row>
    <row r="461" spans="1:10" x14ac:dyDescent="0.3">
      <c r="A461">
        <v>459</v>
      </c>
      <c r="B461">
        <v>7323</v>
      </c>
      <c r="C461" t="b">
        <v>1</v>
      </c>
      <c r="D461">
        <v>8048</v>
      </c>
      <c r="E461">
        <v>8117</v>
      </c>
      <c r="F461">
        <v>4.4000000000000004</v>
      </c>
      <c r="G461">
        <v>7.2</v>
      </c>
      <c r="H461">
        <v>0.61111115999999999</v>
      </c>
      <c r="I461">
        <v>0.38888887</v>
      </c>
      <c r="J461">
        <v>0.62068962999999999</v>
      </c>
    </row>
    <row r="462" spans="1:10" x14ac:dyDescent="0.3">
      <c r="A462">
        <v>460</v>
      </c>
      <c r="B462">
        <v>7339</v>
      </c>
      <c r="C462" t="b">
        <v>1</v>
      </c>
      <c r="D462">
        <v>8048</v>
      </c>
      <c r="E462">
        <v>8111</v>
      </c>
      <c r="F462">
        <v>4.4000000000000004</v>
      </c>
      <c r="G462">
        <v>6.8</v>
      </c>
      <c r="H462">
        <v>0.64705884000000002</v>
      </c>
      <c r="I462">
        <v>0.35294120000000001</v>
      </c>
      <c r="J462">
        <v>0.60714279999999998</v>
      </c>
    </row>
    <row r="463" spans="1:10" x14ac:dyDescent="0.3">
      <c r="A463">
        <v>461</v>
      </c>
      <c r="B463">
        <v>7355</v>
      </c>
      <c r="C463" t="b">
        <v>1</v>
      </c>
      <c r="D463">
        <v>8048</v>
      </c>
      <c r="E463">
        <v>8117</v>
      </c>
      <c r="F463">
        <v>4.4000000000000004</v>
      </c>
      <c r="G463">
        <v>6.4</v>
      </c>
      <c r="H463">
        <v>0.6875</v>
      </c>
      <c r="I463">
        <v>0.3125</v>
      </c>
      <c r="J463">
        <v>0.59259260000000002</v>
      </c>
    </row>
    <row r="464" spans="1:10" x14ac:dyDescent="0.3">
      <c r="A464">
        <v>462</v>
      </c>
      <c r="B464">
        <v>7371</v>
      </c>
      <c r="C464" t="b">
        <v>1</v>
      </c>
      <c r="D464">
        <v>8048</v>
      </c>
      <c r="E464">
        <v>8117</v>
      </c>
      <c r="F464">
        <v>4.4000000000000004</v>
      </c>
      <c r="G464">
        <v>6</v>
      </c>
      <c r="H464">
        <v>0.73333334999999999</v>
      </c>
      <c r="I464">
        <v>0.26666665000000001</v>
      </c>
      <c r="J464">
        <v>0.57692310000000002</v>
      </c>
    </row>
    <row r="465" spans="1:10" x14ac:dyDescent="0.3">
      <c r="A465">
        <v>463</v>
      </c>
      <c r="B465">
        <v>7386</v>
      </c>
      <c r="C465" t="b">
        <v>1</v>
      </c>
      <c r="D465">
        <v>8048</v>
      </c>
      <c r="E465">
        <v>8129</v>
      </c>
      <c r="F465">
        <v>4.4000000000000004</v>
      </c>
      <c r="G465">
        <v>5.6</v>
      </c>
      <c r="H465">
        <v>0.78571429999999998</v>
      </c>
      <c r="I465">
        <v>0.21428569</v>
      </c>
      <c r="J465">
        <v>0.56000000000000005</v>
      </c>
    </row>
    <row r="466" spans="1:10" x14ac:dyDescent="0.3">
      <c r="A466">
        <v>464</v>
      </c>
      <c r="B466">
        <v>7403</v>
      </c>
      <c r="C466" t="b">
        <v>1</v>
      </c>
      <c r="D466">
        <v>8054</v>
      </c>
      <c r="E466">
        <v>8129</v>
      </c>
      <c r="F466">
        <v>4.4000000000000004</v>
      </c>
      <c r="G466">
        <v>5.2</v>
      </c>
      <c r="H466">
        <v>0.84615390000000001</v>
      </c>
      <c r="I466">
        <v>0.15384610000000001</v>
      </c>
      <c r="J466">
        <v>0.5416666</v>
      </c>
    </row>
    <row r="467" spans="1:10" x14ac:dyDescent="0.3">
      <c r="A467">
        <v>465</v>
      </c>
      <c r="B467">
        <v>7418</v>
      </c>
      <c r="C467" t="b">
        <v>1</v>
      </c>
      <c r="D467">
        <v>8048</v>
      </c>
      <c r="E467">
        <v>8129</v>
      </c>
      <c r="F467">
        <v>4.4000000000000004</v>
      </c>
      <c r="G467">
        <v>5.6</v>
      </c>
      <c r="H467">
        <v>0.78571429999999998</v>
      </c>
      <c r="I467">
        <v>0.21428569</v>
      </c>
      <c r="J467">
        <v>0.56000000000000005</v>
      </c>
    </row>
    <row r="468" spans="1:10" x14ac:dyDescent="0.3">
      <c r="A468">
        <v>466</v>
      </c>
      <c r="B468">
        <v>7434</v>
      </c>
      <c r="C468" t="b">
        <v>1</v>
      </c>
      <c r="D468">
        <v>8048</v>
      </c>
      <c r="E468">
        <v>8123</v>
      </c>
      <c r="F468">
        <v>4.8</v>
      </c>
      <c r="G468">
        <v>6</v>
      </c>
      <c r="H468">
        <v>0.8</v>
      </c>
      <c r="I468">
        <v>0.19999997</v>
      </c>
      <c r="J468">
        <v>0.55555549999999998</v>
      </c>
    </row>
    <row r="469" spans="1:10" x14ac:dyDescent="0.3">
      <c r="A469">
        <v>467</v>
      </c>
      <c r="B469">
        <v>7450</v>
      </c>
      <c r="C469" t="b">
        <v>1</v>
      </c>
      <c r="D469">
        <v>8054</v>
      </c>
      <c r="E469">
        <v>8129</v>
      </c>
      <c r="F469">
        <v>5.2</v>
      </c>
      <c r="G469">
        <v>6.4</v>
      </c>
      <c r="H469">
        <v>0.81249994000000003</v>
      </c>
      <c r="I469">
        <v>0.18750004000000001</v>
      </c>
      <c r="J469">
        <v>0.55172414000000003</v>
      </c>
    </row>
    <row r="470" spans="1:10" x14ac:dyDescent="0.3">
      <c r="A470">
        <v>468</v>
      </c>
      <c r="B470">
        <v>7466</v>
      </c>
      <c r="C470" t="b">
        <v>1</v>
      </c>
      <c r="D470">
        <v>8048</v>
      </c>
      <c r="E470">
        <v>8129</v>
      </c>
      <c r="F470">
        <v>5.6</v>
      </c>
      <c r="G470">
        <v>6.8</v>
      </c>
      <c r="H470">
        <v>0.82352935999999999</v>
      </c>
      <c r="I470">
        <v>0.17647061999999999</v>
      </c>
      <c r="J470">
        <v>0.54838710000000002</v>
      </c>
    </row>
    <row r="471" spans="1:10" x14ac:dyDescent="0.3">
      <c r="A471">
        <v>469</v>
      </c>
      <c r="B471">
        <v>7481</v>
      </c>
      <c r="C471" t="b">
        <v>1</v>
      </c>
      <c r="D471">
        <v>8048</v>
      </c>
      <c r="E471">
        <v>8123</v>
      </c>
      <c r="F471">
        <v>6</v>
      </c>
      <c r="G471">
        <v>7.2</v>
      </c>
      <c r="H471">
        <v>0.8333334</v>
      </c>
      <c r="I471">
        <v>0.16666664</v>
      </c>
      <c r="J471">
        <v>0.54545456000000003</v>
      </c>
    </row>
    <row r="472" spans="1:10" x14ac:dyDescent="0.3">
      <c r="A472">
        <v>470</v>
      </c>
      <c r="B472">
        <v>7497</v>
      </c>
      <c r="C472" t="b">
        <v>1</v>
      </c>
      <c r="D472">
        <v>8048</v>
      </c>
      <c r="E472">
        <v>8123</v>
      </c>
      <c r="F472">
        <v>6.4</v>
      </c>
      <c r="G472">
        <v>7.2</v>
      </c>
      <c r="H472">
        <v>0.88888895999999995</v>
      </c>
      <c r="I472">
        <v>0.111111075</v>
      </c>
      <c r="J472">
        <v>0.52941172999999997</v>
      </c>
    </row>
    <row r="473" spans="1:10" x14ac:dyDescent="0.3">
      <c r="A473">
        <v>471</v>
      </c>
      <c r="B473">
        <v>7513</v>
      </c>
      <c r="C473" t="b">
        <v>1</v>
      </c>
      <c r="D473">
        <v>8048</v>
      </c>
      <c r="E473">
        <v>8117</v>
      </c>
      <c r="F473">
        <v>6.8</v>
      </c>
      <c r="G473">
        <v>7.2</v>
      </c>
      <c r="H473">
        <v>0.94444450000000002</v>
      </c>
      <c r="I473">
        <v>5.5555503999999999E-2</v>
      </c>
      <c r="J473">
        <v>0.51428569999999996</v>
      </c>
    </row>
    <row r="474" spans="1:10" x14ac:dyDescent="0.3">
      <c r="A474">
        <v>472</v>
      </c>
      <c r="B474">
        <v>7529</v>
      </c>
      <c r="C474" t="b">
        <v>1</v>
      </c>
      <c r="D474">
        <v>8054</v>
      </c>
      <c r="E474">
        <v>8129</v>
      </c>
      <c r="F474">
        <v>7.2</v>
      </c>
      <c r="G474">
        <v>7.2</v>
      </c>
      <c r="H474">
        <v>1</v>
      </c>
      <c r="I474">
        <v>0</v>
      </c>
      <c r="J474">
        <v>0.5</v>
      </c>
    </row>
    <row r="475" spans="1:10" x14ac:dyDescent="0.3">
      <c r="A475">
        <v>473</v>
      </c>
      <c r="B475">
        <v>7545</v>
      </c>
      <c r="C475" t="b">
        <v>1</v>
      </c>
      <c r="D475">
        <v>8048</v>
      </c>
      <c r="E475">
        <v>8123</v>
      </c>
      <c r="F475">
        <v>7.6</v>
      </c>
      <c r="G475">
        <v>7.6</v>
      </c>
      <c r="H475">
        <v>1</v>
      </c>
      <c r="I475">
        <v>0</v>
      </c>
      <c r="J475">
        <v>0.5</v>
      </c>
    </row>
    <row r="476" spans="1:10" x14ac:dyDescent="0.3">
      <c r="A476">
        <v>474</v>
      </c>
      <c r="B476">
        <v>7561</v>
      </c>
      <c r="C476" t="b">
        <v>1</v>
      </c>
      <c r="D476">
        <v>8048</v>
      </c>
      <c r="E476">
        <v>8117</v>
      </c>
      <c r="F476">
        <v>8</v>
      </c>
      <c r="G476">
        <v>8</v>
      </c>
      <c r="H476">
        <v>1</v>
      </c>
      <c r="I476">
        <v>0</v>
      </c>
      <c r="J476">
        <v>0.5</v>
      </c>
    </row>
    <row r="477" spans="1:10" x14ac:dyDescent="0.3">
      <c r="A477">
        <v>475</v>
      </c>
      <c r="B477">
        <v>7577</v>
      </c>
      <c r="C477" t="b">
        <v>1</v>
      </c>
      <c r="D477">
        <v>8048</v>
      </c>
      <c r="E477">
        <v>8123</v>
      </c>
      <c r="F477">
        <v>8</v>
      </c>
      <c r="G477">
        <v>8.4</v>
      </c>
      <c r="H477">
        <v>0.95238100000000003</v>
      </c>
      <c r="I477">
        <v>4.7619003999999999E-2</v>
      </c>
      <c r="J477">
        <v>0.51219510000000001</v>
      </c>
    </row>
    <row r="478" spans="1:10" x14ac:dyDescent="0.3">
      <c r="A478">
        <v>476</v>
      </c>
      <c r="B478">
        <v>7593</v>
      </c>
      <c r="C478" t="b">
        <v>1</v>
      </c>
      <c r="D478">
        <v>8048</v>
      </c>
      <c r="E478">
        <v>8123</v>
      </c>
      <c r="F478">
        <v>8</v>
      </c>
      <c r="G478">
        <v>8.8000000000000007</v>
      </c>
      <c r="H478">
        <v>0.90909090000000004</v>
      </c>
      <c r="I478">
        <v>9.0909110000000001E-2</v>
      </c>
      <c r="J478">
        <v>0.52380954999999996</v>
      </c>
    </row>
    <row r="479" spans="1:10" x14ac:dyDescent="0.3">
      <c r="A479">
        <v>477</v>
      </c>
      <c r="B479">
        <v>7609</v>
      </c>
      <c r="C479" t="b">
        <v>1</v>
      </c>
      <c r="D479">
        <v>8048</v>
      </c>
      <c r="E479">
        <v>8123</v>
      </c>
      <c r="F479">
        <v>8</v>
      </c>
      <c r="G479">
        <v>9.1999999999999993</v>
      </c>
      <c r="H479">
        <v>0.86956524999999996</v>
      </c>
      <c r="I479">
        <v>0.13043477000000001</v>
      </c>
      <c r="J479">
        <v>0.53488369999999996</v>
      </c>
    </row>
    <row r="480" spans="1:10" x14ac:dyDescent="0.3">
      <c r="A480">
        <v>478</v>
      </c>
      <c r="B480">
        <v>7625</v>
      </c>
      <c r="C480" t="b">
        <v>1</v>
      </c>
      <c r="D480">
        <v>8048</v>
      </c>
      <c r="E480">
        <v>8123</v>
      </c>
      <c r="F480">
        <v>8</v>
      </c>
      <c r="G480">
        <v>9.6</v>
      </c>
      <c r="H480">
        <v>0.83333330000000005</v>
      </c>
      <c r="I480">
        <v>0.1666667</v>
      </c>
      <c r="J480">
        <v>0.54545456000000003</v>
      </c>
    </row>
    <row r="481" spans="1:10" x14ac:dyDescent="0.3">
      <c r="A481">
        <v>479</v>
      </c>
      <c r="B481">
        <v>7641</v>
      </c>
      <c r="C481" t="b">
        <v>1</v>
      </c>
      <c r="D481">
        <v>8048</v>
      </c>
      <c r="E481">
        <v>8117</v>
      </c>
      <c r="F481">
        <v>8</v>
      </c>
      <c r="G481">
        <v>10</v>
      </c>
      <c r="H481">
        <v>0.8</v>
      </c>
      <c r="I481">
        <v>0.2</v>
      </c>
      <c r="J481">
        <v>0.55555560000000004</v>
      </c>
    </row>
    <row r="482" spans="1:10" x14ac:dyDescent="0.3">
      <c r="A482">
        <v>480</v>
      </c>
      <c r="B482">
        <v>7657</v>
      </c>
      <c r="C482" t="b">
        <v>1</v>
      </c>
      <c r="D482">
        <v>8054</v>
      </c>
      <c r="E482">
        <v>8123</v>
      </c>
      <c r="F482">
        <v>8</v>
      </c>
      <c r="G482">
        <v>9.6</v>
      </c>
      <c r="H482">
        <v>0.83333330000000005</v>
      </c>
      <c r="I482">
        <v>0.1666667</v>
      </c>
      <c r="J482">
        <v>0.54545456000000003</v>
      </c>
    </row>
    <row r="483" spans="1:10" x14ac:dyDescent="0.3">
      <c r="A483">
        <v>481</v>
      </c>
      <c r="B483">
        <v>7673</v>
      </c>
      <c r="C483" t="b">
        <v>1</v>
      </c>
      <c r="D483">
        <v>8048</v>
      </c>
      <c r="E483">
        <v>8123</v>
      </c>
      <c r="F483">
        <v>8</v>
      </c>
      <c r="G483">
        <v>9.1999999999999993</v>
      </c>
      <c r="H483">
        <v>0.86956524999999996</v>
      </c>
      <c r="I483">
        <v>0.13043477000000001</v>
      </c>
      <c r="J483">
        <v>0.53488369999999996</v>
      </c>
    </row>
    <row r="484" spans="1:10" x14ac:dyDescent="0.3">
      <c r="A484">
        <v>482</v>
      </c>
      <c r="B484">
        <v>7689</v>
      </c>
      <c r="C484" t="b">
        <v>1</v>
      </c>
      <c r="D484">
        <v>8048</v>
      </c>
      <c r="E484">
        <v>8123</v>
      </c>
      <c r="F484">
        <v>8</v>
      </c>
      <c r="G484">
        <v>8.8000000000000007</v>
      </c>
      <c r="H484">
        <v>0.90909090000000004</v>
      </c>
      <c r="I484">
        <v>9.0909110000000001E-2</v>
      </c>
      <c r="J484">
        <v>0.52380954999999996</v>
      </c>
    </row>
    <row r="485" spans="1:10" x14ac:dyDescent="0.3">
      <c r="A485">
        <v>483</v>
      </c>
      <c r="B485">
        <v>7704</v>
      </c>
      <c r="C485" t="b">
        <v>1</v>
      </c>
      <c r="D485">
        <v>8054</v>
      </c>
      <c r="E485">
        <v>8123</v>
      </c>
      <c r="F485">
        <v>8</v>
      </c>
      <c r="G485">
        <v>8.4</v>
      </c>
      <c r="H485">
        <v>0.95238100000000003</v>
      </c>
      <c r="I485">
        <v>4.7619003999999999E-2</v>
      </c>
      <c r="J485">
        <v>0.51219510000000001</v>
      </c>
    </row>
    <row r="486" spans="1:10" x14ac:dyDescent="0.3">
      <c r="A486">
        <v>484</v>
      </c>
      <c r="B486">
        <v>7720</v>
      </c>
      <c r="C486" t="b">
        <v>1</v>
      </c>
      <c r="D486">
        <v>8048</v>
      </c>
      <c r="E486">
        <v>8123</v>
      </c>
      <c r="F486">
        <v>8</v>
      </c>
      <c r="G486">
        <v>8</v>
      </c>
      <c r="H486">
        <v>1</v>
      </c>
      <c r="I486">
        <v>0</v>
      </c>
      <c r="J486">
        <v>0.5</v>
      </c>
    </row>
    <row r="487" spans="1:10" x14ac:dyDescent="0.3">
      <c r="A487">
        <v>485</v>
      </c>
      <c r="B487">
        <v>7736</v>
      </c>
      <c r="C487" t="b">
        <v>1</v>
      </c>
      <c r="D487">
        <v>8048</v>
      </c>
      <c r="E487">
        <v>8123</v>
      </c>
      <c r="F487">
        <v>8</v>
      </c>
      <c r="G487">
        <v>8</v>
      </c>
      <c r="H487">
        <v>1</v>
      </c>
      <c r="I487">
        <v>0</v>
      </c>
      <c r="J487">
        <v>0.5</v>
      </c>
    </row>
    <row r="488" spans="1:10" x14ac:dyDescent="0.3">
      <c r="A488">
        <v>486</v>
      </c>
      <c r="B488">
        <v>7752</v>
      </c>
      <c r="C488" t="b">
        <v>1</v>
      </c>
      <c r="D488">
        <v>8048</v>
      </c>
      <c r="E488">
        <v>8123</v>
      </c>
      <c r="F488">
        <v>8</v>
      </c>
      <c r="G488">
        <v>8</v>
      </c>
      <c r="H488">
        <v>1</v>
      </c>
      <c r="I488">
        <v>0</v>
      </c>
      <c r="J488">
        <v>0.5</v>
      </c>
    </row>
    <row r="489" spans="1:10" x14ac:dyDescent="0.3">
      <c r="A489">
        <v>487</v>
      </c>
      <c r="B489">
        <v>7768</v>
      </c>
      <c r="C489" t="b">
        <v>1</v>
      </c>
      <c r="D489">
        <v>8048</v>
      </c>
      <c r="E489">
        <v>8117</v>
      </c>
      <c r="F489">
        <v>8</v>
      </c>
      <c r="G489">
        <v>8</v>
      </c>
      <c r="H489">
        <v>1</v>
      </c>
      <c r="I489">
        <v>0</v>
      </c>
      <c r="J489">
        <v>0.5</v>
      </c>
    </row>
    <row r="490" spans="1:10" x14ac:dyDescent="0.3">
      <c r="A490">
        <v>488</v>
      </c>
      <c r="B490">
        <v>7784</v>
      </c>
      <c r="C490" t="b">
        <v>1</v>
      </c>
      <c r="D490">
        <v>8048</v>
      </c>
      <c r="E490">
        <v>8123</v>
      </c>
      <c r="F490">
        <v>8</v>
      </c>
      <c r="G490">
        <v>8</v>
      </c>
      <c r="H490">
        <v>1</v>
      </c>
      <c r="I490">
        <v>0</v>
      </c>
      <c r="J490">
        <v>0.5</v>
      </c>
    </row>
    <row r="491" spans="1:10" x14ac:dyDescent="0.3">
      <c r="A491">
        <v>489</v>
      </c>
      <c r="B491">
        <v>7800</v>
      </c>
      <c r="C491" t="b">
        <v>1</v>
      </c>
      <c r="D491">
        <v>8048</v>
      </c>
      <c r="E491">
        <v>8117</v>
      </c>
      <c r="F491">
        <v>8</v>
      </c>
      <c r="G491">
        <v>8</v>
      </c>
      <c r="H491">
        <v>1</v>
      </c>
      <c r="I491">
        <v>0</v>
      </c>
      <c r="J491">
        <v>0.5</v>
      </c>
    </row>
    <row r="492" spans="1:10" x14ac:dyDescent="0.3">
      <c r="A492">
        <v>490</v>
      </c>
      <c r="B492">
        <v>7816</v>
      </c>
      <c r="C492" t="b">
        <v>1</v>
      </c>
      <c r="D492">
        <v>8048</v>
      </c>
      <c r="E492">
        <v>8117</v>
      </c>
      <c r="F492">
        <v>8</v>
      </c>
      <c r="G492">
        <v>7.6</v>
      </c>
      <c r="H492">
        <v>1.0526316</v>
      </c>
      <c r="I492">
        <v>-5.2631589999999999E-2</v>
      </c>
      <c r="J492">
        <v>0.48717946000000001</v>
      </c>
    </row>
    <row r="493" spans="1:10" x14ac:dyDescent="0.3">
      <c r="A493">
        <v>491</v>
      </c>
      <c r="B493">
        <v>7832</v>
      </c>
      <c r="C493" t="b">
        <v>1</v>
      </c>
      <c r="D493">
        <v>8048</v>
      </c>
      <c r="E493">
        <v>8117</v>
      </c>
      <c r="F493">
        <v>8</v>
      </c>
      <c r="G493">
        <v>7.2</v>
      </c>
      <c r="H493">
        <v>1.1111112000000001</v>
      </c>
      <c r="I493">
        <v>-0.11111114</v>
      </c>
      <c r="J493">
        <v>0.4736842</v>
      </c>
    </row>
    <row r="494" spans="1:10" x14ac:dyDescent="0.3">
      <c r="A494">
        <v>492</v>
      </c>
      <c r="B494">
        <v>7848</v>
      </c>
      <c r="C494" t="b">
        <v>1</v>
      </c>
      <c r="D494">
        <v>8042</v>
      </c>
      <c r="E494">
        <v>8117</v>
      </c>
      <c r="F494">
        <v>8</v>
      </c>
      <c r="G494">
        <v>6.8</v>
      </c>
      <c r="H494">
        <v>1.1764705</v>
      </c>
      <c r="I494">
        <v>-0.17647055</v>
      </c>
      <c r="J494">
        <v>0.45945944999999999</v>
      </c>
    </row>
    <row r="495" spans="1:10" x14ac:dyDescent="0.3">
      <c r="A495">
        <v>493</v>
      </c>
      <c r="B495">
        <v>7864</v>
      </c>
      <c r="C495" t="b">
        <v>1</v>
      </c>
      <c r="D495">
        <v>8048</v>
      </c>
      <c r="E495">
        <v>8117</v>
      </c>
      <c r="F495">
        <v>8</v>
      </c>
      <c r="G495">
        <v>6.4</v>
      </c>
      <c r="H495">
        <v>1.25</v>
      </c>
      <c r="I495">
        <v>-0.24999999000000001</v>
      </c>
      <c r="J495">
        <v>0.44444447999999998</v>
      </c>
    </row>
    <row r="496" spans="1:10" x14ac:dyDescent="0.3">
      <c r="A496">
        <v>494</v>
      </c>
      <c r="B496">
        <v>7880</v>
      </c>
      <c r="C496" t="b">
        <v>1</v>
      </c>
      <c r="D496">
        <v>8048</v>
      </c>
      <c r="E496">
        <v>8129</v>
      </c>
      <c r="F496">
        <v>8</v>
      </c>
      <c r="G496">
        <v>6</v>
      </c>
      <c r="H496">
        <v>1.3333333999999999</v>
      </c>
      <c r="I496">
        <v>-0.33333333999999998</v>
      </c>
      <c r="J496">
        <v>0.42857142999999998</v>
      </c>
    </row>
    <row r="497" spans="1:10" x14ac:dyDescent="0.3">
      <c r="A497">
        <v>495</v>
      </c>
      <c r="B497">
        <v>7895</v>
      </c>
      <c r="C497" t="b">
        <v>1</v>
      </c>
      <c r="D497">
        <v>8048</v>
      </c>
      <c r="E497">
        <v>8129</v>
      </c>
      <c r="F497">
        <v>8</v>
      </c>
      <c r="G497">
        <v>5.6</v>
      </c>
      <c r="H497">
        <v>1.4285715000000001</v>
      </c>
      <c r="I497">
        <v>-0.42857146000000002</v>
      </c>
      <c r="J497">
        <v>0.41176467999999999</v>
      </c>
    </row>
    <row r="498" spans="1:10" x14ac:dyDescent="0.3">
      <c r="A498">
        <v>496</v>
      </c>
      <c r="B498">
        <v>7911</v>
      </c>
      <c r="C498" t="b">
        <v>1</v>
      </c>
      <c r="D498">
        <v>8054</v>
      </c>
      <c r="E498">
        <v>8129</v>
      </c>
      <c r="F498">
        <v>8</v>
      </c>
      <c r="G498">
        <v>6</v>
      </c>
      <c r="H498">
        <v>1.3333333999999999</v>
      </c>
      <c r="I498">
        <v>-0.33333333999999998</v>
      </c>
      <c r="J498">
        <v>0.42857142999999998</v>
      </c>
    </row>
    <row r="499" spans="1:10" x14ac:dyDescent="0.3">
      <c r="A499">
        <v>497</v>
      </c>
      <c r="B499">
        <v>7927</v>
      </c>
      <c r="C499" t="b">
        <v>1</v>
      </c>
      <c r="D499">
        <v>8048</v>
      </c>
      <c r="E499">
        <v>8123</v>
      </c>
      <c r="F499">
        <v>8</v>
      </c>
      <c r="G499">
        <v>6.4</v>
      </c>
      <c r="H499">
        <v>1.25</v>
      </c>
      <c r="I499">
        <v>-0.24999999000000001</v>
      </c>
      <c r="J499">
        <v>0.44444447999999998</v>
      </c>
    </row>
    <row r="500" spans="1:10" x14ac:dyDescent="0.3">
      <c r="A500">
        <v>498</v>
      </c>
      <c r="B500">
        <v>7943</v>
      </c>
      <c r="C500" t="b">
        <v>1</v>
      </c>
      <c r="D500">
        <v>8054</v>
      </c>
      <c r="E500">
        <v>8123</v>
      </c>
      <c r="F500">
        <v>8</v>
      </c>
      <c r="G500">
        <v>6.8</v>
      </c>
      <c r="H500">
        <v>1.1764705</v>
      </c>
      <c r="I500">
        <v>-0.17647055</v>
      </c>
      <c r="J500">
        <v>0.45945944999999999</v>
      </c>
    </row>
    <row r="501" spans="1:10" x14ac:dyDescent="0.3">
      <c r="A501">
        <v>499</v>
      </c>
      <c r="B501">
        <v>7959</v>
      </c>
      <c r="C501" t="b">
        <v>1</v>
      </c>
      <c r="D501">
        <v>8048</v>
      </c>
      <c r="E501">
        <v>8123</v>
      </c>
      <c r="F501">
        <v>8</v>
      </c>
      <c r="G501">
        <v>6.8</v>
      </c>
      <c r="H501">
        <v>1.1764705</v>
      </c>
      <c r="I501">
        <v>-0.17647055</v>
      </c>
      <c r="J501">
        <v>0.45945944999999999</v>
      </c>
    </row>
    <row r="502" spans="1:10" x14ac:dyDescent="0.3">
      <c r="A502">
        <v>500</v>
      </c>
      <c r="B502">
        <v>7975</v>
      </c>
      <c r="C502" t="b">
        <v>1</v>
      </c>
      <c r="D502">
        <v>8054</v>
      </c>
      <c r="E502">
        <v>8123</v>
      </c>
      <c r="F502">
        <v>8.4</v>
      </c>
      <c r="G502">
        <v>6.8</v>
      </c>
      <c r="H502">
        <v>1.2352939999999999</v>
      </c>
      <c r="I502">
        <v>-0.23529402999999999</v>
      </c>
      <c r="J502">
        <v>0.44736843999999998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5360-A12A-4D96-AF3D-B99FEE303019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8117</v>
      </c>
      <c r="F2">
        <v>8</v>
      </c>
      <c r="G2">
        <v>2</v>
      </c>
      <c r="H2">
        <v>4</v>
      </c>
      <c r="I2">
        <v>-3</v>
      </c>
      <c r="J2">
        <v>0.2</v>
      </c>
    </row>
    <row r="3" spans="1:10" x14ac:dyDescent="0.3">
      <c r="A3">
        <v>1</v>
      </c>
      <c r="B3">
        <v>16</v>
      </c>
      <c r="C3" t="b">
        <v>1</v>
      </c>
      <c r="D3">
        <v>8048</v>
      </c>
      <c r="E3">
        <v>8117</v>
      </c>
      <c r="F3">
        <v>8</v>
      </c>
      <c r="G3">
        <v>2</v>
      </c>
      <c r="H3">
        <v>4</v>
      </c>
      <c r="I3">
        <v>-3</v>
      </c>
      <c r="J3">
        <v>0.2</v>
      </c>
    </row>
    <row r="4" spans="1:10" x14ac:dyDescent="0.3">
      <c r="A4">
        <v>2</v>
      </c>
      <c r="B4">
        <v>32</v>
      </c>
      <c r="C4" t="b">
        <v>1</v>
      </c>
      <c r="D4">
        <v>8048</v>
      </c>
      <c r="E4">
        <v>8123</v>
      </c>
      <c r="F4">
        <v>8</v>
      </c>
      <c r="G4">
        <v>2</v>
      </c>
      <c r="H4">
        <v>4</v>
      </c>
      <c r="I4">
        <v>-3</v>
      </c>
      <c r="J4">
        <v>0.2</v>
      </c>
    </row>
    <row r="5" spans="1:10" x14ac:dyDescent="0.3">
      <c r="A5">
        <v>3</v>
      </c>
      <c r="B5">
        <v>48</v>
      </c>
      <c r="C5" t="b">
        <v>1</v>
      </c>
      <c r="D5">
        <v>8048</v>
      </c>
      <c r="E5">
        <v>8123</v>
      </c>
      <c r="F5">
        <v>8</v>
      </c>
      <c r="G5">
        <v>3.5</v>
      </c>
      <c r="H5">
        <v>2.2857143999999998</v>
      </c>
      <c r="I5">
        <v>-1.2857143</v>
      </c>
      <c r="J5">
        <v>0.3043478</v>
      </c>
    </row>
    <row r="6" spans="1:10" x14ac:dyDescent="0.3">
      <c r="A6">
        <v>4</v>
      </c>
      <c r="B6">
        <v>63</v>
      </c>
      <c r="C6" t="b">
        <v>1</v>
      </c>
      <c r="D6">
        <v>8048</v>
      </c>
      <c r="E6">
        <v>8123</v>
      </c>
      <c r="F6">
        <v>8</v>
      </c>
      <c r="G6">
        <v>4.4000000000000004</v>
      </c>
      <c r="H6">
        <v>1.8181818000000001</v>
      </c>
      <c r="I6">
        <v>-0.81818175000000004</v>
      </c>
      <c r="J6">
        <v>0.35483872999999999</v>
      </c>
    </row>
    <row r="7" spans="1:10" x14ac:dyDescent="0.3">
      <c r="A7">
        <v>5</v>
      </c>
      <c r="B7">
        <v>79</v>
      </c>
      <c r="C7" t="b">
        <v>1</v>
      </c>
      <c r="D7">
        <v>8048</v>
      </c>
      <c r="E7">
        <v>8123</v>
      </c>
      <c r="F7">
        <v>8</v>
      </c>
      <c r="G7">
        <v>5</v>
      </c>
      <c r="H7">
        <v>1.6</v>
      </c>
      <c r="I7">
        <v>-0.6</v>
      </c>
      <c r="J7">
        <v>0.3846154</v>
      </c>
    </row>
    <row r="8" spans="1:10" x14ac:dyDescent="0.3">
      <c r="A8">
        <v>6</v>
      </c>
      <c r="B8">
        <v>95</v>
      </c>
      <c r="C8" t="b">
        <v>1</v>
      </c>
      <c r="D8">
        <v>8048</v>
      </c>
      <c r="E8">
        <v>8123</v>
      </c>
      <c r="F8">
        <v>8</v>
      </c>
      <c r="G8">
        <v>5.4285709999999998</v>
      </c>
      <c r="H8">
        <v>1.4736842999999999</v>
      </c>
      <c r="I8">
        <v>-0.47368424999999997</v>
      </c>
      <c r="J8">
        <v>0.40425529999999998</v>
      </c>
    </row>
    <row r="9" spans="1:10" x14ac:dyDescent="0.3">
      <c r="A9">
        <v>7</v>
      </c>
      <c r="B9">
        <v>111</v>
      </c>
      <c r="C9" t="b">
        <v>1</v>
      </c>
      <c r="D9">
        <v>8048</v>
      </c>
      <c r="E9">
        <v>8129</v>
      </c>
      <c r="F9">
        <v>8</v>
      </c>
      <c r="G9">
        <v>5.75</v>
      </c>
      <c r="H9">
        <v>1.3913044000000001</v>
      </c>
      <c r="I9">
        <v>-0.39130433999999997</v>
      </c>
      <c r="J9">
        <v>0.41818179999999999</v>
      </c>
    </row>
    <row r="10" spans="1:10" x14ac:dyDescent="0.3">
      <c r="A10">
        <v>8</v>
      </c>
      <c r="B10">
        <v>126</v>
      </c>
      <c r="C10" t="b">
        <v>1</v>
      </c>
      <c r="D10">
        <v>8048</v>
      </c>
      <c r="E10">
        <v>8123</v>
      </c>
      <c r="F10">
        <v>8</v>
      </c>
      <c r="G10">
        <v>6</v>
      </c>
      <c r="H10">
        <v>1.3333333999999999</v>
      </c>
      <c r="I10">
        <v>-0.33333333999999998</v>
      </c>
      <c r="J10">
        <v>0.42857142999999998</v>
      </c>
    </row>
    <row r="11" spans="1:10" x14ac:dyDescent="0.3">
      <c r="A11">
        <v>9</v>
      </c>
      <c r="B11">
        <v>142</v>
      </c>
      <c r="C11" t="b">
        <v>1</v>
      </c>
      <c r="D11">
        <v>8048</v>
      </c>
      <c r="E11">
        <v>8129</v>
      </c>
      <c r="F11">
        <v>8</v>
      </c>
      <c r="G11">
        <v>6.2</v>
      </c>
      <c r="H11">
        <v>1.2903226999999999</v>
      </c>
      <c r="I11">
        <v>-0.29032263000000003</v>
      </c>
      <c r="J11">
        <v>0.4366197</v>
      </c>
    </row>
    <row r="12" spans="1:10" x14ac:dyDescent="0.3">
      <c r="A12">
        <v>10</v>
      </c>
      <c r="B12">
        <v>158</v>
      </c>
      <c r="C12" t="b">
        <v>1</v>
      </c>
      <c r="D12">
        <v>8048</v>
      </c>
      <c r="E12">
        <v>8123</v>
      </c>
      <c r="F12">
        <v>8</v>
      </c>
      <c r="G12">
        <v>6.3636365000000001</v>
      </c>
      <c r="H12">
        <v>1.2571428</v>
      </c>
      <c r="I12">
        <v>-0.25714283999999998</v>
      </c>
      <c r="J12">
        <v>0.44303799999999999</v>
      </c>
    </row>
    <row r="13" spans="1:10" x14ac:dyDescent="0.3">
      <c r="A13">
        <v>11</v>
      </c>
      <c r="B13">
        <v>174</v>
      </c>
      <c r="C13" t="b">
        <v>1</v>
      </c>
      <c r="D13">
        <v>8048</v>
      </c>
      <c r="E13">
        <v>8123</v>
      </c>
      <c r="F13">
        <v>8</v>
      </c>
      <c r="G13">
        <v>6.5</v>
      </c>
      <c r="H13">
        <v>1.2307693</v>
      </c>
      <c r="I13">
        <v>-0.23076922999999999</v>
      </c>
      <c r="J13">
        <v>0.44827586000000003</v>
      </c>
    </row>
    <row r="14" spans="1:10" x14ac:dyDescent="0.3">
      <c r="A14">
        <v>12</v>
      </c>
      <c r="B14">
        <v>189</v>
      </c>
      <c r="C14" t="b">
        <v>1</v>
      </c>
      <c r="D14">
        <v>8048</v>
      </c>
      <c r="E14">
        <v>8123</v>
      </c>
      <c r="F14">
        <v>8</v>
      </c>
      <c r="G14">
        <v>6.6153845999999996</v>
      </c>
      <c r="H14">
        <v>1.2093023000000001</v>
      </c>
      <c r="I14">
        <v>-0.20930234</v>
      </c>
      <c r="J14">
        <v>0.45263155999999999</v>
      </c>
    </row>
    <row r="15" spans="1:10" x14ac:dyDescent="0.3">
      <c r="A15">
        <v>13</v>
      </c>
      <c r="B15">
        <v>205</v>
      </c>
      <c r="C15" t="b">
        <v>1</v>
      </c>
      <c r="D15">
        <v>8048</v>
      </c>
      <c r="E15">
        <v>8123</v>
      </c>
      <c r="F15">
        <v>8</v>
      </c>
      <c r="G15">
        <v>6.7142860000000004</v>
      </c>
      <c r="H15">
        <v>1.1914893</v>
      </c>
      <c r="I15">
        <v>-0.19148934000000001</v>
      </c>
      <c r="J15">
        <v>0.45631070000000001</v>
      </c>
    </row>
    <row r="16" spans="1:10" x14ac:dyDescent="0.3">
      <c r="A16">
        <v>14</v>
      </c>
      <c r="B16">
        <v>221</v>
      </c>
      <c r="C16" t="b">
        <v>1</v>
      </c>
      <c r="D16">
        <v>8048</v>
      </c>
      <c r="E16">
        <v>8123</v>
      </c>
      <c r="F16">
        <v>8</v>
      </c>
      <c r="G16">
        <v>6.8</v>
      </c>
      <c r="H16">
        <v>1.1764705</v>
      </c>
      <c r="I16">
        <v>-0.17647055</v>
      </c>
      <c r="J16">
        <v>0.45945944999999999</v>
      </c>
    </row>
    <row r="17" spans="1:10" x14ac:dyDescent="0.3">
      <c r="A17">
        <v>15</v>
      </c>
      <c r="B17">
        <v>237</v>
      </c>
      <c r="C17" t="b">
        <v>1</v>
      </c>
      <c r="D17">
        <v>8054</v>
      </c>
      <c r="E17">
        <v>8123</v>
      </c>
      <c r="F17">
        <v>8</v>
      </c>
      <c r="G17">
        <v>7.2</v>
      </c>
      <c r="H17">
        <v>1.1111112000000001</v>
      </c>
      <c r="I17">
        <v>-0.11111114</v>
      </c>
      <c r="J17">
        <v>0.4736842</v>
      </c>
    </row>
    <row r="18" spans="1:10" x14ac:dyDescent="0.3">
      <c r="A18">
        <v>16</v>
      </c>
      <c r="B18">
        <v>253</v>
      </c>
      <c r="C18" t="b">
        <v>1</v>
      </c>
      <c r="D18">
        <v>8048</v>
      </c>
      <c r="E18">
        <v>8123</v>
      </c>
      <c r="F18">
        <v>8</v>
      </c>
      <c r="G18">
        <v>7.6</v>
      </c>
      <c r="H18">
        <v>1.0526316</v>
      </c>
      <c r="I18">
        <v>-5.2631589999999999E-2</v>
      </c>
      <c r="J18">
        <v>0.48717946000000001</v>
      </c>
    </row>
    <row r="19" spans="1:10" x14ac:dyDescent="0.3">
      <c r="A19">
        <v>17</v>
      </c>
      <c r="B19">
        <v>269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285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301</v>
      </c>
      <c r="C21" t="b">
        <v>1</v>
      </c>
      <c r="D21">
        <v>8054</v>
      </c>
      <c r="E21">
        <v>8123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317</v>
      </c>
      <c r="C22" t="b">
        <v>1</v>
      </c>
      <c r="D22">
        <v>8054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332</v>
      </c>
      <c r="C23" t="b">
        <v>1</v>
      </c>
      <c r="D23">
        <v>8048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349</v>
      </c>
      <c r="C24" t="b">
        <v>1</v>
      </c>
      <c r="D24">
        <v>8042</v>
      </c>
      <c r="E24">
        <v>8129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364</v>
      </c>
      <c r="C25" t="b">
        <v>1</v>
      </c>
      <c r="D25">
        <v>8042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380</v>
      </c>
      <c r="C26" t="b">
        <v>1</v>
      </c>
      <c r="D26">
        <v>8042</v>
      </c>
      <c r="E26">
        <v>8123</v>
      </c>
      <c r="F26">
        <v>7.6</v>
      </c>
      <c r="G26">
        <v>8</v>
      </c>
      <c r="H26">
        <v>0.95</v>
      </c>
      <c r="I26">
        <v>5.0000012000000003E-2</v>
      </c>
      <c r="J26">
        <v>0.51282050000000001</v>
      </c>
    </row>
    <row r="27" spans="1:10" x14ac:dyDescent="0.3">
      <c r="A27">
        <v>25</v>
      </c>
      <c r="B27">
        <v>396</v>
      </c>
      <c r="C27" t="b">
        <v>1</v>
      </c>
      <c r="D27">
        <v>8042</v>
      </c>
      <c r="E27">
        <v>8123</v>
      </c>
      <c r="F27">
        <v>7.2</v>
      </c>
      <c r="G27">
        <v>8</v>
      </c>
      <c r="H27">
        <v>0.9</v>
      </c>
      <c r="I27">
        <v>0.10000002400000001</v>
      </c>
      <c r="J27">
        <v>0.5263158</v>
      </c>
    </row>
    <row r="28" spans="1:10" x14ac:dyDescent="0.3">
      <c r="A28">
        <v>26</v>
      </c>
      <c r="B28">
        <v>412</v>
      </c>
      <c r="C28" t="b">
        <v>1</v>
      </c>
      <c r="D28">
        <v>8042</v>
      </c>
      <c r="E28">
        <v>8123</v>
      </c>
      <c r="F28">
        <v>6.8</v>
      </c>
      <c r="G28">
        <v>8</v>
      </c>
      <c r="H28">
        <v>0.85</v>
      </c>
      <c r="I28">
        <v>0.14999998</v>
      </c>
      <c r="J28">
        <v>0.54054049999999998</v>
      </c>
    </row>
    <row r="29" spans="1:10" x14ac:dyDescent="0.3">
      <c r="A29">
        <v>27</v>
      </c>
      <c r="B29">
        <v>428</v>
      </c>
      <c r="C29" t="b">
        <v>1</v>
      </c>
      <c r="D29">
        <v>8042</v>
      </c>
      <c r="E29">
        <v>8111</v>
      </c>
      <c r="F29">
        <v>6.4</v>
      </c>
      <c r="G29">
        <v>8</v>
      </c>
      <c r="H29">
        <v>0.8</v>
      </c>
      <c r="I29">
        <v>0.19999998999999999</v>
      </c>
      <c r="J29">
        <v>0.55555560000000004</v>
      </c>
    </row>
    <row r="30" spans="1:10" x14ac:dyDescent="0.3">
      <c r="A30">
        <v>28</v>
      </c>
      <c r="B30">
        <v>444</v>
      </c>
      <c r="C30" t="b">
        <v>1</v>
      </c>
      <c r="D30">
        <v>8042</v>
      </c>
      <c r="E30">
        <v>8117</v>
      </c>
      <c r="F30">
        <v>6</v>
      </c>
      <c r="G30">
        <v>8</v>
      </c>
      <c r="H30">
        <v>0.75</v>
      </c>
      <c r="I30">
        <v>0.25</v>
      </c>
      <c r="J30">
        <v>0.57142859999999995</v>
      </c>
    </row>
    <row r="31" spans="1:10" x14ac:dyDescent="0.3">
      <c r="A31">
        <v>29</v>
      </c>
      <c r="B31">
        <v>460</v>
      </c>
      <c r="C31" t="b">
        <v>1</v>
      </c>
      <c r="D31">
        <v>8048</v>
      </c>
      <c r="E31">
        <v>8117</v>
      </c>
      <c r="F31">
        <v>5.6</v>
      </c>
      <c r="G31">
        <v>7.6</v>
      </c>
      <c r="H31">
        <v>0.73684210000000006</v>
      </c>
      <c r="I31">
        <v>0.2631579</v>
      </c>
      <c r="J31">
        <v>0.57575756</v>
      </c>
    </row>
    <row r="32" spans="1:10" x14ac:dyDescent="0.3">
      <c r="A32">
        <v>30</v>
      </c>
      <c r="B32">
        <v>475</v>
      </c>
      <c r="C32" t="b">
        <v>1</v>
      </c>
      <c r="D32">
        <v>8054</v>
      </c>
      <c r="E32">
        <v>8117</v>
      </c>
      <c r="F32">
        <v>5.2</v>
      </c>
      <c r="G32">
        <v>7.2</v>
      </c>
      <c r="H32">
        <v>0.72222220000000004</v>
      </c>
      <c r="I32">
        <v>0.27777780000000002</v>
      </c>
      <c r="J32">
        <v>0.58064514</v>
      </c>
    </row>
    <row r="33" spans="1:10" x14ac:dyDescent="0.3">
      <c r="A33">
        <v>31</v>
      </c>
      <c r="B33">
        <v>491</v>
      </c>
      <c r="C33" t="b">
        <v>1</v>
      </c>
      <c r="D33">
        <v>8048</v>
      </c>
      <c r="E33">
        <v>8117</v>
      </c>
      <c r="F33">
        <v>5.2</v>
      </c>
      <c r="G33">
        <v>6.8</v>
      </c>
      <c r="H33">
        <v>0.76470583999999997</v>
      </c>
      <c r="I33">
        <v>0.23529416</v>
      </c>
      <c r="J33">
        <v>0.56666665999999999</v>
      </c>
    </row>
    <row r="34" spans="1:10" x14ac:dyDescent="0.3">
      <c r="A34">
        <v>32</v>
      </c>
      <c r="B34">
        <v>507</v>
      </c>
      <c r="C34" t="b">
        <v>1</v>
      </c>
      <c r="D34">
        <v>8054</v>
      </c>
      <c r="E34">
        <v>8117</v>
      </c>
      <c r="F34">
        <v>5.2</v>
      </c>
      <c r="G34">
        <v>6.4</v>
      </c>
      <c r="H34">
        <v>0.81249994000000003</v>
      </c>
      <c r="I34">
        <v>0.18750004000000001</v>
      </c>
      <c r="J34">
        <v>0.55172414000000003</v>
      </c>
    </row>
    <row r="35" spans="1:10" x14ac:dyDescent="0.3">
      <c r="A35">
        <v>33</v>
      </c>
      <c r="B35">
        <v>523</v>
      </c>
      <c r="C35" t="b">
        <v>1</v>
      </c>
      <c r="D35">
        <v>8048</v>
      </c>
      <c r="E35">
        <v>8123</v>
      </c>
      <c r="F35">
        <v>5.2</v>
      </c>
      <c r="G35">
        <v>6</v>
      </c>
      <c r="H35">
        <v>0.86666659999999995</v>
      </c>
      <c r="I35">
        <v>0.13333337000000001</v>
      </c>
      <c r="J35">
        <v>0.53571427000000005</v>
      </c>
    </row>
    <row r="36" spans="1:10" x14ac:dyDescent="0.3">
      <c r="A36">
        <v>34</v>
      </c>
      <c r="B36">
        <v>539</v>
      </c>
      <c r="C36" t="b">
        <v>1</v>
      </c>
      <c r="D36">
        <v>8054</v>
      </c>
      <c r="E36">
        <v>8123</v>
      </c>
      <c r="F36">
        <v>5.6</v>
      </c>
      <c r="G36">
        <v>5.6</v>
      </c>
      <c r="H36">
        <v>1</v>
      </c>
      <c r="I36">
        <v>0</v>
      </c>
      <c r="J36">
        <v>0.5</v>
      </c>
    </row>
    <row r="37" spans="1:10" x14ac:dyDescent="0.3">
      <c r="A37">
        <v>35</v>
      </c>
      <c r="B37">
        <v>555</v>
      </c>
      <c r="C37" t="b">
        <v>1</v>
      </c>
      <c r="D37">
        <v>8054</v>
      </c>
      <c r="E37">
        <v>8123</v>
      </c>
      <c r="F37">
        <v>6</v>
      </c>
      <c r="G37">
        <v>5.6</v>
      </c>
      <c r="H37">
        <v>1.0714284999999999</v>
      </c>
      <c r="I37">
        <v>-7.142859E-2</v>
      </c>
      <c r="J37">
        <v>0.48275859999999998</v>
      </c>
    </row>
    <row r="38" spans="1:10" x14ac:dyDescent="0.3">
      <c r="A38">
        <v>36</v>
      </c>
      <c r="B38">
        <v>571</v>
      </c>
      <c r="C38" t="b">
        <v>1</v>
      </c>
      <c r="D38">
        <v>8048</v>
      </c>
      <c r="E38">
        <v>8123</v>
      </c>
      <c r="F38">
        <v>6.4</v>
      </c>
      <c r="G38">
        <v>5.6</v>
      </c>
      <c r="H38">
        <v>1.1428571999999999</v>
      </c>
      <c r="I38">
        <v>-0.14285718</v>
      </c>
      <c r="J38">
        <v>0.46666667000000001</v>
      </c>
    </row>
    <row r="39" spans="1:10" x14ac:dyDescent="0.3">
      <c r="A39">
        <v>37</v>
      </c>
      <c r="B39">
        <v>587</v>
      </c>
      <c r="C39" t="b">
        <v>1</v>
      </c>
      <c r="D39">
        <v>8048</v>
      </c>
      <c r="E39">
        <v>8123</v>
      </c>
      <c r="F39">
        <v>6.4</v>
      </c>
      <c r="G39">
        <v>5.6</v>
      </c>
      <c r="H39">
        <v>1.1428571999999999</v>
      </c>
      <c r="I39">
        <v>-0.14285718</v>
      </c>
      <c r="J39">
        <v>0.46666667000000001</v>
      </c>
    </row>
    <row r="40" spans="1:10" x14ac:dyDescent="0.3">
      <c r="A40">
        <v>38</v>
      </c>
      <c r="B40">
        <v>603</v>
      </c>
      <c r="C40" t="b">
        <v>1</v>
      </c>
      <c r="D40">
        <v>8048</v>
      </c>
      <c r="E40">
        <v>8129</v>
      </c>
      <c r="F40">
        <v>6.4</v>
      </c>
      <c r="G40">
        <v>5.6</v>
      </c>
      <c r="H40">
        <v>1.1428571999999999</v>
      </c>
      <c r="I40">
        <v>-0.14285718</v>
      </c>
      <c r="J40">
        <v>0.46666667000000001</v>
      </c>
    </row>
    <row r="41" spans="1:10" x14ac:dyDescent="0.3">
      <c r="A41">
        <v>39</v>
      </c>
      <c r="B41">
        <v>619</v>
      </c>
      <c r="C41" t="b">
        <v>1</v>
      </c>
      <c r="D41">
        <v>8048</v>
      </c>
      <c r="E41">
        <v>8123</v>
      </c>
      <c r="F41">
        <v>6.8</v>
      </c>
      <c r="G41">
        <v>5.6</v>
      </c>
      <c r="H41">
        <v>1.2142857</v>
      </c>
      <c r="I41">
        <v>-0.21428578000000001</v>
      </c>
      <c r="J41">
        <v>0.45161291999999997</v>
      </c>
    </row>
    <row r="42" spans="1:10" x14ac:dyDescent="0.3">
      <c r="A42">
        <v>40</v>
      </c>
      <c r="B42">
        <v>635</v>
      </c>
      <c r="C42" t="b">
        <v>1</v>
      </c>
      <c r="D42">
        <v>8054</v>
      </c>
      <c r="E42">
        <v>8123</v>
      </c>
      <c r="F42">
        <v>7.2</v>
      </c>
      <c r="G42">
        <v>5.6</v>
      </c>
      <c r="H42">
        <v>1.2857143</v>
      </c>
      <c r="I42">
        <v>-0.28571426999999999</v>
      </c>
      <c r="J42">
        <v>0.43750002999999998</v>
      </c>
    </row>
    <row r="43" spans="1:10" x14ac:dyDescent="0.3">
      <c r="A43">
        <v>41</v>
      </c>
      <c r="B43">
        <v>651</v>
      </c>
      <c r="C43" t="b">
        <v>1</v>
      </c>
      <c r="D43">
        <v>8048</v>
      </c>
      <c r="E43">
        <v>8123</v>
      </c>
      <c r="F43">
        <v>7.6</v>
      </c>
      <c r="G43">
        <v>5.6</v>
      </c>
      <c r="H43">
        <v>1.3571428000000001</v>
      </c>
      <c r="I43">
        <v>-0.35714287</v>
      </c>
      <c r="J43">
        <v>0.42424244</v>
      </c>
    </row>
    <row r="44" spans="1:10" x14ac:dyDescent="0.3">
      <c r="A44">
        <v>42</v>
      </c>
      <c r="B44">
        <v>667</v>
      </c>
      <c r="C44" t="b">
        <v>1</v>
      </c>
      <c r="D44">
        <v>8048</v>
      </c>
      <c r="E44">
        <v>8123</v>
      </c>
      <c r="F44">
        <v>8</v>
      </c>
      <c r="G44">
        <v>5.6</v>
      </c>
      <c r="H44">
        <v>1.4285715000000001</v>
      </c>
      <c r="I44">
        <v>-0.42857146000000002</v>
      </c>
      <c r="J44">
        <v>0.41176467999999999</v>
      </c>
    </row>
    <row r="45" spans="1:10" x14ac:dyDescent="0.3">
      <c r="A45">
        <v>43</v>
      </c>
      <c r="B45">
        <v>683</v>
      </c>
      <c r="C45" t="b">
        <v>1</v>
      </c>
      <c r="D45">
        <v>8048</v>
      </c>
      <c r="E45">
        <v>8123</v>
      </c>
      <c r="F45">
        <v>8.4</v>
      </c>
      <c r="G45">
        <v>5.6</v>
      </c>
      <c r="H45">
        <v>1.5</v>
      </c>
      <c r="I45">
        <v>-0.49999997000000002</v>
      </c>
      <c r="J45">
        <v>0.4</v>
      </c>
    </row>
    <row r="46" spans="1:10" x14ac:dyDescent="0.3">
      <c r="A46">
        <v>44</v>
      </c>
      <c r="B46">
        <v>699</v>
      </c>
      <c r="C46" t="b">
        <v>1</v>
      </c>
      <c r="D46">
        <v>8054</v>
      </c>
      <c r="E46">
        <v>8123</v>
      </c>
      <c r="F46">
        <v>8.8000000000000007</v>
      </c>
      <c r="G46">
        <v>6</v>
      </c>
      <c r="H46">
        <v>1.4666667</v>
      </c>
      <c r="I46">
        <v>-0.46666669999999999</v>
      </c>
      <c r="J46">
        <v>0.40540540000000003</v>
      </c>
    </row>
    <row r="47" spans="1:10" x14ac:dyDescent="0.3">
      <c r="A47">
        <v>45</v>
      </c>
      <c r="B47">
        <v>714</v>
      </c>
      <c r="C47" t="b">
        <v>1</v>
      </c>
      <c r="D47">
        <v>8048</v>
      </c>
      <c r="E47">
        <v>8123</v>
      </c>
      <c r="F47">
        <v>9.1999999999999993</v>
      </c>
      <c r="G47">
        <v>6.4</v>
      </c>
      <c r="H47">
        <v>1.4375</v>
      </c>
      <c r="I47">
        <v>-0.43749993999999998</v>
      </c>
      <c r="J47">
        <v>0.41025642000000001</v>
      </c>
    </row>
    <row r="48" spans="1:10" x14ac:dyDescent="0.3">
      <c r="A48">
        <v>46</v>
      </c>
      <c r="B48">
        <v>730</v>
      </c>
      <c r="C48" t="b">
        <v>1</v>
      </c>
      <c r="D48">
        <v>8048</v>
      </c>
      <c r="E48">
        <v>8123</v>
      </c>
      <c r="F48">
        <v>9.1999999999999993</v>
      </c>
      <c r="G48">
        <v>6.8</v>
      </c>
      <c r="H48">
        <v>1.3529412000000001</v>
      </c>
      <c r="I48">
        <v>-0.35294110000000001</v>
      </c>
      <c r="J48">
        <v>0.42499999999999999</v>
      </c>
    </row>
    <row r="49" spans="1:10" x14ac:dyDescent="0.3">
      <c r="A49">
        <v>47</v>
      </c>
      <c r="B49">
        <v>746</v>
      </c>
      <c r="C49" t="b">
        <v>1</v>
      </c>
      <c r="D49">
        <v>8048</v>
      </c>
      <c r="E49">
        <v>8123</v>
      </c>
      <c r="F49">
        <v>9.1999999999999993</v>
      </c>
      <c r="G49">
        <v>7.2</v>
      </c>
      <c r="H49">
        <v>1.2777778</v>
      </c>
      <c r="I49">
        <v>-0.27777780000000002</v>
      </c>
      <c r="J49">
        <v>0.43902439999999998</v>
      </c>
    </row>
    <row r="50" spans="1:10" x14ac:dyDescent="0.3">
      <c r="A50">
        <v>48</v>
      </c>
      <c r="B50">
        <v>762</v>
      </c>
      <c r="C50" t="b">
        <v>1</v>
      </c>
      <c r="D50">
        <v>8048</v>
      </c>
      <c r="E50">
        <v>8123</v>
      </c>
      <c r="F50">
        <v>9.1999999999999993</v>
      </c>
      <c r="G50">
        <v>7.6</v>
      </c>
      <c r="H50">
        <v>1.2105262999999999</v>
      </c>
      <c r="I50">
        <v>-0.2105263</v>
      </c>
      <c r="J50">
        <v>0.45238096</v>
      </c>
    </row>
    <row r="51" spans="1:10" x14ac:dyDescent="0.3">
      <c r="A51">
        <v>49</v>
      </c>
      <c r="B51">
        <v>777</v>
      </c>
      <c r="C51" t="b">
        <v>1</v>
      </c>
      <c r="D51">
        <v>8054</v>
      </c>
      <c r="E51">
        <v>8123</v>
      </c>
      <c r="F51">
        <v>8.8000000000000007</v>
      </c>
      <c r="G51">
        <v>8</v>
      </c>
      <c r="H51">
        <v>1.1000000000000001</v>
      </c>
      <c r="I51">
        <v>-0.10000002400000001</v>
      </c>
      <c r="J51">
        <v>0.47619050000000002</v>
      </c>
    </row>
    <row r="52" spans="1:10" x14ac:dyDescent="0.3">
      <c r="A52">
        <v>50</v>
      </c>
      <c r="B52">
        <v>793</v>
      </c>
      <c r="C52" t="b">
        <v>1</v>
      </c>
      <c r="D52">
        <v>8048</v>
      </c>
      <c r="E52">
        <v>8123</v>
      </c>
      <c r="F52">
        <v>8.4</v>
      </c>
      <c r="G52">
        <v>8</v>
      </c>
      <c r="H52">
        <v>1.05</v>
      </c>
      <c r="I52">
        <v>-4.9999952E-2</v>
      </c>
      <c r="J52">
        <v>0.48780489999999999</v>
      </c>
    </row>
    <row r="53" spans="1:10" x14ac:dyDescent="0.3">
      <c r="A53">
        <v>51</v>
      </c>
      <c r="B53">
        <v>809</v>
      </c>
      <c r="C53" t="b">
        <v>1</v>
      </c>
      <c r="D53">
        <v>8054</v>
      </c>
      <c r="E53">
        <v>8123</v>
      </c>
      <c r="F53">
        <v>8</v>
      </c>
      <c r="G53">
        <v>8</v>
      </c>
      <c r="H53">
        <v>1</v>
      </c>
      <c r="I53">
        <v>0</v>
      </c>
      <c r="J53">
        <v>0.5</v>
      </c>
    </row>
    <row r="54" spans="1:10" x14ac:dyDescent="0.3">
      <c r="A54">
        <v>52</v>
      </c>
      <c r="B54">
        <v>825</v>
      </c>
      <c r="C54" t="b">
        <v>1</v>
      </c>
      <c r="D54">
        <v>8048</v>
      </c>
      <c r="E54">
        <v>8117</v>
      </c>
      <c r="F54">
        <v>8</v>
      </c>
      <c r="G54">
        <v>8</v>
      </c>
      <c r="H54">
        <v>1</v>
      </c>
      <c r="I54">
        <v>0</v>
      </c>
      <c r="J54">
        <v>0.5</v>
      </c>
    </row>
    <row r="55" spans="1:10" x14ac:dyDescent="0.3">
      <c r="A55">
        <v>53</v>
      </c>
      <c r="B55">
        <v>841</v>
      </c>
      <c r="C55" t="b">
        <v>1</v>
      </c>
      <c r="D55">
        <v>8048</v>
      </c>
      <c r="E55">
        <v>8123</v>
      </c>
      <c r="F55">
        <v>8</v>
      </c>
      <c r="G55">
        <v>8</v>
      </c>
      <c r="H55">
        <v>1</v>
      </c>
      <c r="I55">
        <v>0</v>
      </c>
      <c r="J55">
        <v>0.5</v>
      </c>
    </row>
    <row r="56" spans="1:10" x14ac:dyDescent="0.3">
      <c r="A56">
        <v>54</v>
      </c>
      <c r="B56">
        <v>857</v>
      </c>
      <c r="C56" t="b">
        <v>1</v>
      </c>
      <c r="D56">
        <v>8054</v>
      </c>
      <c r="E56">
        <v>8111</v>
      </c>
      <c r="F56">
        <v>8</v>
      </c>
      <c r="G56">
        <v>8</v>
      </c>
      <c r="H56">
        <v>1</v>
      </c>
      <c r="I56">
        <v>0</v>
      </c>
      <c r="J56">
        <v>0.5</v>
      </c>
    </row>
    <row r="57" spans="1:10" x14ac:dyDescent="0.3">
      <c r="A57">
        <v>55</v>
      </c>
      <c r="B57">
        <v>872</v>
      </c>
      <c r="C57" t="b">
        <v>1</v>
      </c>
      <c r="D57">
        <v>8054</v>
      </c>
      <c r="E57">
        <v>8111</v>
      </c>
      <c r="F57">
        <v>8.4</v>
      </c>
      <c r="G57">
        <v>7.6</v>
      </c>
      <c r="H57">
        <v>1.1052630999999999</v>
      </c>
      <c r="I57">
        <v>-0.10526312</v>
      </c>
      <c r="J57">
        <v>0.47499999999999998</v>
      </c>
    </row>
    <row r="58" spans="1:10" x14ac:dyDescent="0.3">
      <c r="A58">
        <v>56</v>
      </c>
      <c r="B58">
        <v>888</v>
      </c>
      <c r="C58" t="b">
        <v>1</v>
      </c>
      <c r="D58">
        <v>8048</v>
      </c>
      <c r="E58">
        <v>8117</v>
      </c>
      <c r="F58">
        <v>8.4</v>
      </c>
      <c r="G58">
        <v>7.2</v>
      </c>
      <c r="H58">
        <v>1.1666666000000001</v>
      </c>
      <c r="I58">
        <v>-0.16666664</v>
      </c>
      <c r="J58">
        <v>0.46153845999999998</v>
      </c>
    </row>
    <row r="59" spans="1:10" x14ac:dyDescent="0.3">
      <c r="A59">
        <v>57</v>
      </c>
      <c r="B59">
        <v>904</v>
      </c>
      <c r="C59" t="b">
        <v>1</v>
      </c>
      <c r="D59">
        <v>8048</v>
      </c>
      <c r="E59">
        <v>8117</v>
      </c>
      <c r="F59">
        <v>8.4</v>
      </c>
      <c r="G59">
        <v>6.8</v>
      </c>
      <c r="H59">
        <v>1.2352939999999999</v>
      </c>
      <c r="I59">
        <v>-0.23529402999999999</v>
      </c>
      <c r="J59">
        <v>0.44736843999999998</v>
      </c>
    </row>
    <row r="60" spans="1:10" x14ac:dyDescent="0.3">
      <c r="A60">
        <v>58</v>
      </c>
      <c r="B60">
        <v>920</v>
      </c>
      <c r="C60" t="b">
        <v>1</v>
      </c>
      <c r="D60">
        <v>8048</v>
      </c>
      <c r="E60">
        <v>8123</v>
      </c>
      <c r="F60">
        <v>8.4</v>
      </c>
      <c r="G60">
        <v>6.4</v>
      </c>
      <c r="H60">
        <v>1.3124998999999999</v>
      </c>
      <c r="I60">
        <v>-0.3124999</v>
      </c>
      <c r="J60">
        <v>0.43243247000000001</v>
      </c>
    </row>
    <row r="61" spans="1:10" x14ac:dyDescent="0.3">
      <c r="A61">
        <v>59</v>
      </c>
      <c r="B61">
        <v>936</v>
      </c>
      <c r="C61" t="b">
        <v>1</v>
      </c>
      <c r="D61">
        <v>8048</v>
      </c>
      <c r="E61">
        <v>8123</v>
      </c>
      <c r="F61">
        <v>8.4</v>
      </c>
      <c r="G61">
        <v>6</v>
      </c>
      <c r="H61">
        <v>1.4</v>
      </c>
      <c r="I61">
        <v>-0.39999994999999999</v>
      </c>
      <c r="J61">
        <v>0.4166667</v>
      </c>
    </row>
    <row r="62" spans="1:10" x14ac:dyDescent="0.3">
      <c r="A62">
        <v>60</v>
      </c>
      <c r="B62">
        <v>952</v>
      </c>
      <c r="C62" t="b">
        <v>1</v>
      </c>
      <c r="D62">
        <v>8054</v>
      </c>
      <c r="E62">
        <v>8123</v>
      </c>
      <c r="F62">
        <v>8.4</v>
      </c>
      <c r="G62">
        <v>6</v>
      </c>
      <c r="H62">
        <v>1.4</v>
      </c>
      <c r="I62">
        <v>-0.39999994999999999</v>
      </c>
      <c r="J62">
        <v>0.4166667</v>
      </c>
    </row>
    <row r="63" spans="1:10" x14ac:dyDescent="0.3">
      <c r="A63">
        <v>61</v>
      </c>
      <c r="B63">
        <v>968</v>
      </c>
      <c r="C63" t="b">
        <v>1</v>
      </c>
      <c r="D63">
        <v>8048</v>
      </c>
      <c r="E63">
        <v>8123</v>
      </c>
      <c r="F63">
        <v>8.4</v>
      </c>
      <c r="G63">
        <v>6</v>
      </c>
      <c r="H63">
        <v>1.4</v>
      </c>
      <c r="I63">
        <v>-0.39999994999999999</v>
      </c>
      <c r="J63">
        <v>0.4166667</v>
      </c>
    </row>
    <row r="64" spans="1:10" x14ac:dyDescent="0.3">
      <c r="A64">
        <v>62</v>
      </c>
      <c r="B64">
        <v>984</v>
      </c>
      <c r="C64" t="b">
        <v>1</v>
      </c>
      <c r="D64">
        <v>8048</v>
      </c>
      <c r="E64">
        <v>8123</v>
      </c>
      <c r="F64">
        <v>8.4</v>
      </c>
      <c r="G64">
        <v>6</v>
      </c>
      <c r="H64">
        <v>1.4</v>
      </c>
      <c r="I64">
        <v>-0.39999994999999999</v>
      </c>
      <c r="J64">
        <v>0.4166667</v>
      </c>
    </row>
    <row r="65" spans="1:10" x14ac:dyDescent="0.3">
      <c r="A65">
        <v>63</v>
      </c>
      <c r="B65">
        <v>999</v>
      </c>
      <c r="C65" t="b">
        <v>1</v>
      </c>
      <c r="D65">
        <v>8054</v>
      </c>
      <c r="E65">
        <v>8123</v>
      </c>
      <c r="F65">
        <v>8.4</v>
      </c>
      <c r="G65">
        <v>6</v>
      </c>
      <c r="H65">
        <v>1.4</v>
      </c>
      <c r="I65">
        <v>-0.39999994999999999</v>
      </c>
      <c r="J65">
        <v>0.4166667</v>
      </c>
    </row>
    <row r="66" spans="1:10" x14ac:dyDescent="0.3">
      <c r="A66">
        <v>64</v>
      </c>
      <c r="B66">
        <v>1016</v>
      </c>
      <c r="C66" t="b">
        <v>1</v>
      </c>
      <c r="D66">
        <v>8048</v>
      </c>
      <c r="E66">
        <v>8123</v>
      </c>
      <c r="F66">
        <v>8.4</v>
      </c>
      <c r="G66">
        <v>6</v>
      </c>
      <c r="H66">
        <v>1.4</v>
      </c>
      <c r="I66">
        <v>-0.39999994999999999</v>
      </c>
      <c r="J66">
        <v>0.4166667</v>
      </c>
    </row>
    <row r="67" spans="1:10" x14ac:dyDescent="0.3">
      <c r="A67">
        <v>65</v>
      </c>
      <c r="B67">
        <v>1032</v>
      </c>
      <c r="C67" t="b">
        <v>1</v>
      </c>
      <c r="D67">
        <v>8048</v>
      </c>
      <c r="E67">
        <v>8123</v>
      </c>
      <c r="F67">
        <v>8.4</v>
      </c>
      <c r="G67">
        <v>6</v>
      </c>
      <c r="H67">
        <v>1.4</v>
      </c>
      <c r="I67">
        <v>-0.39999994999999999</v>
      </c>
      <c r="J67">
        <v>0.4166667</v>
      </c>
    </row>
    <row r="68" spans="1:10" x14ac:dyDescent="0.3">
      <c r="A68">
        <v>66</v>
      </c>
      <c r="B68">
        <v>1048</v>
      </c>
      <c r="C68" t="b">
        <v>1</v>
      </c>
      <c r="D68">
        <v>8048</v>
      </c>
      <c r="E68">
        <v>8123</v>
      </c>
      <c r="F68">
        <v>8.4</v>
      </c>
      <c r="G68">
        <v>6</v>
      </c>
      <c r="H68">
        <v>1.4</v>
      </c>
      <c r="I68">
        <v>-0.39999994999999999</v>
      </c>
      <c r="J68">
        <v>0.4166667</v>
      </c>
    </row>
    <row r="69" spans="1:10" x14ac:dyDescent="0.3">
      <c r="A69">
        <v>67</v>
      </c>
      <c r="B69">
        <v>1063</v>
      </c>
      <c r="C69" t="b">
        <v>1</v>
      </c>
      <c r="D69">
        <v>8048</v>
      </c>
      <c r="E69">
        <v>8117</v>
      </c>
      <c r="F69">
        <v>8.4</v>
      </c>
      <c r="G69">
        <v>6</v>
      </c>
      <c r="H69">
        <v>1.4</v>
      </c>
      <c r="I69">
        <v>-0.39999994999999999</v>
      </c>
      <c r="J69">
        <v>0.4166667</v>
      </c>
    </row>
    <row r="70" spans="1:10" x14ac:dyDescent="0.3">
      <c r="A70">
        <v>68</v>
      </c>
      <c r="B70">
        <v>1079</v>
      </c>
      <c r="C70" t="b">
        <v>1</v>
      </c>
      <c r="D70">
        <v>8048</v>
      </c>
      <c r="E70">
        <v>8123</v>
      </c>
      <c r="F70">
        <v>8.4</v>
      </c>
      <c r="G70">
        <v>6</v>
      </c>
      <c r="H70">
        <v>1.4</v>
      </c>
      <c r="I70">
        <v>-0.39999994999999999</v>
      </c>
      <c r="J70">
        <v>0.4166667</v>
      </c>
    </row>
    <row r="71" spans="1:10" x14ac:dyDescent="0.3">
      <c r="A71">
        <v>69</v>
      </c>
      <c r="B71">
        <v>1095</v>
      </c>
      <c r="C71" t="b">
        <v>1</v>
      </c>
      <c r="D71">
        <v>8054</v>
      </c>
      <c r="E71">
        <v>8123</v>
      </c>
      <c r="F71">
        <v>8.4</v>
      </c>
      <c r="G71">
        <v>6</v>
      </c>
      <c r="H71">
        <v>1.4</v>
      </c>
      <c r="I71">
        <v>-0.39999994999999999</v>
      </c>
      <c r="J71">
        <v>0.4166667</v>
      </c>
    </row>
    <row r="72" spans="1:10" x14ac:dyDescent="0.3">
      <c r="A72">
        <v>70</v>
      </c>
      <c r="B72">
        <v>1111</v>
      </c>
      <c r="C72" t="b">
        <v>1</v>
      </c>
      <c r="D72">
        <v>8048</v>
      </c>
      <c r="E72">
        <v>8123</v>
      </c>
      <c r="F72">
        <v>8</v>
      </c>
      <c r="G72">
        <v>6.4</v>
      </c>
      <c r="H72">
        <v>1.25</v>
      </c>
      <c r="I72">
        <v>-0.24999999000000001</v>
      </c>
      <c r="J72">
        <v>0.44444447999999998</v>
      </c>
    </row>
    <row r="73" spans="1:10" x14ac:dyDescent="0.3">
      <c r="A73">
        <v>71</v>
      </c>
      <c r="B73">
        <v>1127</v>
      </c>
      <c r="C73" t="b">
        <v>1</v>
      </c>
      <c r="D73">
        <v>8048</v>
      </c>
      <c r="E73">
        <v>8123</v>
      </c>
      <c r="F73">
        <v>8</v>
      </c>
      <c r="G73">
        <v>6.8</v>
      </c>
      <c r="H73">
        <v>1.1764705</v>
      </c>
      <c r="I73">
        <v>-0.17647055</v>
      </c>
      <c r="J73">
        <v>0.45945944999999999</v>
      </c>
    </row>
    <row r="74" spans="1:10" x14ac:dyDescent="0.3">
      <c r="A74">
        <v>72</v>
      </c>
      <c r="B74">
        <v>1142</v>
      </c>
      <c r="C74" t="b">
        <v>1</v>
      </c>
      <c r="D74">
        <v>8048</v>
      </c>
      <c r="E74">
        <v>8123</v>
      </c>
      <c r="F74">
        <v>8</v>
      </c>
      <c r="G74">
        <v>7.2</v>
      </c>
      <c r="H74">
        <v>1.1111112000000001</v>
      </c>
      <c r="I74">
        <v>-0.11111114</v>
      </c>
      <c r="J74">
        <v>0.4736842</v>
      </c>
    </row>
    <row r="75" spans="1:10" x14ac:dyDescent="0.3">
      <c r="A75">
        <v>73</v>
      </c>
      <c r="B75">
        <v>1158</v>
      </c>
      <c r="C75" t="b">
        <v>1</v>
      </c>
      <c r="D75">
        <v>8048</v>
      </c>
      <c r="E75">
        <v>8123</v>
      </c>
      <c r="F75">
        <v>8</v>
      </c>
      <c r="G75">
        <v>7.6</v>
      </c>
      <c r="H75">
        <v>1.0526316</v>
      </c>
      <c r="I75">
        <v>-5.2631589999999999E-2</v>
      </c>
      <c r="J75">
        <v>0.48717946000000001</v>
      </c>
    </row>
    <row r="76" spans="1:10" x14ac:dyDescent="0.3">
      <c r="A76">
        <v>74</v>
      </c>
      <c r="B76">
        <v>1174</v>
      </c>
      <c r="C76" t="b">
        <v>1</v>
      </c>
      <c r="D76">
        <v>8048</v>
      </c>
      <c r="E76">
        <v>8123</v>
      </c>
      <c r="F76">
        <v>8</v>
      </c>
      <c r="G76">
        <v>8</v>
      </c>
      <c r="H76">
        <v>1</v>
      </c>
      <c r="I76">
        <v>0</v>
      </c>
      <c r="J76">
        <v>0.5</v>
      </c>
    </row>
    <row r="77" spans="1:10" x14ac:dyDescent="0.3">
      <c r="A77">
        <v>75</v>
      </c>
      <c r="B77">
        <v>1190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1206</v>
      </c>
      <c r="C78" t="b">
        <v>1</v>
      </c>
      <c r="D78">
        <v>8048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1222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1238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1254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1270</v>
      </c>
      <c r="C82" t="b">
        <v>1</v>
      </c>
      <c r="D82">
        <v>8048</v>
      </c>
      <c r="E82">
        <v>8117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1285</v>
      </c>
      <c r="C83" t="b">
        <v>1</v>
      </c>
      <c r="D83">
        <v>8048</v>
      </c>
      <c r="E83">
        <v>8123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1301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1317</v>
      </c>
      <c r="C85" t="b">
        <v>1</v>
      </c>
      <c r="D85">
        <v>8048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1333</v>
      </c>
      <c r="C86" t="b">
        <v>1</v>
      </c>
      <c r="D86">
        <v>8048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1349</v>
      </c>
      <c r="C87" t="b">
        <v>1</v>
      </c>
      <c r="D87">
        <v>8048</v>
      </c>
      <c r="E87">
        <v>8123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1365</v>
      </c>
      <c r="C88" t="b">
        <v>1</v>
      </c>
      <c r="D88">
        <v>8042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1381</v>
      </c>
      <c r="C89" t="b">
        <v>1</v>
      </c>
      <c r="D89">
        <v>8037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1397</v>
      </c>
      <c r="C90" t="b">
        <v>1</v>
      </c>
      <c r="D90">
        <v>8042</v>
      </c>
      <c r="E90">
        <v>8123</v>
      </c>
      <c r="F90">
        <v>7.6</v>
      </c>
      <c r="G90">
        <v>8</v>
      </c>
      <c r="H90">
        <v>0.95</v>
      </c>
      <c r="I90">
        <v>5.0000012000000003E-2</v>
      </c>
      <c r="J90">
        <v>0.51282050000000001</v>
      </c>
    </row>
    <row r="91" spans="1:10" x14ac:dyDescent="0.3">
      <c r="A91">
        <v>89</v>
      </c>
      <c r="B91">
        <v>1413</v>
      </c>
      <c r="C91" t="b">
        <v>1</v>
      </c>
      <c r="D91">
        <v>8042</v>
      </c>
      <c r="E91">
        <v>8123</v>
      </c>
      <c r="F91">
        <v>7.2</v>
      </c>
      <c r="G91">
        <v>8</v>
      </c>
      <c r="H91">
        <v>0.9</v>
      </c>
      <c r="I91">
        <v>0.10000002400000001</v>
      </c>
      <c r="J91">
        <v>0.5263158</v>
      </c>
    </row>
    <row r="92" spans="1:10" x14ac:dyDescent="0.3">
      <c r="A92">
        <v>90</v>
      </c>
      <c r="B92">
        <v>1429</v>
      </c>
      <c r="C92" t="b">
        <v>1</v>
      </c>
      <c r="D92">
        <v>8042</v>
      </c>
      <c r="E92">
        <v>8123</v>
      </c>
      <c r="F92">
        <v>6.8</v>
      </c>
      <c r="G92">
        <v>8</v>
      </c>
      <c r="H92">
        <v>0.85</v>
      </c>
      <c r="I92">
        <v>0.14999998</v>
      </c>
      <c r="J92">
        <v>0.54054049999999998</v>
      </c>
    </row>
    <row r="93" spans="1:10" x14ac:dyDescent="0.3">
      <c r="A93">
        <v>91</v>
      </c>
      <c r="B93">
        <v>1444</v>
      </c>
      <c r="C93" t="b">
        <v>1</v>
      </c>
      <c r="D93">
        <v>8042</v>
      </c>
      <c r="E93">
        <v>8123</v>
      </c>
      <c r="F93">
        <v>6.4</v>
      </c>
      <c r="G93">
        <v>8</v>
      </c>
      <c r="H93">
        <v>0.8</v>
      </c>
      <c r="I93">
        <v>0.19999998999999999</v>
      </c>
      <c r="J93">
        <v>0.55555560000000004</v>
      </c>
    </row>
    <row r="94" spans="1:10" x14ac:dyDescent="0.3">
      <c r="A94">
        <v>92</v>
      </c>
      <c r="B94">
        <v>1461</v>
      </c>
      <c r="C94" t="b">
        <v>1</v>
      </c>
      <c r="D94">
        <v>8042</v>
      </c>
      <c r="E94">
        <v>8123</v>
      </c>
      <c r="F94">
        <v>6</v>
      </c>
      <c r="G94">
        <v>8</v>
      </c>
      <c r="H94">
        <v>0.75</v>
      </c>
      <c r="I94">
        <v>0.25</v>
      </c>
      <c r="J94">
        <v>0.57142859999999995</v>
      </c>
    </row>
    <row r="95" spans="1:10" x14ac:dyDescent="0.3">
      <c r="A95">
        <v>93</v>
      </c>
      <c r="B95">
        <v>1476</v>
      </c>
      <c r="C95" t="b">
        <v>1</v>
      </c>
      <c r="D95">
        <v>8042</v>
      </c>
      <c r="E95">
        <v>8123</v>
      </c>
      <c r="F95">
        <v>5.6</v>
      </c>
      <c r="G95">
        <v>8</v>
      </c>
      <c r="H95">
        <v>0.7</v>
      </c>
      <c r="I95">
        <v>0.3</v>
      </c>
      <c r="J95">
        <v>0.58823526000000004</v>
      </c>
    </row>
    <row r="96" spans="1:10" x14ac:dyDescent="0.3">
      <c r="A96">
        <v>94</v>
      </c>
      <c r="B96">
        <v>1492</v>
      </c>
      <c r="C96" t="b">
        <v>1</v>
      </c>
      <c r="D96">
        <v>8042</v>
      </c>
      <c r="E96">
        <v>8123</v>
      </c>
      <c r="F96">
        <v>5.2</v>
      </c>
      <c r="G96">
        <v>8</v>
      </c>
      <c r="H96">
        <v>0.65</v>
      </c>
      <c r="I96">
        <v>0.35000002000000002</v>
      </c>
      <c r="J96">
        <v>0.60606059999999995</v>
      </c>
    </row>
    <row r="97" spans="1:10" x14ac:dyDescent="0.3">
      <c r="A97">
        <v>95</v>
      </c>
      <c r="B97">
        <v>1508</v>
      </c>
      <c r="C97" t="b">
        <v>1</v>
      </c>
      <c r="D97">
        <v>8048</v>
      </c>
      <c r="E97">
        <v>8117</v>
      </c>
      <c r="F97">
        <v>4.8</v>
      </c>
      <c r="G97">
        <v>8</v>
      </c>
      <c r="H97">
        <v>0.6</v>
      </c>
      <c r="I97">
        <v>0.39999997999999998</v>
      </c>
      <c r="J97">
        <v>0.625</v>
      </c>
    </row>
    <row r="98" spans="1:10" x14ac:dyDescent="0.3">
      <c r="A98">
        <v>96</v>
      </c>
      <c r="B98">
        <v>1524</v>
      </c>
      <c r="C98" t="b">
        <v>1</v>
      </c>
      <c r="D98">
        <v>8042</v>
      </c>
      <c r="E98">
        <v>8117</v>
      </c>
      <c r="F98">
        <v>4.4000000000000004</v>
      </c>
      <c r="G98">
        <v>8</v>
      </c>
      <c r="H98">
        <v>0.55000000000000004</v>
      </c>
      <c r="I98">
        <v>0.45</v>
      </c>
      <c r="J98">
        <v>0.64516132999999998</v>
      </c>
    </row>
    <row r="99" spans="1:10" x14ac:dyDescent="0.3">
      <c r="A99">
        <v>97</v>
      </c>
      <c r="B99">
        <v>1540</v>
      </c>
      <c r="C99" t="b">
        <v>1</v>
      </c>
      <c r="D99">
        <v>8042</v>
      </c>
      <c r="E99">
        <v>8117</v>
      </c>
      <c r="F99">
        <v>4</v>
      </c>
      <c r="G99">
        <v>7.6</v>
      </c>
      <c r="H99">
        <v>0.5263158</v>
      </c>
      <c r="I99">
        <v>0.4736842</v>
      </c>
      <c r="J99">
        <v>0.65517239999999999</v>
      </c>
    </row>
    <row r="100" spans="1:10" x14ac:dyDescent="0.3">
      <c r="A100">
        <v>98</v>
      </c>
      <c r="B100">
        <v>1556</v>
      </c>
      <c r="C100" t="b">
        <v>1</v>
      </c>
      <c r="D100">
        <v>8042</v>
      </c>
      <c r="E100">
        <v>8117</v>
      </c>
      <c r="F100">
        <v>3.6</v>
      </c>
      <c r="G100">
        <v>7.2</v>
      </c>
      <c r="H100">
        <v>0.5</v>
      </c>
      <c r="I100">
        <v>0.5</v>
      </c>
      <c r="J100">
        <v>0.66666669999999995</v>
      </c>
    </row>
    <row r="101" spans="1:10" x14ac:dyDescent="0.3">
      <c r="A101">
        <v>99</v>
      </c>
      <c r="B101">
        <v>1571</v>
      </c>
      <c r="C101" t="b">
        <v>1</v>
      </c>
      <c r="D101">
        <v>8048</v>
      </c>
      <c r="E101">
        <v>8117</v>
      </c>
      <c r="F101">
        <v>3.2</v>
      </c>
      <c r="G101">
        <v>6.8</v>
      </c>
      <c r="H101">
        <v>0.47058823999999999</v>
      </c>
      <c r="I101">
        <v>0.52941179999999999</v>
      </c>
      <c r="J101">
        <v>0.68</v>
      </c>
    </row>
    <row r="102" spans="1:10" x14ac:dyDescent="0.3">
      <c r="A102">
        <v>100</v>
      </c>
      <c r="B102">
        <v>1588</v>
      </c>
      <c r="C102" t="b">
        <v>1</v>
      </c>
      <c r="D102">
        <v>8048</v>
      </c>
      <c r="E102">
        <v>8123</v>
      </c>
      <c r="F102">
        <v>2.8</v>
      </c>
      <c r="G102">
        <v>6.4</v>
      </c>
      <c r="H102">
        <v>0.4375</v>
      </c>
      <c r="I102">
        <v>0.5625</v>
      </c>
      <c r="J102">
        <v>0.69565220000000005</v>
      </c>
    </row>
    <row r="103" spans="1:10" x14ac:dyDescent="0.3">
      <c r="A103">
        <v>101</v>
      </c>
      <c r="B103">
        <v>1604</v>
      </c>
      <c r="C103" t="b">
        <v>1</v>
      </c>
      <c r="D103">
        <v>8048</v>
      </c>
      <c r="E103">
        <v>8123</v>
      </c>
      <c r="F103">
        <v>2.8</v>
      </c>
      <c r="G103">
        <v>6</v>
      </c>
      <c r="H103">
        <v>0.46666667000000001</v>
      </c>
      <c r="I103">
        <v>0.53333335999999998</v>
      </c>
      <c r="J103">
        <v>0.68181820000000004</v>
      </c>
    </row>
    <row r="104" spans="1:10" x14ac:dyDescent="0.3">
      <c r="A104">
        <v>102</v>
      </c>
      <c r="B104">
        <v>1620</v>
      </c>
      <c r="C104" t="b">
        <v>1</v>
      </c>
      <c r="D104">
        <v>8048</v>
      </c>
      <c r="E104">
        <v>8123</v>
      </c>
      <c r="F104">
        <v>2.8</v>
      </c>
      <c r="G104">
        <v>6</v>
      </c>
      <c r="H104">
        <v>0.46666667000000001</v>
      </c>
      <c r="I104">
        <v>0.53333335999999998</v>
      </c>
      <c r="J104">
        <v>0.68181820000000004</v>
      </c>
    </row>
    <row r="105" spans="1:10" x14ac:dyDescent="0.3">
      <c r="A105">
        <v>103</v>
      </c>
      <c r="B105">
        <v>1635</v>
      </c>
      <c r="C105" t="b">
        <v>1</v>
      </c>
      <c r="D105">
        <v>8054</v>
      </c>
      <c r="E105">
        <v>8123</v>
      </c>
      <c r="F105">
        <v>3.2</v>
      </c>
      <c r="G105">
        <v>6</v>
      </c>
      <c r="H105">
        <v>0.53333335999999998</v>
      </c>
      <c r="I105">
        <v>0.46666667000000001</v>
      </c>
      <c r="J105">
        <v>0.65217393999999995</v>
      </c>
    </row>
    <row r="106" spans="1:10" x14ac:dyDescent="0.3">
      <c r="A106">
        <v>104</v>
      </c>
      <c r="B106">
        <v>1651</v>
      </c>
      <c r="C106" t="b">
        <v>1</v>
      </c>
      <c r="D106">
        <v>8048</v>
      </c>
      <c r="E106">
        <v>8123</v>
      </c>
      <c r="F106">
        <v>3.6</v>
      </c>
      <c r="G106">
        <v>6</v>
      </c>
      <c r="H106">
        <v>0.59999996</v>
      </c>
      <c r="I106">
        <v>0.4</v>
      </c>
      <c r="J106">
        <v>0.625</v>
      </c>
    </row>
    <row r="107" spans="1:10" x14ac:dyDescent="0.3">
      <c r="A107">
        <v>105</v>
      </c>
      <c r="B107">
        <v>1667</v>
      </c>
      <c r="C107" t="b">
        <v>1</v>
      </c>
      <c r="D107">
        <v>8048</v>
      </c>
      <c r="E107">
        <v>8123</v>
      </c>
      <c r="F107">
        <v>4</v>
      </c>
      <c r="G107">
        <v>6</v>
      </c>
      <c r="H107">
        <v>0.66666669999999995</v>
      </c>
      <c r="I107">
        <v>0.33333333999999998</v>
      </c>
      <c r="J107">
        <v>0.6</v>
      </c>
    </row>
    <row r="108" spans="1:10" x14ac:dyDescent="0.3">
      <c r="A108">
        <v>106</v>
      </c>
      <c r="B108">
        <v>1683</v>
      </c>
      <c r="C108" t="b">
        <v>1</v>
      </c>
      <c r="D108">
        <v>8048</v>
      </c>
      <c r="E108">
        <v>8123</v>
      </c>
      <c r="F108">
        <v>4.4000000000000004</v>
      </c>
      <c r="G108">
        <v>6</v>
      </c>
      <c r="H108">
        <v>0.73333334999999999</v>
      </c>
      <c r="I108">
        <v>0.26666665000000001</v>
      </c>
      <c r="J108">
        <v>0.57692310000000002</v>
      </c>
    </row>
    <row r="109" spans="1:10" x14ac:dyDescent="0.3">
      <c r="A109">
        <v>107</v>
      </c>
      <c r="B109">
        <v>1699</v>
      </c>
      <c r="C109" t="b">
        <v>1</v>
      </c>
      <c r="D109">
        <v>8048</v>
      </c>
      <c r="E109">
        <v>8123</v>
      </c>
      <c r="F109">
        <v>4.8</v>
      </c>
      <c r="G109">
        <v>6</v>
      </c>
      <c r="H109">
        <v>0.8</v>
      </c>
      <c r="I109">
        <v>0.19999997</v>
      </c>
      <c r="J109">
        <v>0.55555549999999998</v>
      </c>
    </row>
    <row r="110" spans="1:10" x14ac:dyDescent="0.3">
      <c r="A110">
        <v>108</v>
      </c>
      <c r="B110">
        <v>1715</v>
      </c>
      <c r="C110" t="b">
        <v>1</v>
      </c>
      <c r="D110">
        <v>8042</v>
      </c>
      <c r="E110">
        <v>8123</v>
      </c>
      <c r="F110">
        <v>5.2</v>
      </c>
      <c r="G110">
        <v>6</v>
      </c>
      <c r="H110">
        <v>0.86666659999999995</v>
      </c>
      <c r="I110">
        <v>0.13333337000000001</v>
      </c>
      <c r="J110">
        <v>0.53571427000000005</v>
      </c>
    </row>
    <row r="111" spans="1:10" x14ac:dyDescent="0.3">
      <c r="A111">
        <v>109</v>
      </c>
      <c r="B111">
        <v>1731</v>
      </c>
      <c r="C111" t="b">
        <v>1</v>
      </c>
      <c r="D111">
        <v>8048</v>
      </c>
      <c r="E111">
        <v>8123</v>
      </c>
      <c r="F111">
        <v>5.6</v>
      </c>
      <c r="G111">
        <v>6</v>
      </c>
      <c r="H111">
        <v>0.93333334000000001</v>
      </c>
      <c r="I111">
        <v>6.6666685000000003E-2</v>
      </c>
      <c r="J111">
        <v>0.51724135999999998</v>
      </c>
    </row>
    <row r="112" spans="1:10" x14ac:dyDescent="0.3">
      <c r="A112">
        <v>110</v>
      </c>
      <c r="B112">
        <v>1747</v>
      </c>
      <c r="C112" t="b">
        <v>1</v>
      </c>
      <c r="D112">
        <v>8048</v>
      </c>
      <c r="E112">
        <v>8123</v>
      </c>
      <c r="F112">
        <v>6</v>
      </c>
      <c r="G112">
        <v>6</v>
      </c>
      <c r="H112">
        <v>1</v>
      </c>
      <c r="I112">
        <v>0</v>
      </c>
      <c r="J112">
        <v>0.5</v>
      </c>
    </row>
    <row r="113" spans="1:10" x14ac:dyDescent="0.3">
      <c r="A113">
        <v>111</v>
      </c>
      <c r="B113">
        <v>1762</v>
      </c>
      <c r="C113" t="b">
        <v>1</v>
      </c>
      <c r="D113">
        <v>8048</v>
      </c>
      <c r="E113">
        <v>8123</v>
      </c>
      <c r="F113">
        <v>6.4</v>
      </c>
      <c r="G113">
        <v>6</v>
      </c>
      <c r="H113">
        <v>1.0666667000000001</v>
      </c>
      <c r="I113">
        <v>-6.6666685000000003E-2</v>
      </c>
      <c r="J113">
        <v>0.48387098000000001</v>
      </c>
    </row>
    <row r="114" spans="1:10" x14ac:dyDescent="0.3">
      <c r="A114">
        <v>112</v>
      </c>
      <c r="B114">
        <v>1778</v>
      </c>
      <c r="C114" t="b">
        <v>1</v>
      </c>
      <c r="D114">
        <v>8054</v>
      </c>
      <c r="E114">
        <v>8117</v>
      </c>
      <c r="F114">
        <v>6.8</v>
      </c>
      <c r="G114">
        <v>6.4</v>
      </c>
      <c r="H114">
        <v>1.0625</v>
      </c>
      <c r="I114">
        <v>-6.2500015000000006E-2</v>
      </c>
      <c r="J114">
        <v>0.48484846999999998</v>
      </c>
    </row>
    <row r="115" spans="1:10" x14ac:dyDescent="0.3">
      <c r="A115">
        <v>113</v>
      </c>
      <c r="B115">
        <v>1794</v>
      </c>
      <c r="C115" t="b">
        <v>1</v>
      </c>
      <c r="D115">
        <v>8054</v>
      </c>
      <c r="E115">
        <v>8123</v>
      </c>
      <c r="F115">
        <v>7.2</v>
      </c>
      <c r="G115">
        <v>6.8</v>
      </c>
      <c r="H115">
        <v>1.0588234999999999</v>
      </c>
      <c r="I115">
        <v>-5.8823470000000003E-2</v>
      </c>
      <c r="J115">
        <v>0.48571429999999999</v>
      </c>
    </row>
    <row r="116" spans="1:10" x14ac:dyDescent="0.3">
      <c r="A116">
        <v>114</v>
      </c>
      <c r="B116">
        <v>1810</v>
      </c>
      <c r="C116" t="b">
        <v>1</v>
      </c>
      <c r="D116">
        <v>8048</v>
      </c>
      <c r="E116">
        <v>8123</v>
      </c>
      <c r="F116">
        <v>7.6</v>
      </c>
      <c r="G116">
        <v>7.2</v>
      </c>
      <c r="H116">
        <v>1.0555555999999999</v>
      </c>
      <c r="I116">
        <v>-5.5555569999999999E-2</v>
      </c>
      <c r="J116">
        <v>0.48648649999999999</v>
      </c>
    </row>
    <row r="117" spans="1:10" x14ac:dyDescent="0.3">
      <c r="A117">
        <v>115</v>
      </c>
      <c r="B117">
        <v>1825</v>
      </c>
      <c r="C117" t="b">
        <v>1</v>
      </c>
      <c r="D117">
        <v>8048</v>
      </c>
      <c r="E117">
        <v>8123</v>
      </c>
      <c r="F117">
        <v>8</v>
      </c>
      <c r="G117">
        <v>7.6</v>
      </c>
      <c r="H117">
        <v>1.0526316</v>
      </c>
      <c r="I117">
        <v>-5.2631589999999999E-2</v>
      </c>
      <c r="J117">
        <v>0.48717946000000001</v>
      </c>
    </row>
    <row r="118" spans="1:10" x14ac:dyDescent="0.3">
      <c r="A118">
        <v>116</v>
      </c>
      <c r="B118">
        <v>1841</v>
      </c>
      <c r="C118" t="b">
        <v>1</v>
      </c>
      <c r="D118">
        <v>8048</v>
      </c>
      <c r="E118">
        <v>8123</v>
      </c>
      <c r="F118">
        <v>8</v>
      </c>
      <c r="G118">
        <v>8</v>
      </c>
      <c r="H118">
        <v>1</v>
      </c>
      <c r="I118">
        <v>0</v>
      </c>
      <c r="J118">
        <v>0.5</v>
      </c>
    </row>
    <row r="119" spans="1:10" x14ac:dyDescent="0.3">
      <c r="A119">
        <v>117</v>
      </c>
      <c r="B119">
        <v>1857</v>
      </c>
      <c r="C119" t="b">
        <v>1</v>
      </c>
      <c r="D119">
        <v>8048</v>
      </c>
      <c r="E119">
        <v>8123</v>
      </c>
      <c r="F119">
        <v>8</v>
      </c>
      <c r="G119">
        <v>8</v>
      </c>
      <c r="H119">
        <v>1</v>
      </c>
      <c r="I119">
        <v>0</v>
      </c>
      <c r="J119">
        <v>0.5</v>
      </c>
    </row>
    <row r="120" spans="1:10" x14ac:dyDescent="0.3">
      <c r="A120">
        <v>118</v>
      </c>
      <c r="B120">
        <v>1873</v>
      </c>
      <c r="C120" t="b">
        <v>1</v>
      </c>
      <c r="D120">
        <v>8054</v>
      </c>
      <c r="E120">
        <v>8123</v>
      </c>
      <c r="F120">
        <v>8</v>
      </c>
      <c r="G120">
        <v>8</v>
      </c>
      <c r="H120">
        <v>1</v>
      </c>
      <c r="I120">
        <v>0</v>
      </c>
      <c r="J120">
        <v>0.5</v>
      </c>
    </row>
    <row r="121" spans="1:10" x14ac:dyDescent="0.3">
      <c r="A121">
        <v>119</v>
      </c>
      <c r="B121">
        <v>1889</v>
      </c>
      <c r="C121" t="b">
        <v>1</v>
      </c>
      <c r="D121">
        <v>8048</v>
      </c>
      <c r="E121">
        <v>8129</v>
      </c>
      <c r="F121">
        <v>8</v>
      </c>
      <c r="G121">
        <v>8</v>
      </c>
      <c r="H121">
        <v>1</v>
      </c>
      <c r="I121">
        <v>0</v>
      </c>
      <c r="J121">
        <v>0.5</v>
      </c>
    </row>
    <row r="122" spans="1:10" x14ac:dyDescent="0.3">
      <c r="A122">
        <v>120</v>
      </c>
      <c r="B122">
        <v>1905</v>
      </c>
      <c r="C122" t="b">
        <v>1</v>
      </c>
      <c r="D122">
        <v>8048</v>
      </c>
      <c r="E122">
        <v>8123</v>
      </c>
      <c r="F122">
        <v>8</v>
      </c>
      <c r="G122">
        <v>8</v>
      </c>
      <c r="H122">
        <v>1</v>
      </c>
      <c r="I122">
        <v>0</v>
      </c>
      <c r="J122">
        <v>0.5</v>
      </c>
    </row>
    <row r="123" spans="1:10" x14ac:dyDescent="0.3">
      <c r="A123">
        <v>121</v>
      </c>
      <c r="B123">
        <v>1921</v>
      </c>
      <c r="C123" t="b">
        <v>1</v>
      </c>
      <c r="D123">
        <v>8048</v>
      </c>
      <c r="E123">
        <v>8123</v>
      </c>
      <c r="F123">
        <v>8</v>
      </c>
      <c r="G123">
        <v>8</v>
      </c>
      <c r="H123">
        <v>1</v>
      </c>
      <c r="I123">
        <v>0</v>
      </c>
      <c r="J123">
        <v>0.5</v>
      </c>
    </row>
    <row r="124" spans="1:10" x14ac:dyDescent="0.3">
      <c r="A124">
        <v>122</v>
      </c>
      <c r="B124">
        <v>1936</v>
      </c>
      <c r="C124" t="b">
        <v>1</v>
      </c>
      <c r="D124">
        <v>8048</v>
      </c>
      <c r="E124">
        <v>8123</v>
      </c>
      <c r="F124">
        <v>8</v>
      </c>
      <c r="G124">
        <v>8</v>
      </c>
      <c r="H124">
        <v>1</v>
      </c>
      <c r="I124">
        <v>0</v>
      </c>
      <c r="J124">
        <v>0.5</v>
      </c>
    </row>
    <row r="125" spans="1:10" x14ac:dyDescent="0.3">
      <c r="A125">
        <v>123</v>
      </c>
      <c r="B125">
        <v>1952</v>
      </c>
      <c r="C125" t="b">
        <v>1</v>
      </c>
      <c r="D125">
        <v>8048</v>
      </c>
      <c r="E125">
        <v>8117</v>
      </c>
      <c r="F125">
        <v>8</v>
      </c>
      <c r="G125">
        <v>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1968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1984</v>
      </c>
      <c r="C127" t="b">
        <v>1</v>
      </c>
      <c r="D127">
        <v>8048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2000</v>
      </c>
      <c r="C128" t="b">
        <v>1</v>
      </c>
      <c r="D128">
        <v>8054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2016</v>
      </c>
      <c r="C129" t="b">
        <v>1</v>
      </c>
      <c r="D129">
        <v>8048</v>
      </c>
      <c r="E129">
        <v>8129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2032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2048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2063</v>
      </c>
      <c r="C132" t="b">
        <v>1</v>
      </c>
      <c r="D132">
        <v>8054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2079</v>
      </c>
      <c r="C133" t="b">
        <v>1</v>
      </c>
      <c r="D133">
        <v>8048</v>
      </c>
      <c r="E133">
        <v>8123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2095</v>
      </c>
      <c r="C134" t="b">
        <v>1</v>
      </c>
      <c r="D134">
        <v>8048</v>
      </c>
      <c r="E134">
        <v>8117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2111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2127</v>
      </c>
      <c r="C136" t="b">
        <v>1</v>
      </c>
      <c r="D136">
        <v>8054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2143</v>
      </c>
      <c r="C137" t="b">
        <v>1</v>
      </c>
      <c r="D137">
        <v>8048</v>
      </c>
      <c r="E137">
        <v>8123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2159</v>
      </c>
      <c r="C138" t="b">
        <v>1</v>
      </c>
      <c r="D138">
        <v>8048</v>
      </c>
      <c r="E138">
        <v>8123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2175</v>
      </c>
      <c r="C139" t="b">
        <v>1</v>
      </c>
      <c r="D139">
        <v>8048</v>
      </c>
      <c r="E139">
        <v>8123</v>
      </c>
      <c r="F139">
        <v>8</v>
      </c>
      <c r="G139">
        <v>8</v>
      </c>
      <c r="H139">
        <v>1</v>
      </c>
      <c r="I139">
        <v>0</v>
      </c>
      <c r="J139">
        <v>0.5</v>
      </c>
    </row>
    <row r="140" spans="1:10" x14ac:dyDescent="0.3">
      <c r="A140">
        <v>138</v>
      </c>
      <c r="B140">
        <v>2191</v>
      </c>
      <c r="C140" t="b">
        <v>1</v>
      </c>
      <c r="D140">
        <v>8048</v>
      </c>
      <c r="E140">
        <v>8123</v>
      </c>
      <c r="F140">
        <v>8</v>
      </c>
      <c r="G140">
        <v>8</v>
      </c>
      <c r="H140">
        <v>1</v>
      </c>
      <c r="I140">
        <v>0</v>
      </c>
      <c r="J140">
        <v>0.5</v>
      </c>
    </row>
    <row r="141" spans="1:10" x14ac:dyDescent="0.3">
      <c r="A141">
        <v>139</v>
      </c>
      <c r="B141">
        <v>2206</v>
      </c>
      <c r="C141" t="b">
        <v>1</v>
      </c>
      <c r="D141">
        <v>8054</v>
      </c>
      <c r="E141">
        <v>8123</v>
      </c>
      <c r="F141">
        <v>8</v>
      </c>
      <c r="G141">
        <v>8</v>
      </c>
      <c r="H141">
        <v>1</v>
      </c>
      <c r="I141">
        <v>0</v>
      </c>
      <c r="J141">
        <v>0.5</v>
      </c>
    </row>
    <row r="142" spans="1:10" x14ac:dyDescent="0.3">
      <c r="A142">
        <v>140</v>
      </c>
      <c r="B142">
        <v>2222</v>
      </c>
      <c r="C142" t="b">
        <v>1</v>
      </c>
      <c r="D142">
        <v>8048</v>
      </c>
      <c r="E142">
        <v>8117</v>
      </c>
      <c r="F142">
        <v>8</v>
      </c>
      <c r="G142">
        <v>8</v>
      </c>
      <c r="H142">
        <v>1</v>
      </c>
      <c r="I142">
        <v>0</v>
      </c>
      <c r="J142">
        <v>0.5</v>
      </c>
    </row>
    <row r="143" spans="1:10" x14ac:dyDescent="0.3">
      <c r="A143">
        <v>141</v>
      </c>
      <c r="B143">
        <v>2238</v>
      </c>
      <c r="C143" t="b">
        <v>1</v>
      </c>
      <c r="D143">
        <v>8048</v>
      </c>
      <c r="E143">
        <v>8123</v>
      </c>
      <c r="F143">
        <v>8</v>
      </c>
      <c r="G143">
        <v>8</v>
      </c>
      <c r="H143">
        <v>1</v>
      </c>
      <c r="I143">
        <v>0</v>
      </c>
      <c r="J143">
        <v>0.5</v>
      </c>
    </row>
    <row r="144" spans="1:10" x14ac:dyDescent="0.3">
      <c r="A144">
        <v>142</v>
      </c>
      <c r="B144">
        <v>2254</v>
      </c>
      <c r="C144" t="b">
        <v>1</v>
      </c>
      <c r="D144">
        <v>8048</v>
      </c>
      <c r="E144">
        <v>8129</v>
      </c>
      <c r="F144">
        <v>8</v>
      </c>
      <c r="G144">
        <v>8</v>
      </c>
      <c r="H144">
        <v>1</v>
      </c>
      <c r="I144">
        <v>0</v>
      </c>
      <c r="J144">
        <v>0.5</v>
      </c>
    </row>
    <row r="145" spans="1:10" x14ac:dyDescent="0.3">
      <c r="A145">
        <v>143</v>
      </c>
      <c r="B145">
        <v>2270</v>
      </c>
      <c r="C145" t="b">
        <v>1</v>
      </c>
      <c r="D145">
        <v>8048</v>
      </c>
      <c r="E145">
        <v>8123</v>
      </c>
      <c r="F145">
        <v>8</v>
      </c>
      <c r="G145">
        <v>8</v>
      </c>
      <c r="H145">
        <v>1</v>
      </c>
      <c r="I145">
        <v>0</v>
      </c>
      <c r="J145">
        <v>0.5</v>
      </c>
    </row>
    <row r="146" spans="1:10" x14ac:dyDescent="0.3">
      <c r="A146">
        <v>144</v>
      </c>
      <c r="B146">
        <v>2286</v>
      </c>
      <c r="C146" t="b">
        <v>1</v>
      </c>
      <c r="D146">
        <v>8048</v>
      </c>
      <c r="E146">
        <v>8123</v>
      </c>
      <c r="F146">
        <v>8</v>
      </c>
      <c r="G146">
        <v>8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2302</v>
      </c>
      <c r="C147" t="b">
        <v>1</v>
      </c>
      <c r="D147">
        <v>8048</v>
      </c>
      <c r="E147">
        <v>8123</v>
      </c>
      <c r="F147">
        <v>8</v>
      </c>
      <c r="G147">
        <v>8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2318</v>
      </c>
      <c r="C148" t="b">
        <v>1</v>
      </c>
      <c r="D148">
        <v>8042</v>
      </c>
      <c r="E148">
        <v>8123</v>
      </c>
      <c r="F148">
        <v>8</v>
      </c>
      <c r="G148">
        <v>8</v>
      </c>
      <c r="H148">
        <v>1</v>
      </c>
      <c r="I148">
        <v>0</v>
      </c>
      <c r="J148">
        <v>0.5</v>
      </c>
    </row>
    <row r="149" spans="1:10" x14ac:dyDescent="0.3">
      <c r="A149">
        <v>147</v>
      </c>
      <c r="B149">
        <v>2334</v>
      </c>
      <c r="C149" t="b">
        <v>1</v>
      </c>
      <c r="D149">
        <v>8048</v>
      </c>
      <c r="E149">
        <v>8129</v>
      </c>
      <c r="F149">
        <v>8</v>
      </c>
      <c r="G149">
        <v>8</v>
      </c>
      <c r="H149">
        <v>1</v>
      </c>
      <c r="I149">
        <v>0</v>
      </c>
      <c r="J149">
        <v>0.5</v>
      </c>
    </row>
    <row r="150" spans="1:10" x14ac:dyDescent="0.3">
      <c r="A150">
        <v>148</v>
      </c>
      <c r="B150">
        <v>2350</v>
      </c>
      <c r="C150" t="b">
        <v>1</v>
      </c>
      <c r="D150">
        <v>8048</v>
      </c>
      <c r="E150">
        <v>8123</v>
      </c>
      <c r="F150">
        <v>8</v>
      </c>
      <c r="G150">
        <v>8</v>
      </c>
      <c r="H150">
        <v>1</v>
      </c>
      <c r="I150">
        <v>0</v>
      </c>
      <c r="J150">
        <v>0.5</v>
      </c>
    </row>
    <row r="151" spans="1:10" x14ac:dyDescent="0.3">
      <c r="A151">
        <v>149</v>
      </c>
      <c r="B151">
        <v>2366</v>
      </c>
      <c r="C151" t="b">
        <v>1</v>
      </c>
      <c r="D151">
        <v>8048</v>
      </c>
      <c r="E151">
        <v>8123</v>
      </c>
      <c r="F151">
        <v>8</v>
      </c>
      <c r="G151">
        <v>8</v>
      </c>
      <c r="H151">
        <v>1</v>
      </c>
      <c r="I151">
        <v>0</v>
      </c>
      <c r="J151">
        <v>0.5</v>
      </c>
    </row>
    <row r="152" spans="1:10" x14ac:dyDescent="0.3">
      <c r="A152">
        <v>150</v>
      </c>
      <c r="B152">
        <v>2382</v>
      </c>
      <c r="C152" t="b">
        <v>1</v>
      </c>
      <c r="D152">
        <v>8048</v>
      </c>
      <c r="E152">
        <v>8123</v>
      </c>
      <c r="F152">
        <v>8</v>
      </c>
      <c r="G152">
        <v>8</v>
      </c>
      <c r="H152">
        <v>1</v>
      </c>
      <c r="I152">
        <v>0</v>
      </c>
      <c r="J152">
        <v>0.5</v>
      </c>
    </row>
    <row r="153" spans="1:10" x14ac:dyDescent="0.3">
      <c r="A153">
        <v>151</v>
      </c>
      <c r="B153">
        <v>2398</v>
      </c>
      <c r="C153" t="b">
        <v>1</v>
      </c>
      <c r="D153">
        <v>8048</v>
      </c>
      <c r="E153">
        <v>8123</v>
      </c>
      <c r="F153">
        <v>8</v>
      </c>
      <c r="G153">
        <v>8</v>
      </c>
      <c r="H153">
        <v>1</v>
      </c>
      <c r="I153">
        <v>0</v>
      </c>
      <c r="J153">
        <v>0.5</v>
      </c>
    </row>
    <row r="154" spans="1:10" x14ac:dyDescent="0.3">
      <c r="A154">
        <v>152</v>
      </c>
      <c r="B154">
        <v>2414</v>
      </c>
      <c r="C154" t="b">
        <v>1</v>
      </c>
      <c r="D154">
        <v>8048</v>
      </c>
      <c r="E154">
        <v>8129</v>
      </c>
      <c r="F154">
        <v>8</v>
      </c>
      <c r="G154">
        <v>8</v>
      </c>
      <c r="H154">
        <v>1</v>
      </c>
      <c r="I154">
        <v>0</v>
      </c>
      <c r="J154">
        <v>0.5</v>
      </c>
    </row>
    <row r="155" spans="1:10" x14ac:dyDescent="0.3">
      <c r="A155">
        <v>153</v>
      </c>
      <c r="B155">
        <v>2430</v>
      </c>
      <c r="C155" t="b">
        <v>1</v>
      </c>
      <c r="D155">
        <v>8048</v>
      </c>
      <c r="E155">
        <v>8123</v>
      </c>
      <c r="F155">
        <v>8</v>
      </c>
      <c r="G155">
        <v>8</v>
      </c>
      <c r="H155">
        <v>1</v>
      </c>
      <c r="I155">
        <v>0</v>
      </c>
      <c r="J155">
        <v>0.5</v>
      </c>
    </row>
    <row r="156" spans="1:10" x14ac:dyDescent="0.3">
      <c r="A156">
        <v>154</v>
      </c>
      <c r="B156">
        <v>2446</v>
      </c>
      <c r="C156" t="b">
        <v>1</v>
      </c>
      <c r="D156">
        <v>8048</v>
      </c>
      <c r="E156">
        <v>8123</v>
      </c>
      <c r="F156">
        <v>8</v>
      </c>
      <c r="G156">
        <v>8</v>
      </c>
      <c r="H156">
        <v>1</v>
      </c>
      <c r="I156">
        <v>0</v>
      </c>
      <c r="J156">
        <v>0.5</v>
      </c>
    </row>
    <row r="157" spans="1:10" x14ac:dyDescent="0.3">
      <c r="A157">
        <v>155</v>
      </c>
      <c r="B157">
        <v>2462</v>
      </c>
      <c r="C157" t="b">
        <v>1</v>
      </c>
      <c r="D157">
        <v>8054</v>
      </c>
      <c r="E157">
        <v>8123</v>
      </c>
      <c r="F157">
        <v>8</v>
      </c>
      <c r="G157">
        <v>8</v>
      </c>
      <c r="H157">
        <v>1</v>
      </c>
      <c r="I157">
        <v>0</v>
      </c>
      <c r="J157">
        <v>0.5</v>
      </c>
    </row>
    <row r="158" spans="1:10" x14ac:dyDescent="0.3">
      <c r="A158">
        <v>156</v>
      </c>
      <c r="B158">
        <v>2478</v>
      </c>
      <c r="C158" t="b">
        <v>1</v>
      </c>
      <c r="D158">
        <v>8048</v>
      </c>
      <c r="E158">
        <v>8123</v>
      </c>
      <c r="F158">
        <v>8</v>
      </c>
      <c r="G158">
        <v>8</v>
      </c>
      <c r="H158">
        <v>1</v>
      </c>
      <c r="I158">
        <v>0</v>
      </c>
      <c r="J158">
        <v>0.5</v>
      </c>
    </row>
    <row r="159" spans="1:10" x14ac:dyDescent="0.3">
      <c r="A159">
        <v>157</v>
      </c>
      <c r="B159">
        <v>2494</v>
      </c>
      <c r="C159" t="b">
        <v>1</v>
      </c>
      <c r="D159">
        <v>8048</v>
      </c>
      <c r="E159">
        <v>8123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2510</v>
      </c>
      <c r="C160" t="b">
        <v>1</v>
      </c>
      <c r="D160">
        <v>8048</v>
      </c>
      <c r="E160">
        <v>8117</v>
      </c>
      <c r="F160">
        <v>8</v>
      </c>
      <c r="G160">
        <v>8</v>
      </c>
      <c r="H160">
        <v>1</v>
      </c>
      <c r="I160">
        <v>0</v>
      </c>
      <c r="J160">
        <v>0.5</v>
      </c>
    </row>
    <row r="161" spans="1:10" x14ac:dyDescent="0.3">
      <c r="A161">
        <v>159</v>
      </c>
      <c r="B161">
        <v>2525</v>
      </c>
      <c r="C161" t="b">
        <v>1</v>
      </c>
      <c r="D161">
        <v>8048</v>
      </c>
      <c r="E161">
        <v>8123</v>
      </c>
      <c r="F161">
        <v>8</v>
      </c>
      <c r="G161">
        <v>8</v>
      </c>
      <c r="H161">
        <v>1</v>
      </c>
      <c r="I161">
        <v>0</v>
      </c>
      <c r="J161">
        <v>0.5</v>
      </c>
    </row>
    <row r="162" spans="1:10" x14ac:dyDescent="0.3">
      <c r="A162">
        <v>160</v>
      </c>
      <c r="B162">
        <v>2541</v>
      </c>
      <c r="C162" t="b">
        <v>1</v>
      </c>
      <c r="D162">
        <v>8048</v>
      </c>
      <c r="E162">
        <v>8123</v>
      </c>
      <c r="F162">
        <v>8</v>
      </c>
      <c r="G162">
        <v>8</v>
      </c>
      <c r="H162">
        <v>1</v>
      </c>
      <c r="I162">
        <v>0</v>
      </c>
      <c r="J162">
        <v>0.5</v>
      </c>
    </row>
    <row r="163" spans="1:10" x14ac:dyDescent="0.3">
      <c r="A163">
        <v>161</v>
      </c>
      <c r="B163">
        <v>2557</v>
      </c>
      <c r="C163" t="b">
        <v>1</v>
      </c>
      <c r="D163">
        <v>8048</v>
      </c>
      <c r="E163">
        <v>8123</v>
      </c>
      <c r="F163">
        <v>8</v>
      </c>
      <c r="G163">
        <v>8</v>
      </c>
      <c r="H163">
        <v>1</v>
      </c>
      <c r="I163">
        <v>0</v>
      </c>
      <c r="J163">
        <v>0.5</v>
      </c>
    </row>
    <row r="164" spans="1:10" x14ac:dyDescent="0.3">
      <c r="A164">
        <v>162</v>
      </c>
      <c r="B164">
        <v>2573</v>
      </c>
      <c r="C164" t="b">
        <v>1</v>
      </c>
      <c r="D164">
        <v>8048</v>
      </c>
      <c r="E164">
        <v>8123</v>
      </c>
      <c r="F164">
        <v>8</v>
      </c>
      <c r="G164">
        <v>8</v>
      </c>
      <c r="H164">
        <v>1</v>
      </c>
      <c r="I164">
        <v>0</v>
      </c>
      <c r="J164">
        <v>0.5</v>
      </c>
    </row>
    <row r="165" spans="1:10" x14ac:dyDescent="0.3">
      <c r="A165">
        <v>163</v>
      </c>
      <c r="B165">
        <v>2589</v>
      </c>
      <c r="C165" t="b">
        <v>1</v>
      </c>
      <c r="D165">
        <v>8048</v>
      </c>
      <c r="E165">
        <v>8117</v>
      </c>
      <c r="F165">
        <v>8</v>
      </c>
      <c r="G165">
        <v>8</v>
      </c>
      <c r="H165">
        <v>1</v>
      </c>
      <c r="I165">
        <v>0</v>
      </c>
      <c r="J165">
        <v>0.5</v>
      </c>
    </row>
    <row r="166" spans="1:10" x14ac:dyDescent="0.3">
      <c r="A166">
        <v>164</v>
      </c>
      <c r="B166">
        <v>2605</v>
      </c>
      <c r="C166" t="b">
        <v>1</v>
      </c>
      <c r="D166">
        <v>8048</v>
      </c>
      <c r="E166">
        <v>8117</v>
      </c>
      <c r="F166">
        <v>8</v>
      </c>
      <c r="G166">
        <v>8</v>
      </c>
      <c r="H166">
        <v>1</v>
      </c>
      <c r="I166">
        <v>0</v>
      </c>
      <c r="J166">
        <v>0.5</v>
      </c>
    </row>
    <row r="167" spans="1:10" x14ac:dyDescent="0.3">
      <c r="A167">
        <v>165</v>
      </c>
      <c r="B167">
        <v>2621</v>
      </c>
      <c r="C167" t="b">
        <v>1</v>
      </c>
      <c r="D167">
        <v>8048</v>
      </c>
      <c r="E167">
        <v>8117</v>
      </c>
      <c r="F167">
        <v>8</v>
      </c>
      <c r="G167">
        <v>7.6</v>
      </c>
      <c r="H167">
        <v>1.0526316</v>
      </c>
      <c r="I167">
        <v>-5.2631589999999999E-2</v>
      </c>
      <c r="J167">
        <v>0.48717946000000001</v>
      </c>
    </row>
    <row r="168" spans="1:10" x14ac:dyDescent="0.3">
      <c r="A168">
        <v>166</v>
      </c>
      <c r="B168">
        <v>2637</v>
      </c>
      <c r="C168" t="b">
        <v>1</v>
      </c>
      <c r="D168">
        <v>8048</v>
      </c>
      <c r="E168">
        <v>8117</v>
      </c>
      <c r="F168">
        <v>8</v>
      </c>
      <c r="G168">
        <v>7.2</v>
      </c>
      <c r="H168">
        <v>1.1111112000000001</v>
      </c>
      <c r="I168">
        <v>-0.11111114</v>
      </c>
      <c r="J168">
        <v>0.4736842</v>
      </c>
    </row>
    <row r="169" spans="1:10" x14ac:dyDescent="0.3">
      <c r="A169">
        <v>167</v>
      </c>
      <c r="B169">
        <v>2653</v>
      </c>
      <c r="C169" t="b">
        <v>1</v>
      </c>
      <c r="D169">
        <v>8048</v>
      </c>
      <c r="E169">
        <v>8117</v>
      </c>
      <c r="F169">
        <v>8</v>
      </c>
      <c r="G169">
        <v>6.8</v>
      </c>
      <c r="H169">
        <v>1.1764705</v>
      </c>
      <c r="I169">
        <v>-0.17647055</v>
      </c>
      <c r="J169">
        <v>0.45945944999999999</v>
      </c>
    </row>
    <row r="170" spans="1:10" x14ac:dyDescent="0.3">
      <c r="A170">
        <v>168</v>
      </c>
      <c r="B170">
        <v>2669</v>
      </c>
      <c r="C170" t="b">
        <v>1</v>
      </c>
      <c r="D170">
        <v>8048</v>
      </c>
      <c r="E170">
        <v>8117</v>
      </c>
      <c r="F170">
        <v>8</v>
      </c>
      <c r="G170">
        <v>6.4</v>
      </c>
      <c r="H170">
        <v>1.25</v>
      </c>
      <c r="I170">
        <v>-0.24999999000000001</v>
      </c>
      <c r="J170">
        <v>0.44444447999999998</v>
      </c>
    </row>
    <row r="171" spans="1:10" x14ac:dyDescent="0.3">
      <c r="A171">
        <v>169</v>
      </c>
      <c r="B171">
        <v>2685</v>
      </c>
      <c r="C171" t="b">
        <v>1</v>
      </c>
      <c r="D171">
        <v>8048</v>
      </c>
      <c r="E171">
        <v>8123</v>
      </c>
      <c r="F171">
        <v>8</v>
      </c>
      <c r="G171">
        <v>6</v>
      </c>
      <c r="H171">
        <v>1.3333333999999999</v>
      </c>
      <c r="I171">
        <v>-0.33333333999999998</v>
      </c>
      <c r="J171">
        <v>0.42857142999999998</v>
      </c>
    </row>
    <row r="172" spans="1:10" x14ac:dyDescent="0.3">
      <c r="A172">
        <v>170</v>
      </c>
      <c r="B172">
        <v>2700</v>
      </c>
      <c r="C172" t="b">
        <v>1</v>
      </c>
      <c r="D172">
        <v>8048</v>
      </c>
      <c r="E172">
        <v>8123</v>
      </c>
      <c r="F172">
        <v>8</v>
      </c>
      <c r="G172">
        <v>5.6</v>
      </c>
      <c r="H172">
        <v>1.4285715000000001</v>
      </c>
      <c r="I172">
        <v>-0.42857146000000002</v>
      </c>
      <c r="J172">
        <v>0.41176467999999999</v>
      </c>
    </row>
    <row r="173" spans="1:10" x14ac:dyDescent="0.3">
      <c r="A173">
        <v>171</v>
      </c>
      <c r="B173">
        <v>2716</v>
      </c>
      <c r="C173" t="b">
        <v>1</v>
      </c>
      <c r="D173">
        <v>8048</v>
      </c>
      <c r="E173">
        <v>8123</v>
      </c>
      <c r="F173">
        <v>8</v>
      </c>
      <c r="G173">
        <v>5.6</v>
      </c>
      <c r="H173">
        <v>1.4285715000000001</v>
      </c>
      <c r="I173">
        <v>-0.42857146000000002</v>
      </c>
      <c r="J173">
        <v>0.41176467999999999</v>
      </c>
    </row>
    <row r="174" spans="1:10" x14ac:dyDescent="0.3">
      <c r="A174">
        <v>172</v>
      </c>
      <c r="B174">
        <v>2732</v>
      </c>
      <c r="C174" t="b">
        <v>1</v>
      </c>
      <c r="D174">
        <v>8048</v>
      </c>
      <c r="E174">
        <v>8117</v>
      </c>
      <c r="F174">
        <v>8</v>
      </c>
      <c r="G174">
        <v>5.6</v>
      </c>
      <c r="H174">
        <v>1.4285715000000001</v>
      </c>
      <c r="I174">
        <v>-0.42857146000000002</v>
      </c>
      <c r="J174">
        <v>0.41176467999999999</v>
      </c>
    </row>
    <row r="175" spans="1:10" x14ac:dyDescent="0.3">
      <c r="A175">
        <v>173</v>
      </c>
      <c r="B175">
        <v>2748</v>
      </c>
      <c r="C175" t="b">
        <v>1</v>
      </c>
      <c r="D175">
        <v>8048</v>
      </c>
      <c r="E175">
        <v>8123</v>
      </c>
      <c r="F175">
        <v>8</v>
      </c>
      <c r="G175">
        <v>5.6</v>
      </c>
      <c r="H175">
        <v>1.4285715000000001</v>
      </c>
      <c r="I175">
        <v>-0.42857146000000002</v>
      </c>
      <c r="J175">
        <v>0.41176467999999999</v>
      </c>
    </row>
    <row r="176" spans="1:10" x14ac:dyDescent="0.3">
      <c r="A176">
        <v>174</v>
      </c>
      <c r="B176">
        <v>2764</v>
      </c>
      <c r="C176" t="b">
        <v>1</v>
      </c>
      <c r="D176">
        <v>8048</v>
      </c>
      <c r="E176">
        <v>8123</v>
      </c>
      <c r="F176">
        <v>8</v>
      </c>
      <c r="G176">
        <v>5.6</v>
      </c>
      <c r="H176">
        <v>1.4285715000000001</v>
      </c>
      <c r="I176">
        <v>-0.42857146000000002</v>
      </c>
      <c r="J176">
        <v>0.41176467999999999</v>
      </c>
    </row>
    <row r="177" spans="1:10" x14ac:dyDescent="0.3">
      <c r="A177">
        <v>175</v>
      </c>
      <c r="B177">
        <v>2780</v>
      </c>
      <c r="C177" t="b">
        <v>1</v>
      </c>
      <c r="D177">
        <v>8048</v>
      </c>
      <c r="E177">
        <v>8123</v>
      </c>
      <c r="F177">
        <v>8</v>
      </c>
      <c r="G177">
        <v>5.6</v>
      </c>
      <c r="H177">
        <v>1.4285715000000001</v>
      </c>
      <c r="I177">
        <v>-0.42857146000000002</v>
      </c>
      <c r="J177">
        <v>0.41176467999999999</v>
      </c>
    </row>
    <row r="178" spans="1:10" x14ac:dyDescent="0.3">
      <c r="A178">
        <v>176</v>
      </c>
      <c r="B178">
        <v>2796</v>
      </c>
      <c r="C178" t="b">
        <v>1</v>
      </c>
      <c r="D178">
        <v>8054</v>
      </c>
      <c r="E178">
        <v>8123</v>
      </c>
      <c r="F178">
        <v>8</v>
      </c>
      <c r="G178">
        <v>5.6</v>
      </c>
      <c r="H178">
        <v>1.4285715000000001</v>
      </c>
      <c r="I178">
        <v>-0.42857146000000002</v>
      </c>
      <c r="J178">
        <v>0.41176467999999999</v>
      </c>
    </row>
    <row r="179" spans="1:10" x14ac:dyDescent="0.3">
      <c r="A179">
        <v>177</v>
      </c>
      <c r="B179">
        <v>2812</v>
      </c>
      <c r="C179" t="b">
        <v>1</v>
      </c>
      <c r="D179">
        <v>8048</v>
      </c>
      <c r="E179">
        <v>8123</v>
      </c>
      <c r="F179">
        <v>8</v>
      </c>
      <c r="G179">
        <v>5.6</v>
      </c>
      <c r="H179">
        <v>1.4285715000000001</v>
      </c>
      <c r="I179">
        <v>-0.42857146000000002</v>
      </c>
      <c r="J179">
        <v>0.41176467999999999</v>
      </c>
    </row>
    <row r="180" spans="1:10" x14ac:dyDescent="0.3">
      <c r="A180">
        <v>178</v>
      </c>
      <c r="B180">
        <v>2827</v>
      </c>
      <c r="C180" t="b">
        <v>1</v>
      </c>
      <c r="D180">
        <v>8048</v>
      </c>
      <c r="E180">
        <v>8129</v>
      </c>
      <c r="F180">
        <v>8</v>
      </c>
      <c r="G180">
        <v>5.6</v>
      </c>
      <c r="H180">
        <v>1.4285715000000001</v>
      </c>
      <c r="I180">
        <v>-0.42857146000000002</v>
      </c>
      <c r="J180">
        <v>0.41176467999999999</v>
      </c>
    </row>
    <row r="181" spans="1:10" x14ac:dyDescent="0.3">
      <c r="A181">
        <v>179</v>
      </c>
      <c r="B181">
        <v>2844</v>
      </c>
      <c r="C181" t="b">
        <v>1</v>
      </c>
      <c r="D181">
        <v>8048</v>
      </c>
      <c r="E181">
        <v>8123</v>
      </c>
      <c r="F181">
        <v>8</v>
      </c>
      <c r="G181">
        <v>5.6</v>
      </c>
      <c r="H181">
        <v>1.4285715000000001</v>
      </c>
      <c r="I181">
        <v>-0.42857146000000002</v>
      </c>
      <c r="J181">
        <v>0.41176467999999999</v>
      </c>
    </row>
    <row r="182" spans="1:10" x14ac:dyDescent="0.3">
      <c r="A182">
        <v>180</v>
      </c>
      <c r="B182">
        <v>2860</v>
      </c>
      <c r="C182" t="b">
        <v>1</v>
      </c>
      <c r="D182">
        <v>8048</v>
      </c>
      <c r="E182">
        <v>8123</v>
      </c>
      <c r="F182">
        <v>8</v>
      </c>
      <c r="G182">
        <v>6</v>
      </c>
      <c r="H182">
        <v>1.3333333999999999</v>
      </c>
      <c r="I182">
        <v>-0.33333333999999998</v>
      </c>
      <c r="J182">
        <v>0.42857142999999998</v>
      </c>
    </row>
    <row r="183" spans="1:10" x14ac:dyDescent="0.3">
      <c r="A183">
        <v>181</v>
      </c>
      <c r="B183">
        <v>2875</v>
      </c>
      <c r="C183" t="b">
        <v>1</v>
      </c>
      <c r="D183">
        <v>8048</v>
      </c>
      <c r="E183">
        <v>8123</v>
      </c>
      <c r="F183">
        <v>8</v>
      </c>
      <c r="G183">
        <v>6.4</v>
      </c>
      <c r="H183">
        <v>1.25</v>
      </c>
      <c r="I183">
        <v>-0.24999999000000001</v>
      </c>
      <c r="J183">
        <v>0.44444447999999998</v>
      </c>
    </row>
    <row r="184" spans="1:10" x14ac:dyDescent="0.3">
      <c r="A184">
        <v>182</v>
      </c>
      <c r="B184">
        <v>2891</v>
      </c>
      <c r="C184" t="b">
        <v>1</v>
      </c>
      <c r="D184">
        <v>8048</v>
      </c>
      <c r="E184">
        <v>8123</v>
      </c>
      <c r="F184">
        <v>8</v>
      </c>
      <c r="G184">
        <v>6.8</v>
      </c>
      <c r="H184">
        <v>1.1764705</v>
      </c>
      <c r="I184">
        <v>-0.17647055</v>
      </c>
      <c r="J184">
        <v>0.45945944999999999</v>
      </c>
    </row>
    <row r="185" spans="1:10" x14ac:dyDescent="0.3">
      <c r="A185">
        <v>183</v>
      </c>
      <c r="B185">
        <v>2907</v>
      </c>
      <c r="C185" t="b">
        <v>1</v>
      </c>
      <c r="D185">
        <v>8048</v>
      </c>
      <c r="E185">
        <v>8123</v>
      </c>
      <c r="F185">
        <v>8</v>
      </c>
      <c r="G185">
        <v>7.2</v>
      </c>
      <c r="H185">
        <v>1.1111112000000001</v>
      </c>
      <c r="I185">
        <v>-0.11111114</v>
      </c>
      <c r="J185">
        <v>0.4736842</v>
      </c>
    </row>
    <row r="186" spans="1:10" x14ac:dyDescent="0.3">
      <c r="A186">
        <v>184</v>
      </c>
      <c r="B186">
        <v>2923</v>
      </c>
      <c r="C186" t="b">
        <v>1</v>
      </c>
      <c r="D186">
        <v>8048</v>
      </c>
      <c r="E186">
        <v>8123</v>
      </c>
      <c r="F186">
        <v>8</v>
      </c>
      <c r="G186">
        <v>7.6</v>
      </c>
      <c r="H186">
        <v>1.0526316</v>
      </c>
      <c r="I186">
        <v>-5.2631589999999999E-2</v>
      </c>
      <c r="J186">
        <v>0.48717946000000001</v>
      </c>
    </row>
    <row r="187" spans="1:10" x14ac:dyDescent="0.3">
      <c r="A187">
        <v>185</v>
      </c>
      <c r="B187">
        <v>2939</v>
      </c>
      <c r="C187" t="b">
        <v>1</v>
      </c>
      <c r="D187">
        <v>8042</v>
      </c>
      <c r="E187">
        <v>8123</v>
      </c>
      <c r="F187">
        <v>8</v>
      </c>
      <c r="G187">
        <v>8</v>
      </c>
      <c r="H187">
        <v>1</v>
      </c>
      <c r="I187">
        <v>0</v>
      </c>
      <c r="J187">
        <v>0.5</v>
      </c>
    </row>
    <row r="188" spans="1:10" x14ac:dyDescent="0.3">
      <c r="A188">
        <v>186</v>
      </c>
      <c r="B188">
        <v>2955</v>
      </c>
      <c r="C188" t="b">
        <v>1</v>
      </c>
      <c r="D188">
        <v>8048</v>
      </c>
      <c r="E188">
        <v>8123</v>
      </c>
      <c r="F188">
        <v>8</v>
      </c>
      <c r="G188">
        <v>8</v>
      </c>
      <c r="H188">
        <v>1</v>
      </c>
      <c r="I188">
        <v>0</v>
      </c>
      <c r="J188">
        <v>0.5</v>
      </c>
    </row>
    <row r="189" spans="1:10" x14ac:dyDescent="0.3">
      <c r="A189">
        <v>187</v>
      </c>
      <c r="B189">
        <v>2971</v>
      </c>
      <c r="C189" t="b">
        <v>1</v>
      </c>
      <c r="D189">
        <v>8048</v>
      </c>
      <c r="E189">
        <v>8123</v>
      </c>
      <c r="F189">
        <v>8</v>
      </c>
      <c r="G189">
        <v>8</v>
      </c>
      <c r="H189">
        <v>1</v>
      </c>
      <c r="I189">
        <v>0</v>
      </c>
      <c r="J189">
        <v>0.5</v>
      </c>
    </row>
    <row r="190" spans="1:10" x14ac:dyDescent="0.3">
      <c r="A190">
        <v>188</v>
      </c>
      <c r="B190">
        <v>2987</v>
      </c>
      <c r="C190" t="b">
        <v>1</v>
      </c>
      <c r="D190">
        <v>8054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3003</v>
      </c>
      <c r="C191" t="b">
        <v>1</v>
      </c>
      <c r="D191">
        <v>8048</v>
      </c>
      <c r="E191">
        <v>8123</v>
      </c>
      <c r="F191">
        <v>8</v>
      </c>
      <c r="G191">
        <v>8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3019</v>
      </c>
      <c r="C192" t="b">
        <v>1</v>
      </c>
      <c r="D192">
        <v>8048</v>
      </c>
      <c r="E192">
        <v>8123</v>
      </c>
      <c r="F192">
        <v>8</v>
      </c>
      <c r="G192">
        <v>8</v>
      </c>
      <c r="H192">
        <v>1</v>
      </c>
      <c r="I192">
        <v>0</v>
      </c>
      <c r="J192">
        <v>0.5</v>
      </c>
    </row>
    <row r="193" spans="1:10" x14ac:dyDescent="0.3">
      <c r="A193">
        <v>191</v>
      </c>
      <c r="B193">
        <v>3035</v>
      </c>
      <c r="C193" t="b">
        <v>1</v>
      </c>
      <c r="D193">
        <v>8048</v>
      </c>
      <c r="E193">
        <v>8123</v>
      </c>
      <c r="F193">
        <v>8</v>
      </c>
      <c r="G193">
        <v>8</v>
      </c>
      <c r="H193">
        <v>1</v>
      </c>
      <c r="I193">
        <v>0</v>
      </c>
      <c r="J193">
        <v>0.5</v>
      </c>
    </row>
    <row r="194" spans="1:10" x14ac:dyDescent="0.3">
      <c r="A194">
        <v>192</v>
      </c>
      <c r="B194">
        <v>3051</v>
      </c>
      <c r="C194" t="b">
        <v>1</v>
      </c>
      <c r="D194">
        <v>8048</v>
      </c>
      <c r="E194">
        <v>8123</v>
      </c>
      <c r="F194">
        <v>8</v>
      </c>
      <c r="G194">
        <v>8</v>
      </c>
      <c r="H194">
        <v>1</v>
      </c>
      <c r="I194">
        <v>0</v>
      </c>
      <c r="J194">
        <v>0.5</v>
      </c>
    </row>
    <row r="195" spans="1:10" x14ac:dyDescent="0.3">
      <c r="A195">
        <v>193</v>
      </c>
      <c r="B195">
        <v>3067</v>
      </c>
      <c r="C195" t="b">
        <v>1</v>
      </c>
      <c r="D195">
        <v>8048</v>
      </c>
      <c r="E195">
        <v>8123</v>
      </c>
      <c r="F195">
        <v>8</v>
      </c>
      <c r="G195">
        <v>8</v>
      </c>
      <c r="H195">
        <v>1</v>
      </c>
      <c r="I195">
        <v>0</v>
      </c>
      <c r="J195">
        <v>0.5</v>
      </c>
    </row>
    <row r="196" spans="1:10" x14ac:dyDescent="0.3">
      <c r="A196">
        <v>194</v>
      </c>
      <c r="B196">
        <v>3083</v>
      </c>
      <c r="C196" t="b">
        <v>1</v>
      </c>
      <c r="D196">
        <v>8048</v>
      </c>
      <c r="E196">
        <v>8123</v>
      </c>
      <c r="F196">
        <v>8</v>
      </c>
      <c r="G196">
        <v>8</v>
      </c>
      <c r="H196">
        <v>1</v>
      </c>
      <c r="I196">
        <v>0</v>
      </c>
      <c r="J196">
        <v>0.5</v>
      </c>
    </row>
    <row r="197" spans="1:10" x14ac:dyDescent="0.3">
      <c r="A197">
        <v>195</v>
      </c>
      <c r="B197">
        <v>3099</v>
      </c>
      <c r="C197" t="b">
        <v>1</v>
      </c>
      <c r="D197">
        <v>8048</v>
      </c>
      <c r="E197">
        <v>8123</v>
      </c>
      <c r="F197">
        <v>8</v>
      </c>
      <c r="G197">
        <v>8</v>
      </c>
      <c r="H197">
        <v>1</v>
      </c>
      <c r="I197">
        <v>0</v>
      </c>
      <c r="J197">
        <v>0.5</v>
      </c>
    </row>
    <row r="198" spans="1:10" x14ac:dyDescent="0.3">
      <c r="A198">
        <v>196</v>
      </c>
      <c r="B198">
        <v>3115</v>
      </c>
      <c r="C198" t="b">
        <v>1</v>
      </c>
      <c r="D198">
        <v>8054</v>
      </c>
      <c r="E198">
        <v>8123</v>
      </c>
      <c r="F198">
        <v>8</v>
      </c>
      <c r="G198">
        <v>8</v>
      </c>
      <c r="H198">
        <v>1</v>
      </c>
      <c r="I198">
        <v>0</v>
      </c>
      <c r="J198">
        <v>0.5</v>
      </c>
    </row>
    <row r="199" spans="1:10" x14ac:dyDescent="0.3">
      <c r="A199">
        <v>197</v>
      </c>
      <c r="B199">
        <v>3131</v>
      </c>
      <c r="C199" t="b">
        <v>1</v>
      </c>
      <c r="D199">
        <v>8048</v>
      </c>
      <c r="E199">
        <v>8123</v>
      </c>
      <c r="F199">
        <v>8</v>
      </c>
      <c r="G199">
        <v>8</v>
      </c>
      <c r="H199">
        <v>1</v>
      </c>
      <c r="I199">
        <v>0</v>
      </c>
      <c r="J199">
        <v>0.5</v>
      </c>
    </row>
    <row r="200" spans="1:10" x14ac:dyDescent="0.3">
      <c r="A200">
        <v>198</v>
      </c>
      <c r="B200">
        <v>3147</v>
      </c>
      <c r="C200" t="b">
        <v>1</v>
      </c>
      <c r="D200">
        <v>8054</v>
      </c>
      <c r="E200">
        <v>8123</v>
      </c>
      <c r="F200">
        <v>8</v>
      </c>
      <c r="G200">
        <v>8</v>
      </c>
      <c r="H200">
        <v>1</v>
      </c>
      <c r="I200">
        <v>0</v>
      </c>
      <c r="J200">
        <v>0.5</v>
      </c>
    </row>
    <row r="201" spans="1:10" x14ac:dyDescent="0.3">
      <c r="A201">
        <v>199</v>
      </c>
      <c r="B201">
        <v>3163</v>
      </c>
      <c r="C201" t="b">
        <v>1</v>
      </c>
      <c r="D201">
        <v>8054</v>
      </c>
      <c r="E201">
        <v>8123</v>
      </c>
      <c r="F201">
        <v>8.4</v>
      </c>
      <c r="G201">
        <v>8</v>
      </c>
      <c r="H201">
        <v>1.05</v>
      </c>
      <c r="I201">
        <v>-4.9999952E-2</v>
      </c>
      <c r="J201">
        <v>0.48780489999999999</v>
      </c>
    </row>
    <row r="202" spans="1:10" x14ac:dyDescent="0.3">
      <c r="A202">
        <v>200</v>
      </c>
      <c r="B202">
        <v>3179</v>
      </c>
      <c r="C202" t="b">
        <v>1</v>
      </c>
      <c r="D202">
        <v>8054</v>
      </c>
      <c r="E202">
        <v>8117</v>
      </c>
      <c r="F202">
        <v>8.8000000000000007</v>
      </c>
      <c r="G202">
        <v>8</v>
      </c>
      <c r="H202">
        <v>1.1000000000000001</v>
      </c>
      <c r="I202">
        <v>-0.10000002400000001</v>
      </c>
      <c r="J202">
        <v>0.47619050000000002</v>
      </c>
    </row>
    <row r="203" spans="1:10" x14ac:dyDescent="0.3">
      <c r="A203">
        <v>201</v>
      </c>
      <c r="B203">
        <v>3195</v>
      </c>
      <c r="C203" t="b">
        <v>1</v>
      </c>
      <c r="D203">
        <v>8048</v>
      </c>
      <c r="E203">
        <v>8134</v>
      </c>
      <c r="F203">
        <v>9.1999999999999993</v>
      </c>
      <c r="G203">
        <v>8</v>
      </c>
      <c r="H203">
        <v>1.1499999999999999</v>
      </c>
      <c r="I203">
        <v>-0.14999998</v>
      </c>
      <c r="J203">
        <v>0.46511626</v>
      </c>
    </row>
    <row r="204" spans="1:10" x14ac:dyDescent="0.3">
      <c r="A204">
        <v>202</v>
      </c>
      <c r="B204">
        <v>3211</v>
      </c>
      <c r="C204" t="b">
        <v>1</v>
      </c>
      <c r="D204">
        <v>8048</v>
      </c>
      <c r="E204">
        <v>8117</v>
      </c>
      <c r="F204">
        <v>9.6</v>
      </c>
      <c r="G204">
        <v>8</v>
      </c>
      <c r="H204">
        <v>1.2</v>
      </c>
      <c r="I204">
        <v>-0.20000005000000001</v>
      </c>
      <c r="J204">
        <v>0.45454544000000002</v>
      </c>
    </row>
    <row r="205" spans="1:10" x14ac:dyDescent="0.3">
      <c r="A205">
        <v>203</v>
      </c>
      <c r="B205">
        <v>3227</v>
      </c>
      <c r="C205" t="b">
        <v>1</v>
      </c>
      <c r="D205">
        <v>8048</v>
      </c>
      <c r="E205">
        <v>8123</v>
      </c>
      <c r="F205">
        <v>9.6</v>
      </c>
      <c r="G205">
        <v>8</v>
      </c>
      <c r="H205">
        <v>1.2</v>
      </c>
      <c r="I205">
        <v>-0.20000005000000001</v>
      </c>
      <c r="J205">
        <v>0.45454544000000002</v>
      </c>
    </row>
    <row r="206" spans="1:10" x14ac:dyDescent="0.3">
      <c r="A206">
        <v>204</v>
      </c>
      <c r="B206">
        <v>3243</v>
      </c>
      <c r="C206" t="b">
        <v>1</v>
      </c>
      <c r="D206">
        <v>8048</v>
      </c>
      <c r="E206">
        <v>8123</v>
      </c>
      <c r="F206">
        <v>9.6</v>
      </c>
      <c r="G206">
        <v>8</v>
      </c>
      <c r="H206">
        <v>1.2</v>
      </c>
      <c r="I206">
        <v>-0.20000005000000001</v>
      </c>
      <c r="J206">
        <v>0.45454544000000002</v>
      </c>
    </row>
    <row r="207" spans="1:10" x14ac:dyDescent="0.3">
      <c r="A207">
        <v>205</v>
      </c>
      <c r="B207">
        <v>3258</v>
      </c>
      <c r="C207" t="b">
        <v>1</v>
      </c>
      <c r="D207">
        <v>8048</v>
      </c>
      <c r="E207">
        <v>8134</v>
      </c>
      <c r="F207">
        <v>9.6</v>
      </c>
      <c r="G207">
        <v>8</v>
      </c>
      <c r="H207">
        <v>1.2</v>
      </c>
      <c r="I207">
        <v>-0.20000005000000001</v>
      </c>
      <c r="J207">
        <v>0.45454544000000002</v>
      </c>
    </row>
    <row r="208" spans="1:10" x14ac:dyDescent="0.3">
      <c r="A208">
        <v>206</v>
      </c>
      <c r="B208">
        <v>3274</v>
      </c>
      <c r="C208" t="b">
        <v>1</v>
      </c>
      <c r="D208">
        <v>8048</v>
      </c>
      <c r="E208">
        <v>8123</v>
      </c>
      <c r="F208">
        <v>9.6</v>
      </c>
      <c r="G208">
        <v>8</v>
      </c>
      <c r="H208">
        <v>1.2</v>
      </c>
      <c r="I208">
        <v>-0.20000005000000001</v>
      </c>
      <c r="J208">
        <v>0.45454544000000002</v>
      </c>
    </row>
    <row r="209" spans="1:10" x14ac:dyDescent="0.3">
      <c r="A209">
        <v>207</v>
      </c>
      <c r="B209">
        <v>3290</v>
      </c>
      <c r="C209" t="b">
        <v>1</v>
      </c>
      <c r="D209">
        <v>8048</v>
      </c>
      <c r="E209">
        <v>8123</v>
      </c>
      <c r="F209">
        <v>9.6</v>
      </c>
      <c r="G209">
        <v>8</v>
      </c>
      <c r="H209">
        <v>1.2</v>
      </c>
      <c r="I209">
        <v>-0.20000005000000001</v>
      </c>
      <c r="J209">
        <v>0.45454544000000002</v>
      </c>
    </row>
    <row r="210" spans="1:10" x14ac:dyDescent="0.3">
      <c r="A210">
        <v>208</v>
      </c>
      <c r="B210">
        <v>3306</v>
      </c>
      <c r="C210" t="b">
        <v>1</v>
      </c>
      <c r="D210">
        <v>8048</v>
      </c>
      <c r="E210">
        <v>8123</v>
      </c>
      <c r="F210">
        <v>9.6</v>
      </c>
      <c r="G210">
        <v>8</v>
      </c>
      <c r="H210">
        <v>1.2</v>
      </c>
      <c r="I210">
        <v>-0.20000005000000001</v>
      </c>
      <c r="J210">
        <v>0.45454544000000002</v>
      </c>
    </row>
    <row r="211" spans="1:10" x14ac:dyDescent="0.3">
      <c r="A211">
        <v>209</v>
      </c>
      <c r="B211">
        <v>3322</v>
      </c>
      <c r="C211" t="b">
        <v>1</v>
      </c>
      <c r="D211">
        <v>8048</v>
      </c>
      <c r="E211">
        <v>8117</v>
      </c>
      <c r="F211">
        <v>9.6</v>
      </c>
      <c r="G211">
        <v>8</v>
      </c>
      <c r="H211">
        <v>1.2</v>
      </c>
      <c r="I211">
        <v>-0.20000005000000001</v>
      </c>
      <c r="J211">
        <v>0.45454544000000002</v>
      </c>
    </row>
    <row r="212" spans="1:10" x14ac:dyDescent="0.3">
      <c r="A212">
        <v>210</v>
      </c>
      <c r="B212">
        <v>3338</v>
      </c>
      <c r="C212" t="b">
        <v>1</v>
      </c>
      <c r="D212">
        <v>8048</v>
      </c>
      <c r="E212">
        <v>8117</v>
      </c>
      <c r="F212">
        <v>9.6</v>
      </c>
      <c r="G212">
        <v>8</v>
      </c>
      <c r="H212">
        <v>1.2</v>
      </c>
      <c r="I212">
        <v>-0.20000005000000001</v>
      </c>
      <c r="J212">
        <v>0.45454544000000002</v>
      </c>
    </row>
    <row r="213" spans="1:10" x14ac:dyDescent="0.3">
      <c r="A213">
        <v>211</v>
      </c>
      <c r="B213">
        <v>3354</v>
      </c>
      <c r="C213" t="b">
        <v>1</v>
      </c>
      <c r="D213">
        <v>8048</v>
      </c>
      <c r="E213">
        <v>8123</v>
      </c>
      <c r="F213">
        <v>9.6</v>
      </c>
      <c r="G213">
        <v>8</v>
      </c>
      <c r="H213">
        <v>1.2</v>
      </c>
      <c r="I213">
        <v>-0.20000005000000001</v>
      </c>
      <c r="J213">
        <v>0.45454544000000002</v>
      </c>
    </row>
    <row r="214" spans="1:10" x14ac:dyDescent="0.3">
      <c r="A214">
        <v>212</v>
      </c>
      <c r="B214">
        <v>3369</v>
      </c>
      <c r="C214" t="b">
        <v>1</v>
      </c>
      <c r="D214">
        <v>8048</v>
      </c>
      <c r="E214">
        <v>8117</v>
      </c>
      <c r="F214">
        <v>9.6</v>
      </c>
      <c r="G214">
        <v>7.6</v>
      </c>
      <c r="H214">
        <v>1.263158</v>
      </c>
      <c r="I214">
        <v>-0.26315796000000002</v>
      </c>
      <c r="J214">
        <v>0.44186044000000002</v>
      </c>
    </row>
    <row r="215" spans="1:10" x14ac:dyDescent="0.3">
      <c r="A215">
        <v>213</v>
      </c>
      <c r="B215">
        <v>3385</v>
      </c>
      <c r="C215" t="b">
        <v>1</v>
      </c>
      <c r="D215">
        <v>8048</v>
      </c>
      <c r="E215">
        <v>8123</v>
      </c>
      <c r="F215">
        <v>9.6</v>
      </c>
      <c r="G215">
        <v>7.2</v>
      </c>
      <c r="H215">
        <v>1.3333333999999999</v>
      </c>
      <c r="I215">
        <v>-0.33333342999999999</v>
      </c>
      <c r="J215">
        <v>0.42857142999999998</v>
      </c>
    </row>
    <row r="216" spans="1:10" x14ac:dyDescent="0.3">
      <c r="A216">
        <v>214</v>
      </c>
      <c r="B216">
        <v>3401</v>
      </c>
      <c r="C216" t="b">
        <v>1</v>
      </c>
      <c r="D216">
        <v>8048</v>
      </c>
      <c r="E216">
        <v>8123</v>
      </c>
      <c r="F216">
        <v>9.1999999999999993</v>
      </c>
      <c r="G216">
        <v>7.2</v>
      </c>
      <c r="H216">
        <v>1.2777778</v>
      </c>
      <c r="I216">
        <v>-0.27777780000000002</v>
      </c>
      <c r="J216">
        <v>0.43902439999999998</v>
      </c>
    </row>
    <row r="217" spans="1:10" x14ac:dyDescent="0.3">
      <c r="A217">
        <v>215</v>
      </c>
      <c r="B217">
        <v>3417</v>
      </c>
      <c r="C217" t="b">
        <v>1</v>
      </c>
      <c r="D217">
        <v>8048</v>
      </c>
      <c r="E217">
        <v>8123</v>
      </c>
      <c r="F217">
        <v>8.8000000000000007</v>
      </c>
      <c r="G217">
        <v>7.2</v>
      </c>
      <c r="H217">
        <v>1.2222223000000001</v>
      </c>
      <c r="I217">
        <v>-0.22222227999999999</v>
      </c>
      <c r="J217">
        <v>0.45</v>
      </c>
    </row>
    <row r="218" spans="1:10" x14ac:dyDescent="0.3">
      <c r="A218">
        <v>216</v>
      </c>
      <c r="B218">
        <v>3433</v>
      </c>
      <c r="C218" t="b">
        <v>1</v>
      </c>
      <c r="D218">
        <v>8048</v>
      </c>
      <c r="E218">
        <v>8117</v>
      </c>
      <c r="F218">
        <v>8.4</v>
      </c>
      <c r="G218">
        <v>7.2</v>
      </c>
      <c r="H218">
        <v>1.1666666000000001</v>
      </c>
      <c r="I218">
        <v>-0.16666664</v>
      </c>
      <c r="J218">
        <v>0.46153845999999998</v>
      </c>
    </row>
    <row r="219" spans="1:10" x14ac:dyDescent="0.3">
      <c r="A219">
        <v>217</v>
      </c>
      <c r="B219">
        <v>3449</v>
      </c>
      <c r="C219" t="b">
        <v>1</v>
      </c>
      <c r="D219">
        <v>8048</v>
      </c>
      <c r="E219">
        <v>8117</v>
      </c>
      <c r="F219">
        <v>8</v>
      </c>
      <c r="G219">
        <v>7.2</v>
      </c>
      <c r="H219">
        <v>1.1111112000000001</v>
      </c>
      <c r="I219">
        <v>-0.11111114</v>
      </c>
      <c r="J219">
        <v>0.4736842</v>
      </c>
    </row>
    <row r="220" spans="1:10" x14ac:dyDescent="0.3">
      <c r="A220">
        <v>218</v>
      </c>
      <c r="B220">
        <v>3465</v>
      </c>
      <c r="C220" t="b">
        <v>1</v>
      </c>
      <c r="D220">
        <v>8054</v>
      </c>
      <c r="E220">
        <v>8123</v>
      </c>
      <c r="F220">
        <v>8</v>
      </c>
      <c r="G220">
        <v>7.2</v>
      </c>
      <c r="H220">
        <v>1.1111112000000001</v>
      </c>
      <c r="I220">
        <v>-0.11111114</v>
      </c>
      <c r="J220">
        <v>0.4736842</v>
      </c>
    </row>
    <row r="221" spans="1:10" x14ac:dyDescent="0.3">
      <c r="A221">
        <v>219</v>
      </c>
      <c r="B221">
        <v>3481</v>
      </c>
      <c r="C221" t="b">
        <v>1</v>
      </c>
      <c r="D221">
        <v>8048</v>
      </c>
      <c r="E221">
        <v>8123</v>
      </c>
      <c r="F221">
        <v>8</v>
      </c>
      <c r="G221">
        <v>7.2</v>
      </c>
      <c r="H221">
        <v>1.1111112000000001</v>
      </c>
      <c r="I221">
        <v>-0.11111114</v>
      </c>
      <c r="J221">
        <v>0.4736842</v>
      </c>
    </row>
    <row r="222" spans="1:10" x14ac:dyDescent="0.3">
      <c r="A222">
        <v>220</v>
      </c>
      <c r="B222">
        <v>3497</v>
      </c>
      <c r="C222" t="b">
        <v>1</v>
      </c>
      <c r="D222">
        <v>8048</v>
      </c>
      <c r="E222">
        <v>8123</v>
      </c>
      <c r="F222">
        <v>8</v>
      </c>
      <c r="G222">
        <v>7.2</v>
      </c>
      <c r="H222">
        <v>1.1111112000000001</v>
      </c>
      <c r="I222">
        <v>-0.11111114</v>
      </c>
      <c r="J222">
        <v>0.4736842</v>
      </c>
    </row>
    <row r="223" spans="1:10" x14ac:dyDescent="0.3">
      <c r="A223">
        <v>221</v>
      </c>
      <c r="B223">
        <v>3513</v>
      </c>
      <c r="C223" t="b">
        <v>1</v>
      </c>
      <c r="D223">
        <v>8048</v>
      </c>
      <c r="E223">
        <v>8123</v>
      </c>
      <c r="F223">
        <v>8</v>
      </c>
      <c r="G223">
        <v>7.2</v>
      </c>
      <c r="H223">
        <v>1.1111112000000001</v>
      </c>
      <c r="I223">
        <v>-0.11111114</v>
      </c>
      <c r="J223">
        <v>0.4736842</v>
      </c>
    </row>
    <row r="224" spans="1:10" x14ac:dyDescent="0.3">
      <c r="A224">
        <v>222</v>
      </c>
      <c r="B224">
        <v>3529</v>
      </c>
      <c r="C224" t="b">
        <v>1</v>
      </c>
      <c r="D224">
        <v>8048</v>
      </c>
      <c r="E224">
        <v>8123</v>
      </c>
      <c r="F224">
        <v>8</v>
      </c>
      <c r="G224">
        <v>7.2</v>
      </c>
      <c r="H224">
        <v>1.1111112000000001</v>
      </c>
      <c r="I224">
        <v>-0.11111114</v>
      </c>
      <c r="J224">
        <v>0.4736842</v>
      </c>
    </row>
    <row r="225" spans="1:10" x14ac:dyDescent="0.3">
      <c r="A225">
        <v>223</v>
      </c>
      <c r="B225">
        <v>3544</v>
      </c>
      <c r="C225" t="b">
        <v>1</v>
      </c>
      <c r="D225">
        <v>8042</v>
      </c>
      <c r="E225">
        <v>8123</v>
      </c>
      <c r="F225">
        <v>8</v>
      </c>
      <c r="G225">
        <v>7.2</v>
      </c>
      <c r="H225">
        <v>1.1111112000000001</v>
      </c>
      <c r="I225">
        <v>-0.11111114</v>
      </c>
      <c r="J225">
        <v>0.4736842</v>
      </c>
    </row>
    <row r="226" spans="1:10" x14ac:dyDescent="0.3">
      <c r="A226">
        <v>224</v>
      </c>
      <c r="B226">
        <v>3560</v>
      </c>
      <c r="C226" t="b">
        <v>1</v>
      </c>
      <c r="D226">
        <v>8048</v>
      </c>
      <c r="E226">
        <v>8123</v>
      </c>
      <c r="F226">
        <v>8</v>
      </c>
      <c r="G226">
        <v>7.2</v>
      </c>
      <c r="H226">
        <v>1.1111112000000001</v>
      </c>
      <c r="I226">
        <v>-0.11111114</v>
      </c>
      <c r="J226">
        <v>0.4736842</v>
      </c>
    </row>
    <row r="227" spans="1:10" x14ac:dyDescent="0.3">
      <c r="A227">
        <v>225</v>
      </c>
      <c r="B227">
        <v>3576</v>
      </c>
      <c r="C227" t="b">
        <v>1</v>
      </c>
      <c r="D227">
        <v>8048</v>
      </c>
      <c r="E227">
        <v>8123</v>
      </c>
      <c r="F227">
        <v>8</v>
      </c>
      <c r="G227">
        <v>7.2</v>
      </c>
      <c r="H227">
        <v>1.1111112000000001</v>
      </c>
      <c r="I227">
        <v>-0.11111114</v>
      </c>
      <c r="J227">
        <v>0.4736842</v>
      </c>
    </row>
    <row r="228" spans="1:10" x14ac:dyDescent="0.3">
      <c r="A228">
        <v>226</v>
      </c>
      <c r="B228">
        <v>3592</v>
      </c>
      <c r="C228" t="b">
        <v>1</v>
      </c>
      <c r="D228">
        <v>8060</v>
      </c>
      <c r="E228">
        <v>8123</v>
      </c>
      <c r="F228">
        <v>8</v>
      </c>
      <c r="G228">
        <v>7.2</v>
      </c>
      <c r="H228">
        <v>1.1111112000000001</v>
      </c>
      <c r="I228">
        <v>-0.11111114</v>
      </c>
      <c r="J228">
        <v>0.4736842</v>
      </c>
    </row>
    <row r="229" spans="1:10" x14ac:dyDescent="0.3">
      <c r="A229">
        <v>227</v>
      </c>
      <c r="B229">
        <v>3608</v>
      </c>
      <c r="C229" t="b">
        <v>1</v>
      </c>
      <c r="D229">
        <v>8054</v>
      </c>
      <c r="E229">
        <v>8123</v>
      </c>
      <c r="F229">
        <v>8</v>
      </c>
      <c r="G229">
        <v>7.6</v>
      </c>
      <c r="H229">
        <v>1.0526316</v>
      </c>
      <c r="I229">
        <v>-5.2631589999999999E-2</v>
      </c>
      <c r="J229">
        <v>0.48717946000000001</v>
      </c>
    </row>
    <row r="230" spans="1:10" x14ac:dyDescent="0.3">
      <c r="A230">
        <v>228</v>
      </c>
      <c r="B230">
        <v>3624</v>
      </c>
      <c r="C230" t="b">
        <v>1</v>
      </c>
      <c r="D230">
        <v>8060</v>
      </c>
      <c r="E230">
        <v>8123</v>
      </c>
      <c r="F230">
        <v>8.4</v>
      </c>
      <c r="G230">
        <v>8</v>
      </c>
      <c r="H230">
        <v>1.05</v>
      </c>
      <c r="I230">
        <v>-4.9999952E-2</v>
      </c>
      <c r="J230">
        <v>0.48780489999999999</v>
      </c>
    </row>
    <row r="231" spans="1:10" x14ac:dyDescent="0.3">
      <c r="A231">
        <v>229</v>
      </c>
      <c r="B231">
        <v>3640</v>
      </c>
      <c r="C231" t="b">
        <v>1</v>
      </c>
      <c r="D231">
        <v>8054</v>
      </c>
      <c r="E231">
        <v>8117</v>
      </c>
      <c r="F231">
        <v>8.8000000000000007</v>
      </c>
      <c r="G231">
        <v>8</v>
      </c>
      <c r="H231">
        <v>1.1000000000000001</v>
      </c>
      <c r="I231">
        <v>-0.10000002400000001</v>
      </c>
      <c r="J231">
        <v>0.47619050000000002</v>
      </c>
    </row>
    <row r="232" spans="1:10" x14ac:dyDescent="0.3">
      <c r="A232">
        <v>230</v>
      </c>
      <c r="B232">
        <v>3656</v>
      </c>
      <c r="C232" t="b">
        <v>1</v>
      </c>
      <c r="D232">
        <v>8054</v>
      </c>
      <c r="E232">
        <v>8123</v>
      </c>
      <c r="F232">
        <v>9.1999999999999993</v>
      </c>
      <c r="G232">
        <v>8</v>
      </c>
      <c r="H232">
        <v>1.1499999999999999</v>
      </c>
      <c r="I232">
        <v>-0.14999998</v>
      </c>
      <c r="J232">
        <v>0.46511626</v>
      </c>
    </row>
    <row r="233" spans="1:10" x14ac:dyDescent="0.3">
      <c r="A233">
        <v>231</v>
      </c>
      <c r="B233">
        <v>3671</v>
      </c>
      <c r="C233" t="b">
        <v>1</v>
      </c>
      <c r="D233">
        <v>8054</v>
      </c>
      <c r="E233">
        <v>8123</v>
      </c>
      <c r="F233">
        <v>9.6</v>
      </c>
      <c r="G233">
        <v>8</v>
      </c>
      <c r="H233">
        <v>1.2</v>
      </c>
      <c r="I233">
        <v>-0.20000005000000001</v>
      </c>
      <c r="J233">
        <v>0.45454544000000002</v>
      </c>
    </row>
    <row r="234" spans="1:10" x14ac:dyDescent="0.3">
      <c r="A234">
        <v>232</v>
      </c>
      <c r="B234">
        <v>3687</v>
      </c>
      <c r="C234" t="b">
        <v>1</v>
      </c>
      <c r="D234">
        <v>8048</v>
      </c>
      <c r="E234">
        <v>8123</v>
      </c>
      <c r="F234">
        <v>10</v>
      </c>
      <c r="G234">
        <v>8</v>
      </c>
      <c r="H234">
        <v>1.25</v>
      </c>
      <c r="I234">
        <v>-0.25</v>
      </c>
      <c r="J234">
        <v>0.44444444999999999</v>
      </c>
    </row>
    <row r="235" spans="1:10" x14ac:dyDescent="0.3">
      <c r="A235">
        <v>233</v>
      </c>
      <c r="B235">
        <v>3703</v>
      </c>
      <c r="C235" t="b">
        <v>1</v>
      </c>
      <c r="D235">
        <v>8048</v>
      </c>
      <c r="E235">
        <v>8123</v>
      </c>
      <c r="F235">
        <v>10.4</v>
      </c>
      <c r="G235">
        <v>8</v>
      </c>
      <c r="H235">
        <v>1.3</v>
      </c>
      <c r="I235">
        <v>-0.29999995000000002</v>
      </c>
      <c r="J235">
        <v>0.43478262000000001</v>
      </c>
    </row>
    <row r="236" spans="1:10" x14ac:dyDescent="0.3">
      <c r="A236">
        <v>234</v>
      </c>
      <c r="B236">
        <v>3719</v>
      </c>
      <c r="C236" t="b">
        <v>1</v>
      </c>
      <c r="D236">
        <v>8048</v>
      </c>
      <c r="E236">
        <v>8117</v>
      </c>
      <c r="F236">
        <v>10.4</v>
      </c>
      <c r="G236">
        <v>8</v>
      </c>
      <c r="H236">
        <v>1.3</v>
      </c>
      <c r="I236">
        <v>-0.29999995000000002</v>
      </c>
      <c r="J236">
        <v>0.43478262000000001</v>
      </c>
    </row>
    <row r="237" spans="1:10" x14ac:dyDescent="0.3">
      <c r="A237">
        <v>235</v>
      </c>
      <c r="B237">
        <v>3735</v>
      </c>
      <c r="C237" t="b">
        <v>1</v>
      </c>
      <c r="D237">
        <v>8048</v>
      </c>
      <c r="E237">
        <v>8117</v>
      </c>
      <c r="F237">
        <v>10.4</v>
      </c>
      <c r="G237">
        <v>8</v>
      </c>
      <c r="H237">
        <v>1.3</v>
      </c>
      <c r="I237">
        <v>-0.29999995000000002</v>
      </c>
      <c r="J237">
        <v>0.43478262000000001</v>
      </c>
    </row>
    <row r="238" spans="1:10" x14ac:dyDescent="0.3">
      <c r="A238">
        <v>236</v>
      </c>
      <c r="B238">
        <v>3751</v>
      </c>
      <c r="C238" t="b">
        <v>1</v>
      </c>
      <c r="D238">
        <v>8048</v>
      </c>
      <c r="E238">
        <v>8129</v>
      </c>
      <c r="F238">
        <v>10.4</v>
      </c>
      <c r="G238">
        <v>8</v>
      </c>
      <c r="H238">
        <v>1.3</v>
      </c>
      <c r="I238">
        <v>-0.29999995000000002</v>
      </c>
      <c r="J238">
        <v>0.43478262000000001</v>
      </c>
    </row>
    <row r="239" spans="1:10" x14ac:dyDescent="0.3">
      <c r="A239">
        <v>237</v>
      </c>
      <c r="B239">
        <v>3767</v>
      </c>
      <c r="C239" t="b">
        <v>1</v>
      </c>
      <c r="D239">
        <v>8048</v>
      </c>
      <c r="E239">
        <v>8123</v>
      </c>
      <c r="F239">
        <v>10.4</v>
      </c>
      <c r="G239">
        <v>8</v>
      </c>
      <c r="H239">
        <v>1.3</v>
      </c>
      <c r="I239">
        <v>-0.29999995000000002</v>
      </c>
      <c r="J239">
        <v>0.43478262000000001</v>
      </c>
    </row>
    <row r="240" spans="1:10" x14ac:dyDescent="0.3">
      <c r="A240">
        <v>238</v>
      </c>
      <c r="B240">
        <v>3783</v>
      </c>
      <c r="C240" t="b">
        <v>1</v>
      </c>
      <c r="D240">
        <v>8048</v>
      </c>
      <c r="E240">
        <v>8117</v>
      </c>
      <c r="F240">
        <v>10.4</v>
      </c>
      <c r="G240">
        <v>7.6</v>
      </c>
      <c r="H240">
        <v>1.3684210999999999</v>
      </c>
      <c r="I240">
        <v>-0.36842101999999999</v>
      </c>
      <c r="J240">
        <v>0.42222222999999998</v>
      </c>
    </row>
    <row r="241" spans="1:10" x14ac:dyDescent="0.3">
      <c r="A241">
        <v>239</v>
      </c>
      <c r="B241">
        <v>3806</v>
      </c>
      <c r="C241" t="b">
        <v>1</v>
      </c>
      <c r="D241">
        <v>8048</v>
      </c>
      <c r="E241">
        <v>8123</v>
      </c>
      <c r="F241">
        <v>10.4</v>
      </c>
      <c r="G241">
        <v>7.6</v>
      </c>
      <c r="H241">
        <v>1.3684210999999999</v>
      </c>
      <c r="I241">
        <v>-0.36842101999999999</v>
      </c>
      <c r="J241">
        <v>0.42222222999999998</v>
      </c>
    </row>
    <row r="242" spans="1:10" x14ac:dyDescent="0.3">
      <c r="A242">
        <v>240</v>
      </c>
      <c r="B242">
        <v>3821</v>
      </c>
      <c r="C242" t="b">
        <v>1</v>
      </c>
      <c r="D242">
        <v>8048</v>
      </c>
      <c r="E242">
        <v>8123</v>
      </c>
      <c r="F242">
        <v>10.4</v>
      </c>
      <c r="G242">
        <v>7.6</v>
      </c>
      <c r="H242">
        <v>1.3684210999999999</v>
      </c>
      <c r="I242">
        <v>-0.36842101999999999</v>
      </c>
      <c r="J242">
        <v>0.42222222999999998</v>
      </c>
    </row>
    <row r="243" spans="1:10" x14ac:dyDescent="0.3">
      <c r="A243">
        <v>241</v>
      </c>
      <c r="B243">
        <v>3837</v>
      </c>
      <c r="C243" t="b">
        <v>1</v>
      </c>
      <c r="D243">
        <v>8048</v>
      </c>
      <c r="E243">
        <v>8123</v>
      </c>
      <c r="F243">
        <v>10.4</v>
      </c>
      <c r="G243">
        <v>7.6</v>
      </c>
      <c r="H243">
        <v>1.3684210999999999</v>
      </c>
      <c r="I243">
        <v>-0.36842101999999999</v>
      </c>
      <c r="J243">
        <v>0.42222222999999998</v>
      </c>
    </row>
    <row r="244" spans="1:10" x14ac:dyDescent="0.3">
      <c r="A244">
        <v>242</v>
      </c>
      <c r="B244">
        <v>3853</v>
      </c>
      <c r="C244" t="b">
        <v>1</v>
      </c>
      <c r="D244">
        <v>8048</v>
      </c>
      <c r="E244">
        <v>8123</v>
      </c>
      <c r="F244">
        <v>10.4</v>
      </c>
      <c r="G244">
        <v>7.6</v>
      </c>
      <c r="H244">
        <v>1.3684210999999999</v>
      </c>
      <c r="I244">
        <v>-0.36842101999999999</v>
      </c>
      <c r="J244">
        <v>0.42222222999999998</v>
      </c>
    </row>
    <row r="245" spans="1:10" x14ac:dyDescent="0.3">
      <c r="A245">
        <v>243</v>
      </c>
      <c r="B245">
        <v>3869</v>
      </c>
      <c r="C245" t="b">
        <v>1</v>
      </c>
      <c r="D245">
        <v>8054</v>
      </c>
      <c r="E245">
        <v>8123</v>
      </c>
      <c r="F245">
        <v>10</v>
      </c>
      <c r="G245">
        <v>7.6</v>
      </c>
      <c r="H245">
        <v>1.3157894999999999</v>
      </c>
      <c r="I245">
        <v>-0.3157895</v>
      </c>
      <c r="J245">
        <v>0.43181816000000001</v>
      </c>
    </row>
    <row r="246" spans="1:10" x14ac:dyDescent="0.3">
      <c r="A246">
        <v>244</v>
      </c>
      <c r="B246">
        <v>3884</v>
      </c>
      <c r="C246" t="b">
        <v>1</v>
      </c>
      <c r="D246">
        <v>8048</v>
      </c>
      <c r="E246">
        <v>8123</v>
      </c>
      <c r="F246">
        <v>9.6</v>
      </c>
      <c r="G246">
        <v>7.6</v>
      </c>
      <c r="H246">
        <v>1.263158</v>
      </c>
      <c r="I246">
        <v>-0.26315796000000002</v>
      </c>
      <c r="J246">
        <v>0.44186044000000002</v>
      </c>
    </row>
    <row r="247" spans="1:10" x14ac:dyDescent="0.3">
      <c r="A247">
        <v>245</v>
      </c>
      <c r="B247">
        <v>3901</v>
      </c>
      <c r="C247" t="b">
        <v>1</v>
      </c>
      <c r="D247">
        <v>8048</v>
      </c>
      <c r="E247">
        <v>8123</v>
      </c>
      <c r="F247">
        <v>9.1999999999999993</v>
      </c>
      <c r="G247">
        <v>7.6</v>
      </c>
      <c r="H247">
        <v>1.2105262999999999</v>
      </c>
      <c r="I247">
        <v>-0.2105263</v>
      </c>
      <c r="J247">
        <v>0.45238096</v>
      </c>
    </row>
    <row r="248" spans="1:10" x14ac:dyDescent="0.3">
      <c r="A248">
        <v>246</v>
      </c>
      <c r="B248">
        <v>3916</v>
      </c>
      <c r="C248" t="b">
        <v>1</v>
      </c>
      <c r="D248">
        <v>8048</v>
      </c>
      <c r="E248">
        <v>8123</v>
      </c>
      <c r="F248">
        <v>8.8000000000000007</v>
      </c>
      <c r="G248">
        <v>7.6</v>
      </c>
      <c r="H248">
        <v>1.1578946999999999</v>
      </c>
      <c r="I248">
        <v>-0.15789478000000001</v>
      </c>
      <c r="J248">
        <v>0.46341463999999999</v>
      </c>
    </row>
    <row r="249" spans="1:10" x14ac:dyDescent="0.3">
      <c r="A249">
        <v>247</v>
      </c>
      <c r="B249">
        <v>3932</v>
      </c>
      <c r="C249" t="b">
        <v>1</v>
      </c>
      <c r="D249">
        <v>8048</v>
      </c>
      <c r="E249">
        <v>8123</v>
      </c>
      <c r="F249">
        <v>8.4</v>
      </c>
      <c r="G249">
        <v>7.6</v>
      </c>
      <c r="H249">
        <v>1.1052630999999999</v>
      </c>
      <c r="I249">
        <v>-0.10526312</v>
      </c>
      <c r="J249">
        <v>0.47499999999999998</v>
      </c>
    </row>
    <row r="250" spans="1:10" x14ac:dyDescent="0.3">
      <c r="A250">
        <v>248</v>
      </c>
      <c r="B250">
        <v>3948</v>
      </c>
      <c r="C250" t="b">
        <v>1</v>
      </c>
      <c r="D250">
        <v>8054</v>
      </c>
      <c r="E250">
        <v>8123</v>
      </c>
      <c r="F250">
        <v>8</v>
      </c>
      <c r="G250">
        <v>7.6</v>
      </c>
      <c r="H250">
        <v>1.0526316</v>
      </c>
      <c r="I250">
        <v>-5.2631589999999999E-2</v>
      </c>
      <c r="J250">
        <v>0.48717946000000001</v>
      </c>
    </row>
    <row r="251" spans="1:10" x14ac:dyDescent="0.3">
      <c r="A251">
        <v>249</v>
      </c>
      <c r="B251">
        <v>3964</v>
      </c>
      <c r="C251" t="b">
        <v>1</v>
      </c>
      <c r="D251">
        <v>8048</v>
      </c>
      <c r="E251">
        <v>8123</v>
      </c>
      <c r="F251">
        <v>8</v>
      </c>
      <c r="G251">
        <v>7.6</v>
      </c>
      <c r="H251">
        <v>1.0526316</v>
      </c>
      <c r="I251">
        <v>-5.2631589999999999E-2</v>
      </c>
      <c r="J251">
        <v>0.48717946000000001</v>
      </c>
    </row>
    <row r="252" spans="1:10" x14ac:dyDescent="0.3">
      <c r="A252">
        <v>250</v>
      </c>
      <c r="B252">
        <v>3979</v>
      </c>
      <c r="C252" t="b">
        <v>1</v>
      </c>
      <c r="D252">
        <v>8048</v>
      </c>
      <c r="E252">
        <v>8123</v>
      </c>
      <c r="F252">
        <v>8</v>
      </c>
      <c r="G252">
        <v>7.6</v>
      </c>
      <c r="H252">
        <v>1.0526316</v>
      </c>
      <c r="I252">
        <v>-5.2631589999999999E-2</v>
      </c>
      <c r="J252">
        <v>0.48717946000000001</v>
      </c>
    </row>
    <row r="253" spans="1:10" x14ac:dyDescent="0.3">
      <c r="A253">
        <v>251</v>
      </c>
      <c r="B253">
        <v>3995</v>
      </c>
      <c r="C253" t="b">
        <v>1</v>
      </c>
      <c r="D253">
        <v>8048</v>
      </c>
      <c r="E253">
        <v>8123</v>
      </c>
      <c r="F253">
        <v>8</v>
      </c>
      <c r="G253">
        <v>7.6</v>
      </c>
      <c r="H253">
        <v>1.0526316</v>
      </c>
      <c r="I253">
        <v>-5.2631589999999999E-2</v>
      </c>
      <c r="J253">
        <v>0.48717946000000001</v>
      </c>
    </row>
    <row r="254" spans="1:10" x14ac:dyDescent="0.3">
      <c r="A254">
        <v>252</v>
      </c>
      <c r="B254">
        <v>4011</v>
      </c>
      <c r="C254" t="b">
        <v>1</v>
      </c>
      <c r="D254">
        <v>8054</v>
      </c>
      <c r="E254">
        <v>8123</v>
      </c>
      <c r="F254">
        <v>8</v>
      </c>
      <c r="G254">
        <v>7.6</v>
      </c>
      <c r="H254">
        <v>1.0526316</v>
      </c>
      <c r="I254">
        <v>-5.2631589999999999E-2</v>
      </c>
      <c r="J254">
        <v>0.48717946000000001</v>
      </c>
    </row>
    <row r="255" spans="1:10" x14ac:dyDescent="0.3">
      <c r="A255">
        <v>253</v>
      </c>
      <c r="B255">
        <v>4027</v>
      </c>
      <c r="C255" t="b">
        <v>1</v>
      </c>
      <c r="D255">
        <v>8048</v>
      </c>
      <c r="E255">
        <v>8123</v>
      </c>
      <c r="F255">
        <v>8</v>
      </c>
      <c r="G255">
        <v>8</v>
      </c>
      <c r="H255">
        <v>1</v>
      </c>
      <c r="I255">
        <v>0</v>
      </c>
      <c r="J255">
        <v>0.5</v>
      </c>
    </row>
    <row r="256" spans="1:10" x14ac:dyDescent="0.3">
      <c r="A256">
        <v>254</v>
      </c>
      <c r="B256">
        <v>4043</v>
      </c>
      <c r="C256" t="b">
        <v>1</v>
      </c>
      <c r="D256">
        <v>8048</v>
      </c>
      <c r="E256">
        <v>8123</v>
      </c>
      <c r="F256">
        <v>8</v>
      </c>
      <c r="G256">
        <v>8</v>
      </c>
      <c r="H256">
        <v>1</v>
      </c>
      <c r="I256">
        <v>0</v>
      </c>
      <c r="J256">
        <v>0.5</v>
      </c>
    </row>
    <row r="257" spans="1:10" x14ac:dyDescent="0.3">
      <c r="A257">
        <v>255</v>
      </c>
      <c r="B257">
        <v>4059</v>
      </c>
      <c r="C257" t="b">
        <v>1</v>
      </c>
      <c r="D257">
        <v>8048</v>
      </c>
      <c r="E257">
        <v>8123</v>
      </c>
      <c r="F257">
        <v>8</v>
      </c>
      <c r="G257">
        <v>8</v>
      </c>
      <c r="H257">
        <v>1</v>
      </c>
      <c r="I257">
        <v>0</v>
      </c>
      <c r="J257">
        <v>0.5</v>
      </c>
    </row>
    <row r="258" spans="1:10" x14ac:dyDescent="0.3">
      <c r="A258">
        <v>256</v>
      </c>
      <c r="B258">
        <v>4075</v>
      </c>
      <c r="C258" t="b">
        <v>1</v>
      </c>
      <c r="D258">
        <v>8048</v>
      </c>
      <c r="E258">
        <v>8123</v>
      </c>
      <c r="F258">
        <v>8</v>
      </c>
      <c r="G258">
        <v>8</v>
      </c>
      <c r="H258">
        <v>1</v>
      </c>
      <c r="I258">
        <v>0</v>
      </c>
      <c r="J258">
        <v>0.5</v>
      </c>
    </row>
    <row r="259" spans="1:10" x14ac:dyDescent="0.3">
      <c r="A259">
        <v>257</v>
      </c>
      <c r="B259">
        <v>4091</v>
      </c>
      <c r="C259" t="b">
        <v>1</v>
      </c>
      <c r="D259">
        <v>8048</v>
      </c>
      <c r="E259">
        <v>8123</v>
      </c>
      <c r="F259">
        <v>8</v>
      </c>
      <c r="G259">
        <v>8</v>
      </c>
      <c r="H259">
        <v>1</v>
      </c>
      <c r="I259">
        <v>0</v>
      </c>
      <c r="J259">
        <v>0.5</v>
      </c>
    </row>
    <row r="260" spans="1:10" x14ac:dyDescent="0.3">
      <c r="A260">
        <v>258</v>
      </c>
      <c r="B260">
        <v>4107</v>
      </c>
      <c r="C260" t="b">
        <v>1</v>
      </c>
      <c r="D260">
        <v>8054</v>
      </c>
      <c r="E260">
        <v>8123</v>
      </c>
      <c r="F260">
        <v>8</v>
      </c>
      <c r="G260">
        <v>8</v>
      </c>
      <c r="H260">
        <v>1</v>
      </c>
      <c r="I260">
        <v>0</v>
      </c>
      <c r="J260">
        <v>0.5</v>
      </c>
    </row>
    <row r="261" spans="1:10" x14ac:dyDescent="0.3">
      <c r="A261">
        <v>259</v>
      </c>
      <c r="B261">
        <v>4122</v>
      </c>
      <c r="C261" t="b">
        <v>1</v>
      </c>
      <c r="D261">
        <v>8054</v>
      </c>
      <c r="E261">
        <v>8123</v>
      </c>
      <c r="F261">
        <v>8</v>
      </c>
      <c r="G261">
        <v>8</v>
      </c>
      <c r="H261">
        <v>1</v>
      </c>
      <c r="I261">
        <v>0</v>
      </c>
      <c r="J261">
        <v>0.5</v>
      </c>
    </row>
    <row r="262" spans="1:10" x14ac:dyDescent="0.3">
      <c r="A262">
        <v>260</v>
      </c>
      <c r="B262">
        <v>4138</v>
      </c>
      <c r="C262" t="b">
        <v>1</v>
      </c>
      <c r="D262">
        <v>8048</v>
      </c>
      <c r="E262">
        <v>8117</v>
      </c>
      <c r="F262">
        <v>8</v>
      </c>
      <c r="G262">
        <v>8</v>
      </c>
      <c r="H262">
        <v>1</v>
      </c>
      <c r="I262">
        <v>0</v>
      </c>
      <c r="J262">
        <v>0.5</v>
      </c>
    </row>
    <row r="263" spans="1:10" x14ac:dyDescent="0.3">
      <c r="A263">
        <v>261</v>
      </c>
      <c r="B263">
        <v>4154</v>
      </c>
      <c r="C263" t="b">
        <v>1</v>
      </c>
      <c r="D263">
        <v>8048</v>
      </c>
      <c r="E263">
        <v>8123</v>
      </c>
      <c r="F263">
        <v>8</v>
      </c>
      <c r="G263">
        <v>8</v>
      </c>
      <c r="H263">
        <v>1</v>
      </c>
      <c r="I263">
        <v>0</v>
      </c>
      <c r="J263">
        <v>0.5</v>
      </c>
    </row>
    <row r="264" spans="1:10" x14ac:dyDescent="0.3">
      <c r="A264">
        <v>262</v>
      </c>
      <c r="B264">
        <v>4170</v>
      </c>
      <c r="C264" t="b">
        <v>1</v>
      </c>
      <c r="D264">
        <v>8054</v>
      </c>
      <c r="E264">
        <v>8117</v>
      </c>
      <c r="F264">
        <v>8.4</v>
      </c>
      <c r="G264">
        <v>8</v>
      </c>
      <c r="H264">
        <v>1.05</v>
      </c>
      <c r="I264">
        <v>-4.9999952E-2</v>
      </c>
      <c r="J264">
        <v>0.48780489999999999</v>
      </c>
    </row>
    <row r="265" spans="1:10" x14ac:dyDescent="0.3">
      <c r="A265">
        <v>263</v>
      </c>
      <c r="B265">
        <v>4186</v>
      </c>
      <c r="C265" t="b">
        <v>1</v>
      </c>
      <c r="D265">
        <v>8054</v>
      </c>
      <c r="E265">
        <v>8123</v>
      </c>
      <c r="F265">
        <v>8.8000000000000007</v>
      </c>
      <c r="G265">
        <v>8</v>
      </c>
      <c r="H265">
        <v>1.1000000000000001</v>
      </c>
      <c r="I265">
        <v>-0.10000002400000001</v>
      </c>
      <c r="J265">
        <v>0.47619050000000002</v>
      </c>
    </row>
    <row r="266" spans="1:10" x14ac:dyDescent="0.3">
      <c r="A266">
        <v>264</v>
      </c>
      <c r="B266">
        <v>4202</v>
      </c>
      <c r="C266" t="b">
        <v>1</v>
      </c>
      <c r="D266">
        <v>8048</v>
      </c>
      <c r="E266">
        <v>8117</v>
      </c>
      <c r="F266">
        <v>8.8000000000000007</v>
      </c>
      <c r="G266">
        <v>7.6</v>
      </c>
      <c r="H266">
        <v>1.1578946999999999</v>
      </c>
      <c r="I266">
        <v>-0.15789478000000001</v>
      </c>
      <c r="J266">
        <v>0.46341463999999999</v>
      </c>
    </row>
    <row r="267" spans="1:10" x14ac:dyDescent="0.3">
      <c r="A267">
        <v>265</v>
      </c>
      <c r="B267">
        <v>4218</v>
      </c>
      <c r="C267" t="b">
        <v>1</v>
      </c>
      <c r="D267">
        <v>8042</v>
      </c>
      <c r="E267">
        <v>8117</v>
      </c>
      <c r="F267">
        <v>8.8000000000000007</v>
      </c>
      <c r="G267">
        <v>7.2</v>
      </c>
      <c r="H267">
        <v>1.2222223000000001</v>
      </c>
      <c r="I267">
        <v>-0.22222227999999999</v>
      </c>
      <c r="J267">
        <v>0.45</v>
      </c>
    </row>
    <row r="268" spans="1:10" x14ac:dyDescent="0.3">
      <c r="A268">
        <v>266</v>
      </c>
      <c r="B268">
        <v>4234</v>
      </c>
      <c r="C268" t="b">
        <v>1</v>
      </c>
      <c r="D268">
        <v>8037</v>
      </c>
      <c r="E268">
        <v>8123</v>
      </c>
      <c r="F268">
        <v>8.8000000000000007</v>
      </c>
      <c r="G268">
        <v>6.8</v>
      </c>
      <c r="H268">
        <v>1.2941176999999999</v>
      </c>
      <c r="I268">
        <v>-0.29411763000000002</v>
      </c>
      <c r="J268">
        <v>0.43589744000000002</v>
      </c>
    </row>
    <row r="269" spans="1:10" x14ac:dyDescent="0.3">
      <c r="A269">
        <v>267</v>
      </c>
      <c r="B269">
        <v>4250</v>
      </c>
      <c r="C269" t="b">
        <v>1</v>
      </c>
      <c r="D269">
        <v>8042</v>
      </c>
      <c r="E269">
        <v>8117</v>
      </c>
      <c r="F269">
        <v>8.4</v>
      </c>
      <c r="G269">
        <v>6.4</v>
      </c>
      <c r="H269">
        <v>1.3124998999999999</v>
      </c>
      <c r="I269">
        <v>-0.3124999</v>
      </c>
      <c r="J269">
        <v>0.43243247000000001</v>
      </c>
    </row>
    <row r="270" spans="1:10" x14ac:dyDescent="0.3">
      <c r="A270">
        <v>268</v>
      </c>
      <c r="B270">
        <v>4266</v>
      </c>
      <c r="C270" t="b">
        <v>1</v>
      </c>
      <c r="D270">
        <v>8042</v>
      </c>
      <c r="E270">
        <v>8123</v>
      </c>
      <c r="F270">
        <v>8</v>
      </c>
      <c r="G270">
        <v>6</v>
      </c>
      <c r="H270">
        <v>1.3333333999999999</v>
      </c>
      <c r="I270">
        <v>-0.33333333999999998</v>
      </c>
      <c r="J270">
        <v>0.42857142999999998</v>
      </c>
    </row>
    <row r="271" spans="1:10" x14ac:dyDescent="0.3">
      <c r="A271">
        <v>269</v>
      </c>
      <c r="B271">
        <v>4282</v>
      </c>
      <c r="C271" t="b">
        <v>1</v>
      </c>
      <c r="D271">
        <v>8042</v>
      </c>
      <c r="E271">
        <v>8123</v>
      </c>
      <c r="F271">
        <v>7.6</v>
      </c>
      <c r="G271">
        <v>6</v>
      </c>
      <c r="H271">
        <v>1.2666667</v>
      </c>
      <c r="I271">
        <v>-0.26666665000000001</v>
      </c>
      <c r="J271">
        <v>0.44117644</v>
      </c>
    </row>
    <row r="272" spans="1:10" x14ac:dyDescent="0.3">
      <c r="A272">
        <v>270</v>
      </c>
      <c r="B272">
        <v>4298</v>
      </c>
      <c r="C272" t="b">
        <v>1</v>
      </c>
      <c r="D272">
        <v>8048</v>
      </c>
      <c r="E272">
        <v>8117</v>
      </c>
      <c r="F272">
        <v>7.2</v>
      </c>
      <c r="G272">
        <v>6</v>
      </c>
      <c r="H272">
        <v>1.1999998999999999</v>
      </c>
      <c r="I272">
        <v>-0.19999997</v>
      </c>
      <c r="J272">
        <v>0.45454547000000001</v>
      </c>
    </row>
    <row r="273" spans="1:10" x14ac:dyDescent="0.3">
      <c r="A273">
        <v>271</v>
      </c>
      <c r="B273">
        <v>4313</v>
      </c>
      <c r="C273" t="b">
        <v>1</v>
      </c>
      <c r="D273">
        <v>8048</v>
      </c>
      <c r="E273">
        <v>8123</v>
      </c>
      <c r="F273">
        <v>6.8</v>
      </c>
      <c r="G273">
        <v>6</v>
      </c>
      <c r="H273">
        <v>1.1333333000000001</v>
      </c>
      <c r="I273">
        <v>-0.13333337000000001</v>
      </c>
      <c r="J273">
        <v>0.46875</v>
      </c>
    </row>
    <row r="274" spans="1:10" x14ac:dyDescent="0.3">
      <c r="A274">
        <v>272</v>
      </c>
      <c r="B274">
        <v>4329</v>
      </c>
      <c r="C274" t="b">
        <v>1</v>
      </c>
      <c r="D274">
        <v>8054</v>
      </c>
      <c r="E274">
        <v>8117</v>
      </c>
      <c r="F274">
        <v>6.8</v>
      </c>
      <c r="G274">
        <v>6</v>
      </c>
      <c r="H274">
        <v>1.1333333000000001</v>
      </c>
      <c r="I274">
        <v>-0.13333337000000001</v>
      </c>
      <c r="J274">
        <v>0.46875</v>
      </c>
    </row>
    <row r="275" spans="1:10" x14ac:dyDescent="0.3">
      <c r="A275">
        <v>273</v>
      </c>
      <c r="B275">
        <v>4345</v>
      </c>
      <c r="C275" t="b">
        <v>1</v>
      </c>
      <c r="D275">
        <v>8048</v>
      </c>
      <c r="E275">
        <v>8123</v>
      </c>
      <c r="F275">
        <v>6.8</v>
      </c>
      <c r="G275">
        <v>6</v>
      </c>
      <c r="H275">
        <v>1.1333333000000001</v>
      </c>
      <c r="I275">
        <v>-0.13333337000000001</v>
      </c>
      <c r="J275">
        <v>0.46875</v>
      </c>
    </row>
    <row r="276" spans="1:10" x14ac:dyDescent="0.3">
      <c r="A276">
        <v>274</v>
      </c>
      <c r="B276">
        <v>4361</v>
      </c>
      <c r="C276" t="b">
        <v>1</v>
      </c>
      <c r="D276">
        <v>8054</v>
      </c>
      <c r="E276">
        <v>8123</v>
      </c>
      <c r="F276">
        <v>6.8</v>
      </c>
      <c r="G276">
        <v>6</v>
      </c>
      <c r="H276">
        <v>1.1333333000000001</v>
      </c>
      <c r="I276">
        <v>-0.13333337000000001</v>
      </c>
      <c r="J276">
        <v>0.46875</v>
      </c>
    </row>
    <row r="277" spans="1:10" x14ac:dyDescent="0.3">
      <c r="A277">
        <v>275</v>
      </c>
      <c r="B277">
        <v>4377</v>
      </c>
      <c r="C277" t="b">
        <v>1</v>
      </c>
      <c r="D277">
        <v>8054</v>
      </c>
      <c r="E277">
        <v>8123</v>
      </c>
      <c r="F277">
        <v>7.2</v>
      </c>
      <c r="G277">
        <v>6</v>
      </c>
      <c r="H277">
        <v>1.1999998999999999</v>
      </c>
      <c r="I277">
        <v>-0.19999997</v>
      </c>
      <c r="J277">
        <v>0.45454547000000001</v>
      </c>
    </row>
    <row r="278" spans="1:10" x14ac:dyDescent="0.3">
      <c r="A278">
        <v>276</v>
      </c>
      <c r="B278">
        <v>4393</v>
      </c>
      <c r="C278" t="b">
        <v>1</v>
      </c>
      <c r="D278">
        <v>8054</v>
      </c>
      <c r="E278">
        <v>8123</v>
      </c>
      <c r="F278">
        <v>7.6</v>
      </c>
      <c r="G278">
        <v>6</v>
      </c>
      <c r="H278">
        <v>1.2666667</v>
      </c>
      <c r="I278">
        <v>-0.26666665000000001</v>
      </c>
      <c r="J278">
        <v>0.44117644</v>
      </c>
    </row>
    <row r="279" spans="1:10" x14ac:dyDescent="0.3">
      <c r="A279">
        <v>277</v>
      </c>
      <c r="B279">
        <v>4408</v>
      </c>
      <c r="C279" t="b">
        <v>1</v>
      </c>
      <c r="D279">
        <v>8048</v>
      </c>
      <c r="E279">
        <v>8123</v>
      </c>
      <c r="F279">
        <v>7.6</v>
      </c>
      <c r="G279">
        <v>6</v>
      </c>
      <c r="H279">
        <v>1.2666667</v>
      </c>
      <c r="I279">
        <v>-0.26666665000000001</v>
      </c>
      <c r="J279">
        <v>0.44117644</v>
      </c>
    </row>
    <row r="280" spans="1:10" x14ac:dyDescent="0.3">
      <c r="A280">
        <v>278</v>
      </c>
      <c r="B280">
        <v>4425</v>
      </c>
      <c r="C280" t="b">
        <v>1</v>
      </c>
      <c r="D280">
        <v>8054</v>
      </c>
      <c r="E280">
        <v>8123</v>
      </c>
      <c r="F280">
        <v>7.6</v>
      </c>
      <c r="G280">
        <v>6</v>
      </c>
      <c r="H280">
        <v>1.2666667</v>
      </c>
      <c r="I280">
        <v>-0.26666665000000001</v>
      </c>
      <c r="J280">
        <v>0.44117644</v>
      </c>
    </row>
    <row r="281" spans="1:10" x14ac:dyDescent="0.3">
      <c r="A281">
        <v>279</v>
      </c>
      <c r="B281">
        <v>4440</v>
      </c>
      <c r="C281" t="b">
        <v>1</v>
      </c>
      <c r="D281">
        <v>8048</v>
      </c>
      <c r="E281">
        <v>8117</v>
      </c>
      <c r="F281">
        <v>8</v>
      </c>
      <c r="G281">
        <v>6.4</v>
      </c>
      <c r="H281">
        <v>1.25</v>
      </c>
      <c r="I281">
        <v>-0.24999999000000001</v>
      </c>
      <c r="J281">
        <v>0.44444447999999998</v>
      </c>
    </row>
    <row r="282" spans="1:10" x14ac:dyDescent="0.3">
      <c r="A282">
        <v>280</v>
      </c>
      <c r="B282">
        <v>4456</v>
      </c>
      <c r="C282" t="b">
        <v>1</v>
      </c>
      <c r="D282">
        <v>8048</v>
      </c>
      <c r="E282">
        <v>8123</v>
      </c>
      <c r="F282">
        <v>8</v>
      </c>
      <c r="G282">
        <v>6.8</v>
      </c>
      <c r="H282">
        <v>1.1764705</v>
      </c>
      <c r="I282">
        <v>-0.17647055</v>
      </c>
      <c r="J282">
        <v>0.45945944999999999</v>
      </c>
    </row>
    <row r="283" spans="1:10" x14ac:dyDescent="0.3">
      <c r="A283">
        <v>281</v>
      </c>
      <c r="B283">
        <v>4472</v>
      </c>
      <c r="C283" t="b">
        <v>1</v>
      </c>
      <c r="D283">
        <v>8048</v>
      </c>
      <c r="E283">
        <v>8117</v>
      </c>
      <c r="F283">
        <v>8</v>
      </c>
      <c r="G283">
        <v>7.2</v>
      </c>
      <c r="H283">
        <v>1.1111112000000001</v>
      </c>
      <c r="I283">
        <v>-0.11111114</v>
      </c>
      <c r="J283">
        <v>0.4736842</v>
      </c>
    </row>
    <row r="284" spans="1:10" x14ac:dyDescent="0.3">
      <c r="A284">
        <v>282</v>
      </c>
      <c r="B284">
        <v>4488</v>
      </c>
      <c r="C284" t="b">
        <v>1</v>
      </c>
      <c r="D284">
        <v>8048</v>
      </c>
      <c r="E284">
        <v>8123</v>
      </c>
      <c r="F284">
        <v>8.4</v>
      </c>
      <c r="G284">
        <v>7.6</v>
      </c>
      <c r="H284">
        <v>1.1052630999999999</v>
      </c>
      <c r="I284">
        <v>-0.10526312</v>
      </c>
      <c r="J284">
        <v>0.47499999999999998</v>
      </c>
    </row>
    <row r="285" spans="1:10" x14ac:dyDescent="0.3">
      <c r="A285">
        <v>283</v>
      </c>
      <c r="B285">
        <v>4504</v>
      </c>
      <c r="C285" t="b">
        <v>1</v>
      </c>
      <c r="D285">
        <v>8048</v>
      </c>
      <c r="E285">
        <v>8123</v>
      </c>
      <c r="F285">
        <v>8.8000000000000007</v>
      </c>
      <c r="G285">
        <v>8</v>
      </c>
      <c r="H285">
        <v>1.1000000000000001</v>
      </c>
      <c r="I285">
        <v>-0.10000002400000001</v>
      </c>
      <c r="J285">
        <v>0.47619050000000002</v>
      </c>
    </row>
    <row r="286" spans="1:10" x14ac:dyDescent="0.3">
      <c r="A286">
        <v>284</v>
      </c>
      <c r="B286">
        <v>4520</v>
      </c>
      <c r="C286" t="b">
        <v>1</v>
      </c>
      <c r="D286">
        <v>8048</v>
      </c>
      <c r="E286">
        <v>8123</v>
      </c>
      <c r="F286">
        <v>9.1999999999999993</v>
      </c>
      <c r="G286">
        <v>8</v>
      </c>
      <c r="H286">
        <v>1.1499999999999999</v>
      </c>
      <c r="I286">
        <v>-0.14999998</v>
      </c>
      <c r="J286">
        <v>0.46511626</v>
      </c>
    </row>
    <row r="287" spans="1:10" x14ac:dyDescent="0.3">
      <c r="A287">
        <v>285</v>
      </c>
      <c r="B287">
        <v>4536</v>
      </c>
      <c r="C287" t="b">
        <v>1</v>
      </c>
      <c r="D287">
        <v>8048</v>
      </c>
      <c r="E287">
        <v>8123</v>
      </c>
      <c r="F287">
        <v>9.6</v>
      </c>
      <c r="G287">
        <v>8</v>
      </c>
      <c r="H287">
        <v>1.2</v>
      </c>
      <c r="I287">
        <v>-0.20000005000000001</v>
      </c>
      <c r="J287">
        <v>0.45454544000000002</v>
      </c>
    </row>
    <row r="288" spans="1:10" x14ac:dyDescent="0.3">
      <c r="A288">
        <v>286</v>
      </c>
      <c r="B288">
        <v>4551</v>
      </c>
      <c r="C288" t="b">
        <v>1</v>
      </c>
      <c r="D288">
        <v>8054</v>
      </c>
      <c r="E288">
        <v>8129</v>
      </c>
      <c r="F288">
        <v>10</v>
      </c>
      <c r="G288">
        <v>8</v>
      </c>
      <c r="H288">
        <v>1.25</v>
      </c>
      <c r="I288">
        <v>-0.25</v>
      </c>
      <c r="J288">
        <v>0.44444444999999999</v>
      </c>
    </row>
    <row r="289" spans="1:10" x14ac:dyDescent="0.3">
      <c r="A289">
        <v>287</v>
      </c>
      <c r="B289">
        <v>4567</v>
      </c>
      <c r="C289" t="b">
        <v>1</v>
      </c>
      <c r="D289">
        <v>8048</v>
      </c>
      <c r="E289">
        <v>8123</v>
      </c>
      <c r="F289">
        <v>10</v>
      </c>
      <c r="G289">
        <v>8</v>
      </c>
      <c r="H289">
        <v>1.25</v>
      </c>
      <c r="I289">
        <v>-0.25</v>
      </c>
      <c r="J289">
        <v>0.44444444999999999</v>
      </c>
    </row>
    <row r="290" spans="1:10" x14ac:dyDescent="0.3">
      <c r="A290">
        <v>288</v>
      </c>
      <c r="B290">
        <v>4583</v>
      </c>
      <c r="C290" t="b">
        <v>1</v>
      </c>
      <c r="D290">
        <v>8054</v>
      </c>
      <c r="E290">
        <v>8117</v>
      </c>
      <c r="F290">
        <v>10</v>
      </c>
      <c r="G290">
        <v>8</v>
      </c>
      <c r="H290">
        <v>1.25</v>
      </c>
      <c r="I290">
        <v>-0.25</v>
      </c>
      <c r="J290">
        <v>0.44444444999999999</v>
      </c>
    </row>
    <row r="291" spans="1:10" x14ac:dyDescent="0.3">
      <c r="A291">
        <v>289</v>
      </c>
      <c r="B291">
        <v>4599</v>
      </c>
      <c r="C291" t="b">
        <v>1</v>
      </c>
      <c r="D291">
        <v>8048</v>
      </c>
      <c r="E291">
        <v>8123</v>
      </c>
      <c r="F291">
        <v>10</v>
      </c>
      <c r="G291">
        <v>8</v>
      </c>
      <c r="H291">
        <v>1.25</v>
      </c>
      <c r="I291">
        <v>-0.25</v>
      </c>
      <c r="J291">
        <v>0.44444444999999999</v>
      </c>
    </row>
    <row r="292" spans="1:10" x14ac:dyDescent="0.3">
      <c r="A292">
        <v>290</v>
      </c>
      <c r="B292">
        <v>4615</v>
      </c>
      <c r="C292" t="b">
        <v>1</v>
      </c>
      <c r="D292">
        <v>8048</v>
      </c>
      <c r="E292">
        <v>8123</v>
      </c>
      <c r="F292">
        <v>9.6</v>
      </c>
      <c r="G292">
        <v>8</v>
      </c>
      <c r="H292">
        <v>1.2</v>
      </c>
      <c r="I292">
        <v>-0.20000005000000001</v>
      </c>
      <c r="J292">
        <v>0.45454544000000002</v>
      </c>
    </row>
    <row r="293" spans="1:10" x14ac:dyDescent="0.3">
      <c r="A293">
        <v>291</v>
      </c>
      <c r="B293">
        <v>4631</v>
      </c>
      <c r="C293" t="b">
        <v>1</v>
      </c>
      <c r="D293">
        <v>8048</v>
      </c>
      <c r="E293">
        <v>8123</v>
      </c>
      <c r="F293">
        <v>9.1999999999999993</v>
      </c>
      <c r="G293">
        <v>8</v>
      </c>
      <c r="H293">
        <v>1.1499999999999999</v>
      </c>
      <c r="I293">
        <v>-0.14999998</v>
      </c>
      <c r="J293">
        <v>0.46511626</v>
      </c>
    </row>
    <row r="294" spans="1:10" x14ac:dyDescent="0.3">
      <c r="A294">
        <v>292</v>
      </c>
      <c r="B294">
        <v>4647</v>
      </c>
      <c r="C294" t="b">
        <v>1</v>
      </c>
      <c r="D294">
        <v>8048</v>
      </c>
      <c r="E294">
        <v>8123</v>
      </c>
      <c r="F294">
        <v>8.8000000000000007</v>
      </c>
      <c r="G294">
        <v>8</v>
      </c>
      <c r="H294">
        <v>1.1000000000000001</v>
      </c>
      <c r="I294">
        <v>-0.10000002400000001</v>
      </c>
      <c r="J294">
        <v>0.47619050000000002</v>
      </c>
    </row>
    <row r="295" spans="1:10" x14ac:dyDescent="0.3">
      <c r="A295">
        <v>293</v>
      </c>
      <c r="B295">
        <v>4662</v>
      </c>
      <c r="C295" t="b">
        <v>1</v>
      </c>
      <c r="D295">
        <v>8048</v>
      </c>
      <c r="E295">
        <v>8123</v>
      </c>
      <c r="F295">
        <v>8.4</v>
      </c>
      <c r="G295">
        <v>8</v>
      </c>
      <c r="H295">
        <v>1.05</v>
      </c>
      <c r="I295">
        <v>-4.9999952E-2</v>
      </c>
      <c r="J295">
        <v>0.48780489999999999</v>
      </c>
    </row>
    <row r="296" spans="1:10" x14ac:dyDescent="0.3">
      <c r="A296">
        <v>294</v>
      </c>
      <c r="B296">
        <v>4678</v>
      </c>
      <c r="C296" t="b">
        <v>1</v>
      </c>
      <c r="D296">
        <v>8048</v>
      </c>
      <c r="E296">
        <v>8123</v>
      </c>
      <c r="F296">
        <v>8</v>
      </c>
      <c r="G296">
        <v>8</v>
      </c>
      <c r="H296">
        <v>1</v>
      </c>
      <c r="I296">
        <v>0</v>
      </c>
      <c r="J296">
        <v>0.5</v>
      </c>
    </row>
    <row r="297" spans="1:10" x14ac:dyDescent="0.3">
      <c r="A297">
        <v>295</v>
      </c>
      <c r="B297">
        <v>4694</v>
      </c>
      <c r="C297" t="b">
        <v>1</v>
      </c>
      <c r="D297">
        <v>8054</v>
      </c>
      <c r="E297">
        <v>8123</v>
      </c>
      <c r="F297">
        <v>8</v>
      </c>
      <c r="G297">
        <v>8</v>
      </c>
      <c r="H297">
        <v>1</v>
      </c>
      <c r="I297">
        <v>0</v>
      </c>
      <c r="J297">
        <v>0.5</v>
      </c>
    </row>
    <row r="298" spans="1:10" x14ac:dyDescent="0.3">
      <c r="A298">
        <v>296</v>
      </c>
      <c r="B298">
        <v>4710</v>
      </c>
      <c r="C298" t="b">
        <v>1</v>
      </c>
      <c r="D298">
        <v>8054</v>
      </c>
      <c r="E298">
        <v>8123</v>
      </c>
      <c r="F298">
        <v>8</v>
      </c>
      <c r="G298">
        <v>8</v>
      </c>
      <c r="H298">
        <v>1</v>
      </c>
      <c r="I298">
        <v>0</v>
      </c>
      <c r="J298">
        <v>0.5</v>
      </c>
    </row>
    <row r="299" spans="1:10" x14ac:dyDescent="0.3">
      <c r="A299">
        <v>297</v>
      </c>
      <c r="B299">
        <v>4726</v>
      </c>
      <c r="C299" t="b">
        <v>1</v>
      </c>
      <c r="D299">
        <v>8054</v>
      </c>
      <c r="E299">
        <v>8123</v>
      </c>
      <c r="F299">
        <v>8.4</v>
      </c>
      <c r="G299">
        <v>8</v>
      </c>
      <c r="H299">
        <v>1.05</v>
      </c>
      <c r="I299">
        <v>-4.9999952E-2</v>
      </c>
      <c r="J299">
        <v>0.48780489999999999</v>
      </c>
    </row>
    <row r="300" spans="1:10" x14ac:dyDescent="0.3">
      <c r="A300">
        <v>298</v>
      </c>
      <c r="B300">
        <v>4742</v>
      </c>
      <c r="C300" t="b">
        <v>1</v>
      </c>
      <c r="D300">
        <v>8048</v>
      </c>
      <c r="E300">
        <v>8123</v>
      </c>
      <c r="F300">
        <v>8.8000000000000007</v>
      </c>
      <c r="G300">
        <v>8</v>
      </c>
      <c r="H300">
        <v>1.1000000000000001</v>
      </c>
      <c r="I300">
        <v>-0.10000002400000001</v>
      </c>
      <c r="J300">
        <v>0.47619050000000002</v>
      </c>
    </row>
    <row r="301" spans="1:10" x14ac:dyDescent="0.3">
      <c r="A301">
        <v>299</v>
      </c>
      <c r="B301">
        <v>4758</v>
      </c>
      <c r="C301" t="b">
        <v>1</v>
      </c>
      <c r="D301">
        <v>8048</v>
      </c>
      <c r="E301">
        <v>8123</v>
      </c>
      <c r="F301">
        <v>9.1999999999999993</v>
      </c>
      <c r="G301">
        <v>8</v>
      </c>
      <c r="H301">
        <v>1.1499999999999999</v>
      </c>
      <c r="I301">
        <v>-0.14999998</v>
      </c>
      <c r="J301">
        <v>0.46511626</v>
      </c>
    </row>
    <row r="302" spans="1:10" x14ac:dyDescent="0.3">
      <c r="A302">
        <v>300</v>
      </c>
      <c r="B302">
        <v>4773</v>
      </c>
      <c r="C302" t="b">
        <v>1</v>
      </c>
      <c r="D302">
        <v>8048</v>
      </c>
      <c r="E302">
        <v>8117</v>
      </c>
      <c r="F302">
        <v>9.1999999999999993</v>
      </c>
      <c r="G302">
        <v>8</v>
      </c>
      <c r="H302">
        <v>1.1499999999999999</v>
      </c>
      <c r="I302">
        <v>-0.14999998</v>
      </c>
      <c r="J302">
        <v>0.46511626</v>
      </c>
    </row>
    <row r="303" spans="1:10" x14ac:dyDescent="0.3">
      <c r="A303">
        <v>301</v>
      </c>
      <c r="B303">
        <v>4789</v>
      </c>
      <c r="C303" t="b">
        <v>1</v>
      </c>
      <c r="D303">
        <v>8048</v>
      </c>
      <c r="E303">
        <v>8134</v>
      </c>
      <c r="F303">
        <v>9.1999999999999993</v>
      </c>
      <c r="G303">
        <v>8</v>
      </c>
      <c r="H303">
        <v>1.1499999999999999</v>
      </c>
      <c r="I303">
        <v>-0.14999998</v>
      </c>
      <c r="J303">
        <v>0.46511626</v>
      </c>
    </row>
    <row r="304" spans="1:10" x14ac:dyDescent="0.3">
      <c r="A304">
        <v>302</v>
      </c>
      <c r="B304">
        <v>4805</v>
      </c>
      <c r="C304" t="b">
        <v>1</v>
      </c>
      <c r="D304">
        <v>8042</v>
      </c>
      <c r="E304">
        <v>8123</v>
      </c>
      <c r="F304">
        <v>9.1999999999999993</v>
      </c>
      <c r="G304">
        <v>8</v>
      </c>
      <c r="H304">
        <v>1.1499999999999999</v>
      </c>
      <c r="I304">
        <v>-0.14999998</v>
      </c>
      <c r="J304">
        <v>0.46511626</v>
      </c>
    </row>
    <row r="305" spans="1:10" x14ac:dyDescent="0.3">
      <c r="A305">
        <v>303</v>
      </c>
      <c r="B305">
        <v>4821</v>
      </c>
      <c r="C305" t="b">
        <v>1</v>
      </c>
      <c r="D305">
        <v>8048</v>
      </c>
      <c r="E305">
        <v>8123</v>
      </c>
      <c r="F305">
        <v>9.1999999999999993</v>
      </c>
      <c r="G305">
        <v>8</v>
      </c>
      <c r="H305">
        <v>1.1499999999999999</v>
      </c>
      <c r="I305">
        <v>-0.14999998</v>
      </c>
      <c r="J305">
        <v>0.46511626</v>
      </c>
    </row>
    <row r="306" spans="1:10" x14ac:dyDescent="0.3">
      <c r="A306">
        <v>304</v>
      </c>
      <c r="B306">
        <v>4837</v>
      </c>
      <c r="C306" t="b">
        <v>1</v>
      </c>
      <c r="D306">
        <v>8042</v>
      </c>
      <c r="E306">
        <v>8123</v>
      </c>
      <c r="F306">
        <v>9.1999999999999993</v>
      </c>
      <c r="G306">
        <v>8</v>
      </c>
      <c r="H306">
        <v>1.1499999999999999</v>
      </c>
      <c r="I306">
        <v>-0.14999998</v>
      </c>
      <c r="J306">
        <v>0.46511626</v>
      </c>
    </row>
    <row r="307" spans="1:10" x14ac:dyDescent="0.3">
      <c r="A307">
        <v>305</v>
      </c>
      <c r="B307">
        <v>4852</v>
      </c>
      <c r="C307" t="b">
        <v>1</v>
      </c>
      <c r="D307">
        <v>8042</v>
      </c>
      <c r="E307">
        <v>8123</v>
      </c>
      <c r="F307">
        <v>8.8000000000000007</v>
      </c>
      <c r="G307">
        <v>8</v>
      </c>
      <c r="H307">
        <v>1.1000000000000001</v>
      </c>
      <c r="I307">
        <v>-0.10000002400000001</v>
      </c>
      <c r="J307">
        <v>0.47619050000000002</v>
      </c>
    </row>
    <row r="308" spans="1:10" x14ac:dyDescent="0.3">
      <c r="A308">
        <v>306</v>
      </c>
      <c r="B308">
        <v>4868</v>
      </c>
      <c r="C308" t="b">
        <v>1</v>
      </c>
      <c r="D308">
        <v>8042</v>
      </c>
      <c r="E308">
        <v>8123</v>
      </c>
      <c r="F308">
        <v>8.4</v>
      </c>
      <c r="G308">
        <v>8</v>
      </c>
      <c r="H308">
        <v>1.05</v>
      </c>
      <c r="I308">
        <v>-4.9999952E-2</v>
      </c>
      <c r="J308">
        <v>0.48780489999999999</v>
      </c>
    </row>
    <row r="309" spans="1:10" x14ac:dyDescent="0.3">
      <c r="A309">
        <v>307</v>
      </c>
      <c r="B309">
        <v>4884</v>
      </c>
      <c r="C309" t="b">
        <v>1</v>
      </c>
      <c r="D309">
        <v>8042</v>
      </c>
      <c r="E309">
        <v>8123</v>
      </c>
      <c r="F309">
        <v>8</v>
      </c>
      <c r="G309">
        <v>8</v>
      </c>
      <c r="H309">
        <v>1</v>
      </c>
      <c r="I309">
        <v>0</v>
      </c>
      <c r="J309">
        <v>0.5</v>
      </c>
    </row>
    <row r="310" spans="1:10" x14ac:dyDescent="0.3">
      <c r="A310">
        <v>308</v>
      </c>
      <c r="B310">
        <v>4900</v>
      </c>
      <c r="C310" t="b">
        <v>1</v>
      </c>
      <c r="D310">
        <v>8048</v>
      </c>
      <c r="E310">
        <v>8117</v>
      </c>
      <c r="F310">
        <v>7.6</v>
      </c>
      <c r="G310">
        <v>8</v>
      </c>
      <c r="H310">
        <v>0.95</v>
      </c>
      <c r="I310">
        <v>5.0000012000000003E-2</v>
      </c>
      <c r="J310">
        <v>0.51282050000000001</v>
      </c>
    </row>
    <row r="311" spans="1:10" x14ac:dyDescent="0.3">
      <c r="A311">
        <v>309</v>
      </c>
      <c r="B311">
        <v>4916</v>
      </c>
      <c r="C311" t="b">
        <v>1</v>
      </c>
      <c r="D311">
        <v>8048</v>
      </c>
      <c r="E311">
        <v>8123</v>
      </c>
      <c r="F311">
        <v>7.2</v>
      </c>
      <c r="G311">
        <v>8</v>
      </c>
      <c r="H311">
        <v>0.9</v>
      </c>
      <c r="I311">
        <v>0.10000002400000001</v>
      </c>
      <c r="J311">
        <v>0.5263158</v>
      </c>
    </row>
    <row r="312" spans="1:10" x14ac:dyDescent="0.3">
      <c r="A312">
        <v>310</v>
      </c>
      <c r="B312">
        <v>4932</v>
      </c>
      <c r="C312" t="b">
        <v>1</v>
      </c>
      <c r="D312">
        <v>8048</v>
      </c>
      <c r="E312">
        <v>8123</v>
      </c>
      <c r="F312">
        <v>7.2</v>
      </c>
      <c r="G312">
        <v>8</v>
      </c>
      <c r="H312">
        <v>0.9</v>
      </c>
      <c r="I312">
        <v>0.10000002400000001</v>
      </c>
      <c r="J312">
        <v>0.5263158</v>
      </c>
    </row>
    <row r="313" spans="1:10" x14ac:dyDescent="0.3">
      <c r="A313">
        <v>311</v>
      </c>
      <c r="B313">
        <v>4948</v>
      </c>
      <c r="C313" t="b">
        <v>1</v>
      </c>
      <c r="D313">
        <v>8054</v>
      </c>
      <c r="E313">
        <v>8123</v>
      </c>
      <c r="F313">
        <v>7.2</v>
      </c>
      <c r="G313">
        <v>8</v>
      </c>
      <c r="H313">
        <v>0.9</v>
      </c>
      <c r="I313">
        <v>0.10000002400000001</v>
      </c>
      <c r="J313">
        <v>0.5263158</v>
      </c>
    </row>
    <row r="314" spans="1:10" x14ac:dyDescent="0.3">
      <c r="A314">
        <v>312</v>
      </c>
      <c r="B314">
        <v>4964</v>
      </c>
      <c r="C314" t="b">
        <v>1</v>
      </c>
      <c r="D314">
        <v>8048</v>
      </c>
      <c r="E314">
        <v>8123</v>
      </c>
      <c r="F314">
        <v>6.8</v>
      </c>
      <c r="G314">
        <v>8</v>
      </c>
      <c r="H314">
        <v>0.85</v>
      </c>
      <c r="I314">
        <v>0.14999998</v>
      </c>
      <c r="J314">
        <v>0.54054049999999998</v>
      </c>
    </row>
    <row r="315" spans="1:10" x14ac:dyDescent="0.3">
      <c r="A315">
        <v>313</v>
      </c>
      <c r="B315">
        <v>4980</v>
      </c>
      <c r="C315" t="b">
        <v>1</v>
      </c>
      <c r="D315">
        <v>8048</v>
      </c>
      <c r="E315">
        <v>8123</v>
      </c>
      <c r="F315">
        <v>6.4</v>
      </c>
      <c r="G315">
        <v>8</v>
      </c>
      <c r="H315">
        <v>0.8</v>
      </c>
      <c r="I315">
        <v>0.19999998999999999</v>
      </c>
      <c r="J315">
        <v>0.55555560000000004</v>
      </c>
    </row>
    <row r="316" spans="1:10" x14ac:dyDescent="0.3">
      <c r="A316">
        <v>314</v>
      </c>
      <c r="B316">
        <v>4996</v>
      </c>
      <c r="C316" t="b">
        <v>1</v>
      </c>
      <c r="D316">
        <v>8048</v>
      </c>
      <c r="E316">
        <v>8117</v>
      </c>
      <c r="F316">
        <v>6</v>
      </c>
      <c r="G316">
        <v>8</v>
      </c>
      <c r="H316">
        <v>0.75</v>
      </c>
      <c r="I316">
        <v>0.25</v>
      </c>
      <c r="J316">
        <v>0.57142859999999995</v>
      </c>
    </row>
    <row r="317" spans="1:10" x14ac:dyDescent="0.3">
      <c r="A317">
        <v>315</v>
      </c>
      <c r="B317">
        <v>5012</v>
      </c>
      <c r="C317" t="b">
        <v>1</v>
      </c>
      <c r="D317">
        <v>8054</v>
      </c>
      <c r="E317">
        <v>8123</v>
      </c>
      <c r="F317">
        <v>6</v>
      </c>
      <c r="G317">
        <v>8</v>
      </c>
      <c r="H317">
        <v>0.75</v>
      </c>
      <c r="I317">
        <v>0.25</v>
      </c>
      <c r="J317">
        <v>0.57142859999999995</v>
      </c>
    </row>
    <row r="318" spans="1:10" x14ac:dyDescent="0.3">
      <c r="A318">
        <v>316</v>
      </c>
      <c r="B318">
        <v>5028</v>
      </c>
      <c r="C318" t="b">
        <v>1</v>
      </c>
      <c r="D318">
        <v>8054</v>
      </c>
      <c r="E318">
        <v>8123</v>
      </c>
      <c r="F318">
        <v>6</v>
      </c>
      <c r="G318">
        <v>8</v>
      </c>
      <c r="H318">
        <v>0.75</v>
      </c>
      <c r="I318">
        <v>0.25</v>
      </c>
      <c r="J318">
        <v>0.57142859999999995</v>
      </c>
    </row>
    <row r="319" spans="1:10" x14ac:dyDescent="0.3">
      <c r="A319">
        <v>317</v>
      </c>
      <c r="B319">
        <v>5044</v>
      </c>
      <c r="C319" t="b">
        <v>1</v>
      </c>
      <c r="D319">
        <v>8048</v>
      </c>
      <c r="E319">
        <v>8123</v>
      </c>
      <c r="F319">
        <v>6</v>
      </c>
      <c r="G319">
        <v>8</v>
      </c>
      <c r="H319">
        <v>0.75</v>
      </c>
      <c r="I319">
        <v>0.25</v>
      </c>
      <c r="J319">
        <v>0.57142859999999995</v>
      </c>
    </row>
    <row r="320" spans="1:10" x14ac:dyDescent="0.3">
      <c r="A320">
        <v>318</v>
      </c>
      <c r="B320">
        <v>5060</v>
      </c>
      <c r="C320" t="b">
        <v>1</v>
      </c>
      <c r="D320">
        <v>8042</v>
      </c>
      <c r="E320">
        <v>8123</v>
      </c>
      <c r="F320">
        <v>6</v>
      </c>
      <c r="G320">
        <v>8</v>
      </c>
      <c r="H320">
        <v>0.75</v>
      </c>
      <c r="I320">
        <v>0.25</v>
      </c>
      <c r="J320">
        <v>0.57142859999999995</v>
      </c>
    </row>
    <row r="321" spans="1:10" x14ac:dyDescent="0.3">
      <c r="A321">
        <v>319</v>
      </c>
      <c r="B321">
        <v>5075</v>
      </c>
      <c r="C321" t="b">
        <v>1</v>
      </c>
      <c r="D321">
        <v>8048</v>
      </c>
      <c r="E321">
        <v>8123</v>
      </c>
      <c r="F321">
        <v>6</v>
      </c>
      <c r="G321">
        <v>8</v>
      </c>
      <c r="H321">
        <v>0.75</v>
      </c>
      <c r="I321">
        <v>0.25</v>
      </c>
      <c r="J321">
        <v>0.57142859999999995</v>
      </c>
    </row>
    <row r="322" spans="1:10" x14ac:dyDescent="0.3">
      <c r="A322">
        <v>320</v>
      </c>
      <c r="B322">
        <v>5091</v>
      </c>
      <c r="C322" t="b">
        <v>1</v>
      </c>
      <c r="D322">
        <v>8048</v>
      </c>
      <c r="E322">
        <v>8123</v>
      </c>
      <c r="F322">
        <v>6.4</v>
      </c>
      <c r="G322">
        <v>8</v>
      </c>
      <c r="H322">
        <v>0.8</v>
      </c>
      <c r="I322">
        <v>0.19999998999999999</v>
      </c>
      <c r="J322">
        <v>0.55555560000000004</v>
      </c>
    </row>
    <row r="323" spans="1:10" x14ac:dyDescent="0.3">
      <c r="A323">
        <v>321</v>
      </c>
      <c r="B323">
        <v>5107</v>
      </c>
      <c r="C323" t="b">
        <v>1</v>
      </c>
      <c r="D323">
        <v>8048</v>
      </c>
      <c r="E323">
        <v>8123</v>
      </c>
      <c r="F323">
        <v>6.8</v>
      </c>
      <c r="G323">
        <v>8</v>
      </c>
      <c r="H323">
        <v>0.85</v>
      </c>
      <c r="I323">
        <v>0.14999998</v>
      </c>
      <c r="J323">
        <v>0.54054049999999998</v>
      </c>
    </row>
    <row r="324" spans="1:10" x14ac:dyDescent="0.3">
      <c r="A324">
        <v>322</v>
      </c>
      <c r="B324">
        <v>5122</v>
      </c>
      <c r="C324" t="b">
        <v>1</v>
      </c>
      <c r="D324">
        <v>8048</v>
      </c>
      <c r="E324">
        <v>8129</v>
      </c>
      <c r="F324">
        <v>7.2</v>
      </c>
      <c r="G324">
        <v>8</v>
      </c>
      <c r="H324">
        <v>0.9</v>
      </c>
      <c r="I324">
        <v>0.10000002400000001</v>
      </c>
      <c r="J324">
        <v>0.5263158</v>
      </c>
    </row>
    <row r="325" spans="1:10" x14ac:dyDescent="0.3">
      <c r="A325">
        <v>323</v>
      </c>
      <c r="B325">
        <v>5138</v>
      </c>
      <c r="C325" t="b">
        <v>1</v>
      </c>
      <c r="D325">
        <v>8048</v>
      </c>
      <c r="E325">
        <v>8123</v>
      </c>
      <c r="F325">
        <v>7.6</v>
      </c>
      <c r="G325">
        <v>8</v>
      </c>
      <c r="H325">
        <v>0.95</v>
      </c>
      <c r="I325">
        <v>5.0000012000000003E-2</v>
      </c>
      <c r="J325">
        <v>0.51282050000000001</v>
      </c>
    </row>
    <row r="326" spans="1:10" x14ac:dyDescent="0.3">
      <c r="A326">
        <v>324</v>
      </c>
      <c r="B326">
        <v>5154</v>
      </c>
      <c r="C326" t="b">
        <v>1</v>
      </c>
      <c r="D326">
        <v>8048</v>
      </c>
      <c r="E326">
        <v>8123</v>
      </c>
      <c r="F326">
        <v>8</v>
      </c>
      <c r="G326">
        <v>8</v>
      </c>
      <c r="H326">
        <v>1</v>
      </c>
      <c r="I326">
        <v>0</v>
      </c>
      <c r="J326">
        <v>0.5</v>
      </c>
    </row>
    <row r="327" spans="1:10" x14ac:dyDescent="0.3">
      <c r="A327">
        <v>325</v>
      </c>
      <c r="B327">
        <v>5170</v>
      </c>
      <c r="C327" t="b">
        <v>1</v>
      </c>
      <c r="D327">
        <v>8054</v>
      </c>
      <c r="E327">
        <v>8123</v>
      </c>
      <c r="F327">
        <v>8</v>
      </c>
      <c r="G327">
        <v>8</v>
      </c>
      <c r="H327">
        <v>1</v>
      </c>
      <c r="I327">
        <v>0</v>
      </c>
      <c r="J327">
        <v>0.5</v>
      </c>
    </row>
    <row r="328" spans="1:10" x14ac:dyDescent="0.3">
      <c r="A328">
        <v>326</v>
      </c>
      <c r="B328">
        <v>5185</v>
      </c>
      <c r="C328" t="b">
        <v>1</v>
      </c>
      <c r="D328">
        <v>8048</v>
      </c>
      <c r="E328">
        <v>8123</v>
      </c>
      <c r="F328">
        <v>8</v>
      </c>
      <c r="G328">
        <v>8</v>
      </c>
      <c r="H328">
        <v>1</v>
      </c>
      <c r="I328">
        <v>0</v>
      </c>
      <c r="J328">
        <v>0.5</v>
      </c>
    </row>
    <row r="329" spans="1:10" x14ac:dyDescent="0.3">
      <c r="A329">
        <v>327</v>
      </c>
      <c r="B329">
        <v>5201</v>
      </c>
      <c r="C329" t="b">
        <v>1</v>
      </c>
      <c r="D329">
        <v>8048</v>
      </c>
      <c r="E329">
        <v>8123</v>
      </c>
      <c r="F329">
        <v>8</v>
      </c>
      <c r="G329">
        <v>8</v>
      </c>
      <c r="H329">
        <v>1</v>
      </c>
      <c r="I329">
        <v>0</v>
      </c>
      <c r="J329">
        <v>0.5</v>
      </c>
    </row>
    <row r="330" spans="1:10" x14ac:dyDescent="0.3">
      <c r="A330">
        <v>328</v>
      </c>
      <c r="B330">
        <v>5218</v>
      </c>
      <c r="C330" t="b">
        <v>1</v>
      </c>
      <c r="D330">
        <v>8048</v>
      </c>
      <c r="E330">
        <v>8123</v>
      </c>
      <c r="F330">
        <v>8</v>
      </c>
      <c r="G330">
        <v>8</v>
      </c>
      <c r="H330">
        <v>1</v>
      </c>
      <c r="I330">
        <v>0</v>
      </c>
      <c r="J330">
        <v>0.5</v>
      </c>
    </row>
    <row r="331" spans="1:10" x14ac:dyDescent="0.3">
      <c r="A331">
        <v>329</v>
      </c>
      <c r="B331">
        <v>5233</v>
      </c>
      <c r="C331" t="b">
        <v>1</v>
      </c>
      <c r="D331">
        <v>8048</v>
      </c>
      <c r="E331">
        <v>8129</v>
      </c>
      <c r="F331">
        <v>8</v>
      </c>
      <c r="G331">
        <v>8</v>
      </c>
      <c r="H331">
        <v>1</v>
      </c>
      <c r="I331">
        <v>0</v>
      </c>
      <c r="J331">
        <v>0.5</v>
      </c>
    </row>
    <row r="332" spans="1:10" x14ac:dyDescent="0.3">
      <c r="A332">
        <v>330</v>
      </c>
      <c r="B332">
        <v>5249</v>
      </c>
      <c r="C332" t="b">
        <v>1</v>
      </c>
      <c r="D332">
        <v>8048</v>
      </c>
      <c r="E332">
        <v>8123</v>
      </c>
      <c r="F332">
        <v>8</v>
      </c>
      <c r="G332">
        <v>8</v>
      </c>
      <c r="H332">
        <v>1</v>
      </c>
      <c r="I332">
        <v>0</v>
      </c>
      <c r="J332">
        <v>0.5</v>
      </c>
    </row>
    <row r="333" spans="1:10" x14ac:dyDescent="0.3">
      <c r="A333">
        <v>331</v>
      </c>
      <c r="B333">
        <v>5265</v>
      </c>
      <c r="C333" t="b">
        <v>1</v>
      </c>
      <c r="D333">
        <v>8054</v>
      </c>
      <c r="E333">
        <v>8123</v>
      </c>
      <c r="F333">
        <v>8</v>
      </c>
      <c r="G333">
        <v>8</v>
      </c>
      <c r="H333">
        <v>1</v>
      </c>
      <c r="I333">
        <v>0</v>
      </c>
      <c r="J333">
        <v>0.5</v>
      </c>
    </row>
    <row r="334" spans="1:10" x14ac:dyDescent="0.3">
      <c r="A334">
        <v>332</v>
      </c>
      <c r="B334">
        <v>5281</v>
      </c>
      <c r="C334" t="b">
        <v>1</v>
      </c>
      <c r="D334">
        <v>8048</v>
      </c>
      <c r="E334">
        <v>8123</v>
      </c>
      <c r="F334">
        <v>8</v>
      </c>
      <c r="G334">
        <v>8</v>
      </c>
      <c r="H334">
        <v>1</v>
      </c>
      <c r="I334">
        <v>0</v>
      </c>
      <c r="J334">
        <v>0.5</v>
      </c>
    </row>
    <row r="335" spans="1:10" x14ac:dyDescent="0.3">
      <c r="A335">
        <v>333</v>
      </c>
      <c r="B335">
        <v>5297</v>
      </c>
      <c r="C335" t="b">
        <v>1</v>
      </c>
      <c r="D335">
        <v>8048</v>
      </c>
      <c r="E335">
        <v>8123</v>
      </c>
      <c r="F335">
        <v>8</v>
      </c>
      <c r="G335">
        <v>8</v>
      </c>
      <c r="H335">
        <v>1</v>
      </c>
      <c r="I335">
        <v>0</v>
      </c>
      <c r="J335">
        <v>0.5</v>
      </c>
    </row>
    <row r="336" spans="1:10" x14ac:dyDescent="0.3">
      <c r="A336">
        <v>334</v>
      </c>
      <c r="B336">
        <v>5313</v>
      </c>
      <c r="C336" t="b">
        <v>1</v>
      </c>
      <c r="D336">
        <v>8048</v>
      </c>
      <c r="E336">
        <v>8123</v>
      </c>
      <c r="F336">
        <v>8</v>
      </c>
      <c r="G336">
        <v>8</v>
      </c>
      <c r="H336">
        <v>1</v>
      </c>
      <c r="I336">
        <v>0</v>
      </c>
      <c r="J336">
        <v>0.5</v>
      </c>
    </row>
    <row r="337" spans="1:10" x14ac:dyDescent="0.3">
      <c r="A337">
        <v>335</v>
      </c>
      <c r="B337">
        <v>5328</v>
      </c>
      <c r="C337" t="b">
        <v>1</v>
      </c>
      <c r="D337">
        <v>8048</v>
      </c>
      <c r="E337">
        <v>8123</v>
      </c>
      <c r="F337">
        <v>8</v>
      </c>
      <c r="G337">
        <v>8</v>
      </c>
      <c r="H337">
        <v>1</v>
      </c>
      <c r="I337">
        <v>0</v>
      </c>
      <c r="J337">
        <v>0.5</v>
      </c>
    </row>
    <row r="338" spans="1:10" x14ac:dyDescent="0.3">
      <c r="A338">
        <v>336</v>
      </c>
      <c r="B338">
        <v>5345</v>
      </c>
      <c r="C338" t="b">
        <v>1</v>
      </c>
      <c r="D338">
        <v>8048</v>
      </c>
      <c r="E338">
        <v>8117</v>
      </c>
      <c r="F338">
        <v>8</v>
      </c>
      <c r="G338">
        <v>8</v>
      </c>
      <c r="H338">
        <v>1</v>
      </c>
      <c r="I338">
        <v>0</v>
      </c>
      <c r="J338">
        <v>0.5</v>
      </c>
    </row>
    <row r="339" spans="1:10" x14ac:dyDescent="0.3">
      <c r="A339">
        <v>337</v>
      </c>
      <c r="B339">
        <v>5360</v>
      </c>
      <c r="C339" t="b">
        <v>1</v>
      </c>
      <c r="D339">
        <v>8048</v>
      </c>
      <c r="E339">
        <v>8123</v>
      </c>
      <c r="F339">
        <v>8</v>
      </c>
      <c r="G339">
        <v>8</v>
      </c>
      <c r="H339">
        <v>1</v>
      </c>
      <c r="I339">
        <v>0</v>
      </c>
      <c r="J339">
        <v>0.5</v>
      </c>
    </row>
    <row r="340" spans="1:10" x14ac:dyDescent="0.3">
      <c r="A340">
        <v>338</v>
      </c>
      <c r="B340">
        <v>5376</v>
      </c>
      <c r="C340" t="b">
        <v>1</v>
      </c>
      <c r="D340">
        <v>8048</v>
      </c>
      <c r="E340">
        <v>8123</v>
      </c>
      <c r="F340">
        <v>8</v>
      </c>
      <c r="G340">
        <v>8</v>
      </c>
      <c r="H340">
        <v>1</v>
      </c>
      <c r="I340">
        <v>0</v>
      </c>
      <c r="J340">
        <v>0.5</v>
      </c>
    </row>
    <row r="341" spans="1:10" x14ac:dyDescent="0.3">
      <c r="A341">
        <v>339</v>
      </c>
      <c r="B341">
        <v>5392</v>
      </c>
      <c r="C341" t="b">
        <v>1</v>
      </c>
      <c r="D341">
        <v>8048</v>
      </c>
      <c r="E341">
        <v>8117</v>
      </c>
      <c r="F341">
        <v>8</v>
      </c>
      <c r="G341">
        <v>8</v>
      </c>
      <c r="H341">
        <v>1</v>
      </c>
      <c r="I341">
        <v>0</v>
      </c>
      <c r="J341">
        <v>0.5</v>
      </c>
    </row>
    <row r="342" spans="1:10" x14ac:dyDescent="0.3">
      <c r="A342">
        <v>340</v>
      </c>
      <c r="B342">
        <v>5408</v>
      </c>
      <c r="C342" t="b">
        <v>1</v>
      </c>
      <c r="D342">
        <v>8048</v>
      </c>
      <c r="E342">
        <v>8117</v>
      </c>
      <c r="F342">
        <v>8</v>
      </c>
      <c r="G342">
        <v>7.6</v>
      </c>
      <c r="H342">
        <v>1.0526316</v>
      </c>
      <c r="I342">
        <v>-5.2631589999999999E-2</v>
      </c>
      <c r="J342">
        <v>0.48717946000000001</v>
      </c>
    </row>
    <row r="343" spans="1:10" x14ac:dyDescent="0.3">
      <c r="A343">
        <v>341</v>
      </c>
      <c r="B343">
        <v>5424</v>
      </c>
      <c r="C343" t="b">
        <v>1</v>
      </c>
      <c r="D343">
        <v>8048</v>
      </c>
      <c r="E343">
        <v>8117</v>
      </c>
      <c r="F343">
        <v>8</v>
      </c>
      <c r="G343">
        <v>7.2</v>
      </c>
      <c r="H343">
        <v>1.1111112000000001</v>
      </c>
      <c r="I343">
        <v>-0.11111114</v>
      </c>
      <c r="J343">
        <v>0.4736842</v>
      </c>
    </row>
    <row r="344" spans="1:10" x14ac:dyDescent="0.3">
      <c r="A344">
        <v>342</v>
      </c>
      <c r="B344">
        <v>5440</v>
      </c>
      <c r="C344" t="b">
        <v>1</v>
      </c>
      <c r="D344">
        <v>8048</v>
      </c>
      <c r="E344">
        <v>8117</v>
      </c>
      <c r="F344">
        <v>8</v>
      </c>
      <c r="G344">
        <v>6.8</v>
      </c>
      <c r="H344">
        <v>1.1764705</v>
      </c>
      <c r="I344">
        <v>-0.17647055</v>
      </c>
      <c r="J344">
        <v>0.45945944999999999</v>
      </c>
    </row>
    <row r="345" spans="1:10" x14ac:dyDescent="0.3">
      <c r="A345">
        <v>343</v>
      </c>
      <c r="B345">
        <v>5456</v>
      </c>
      <c r="C345" t="b">
        <v>1</v>
      </c>
      <c r="D345">
        <v>8048</v>
      </c>
      <c r="E345">
        <v>8117</v>
      </c>
      <c r="F345">
        <v>8</v>
      </c>
      <c r="G345">
        <v>6.4</v>
      </c>
      <c r="H345">
        <v>1.25</v>
      </c>
      <c r="I345">
        <v>-0.24999999000000001</v>
      </c>
      <c r="J345">
        <v>0.44444447999999998</v>
      </c>
    </row>
    <row r="346" spans="1:10" x14ac:dyDescent="0.3">
      <c r="A346">
        <v>344</v>
      </c>
      <c r="B346">
        <v>5472</v>
      </c>
      <c r="C346" t="b">
        <v>1</v>
      </c>
      <c r="D346">
        <v>8048</v>
      </c>
      <c r="E346">
        <v>8117</v>
      </c>
      <c r="F346">
        <v>8</v>
      </c>
      <c r="G346">
        <v>6</v>
      </c>
      <c r="H346">
        <v>1.3333333999999999</v>
      </c>
      <c r="I346">
        <v>-0.33333333999999998</v>
      </c>
      <c r="J346">
        <v>0.42857142999999998</v>
      </c>
    </row>
    <row r="347" spans="1:10" x14ac:dyDescent="0.3">
      <c r="A347">
        <v>345</v>
      </c>
      <c r="B347">
        <v>5487</v>
      </c>
      <c r="C347" t="b">
        <v>1</v>
      </c>
      <c r="D347">
        <v>8048</v>
      </c>
      <c r="E347">
        <v>8123</v>
      </c>
      <c r="F347">
        <v>8</v>
      </c>
      <c r="G347">
        <v>5.6</v>
      </c>
      <c r="H347">
        <v>1.4285715000000001</v>
      </c>
      <c r="I347">
        <v>-0.42857146000000002</v>
      </c>
      <c r="J347">
        <v>0.41176467999999999</v>
      </c>
    </row>
    <row r="348" spans="1:10" x14ac:dyDescent="0.3">
      <c r="A348">
        <v>346</v>
      </c>
      <c r="B348">
        <v>5503</v>
      </c>
      <c r="C348" t="b">
        <v>1</v>
      </c>
      <c r="D348">
        <v>8054</v>
      </c>
      <c r="E348">
        <v>8123</v>
      </c>
      <c r="F348">
        <v>8</v>
      </c>
      <c r="G348">
        <v>5.2</v>
      </c>
      <c r="H348">
        <v>1.5384616</v>
      </c>
      <c r="I348">
        <v>-0.53846156999999994</v>
      </c>
      <c r="J348">
        <v>0.39393938000000001</v>
      </c>
    </row>
    <row r="349" spans="1:10" x14ac:dyDescent="0.3">
      <c r="A349">
        <v>347</v>
      </c>
      <c r="B349">
        <v>5519</v>
      </c>
      <c r="C349" t="b">
        <v>1</v>
      </c>
      <c r="D349">
        <v>8042</v>
      </c>
      <c r="E349">
        <v>8123</v>
      </c>
      <c r="F349">
        <v>8</v>
      </c>
      <c r="G349">
        <v>5.2</v>
      </c>
      <c r="H349">
        <v>1.5384616</v>
      </c>
      <c r="I349">
        <v>-0.53846156999999994</v>
      </c>
      <c r="J349">
        <v>0.39393938000000001</v>
      </c>
    </row>
    <row r="350" spans="1:10" x14ac:dyDescent="0.3">
      <c r="A350">
        <v>348</v>
      </c>
      <c r="B350">
        <v>5535</v>
      </c>
      <c r="C350" t="b">
        <v>1</v>
      </c>
      <c r="D350">
        <v>8042</v>
      </c>
      <c r="E350">
        <v>8123</v>
      </c>
      <c r="F350">
        <v>8</v>
      </c>
      <c r="G350">
        <v>5.2</v>
      </c>
      <c r="H350">
        <v>1.5384616</v>
      </c>
      <c r="I350">
        <v>-0.53846156999999994</v>
      </c>
      <c r="J350">
        <v>0.39393938000000001</v>
      </c>
    </row>
    <row r="351" spans="1:10" x14ac:dyDescent="0.3">
      <c r="A351">
        <v>349</v>
      </c>
      <c r="B351">
        <v>5551</v>
      </c>
      <c r="C351" t="b">
        <v>1</v>
      </c>
      <c r="D351">
        <v>8048</v>
      </c>
      <c r="E351">
        <v>8123</v>
      </c>
      <c r="F351">
        <v>8</v>
      </c>
      <c r="G351">
        <v>5.2</v>
      </c>
      <c r="H351">
        <v>1.5384616</v>
      </c>
      <c r="I351">
        <v>-0.53846156999999994</v>
      </c>
      <c r="J351">
        <v>0.39393938000000001</v>
      </c>
    </row>
    <row r="352" spans="1:10" x14ac:dyDescent="0.3">
      <c r="A352">
        <v>350</v>
      </c>
      <c r="B352">
        <v>5567</v>
      </c>
      <c r="C352" t="b">
        <v>1</v>
      </c>
      <c r="D352">
        <v>8048</v>
      </c>
      <c r="E352">
        <v>8129</v>
      </c>
      <c r="F352">
        <v>8</v>
      </c>
      <c r="G352">
        <v>5.2</v>
      </c>
      <c r="H352">
        <v>1.5384616</v>
      </c>
      <c r="I352">
        <v>-0.53846156999999994</v>
      </c>
      <c r="J352">
        <v>0.39393938000000001</v>
      </c>
    </row>
    <row r="353" spans="1:10" x14ac:dyDescent="0.3">
      <c r="A353">
        <v>351</v>
      </c>
      <c r="B353">
        <v>5583</v>
      </c>
      <c r="C353" t="b">
        <v>1</v>
      </c>
      <c r="D353">
        <v>8042</v>
      </c>
      <c r="E353">
        <v>8123</v>
      </c>
      <c r="F353">
        <v>7.6</v>
      </c>
      <c r="G353">
        <v>5.2</v>
      </c>
      <c r="H353">
        <v>1.4615385999999999</v>
      </c>
      <c r="I353">
        <v>-0.46153850000000002</v>
      </c>
      <c r="J353">
        <v>0.40625</v>
      </c>
    </row>
    <row r="354" spans="1:10" x14ac:dyDescent="0.3">
      <c r="A354">
        <v>352</v>
      </c>
      <c r="B354">
        <v>5599</v>
      </c>
      <c r="C354" t="b">
        <v>1</v>
      </c>
      <c r="D354">
        <v>8042</v>
      </c>
      <c r="E354">
        <v>8117</v>
      </c>
      <c r="F354">
        <v>7.2</v>
      </c>
      <c r="G354">
        <v>5.2</v>
      </c>
      <c r="H354">
        <v>1.3846153999999999</v>
      </c>
      <c r="I354">
        <v>-0.3846154</v>
      </c>
      <c r="J354">
        <v>0.41935483000000001</v>
      </c>
    </row>
    <row r="355" spans="1:10" x14ac:dyDescent="0.3">
      <c r="A355">
        <v>353</v>
      </c>
      <c r="B355">
        <v>5614</v>
      </c>
      <c r="C355" t="b">
        <v>1</v>
      </c>
      <c r="D355">
        <v>8048</v>
      </c>
      <c r="E355">
        <v>8123</v>
      </c>
      <c r="F355">
        <v>7.2</v>
      </c>
      <c r="G355">
        <v>5.2</v>
      </c>
      <c r="H355">
        <v>1.3846153999999999</v>
      </c>
      <c r="I355">
        <v>-0.3846154</v>
      </c>
      <c r="J355">
        <v>0.41935483000000001</v>
      </c>
    </row>
    <row r="356" spans="1:10" x14ac:dyDescent="0.3">
      <c r="A356">
        <v>354</v>
      </c>
      <c r="B356">
        <v>5630</v>
      </c>
      <c r="C356" t="b">
        <v>1</v>
      </c>
      <c r="D356">
        <v>8048</v>
      </c>
      <c r="E356">
        <v>8129</v>
      </c>
      <c r="F356">
        <v>7.2</v>
      </c>
      <c r="G356">
        <v>5.2</v>
      </c>
      <c r="H356">
        <v>1.3846153999999999</v>
      </c>
      <c r="I356">
        <v>-0.3846154</v>
      </c>
      <c r="J356">
        <v>0.41935483000000001</v>
      </c>
    </row>
    <row r="357" spans="1:10" x14ac:dyDescent="0.3">
      <c r="A357">
        <v>355</v>
      </c>
      <c r="B357">
        <v>5646</v>
      </c>
      <c r="C357" t="b">
        <v>1</v>
      </c>
      <c r="D357">
        <v>8048</v>
      </c>
      <c r="E357">
        <v>8123</v>
      </c>
      <c r="F357">
        <v>7.2</v>
      </c>
      <c r="G357">
        <v>5.6</v>
      </c>
      <c r="H357">
        <v>1.2857143</v>
      </c>
      <c r="I357">
        <v>-0.28571426999999999</v>
      </c>
      <c r="J357">
        <v>0.43750002999999998</v>
      </c>
    </row>
    <row r="358" spans="1:10" x14ac:dyDescent="0.3">
      <c r="A358">
        <v>356</v>
      </c>
      <c r="B358">
        <v>5662</v>
      </c>
      <c r="C358" t="b">
        <v>1</v>
      </c>
      <c r="D358">
        <v>8048</v>
      </c>
      <c r="E358">
        <v>8123</v>
      </c>
      <c r="F358">
        <v>7.2</v>
      </c>
      <c r="G358">
        <v>6</v>
      </c>
      <c r="H358">
        <v>1.1999998999999999</v>
      </c>
      <c r="I358">
        <v>-0.19999997</v>
      </c>
      <c r="J358">
        <v>0.45454547000000001</v>
      </c>
    </row>
    <row r="359" spans="1:10" x14ac:dyDescent="0.3">
      <c r="A359">
        <v>357</v>
      </c>
      <c r="B359">
        <v>5677</v>
      </c>
      <c r="C359" t="b">
        <v>1</v>
      </c>
      <c r="D359">
        <v>8048</v>
      </c>
      <c r="E359">
        <v>8123</v>
      </c>
      <c r="F359">
        <v>7.2</v>
      </c>
      <c r="G359">
        <v>6.4</v>
      </c>
      <c r="H359">
        <v>1.125</v>
      </c>
      <c r="I359">
        <v>-0.124999955</v>
      </c>
      <c r="J359">
        <v>0.47058823999999999</v>
      </c>
    </row>
    <row r="360" spans="1:10" x14ac:dyDescent="0.3">
      <c r="A360">
        <v>358</v>
      </c>
      <c r="B360">
        <v>5693</v>
      </c>
      <c r="C360" t="b">
        <v>1</v>
      </c>
      <c r="D360">
        <v>8048</v>
      </c>
      <c r="E360">
        <v>8123</v>
      </c>
      <c r="F360">
        <v>7.2</v>
      </c>
      <c r="G360">
        <v>6.8</v>
      </c>
      <c r="H360">
        <v>1.0588234999999999</v>
      </c>
      <c r="I360">
        <v>-5.8823470000000003E-2</v>
      </c>
      <c r="J360">
        <v>0.48571429999999999</v>
      </c>
    </row>
    <row r="361" spans="1:10" x14ac:dyDescent="0.3">
      <c r="A361">
        <v>359</v>
      </c>
      <c r="B361">
        <v>5709</v>
      </c>
      <c r="C361" t="b">
        <v>1</v>
      </c>
      <c r="D361">
        <v>8048</v>
      </c>
      <c r="E361">
        <v>8123</v>
      </c>
      <c r="F361">
        <v>7.2</v>
      </c>
      <c r="G361">
        <v>7.2</v>
      </c>
      <c r="H361">
        <v>1</v>
      </c>
      <c r="I361">
        <v>0</v>
      </c>
      <c r="J361">
        <v>0.5</v>
      </c>
    </row>
    <row r="362" spans="1:10" x14ac:dyDescent="0.3">
      <c r="A362">
        <v>360</v>
      </c>
      <c r="B362">
        <v>5725</v>
      </c>
      <c r="C362" t="b">
        <v>1</v>
      </c>
      <c r="D362">
        <v>8054</v>
      </c>
      <c r="E362">
        <v>8117</v>
      </c>
      <c r="F362">
        <v>7.2</v>
      </c>
      <c r="G362">
        <v>7.6</v>
      </c>
      <c r="H362">
        <v>0.9473684</v>
      </c>
      <c r="I362">
        <v>5.2631589999999999E-2</v>
      </c>
      <c r="J362">
        <v>0.51351349999999996</v>
      </c>
    </row>
    <row r="363" spans="1:10" x14ac:dyDescent="0.3">
      <c r="A363">
        <v>361</v>
      </c>
      <c r="B363">
        <v>5740</v>
      </c>
      <c r="C363" t="b">
        <v>1</v>
      </c>
      <c r="D363">
        <v>8048</v>
      </c>
      <c r="E363">
        <v>8123</v>
      </c>
      <c r="F363">
        <v>7.2</v>
      </c>
      <c r="G363">
        <v>8</v>
      </c>
      <c r="H363">
        <v>0.9</v>
      </c>
      <c r="I363">
        <v>0.10000002400000001</v>
      </c>
      <c r="J363">
        <v>0.5263158</v>
      </c>
    </row>
    <row r="364" spans="1:10" x14ac:dyDescent="0.3">
      <c r="A364">
        <v>362</v>
      </c>
      <c r="B364">
        <v>5756</v>
      </c>
      <c r="C364" t="b">
        <v>1</v>
      </c>
      <c r="D364">
        <v>8054</v>
      </c>
      <c r="E364">
        <v>8123</v>
      </c>
      <c r="F364">
        <v>7.2</v>
      </c>
      <c r="G364">
        <v>8</v>
      </c>
      <c r="H364">
        <v>0.9</v>
      </c>
      <c r="I364">
        <v>0.10000002400000001</v>
      </c>
      <c r="J364">
        <v>0.5263158</v>
      </c>
    </row>
    <row r="365" spans="1:10" x14ac:dyDescent="0.3">
      <c r="A365">
        <v>363</v>
      </c>
      <c r="B365">
        <v>5772</v>
      </c>
      <c r="C365" t="b">
        <v>1</v>
      </c>
      <c r="D365">
        <v>8048</v>
      </c>
      <c r="E365">
        <v>8123</v>
      </c>
      <c r="F365">
        <v>7.2</v>
      </c>
      <c r="G365">
        <v>8</v>
      </c>
      <c r="H365">
        <v>0.9</v>
      </c>
      <c r="I365">
        <v>0.10000002400000001</v>
      </c>
      <c r="J365">
        <v>0.5263158</v>
      </c>
    </row>
    <row r="366" spans="1:10" x14ac:dyDescent="0.3">
      <c r="A366">
        <v>364</v>
      </c>
      <c r="B366">
        <v>5788</v>
      </c>
      <c r="C366" t="b">
        <v>1</v>
      </c>
      <c r="D366">
        <v>8048</v>
      </c>
      <c r="E366">
        <v>8123</v>
      </c>
      <c r="F366">
        <v>7.2</v>
      </c>
      <c r="G366">
        <v>8</v>
      </c>
      <c r="H366">
        <v>0.9</v>
      </c>
      <c r="I366">
        <v>0.10000002400000001</v>
      </c>
      <c r="J366">
        <v>0.5263158</v>
      </c>
    </row>
    <row r="367" spans="1:10" x14ac:dyDescent="0.3">
      <c r="A367">
        <v>365</v>
      </c>
      <c r="B367">
        <v>5804</v>
      </c>
      <c r="C367" t="b">
        <v>1</v>
      </c>
      <c r="D367">
        <v>8048</v>
      </c>
      <c r="E367">
        <v>8123</v>
      </c>
      <c r="F367">
        <v>7.2</v>
      </c>
      <c r="G367">
        <v>8</v>
      </c>
      <c r="H367">
        <v>0.9</v>
      </c>
      <c r="I367">
        <v>0.10000002400000001</v>
      </c>
      <c r="J367">
        <v>0.5263158</v>
      </c>
    </row>
    <row r="368" spans="1:10" x14ac:dyDescent="0.3">
      <c r="A368">
        <v>366</v>
      </c>
      <c r="B368">
        <v>5820</v>
      </c>
      <c r="C368" t="b">
        <v>1</v>
      </c>
      <c r="D368">
        <v>8054</v>
      </c>
      <c r="E368">
        <v>8123</v>
      </c>
      <c r="F368">
        <v>7.6</v>
      </c>
      <c r="G368">
        <v>8</v>
      </c>
      <c r="H368">
        <v>0.95</v>
      </c>
      <c r="I368">
        <v>5.0000012000000003E-2</v>
      </c>
      <c r="J368">
        <v>0.51282050000000001</v>
      </c>
    </row>
    <row r="369" spans="1:10" x14ac:dyDescent="0.3">
      <c r="A369">
        <v>367</v>
      </c>
      <c r="B369">
        <v>5835</v>
      </c>
      <c r="C369" t="b">
        <v>1</v>
      </c>
      <c r="D369">
        <v>8048</v>
      </c>
      <c r="E369">
        <v>8123</v>
      </c>
      <c r="F369">
        <v>8</v>
      </c>
      <c r="G369">
        <v>8</v>
      </c>
      <c r="H369">
        <v>1</v>
      </c>
      <c r="I369">
        <v>0</v>
      </c>
      <c r="J369">
        <v>0.5</v>
      </c>
    </row>
    <row r="370" spans="1:10" x14ac:dyDescent="0.3">
      <c r="A370">
        <v>368</v>
      </c>
      <c r="B370">
        <v>5851</v>
      </c>
      <c r="C370" t="b">
        <v>1</v>
      </c>
      <c r="D370">
        <v>8054</v>
      </c>
      <c r="E370">
        <v>8123</v>
      </c>
      <c r="F370">
        <v>8</v>
      </c>
      <c r="G370">
        <v>8</v>
      </c>
      <c r="H370">
        <v>1</v>
      </c>
      <c r="I370">
        <v>0</v>
      </c>
      <c r="J370">
        <v>0.5</v>
      </c>
    </row>
    <row r="371" spans="1:10" x14ac:dyDescent="0.3">
      <c r="A371">
        <v>369</v>
      </c>
      <c r="B371">
        <v>5867</v>
      </c>
      <c r="C371" t="b">
        <v>1</v>
      </c>
      <c r="D371">
        <v>8048</v>
      </c>
      <c r="E371">
        <v>8123</v>
      </c>
      <c r="F371">
        <v>8</v>
      </c>
      <c r="G371">
        <v>8</v>
      </c>
      <c r="H371">
        <v>1</v>
      </c>
      <c r="I371">
        <v>0</v>
      </c>
      <c r="J371">
        <v>0.5</v>
      </c>
    </row>
    <row r="372" spans="1:10" x14ac:dyDescent="0.3">
      <c r="A372">
        <v>370</v>
      </c>
      <c r="B372">
        <v>5883</v>
      </c>
      <c r="C372" t="b">
        <v>1</v>
      </c>
      <c r="D372">
        <v>8048</v>
      </c>
      <c r="E372">
        <v>8123</v>
      </c>
      <c r="F372">
        <v>8</v>
      </c>
      <c r="G372">
        <v>8</v>
      </c>
      <c r="H372">
        <v>1</v>
      </c>
      <c r="I372">
        <v>0</v>
      </c>
      <c r="J372">
        <v>0.5</v>
      </c>
    </row>
    <row r="373" spans="1:10" x14ac:dyDescent="0.3">
      <c r="A373">
        <v>371</v>
      </c>
      <c r="B373">
        <v>5899</v>
      </c>
      <c r="C373" t="b">
        <v>1</v>
      </c>
      <c r="D373">
        <v>8054</v>
      </c>
      <c r="E373">
        <v>8123</v>
      </c>
      <c r="F373">
        <v>8</v>
      </c>
      <c r="G373">
        <v>8</v>
      </c>
      <c r="H373">
        <v>1</v>
      </c>
      <c r="I373">
        <v>0</v>
      </c>
      <c r="J373">
        <v>0.5</v>
      </c>
    </row>
    <row r="374" spans="1:10" x14ac:dyDescent="0.3">
      <c r="A374">
        <v>372</v>
      </c>
      <c r="B374">
        <v>5915</v>
      </c>
      <c r="C374" t="b">
        <v>1</v>
      </c>
      <c r="D374">
        <v>8048</v>
      </c>
      <c r="E374">
        <v>8123</v>
      </c>
      <c r="F374">
        <v>8</v>
      </c>
      <c r="G374">
        <v>8</v>
      </c>
      <c r="H374">
        <v>1</v>
      </c>
      <c r="I374">
        <v>0</v>
      </c>
      <c r="J374">
        <v>0.5</v>
      </c>
    </row>
    <row r="375" spans="1:10" x14ac:dyDescent="0.3">
      <c r="A375">
        <v>373</v>
      </c>
      <c r="B375">
        <v>5930</v>
      </c>
      <c r="C375" t="b">
        <v>1</v>
      </c>
      <c r="D375">
        <v>8048</v>
      </c>
      <c r="E375">
        <v>8129</v>
      </c>
      <c r="F375">
        <v>8</v>
      </c>
      <c r="G375">
        <v>8</v>
      </c>
      <c r="H375">
        <v>1</v>
      </c>
      <c r="I375">
        <v>0</v>
      </c>
      <c r="J375">
        <v>0.5</v>
      </c>
    </row>
    <row r="376" spans="1:10" x14ac:dyDescent="0.3">
      <c r="A376">
        <v>374</v>
      </c>
      <c r="B376">
        <v>5946</v>
      </c>
      <c r="C376" t="b">
        <v>1</v>
      </c>
      <c r="D376">
        <v>8048</v>
      </c>
      <c r="E376">
        <v>8123</v>
      </c>
      <c r="F376">
        <v>8</v>
      </c>
      <c r="G376">
        <v>8</v>
      </c>
      <c r="H376">
        <v>1</v>
      </c>
      <c r="I376">
        <v>0</v>
      </c>
      <c r="J376">
        <v>0.5</v>
      </c>
    </row>
    <row r="377" spans="1:10" x14ac:dyDescent="0.3">
      <c r="A377">
        <v>375</v>
      </c>
      <c r="B377">
        <v>5962</v>
      </c>
      <c r="C377" t="b">
        <v>1</v>
      </c>
      <c r="D377">
        <v>8054</v>
      </c>
      <c r="E377">
        <v>8123</v>
      </c>
      <c r="F377">
        <v>8</v>
      </c>
      <c r="G377">
        <v>8</v>
      </c>
      <c r="H377">
        <v>1</v>
      </c>
      <c r="I377">
        <v>0</v>
      </c>
      <c r="J377">
        <v>0.5</v>
      </c>
    </row>
    <row r="378" spans="1:10" x14ac:dyDescent="0.3">
      <c r="A378">
        <v>376</v>
      </c>
      <c r="B378">
        <v>5978</v>
      </c>
      <c r="C378" t="b">
        <v>1</v>
      </c>
      <c r="D378">
        <v>8048</v>
      </c>
      <c r="E378">
        <v>8123</v>
      </c>
      <c r="F378">
        <v>8</v>
      </c>
      <c r="G378">
        <v>8</v>
      </c>
      <c r="H378">
        <v>1</v>
      </c>
      <c r="I378">
        <v>0</v>
      </c>
      <c r="J378">
        <v>0.5</v>
      </c>
    </row>
    <row r="379" spans="1:10" x14ac:dyDescent="0.3">
      <c r="A379">
        <v>377</v>
      </c>
      <c r="B379">
        <v>5994</v>
      </c>
      <c r="C379" t="b">
        <v>1</v>
      </c>
      <c r="D379">
        <v>8054</v>
      </c>
      <c r="E379">
        <v>8129</v>
      </c>
      <c r="F379">
        <v>8</v>
      </c>
      <c r="G379">
        <v>8</v>
      </c>
      <c r="H379">
        <v>1</v>
      </c>
      <c r="I379">
        <v>0</v>
      </c>
      <c r="J379">
        <v>0.5</v>
      </c>
    </row>
    <row r="380" spans="1:10" x14ac:dyDescent="0.3">
      <c r="A380">
        <v>378</v>
      </c>
      <c r="B380">
        <v>6009</v>
      </c>
      <c r="C380" t="b">
        <v>1</v>
      </c>
      <c r="D380">
        <v>8048</v>
      </c>
      <c r="E380">
        <v>8123</v>
      </c>
      <c r="F380">
        <v>8</v>
      </c>
      <c r="G380">
        <v>8</v>
      </c>
      <c r="H380">
        <v>1</v>
      </c>
      <c r="I380">
        <v>0</v>
      </c>
      <c r="J380">
        <v>0.5</v>
      </c>
    </row>
    <row r="381" spans="1:10" x14ac:dyDescent="0.3">
      <c r="A381">
        <v>379</v>
      </c>
      <c r="B381">
        <v>6026</v>
      </c>
      <c r="C381" t="b">
        <v>1</v>
      </c>
      <c r="D381">
        <v>8048</v>
      </c>
      <c r="E381">
        <v>8123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6041</v>
      </c>
      <c r="C382" t="b">
        <v>1</v>
      </c>
      <c r="D382">
        <v>8048</v>
      </c>
      <c r="E382">
        <v>8117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6057</v>
      </c>
      <c r="C383" t="b">
        <v>1</v>
      </c>
      <c r="D383">
        <v>8048</v>
      </c>
      <c r="E383">
        <v>8117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6073</v>
      </c>
      <c r="C384" t="b">
        <v>1</v>
      </c>
      <c r="D384">
        <v>8048</v>
      </c>
      <c r="E384">
        <v>8117</v>
      </c>
      <c r="F384">
        <v>8</v>
      </c>
      <c r="G384">
        <v>7.6</v>
      </c>
      <c r="H384">
        <v>1.0526316</v>
      </c>
      <c r="I384">
        <v>-5.2631589999999999E-2</v>
      </c>
      <c r="J384">
        <v>0.48717946000000001</v>
      </c>
    </row>
    <row r="385" spans="1:10" x14ac:dyDescent="0.3">
      <c r="A385">
        <v>383</v>
      </c>
      <c r="B385">
        <v>6089</v>
      </c>
      <c r="C385" t="b">
        <v>1</v>
      </c>
      <c r="D385">
        <v>8048</v>
      </c>
      <c r="E385">
        <v>8117</v>
      </c>
      <c r="F385">
        <v>8</v>
      </c>
      <c r="G385">
        <v>7.2</v>
      </c>
      <c r="H385">
        <v>1.1111112000000001</v>
      </c>
      <c r="I385">
        <v>-0.11111114</v>
      </c>
      <c r="J385">
        <v>0.4736842</v>
      </c>
    </row>
    <row r="386" spans="1:10" x14ac:dyDescent="0.3">
      <c r="A386">
        <v>384</v>
      </c>
      <c r="B386">
        <v>6105</v>
      </c>
      <c r="C386" t="b">
        <v>1</v>
      </c>
      <c r="D386">
        <v>8048</v>
      </c>
      <c r="E386">
        <v>8117</v>
      </c>
      <c r="F386">
        <v>8</v>
      </c>
      <c r="G386">
        <v>6.8</v>
      </c>
      <c r="H386">
        <v>1.1764705</v>
      </c>
      <c r="I386">
        <v>-0.17647055</v>
      </c>
      <c r="J386">
        <v>0.45945944999999999</v>
      </c>
    </row>
    <row r="387" spans="1:10" x14ac:dyDescent="0.3">
      <c r="A387">
        <v>385</v>
      </c>
      <c r="B387">
        <v>6121</v>
      </c>
      <c r="C387" t="b">
        <v>1</v>
      </c>
      <c r="D387">
        <v>8042</v>
      </c>
      <c r="E387">
        <v>8117</v>
      </c>
      <c r="F387">
        <v>8</v>
      </c>
      <c r="G387">
        <v>6.4</v>
      </c>
      <c r="H387">
        <v>1.25</v>
      </c>
      <c r="I387">
        <v>-0.24999999000000001</v>
      </c>
      <c r="J387">
        <v>0.44444447999999998</v>
      </c>
    </row>
    <row r="388" spans="1:10" x14ac:dyDescent="0.3">
      <c r="A388">
        <v>386</v>
      </c>
      <c r="B388">
        <v>6136</v>
      </c>
      <c r="C388" t="b">
        <v>1</v>
      </c>
      <c r="D388">
        <v>8048</v>
      </c>
      <c r="E388">
        <v>8123</v>
      </c>
      <c r="F388">
        <v>8</v>
      </c>
      <c r="G388">
        <v>6</v>
      </c>
      <c r="H388">
        <v>1.3333333999999999</v>
      </c>
      <c r="I388">
        <v>-0.33333333999999998</v>
      </c>
      <c r="J388">
        <v>0.42857142999999998</v>
      </c>
    </row>
    <row r="389" spans="1:10" x14ac:dyDescent="0.3">
      <c r="A389">
        <v>387</v>
      </c>
      <c r="B389">
        <v>6152</v>
      </c>
      <c r="C389" t="b">
        <v>1</v>
      </c>
      <c r="D389">
        <v>8042</v>
      </c>
      <c r="E389">
        <v>8117</v>
      </c>
      <c r="F389">
        <v>8</v>
      </c>
      <c r="G389">
        <v>5.6</v>
      </c>
      <c r="H389">
        <v>1.4285715000000001</v>
      </c>
      <c r="I389">
        <v>-0.42857146000000002</v>
      </c>
      <c r="J389">
        <v>0.41176467999999999</v>
      </c>
    </row>
    <row r="390" spans="1:10" x14ac:dyDescent="0.3">
      <c r="A390">
        <v>388</v>
      </c>
      <c r="B390">
        <v>6168</v>
      </c>
      <c r="C390" t="b">
        <v>1</v>
      </c>
      <c r="D390">
        <v>8042</v>
      </c>
      <c r="E390">
        <v>8123</v>
      </c>
      <c r="F390">
        <v>7.6</v>
      </c>
      <c r="G390">
        <v>5.2</v>
      </c>
      <c r="H390">
        <v>1.4615385999999999</v>
      </c>
      <c r="I390">
        <v>-0.46153850000000002</v>
      </c>
      <c r="J390">
        <v>0.40625</v>
      </c>
    </row>
    <row r="391" spans="1:10" x14ac:dyDescent="0.3">
      <c r="A391">
        <v>389</v>
      </c>
      <c r="B391">
        <v>6184</v>
      </c>
      <c r="C391" t="b">
        <v>1</v>
      </c>
      <c r="D391">
        <v>8042</v>
      </c>
      <c r="E391">
        <v>8123</v>
      </c>
      <c r="F391">
        <v>7.2</v>
      </c>
      <c r="G391">
        <v>5.2</v>
      </c>
      <c r="H391">
        <v>1.3846153999999999</v>
      </c>
      <c r="I391">
        <v>-0.3846154</v>
      </c>
      <c r="J391">
        <v>0.41935483000000001</v>
      </c>
    </row>
    <row r="392" spans="1:10" x14ac:dyDescent="0.3">
      <c r="A392">
        <v>390</v>
      </c>
      <c r="B392">
        <v>6200</v>
      </c>
      <c r="C392" t="b">
        <v>1</v>
      </c>
      <c r="D392">
        <v>8042</v>
      </c>
      <c r="E392">
        <v>8123</v>
      </c>
      <c r="F392">
        <v>6.8</v>
      </c>
      <c r="G392">
        <v>5.2</v>
      </c>
      <c r="H392">
        <v>1.3076924000000001</v>
      </c>
      <c r="I392">
        <v>-0.30769237999999999</v>
      </c>
      <c r="J392">
        <v>0.43333329999999998</v>
      </c>
    </row>
    <row r="393" spans="1:10" x14ac:dyDescent="0.3">
      <c r="A393">
        <v>391</v>
      </c>
      <c r="B393">
        <v>6216</v>
      </c>
      <c r="C393" t="b">
        <v>1</v>
      </c>
      <c r="D393">
        <v>8048</v>
      </c>
      <c r="E393">
        <v>8123</v>
      </c>
      <c r="F393">
        <v>6.4</v>
      </c>
      <c r="G393">
        <v>5.2</v>
      </c>
      <c r="H393">
        <v>1.2307693</v>
      </c>
      <c r="I393">
        <v>-0.23076928999999999</v>
      </c>
      <c r="J393">
        <v>0.44827582999999999</v>
      </c>
    </row>
    <row r="394" spans="1:10" x14ac:dyDescent="0.3">
      <c r="A394">
        <v>392</v>
      </c>
      <c r="B394">
        <v>6232</v>
      </c>
      <c r="C394" t="b">
        <v>1</v>
      </c>
      <c r="D394">
        <v>8048</v>
      </c>
      <c r="E394">
        <v>8123</v>
      </c>
      <c r="F394">
        <v>6</v>
      </c>
      <c r="G394">
        <v>5.2</v>
      </c>
      <c r="H394">
        <v>1.1538461</v>
      </c>
      <c r="I394">
        <v>-0.15384618999999999</v>
      </c>
      <c r="J394">
        <v>0.46428570000000002</v>
      </c>
    </row>
    <row r="395" spans="1:10" x14ac:dyDescent="0.3">
      <c r="A395">
        <v>393</v>
      </c>
      <c r="B395">
        <v>6248</v>
      </c>
      <c r="C395" t="b">
        <v>1</v>
      </c>
      <c r="D395">
        <v>8048</v>
      </c>
      <c r="E395">
        <v>8117</v>
      </c>
      <c r="F395">
        <v>6</v>
      </c>
      <c r="G395">
        <v>5.2</v>
      </c>
      <c r="H395">
        <v>1.1538461</v>
      </c>
      <c r="I395">
        <v>-0.15384618999999999</v>
      </c>
      <c r="J395">
        <v>0.46428570000000002</v>
      </c>
    </row>
    <row r="396" spans="1:10" x14ac:dyDescent="0.3">
      <c r="A396">
        <v>394</v>
      </c>
      <c r="B396">
        <v>6264</v>
      </c>
      <c r="C396" t="b">
        <v>1</v>
      </c>
      <c r="D396">
        <v>8054</v>
      </c>
      <c r="E396">
        <v>8123</v>
      </c>
      <c r="F396">
        <v>6</v>
      </c>
      <c r="G396">
        <v>5.2</v>
      </c>
      <c r="H396">
        <v>1.1538461</v>
      </c>
      <c r="I396">
        <v>-0.15384618999999999</v>
      </c>
      <c r="J396">
        <v>0.46428570000000002</v>
      </c>
    </row>
    <row r="397" spans="1:10" x14ac:dyDescent="0.3">
      <c r="A397">
        <v>395</v>
      </c>
      <c r="B397">
        <v>6279</v>
      </c>
      <c r="C397" t="b">
        <v>1</v>
      </c>
      <c r="D397">
        <v>8048</v>
      </c>
      <c r="E397">
        <v>8123</v>
      </c>
      <c r="F397">
        <v>6</v>
      </c>
      <c r="G397">
        <v>5.2</v>
      </c>
      <c r="H397">
        <v>1.1538461</v>
      </c>
      <c r="I397">
        <v>-0.15384618999999999</v>
      </c>
      <c r="J397">
        <v>0.46428570000000002</v>
      </c>
    </row>
    <row r="398" spans="1:10" x14ac:dyDescent="0.3">
      <c r="A398">
        <v>396</v>
      </c>
      <c r="B398">
        <v>6295</v>
      </c>
      <c r="C398" t="b">
        <v>1</v>
      </c>
      <c r="D398">
        <v>8048</v>
      </c>
      <c r="E398">
        <v>8123</v>
      </c>
      <c r="F398">
        <v>6</v>
      </c>
      <c r="G398">
        <v>5.2</v>
      </c>
      <c r="H398">
        <v>1.1538461</v>
      </c>
      <c r="I398">
        <v>-0.15384618999999999</v>
      </c>
      <c r="J398">
        <v>0.46428570000000002</v>
      </c>
    </row>
    <row r="399" spans="1:10" x14ac:dyDescent="0.3">
      <c r="A399">
        <v>397</v>
      </c>
      <c r="B399">
        <v>6311</v>
      </c>
      <c r="C399" t="b">
        <v>1</v>
      </c>
      <c r="D399">
        <v>8048</v>
      </c>
      <c r="E399">
        <v>8117</v>
      </c>
      <c r="F399">
        <v>6</v>
      </c>
      <c r="G399">
        <v>5.6</v>
      </c>
      <c r="H399">
        <v>1.0714284999999999</v>
      </c>
      <c r="I399">
        <v>-7.142859E-2</v>
      </c>
      <c r="J399">
        <v>0.48275859999999998</v>
      </c>
    </row>
    <row r="400" spans="1:10" x14ac:dyDescent="0.3">
      <c r="A400">
        <v>398</v>
      </c>
      <c r="B400">
        <v>6327</v>
      </c>
      <c r="C400" t="b">
        <v>1</v>
      </c>
      <c r="D400">
        <v>8048</v>
      </c>
      <c r="E400">
        <v>8123</v>
      </c>
      <c r="F400">
        <v>6</v>
      </c>
      <c r="G400">
        <v>6</v>
      </c>
      <c r="H400">
        <v>1</v>
      </c>
      <c r="I400">
        <v>0</v>
      </c>
      <c r="J400">
        <v>0.5</v>
      </c>
    </row>
    <row r="401" spans="1:10" x14ac:dyDescent="0.3">
      <c r="A401">
        <v>399</v>
      </c>
      <c r="B401">
        <v>6342</v>
      </c>
      <c r="C401" t="b">
        <v>1</v>
      </c>
      <c r="D401">
        <v>8048</v>
      </c>
      <c r="E401">
        <v>8123</v>
      </c>
      <c r="F401">
        <v>6</v>
      </c>
      <c r="G401">
        <v>6.4</v>
      </c>
      <c r="H401">
        <v>0.9375</v>
      </c>
      <c r="I401">
        <v>6.2500015000000006E-2</v>
      </c>
      <c r="J401">
        <v>0.51612910000000001</v>
      </c>
    </row>
    <row r="402" spans="1:10" x14ac:dyDescent="0.3">
      <c r="A402">
        <v>400</v>
      </c>
      <c r="B402">
        <v>6358</v>
      </c>
      <c r="C402" t="b">
        <v>1</v>
      </c>
      <c r="D402">
        <v>8054</v>
      </c>
      <c r="E402">
        <v>8123</v>
      </c>
      <c r="F402">
        <v>6</v>
      </c>
      <c r="G402">
        <v>6.8</v>
      </c>
      <c r="H402">
        <v>0.8823529</v>
      </c>
      <c r="I402">
        <v>0.11764708</v>
      </c>
      <c r="J402">
        <v>0.53125</v>
      </c>
    </row>
    <row r="403" spans="1:10" x14ac:dyDescent="0.3">
      <c r="A403">
        <v>401</v>
      </c>
      <c r="B403">
        <v>6374</v>
      </c>
      <c r="C403" t="b">
        <v>1</v>
      </c>
      <c r="D403">
        <v>8048</v>
      </c>
      <c r="E403">
        <v>8123</v>
      </c>
      <c r="F403">
        <v>6</v>
      </c>
      <c r="G403">
        <v>7.2</v>
      </c>
      <c r="H403">
        <v>0.8333334</v>
      </c>
      <c r="I403">
        <v>0.16666664</v>
      </c>
      <c r="J403">
        <v>0.54545456000000003</v>
      </c>
    </row>
    <row r="404" spans="1:10" x14ac:dyDescent="0.3">
      <c r="A404">
        <v>402</v>
      </c>
      <c r="B404">
        <v>6390</v>
      </c>
      <c r="C404" t="b">
        <v>1</v>
      </c>
      <c r="D404">
        <v>8048</v>
      </c>
      <c r="E404">
        <v>8123</v>
      </c>
      <c r="F404">
        <v>6</v>
      </c>
      <c r="G404">
        <v>7.6</v>
      </c>
      <c r="H404">
        <v>0.78947369999999994</v>
      </c>
      <c r="I404">
        <v>0.2105263</v>
      </c>
      <c r="J404">
        <v>0.55882350000000003</v>
      </c>
    </row>
    <row r="405" spans="1:10" x14ac:dyDescent="0.3">
      <c r="A405">
        <v>403</v>
      </c>
      <c r="B405">
        <v>6406</v>
      </c>
      <c r="C405" t="b">
        <v>1</v>
      </c>
      <c r="D405">
        <v>8048</v>
      </c>
      <c r="E405">
        <v>8123</v>
      </c>
      <c r="F405">
        <v>6.4</v>
      </c>
      <c r="G405">
        <v>8</v>
      </c>
      <c r="H405">
        <v>0.8</v>
      </c>
      <c r="I405">
        <v>0.19999998999999999</v>
      </c>
      <c r="J405">
        <v>0.55555560000000004</v>
      </c>
    </row>
    <row r="406" spans="1:10" x14ac:dyDescent="0.3">
      <c r="A406">
        <v>404</v>
      </c>
      <c r="B406">
        <v>6422</v>
      </c>
      <c r="C406" t="b">
        <v>1</v>
      </c>
      <c r="D406">
        <v>8048</v>
      </c>
      <c r="E406">
        <v>8117</v>
      </c>
      <c r="F406">
        <v>6.8</v>
      </c>
      <c r="G406">
        <v>8</v>
      </c>
      <c r="H406">
        <v>0.85</v>
      </c>
      <c r="I406">
        <v>0.14999998</v>
      </c>
      <c r="J406">
        <v>0.54054049999999998</v>
      </c>
    </row>
    <row r="407" spans="1:10" x14ac:dyDescent="0.3">
      <c r="A407">
        <v>405</v>
      </c>
      <c r="B407">
        <v>6438</v>
      </c>
      <c r="C407" t="b">
        <v>1</v>
      </c>
      <c r="D407">
        <v>8048</v>
      </c>
      <c r="E407">
        <v>8123</v>
      </c>
      <c r="F407">
        <v>7.2</v>
      </c>
      <c r="G407">
        <v>8</v>
      </c>
      <c r="H407">
        <v>0.9</v>
      </c>
      <c r="I407">
        <v>0.10000002400000001</v>
      </c>
      <c r="J407">
        <v>0.5263158</v>
      </c>
    </row>
    <row r="408" spans="1:10" x14ac:dyDescent="0.3">
      <c r="A408">
        <v>406</v>
      </c>
      <c r="B408">
        <v>6453</v>
      </c>
      <c r="C408" t="b">
        <v>1</v>
      </c>
      <c r="D408">
        <v>8042</v>
      </c>
      <c r="E408">
        <v>8117</v>
      </c>
      <c r="F408">
        <v>7.6</v>
      </c>
      <c r="G408">
        <v>8</v>
      </c>
      <c r="H408">
        <v>0.95</v>
      </c>
      <c r="I408">
        <v>5.0000012000000003E-2</v>
      </c>
      <c r="J408">
        <v>0.51282050000000001</v>
      </c>
    </row>
    <row r="409" spans="1:10" x14ac:dyDescent="0.3">
      <c r="A409">
        <v>407</v>
      </c>
      <c r="B409">
        <v>6469</v>
      </c>
      <c r="C409" t="b">
        <v>1</v>
      </c>
      <c r="D409">
        <v>8048</v>
      </c>
      <c r="E409">
        <v>8123</v>
      </c>
      <c r="F409">
        <v>8</v>
      </c>
      <c r="G409">
        <v>8</v>
      </c>
      <c r="H409">
        <v>1</v>
      </c>
      <c r="I409">
        <v>0</v>
      </c>
      <c r="J409">
        <v>0.5</v>
      </c>
    </row>
    <row r="410" spans="1:10" x14ac:dyDescent="0.3">
      <c r="A410">
        <v>408</v>
      </c>
      <c r="B410">
        <v>6485</v>
      </c>
      <c r="C410" t="b">
        <v>1</v>
      </c>
      <c r="D410">
        <v>8048</v>
      </c>
      <c r="E410">
        <v>8123</v>
      </c>
      <c r="F410">
        <v>8</v>
      </c>
      <c r="G410">
        <v>8</v>
      </c>
      <c r="H410">
        <v>1</v>
      </c>
      <c r="I410">
        <v>0</v>
      </c>
      <c r="J410">
        <v>0.5</v>
      </c>
    </row>
    <row r="411" spans="1:10" x14ac:dyDescent="0.3">
      <c r="A411">
        <v>409</v>
      </c>
      <c r="B411">
        <v>6501</v>
      </c>
      <c r="C411" t="b">
        <v>1</v>
      </c>
      <c r="D411">
        <v>8048</v>
      </c>
      <c r="E411">
        <v>8123</v>
      </c>
      <c r="F411">
        <v>8</v>
      </c>
      <c r="G411">
        <v>8</v>
      </c>
      <c r="H411">
        <v>1</v>
      </c>
      <c r="I411">
        <v>0</v>
      </c>
      <c r="J411">
        <v>0.5</v>
      </c>
    </row>
    <row r="412" spans="1:10" x14ac:dyDescent="0.3">
      <c r="A412">
        <v>410</v>
      </c>
      <c r="B412">
        <v>6517</v>
      </c>
      <c r="C412" t="b">
        <v>1</v>
      </c>
      <c r="D412">
        <v>8048</v>
      </c>
      <c r="E412">
        <v>8123</v>
      </c>
      <c r="F412">
        <v>8</v>
      </c>
      <c r="G412">
        <v>8</v>
      </c>
      <c r="H412">
        <v>1</v>
      </c>
      <c r="I412">
        <v>0</v>
      </c>
      <c r="J412">
        <v>0.5</v>
      </c>
    </row>
    <row r="413" spans="1:10" x14ac:dyDescent="0.3">
      <c r="A413">
        <v>411</v>
      </c>
      <c r="B413">
        <v>6533</v>
      </c>
      <c r="C413" t="b">
        <v>1</v>
      </c>
      <c r="D413">
        <v>8054</v>
      </c>
      <c r="E413">
        <v>8123</v>
      </c>
      <c r="F413">
        <v>8</v>
      </c>
      <c r="G413">
        <v>8</v>
      </c>
      <c r="H413">
        <v>1</v>
      </c>
      <c r="I413">
        <v>0</v>
      </c>
      <c r="J413">
        <v>0.5</v>
      </c>
    </row>
    <row r="414" spans="1:10" x14ac:dyDescent="0.3">
      <c r="A414">
        <v>412</v>
      </c>
      <c r="B414">
        <v>6548</v>
      </c>
      <c r="C414" t="b">
        <v>1</v>
      </c>
      <c r="D414">
        <v>8048</v>
      </c>
      <c r="E414">
        <v>8123</v>
      </c>
      <c r="F414">
        <v>8</v>
      </c>
      <c r="G414">
        <v>8</v>
      </c>
      <c r="H414">
        <v>1</v>
      </c>
      <c r="I414">
        <v>0</v>
      </c>
      <c r="J414">
        <v>0.5</v>
      </c>
    </row>
    <row r="415" spans="1:10" x14ac:dyDescent="0.3">
      <c r="A415">
        <v>413</v>
      </c>
      <c r="B415">
        <v>6564</v>
      </c>
      <c r="C415" t="b">
        <v>1</v>
      </c>
      <c r="D415">
        <v>8048</v>
      </c>
      <c r="E415">
        <v>8123</v>
      </c>
      <c r="F415">
        <v>8</v>
      </c>
      <c r="G415">
        <v>8</v>
      </c>
      <c r="H415">
        <v>1</v>
      </c>
      <c r="I415">
        <v>0</v>
      </c>
      <c r="J415">
        <v>0.5</v>
      </c>
    </row>
    <row r="416" spans="1:10" x14ac:dyDescent="0.3">
      <c r="A416">
        <v>414</v>
      </c>
      <c r="B416">
        <v>6581</v>
      </c>
      <c r="C416" t="b">
        <v>1</v>
      </c>
      <c r="D416">
        <v>8048</v>
      </c>
      <c r="E416">
        <v>8123</v>
      </c>
      <c r="F416">
        <v>8</v>
      </c>
      <c r="G416">
        <v>8</v>
      </c>
      <c r="H416">
        <v>1</v>
      </c>
      <c r="I416">
        <v>0</v>
      </c>
      <c r="J416">
        <v>0.5</v>
      </c>
    </row>
    <row r="417" spans="1:10" x14ac:dyDescent="0.3">
      <c r="A417">
        <v>415</v>
      </c>
      <c r="B417">
        <v>6596</v>
      </c>
      <c r="C417" t="b">
        <v>1</v>
      </c>
      <c r="D417">
        <v>8054</v>
      </c>
      <c r="E417">
        <v>8123</v>
      </c>
      <c r="F417">
        <v>8</v>
      </c>
      <c r="G417">
        <v>8</v>
      </c>
      <c r="H417">
        <v>1</v>
      </c>
      <c r="I417">
        <v>0</v>
      </c>
      <c r="J417">
        <v>0.5</v>
      </c>
    </row>
    <row r="418" spans="1:10" x14ac:dyDescent="0.3">
      <c r="A418">
        <v>416</v>
      </c>
      <c r="B418">
        <v>6612</v>
      </c>
      <c r="C418" t="b">
        <v>1</v>
      </c>
      <c r="D418">
        <v>8048</v>
      </c>
      <c r="E418">
        <v>8123</v>
      </c>
      <c r="F418">
        <v>8</v>
      </c>
      <c r="G418">
        <v>8</v>
      </c>
      <c r="H418">
        <v>1</v>
      </c>
      <c r="I418">
        <v>0</v>
      </c>
      <c r="J418">
        <v>0.5</v>
      </c>
    </row>
    <row r="419" spans="1:10" x14ac:dyDescent="0.3">
      <c r="A419">
        <v>417</v>
      </c>
      <c r="B419">
        <v>6628</v>
      </c>
      <c r="C419" t="b">
        <v>1</v>
      </c>
      <c r="D419">
        <v>8048</v>
      </c>
      <c r="E419">
        <v>8123</v>
      </c>
      <c r="F419">
        <v>8</v>
      </c>
      <c r="G419">
        <v>8</v>
      </c>
      <c r="H419">
        <v>1</v>
      </c>
      <c r="I419">
        <v>0</v>
      </c>
      <c r="J419">
        <v>0.5</v>
      </c>
    </row>
    <row r="420" spans="1:10" x14ac:dyDescent="0.3">
      <c r="A420">
        <v>418</v>
      </c>
      <c r="B420">
        <v>6644</v>
      </c>
      <c r="C420" t="b">
        <v>1</v>
      </c>
      <c r="D420">
        <v>8054</v>
      </c>
      <c r="E420">
        <v>8123</v>
      </c>
      <c r="F420">
        <v>8</v>
      </c>
      <c r="G420">
        <v>8</v>
      </c>
      <c r="H420">
        <v>1</v>
      </c>
      <c r="I420">
        <v>0</v>
      </c>
      <c r="J420">
        <v>0.5</v>
      </c>
    </row>
    <row r="421" spans="1:10" x14ac:dyDescent="0.3">
      <c r="A421">
        <v>419</v>
      </c>
      <c r="B421">
        <v>6659</v>
      </c>
      <c r="C421" t="b">
        <v>1</v>
      </c>
      <c r="D421">
        <v>8048</v>
      </c>
      <c r="E421">
        <v>8117</v>
      </c>
      <c r="F421">
        <v>8</v>
      </c>
      <c r="G421">
        <v>8</v>
      </c>
      <c r="H421">
        <v>1</v>
      </c>
      <c r="I421">
        <v>0</v>
      </c>
      <c r="J421">
        <v>0.5</v>
      </c>
    </row>
    <row r="422" spans="1:10" x14ac:dyDescent="0.3">
      <c r="A422">
        <v>420</v>
      </c>
      <c r="B422">
        <v>6675</v>
      </c>
      <c r="C422" t="b">
        <v>1</v>
      </c>
      <c r="D422">
        <v>8048</v>
      </c>
      <c r="E422">
        <v>8123</v>
      </c>
      <c r="F422">
        <v>8</v>
      </c>
      <c r="G422">
        <v>8</v>
      </c>
      <c r="H422">
        <v>1</v>
      </c>
      <c r="I422">
        <v>0</v>
      </c>
      <c r="J422">
        <v>0.5</v>
      </c>
    </row>
    <row r="423" spans="1:10" x14ac:dyDescent="0.3">
      <c r="A423">
        <v>421</v>
      </c>
      <c r="B423">
        <v>6691</v>
      </c>
      <c r="C423" t="b">
        <v>1</v>
      </c>
      <c r="D423">
        <v>8048</v>
      </c>
      <c r="E423">
        <v>8117</v>
      </c>
      <c r="F423">
        <v>8</v>
      </c>
      <c r="G423">
        <v>8</v>
      </c>
      <c r="H423">
        <v>1</v>
      </c>
      <c r="I423">
        <v>0</v>
      </c>
      <c r="J423">
        <v>0.5</v>
      </c>
    </row>
    <row r="424" spans="1:10" x14ac:dyDescent="0.3">
      <c r="A424">
        <v>422</v>
      </c>
      <c r="B424">
        <v>6706</v>
      </c>
      <c r="C424" t="b">
        <v>1</v>
      </c>
      <c r="D424">
        <v>8048</v>
      </c>
      <c r="E424">
        <v>8117</v>
      </c>
      <c r="F424">
        <v>8</v>
      </c>
      <c r="G424">
        <v>7.6</v>
      </c>
      <c r="H424">
        <v>1.0526316</v>
      </c>
      <c r="I424">
        <v>-5.2631589999999999E-2</v>
      </c>
      <c r="J424">
        <v>0.48717946000000001</v>
      </c>
    </row>
    <row r="425" spans="1:10" x14ac:dyDescent="0.3">
      <c r="A425">
        <v>423</v>
      </c>
      <c r="B425">
        <v>6722</v>
      </c>
      <c r="C425" t="b">
        <v>1</v>
      </c>
      <c r="D425">
        <v>8054</v>
      </c>
      <c r="E425">
        <v>8129</v>
      </c>
      <c r="F425">
        <v>8</v>
      </c>
      <c r="G425">
        <v>7.2</v>
      </c>
      <c r="H425">
        <v>1.1111112000000001</v>
      </c>
      <c r="I425">
        <v>-0.11111114</v>
      </c>
      <c r="J425">
        <v>0.4736842</v>
      </c>
    </row>
    <row r="426" spans="1:10" x14ac:dyDescent="0.3">
      <c r="A426">
        <v>424</v>
      </c>
      <c r="B426">
        <v>6738</v>
      </c>
      <c r="C426" t="b">
        <v>1</v>
      </c>
      <c r="D426">
        <v>8048</v>
      </c>
      <c r="E426">
        <v>8123</v>
      </c>
      <c r="F426">
        <v>8</v>
      </c>
      <c r="G426">
        <v>7.2</v>
      </c>
      <c r="H426">
        <v>1.1111112000000001</v>
      </c>
      <c r="I426">
        <v>-0.11111114</v>
      </c>
      <c r="J426">
        <v>0.4736842</v>
      </c>
    </row>
    <row r="427" spans="1:10" x14ac:dyDescent="0.3">
      <c r="A427">
        <v>425</v>
      </c>
      <c r="B427">
        <v>6754</v>
      </c>
      <c r="C427" t="b">
        <v>1</v>
      </c>
      <c r="D427">
        <v>8048</v>
      </c>
      <c r="E427">
        <v>8123</v>
      </c>
      <c r="F427">
        <v>8</v>
      </c>
      <c r="G427">
        <v>7.2</v>
      </c>
      <c r="H427">
        <v>1.1111112000000001</v>
      </c>
      <c r="I427">
        <v>-0.11111114</v>
      </c>
      <c r="J427">
        <v>0.4736842</v>
      </c>
    </row>
    <row r="428" spans="1:10" x14ac:dyDescent="0.3">
      <c r="A428">
        <v>426</v>
      </c>
      <c r="B428">
        <v>6770</v>
      </c>
      <c r="C428" t="b">
        <v>1</v>
      </c>
      <c r="D428">
        <v>8048</v>
      </c>
      <c r="E428">
        <v>8123</v>
      </c>
      <c r="F428">
        <v>8</v>
      </c>
      <c r="G428">
        <v>7.2</v>
      </c>
      <c r="H428">
        <v>1.1111112000000001</v>
      </c>
      <c r="I428">
        <v>-0.11111114</v>
      </c>
      <c r="J428">
        <v>0.4736842</v>
      </c>
    </row>
    <row r="429" spans="1:10" x14ac:dyDescent="0.3">
      <c r="A429">
        <v>427</v>
      </c>
      <c r="B429">
        <v>6786</v>
      </c>
      <c r="C429" t="b">
        <v>1</v>
      </c>
      <c r="D429">
        <v>8048</v>
      </c>
      <c r="E429">
        <v>8123</v>
      </c>
      <c r="F429">
        <v>8</v>
      </c>
      <c r="G429">
        <v>7.2</v>
      </c>
      <c r="H429">
        <v>1.1111112000000001</v>
      </c>
      <c r="I429">
        <v>-0.11111114</v>
      </c>
      <c r="J429">
        <v>0.4736842</v>
      </c>
    </row>
    <row r="430" spans="1:10" x14ac:dyDescent="0.3">
      <c r="A430">
        <v>428</v>
      </c>
      <c r="B430">
        <v>6802</v>
      </c>
      <c r="C430" t="b">
        <v>1</v>
      </c>
      <c r="D430">
        <v>8054</v>
      </c>
      <c r="E430">
        <v>8123</v>
      </c>
      <c r="F430">
        <v>8</v>
      </c>
      <c r="G430">
        <v>7.2</v>
      </c>
      <c r="H430">
        <v>1.1111112000000001</v>
      </c>
      <c r="I430">
        <v>-0.11111114</v>
      </c>
      <c r="J430">
        <v>0.4736842</v>
      </c>
    </row>
    <row r="431" spans="1:10" x14ac:dyDescent="0.3">
      <c r="A431">
        <v>429</v>
      </c>
      <c r="B431">
        <v>6818</v>
      </c>
      <c r="C431" t="b">
        <v>1</v>
      </c>
      <c r="D431">
        <v>8054</v>
      </c>
      <c r="E431">
        <v>8123</v>
      </c>
      <c r="F431">
        <v>8</v>
      </c>
      <c r="G431">
        <v>7.2</v>
      </c>
      <c r="H431">
        <v>1.1111112000000001</v>
      </c>
      <c r="I431">
        <v>-0.11111114</v>
      </c>
      <c r="J431">
        <v>0.4736842</v>
      </c>
    </row>
    <row r="432" spans="1:10" x14ac:dyDescent="0.3">
      <c r="A432">
        <v>430</v>
      </c>
      <c r="B432">
        <v>6833</v>
      </c>
      <c r="C432" t="b">
        <v>1</v>
      </c>
      <c r="D432">
        <v>8048</v>
      </c>
      <c r="E432">
        <v>8123</v>
      </c>
      <c r="F432">
        <v>8</v>
      </c>
      <c r="G432">
        <v>7.2</v>
      </c>
      <c r="H432">
        <v>1.1111112000000001</v>
      </c>
      <c r="I432">
        <v>-0.11111114</v>
      </c>
      <c r="J432">
        <v>0.4736842</v>
      </c>
    </row>
    <row r="433" spans="1:10" x14ac:dyDescent="0.3">
      <c r="A433">
        <v>431</v>
      </c>
      <c r="B433">
        <v>6849</v>
      </c>
      <c r="C433" t="b">
        <v>1</v>
      </c>
      <c r="D433">
        <v>8048</v>
      </c>
      <c r="E433">
        <v>8123</v>
      </c>
      <c r="F433">
        <v>8</v>
      </c>
      <c r="G433">
        <v>7.2</v>
      </c>
      <c r="H433">
        <v>1.1111112000000001</v>
      </c>
      <c r="I433">
        <v>-0.11111114</v>
      </c>
      <c r="J433">
        <v>0.4736842</v>
      </c>
    </row>
    <row r="434" spans="1:10" x14ac:dyDescent="0.3">
      <c r="A434">
        <v>432</v>
      </c>
      <c r="B434">
        <v>6865</v>
      </c>
      <c r="C434" t="b">
        <v>1</v>
      </c>
      <c r="D434">
        <v>8048</v>
      </c>
      <c r="E434">
        <v>8123</v>
      </c>
      <c r="F434">
        <v>8</v>
      </c>
      <c r="G434">
        <v>7.2</v>
      </c>
      <c r="H434">
        <v>1.1111112000000001</v>
      </c>
      <c r="I434">
        <v>-0.11111114</v>
      </c>
      <c r="J434">
        <v>0.4736842</v>
      </c>
    </row>
    <row r="435" spans="1:10" x14ac:dyDescent="0.3">
      <c r="A435">
        <v>433</v>
      </c>
      <c r="B435">
        <v>6881</v>
      </c>
      <c r="C435" t="b">
        <v>1</v>
      </c>
      <c r="D435">
        <v>8048</v>
      </c>
      <c r="E435">
        <v>8123</v>
      </c>
      <c r="F435">
        <v>8</v>
      </c>
      <c r="G435">
        <v>7.2</v>
      </c>
      <c r="H435">
        <v>1.1111112000000001</v>
      </c>
      <c r="I435">
        <v>-0.11111114</v>
      </c>
      <c r="J435">
        <v>0.4736842</v>
      </c>
    </row>
    <row r="436" spans="1:10" x14ac:dyDescent="0.3">
      <c r="A436">
        <v>434</v>
      </c>
      <c r="B436">
        <v>6897</v>
      </c>
      <c r="C436" t="b">
        <v>1</v>
      </c>
      <c r="D436">
        <v>8048</v>
      </c>
      <c r="E436">
        <v>8123</v>
      </c>
      <c r="F436">
        <v>8</v>
      </c>
      <c r="G436">
        <v>7.2</v>
      </c>
      <c r="H436">
        <v>1.1111112000000001</v>
      </c>
      <c r="I436">
        <v>-0.11111114</v>
      </c>
      <c r="J436">
        <v>0.4736842</v>
      </c>
    </row>
    <row r="437" spans="1:10" x14ac:dyDescent="0.3">
      <c r="A437">
        <v>435</v>
      </c>
      <c r="B437">
        <v>6913</v>
      </c>
      <c r="C437" t="b">
        <v>1</v>
      </c>
      <c r="D437">
        <v>8048</v>
      </c>
      <c r="E437">
        <v>8129</v>
      </c>
      <c r="F437">
        <v>8</v>
      </c>
      <c r="G437">
        <v>7.2</v>
      </c>
      <c r="H437">
        <v>1.1111112000000001</v>
      </c>
      <c r="I437">
        <v>-0.11111114</v>
      </c>
      <c r="J437">
        <v>0.4736842</v>
      </c>
    </row>
    <row r="438" spans="1:10" x14ac:dyDescent="0.3">
      <c r="A438">
        <v>436</v>
      </c>
      <c r="B438">
        <v>6928</v>
      </c>
      <c r="C438" t="b">
        <v>1</v>
      </c>
      <c r="D438">
        <v>8048</v>
      </c>
      <c r="E438">
        <v>8123</v>
      </c>
      <c r="F438">
        <v>8</v>
      </c>
      <c r="G438">
        <v>7.2</v>
      </c>
      <c r="H438">
        <v>1.1111112000000001</v>
      </c>
      <c r="I438">
        <v>-0.11111114</v>
      </c>
      <c r="J438">
        <v>0.4736842</v>
      </c>
    </row>
    <row r="439" spans="1:10" x14ac:dyDescent="0.3">
      <c r="A439">
        <v>437</v>
      </c>
      <c r="B439">
        <v>6944</v>
      </c>
      <c r="C439" t="b">
        <v>1</v>
      </c>
      <c r="D439">
        <v>8048</v>
      </c>
      <c r="E439">
        <v>8117</v>
      </c>
      <c r="F439">
        <v>8</v>
      </c>
      <c r="G439">
        <v>7.6</v>
      </c>
      <c r="H439">
        <v>1.0526316</v>
      </c>
      <c r="I439">
        <v>-5.2631589999999999E-2</v>
      </c>
      <c r="J439">
        <v>0.48717946000000001</v>
      </c>
    </row>
    <row r="440" spans="1:10" x14ac:dyDescent="0.3">
      <c r="A440">
        <v>438</v>
      </c>
      <c r="B440">
        <v>6960</v>
      </c>
      <c r="C440" t="b">
        <v>1</v>
      </c>
      <c r="D440">
        <v>8054</v>
      </c>
      <c r="E440">
        <v>8123</v>
      </c>
      <c r="F440">
        <v>8</v>
      </c>
      <c r="G440">
        <v>8</v>
      </c>
      <c r="H440">
        <v>1</v>
      </c>
      <c r="I440">
        <v>0</v>
      </c>
      <c r="J440">
        <v>0.5</v>
      </c>
    </row>
    <row r="441" spans="1:10" x14ac:dyDescent="0.3">
      <c r="A441">
        <v>439</v>
      </c>
      <c r="B441">
        <v>6976</v>
      </c>
      <c r="C441" t="b">
        <v>1</v>
      </c>
      <c r="D441">
        <v>8054</v>
      </c>
      <c r="E441">
        <v>8123</v>
      </c>
      <c r="F441">
        <v>8</v>
      </c>
      <c r="G441">
        <v>8</v>
      </c>
      <c r="H441">
        <v>1</v>
      </c>
      <c r="I441">
        <v>0</v>
      </c>
      <c r="J441">
        <v>0.5</v>
      </c>
    </row>
    <row r="442" spans="1:10" x14ac:dyDescent="0.3">
      <c r="A442">
        <v>440</v>
      </c>
      <c r="B442">
        <v>6991</v>
      </c>
      <c r="C442" t="b">
        <v>1</v>
      </c>
      <c r="D442">
        <v>8048</v>
      </c>
      <c r="E442">
        <v>8123</v>
      </c>
      <c r="F442">
        <v>8</v>
      </c>
      <c r="G442">
        <v>8</v>
      </c>
      <c r="H442">
        <v>1</v>
      </c>
      <c r="I442">
        <v>0</v>
      </c>
      <c r="J442">
        <v>0.5</v>
      </c>
    </row>
    <row r="443" spans="1:10" x14ac:dyDescent="0.3">
      <c r="A443">
        <v>441</v>
      </c>
      <c r="B443">
        <v>7007</v>
      </c>
      <c r="C443" t="b">
        <v>1</v>
      </c>
      <c r="D443">
        <v>8054</v>
      </c>
      <c r="E443">
        <v>8123</v>
      </c>
      <c r="F443">
        <v>8.4</v>
      </c>
      <c r="G443">
        <v>8</v>
      </c>
      <c r="H443">
        <v>1.05</v>
      </c>
      <c r="I443">
        <v>-4.9999952E-2</v>
      </c>
      <c r="J443">
        <v>0.48780489999999999</v>
      </c>
    </row>
    <row r="444" spans="1:10" x14ac:dyDescent="0.3">
      <c r="A444">
        <v>442</v>
      </c>
      <c r="B444">
        <v>7023</v>
      </c>
      <c r="C444" t="b">
        <v>1</v>
      </c>
      <c r="D444">
        <v>8054</v>
      </c>
      <c r="E444">
        <v>8123</v>
      </c>
      <c r="F444">
        <v>8.8000000000000007</v>
      </c>
      <c r="G444">
        <v>8</v>
      </c>
      <c r="H444">
        <v>1.1000000000000001</v>
      </c>
      <c r="I444">
        <v>-0.10000002400000001</v>
      </c>
      <c r="J444">
        <v>0.47619050000000002</v>
      </c>
    </row>
    <row r="445" spans="1:10" x14ac:dyDescent="0.3">
      <c r="A445">
        <v>443</v>
      </c>
      <c r="B445">
        <v>7039</v>
      </c>
      <c r="C445" t="b">
        <v>1</v>
      </c>
      <c r="D445">
        <v>8054</v>
      </c>
      <c r="E445">
        <v>8117</v>
      </c>
      <c r="F445">
        <v>9.1999999999999993</v>
      </c>
      <c r="G445">
        <v>8</v>
      </c>
      <c r="H445">
        <v>1.1499999999999999</v>
      </c>
      <c r="I445">
        <v>-0.14999998</v>
      </c>
      <c r="J445">
        <v>0.46511626</v>
      </c>
    </row>
    <row r="446" spans="1:10" x14ac:dyDescent="0.3">
      <c r="A446">
        <v>444</v>
      </c>
      <c r="B446">
        <v>7055</v>
      </c>
      <c r="C446" t="b">
        <v>1</v>
      </c>
      <c r="D446">
        <v>8054</v>
      </c>
      <c r="E446">
        <v>8123</v>
      </c>
      <c r="F446">
        <v>9.6</v>
      </c>
      <c r="G446">
        <v>8</v>
      </c>
      <c r="H446">
        <v>1.2</v>
      </c>
      <c r="I446">
        <v>-0.20000005000000001</v>
      </c>
      <c r="J446">
        <v>0.45454544000000002</v>
      </c>
    </row>
    <row r="447" spans="1:10" x14ac:dyDescent="0.3">
      <c r="A447">
        <v>445</v>
      </c>
      <c r="B447">
        <v>7071</v>
      </c>
      <c r="C447" t="b">
        <v>1</v>
      </c>
      <c r="D447">
        <v>8054</v>
      </c>
      <c r="E447">
        <v>8117</v>
      </c>
      <c r="F447">
        <v>10</v>
      </c>
      <c r="G447">
        <v>8</v>
      </c>
      <c r="H447">
        <v>1.25</v>
      </c>
      <c r="I447">
        <v>-0.25</v>
      </c>
      <c r="J447">
        <v>0.44444444999999999</v>
      </c>
    </row>
    <row r="448" spans="1:10" x14ac:dyDescent="0.3">
      <c r="A448">
        <v>446</v>
      </c>
      <c r="B448">
        <v>7087</v>
      </c>
      <c r="C448" t="b">
        <v>1</v>
      </c>
      <c r="D448">
        <v>8054</v>
      </c>
      <c r="E448">
        <v>8117</v>
      </c>
      <c r="F448">
        <v>10.4</v>
      </c>
      <c r="G448">
        <v>7.6</v>
      </c>
      <c r="H448">
        <v>1.3684210999999999</v>
      </c>
      <c r="I448">
        <v>-0.36842101999999999</v>
      </c>
      <c r="J448">
        <v>0.42222222999999998</v>
      </c>
    </row>
    <row r="449" spans="1:10" x14ac:dyDescent="0.3">
      <c r="A449">
        <v>447</v>
      </c>
      <c r="B449">
        <v>7103</v>
      </c>
      <c r="C449" t="b">
        <v>1</v>
      </c>
      <c r="D449">
        <v>8048</v>
      </c>
      <c r="E449">
        <v>8123</v>
      </c>
      <c r="F449">
        <v>10.8</v>
      </c>
      <c r="G449">
        <v>7.2</v>
      </c>
      <c r="H449">
        <v>1.5000001000000001</v>
      </c>
      <c r="I449">
        <v>-0.50000005999999997</v>
      </c>
      <c r="J449">
        <v>0.39999997999999998</v>
      </c>
    </row>
    <row r="450" spans="1:10" x14ac:dyDescent="0.3">
      <c r="A450">
        <v>448</v>
      </c>
      <c r="B450">
        <v>7119</v>
      </c>
      <c r="C450" t="b">
        <v>1</v>
      </c>
      <c r="D450">
        <v>8048</v>
      </c>
      <c r="E450">
        <v>8117</v>
      </c>
      <c r="F450">
        <v>11.2</v>
      </c>
      <c r="G450">
        <v>6.8</v>
      </c>
      <c r="H450">
        <v>1.6470587000000001</v>
      </c>
      <c r="I450">
        <v>-0.64705869999999999</v>
      </c>
      <c r="J450">
        <v>0.37777779</v>
      </c>
    </row>
    <row r="451" spans="1:10" x14ac:dyDescent="0.3">
      <c r="A451">
        <v>449</v>
      </c>
      <c r="B451">
        <v>7134</v>
      </c>
      <c r="C451" t="b">
        <v>1</v>
      </c>
      <c r="D451">
        <v>8042</v>
      </c>
      <c r="E451">
        <v>8117</v>
      </c>
      <c r="F451">
        <v>11.2</v>
      </c>
      <c r="G451">
        <v>6.4</v>
      </c>
      <c r="H451">
        <v>1.75</v>
      </c>
      <c r="I451">
        <v>-0.74999994000000003</v>
      </c>
      <c r="J451">
        <v>0.36363636999999999</v>
      </c>
    </row>
    <row r="452" spans="1:10" x14ac:dyDescent="0.3">
      <c r="A452">
        <v>450</v>
      </c>
      <c r="B452">
        <v>7150</v>
      </c>
      <c r="C452" t="b">
        <v>1</v>
      </c>
      <c r="D452">
        <v>8042</v>
      </c>
      <c r="E452">
        <v>8117</v>
      </c>
      <c r="F452">
        <v>11.2</v>
      </c>
      <c r="G452">
        <v>6</v>
      </c>
      <c r="H452">
        <v>1.8666666999999999</v>
      </c>
      <c r="I452">
        <v>-0.86666659999999995</v>
      </c>
      <c r="J452">
        <v>0.34883720000000001</v>
      </c>
    </row>
    <row r="453" spans="1:10" x14ac:dyDescent="0.3">
      <c r="A453">
        <v>451</v>
      </c>
      <c r="B453">
        <v>7166</v>
      </c>
      <c r="C453" t="b">
        <v>1</v>
      </c>
      <c r="D453">
        <v>8042</v>
      </c>
      <c r="E453">
        <v>8123</v>
      </c>
      <c r="F453">
        <v>10.8</v>
      </c>
      <c r="G453">
        <v>5.6</v>
      </c>
      <c r="H453">
        <v>1.9285715000000001</v>
      </c>
      <c r="I453">
        <v>-0.92857149999999999</v>
      </c>
      <c r="J453">
        <v>0.34146342000000002</v>
      </c>
    </row>
    <row r="454" spans="1:10" x14ac:dyDescent="0.3">
      <c r="A454">
        <v>452</v>
      </c>
      <c r="B454">
        <v>7182</v>
      </c>
      <c r="C454" t="b">
        <v>1</v>
      </c>
      <c r="D454">
        <v>8042</v>
      </c>
      <c r="E454">
        <v>8123</v>
      </c>
      <c r="F454">
        <v>10.4</v>
      </c>
      <c r="G454">
        <v>5.2</v>
      </c>
      <c r="H454">
        <v>2</v>
      </c>
      <c r="I454">
        <v>-1</v>
      </c>
      <c r="J454">
        <v>0.33333333999999998</v>
      </c>
    </row>
    <row r="455" spans="1:10" x14ac:dyDescent="0.3">
      <c r="A455">
        <v>453</v>
      </c>
      <c r="B455">
        <v>7198</v>
      </c>
      <c r="C455" t="b">
        <v>1</v>
      </c>
      <c r="D455">
        <v>8042</v>
      </c>
      <c r="E455">
        <v>8123</v>
      </c>
      <c r="F455">
        <v>10</v>
      </c>
      <c r="G455">
        <v>5.2</v>
      </c>
      <c r="H455">
        <v>1.9230769999999999</v>
      </c>
      <c r="I455">
        <v>-0.92307700000000004</v>
      </c>
      <c r="J455">
        <v>0.34210527000000002</v>
      </c>
    </row>
    <row r="456" spans="1:10" x14ac:dyDescent="0.3">
      <c r="A456">
        <v>454</v>
      </c>
      <c r="B456">
        <v>7214</v>
      </c>
      <c r="C456" t="b">
        <v>1</v>
      </c>
      <c r="D456">
        <v>8042</v>
      </c>
      <c r="E456">
        <v>8123</v>
      </c>
      <c r="F456">
        <v>9.6</v>
      </c>
      <c r="G456">
        <v>5.2</v>
      </c>
      <c r="H456">
        <v>1.8461540000000001</v>
      </c>
      <c r="I456">
        <v>-0.84615399999999996</v>
      </c>
      <c r="J456">
        <v>0.35135132000000002</v>
      </c>
    </row>
    <row r="457" spans="1:10" x14ac:dyDescent="0.3">
      <c r="A457">
        <v>455</v>
      </c>
      <c r="B457">
        <v>7229</v>
      </c>
      <c r="C457" t="b">
        <v>1</v>
      </c>
      <c r="D457">
        <v>8054</v>
      </c>
      <c r="E457">
        <v>8123</v>
      </c>
      <c r="F457">
        <v>9.1999999999999993</v>
      </c>
      <c r="G457">
        <v>5.2</v>
      </c>
      <c r="H457">
        <v>1.7692308000000001</v>
      </c>
      <c r="I457">
        <v>-0.76923079999999999</v>
      </c>
      <c r="J457">
        <v>0.36111110000000002</v>
      </c>
    </row>
    <row r="458" spans="1:10" x14ac:dyDescent="0.3">
      <c r="A458">
        <v>456</v>
      </c>
      <c r="B458">
        <v>7246</v>
      </c>
      <c r="C458" t="b">
        <v>1</v>
      </c>
      <c r="D458">
        <v>8054</v>
      </c>
      <c r="E458">
        <v>8123</v>
      </c>
      <c r="F458">
        <v>8.4</v>
      </c>
      <c r="G458">
        <v>5.2</v>
      </c>
      <c r="H458">
        <v>1.6153846000000001</v>
      </c>
      <c r="I458">
        <v>-0.61538459999999995</v>
      </c>
      <c r="J458">
        <v>0.38235295000000002</v>
      </c>
    </row>
    <row r="459" spans="1:10" x14ac:dyDescent="0.3">
      <c r="A459">
        <v>457</v>
      </c>
      <c r="B459">
        <v>7261</v>
      </c>
      <c r="C459" t="b">
        <v>1</v>
      </c>
      <c r="D459">
        <v>8054</v>
      </c>
      <c r="E459">
        <v>8129</v>
      </c>
      <c r="F459">
        <v>8.4</v>
      </c>
      <c r="G459">
        <v>5.2</v>
      </c>
      <c r="H459">
        <v>1.6153846000000001</v>
      </c>
      <c r="I459">
        <v>-0.61538459999999995</v>
      </c>
      <c r="J459">
        <v>0.38235295000000002</v>
      </c>
    </row>
    <row r="460" spans="1:10" x14ac:dyDescent="0.3">
      <c r="A460">
        <v>458</v>
      </c>
      <c r="B460">
        <v>7277</v>
      </c>
      <c r="C460" t="b">
        <v>1</v>
      </c>
      <c r="D460">
        <v>8054</v>
      </c>
      <c r="E460">
        <v>8123</v>
      </c>
      <c r="F460">
        <v>8.4</v>
      </c>
      <c r="G460">
        <v>5.2</v>
      </c>
      <c r="H460">
        <v>1.6153846000000001</v>
      </c>
      <c r="I460">
        <v>-0.61538459999999995</v>
      </c>
      <c r="J460">
        <v>0.38235295000000002</v>
      </c>
    </row>
    <row r="461" spans="1:10" x14ac:dyDescent="0.3">
      <c r="A461">
        <v>459</v>
      </c>
      <c r="B461">
        <v>7293</v>
      </c>
      <c r="C461" t="b">
        <v>1</v>
      </c>
      <c r="D461">
        <v>8054</v>
      </c>
      <c r="E461">
        <v>8129</v>
      </c>
      <c r="F461">
        <v>8.4</v>
      </c>
      <c r="G461">
        <v>5.2</v>
      </c>
      <c r="H461">
        <v>1.6153846000000001</v>
      </c>
      <c r="I461">
        <v>-0.61538459999999995</v>
      </c>
      <c r="J461">
        <v>0.38235295000000002</v>
      </c>
    </row>
    <row r="462" spans="1:10" x14ac:dyDescent="0.3">
      <c r="A462">
        <v>460</v>
      </c>
      <c r="B462">
        <v>7309</v>
      </c>
      <c r="C462" t="b">
        <v>1</v>
      </c>
      <c r="D462">
        <v>8048</v>
      </c>
      <c r="E462">
        <v>8123</v>
      </c>
      <c r="F462">
        <v>8.4</v>
      </c>
      <c r="G462">
        <v>5.2</v>
      </c>
      <c r="H462">
        <v>1.6153846000000001</v>
      </c>
      <c r="I462">
        <v>-0.61538459999999995</v>
      </c>
      <c r="J462">
        <v>0.38235295000000002</v>
      </c>
    </row>
    <row r="463" spans="1:10" x14ac:dyDescent="0.3">
      <c r="A463">
        <v>461</v>
      </c>
      <c r="B463">
        <v>7325</v>
      </c>
      <c r="C463" t="b">
        <v>1</v>
      </c>
      <c r="D463">
        <v>8048</v>
      </c>
      <c r="E463">
        <v>8117</v>
      </c>
      <c r="F463">
        <v>8.4</v>
      </c>
      <c r="G463">
        <v>5.6</v>
      </c>
      <c r="H463">
        <v>1.5</v>
      </c>
      <c r="I463">
        <v>-0.49999997000000002</v>
      </c>
      <c r="J463">
        <v>0.4</v>
      </c>
    </row>
    <row r="464" spans="1:10" x14ac:dyDescent="0.3">
      <c r="A464">
        <v>462</v>
      </c>
      <c r="B464">
        <v>7341</v>
      </c>
      <c r="C464" t="b">
        <v>1</v>
      </c>
      <c r="D464">
        <v>8048</v>
      </c>
      <c r="E464">
        <v>8123</v>
      </c>
      <c r="F464">
        <v>8</v>
      </c>
      <c r="G464">
        <v>6</v>
      </c>
      <c r="H464">
        <v>1.3333333999999999</v>
      </c>
      <c r="I464">
        <v>-0.33333333999999998</v>
      </c>
      <c r="J464">
        <v>0.42857142999999998</v>
      </c>
    </row>
    <row r="465" spans="1:10" x14ac:dyDescent="0.3">
      <c r="A465">
        <v>463</v>
      </c>
      <c r="B465">
        <v>7356</v>
      </c>
      <c r="C465" t="b">
        <v>1</v>
      </c>
      <c r="D465">
        <v>8048</v>
      </c>
      <c r="E465">
        <v>8123</v>
      </c>
      <c r="F465">
        <v>7.6</v>
      </c>
      <c r="G465">
        <v>6.4</v>
      </c>
      <c r="H465">
        <v>1.1875</v>
      </c>
      <c r="I465">
        <v>-0.18749996999999999</v>
      </c>
      <c r="J465">
        <v>0.45714285999999998</v>
      </c>
    </row>
    <row r="466" spans="1:10" x14ac:dyDescent="0.3">
      <c r="A466">
        <v>464</v>
      </c>
      <c r="B466">
        <v>7372</v>
      </c>
      <c r="C466" t="b">
        <v>1</v>
      </c>
      <c r="D466">
        <v>8048</v>
      </c>
      <c r="E466">
        <v>8123</v>
      </c>
      <c r="F466">
        <v>7.6</v>
      </c>
      <c r="G466">
        <v>6.8</v>
      </c>
      <c r="H466">
        <v>1.1176470000000001</v>
      </c>
      <c r="I466">
        <v>-0.11764701499999999</v>
      </c>
      <c r="J466">
        <v>0.47222224000000002</v>
      </c>
    </row>
    <row r="467" spans="1:10" x14ac:dyDescent="0.3">
      <c r="A467">
        <v>465</v>
      </c>
      <c r="B467">
        <v>7387</v>
      </c>
      <c r="C467" t="b">
        <v>1</v>
      </c>
      <c r="D467">
        <v>8054</v>
      </c>
      <c r="E467">
        <v>8117</v>
      </c>
      <c r="F467">
        <v>7.6</v>
      </c>
      <c r="G467">
        <v>7.2</v>
      </c>
      <c r="H467">
        <v>1.0555555999999999</v>
      </c>
      <c r="I467">
        <v>-5.5555569999999999E-2</v>
      </c>
      <c r="J467">
        <v>0.48648649999999999</v>
      </c>
    </row>
    <row r="468" spans="1:10" x14ac:dyDescent="0.3">
      <c r="A468">
        <v>466</v>
      </c>
      <c r="B468">
        <v>7403</v>
      </c>
      <c r="C468" t="b">
        <v>1</v>
      </c>
      <c r="D468">
        <v>8048</v>
      </c>
      <c r="E468">
        <v>8123</v>
      </c>
      <c r="F468">
        <v>8</v>
      </c>
      <c r="G468">
        <v>7.6</v>
      </c>
      <c r="H468">
        <v>1.0526316</v>
      </c>
      <c r="I468">
        <v>-5.2631589999999999E-2</v>
      </c>
      <c r="J468">
        <v>0.48717946000000001</v>
      </c>
    </row>
    <row r="469" spans="1:10" x14ac:dyDescent="0.3">
      <c r="A469">
        <v>467</v>
      </c>
      <c r="B469">
        <v>7420</v>
      </c>
      <c r="C469" t="b">
        <v>1</v>
      </c>
      <c r="D469">
        <v>8048</v>
      </c>
      <c r="E469">
        <v>8123</v>
      </c>
      <c r="F469">
        <v>8.4</v>
      </c>
      <c r="G469">
        <v>8</v>
      </c>
      <c r="H469">
        <v>1.05</v>
      </c>
      <c r="I469">
        <v>-4.9999952E-2</v>
      </c>
      <c r="J469">
        <v>0.48780489999999999</v>
      </c>
    </row>
    <row r="470" spans="1:10" x14ac:dyDescent="0.3">
      <c r="A470">
        <v>468</v>
      </c>
      <c r="B470">
        <v>7435</v>
      </c>
      <c r="C470" t="b">
        <v>1</v>
      </c>
      <c r="D470">
        <v>8048</v>
      </c>
      <c r="E470">
        <v>8123</v>
      </c>
      <c r="F470">
        <v>8.8000000000000007</v>
      </c>
      <c r="G470">
        <v>8</v>
      </c>
      <c r="H470">
        <v>1.1000000000000001</v>
      </c>
      <c r="I470">
        <v>-0.10000002400000001</v>
      </c>
      <c r="J470">
        <v>0.47619050000000002</v>
      </c>
    </row>
    <row r="471" spans="1:10" x14ac:dyDescent="0.3">
      <c r="A471">
        <v>469</v>
      </c>
      <c r="B471">
        <v>7451</v>
      </c>
      <c r="C471" t="b">
        <v>1</v>
      </c>
      <c r="D471">
        <v>8048</v>
      </c>
      <c r="E471">
        <v>8123</v>
      </c>
      <c r="F471">
        <v>9.1999999999999993</v>
      </c>
      <c r="G471">
        <v>8</v>
      </c>
      <c r="H471">
        <v>1.1499999999999999</v>
      </c>
      <c r="I471">
        <v>-0.14999998</v>
      </c>
      <c r="J471">
        <v>0.46511626</v>
      </c>
    </row>
    <row r="472" spans="1:10" x14ac:dyDescent="0.3">
      <c r="A472">
        <v>470</v>
      </c>
      <c r="B472">
        <v>7467</v>
      </c>
      <c r="C472" t="b">
        <v>1</v>
      </c>
      <c r="D472">
        <v>8048</v>
      </c>
      <c r="E472">
        <v>8123</v>
      </c>
      <c r="F472">
        <v>9.6</v>
      </c>
      <c r="G472">
        <v>8</v>
      </c>
      <c r="H472">
        <v>1.2</v>
      </c>
      <c r="I472">
        <v>-0.20000005000000001</v>
      </c>
      <c r="J472">
        <v>0.45454544000000002</v>
      </c>
    </row>
    <row r="473" spans="1:10" x14ac:dyDescent="0.3">
      <c r="A473">
        <v>471</v>
      </c>
      <c r="B473">
        <v>7483</v>
      </c>
      <c r="C473" t="b">
        <v>1</v>
      </c>
      <c r="D473">
        <v>8054</v>
      </c>
      <c r="E473">
        <v>8123</v>
      </c>
      <c r="F473">
        <v>10</v>
      </c>
      <c r="G473">
        <v>8</v>
      </c>
      <c r="H473">
        <v>1.25</v>
      </c>
      <c r="I473">
        <v>-0.25</v>
      </c>
      <c r="J473">
        <v>0.44444444999999999</v>
      </c>
    </row>
    <row r="474" spans="1:10" x14ac:dyDescent="0.3">
      <c r="A474">
        <v>472</v>
      </c>
      <c r="B474">
        <v>7498</v>
      </c>
      <c r="C474" t="b">
        <v>1</v>
      </c>
      <c r="D474">
        <v>8048</v>
      </c>
      <c r="E474">
        <v>8123</v>
      </c>
      <c r="F474">
        <v>9.6</v>
      </c>
      <c r="G474">
        <v>8</v>
      </c>
      <c r="H474">
        <v>1.2</v>
      </c>
      <c r="I474">
        <v>-0.20000005000000001</v>
      </c>
      <c r="J474">
        <v>0.45454544000000002</v>
      </c>
    </row>
    <row r="475" spans="1:10" x14ac:dyDescent="0.3">
      <c r="A475">
        <v>473</v>
      </c>
      <c r="B475">
        <v>7514</v>
      </c>
      <c r="C475" t="b">
        <v>1</v>
      </c>
      <c r="D475">
        <v>8048</v>
      </c>
      <c r="E475">
        <v>8123</v>
      </c>
      <c r="F475">
        <v>9.1999999999999993</v>
      </c>
      <c r="G475">
        <v>8</v>
      </c>
      <c r="H475">
        <v>1.1499999999999999</v>
      </c>
      <c r="I475">
        <v>-0.14999998</v>
      </c>
      <c r="J475">
        <v>0.46511626</v>
      </c>
    </row>
    <row r="476" spans="1:10" x14ac:dyDescent="0.3">
      <c r="A476">
        <v>474</v>
      </c>
      <c r="B476">
        <v>7529</v>
      </c>
      <c r="C476" t="b">
        <v>1</v>
      </c>
      <c r="D476">
        <v>8048</v>
      </c>
      <c r="E476">
        <v>8117</v>
      </c>
      <c r="F476">
        <v>8.8000000000000007</v>
      </c>
      <c r="G476">
        <v>8</v>
      </c>
      <c r="H476">
        <v>1.1000000000000001</v>
      </c>
      <c r="I476">
        <v>-0.10000002400000001</v>
      </c>
      <c r="J476">
        <v>0.47619050000000002</v>
      </c>
    </row>
    <row r="477" spans="1:10" x14ac:dyDescent="0.3">
      <c r="A477">
        <v>475</v>
      </c>
      <c r="B477">
        <v>7545</v>
      </c>
      <c r="C477" t="b">
        <v>1</v>
      </c>
      <c r="D477">
        <v>8048</v>
      </c>
      <c r="E477">
        <v>8123</v>
      </c>
      <c r="F477">
        <v>8.4</v>
      </c>
      <c r="G477">
        <v>8</v>
      </c>
      <c r="H477">
        <v>1.05</v>
      </c>
      <c r="I477">
        <v>-4.9999952E-2</v>
      </c>
      <c r="J477">
        <v>0.48780489999999999</v>
      </c>
    </row>
    <row r="478" spans="1:10" x14ac:dyDescent="0.3">
      <c r="A478">
        <v>476</v>
      </c>
      <c r="B478">
        <v>7560</v>
      </c>
      <c r="C478" t="b">
        <v>1</v>
      </c>
      <c r="D478">
        <v>8048</v>
      </c>
      <c r="E478">
        <v>8123</v>
      </c>
      <c r="F478">
        <v>8</v>
      </c>
      <c r="G478">
        <v>8</v>
      </c>
      <c r="H478">
        <v>1</v>
      </c>
      <c r="I478">
        <v>0</v>
      </c>
      <c r="J478">
        <v>0.5</v>
      </c>
    </row>
    <row r="479" spans="1:10" x14ac:dyDescent="0.3">
      <c r="A479">
        <v>477</v>
      </c>
      <c r="B479">
        <v>7577</v>
      </c>
      <c r="C479" t="b">
        <v>1</v>
      </c>
      <c r="D479">
        <v>8048</v>
      </c>
      <c r="E479">
        <v>8123</v>
      </c>
      <c r="F479">
        <v>8</v>
      </c>
      <c r="G479">
        <v>8</v>
      </c>
      <c r="H479">
        <v>1</v>
      </c>
      <c r="I479">
        <v>0</v>
      </c>
      <c r="J479">
        <v>0.5</v>
      </c>
    </row>
    <row r="480" spans="1:10" x14ac:dyDescent="0.3">
      <c r="A480">
        <v>478</v>
      </c>
      <c r="B480">
        <v>7592</v>
      </c>
      <c r="C480" t="b">
        <v>1</v>
      </c>
      <c r="D480">
        <v>8048</v>
      </c>
      <c r="E480">
        <v>8123</v>
      </c>
      <c r="F480">
        <v>8</v>
      </c>
      <c r="G480">
        <v>8</v>
      </c>
      <c r="H480">
        <v>1</v>
      </c>
      <c r="I480">
        <v>0</v>
      </c>
      <c r="J480">
        <v>0.5</v>
      </c>
    </row>
    <row r="481" spans="1:10" x14ac:dyDescent="0.3">
      <c r="A481">
        <v>479</v>
      </c>
      <c r="B481">
        <v>7608</v>
      </c>
      <c r="C481" t="b">
        <v>1</v>
      </c>
      <c r="D481">
        <v>8048</v>
      </c>
      <c r="E481">
        <v>8123</v>
      </c>
      <c r="F481">
        <v>8</v>
      </c>
      <c r="G481">
        <v>8</v>
      </c>
      <c r="H481">
        <v>1</v>
      </c>
      <c r="I481">
        <v>0</v>
      </c>
      <c r="J481">
        <v>0.5</v>
      </c>
    </row>
    <row r="482" spans="1:10" x14ac:dyDescent="0.3">
      <c r="A482">
        <v>480</v>
      </c>
      <c r="B482">
        <v>7624</v>
      </c>
      <c r="C482" t="b">
        <v>1</v>
      </c>
      <c r="D482">
        <v>8048</v>
      </c>
      <c r="E482">
        <v>8129</v>
      </c>
      <c r="F482">
        <v>8</v>
      </c>
      <c r="G482">
        <v>8</v>
      </c>
      <c r="H482">
        <v>1</v>
      </c>
      <c r="I482">
        <v>0</v>
      </c>
      <c r="J482">
        <v>0.5</v>
      </c>
    </row>
    <row r="483" spans="1:10" x14ac:dyDescent="0.3">
      <c r="A483">
        <v>481</v>
      </c>
      <c r="B483">
        <v>7640</v>
      </c>
      <c r="C483" t="b">
        <v>1</v>
      </c>
      <c r="D483">
        <v>8048</v>
      </c>
      <c r="E483">
        <v>8123</v>
      </c>
      <c r="F483">
        <v>8</v>
      </c>
      <c r="G483">
        <v>8</v>
      </c>
      <c r="H483">
        <v>1</v>
      </c>
      <c r="I483">
        <v>0</v>
      </c>
      <c r="J483">
        <v>0.5</v>
      </c>
    </row>
    <row r="484" spans="1:10" x14ac:dyDescent="0.3">
      <c r="A484">
        <v>482</v>
      </c>
      <c r="B484">
        <v>7655</v>
      </c>
      <c r="C484" t="b">
        <v>1</v>
      </c>
      <c r="D484">
        <v>8048</v>
      </c>
      <c r="E484">
        <v>8123</v>
      </c>
      <c r="F484">
        <v>8</v>
      </c>
      <c r="G484">
        <v>8</v>
      </c>
      <c r="H484">
        <v>1</v>
      </c>
      <c r="I484">
        <v>0</v>
      </c>
      <c r="J484">
        <v>0.5</v>
      </c>
    </row>
    <row r="485" spans="1:10" x14ac:dyDescent="0.3">
      <c r="A485">
        <v>483</v>
      </c>
      <c r="B485">
        <v>7671</v>
      </c>
      <c r="C485" t="b">
        <v>1</v>
      </c>
      <c r="D485">
        <v>8048</v>
      </c>
      <c r="E485">
        <v>8123</v>
      </c>
      <c r="F485">
        <v>8</v>
      </c>
      <c r="G485">
        <v>8</v>
      </c>
      <c r="H485">
        <v>1</v>
      </c>
      <c r="I485">
        <v>0</v>
      </c>
      <c r="J485">
        <v>0.5</v>
      </c>
    </row>
    <row r="486" spans="1:10" x14ac:dyDescent="0.3">
      <c r="A486">
        <v>484</v>
      </c>
      <c r="B486">
        <v>7687</v>
      </c>
      <c r="C486" t="b">
        <v>1</v>
      </c>
      <c r="D486">
        <v>8054</v>
      </c>
      <c r="E486">
        <v>8123</v>
      </c>
      <c r="F486">
        <v>8</v>
      </c>
      <c r="G486">
        <v>8</v>
      </c>
      <c r="H486">
        <v>1</v>
      </c>
      <c r="I486">
        <v>0</v>
      </c>
      <c r="J486">
        <v>0.5</v>
      </c>
    </row>
    <row r="487" spans="1:10" x14ac:dyDescent="0.3">
      <c r="A487">
        <v>485</v>
      </c>
      <c r="B487">
        <v>7718</v>
      </c>
      <c r="C487" t="b">
        <v>1</v>
      </c>
      <c r="D487">
        <v>8048</v>
      </c>
      <c r="E487">
        <v>8117</v>
      </c>
      <c r="F487">
        <v>8</v>
      </c>
      <c r="G487">
        <v>8</v>
      </c>
      <c r="H487">
        <v>1</v>
      </c>
      <c r="I487">
        <v>0</v>
      </c>
      <c r="J487">
        <v>0.5</v>
      </c>
    </row>
    <row r="488" spans="1:10" x14ac:dyDescent="0.3">
      <c r="A488">
        <v>486</v>
      </c>
      <c r="B488">
        <v>7733</v>
      </c>
      <c r="C488" t="b">
        <v>1</v>
      </c>
      <c r="D488">
        <v>8048</v>
      </c>
      <c r="E488">
        <v>8123</v>
      </c>
      <c r="F488">
        <v>8</v>
      </c>
      <c r="G488">
        <v>8</v>
      </c>
      <c r="H488">
        <v>1</v>
      </c>
      <c r="I488">
        <v>0</v>
      </c>
      <c r="J488">
        <v>0.5</v>
      </c>
    </row>
    <row r="489" spans="1:10" x14ac:dyDescent="0.3">
      <c r="A489">
        <v>487</v>
      </c>
      <c r="B489">
        <v>7749</v>
      </c>
      <c r="C489" t="b">
        <v>1</v>
      </c>
      <c r="D489">
        <v>8054</v>
      </c>
      <c r="E489">
        <v>8123</v>
      </c>
      <c r="F489">
        <v>8</v>
      </c>
      <c r="G489">
        <v>8</v>
      </c>
      <c r="H489">
        <v>1</v>
      </c>
      <c r="I489">
        <v>0</v>
      </c>
      <c r="J489">
        <v>0.5</v>
      </c>
    </row>
    <row r="490" spans="1:10" x14ac:dyDescent="0.3">
      <c r="A490">
        <v>488</v>
      </c>
      <c r="B490">
        <v>7765</v>
      </c>
      <c r="C490" t="b">
        <v>1</v>
      </c>
      <c r="D490">
        <v>8048</v>
      </c>
      <c r="E490">
        <v>8117</v>
      </c>
      <c r="F490">
        <v>8</v>
      </c>
      <c r="G490">
        <v>8</v>
      </c>
      <c r="H490">
        <v>1</v>
      </c>
      <c r="I490">
        <v>0</v>
      </c>
      <c r="J490">
        <v>0.5</v>
      </c>
    </row>
    <row r="491" spans="1:10" x14ac:dyDescent="0.3">
      <c r="A491">
        <v>489</v>
      </c>
      <c r="B491">
        <v>7781</v>
      </c>
      <c r="C491" t="b">
        <v>1</v>
      </c>
      <c r="D491">
        <v>8048</v>
      </c>
      <c r="E491">
        <v>8117</v>
      </c>
      <c r="F491">
        <v>8</v>
      </c>
      <c r="G491">
        <v>7.6</v>
      </c>
      <c r="H491">
        <v>1.0526316</v>
      </c>
      <c r="I491">
        <v>-5.2631589999999999E-2</v>
      </c>
      <c r="J491">
        <v>0.48717946000000001</v>
      </c>
    </row>
    <row r="492" spans="1:10" x14ac:dyDescent="0.3">
      <c r="A492">
        <v>490</v>
      </c>
      <c r="B492">
        <v>7797</v>
      </c>
      <c r="C492" t="b">
        <v>1</v>
      </c>
      <c r="D492">
        <v>8048</v>
      </c>
      <c r="E492">
        <v>8117</v>
      </c>
      <c r="F492">
        <v>8</v>
      </c>
      <c r="G492">
        <v>7.2</v>
      </c>
      <c r="H492">
        <v>1.1111112000000001</v>
      </c>
      <c r="I492">
        <v>-0.11111114</v>
      </c>
      <c r="J492">
        <v>0.4736842</v>
      </c>
    </row>
    <row r="493" spans="1:10" x14ac:dyDescent="0.3">
      <c r="A493">
        <v>491</v>
      </c>
      <c r="B493">
        <v>7812</v>
      </c>
      <c r="C493" t="b">
        <v>1</v>
      </c>
      <c r="D493">
        <v>8042</v>
      </c>
      <c r="E493">
        <v>8123</v>
      </c>
      <c r="F493">
        <v>8</v>
      </c>
      <c r="G493">
        <v>6.8</v>
      </c>
      <c r="H493">
        <v>1.1764705</v>
      </c>
      <c r="I493">
        <v>-0.17647055</v>
      </c>
      <c r="J493">
        <v>0.45945944999999999</v>
      </c>
    </row>
    <row r="494" spans="1:10" x14ac:dyDescent="0.3">
      <c r="A494">
        <v>492</v>
      </c>
      <c r="B494">
        <v>7828</v>
      </c>
      <c r="C494" t="b">
        <v>1</v>
      </c>
      <c r="D494">
        <v>8048</v>
      </c>
      <c r="E494">
        <v>8123</v>
      </c>
      <c r="F494">
        <v>8</v>
      </c>
      <c r="G494">
        <v>6.4</v>
      </c>
      <c r="H494">
        <v>1.25</v>
      </c>
      <c r="I494">
        <v>-0.24999999000000001</v>
      </c>
      <c r="J494">
        <v>0.44444447999999998</v>
      </c>
    </row>
    <row r="495" spans="1:10" x14ac:dyDescent="0.3">
      <c r="A495">
        <v>493</v>
      </c>
      <c r="B495">
        <v>7844</v>
      </c>
      <c r="C495" t="b">
        <v>1</v>
      </c>
      <c r="D495">
        <v>8048</v>
      </c>
      <c r="E495">
        <v>8123</v>
      </c>
      <c r="F495">
        <v>8</v>
      </c>
      <c r="G495">
        <v>6.4</v>
      </c>
      <c r="H495">
        <v>1.25</v>
      </c>
      <c r="I495">
        <v>-0.24999999000000001</v>
      </c>
      <c r="J495">
        <v>0.44444447999999998</v>
      </c>
    </row>
    <row r="496" spans="1:10" x14ac:dyDescent="0.3">
      <c r="A496">
        <v>494</v>
      </c>
      <c r="B496">
        <v>7860</v>
      </c>
      <c r="C496" t="b">
        <v>1</v>
      </c>
      <c r="D496">
        <v>8048</v>
      </c>
      <c r="E496">
        <v>8123</v>
      </c>
      <c r="F496">
        <v>8</v>
      </c>
      <c r="G496">
        <v>6.4</v>
      </c>
      <c r="H496">
        <v>1.25</v>
      </c>
      <c r="I496">
        <v>-0.24999999000000001</v>
      </c>
      <c r="J496">
        <v>0.44444447999999998</v>
      </c>
    </row>
    <row r="497" spans="1:10" x14ac:dyDescent="0.3">
      <c r="A497">
        <v>495</v>
      </c>
      <c r="B497">
        <v>7875</v>
      </c>
      <c r="C497" t="b">
        <v>1</v>
      </c>
      <c r="D497">
        <v>8054</v>
      </c>
      <c r="E497">
        <v>8123</v>
      </c>
      <c r="F497">
        <v>8</v>
      </c>
      <c r="G497">
        <v>6.4</v>
      </c>
      <c r="H497">
        <v>1.25</v>
      </c>
      <c r="I497">
        <v>-0.24999999000000001</v>
      </c>
      <c r="J497">
        <v>0.44444447999999998</v>
      </c>
    </row>
    <row r="498" spans="1:10" x14ac:dyDescent="0.3">
      <c r="A498">
        <v>496</v>
      </c>
      <c r="B498">
        <v>7891</v>
      </c>
      <c r="C498" t="b">
        <v>1</v>
      </c>
      <c r="D498">
        <v>8048</v>
      </c>
      <c r="E498">
        <v>8117</v>
      </c>
      <c r="F498">
        <v>8</v>
      </c>
      <c r="G498">
        <v>6.4</v>
      </c>
      <c r="H498">
        <v>1.25</v>
      </c>
      <c r="I498">
        <v>-0.24999999000000001</v>
      </c>
      <c r="J498">
        <v>0.44444447999999998</v>
      </c>
    </row>
    <row r="499" spans="1:10" x14ac:dyDescent="0.3">
      <c r="A499">
        <v>497</v>
      </c>
      <c r="B499">
        <v>7907</v>
      </c>
      <c r="C499" t="b">
        <v>1</v>
      </c>
      <c r="D499">
        <v>8048</v>
      </c>
      <c r="E499">
        <v>8117</v>
      </c>
      <c r="F499">
        <v>8</v>
      </c>
      <c r="G499">
        <v>6.4</v>
      </c>
      <c r="H499">
        <v>1.25</v>
      </c>
      <c r="I499">
        <v>-0.24999999000000001</v>
      </c>
      <c r="J499">
        <v>0.44444447999999998</v>
      </c>
    </row>
    <row r="500" spans="1:10" x14ac:dyDescent="0.3">
      <c r="A500">
        <v>498</v>
      </c>
      <c r="B500">
        <v>7923</v>
      </c>
      <c r="C500" t="b">
        <v>1</v>
      </c>
      <c r="D500">
        <v>8048</v>
      </c>
      <c r="E500">
        <v>8123</v>
      </c>
      <c r="F500">
        <v>8</v>
      </c>
      <c r="G500">
        <v>6.4</v>
      </c>
      <c r="H500">
        <v>1.25</v>
      </c>
      <c r="I500">
        <v>-0.24999999000000001</v>
      </c>
      <c r="J500">
        <v>0.44444447999999998</v>
      </c>
    </row>
    <row r="501" spans="1:10" x14ac:dyDescent="0.3">
      <c r="A501">
        <v>499</v>
      </c>
      <c r="B501">
        <v>7938</v>
      </c>
      <c r="C501" t="b">
        <v>1</v>
      </c>
      <c r="D501">
        <v>8048</v>
      </c>
      <c r="E501">
        <v>8123</v>
      </c>
      <c r="F501">
        <v>8</v>
      </c>
      <c r="G501">
        <v>6.4</v>
      </c>
      <c r="H501">
        <v>1.25</v>
      </c>
      <c r="I501">
        <v>-0.24999999000000001</v>
      </c>
      <c r="J501">
        <v>0.44444447999999998</v>
      </c>
    </row>
    <row r="502" spans="1:10" x14ac:dyDescent="0.3">
      <c r="A502">
        <v>500</v>
      </c>
      <c r="B502">
        <v>7954</v>
      </c>
      <c r="C502" t="b">
        <v>1</v>
      </c>
      <c r="D502">
        <v>8048</v>
      </c>
      <c r="E502">
        <v>8117</v>
      </c>
      <c r="F502">
        <v>8</v>
      </c>
      <c r="G502">
        <v>6</v>
      </c>
      <c r="H502">
        <v>1.3333333999999999</v>
      </c>
      <c r="I502">
        <v>-0.33333333999999998</v>
      </c>
      <c r="J502">
        <v>0.42857142999999998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2C1D-A770-4468-9499-FFAD38A53C36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19</v>
      </c>
      <c r="C3" t="b">
        <v>1</v>
      </c>
      <c r="D3">
        <v>8042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35</v>
      </c>
      <c r="C4" t="b">
        <v>1</v>
      </c>
      <c r="D4">
        <v>8048</v>
      </c>
      <c r="E4">
        <v>8123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51</v>
      </c>
      <c r="C5" t="b">
        <v>1</v>
      </c>
      <c r="D5">
        <v>8048</v>
      </c>
      <c r="E5">
        <v>8123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67</v>
      </c>
      <c r="C6" t="b">
        <v>1</v>
      </c>
      <c r="D6">
        <v>8048</v>
      </c>
      <c r="E6">
        <v>8123</v>
      </c>
      <c r="F6">
        <v>8</v>
      </c>
      <c r="G6">
        <v>8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83</v>
      </c>
      <c r="C7" t="b">
        <v>1</v>
      </c>
      <c r="D7">
        <v>8048</v>
      </c>
      <c r="E7">
        <v>8123</v>
      </c>
      <c r="F7">
        <v>8</v>
      </c>
      <c r="G7">
        <v>8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99</v>
      </c>
      <c r="C8" t="b">
        <v>1</v>
      </c>
      <c r="D8">
        <v>8048</v>
      </c>
      <c r="E8">
        <v>8123</v>
      </c>
      <c r="F8">
        <v>8</v>
      </c>
      <c r="G8">
        <v>8</v>
      </c>
      <c r="H8">
        <v>1</v>
      </c>
      <c r="I8">
        <v>0</v>
      </c>
      <c r="J8">
        <v>0.5</v>
      </c>
    </row>
    <row r="9" spans="1:10" x14ac:dyDescent="0.3">
      <c r="A9">
        <v>7</v>
      </c>
      <c r="B9">
        <v>115</v>
      </c>
      <c r="C9" t="b">
        <v>1</v>
      </c>
      <c r="D9">
        <v>8048</v>
      </c>
      <c r="E9">
        <v>8123</v>
      </c>
      <c r="F9">
        <v>8</v>
      </c>
      <c r="G9">
        <v>8</v>
      </c>
      <c r="H9">
        <v>1</v>
      </c>
      <c r="I9">
        <v>0</v>
      </c>
      <c r="J9">
        <v>0.5</v>
      </c>
    </row>
    <row r="10" spans="1:10" x14ac:dyDescent="0.3">
      <c r="A10">
        <v>8</v>
      </c>
      <c r="B10">
        <v>130</v>
      </c>
      <c r="C10" t="b">
        <v>1</v>
      </c>
      <c r="D10">
        <v>8048</v>
      </c>
      <c r="E10">
        <v>8123</v>
      </c>
      <c r="F10">
        <v>8</v>
      </c>
      <c r="G10">
        <v>8</v>
      </c>
      <c r="H10">
        <v>1</v>
      </c>
      <c r="I10">
        <v>0</v>
      </c>
      <c r="J10">
        <v>0.5</v>
      </c>
    </row>
    <row r="11" spans="1:10" x14ac:dyDescent="0.3">
      <c r="A11">
        <v>9</v>
      </c>
      <c r="B11">
        <v>147</v>
      </c>
      <c r="C11" t="b">
        <v>1</v>
      </c>
      <c r="D11">
        <v>8048</v>
      </c>
      <c r="E11">
        <v>8123</v>
      </c>
      <c r="F11">
        <v>8</v>
      </c>
      <c r="G11">
        <v>8</v>
      </c>
      <c r="H11">
        <v>1</v>
      </c>
      <c r="I11">
        <v>0</v>
      </c>
      <c r="J11">
        <v>0.5</v>
      </c>
    </row>
    <row r="12" spans="1:10" x14ac:dyDescent="0.3">
      <c r="A12">
        <v>10</v>
      </c>
      <c r="B12">
        <v>162</v>
      </c>
      <c r="C12" t="b">
        <v>1</v>
      </c>
      <c r="D12">
        <v>8048</v>
      </c>
      <c r="E12">
        <v>8123</v>
      </c>
      <c r="F12">
        <v>8</v>
      </c>
      <c r="G12">
        <v>8</v>
      </c>
      <c r="H12">
        <v>1</v>
      </c>
      <c r="I12">
        <v>0</v>
      </c>
      <c r="J12">
        <v>0.5</v>
      </c>
    </row>
    <row r="13" spans="1:10" x14ac:dyDescent="0.3">
      <c r="A13">
        <v>11</v>
      </c>
      <c r="B13">
        <v>178</v>
      </c>
      <c r="C13" t="b">
        <v>1</v>
      </c>
      <c r="D13">
        <v>8048</v>
      </c>
      <c r="E13">
        <v>8123</v>
      </c>
      <c r="F13">
        <v>8</v>
      </c>
      <c r="G13">
        <v>8</v>
      </c>
      <c r="H13">
        <v>1</v>
      </c>
      <c r="I13">
        <v>0</v>
      </c>
      <c r="J13">
        <v>0.5</v>
      </c>
    </row>
    <row r="14" spans="1:10" x14ac:dyDescent="0.3">
      <c r="A14">
        <v>12</v>
      </c>
      <c r="B14">
        <v>194</v>
      </c>
      <c r="C14" t="b">
        <v>1</v>
      </c>
      <c r="D14">
        <v>8048</v>
      </c>
      <c r="E14">
        <v>8123</v>
      </c>
      <c r="F14">
        <v>8</v>
      </c>
      <c r="G14">
        <v>8</v>
      </c>
      <c r="H14">
        <v>1</v>
      </c>
      <c r="I14">
        <v>0</v>
      </c>
      <c r="J14">
        <v>0.5</v>
      </c>
    </row>
    <row r="15" spans="1:10" x14ac:dyDescent="0.3">
      <c r="A15">
        <v>13</v>
      </c>
      <c r="B15">
        <v>210</v>
      </c>
      <c r="C15" t="b">
        <v>1</v>
      </c>
      <c r="D15">
        <v>8048</v>
      </c>
      <c r="E15">
        <v>8123</v>
      </c>
      <c r="F15">
        <v>8</v>
      </c>
      <c r="G15">
        <v>8</v>
      </c>
      <c r="H15">
        <v>1</v>
      </c>
      <c r="I15">
        <v>0</v>
      </c>
      <c r="J15">
        <v>0.5</v>
      </c>
    </row>
    <row r="16" spans="1:10" x14ac:dyDescent="0.3">
      <c r="A16">
        <v>14</v>
      </c>
      <c r="B16">
        <v>226</v>
      </c>
      <c r="C16" t="b">
        <v>1</v>
      </c>
      <c r="D16">
        <v>8048</v>
      </c>
      <c r="E16">
        <v>8123</v>
      </c>
      <c r="F16">
        <v>8</v>
      </c>
      <c r="G16">
        <v>8</v>
      </c>
      <c r="H16">
        <v>1</v>
      </c>
      <c r="I16">
        <v>0</v>
      </c>
      <c r="J16">
        <v>0.5</v>
      </c>
    </row>
    <row r="17" spans="1:10" x14ac:dyDescent="0.3">
      <c r="A17">
        <v>15</v>
      </c>
      <c r="B17">
        <v>242</v>
      </c>
      <c r="C17" t="b">
        <v>1</v>
      </c>
      <c r="D17">
        <v>8048</v>
      </c>
      <c r="E17">
        <v>8123</v>
      </c>
      <c r="F17">
        <v>8</v>
      </c>
      <c r="G17">
        <v>8</v>
      </c>
      <c r="H17">
        <v>1</v>
      </c>
      <c r="I17">
        <v>0</v>
      </c>
      <c r="J17">
        <v>0.5</v>
      </c>
    </row>
    <row r="18" spans="1:10" x14ac:dyDescent="0.3">
      <c r="A18">
        <v>16</v>
      </c>
      <c r="B18">
        <v>258</v>
      </c>
      <c r="C18" t="b">
        <v>1</v>
      </c>
      <c r="D18">
        <v>8048</v>
      </c>
      <c r="E18">
        <v>8117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274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290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306</v>
      </c>
      <c r="C21" t="b">
        <v>1</v>
      </c>
      <c r="D21">
        <v>8048</v>
      </c>
      <c r="E21">
        <v>8123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322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338</v>
      </c>
      <c r="C23" t="b">
        <v>1</v>
      </c>
      <c r="D23">
        <v>8042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353</v>
      </c>
      <c r="C24" t="b">
        <v>1</v>
      </c>
      <c r="D24">
        <v>8048</v>
      </c>
      <c r="E24">
        <v>8117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369</v>
      </c>
      <c r="C25" t="b">
        <v>1</v>
      </c>
      <c r="D25">
        <v>8048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385</v>
      </c>
      <c r="C26" t="b">
        <v>1</v>
      </c>
      <c r="D26">
        <v>8048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401</v>
      </c>
      <c r="C27" t="b">
        <v>1</v>
      </c>
      <c r="D27">
        <v>8054</v>
      </c>
      <c r="E27">
        <v>8123</v>
      </c>
      <c r="F27">
        <v>8</v>
      </c>
      <c r="G27">
        <v>8</v>
      </c>
      <c r="H27">
        <v>1</v>
      </c>
      <c r="I27">
        <v>0</v>
      </c>
      <c r="J27">
        <v>0.5</v>
      </c>
    </row>
    <row r="28" spans="1:10" x14ac:dyDescent="0.3">
      <c r="A28">
        <v>26</v>
      </c>
      <c r="B28">
        <v>417</v>
      </c>
      <c r="C28" t="b">
        <v>1</v>
      </c>
      <c r="D28">
        <v>8048</v>
      </c>
      <c r="E28">
        <v>8117</v>
      </c>
      <c r="F28">
        <v>8</v>
      </c>
      <c r="G28">
        <v>8</v>
      </c>
      <c r="H28">
        <v>1</v>
      </c>
      <c r="I28">
        <v>0</v>
      </c>
      <c r="J28">
        <v>0.5</v>
      </c>
    </row>
    <row r="29" spans="1:10" x14ac:dyDescent="0.3">
      <c r="A29">
        <v>27</v>
      </c>
      <c r="B29">
        <v>432</v>
      </c>
      <c r="C29" t="b">
        <v>1</v>
      </c>
      <c r="D29">
        <v>8048</v>
      </c>
      <c r="E29">
        <v>8123</v>
      </c>
      <c r="F29">
        <v>8</v>
      </c>
      <c r="G29">
        <v>8</v>
      </c>
      <c r="H29">
        <v>1</v>
      </c>
      <c r="I29">
        <v>0</v>
      </c>
      <c r="J29">
        <v>0.5</v>
      </c>
    </row>
    <row r="30" spans="1:10" x14ac:dyDescent="0.3">
      <c r="A30">
        <v>28</v>
      </c>
      <c r="B30">
        <v>448</v>
      </c>
      <c r="C30" t="b">
        <v>1</v>
      </c>
      <c r="D30">
        <v>8048</v>
      </c>
      <c r="E30">
        <v>8123</v>
      </c>
      <c r="F30">
        <v>8</v>
      </c>
      <c r="G30">
        <v>8</v>
      </c>
      <c r="H30">
        <v>1</v>
      </c>
      <c r="I30">
        <v>0</v>
      </c>
      <c r="J30">
        <v>0.5</v>
      </c>
    </row>
    <row r="31" spans="1:10" x14ac:dyDescent="0.3">
      <c r="A31">
        <v>29</v>
      </c>
      <c r="B31">
        <v>464</v>
      </c>
      <c r="C31" t="b">
        <v>1</v>
      </c>
      <c r="D31">
        <v>8042</v>
      </c>
      <c r="E31">
        <v>8117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480</v>
      </c>
      <c r="C32" t="b">
        <v>1</v>
      </c>
      <c r="D32">
        <v>8048</v>
      </c>
      <c r="E32">
        <v>8117</v>
      </c>
      <c r="F32">
        <v>8</v>
      </c>
      <c r="G32">
        <v>7.6</v>
      </c>
      <c r="H32">
        <v>1.0526316</v>
      </c>
      <c r="I32">
        <v>-5.2631589999999999E-2</v>
      </c>
      <c r="J32">
        <v>0.48717946000000001</v>
      </c>
    </row>
    <row r="33" spans="1:10" x14ac:dyDescent="0.3">
      <c r="A33">
        <v>31</v>
      </c>
      <c r="B33">
        <v>496</v>
      </c>
      <c r="C33" t="b">
        <v>1</v>
      </c>
      <c r="D33">
        <v>8042</v>
      </c>
      <c r="E33">
        <v>8123</v>
      </c>
      <c r="F33">
        <v>8</v>
      </c>
      <c r="G33">
        <v>7.6</v>
      </c>
      <c r="H33">
        <v>1.0526316</v>
      </c>
      <c r="I33">
        <v>-5.2631589999999999E-2</v>
      </c>
      <c r="J33">
        <v>0.48717946000000001</v>
      </c>
    </row>
    <row r="34" spans="1:10" x14ac:dyDescent="0.3">
      <c r="A34">
        <v>32</v>
      </c>
      <c r="B34">
        <v>512</v>
      </c>
      <c r="C34" t="b">
        <v>1</v>
      </c>
      <c r="D34">
        <v>8048</v>
      </c>
      <c r="E34">
        <v>8123</v>
      </c>
      <c r="F34">
        <v>8</v>
      </c>
      <c r="G34">
        <v>7.6</v>
      </c>
      <c r="H34">
        <v>1.0526316</v>
      </c>
      <c r="I34">
        <v>-5.2631589999999999E-2</v>
      </c>
      <c r="J34">
        <v>0.48717946000000001</v>
      </c>
    </row>
    <row r="35" spans="1:10" x14ac:dyDescent="0.3">
      <c r="A35">
        <v>33</v>
      </c>
      <c r="B35">
        <v>528</v>
      </c>
      <c r="C35" t="b">
        <v>1</v>
      </c>
      <c r="D35">
        <v>8048</v>
      </c>
      <c r="E35">
        <v>8123</v>
      </c>
      <c r="F35">
        <v>8</v>
      </c>
      <c r="G35">
        <v>7.6</v>
      </c>
      <c r="H35">
        <v>1.0526316</v>
      </c>
      <c r="I35">
        <v>-5.2631589999999999E-2</v>
      </c>
      <c r="J35">
        <v>0.48717946000000001</v>
      </c>
    </row>
    <row r="36" spans="1:10" x14ac:dyDescent="0.3">
      <c r="A36">
        <v>34</v>
      </c>
      <c r="B36">
        <v>544</v>
      </c>
      <c r="C36" t="b">
        <v>1</v>
      </c>
      <c r="D36">
        <v>8048</v>
      </c>
      <c r="E36">
        <v>8123</v>
      </c>
      <c r="F36">
        <v>8</v>
      </c>
      <c r="G36">
        <v>7.6</v>
      </c>
      <c r="H36">
        <v>1.0526316</v>
      </c>
      <c r="I36">
        <v>-5.2631589999999999E-2</v>
      </c>
      <c r="J36">
        <v>0.48717946000000001</v>
      </c>
    </row>
    <row r="37" spans="1:10" x14ac:dyDescent="0.3">
      <c r="A37">
        <v>35</v>
      </c>
      <c r="B37">
        <v>560</v>
      </c>
      <c r="C37" t="b">
        <v>1</v>
      </c>
      <c r="D37">
        <v>8042</v>
      </c>
      <c r="E37">
        <v>8123</v>
      </c>
      <c r="F37">
        <v>8</v>
      </c>
      <c r="G37">
        <v>7.6</v>
      </c>
      <c r="H37">
        <v>1.0526316</v>
      </c>
      <c r="I37">
        <v>-5.2631589999999999E-2</v>
      </c>
      <c r="J37">
        <v>0.48717946000000001</v>
      </c>
    </row>
    <row r="38" spans="1:10" x14ac:dyDescent="0.3">
      <c r="A38">
        <v>36</v>
      </c>
      <c r="B38">
        <v>576</v>
      </c>
      <c r="C38" t="b">
        <v>1</v>
      </c>
      <c r="D38">
        <v>8048</v>
      </c>
      <c r="E38">
        <v>8117</v>
      </c>
      <c r="F38">
        <v>8</v>
      </c>
      <c r="G38">
        <v>7.6</v>
      </c>
      <c r="H38">
        <v>1.0526316</v>
      </c>
      <c r="I38">
        <v>-5.2631589999999999E-2</v>
      </c>
      <c r="J38">
        <v>0.48717946000000001</v>
      </c>
    </row>
    <row r="39" spans="1:10" x14ac:dyDescent="0.3">
      <c r="A39">
        <v>37</v>
      </c>
      <c r="B39">
        <v>591</v>
      </c>
      <c r="C39" t="b">
        <v>1</v>
      </c>
      <c r="D39">
        <v>8048</v>
      </c>
      <c r="E39">
        <v>8117</v>
      </c>
      <c r="F39">
        <v>8</v>
      </c>
      <c r="G39">
        <v>7.6</v>
      </c>
      <c r="H39">
        <v>1.0526316</v>
      </c>
      <c r="I39">
        <v>-5.2631589999999999E-2</v>
      </c>
      <c r="J39">
        <v>0.48717946000000001</v>
      </c>
    </row>
    <row r="40" spans="1:10" x14ac:dyDescent="0.3">
      <c r="A40">
        <v>38</v>
      </c>
      <c r="B40">
        <v>607</v>
      </c>
      <c r="C40" t="b">
        <v>1</v>
      </c>
      <c r="D40">
        <v>8054</v>
      </c>
      <c r="E40">
        <v>8129</v>
      </c>
      <c r="F40">
        <v>8</v>
      </c>
      <c r="G40">
        <v>7.6</v>
      </c>
      <c r="H40">
        <v>1.0526316</v>
      </c>
      <c r="I40">
        <v>-5.2631589999999999E-2</v>
      </c>
      <c r="J40">
        <v>0.48717946000000001</v>
      </c>
    </row>
    <row r="41" spans="1:10" x14ac:dyDescent="0.3">
      <c r="A41">
        <v>39</v>
      </c>
      <c r="B41">
        <v>624</v>
      </c>
      <c r="C41" t="b">
        <v>1</v>
      </c>
      <c r="D41">
        <v>8048</v>
      </c>
      <c r="E41">
        <v>8129</v>
      </c>
      <c r="F41">
        <v>8</v>
      </c>
      <c r="G41">
        <v>7.6</v>
      </c>
      <c r="H41">
        <v>1.0526316</v>
      </c>
      <c r="I41">
        <v>-5.2631589999999999E-2</v>
      </c>
      <c r="J41">
        <v>0.48717946000000001</v>
      </c>
    </row>
    <row r="42" spans="1:10" x14ac:dyDescent="0.3">
      <c r="A42">
        <v>40</v>
      </c>
      <c r="B42">
        <v>640</v>
      </c>
      <c r="C42" t="b">
        <v>1</v>
      </c>
      <c r="D42">
        <v>8048</v>
      </c>
      <c r="E42">
        <v>8129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656</v>
      </c>
      <c r="C43" t="b">
        <v>1</v>
      </c>
      <c r="D43">
        <v>8054</v>
      </c>
      <c r="E43">
        <v>8123</v>
      </c>
      <c r="F43">
        <v>8</v>
      </c>
      <c r="G43">
        <v>8.4</v>
      </c>
      <c r="H43">
        <v>0.95238100000000003</v>
      </c>
      <c r="I43">
        <v>4.7619003999999999E-2</v>
      </c>
      <c r="J43">
        <v>0.51219510000000001</v>
      </c>
    </row>
    <row r="44" spans="1:10" x14ac:dyDescent="0.3">
      <c r="A44">
        <v>42</v>
      </c>
      <c r="B44">
        <v>671</v>
      </c>
      <c r="C44" t="b">
        <v>1</v>
      </c>
      <c r="D44">
        <v>8048</v>
      </c>
      <c r="E44">
        <v>8123</v>
      </c>
      <c r="F44">
        <v>8</v>
      </c>
      <c r="G44">
        <v>8.8000000000000007</v>
      </c>
      <c r="H44">
        <v>0.90909090000000004</v>
      </c>
      <c r="I44">
        <v>9.0909110000000001E-2</v>
      </c>
      <c r="J44">
        <v>0.52380954999999996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8123</v>
      </c>
      <c r="F45">
        <v>8</v>
      </c>
      <c r="G45">
        <v>8.8000000000000007</v>
      </c>
      <c r="H45">
        <v>0.90909090000000004</v>
      </c>
      <c r="I45">
        <v>9.0909110000000001E-2</v>
      </c>
      <c r="J45">
        <v>0.52380954999999996</v>
      </c>
    </row>
    <row r="46" spans="1:10" x14ac:dyDescent="0.3">
      <c r="A46">
        <v>44</v>
      </c>
      <c r="B46">
        <v>703</v>
      </c>
      <c r="C46" t="b">
        <v>1</v>
      </c>
      <c r="D46">
        <v>8048</v>
      </c>
      <c r="E46">
        <v>8123</v>
      </c>
      <c r="F46">
        <v>8</v>
      </c>
      <c r="G46">
        <v>8.8000000000000007</v>
      </c>
      <c r="H46">
        <v>0.90909090000000004</v>
      </c>
      <c r="I46">
        <v>9.0909110000000001E-2</v>
      </c>
      <c r="J46">
        <v>0.52380954999999996</v>
      </c>
    </row>
    <row r="47" spans="1:10" x14ac:dyDescent="0.3">
      <c r="A47">
        <v>45</v>
      </c>
      <c r="B47">
        <v>719</v>
      </c>
      <c r="C47" t="b">
        <v>1</v>
      </c>
      <c r="D47">
        <v>8048</v>
      </c>
      <c r="E47">
        <v>8123</v>
      </c>
      <c r="F47">
        <v>8</v>
      </c>
      <c r="G47">
        <v>9.1999999999999993</v>
      </c>
      <c r="H47">
        <v>0.86956524999999996</v>
      </c>
      <c r="I47">
        <v>0.13043477000000001</v>
      </c>
      <c r="J47">
        <v>0.53488369999999996</v>
      </c>
    </row>
    <row r="48" spans="1:10" x14ac:dyDescent="0.3">
      <c r="A48">
        <v>46</v>
      </c>
      <c r="B48">
        <v>735</v>
      </c>
      <c r="C48" t="b">
        <v>1</v>
      </c>
      <c r="D48">
        <v>8048</v>
      </c>
      <c r="E48">
        <v>8123</v>
      </c>
      <c r="F48">
        <v>8</v>
      </c>
      <c r="G48">
        <v>9.1999999999999993</v>
      </c>
      <c r="H48">
        <v>0.86956524999999996</v>
      </c>
      <c r="I48">
        <v>0.13043477000000001</v>
      </c>
      <c r="J48">
        <v>0.53488369999999996</v>
      </c>
    </row>
    <row r="49" spans="1:10" x14ac:dyDescent="0.3">
      <c r="A49">
        <v>47</v>
      </c>
      <c r="B49">
        <v>751</v>
      </c>
      <c r="C49" t="b">
        <v>1</v>
      </c>
      <c r="D49">
        <v>8048</v>
      </c>
      <c r="E49">
        <v>8123</v>
      </c>
      <c r="F49">
        <v>8</v>
      </c>
      <c r="G49">
        <v>9.1999999999999993</v>
      </c>
      <c r="H49">
        <v>0.86956524999999996</v>
      </c>
      <c r="I49">
        <v>0.13043477000000001</v>
      </c>
      <c r="J49">
        <v>0.53488369999999996</v>
      </c>
    </row>
    <row r="50" spans="1:10" x14ac:dyDescent="0.3">
      <c r="A50">
        <v>48</v>
      </c>
      <c r="B50">
        <v>767</v>
      </c>
      <c r="C50" t="b">
        <v>1</v>
      </c>
      <c r="D50">
        <v>8042</v>
      </c>
      <c r="E50">
        <v>8117</v>
      </c>
      <c r="F50">
        <v>8</v>
      </c>
      <c r="G50">
        <v>9.1999999999999993</v>
      </c>
      <c r="H50">
        <v>0.86956524999999996</v>
      </c>
      <c r="I50">
        <v>0.13043477000000001</v>
      </c>
      <c r="J50">
        <v>0.53488369999999996</v>
      </c>
    </row>
    <row r="51" spans="1:10" x14ac:dyDescent="0.3">
      <c r="A51">
        <v>49</v>
      </c>
      <c r="B51">
        <v>783</v>
      </c>
      <c r="C51" t="b">
        <v>1</v>
      </c>
      <c r="D51">
        <v>8054</v>
      </c>
      <c r="E51">
        <v>8123</v>
      </c>
      <c r="F51">
        <v>8</v>
      </c>
      <c r="G51">
        <v>9.1999999999999993</v>
      </c>
      <c r="H51">
        <v>0.86956524999999996</v>
      </c>
      <c r="I51">
        <v>0.13043477000000001</v>
      </c>
      <c r="J51">
        <v>0.53488369999999996</v>
      </c>
    </row>
    <row r="52" spans="1:10" x14ac:dyDescent="0.3">
      <c r="A52">
        <v>50</v>
      </c>
      <c r="B52">
        <v>799</v>
      </c>
      <c r="C52" t="b">
        <v>1</v>
      </c>
      <c r="D52">
        <v>8048</v>
      </c>
      <c r="E52">
        <v>8117</v>
      </c>
      <c r="F52">
        <v>8</v>
      </c>
      <c r="G52">
        <v>9.1999999999999993</v>
      </c>
      <c r="H52">
        <v>0.86956524999999996</v>
      </c>
      <c r="I52">
        <v>0.13043477000000001</v>
      </c>
      <c r="J52">
        <v>0.53488369999999996</v>
      </c>
    </row>
    <row r="53" spans="1:10" x14ac:dyDescent="0.3">
      <c r="A53">
        <v>51</v>
      </c>
      <c r="B53">
        <v>815</v>
      </c>
      <c r="C53" t="b">
        <v>1</v>
      </c>
      <c r="D53">
        <v>8048</v>
      </c>
      <c r="E53">
        <v>8123</v>
      </c>
      <c r="F53">
        <v>8</v>
      </c>
      <c r="G53">
        <v>9.1999999999999993</v>
      </c>
      <c r="H53">
        <v>0.86956524999999996</v>
      </c>
      <c r="I53">
        <v>0.13043477000000001</v>
      </c>
      <c r="J53">
        <v>0.53488369999999996</v>
      </c>
    </row>
    <row r="54" spans="1:10" x14ac:dyDescent="0.3">
      <c r="A54">
        <v>52</v>
      </c>
      <c r="B54">
        <v>830</v>
      </c>
      <c r="C54" t="b">
        <v>1</v>
      </c>
      <c r="D54">
        <v>8042</v>
      </c>
      <c r="E54">
        <v>8123</v>
      </c>
      <c r="F54">
        <v>8</v>
      </c>
      <c r="G54">
        <v>9.1999999999999993</v>
      </c>
      <c r="H54">
        <v>0.86956524999999996</v>
      </c>
      <c r="I54">
        <v>0.13043477000000001</v>
      </c>
      <c r="J54">
        <v>0.53488369999999996</v>
      </c>
    </row>
    <row r="55" spans="1:10" x14ac:dyDescent="0.3">
      <c r="A55">
        <v>53</v>
      </c>
      <c r="B55">
        <v>846</v>
      </c>
      <c r="C55" t="b">
        <v>1</v>
      </c>
      <c r="D55">
        <v>8054</v>
      </c>
      <c r="E55">
        <v>8123</v>
      </c>
      <c r="F55">
        <v>8</v>
      </c>
      <c r="G55">
        <v>9.1999999999999993</v>
      </c>
      <c r="H55">
        <v>0.86956524999999996</v>
      </c>
      <c r="I55">
        <v>0.13043477000000001</v>
      </c>
      <c r="J55">
        <v>0.53488369999999996</v>
      </c>
    </row>
    <row r="56" spans="1:10" x14ac:dyDescent="0.3">
      <c r="A56">
        <v>54</v>
      </c>
      <c r="B56">
        <v>862</v>
      </c>
      <c r="C56" t="b">
        <v>1</v>
      </c>
      <c r="D56">
        <v>8048</v>
      </c>
      <c r="E56">
        <v>8123</v>
      </c>
      <c r="F56">
        <v>8</v>
      </c>
      <c r="G56">
        <v>9.1999999999999993</v>
      </c>
      <c r="H56">
        <v>0.86956524999999996</v>
      </c>
      <c r="I56">
        <v>0.13043477000000001</v>
      </c>
      <c r="J56">
        <v>0.53488369999999996</v>
      </c>
    </row>
    <row r="57" spans="1:10" x14ac:dyDescent="0.3">
      <c r="A57">
        <v>55</v>
      </c>
      <c r="B57">
        <v>878</v>
      </c>
      <c r="C57" t="b">
        <v>1</v>
      </c>
      <c r="D57">
        <v>8042</v>
      </c>
      <c r="E57">
        <v>8123</v>
      </c>
      <c r="F57">
        <v>8</v>
      </c>
      <c r="G57">
        <v>8.8000000000000007</v>
      </c>
      <c r="H57">
        <v>0.90909090000000004</v>
      </c>
      <c r="I57">
        <v>9.0909110000000001E-2</v>
      </c>
      <c r="J57">
        <v>0.52380954999999996</v>
      </c>
    </row>
    <row r="58" spans="1:10" x14ac:dyDescent="0.3">
      <c r="A58">
        <v>56</v>
      </c>
      <c r="B58">
        <v>894</v>
      </c>
      <c r="C58" t="b">
        <v>1</v>
      </c>
      <c r="D58">
        <v>8048</v>
      </c>
      <c r="E58">
        <v>8117</v>
      </c>
      <c r="F58">
        <v>8</v>
      </c>
      <c r="G58">
        <v>8.4</v>
      </c>
      <c r="H58">
        <v>0.95238100000000003</v>
      </c>
      <c r="I58">
        <v>4.7619003999999999E-2</v>
      </c>
      <c r="J58">
        <v>0.51219510000000001</v>
      </c>
    </row>
    <row r="59" spans="1:10" x14ac:dyDescent="0.3">
      <c r="A59">
        <v>57</v>
      </c>
      <c r="B59">
        <v>910</v>
      </c>
      <c r="C59" t="b">
        <v>1</v>
      </c>
      <c r="D59">
        <v>8048</v>
      </c>
      <c r="E59">
        <v>8123</v>
      </c>
      <c r="F59">
        <v>8</v>
      </c>
      <c r="G59">
        <v>8</v>
      </c>
      <c r="H59">
        <v>1</v>
      </c>
      <c r="I59">
        <v>0</v>
      </c>
      <c r="J59">
        <v>0.5</v>
      </c>
    </row>
    <row r="60" spans="1:10" x14ac:dyDescent="0.3">
      <c r="A60">
        <v>58</v>
      </c>
      <c r="B60">
        <v>925</v>
      </c>
      <c r="C60" t="b">
        <v>1</v>
      </c>
      <c r="D60">
        <v>8048</v>
      </c>
      <c r="E60">
        <v>8123</v>
      </c>
      <c r="F60">
        <v>8</v>
      </c>
      <c r="G60">
        <v>8</v>
      </c>
      <c r="H60">
        <v>1</v>
      </c>
      <c r="I60">
        <v>0</v>
      </c>
      <c r="J60">
        <v>0.5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8117</v>
      </c>
      <c r="F61">
        <v>8</v>
      </c>
      <c r="G61">
        <v>8</v>
      </c>
      <c r="H61">
        <v>1</v>
      </c>
      <c r="I61">
        <v>0</v>
      </c>
      <c r="J61">
        <v>0.5</v>
      </c>
    </row>
    <row r="62" spans="1:10" x14ac:dyDescent="0.3">
      <c r="A62">
        <v>60</v>
      </c>
      <c r="B62">
        <v>957</v>
      </c>
      <c r="C62" t="b">
        <v>1</v>
      </c>
      <c r="D62">
        <v>8048</v>
      </c>
      <c r="E62">
        <v>8117</v>
      </c>
      <c r="F62">
        <v>8</v>
      </c>
      <c r="G62">
        <v>7.6</v>
      </c>
      <c r="H62">
        <v>1.0526316</v>
      </c>
      <c r="I62">
        <v>-5.2631589999999999E-2</v>
      </c>
      <c r="J62">
        <v>0.48717946000000001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7.6</v>
      </c>
      <c r="H63">
        <v>1.0526316</v>
      </c>
      <c r="I63">
        <v>-5.2631589999999999E-2</v>
      </c>
      <c r="J63">
        <v>0.48717946000000001</v>
      </c>
    </row>
    <row r="64" spans="1:10" x14ac:dyDescent="0.3">
      <c r="A64">
        <v>62</v>
      </c>
      <c r="B64">
        <v>989</v>
      </c>
      <c r="C64" t="b">
        <v>1</v>
      </c>
      <c r="D64">
        <v>8048</v>
      </c>
      <c r="E64">
        <v>8123</v>
      </c>
      <c r="F64">
        <v>8</v>
      </c>
      <c r="G64">
        <v>7.6</v>
      </c>
      <c r="H64">
        <v>1.0526316</v>
      </c>
      <c r="I64">
        <v>-5.2631589999999999E-2</v>
      </c>
      <c r="J64">
        <v>0.48717946000000001</v>
      </c>
    </row>
    <row r="65" spans="1:10" x14ac:dyDescent="0.3">
      <c r="A65">
        <v>63</v>
      </c>
      <c r="B65">
        <v>1006</v>
      </c>
      <c r="C65" t="b">
        <v>1</v>
      </c>
      <c r="D65">
        <v>8048</v>
      </c>
      <c r="E65">
        <v>8117</v>
      </c>
      <c r="F65">
        <v>8</v>
      </c>
      <c r="G65">
        <v>7.2</v>
      </c>
      <c r="H65">
        <v>1.1111112000000001</v>
      </c>
      <c r="I65">
        <v>-0.11111114</v>
      </c>
      <c r="J65">
        <v>0.4736842</v>
      </c>
    </row>
    <row r="66" spans="1:10" x14ac:dyDescent="0.3">
      <c r="A66">
        <v>64</v>
      </c>
      <c r="B66">
        <v>1021</v>
      </c>
      <c r="C66" t="b">
        <v>1</v>
      </c>
      <c r="D66">
        <v>8048</v>
      </c>
      <c r="E66">
        <v>8123</v>
      </c>
      <c r="F66">
        <v>8</v>
      </c>
      <c r="G66">
        <v>7.2</v>
      </c>
      <c r="H66">
        <v>1.1111112000000001</v>
      </c>
      <c r="I66">
        <v>-0.11111114</v>
      </c>
      <c r="J66">
        <v>0.4736842</v>
      </c>
    </row>
    <row r="67" spans="1:10" x14ac:dyDescent="0.3">
      <c r="A67">
        <v>65</v>
      </c>
      <c r="B67">
        <v>1037</v>
      </c>
      <c r="C67" t="b">
        <v>1</v>
      </c>
      <c r="D67">
        <v>8048</v>
      </c>
      <c r="E67">
        <v>8123</v>
      </c>
      <c r="F67">
        <v>8</v>
      </c>
      <c r="G67">
        <v>7.2</v>
      </c>
      <c r="H67">
        <v>1.1111112000000001</v>
      </c>
      <c r="I67">
        <v>-0.11111114</v>
      </c>
      <c r="J67">
        <v>0.4736842</v>
      </c>
    </row>
    <row r="68" spans="1:10" x14ac:dyDescent="0.3">
      <c r="A68">
        <v>66</v>
      </c>
      <c r="B68">
        <v>1053</v>
      </c>
      <c r="C68" t="b">
        <v>1</v>
      </c>
      <c r="D68">
        <v>8048</v>
      </c>
      <c r="E68">
        <v>8117</v>
      </c>
      <c r="F68">
        <v>8</v>
      </c>
      <c r="G68">
        <v>7.2</v>
      </c>
      <c r="H68">
        <v>1.1111112000000001</v>
      </c>
      <c r="I68">
        <v>-0.11111114</v>
      </c>
      <c r="J68">
        <v>0.4736842</v>
      </c>
    </row>
    <row r="69" spans="1:10" x14ac:dyDescent="0.3">
      <c r="A69">
        <v>67</v>
      </c>
      <c r="B69">
        <v>1069</v>
      </c>
      <c r="C69" t="b">
        <v>1</v>
      </c>
      <c r="D69">
        <v>8048</v>
      </c>
      <c r="E69">
        <v>8123</v>
      </c>
      <c r="F69">
        <v>8</v>
      </c>
      <c r="G69">
        <v>7.2</v>
      </c>
      <c r="H69">
        <v>1.1111112000000001</v>
      </c>
      <c r="I69">
        <v>-0.11111114</v>
      </c>
      <c r="J69">
        <v>0.4736842</v>
      </c>
    </row>
    <row r="70" spans="1:10" x14ac:dyDescent="0.3">
      <c r="A70">
        <v>68</v>
      </c>
      <c r="B70">
        <v>1085</v>
      </c>
      <c r="C70" t="b">
        <v>1</v>
      </c>
      <c r="D70">
        <v>8048</v>
      </c>
      <c r="E70">
        <v>8123</v>
      </c>
      <c r="F70">
        <v>8</v>
      </c>
      <c r="G70">
        <v>7.2</v>
      </c>
      <c r="H70">
        <v>1.1111112000000001</v>
      </c>
      <c r="I70">
        <v>-0.11111114</v>
      </c>
      <c r="J70">
        <v>0.4736842</v>
      </c>
    </row>
    <row r="71" spans="1:10" x14ac:dyDescent="0.3">
      <c r="A71">
        <v>69</v>
      </c>
      <c r="B71">
        <v>1100</v>
      </c>
      <c r="C71" t="b">
        <v>1</v>
      </c>
      <c r="D71">
        <v>8048</v>
      </c>
      <c r="E71">
        <v>8129</v>
      </c>
      <c r="F71">
        <v>8</v>
      </c>
      <c r="G71">
        <v>7.2</v>
      </c>
      <c r="H71">
        <v>1.1111112000000001</v>
      </c>
      <c r="I71">
        <v>-0.11111114</v>
      </c>
      <c r="J71">
        <v>0.4736842</v>
      </c>
    </row>
    <row r="72" spans="1:10" x14ac:dyDescent="0.3">
      <c r="A72">
        <v>70</v>
      </c>
      <c r="B72">
        <v>1116</v>
      </c>
      <c r="C72" t="b">
        <v>1</v>
      </c>
      <c r="D72">
        <v>8048</v>
      </c>
      <c r="E72">
        <v>8129</v>
      </c>
      <c r="F72">
        <v>8</v>
      </c>
      <c r="G72">
        <v>7.2</v>
      </c>
      <c r="H72">
        <v>1.1111112000000001</v>
      </c>
      <c r="I72">
        <v>-0.11111114</v>
      </c>
      <c r="J72">
        <v>0.4736842</v>
      </c>
    </row>
    <row r="73" spans="1:10" x14ac:dyDescent="0.3">
      <c r="A73">
        <v>71</v>
      </c>
      <c r="B73">
        <v>1132</v>
      </c>
      <c r="C73" t="b">
        <v>1</v>
      </c>
      <c r="D73">
        <v>8048</v>
      </c>
      <c r="E73">
        <v>8129</v>
      </c>
      <c r="F73">
        <v>8</v>
      </c>
      <c r="G73">
        <v>7.6</v>
      </c>
      <c r="H73">
        <v>1.0526316</v>
      </c>
      <c r="I73">
        <v>-5.2631589999999999E-2</v>
      </c>
      <c r="J73">
        <v>0.48717946000000001</v>
      </c>
    </row>
    <row r="74" spans="1:10" x14ac:dyDescent="0.3">
      <c r="A74">
        <v>72</v>
      </c>
      <c r="B74">
        <v>1148</v>
      </c>
      <c r="C74" t="b">
        <v>1</v>
      </c>
      <c r="D74">
        <v>8048</v>
      </c>
      <c r="E74">
        <v>8129</v>
      </c>
      <c r="F74">
        <v>8</v>
      </c>
      <c r="G74">
        <v>8</v>
      </c>
      <c r="H74">
        <v>1</v>
      </c>
      <c r="I74">
        <v>0</v>
      </c>
      <c r="J74">
        <v>0.5</v>
      </c>
    </row>
    <row r="75" spans="1:10" x14ac:dyDescent="0.3">
      <c r="A75">
        <v>73</v>
      </c>
      <c r="B75">
        <v>1164</v>
      </c>
      <c r="C75" t="b">
        <v>1</v>
      </c>
      <c r="D75">
        <v>8048</v>
      </c>
      <c r="E75">
        <v>8129</v>
      </c>
      <c r="F75">
        <v>8</v>
      </c>
      <c r="G75">
        <v>8.4</v>
      </c>
      <c r="H75">
        <v>0.95238100000000003</v>
      </c>
      <c r="I75">
        <v>4.7619003999999999E-2</v>
      </c>
      <c r="J75">
        <v>0.51219510000000001</v>
      </c>
    </row>
    <row r="76" spans="1:10" x14ac:dyDescent="0.3">
      <c r="A76">
        <v>74</v>
      </c>
      <c r="B76">
        <v>1180</v>
      </c>
      <c r="C76" t="b">
        <v>1</v>
      </c>
      <c r="D76">
        <v>8048</v>
      </c>
      <c r="E76">
        <v>8129</v>
      </c>
      <c r="F76">
        <v>8</v>
      </c>
      <c r="G76">
        <v>8.8000000000000007</v>
      </c>
      <c r="H76">
        <v>0.90909090000000004</v>
      </c>
      <c r="I76">
        <v>9.0909110000000001E-2</v>
      </c>
      <c r="J76">
        <v>0.52380954999999996</v>
      </c>
    </row>
    <row r="77" spans="1:10" x14ac:dyDescent="0.3">
      <c r="A77">
        <v>75</v>
      </c>
      <c r="B77">
        <v>1196</v>
      </c>
      <c r="C77" t="b">
        <v>1</v>
      </c>
      <c r="D77">
        <v>8048</v>
      </c>
      <c r="E77">
        <v>8123</v>
      </c>
      <c r="F77">
        <v>8</v>
      </c>
      <c r="G77">
        <v>9.6</v>
      </c>
      <c r="H77">
        <v>0.83333330000000005</v>
      </c>
      <c r="I77">
        <v>0.1666667</v>
      </c>
      <c r="J77">
        <v>0.54545456000000003</v>
      </c>
    </row>
    <row r="78" spans="1:10" x14ac:dyDescent="0.3">
      <c r="A78">
        <v>76</v>
      </c>
      <c r="B78">
        <v>1211</v>
      </c>
      <c r="C78" t="b">
        <v>1</v>
      </c>
      <c r="D78">
        <v>8048</v>
      </c>
      <c r="E78">
        <v>8123</v>
      </c>
      <c r="F78">
        <v>8</v>
      </c>
      <c r="G78">
        <v>10</v>
      </c>
      <c r="H78">
        <v>0.8</v>
      </c>
      <c r="I78">
        <v>0.2</v>
      </c>
      <c r="J78">
        <v>0.55555560000000004</v>
      </c>
    </row>
    <row r="79" spans="1:10" x14ac:dyDescent="0.3">
      <c r="A79">
        <v>77</v>
      </c>
      <c r="B79">
        <v>1227</v>
      </c>
      <c r="C79" t="b">
        <v>1</v>
      </c>
      <c r="D79">
        <v>8048</v>
      </c>
      <c r="E79">
        <v>8123</v>
      </c>
      <c r="F79">
        <v>8</v>
      </c>
      <c r="G79">
        <v>10</v>
      </c>
      <c r="H79">
        <v>0.8</v>
      </c>
      <c r="I79">
        <v>0.2</v>
      </c>
      <c r="J79">
        <v>0.55555560000000004</v>
      </c>
    </row>
    <row r="80" spans="1:10" x14ac:dyDescent="0.3">
      <c r="A80">
        <v>78</v>
      </c>
      <c r="B80">
        <v>1243</v>
      </c>
      <c r="C80" t="b">
        <v>1</v>
      </c>
      <c r="D80">
        <v>8054</v>
      </c>
      <c r="E80">
        <v>8123</v>
      </c>
      <c r="F80">
        <v>8</v>
      </c>
      <c r="G80">
        <v>10.4</v>
      </c>
      <c r="H80">
        <v>0.76923079999999999</v>
      </c>
      <c r="I80">
        <v>0.23076920000000001</v>
      </c>
      <c r="J80">
        <v>0.56521739999999998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10.4</v>
      </c>
      <c r="H81">
        <v>0.76923079999999999</v>
      </c>
      <c r="I81">
        <v>0.23076920000000001</v>
      </c>
      <c r="J81">
        <v>0.56521739999999998</v>
      </c>
    </row>
    <row r="82" spans="1:10" x14ac:dyDescent="0.3">
      <c r="A82">
        <v>80</v>
      </c>
      <c r="B82">
        <v>1277</v>
      </c>
      <c r="C82" t="b">
        <v>1</v>
      </c>
      <c r="D82">
        <v>8048</v>
      </c>
      <c r="E82">
        <v>8117</v>
      </c>
      <c r="F82">
        <v>8</v>
      </c>
      <c r="G82">
        <v>10.4</v>
      </c>
      <c r="H82">
        <v>0.76923079999999999</v>
      </c>
      <c r="I82">
        <v>0.23076920000000001</v>
      </c>
      <c r="J82">
        <v>0.56521739999999998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8123</v>
      </c>
      <c r="F83">
        <v>8</v>
      </c>
      <c r="G83">
        <v>10.4</v>
      </c>
      <c r="H83">
        <v>0.76923079999999999</v>
      </c>
      <c r="I83">
        <v>0.23076920000000001</v>
      </c>
      <c r="J83">
        <v>0.56521739999999998</v>
      </c>
    </row>
    <row r="84" spans="1:10" x14ac:dyDescent="0.3">
      <c r="A84">
        <v>82</v>
      </c>
      <c r="B84">
        <v>1308</v>
      </c>
      <c r="C84" t="b">
        <v>1</v>
      </c>
      <c r="D84">
        <v>8048</v>
      </c>
      <c r="E84">
        <v>8123</v>
      </c>
      <c r="F84">
        <v>8</v>
      </c>
      <c r="G84">
        <v>10.4</v>
      </c>
      <c r="H84">
        <v>0.76923079999999999</v>
      </c>
      <c r="I84">
        <v>0.23076920000000001</v>
      </c>
      <c r="J84">
        <v>0.56521739999999998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8</v>
      </c>
      <c r="G85">
        <v>10.4</v>
      </c>
      <c r="H85">
        <v>0.76923079999999999</v>
      </c>
      <c r="I85">
        <v>0.23076920000000001</v>
      </c>
      <c r="J85">
        <v>0.56521739999999998</v>
      </c>
    </row>
    <row r="86" spans="1:10" x14ac:dyDescent="0.3">
      <c r="A86">
        <v>84</v>
      </c>
      <c r="B86">
        <v>1340</v>
      </c>
      <c r="C86" t="b">
        <v>1</v>
      </c>
      <c r="D86">
        <v>8048</v>
      </c>
      <c r="E86">
        <v>8123</v>
      </c>
      <c r="F86">
        <v>8</v>
      </c>
      <c r="G86">
        <v>10.4</v>
      </c>
      <c r="H86">
        <v>0.76923079999999999</v>
      </c>
      <c r="I86">
        <v>0.23076920000000001</v>
      </c>
      <c r="J86">
        <v>0.56521739999999998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8123</v>
      </c>
      <c r="F87">
        <v>8</v>
      </c>
      <c r="G87">
        <v>10.4</v>
      </c>
      <c r="H87">
        <v>0.76923079999999999</v>
      </c>
      <c r="I87">
        <v>0.23076920000000001</v>
      </c>
      <c r="J87">
        <v>0.56521739999999998</v>
      </c>
    </row>
    <row r="88" spans="1:10" x14ac:dyDescent="0.3">
      <c r="A88">
        <v>86</v>
      </c>
      <c r="B88">
        <v>1371</v>
      </c>
      <c r="C88" t="b">
        <v>1</v>
      </c>
      <c r="D88">
        <v>8048</v>
      </c>
      <c r="E88">
        <v>8123</v>
      </c>
      <c r="F88">
        <v>8</v>
      </c>
      <c r="G88">
        <v>10</v>
      </c>
      <c r="H88">
        <v>0.8</v>
      </c>
      <c r="I88">
        <v>0.2</v>
      </c>
      <c r="J88">
        <v>0.55555560000000004</v>
      </c>
    </row>
    <row r="89" spans="1:10" x14ac:dyDescent="0.3">
      <c r="A89">
        <v>87</v>
      </c>
      <c r="B89">
        <v>1387</v>
      </c>
      <c r="C89" t="b">
        <v>1</v>
      </c>
      <c r="D89">
        <v>8048</v>
      </c>
      <c r="E89">
        <v>8123</v>
      </c>
      <c r="F89">
        <v>8</v>
      </c>
      <c r="G89">
        <v>9.6</v>
      </c>
      <c r="H89">
        <v>0.83333330000000005</v>
      </c>
      <c r="I89">
        <v>0.1666667</v>
      </c>
      <c r="J89">
        <v>0.54545456000000003</v>
      </c>
    </row>
    <row r="90" spans="1:10" x14ac:dyDescent="0.3">
      <c r="A90">
        <v>88</v>
      </c>
      <c r="B90">
        <v>1403</v>
      </c>
      <c r="C90" t="b">
        <v>1</v>
      </c>
      <c r="D90">
        <v>8048</v>
      </c>
      <c r="E90">
        <v>8111</v>
      </c>
      <c r="F90">
        <v>8</v>
      </c>
      <c r="G90">
        <v>9.1999999999999993</v>
      </c>
      <c r="H90">
        <v>0.86956524999999996</v>
      </c>
      <c r="I90">
        <v>0.13043477000000001</v>
      </c>
      <c r="J90">
        <v>0.53488369999999996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8117</v>
      </c>
      <c r="F91">
        <v>8</v>
      </c>
      <c r="G91">
        <v>8.8000000000000007</v>
      </c>
      <c r="H91">
        <v>0.90909090000000004</v>
      </c>
      <c r="I91">
        <v>9.0909110000000001E-2</v>
      </c>
      <c r="J91">
        <v>0.52380954999999996</v>
      </c>
    </row>
    <row r="92" spans="1:10" x14ac:dyDescent="0.3">
      <c r="A92">
        <v>90</v>
      </c>
      <c r="B92">
        <v>1435</v>
      </c>
      <c r="C92" t="b">
        <v>1</v>
      </c>
      <c r="D92">
        <v>8048</v>
      </c>
      <c r="E92">
        <v>8117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1451</v>
      </c>
      <c r="C93" t="b">
        <v>1</v>
      </c>
      <c r="D93">
        <v>8048</v>
      </c>
      <c r="E93">
        <v>8117</v>
      </c>
      <c r="F93">
        <v>8</v>
      </c>
      <c r="G93">
        <v>7.2</v>
      </c>
      <c r="H93">
        <v>1.1111112000000001</v>
      </c>
      <c r="I93">
        <v>-0.11111114</v>
      </c>
      <c r="J93">
        <v>0.4736842</v>
      </c>
    </row>
    <row r="94" spans="1:10" x14ac:dyDescent="0.3">
      <c r="A94">
        <v>92</v>
      </c>
      <c r="B94">
        <v>1466</v>
      </c>
      <c r="C94" t="b">
        <v>1</v>
      </c>
      <c r="D94">
        <v>8048</v>
      </c>
      <c r="E94">
        <v>8117</v>
      </c>
      <c r="F94">
        <v>8</v>
      </c>
      <c r="G94">
        <v>6.8</v>
      </c>
      <c r="H94">
        <v>1.1764705</v>
      </c>
      <c r="I94">
        <v>-0.17647055</v>
      </c>
      <c r="J94">
        <v>0.45945944999999999</v>
      </c>
    </row>
    <row r="95" spans="1:10" x14ac:dyDescent="0.3">
      <c r="A95">
        <v>93</v>
      </c>
      <c r="B95">
        <v>1482</v>
      </c>
      <c r="C95" t="b">
        <v>1</v>
      </c>
      <c r="D95">
        <v>8042</v>
      </c>
      <c r="E95">
        <v>8117</v>
      </c>
      <c r="F95">
        <v>8</v>
      </c>
      <c r="G95">
        <v>6.4</v>
      </c>
      <c r="H95">
        <v>1.25</v>
      </c>
      <c r="I95">
        <v>-0.24999999000000001</v>
      </c>
      <c r="J95">
        <v>0.44444447999999998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1514</v>
      </c>
      <c r="C97" t="b">
        <v>1</v>
      </c>
      <c r="D97">
        <v>8042</v>
      </c>
      <c r="E97">
        <v>8123</v>
      </c>
      <c r="F97">
        <v>8</v>
      </c>
      <c r="G97">
        <v>5.6</v>
      </c>
      <c r="H97">
        <v>1.4285715000000001</v>
      </c>
      <c r="I97">
        <v>-0.42857146000000002</v>
      </c>
      <c r="J97">
        <v>0.41176467999999999</v>
      </c>
    </row>
    <row r="98" spans="1:10" x14ac:dyDescent="0.3">
      <c r="A98">
        <v>96</v>
      </c>
      <c r="B98">
        <v>1530</v>
      </c>
      <c r="C98" t="b">
        <v>1</v>
      </c>
      <c r="D98">
        <v>8054</v>
      </c>
      <c r="E98">
        <v>8123</v>
      </c>
      <c r="F98">
        <v>8</v>
      </c>
      <c r="G98">
        <v>5.6</v>
      </c>
      <c r="H98">
        <v>1.4285715000000001</v>
      </c>
      <c r="I98">
        <v>-0.42857146000000002</v>
      </c>
      <c r="J98">
        <v>0.41176467999999999</v>
      </c>
    </row>
    <row r="99" spans="1:10" x14ac:dyDescent="0.3">
      <c r="A99">
        <v>97</v>
      </c>
      <c r="B99">
        <v>1546</v>
      </c>
      <c r="C99" t="b">
        <v>1</v>
      </c>
      <c r="D99">
        <v>8054</v>
      </c>
      <c r="E99">
        <v>8123</v>
      </c>
      <c r="F99">
        <v>8</v>
      </c>
      <c r="G99">
        <v>5.6</v>
      </c>
      <c r="H99">
        <v>1.4285715000000001</v>
      </c>
      <c r="I99">
        <v>-0.42857146000000002</v>
      </c>
      <c r="J99">
        <v>0.41176467999999999</v>
      </c>
    </row>
    <row r="100" spans="1:10" x14ac:dyDescent="0.3">
      <c r="A100">
        <v>98</v>
      </c>
      <c r="B100">
        <v>1562</v>
      </c>
      <c r="C100" t="b">
        <v>1</v>
      </c>
      <c r="D100">
        <v>8048</v>
      </c>
      <c r="E100">
        <v>8117</v>
      </c>
      <c r="F100">
        <v>8</v>
      </c>
      <c r="G100">
        <v>5.6</v>
      </c>
      <c r="H100">
        <v>1.4285715000000001</v>
      </c>
      <c r="I100">
        <v>-0.42857146000000002</v>
      </c>
      <c r="J100">
        <v>0.41176467999999999</v>
      </c>
    </row>
    <row r="101" spans="1:10" x14ac:dyDescent="0.3">
      <c r="A101">
        <v>99</v>
      </c>
      <c r="B101">
        <v>1577</v>
      </c>
      <c r="C101" t="b">
        <v>1</v>
      </c>
      <c r="D101">
        <v>8048</v>
      </c>
      <c r="E101">
        <v>8123</v>
      </c>
      <c r="F101">
        <v>8</v>
      </c>
      <c r="G101">
        <v>5.6</v>
      </c>
      <c r="H101">
        <v>1.4285715000000001</v>
      </c>
      <c r="I101">
        <v>-0.42857146000000002</v>
      </c>
      <c r="J101">
        <v>0.41176467999999999</v>
      </c>
    </row>
    <row r="102" spans="1:10" x14ac:dyDescent="0.3">
      <c r="A102">
        <v>100</v>
      </c>
      <c r="B102">
        <v>1593</v>
      </c>
      <c r="C102" t="b">
        <v>1</v>
      </c>
      <c r="D102">
        <v>8048</v>
      </c>
      <c r="E102">
        <v>8123</v>
      </c>
      <c r="F102">
        <v>8</v>
      </c>
      <c r="G102">
        <v>5.6</v>
      </c>
      <c r="H102">
        <v>1.4285715000000001</v>
      </c>
      <c r="I102">
        <v>-0.42857146000000002</v>
      </c>
      <c r="J102">
        <v>0.41176467999999999</v>
      </c>
    </row>
    <row r="103" spans="1:10" x14ac:dyDescent="0.3">
      <c r="A103">
        <v>101</v>
      </c>
      <c r="B103">
        <v>1609</v>
      </c>
      <c r="C103" t="b">
        <v>1</v>
      </c>
      <c r="D103">
        <v>8048</v>
      </c>
      <c r="E103">
        <v>8123</v>
      </c>
      <c r="F103">
        <v>8</v>
      </c>
      <c r="G103">
        <v>5.6</v>
      </c>
      <c r="H103">
        <v>1.4285715000000001</v>
      </c>
      <c r="I103">
        <v>-0.42857146000000002</v>
      </c>
      <c r="J103">
        <v>0.41176467999999999</v>
      </c>
    </row>
    <row r="104" spans="1:10" x14ac:dyDescent="0.3">
      <c r="A104">
        <v>102</v>
      </c>
      <c r="B104">
        <v>1625</v>
      </c>
      <c r="C104" t="b">
        <v>1</v>
      </c>
      <c r="D104">
        <v>8048</v>
      </c>
      <c r="E104">
        <v>8123</v>
      </c>
      <c r="F104">
        <v>8</v>
      </c>
      <c r="G104">
        <v>5.6</v>
      </c>
      <c r="H104">
        <v>1.4285715000000001</v>
      </c>
      <c r="I104">
        <v>-0.42857146000000002</v>
      </c>
      <c r="J104">
        <v>0.41176467999999999</v>
      </c>
    </row>
    <row r="105" spans="1:10" x14ac:dyDescent="0.3">
      <c r="A105">
        <v>103</v>
      </c>
      <c r="B105">
        <v>1640</v>
      </c>
      <c r="C105" t="b">
        <v>1</v>
      </c>
      <c r="D105">
        <v>8042</v>
      </c>
      <c r="E105">
        <v>8123</v>
      </c>
      <c r="F105">
        <v>8</v>
      </c>
      <c r="G105">
        <v>5.6</v>
      </c>
      <c r="H105">
        <v>1.4285715000000001</v>
      </c>
      <c r="I105">
        <v>-0.42857146000000002</v>
      </c>
      <c r="J105">
        <v>0.41176467999999999</v>
      </c>
    </row>
    <row r="106" spans="1:10" x14ac:dyDescent="0.3">
      <c r="A106">
        <v>104</v>
      </c>
      <c r="B106">
        <v>1656</v>
      </c>
      <c r="C106" t="b">
        <v>1</v>
      </c>
      <c r="D106">
        <v>8048</v>
      </c>
      <c r="E106">
        <v>8123</v>
      </c>
      <c r="F106">
        <v>8</v>
      </c>
      <c r="G106">
        <v>5.6</v>
      </c>
      <c r="H106">
        <v>1.4285715000000001</v>
      </c>
      <c r="I106">
        <v>-0.42857146000000002</v>
      </c>
      <c r="J106">
        <v>0.41176467999999999</v>
      </c>
    </row>
    <row r="107" spans="1:10" x14ac:dyDescent="0.3">
      <c r="A107">
        <v>105</v>
      </c>
      <c r="B107">
        <v>1672</v>
      </c>
      <c r="C107" t="b">
        <v>1</v>
      </c>
      <c r="D107">
        <v>8048</v>
      </c>
      <c r="E107">
        <v>8123</v>
      </c>
      <c r="F107">
        <v>8</v>
      </c>
      <c r="G107">
        <v>6</v>
      </c>
      <c r="H107">
        <v>1.3333333999999999</v>
      </c>
      <c r="I107">
        <v>-0.33333333999999998</v>
      </c>
      <c r="J107">
        <v>0.42857142999999998</v>
      </c>
    </row>
    <row r="108" spans="1:10" x14ac:dyDescent="0.3">
      <c r="A108">
        <v>106</v>
      </c>
      <c r="B108">
        <v>1688</v>
      </c>
      <c r="C108" t="b">
        <v>1</v>
      </c>
      <c r="D108">
        <v>8054</v>
      </c>
      <c r="E108">
        <v>8117</v>
      </c>
      <c r="F108">
        <v>8</v>
      </c>
      <c r="G108">
        <v>6.4</v>
      </c>
      <c r="H108">
        <v>1.25</v>
      </c>
      <c r="I108">
        <v>-0.24999999000000001</v>
      </c>
      <c r="J108">
        <v>0.44444447999999998</v>
      </c>
    </row>
    <row r="109" spans="1:10" x14ac:dyDescent="0.3">
      <c r="A109">
        <v>107</v>
      </c>
      <c r="B109">
        <v>1704</v>
      </c>
      <c r="C109" t="b">
        <v>1</v>
      </c>
      <c r="D109">
        <v>8054</v>
      </c>
      <c r="E109">
        <v>8123</v>
      </c>
      <c r="F109">
        <v>8</v>
      </c>
      <c r="G109">
        <v>6.8</v>
      </c>
      <c r="H109">
        <v>1.1764705</v>
      </c>
      <c r="I109">
        <v>-0.17647055</v>
      </c>
      <c r="J109">
        <v>0.45945944999999999</v>
      </c>
    </row>
    <row r="110" spans="1:10" x14ac:dyDescent="0.3">
      <c r="A110">
        <v>108</v>
      </c>
      <c r="B110">
        <v>1719</v>
      </c>
      <c r="C110" t="b">
        <v>1</v>
      </c>
      <c r="D110">
        <v>8054</v>
      </c>
      <c r="E110">
        <v>8123</v>
      </c>
      <c r="F110">
        <v>8.4</v>
      </c>
      <c r="G110">
        <v>7.2</v>
      </c>
      <c r="H110">
        <v>1.1666666000000001</v>
      </c>
      <c r="I110">
        <v>-0.16666664</v>
      </c>
      <c r="J110">
        <v>0.46153845999999998</v>
      </c>
    </row>
    <row r="111" spans="1:10" x14ac:dyDescent="0.3">
      <c r="A111">
        <v>109</v>
      </c>
      <c r="B111">
        <v>1735</v>
      </c>
      <c r="C111" t="b">
        <v>1</v>
      </c>
      <c r="D111">
        <v>8054</v>
      </c>
      <c r="E111">
        <v>8123</v>
      </c>
      <c r="F111">
        <v>8.8000000000000007</v>
      </c>
      <c r="G111">
        <v>7.6</v>
      </c>
      <c r="H111">
        <v>1.1578946999999999</v>
      </c>
      <c r="I111">
        <v>-0.15789478000000001</v>
      </c>
      <c r="J111">
        <v>0.46341463999999999</v>
      </c>
    </row>
    <row r="112" spans="1:10" x14ac:dyDescent="0.3">
      <c r="A112">
        <v>110</v>
      </c>
      <c r="B112">
        <v>1751</v>
      </c>
      <c r="C112" t="b">
        <v>1</v>
      </c>
      <c r="D112">
        <v>8054</v>
      </c>
      <c r="E112">
        <v>8123</v>
      </c>
      <c r="F112">
        <v>9.1999999999999993</v>
      </c>
      <c r="G112">
        <v>8</v>
      </c>
      <c r="H112">
        <v>1.1499999999999999</v>
      </c>
      <c r="I112">
        <v>-0.14999998</v>
      </c>
      <c r="J112">
        <v>0.46511626</v>
      </c>
    </row>
    <row r="113" spans="1:10" x14ac:dyDescent="0.3">
      <c r="A113">
        <v>111</v>
      </c>
      <c r="B113">
        <v>1767</v>
      </c>
      <c r="C113" t="b">
        <v>1</v>
      </c>
      <c r="D113">
        <v>8054</v>
      </c>
      <c r="E113">
        <v>8123</v>
      </c>
      <c r="F113">
        <v>9.6</v>
      </c>
      <c r="G113">
        <v>8</v>
      </c>
      <c r="H113">
        <v>1.2</v>
      </c>
      <c r="I113">
        <v>-0.20000005000000001</v>
      </c>
      <c r="J113">
        <v>0.45454544000000002</v>
      </c>
    </row>
    <row r="114" spans="1:10" x14ac:dyDescent="0.3">
      <c r="A114">
        <v>112</v>
      </c>
      <c r="B114">
        <v>1783</v>
      </c>
      <c r="C114" t="b">
        <v>1</v>
      </c>
      <c r="D114">
        <v>8048</v>
      </c>
      <c r="E114">
        <v>8123</v>
      </c>
      <c r="F114">
        <v>10</v>
      </c>
      <c r="G114">
        <v>8</v>
      </c>
      <c r="H114">
        <v>1.25</v>
      </c>
      <c r="I114">
        <v>-0.25</v>
      </c>
      <c r="J114">
        <v>0.44444444999999999</v>
      </c>
    </row>
    <row r="115" spans="1:10" x14ac:dyDescent="0.3">
      <c r="A115">
        <v>113</v>
      </c>
      <c r="B115">
        <v>1799</v>
      </c>
      <c r="C115" t="b">
        <v>1</v>
      </c>
      <c r="D115">
        <v>8048</v>
      </c>
      <c r="E115">
        <v>8123</v>
      </c>
      <c r="F115">
        <v>10.4</v>
      </c>
      <c r="G115">
        <v>8</v>
      </c>
      <c r="H115">
        <v>1.3</v>
      </c>
      <c r="I115">
        <v>-0.29999995000000002</v>
      </c>
      <c r="J115">
        <v>0.43478262000000001</v>
      </c>
    </row>
    <row r="116" spans="1:10" x14ac:dyDescent="0.3">
      <c r="A116">
        <v>114</v>
      </c>
      <c r="B116">
        <v>1815</v>
      </c>
      <c r="C116" t="b">
        <v>1</v>
      </c>
      <c r="D116">
        <v>8048</v>
      </c>
      <c r="E116">
        <v>8123</v>
      </c>
      <c r="F116">
        <v>10.4</v>
      </c>
      <c r="G116">
        <v>8</v>
      </c>
      <c r="H116">
        <v>1.3</v>
      </c>
      <c r="I116">
        <v>-0.29999995000000002</v>
      </c>
      <c r="J116">
        <v>0.43478262000000001</v>
      </c>
    </row>
    <row r="117" spans="1:10" x14ac:dyDescent="0.3">
      <c r="A117">
        <v>115</v>
      </c>
      <c r="B117">
        <v>1831</v>
      </c>
      <c r="C117" t="b">
        <v>1</v>
      </c>
      <c r="D117">
        <v>8048</v>
      </c>
      <c r="E117">
        <v>8123</v>
      </c>
      <c r="F117">
        <v>10.4</v>
      </c>
      <c r="G117">
        <v>8</v>
      </c>
      <c r="H117">
        <v>1.3</v>
      </c>
      <c r="I117">
        <v>-0.29999995000000002</v>
      </c>
      <c r="J117">
        <v>0.43478262000000001</v>
      </c>
    </row>
    <row r="118" spans="1:10" x14ac:dyDescent="0.3">
      <c r="A118">
        <v>116</v>
      </c>
      <c r="B118">
        <v>1846</v>
      </c>
      <c r="C118" t="b">
        <v>1</v>
      </c>
      <c r="D118">
        <v>8048</v>
      </c>
      <c r="E118">
        <v>8123</v>
      </c>
      <c r="F118">
        <v>10.4</v>
      </c>
      <c r="G118">
        <v>8</v>
      </c>
      <c r="H118">
        <v>1.3</v>
      </c>
      <c r="I118">
        <v>-0.29999995000000002</v>
      </c>
      <c r="J118">
        <v>0.43478262000000001</v>
      </c>
    </row>
    <row r="119" spans="1:10" x14ac:dyDescent="0.3">
      <c r="A119">
        <v>117</v>
      </c>
      <c r="B119">
        <v>1862</v>
      </c>
      <c r="C119" t="b">
        <v>1</v>
      </c>
      <c r="D119">
        <v>8048</v>
      </c>
      <c r="E119">
        <v>8123</v>
      </c>
      <c r="F119">
        <v>10.4</v>
      </c>
      <c r="G119">
        <v>8</v>
      </c>
      <c r="H119">
        <v>1.3</v>
      </c>
      <c r="I119">
        <v>-0.29999995000000002</v>
      </c>
      <c r="J119">
        <v>0.43478262000000001</v>
      </c>
    </row>
    <row r="120" spans="1:10" x14ac:dyDescent="0.3">
      <c r="A120">
        <v>118</v>
      </c>
      <c r="B120">
        <v>1878</v>
      </c>
      <c r="C120" t="b">
        <v>1</v>
      </c>
      <c r="D120">
        <v>8048</v>
      </c>
      <c r="E120">
        <v>8123</v>
      </c>
      <c r="F120">
        <v>10.4</v>
      </c>
      <c r="G120">
        <v>8</v>
      </c>
      <c r="H120">
        <v>1.3</v>
      </c>
      <c r="I120">
        <v>-0.29999995000000002</v>
      </c>
      <c r="J120">
        <v>0.43478262000000001</v>
      </c>
    </row>
    <row r="121" spans="1:10" x14ac:dyDescent="0.3">
      <c r="A121">
        <v>119</v>
      </c>
      <c r="B121">
        <v>1894</v>
      </c>
      <c r="C121" t="b">
        <v>1</v>
      </c>
      <c r="D121">
        <v>8048</v>
      </c>
      <c r="E121">
        <v>8123</v>
      </c>
      <c r="F121">
        <v>10.4</v>
      </c>
      <c r="G121">
        <v>8</v>
      </c>
      <c r="H121">
        <v>1.3</v>
      </c>
      <c r="I121">
        <v>-0.29999995000000002</v>
      </c>
      <c r="J121">
        <v>0.43478262000000001</v>
      </c>
    </row>
    <row r="122" spans="1:10" x14ac:dyDescent="0.3">
      <c r="A122">
        <v>120</v>
      </c>
      <c r="B122">
        <v>1910</v>
      </c>
      <c r="C122" t="b">
        <v>1</v>
      </c>
      <c r="D122">
        <v>8048</v>
      </c>
      <c r="E122">
        <v>8123</v>
      </c>
      <c r="F122">
        <v>10.4</v>
      </c>
      <c r="G122">
        <v>8</v>
      </c>
      <c r="H122">
        <v>1.3</v>
      </c>
      <c r="I122">
        <v>-0.29999995000000002</v>
      </c>
      <c r="J122">
        <v>0.43478262000000001</v>
      </c>
    </row>
    <row r="123" spans="1:10" x14ac:dyDescent="0.3">
      <c r="A123">
        <v>121</v>
      </c>
      <c r="B123">
        <v>1926</v>
      </c>
      <c r="C123" t="b">
        <v>1</v>
      </c>
      <c r="D123">
        <v>8048</v>
      </c>
      <c r="E123">
        <v>8123</v>
      </c>
      <c r="F123">
        <v>10.4</v>
      </c>
      <c r="G123">
        <v>8</v>
      </c>
      <c r="H123">
        <v>1.3</v>
      </c>
      <c r="I123">
        <v>-0.29999995000000002</v>
      </c>
      <c r="J123">
        <v>0.43478262000000001</v>
      </c>
    </row>
    <row r="124" spans="1:10" x14ac:dyDescent="0.3">
      <c r="A124">
        <v>122</v>
      </c>
      <c r="B124">
        <v>1942</v>
      </c>
      <c r="C124" t="b">
        <v>1</v>
      </c>
      <c r="D124">
        <v>8048</v>
      </c>
      <c r="E124">
        <v>8123</v>
      </c>
      <c r="F124">
        <v>10.4</v>
      </c>
      <c r="G124">
        <v>8</v>
      </c>
      <c r="H124">
        <v>1.3</v>
      </c>
      <c r="I124">
        <v>-0.29999995000000002</v>
      </c>
      <c r="J124">
        <v>0.43478262000000001</v>
      </c>
    </row>
    <row r="125" spans="1:10" x14ac:dyDescent="0.3">
      <c r="A125">
        <v>123</v>
      </c>
      <c r="B125">
        <v>1958</v>
      </c>
      <c r="C125" t="b">
        <v>1</v>
      </c>
      <c r="D125">
        <v>8042</v>
      </c>
      <c r="E125">
        <v>8123</v>
      </c>
      <c r="F125">
        <v>10</v>
      </c>
      <c r="G125">
        <v>8</v>
      </c>
      <c r="H125">
        <v>1.25</v>
      </c>
      <c r="I125">
        <v>-0.25</v>
      </c>
      <c r="J125">
        <v>0.44444444999999999</v>
      </c>
    </row>
    <row r="126" spans="1:10" x14ac:dyDescent="0.3">
      <c r="A126">
        <v>124</v>
      </c>
      <c r="B126">
        <v>1974</v>
      </c>
      <c r="C126" t="b">
        <v>1</v>
      </c>
      <c r="D126">
        <v>8048</v>
      </c>
      <c r="E126">
        <v>8123</v>
      </c>
      <c r="F126">
        <v>9.6</v>
      </c>
      <c r="G126">
        <v>8</v>
      </c>
      <c r="H126">
        <v>1.2</v>
      </c>
      <c r="I126">
        <v>-0.20000005000000001</v>
      </c>
      <c r="J126">
        <v>0.45454544000000002</v>
      </c>
    </row>
    <row r="127" spans="1:10" x14ac:dyDescent="0.3">
      <c r="A127">
        <v>125</v>
      </c>
      <c r="B127">
        <v>1990</v>
      </c>
      <c r="C127" t="b">
        <v>1</v>
      </c>
      <c r="D127">
        <v>8048</v>
      </c>
      <c r="E127">
        <v>8123</v>
      </c>
      <c r="F127">
        <v>9.1999999999999993</v>
      </c>
      <c r="G127">
        <v>8</v>
      </c>
      <c r="H127">
        <v>1.1499999999999999</v>
      </c>
      <c r="I127">
        <v>-0.14999998</v>
      </c>
      <c r="J127">
        <v>0.46511626</v>
      </c>
    </row>
    <row r="128" spans="1:10" x14ac:dyDescent="0.3">
      <c r="A128">
        <v>126</v>
      </c>
      <c r="B128">
        <v>2006</v>
      </c>
      <c r="C128" t="b">
        <v>1</v>
      </c>
      <c r="D128">
        <v>8048</v>
      </c>
      <c r="E128">
        <v>8123</v>
      </c>
      <c r="F128">
        <v>8.8000000000000007</v>
      </c>
      <c r="G128">
        <v>8</v>
      </c>
      <c r="H128">
        <v>1.1000000000000001</v>
      </c>
      <c r="I128">
        <v>-0.10000002400000001</v>
      </c>
      <c r="J128">
        <v>0.47619050000000002</v>
      </c>
    </row>
    <row r="129" spans="1:10" x14ac:dyDescent="0.3">
      <c r="A129">
        <v>127</v>
      </c>
      <c r="B129">
        <v>2022</v>
      </c>
      <c r="C129" t="b">
        <v>1</v>
      </c>
      <c r="D129">
        <v>8054</v>
      </c>
      <c r="E129">
        <v>8123</v>
      </c>
      <c r="F129">
        <v>8.4</v>
      </c>
      <c r="G129">
        <v>8</v>
      </c>
      <c r="H129">
        <v>1.05</v>
      </c>
      <c r="I129">
        <v>-4.9999952E-2</v>
      </c>
      <c r="J129">
        <v>0.48780489999999999</v>
      </c>
    </row>
    <row r="130" spans="1:10" x14ac:dyDescent="0.3">
      <c r="A130">
        <v>128</v>
      </c>
      <c r="B130">
        <v>2038</v>
      </c>
      <c r="C130" t="b">
        <v>1</v>
      </c>
      <c r="D130">
        <v>8054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2053</v>
      </c>
      <c r="C131" t="b">
        <v>1</v>
      </c>
      <c r="D131">
        <v>8048</v>
      </c>
      <c r="E131">
        <v>8117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2069</v>
      </c>
      <c r="C132" t="b">
        <v>1</v>
      </c>
      <c r="D132">
        <v>8054</v>
      </c>
      <c r="E132">
        <v>8123</v>
      </c>
      <c r="F132">
        <v>8.4</v>
      </c>
      <c r="G132">
        <v>8</v>
      </c>
      <c r="H132">
        <v>1.05</v>
      </c>
      <c r="I132">
        <v>-4.9999952E-2</v>
      </c>
      <c r="J132">
        <v>0.48780489999999999</v>
      </c>
    </row>
    <row r="133" spans="1:10" x14ac:dyDescent="0.3">
      <c r="A133">
        <v>131</v>
      </c>
      <c r="B133">
        <v>2085</v>
      </c>
      <c r="C133" t="b">
        <v>1</v>
      </c>
      <c r="D133">
        <v>8048</v>
      </c>
      <c r="E133">
        <v>8123</v>
      </c>
      <c r="F133">
        <v>8.8000000000000007</v>
      </c>
      <c r="G133">
        <v>8</v>
      </c>
      <c r="H133">
        <v>1.1000000000000001</v>
      </c>
      <c r="I133">
        <v>-0.10000002400000001</v>
      </c>
      <c r="J133">
        <v>0.47619050000000002</v>
      </c>
    </row>
    <row r="134" spans="1:10" x14ac:dyDescent="0.3">
      <c r="A134">
        <v>132</v>
      </c>
      <c r="B134">
        <v>2101</v>
      </c>
      <c r="C134" t="b">
        <v>1</v>
      </c>
      <c r="D134">
        <v>8042</v>
      </c>
      <c r="E134">
        <v>8123</v>
      </c>
      <c r="F134">
        <v>8.8000000000000007</v>
      </c>
      <c r="G134">
        <v>8</v>
      </c>
      <c r="H134">
        <v>1.1000000000000001</v>
      </c>
      <c r="I134">
        <v>-0.10000002400000001</v>
      </c>
      <c r="J134">
        <v>0.47619050000000002</v>
      </c>
    </row>
    <row r="135" spans="1:10" x14ac:dyDescent="0.3">
      <c r="A135">
        <v>133</v>
      </c>
      <c r="B135">
        <v>2117</v>
      </c>
      <c r="C135" t="b">
        <v>1</v>
      </c>
      <c r="D135">
        <v>8042</v>
      </c>
      <c r="E135">
        <v>8123</v>
      </c>
      <c r="F135">
        <v>8.8000000000000007</v>
      </c>
      <c r="G135">
        <v>8</v>
      </c>
      <c r="H135">
        <v>1.1000000000000001</v>
      </c>
      <c r="I135">
        <v>-0.10000002400000001</v>
      </c>
      <c r="J135">
        <v>0.47619050000000002</v>
      </c>
    </row>
    <row r="136" spans="1:10" x14ac:dyDescent="0.3">
      <c r="A136">
        <v>134</v>
      </c>
      <c r="B136">
        <v>2132</v>
      </c>
      <c r="C136" t="b">
        <v>1</v>
      </c>
      <c r="D136">
        <v>8054</v>
      </c>
      <c r="E136">
        <v>8117</v>
      </c>
      <c r="F136">
        <v>8.8000000000000007</v>
      </c>
      <c r="G136">
        <v>8</v>
      </c>
      <c r="H136">
        <v>1.1000000000000001</v>
      </c>
      <c r="I136">
        <v>-0.10000002400000001</v>
      </c>
      <c r="J136">
        <v>0.47619050000000002</v>
      </c>
    </row>
    <row r="137" spans="1:10" x14ac:dyDescent="0.3">
      <c r="A137">
        <v>135</v>
      </c>
      <c r="B137">
        <v>2148</v>
      </c>
      <c r="C137" t="b">
        <v>1</v>
      </c>
      <c r="D137">
        <v>8048</v>
      </c>
      <c r="E137">
        <v>8123</v>
      </c>
      <c r="F137">
        <v>8.8000000000000007</v>
      </c>
      <c r="G137">
        <v>8</v>
      </c>
      <c r="H137">
        <v>1.1000000000000001</v>
      </c>
      <c r="I137">
        <v>-0.10000002400000001</v>
      </c>
      <c r="J137">
        <v>0.47619050000000002</v>
      </c>
    </row>
    <row r="138" spans="1:10" x14ac:dyDescent="0.3">
      <c r="A138">
        <v>136</v>
      </c>
      <c r="B138">
        <v>2165</v>
      </c>
      <c r="C138" t="b">
        <v>1</v>
      </c>
      <c r="D138">
        <v>8048</v>
      </c>
      <c r="E138">
        <v>8117</v>
      </c>
      <c r="F138">
        <v>8.8000000000000007</v>
      </c>
      <c r="G138">
        <v>8</v>
      </c>
      <c r="H138">
        <v>1.1000000000000001</v>
      </c>
      <c r="I138">
        <v>-0.10000002400000001</v>
      </c>
      <c r="J138">
        <v>0.47619050000000002</v>
      </c>
    </row>
    <row r="139" spans="1:10" x14ac:dyDescent="0.3">
      <c r="A139">
        <v>137</v>
      </c>
      <c r="B139">
        <v>2180</v>
      </c>
      <c r="C139" t="b">
        <v>1</v>
      </c>
      <c r="D139">
        <v>8048</v>
      </c>
      <c r="E139">
        <v>8123</v>
      </c>
      <c r="F139">
        <v>8.8000000000000007</v>
      </c>
      <c r="G139">
        <v>8</v>
      </c>
      <c r="H139">
        <v>1.1000000000000001</v>
      </c>
      <c r="I139">
        <v>-0.10000002400000001</v>
      </c>
      <c r="J139">
        <v>0.47619050000000002</v>
      </c>
    </row>
    <row r="140" spans="1:10" x14ac:dyDescent="0.3">
      <c r="A140">
        <v>138</v>
      </c>
      <c r="B140">
        <v>2197</v>
      </c>
      <c r="C140" t="b">
        <v>1</v>
      </c>
      <c r="D140">
        <v>8048</v>
      </c>
      <c r="E140">
        <v>8123</v>
      </c>
      <c r="F140">
        <v>8.8000000000000007</v>
      </c>
      <c r="G140">
        <v>8</v>
      </c>
      <c r="H140">
        <v>1.1000000000000001</v>
      </c>
      <c r="I140">
        <v>-0.10000002400000001</v>
      </c>
      <c r="J140">
        <v>0.47619050000000002</v>
      </c>
    </row>
    <row r="141" spans="1:10" x14ac:dyDescent="0.3">
      <c r="A141">
        <v>139</v>
      </c>
      <c r="B141">
        <v>2213</v>
      </c>
      <c r="C141" t="b">
        <v>1</v>
      </c>
      <c r="D141">
        <v>8048</v>
      </c>
      <c r="E141">
        <v>8123</v>
      </c>
      <c r="F141">
        <v>8.8000000000000007</v>
      </c>
      <c r="G141">
        <v>8</v>
      </c>
      <c r="H141">
        <v>1.1000000000000001</v>
      </c>
      <c r="I141">
        <v>-0.10000002400000001</v>
      </c>
      <c r="J141">
        <v>0.47619050000000002</v>
      </c>
    </row>
    <row r="142" spans="1:10" x14ac:dyDescent="0.3">
      <c r="A142">
        <v>140</v>
      </c>
      <c r="B142">
        <v>2229</v>
      </c>
      <c r="C142" t="b">
        <v>1</v>
      </c>
      <c r="D142">
        <v>8048</v>
      </c>
      <c r="E142">
        <v>8123</v>
      </c>
      <c r="F142">
        <v>8.8000000000000007</v>
      </c>
      <c r="G142">
        <v>8</v>
      </c>
      <c r="H142">
        <v>1.1000000000000001</v>
      </c>
      <c r="I142">
        <v>-0.10000002400000001</v>
      </c>
      <c r="J142">
        <v>0.47619050000000002</v>
      </c>
    </row>
    <row r="143" spans="1:10" x14ac:dyDescent="0.3">
      <c r="A143">
        <v>141</v>
      </c>
      <c r="B143">
        <v>2245</v>
      </c>
      <c r="C143" t="b">
        <v>1</v>
      </c>
      <c r="D143">
        <v>8054</v>
      </c>
      <c r="E143">
        <v>8123</v>
      </c>
      <c r="F143">
        <v>8.8000000000000007</v>
      </c>
      <c r="G143">
        <v>8</v>
      </c>
      <c r="H143">
        <v>1.1000000000000001</v>
      </c>
      <c r="I143">
        <v>-0.10000002400000001</v>
      </c>
      <c r="J143">
        <v>0.47619050000000002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8123</v>
      </c>
      <c r="F144">
        <v>8.8000000000000007</v>
      </c>
      <c r="G144">
        <v>8</v>
      </c>
      <c r="H144">
        <v>1.1000000000000001</v>
      </c>
      <c r="I144">
        <v>-0.10000002400000001</v>
      </c>
      <c r="J144">
        <v>0.47619050000000002</v>
      </c>
    </row>
    <row r="145" spans="1:10" x14ac:dyDescent="0.3">
      <c r="A145">
        <v>143</v>
      </c>
      <c r="B145">
        <v>2277</v>
      </c>
      <c r="C145" t="b">
        <v>1</v>
      </c>
      <c r="D145">
        <v>8054</v>
      </c>
      <c r="E145">
        <v>8117</v>
      </c>
      <c r="F145">
        <v>8.8000000000000007</v>
      </c>
      <c r="G145">
        <v>8</v>
      </c>
      <c r="H145">
        <v>1.1000000000000001</v>
      </c>
      <c r="I145">
        <v>-0.10000002400000001</v>
      </c>
      <c r="J145">
        <v>0.47619050000000002</v>
      </c>
    </row>
    <row r="146" spans="1:10" x14ac:dyDescent="0.3">
      <c r="A146">
        <v>144</v>
      </c>
      <c r="B146">
        <v>2292</v>
      </c>
      <c r="C146" t="b">
        <v>1</v>
      </c>
      <c r="D146">
        <v>8048</v>
      </c>
      <c r="E146">
        <v>8123</v>
      </c>
      <c r="F146">
        <v>8.8000000000000007</v>
      </c>
      <c r="G146">
        <v>8</v>
      </c>
      <c r="H146">
        <v>1.1000000000000001</v>
      </c>
      <c r="I146">
        <v>-0.10000002400000001</v>
      </c>
      <c r="J146">
        <v>0.47619050000000002</v>
      </c>
    </row>
    <row r="147" spans="1:10" x14ac:dyDescent="0.3">
      <c r="A147">
        <v>145</v>
      </c>
      <c r="B147">
        <v>2308</v>
      </c>
      <c r="C147" t="b">
        <v>1</v>
      </c>
      <c r="D147">
        <v>8048</v>
      </c>
      <c r="E147">
        <v>8117</v>
      </c>
      <c r="F147">
        <v>8.4</v>
      </c>
      <c r="G147">
        <v>8</v>
      </c>
      <c r="H147">
        <v>1.05</v>
      </c>
      <c r="I147">
        <v>-4.9999952E-2</v>
      </c>
      <c r="J147">
        <v>0.48780489999999999</v>
      </c>
    </row>
    <row r="148" spans="1:10" x14ac:dyDescent="0.3">
      <c r="A148">
        <v>146</v>
      </c>
      <c r="B148">
        <v>2324</v>
      </c>
      <c r="C148" t="b">
        <v>1</v>
      </c>
      <c r="D148">
        <v>8048</v>
      </c>
      <c r="E148">
        <v>8117</v>
      </c>
      <c r="F148">
        <v>8</v>
      </c>
      <c r="G148">
        <v>7.6</v>
      </c>
      <c r="H148">
        <v>1.0526316</v>
      </c>
      <c r="I148">
        <v>-5.2631589999999999E-2</v>
      </c>
      <c r="J148">
        <v>0.48717946000000001</v>
      </c>
    </row>
    <row r="149" spans="1:10" x14ac:dyDescent="0.3">
      <c r="A149">
        <v>147</v>
      </c>
      <c r="B149">
        <v>2340</v>
      </c>
      <c r="C149" t="b">
        <v>1</v>
      </c>
      <c r="D149">
        <v>8048</v>
      </c>
      <c r="E149">
        <v>8123</v>
      </c>
      <c r="F149">
        <v>8</v>
      </c>
      <c r="G149">
        <v>7.2</v>
      </c>
      <c r="H149">
        <v>1.1111112000000001</v>
      </c>
      <c r="I149">
        <v>-0.11111114</v>
      </c>
      <c r="J149">
        <v>0.4736842</v>
      </c>
    </row>
    <row r="150" spans="1:10" x14ac:dyDescent="0.3">
      <c r="A150">
        <v>148</v>
      </c>
      <c r="B150">
        <v>2356</v>
      </c>
      <c r="C150" t="b">
        <v>1</v>
      </c>
      <c r="D150">
        <v>8048</v>
      </c>
      <c r="E150">
        <v>8123</v>
      </c>
      <c r="F150">
        <v>8</v>
      </c>
      <c r="G150">
        <v>7.2</v>
      </c>
      <c r="H150">
        <v>1.1111112000000001</v>
      </c>
      <c r="I150">
        <v>-0.11111114</v>
      </c>
      <c r="J150">
        <v>0.4736842</v>
      </c>
    </row>
    <row r="151" spans="1:10" x14ac:dyDescent="0.3">
      <c r="A151">
        <v>149</v>
      </c>
      <c r="B151">
        <v>2372</v>
      </c>
      <c r="C151" t="b">
        <v>1</v>
      </c>
      <c r="D151">
        <v>8048</v>
      </c>
      <c r="E151">
        <v>8117</v>
      </c>
      <c r="F151">
        <v>8</v>
      </c>
      <c r="G151">
        <v>6.8</v>
      </c>
      <c r="H151">
        <v>1.1764705</v>
      </c>
      <c r="I151">
        <v>-0.17647055</v>
      </c>
      <c r="J151">
        <v>0.45945944999999999</v>
      </c>
    </row>
    <row r="152" spans="1:10" x14ac:dyDescent="0.3">
      <c r="A152">
        <v>150</v>
      </c>
      <c r="B152">
        <v>2388</v>
      </c>
      <c r="C152" t="b">
        <v>1</v>
      </c>
      <c r="D152">
        <v>8048</v>
      </c>
      <c r="E152">
        <v>8123</v>
      </c>
      <c r="F152">
        <v>8</v>
      </c>
      <c r="G152">
        <v>6.8</v>
      </c>
      <c r="H152">
        <v>1.1764705</v>
      </c>
      <c r="I152">
        <v>-0.17647055</v>
      </c>
      <c r="J152">
        <v>0.45945944999999999</v>
      </c>
    </row>
    <row r="153" spans="1:10" x14ac:dyDescent="0.3">
      <c r="A153">
        <v>151</v>
      </c>
      <c r="B153">
        <v>2404</v>
      </c>
      <c r="C153" t="b">
        <v>1</v>
      </c>
      <c r="D153">
        <v>8048</v>
      </c>
      <c r="E153">
        <v>8123</v>
      </c>
      <c r="F153">
        <v>8</v>
      </c>
      <c r="G153">
        <v>6.8</v>
      </c>
      <c r="H153">
        <v>1.1764705</v>
      </c>
      <c r="I153">
        <v>-0.17647055</v>
      </c>
      <c r="J153">
        <v>0.45945944999999999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8123</v>
      </c>
      <c r="F154">
        <v>8</v>
      </c>
      <c r="G154">
        <v>6.8</v>
      </c>
      <c r="H154">
        <v>1.1764705</v>
      </c>
      <c r="I154">
        <v>-0.17647055</v>
      </c>
      <c r="J154">
        <v>0.45945944999999999</v>
      </c>
    </row>
    <row r="155" spans="1:10" x14ac:dyDescent="0.3">
      <c r="A155">
        <v>153</v>
      </c>
      <c r="B155">
        <v>2435</v>
      </c>
      <c r="C155" t="b">
        <v>1</v>
      </c>
      <c r="D155">
        <v>8048</v>
      </c>
      <c r="E155">
        <v>8123</v>
      </c>
      <c r="F155">
        <v>8</v>
      </c>
      <c r="G155">
        <v>6.8</v>
      </c>
      <c r="H155">
        <v>1.1764705</v>
      </c>
      <c r="I155">
        <v>-0.17647055</v>
      </c>
      <c r="J155">
        <v>0.45945944999999999</v>
      </c>
    </row>
    <row r="156" spans="1:10" x14ac:dyDescent="0.3">
      <c r="A156">
        <v>154</v>
      </c>
      <c r="B156">
        <v>2451</v>
      </c>
      <c r="C156" t="b">
        <v>1</v>
      </c>
      <c r="D156">
        <v>8048</v>
      </c>
      <c r="E156">
        <v>8123</v>
      </c>
      <c r="F156">
        <v>8</v>
      </c>
      <c r="G156">
        <v>6.8</v>
      </c>
      <c r="H156">
        <v>1.1764705</v>
      </c>
      <c r="I156">
        <v>-0.17647055</v>
      </c>
      <c r="J156">
        <v>0.45945944999999999</v>
      </c>
    </row>
    <row r="157" spans="1:10" x14ac:dyDescent="0.3">
      <c r="A157">
        <v>155</v>
      </c>
      <c r="B157">
        <v>2467</v>
      </c>
      <c r="C157" t="b">
        <v>1</v>
      </c>
      <c r="D157">
        <v>8048</v>
      </c>
      <c r="E157">
        <v>8123</v>
      </c>
      <c r="F157">
        <v>8</v>
      </c>
      <c r="G157">
        <v>6.8</v>
      </c>
      <c r="H157">
        <v>1.1764705</v>
      </c>
      <c r="I157">
        <v>-0.17647055</v>
      </c>
      <c r="J157">
        <v>0.45945944999999999</v>
      </c>
    </row>
    <row r="158" spans="1:10" x14ac:dyDescent="0.3">
      <c r="A158">
        <v>156</v>
      </c>
      <c r="B158">
        <v>2483</v>
      </c>
      <c r="C158" t="b">
        <v>1</v>
      </c>
      <c r="D158">
        <v>8048</v>
      </c>
      <c r="E158">
        <v>8123</v>
      </c>
      <c r="F158">
        <v>8</v>
      </c>
      <c r="G158">
        <v>6.8</v>
      </c>
      <c r="H158">
        <v>1.1764705</v>
      </c>
      <c r="I158">
        <v>-0.17647055</v>
      </c>
      <c r="J158">
        <v>0.45945944999999999</v>
      </c>
    </row>
    <row r="159" spans="1:10" x14ac:dyDescent="0.3">
      <c r="A159">
        <v>157</v>
      </c>
      <c r="B159">
        <v>2498</v>
      </c>
      <c r="C159" t="b">
        <v>1</v>
      </c>
      <c r="D159">
        <v>8042</v>
      </c>
      <c r="E159">
        <v>8129</v>
      </c>
      <c r="F159">
        <v>8</v>
      </c>
      <c r="G159">
        <v>6.8</v>
      </c>
      <c r="H159">
        <v>1.1764705</v>
      </c>
      <c r="I159">
        <v>-0.17647055</v>
      </c>
      <c r="J159">
        <v>0.45945944999999999</v>
      </c>
    </row>
    <row r="160" spans="1:10" x14ac:dyDescent="0.3">
      <c r="A160">
        <v>158</v>
      </c>
      <c r="B160">
        <v>2514</v>
      </c>
      <c r="C160" t="b">
        <v>1</v>
      </c>
      <c r="D160">
        <v>8048</v>
      </c>
      <c r="E160">
        <v>8123</v>
      </c>
      <c r="F160">
        <v>8</v>
      </c>
      <c r="G160">
        <v>6.8</v>
      </c>
      <c r="H160">
        <v>1.1764705</v>
      </c>
      <c r="I160">
        <v>-0.17647055</v>
      </c>
      <c r="J160">
        <v>0.45945944999999999</v>
      </c>
    </row>
    <row r="161" spans="1:10" x14ac:dyDescent="0.3">
      <c r="A161">
        <v>159</v>
      </c>
      <c r="B161">
        <v>2530</v>
      </c>
      <c r="C161" t="b">
        <v>1</v>
      </c>
      <c r="D161">
        <v>8048</v>
      </c>
      <c r="E161">
        <v>8117</v>
      </c>
      <c r="F161">
        <v>8</v>
      </c>
      <c r="G161">
        <v>6.8</v>
      </c>
      <c r="H161">
        <v>1.1764705</v>
      </c>
      <c r="I161">
        <v>-0.17647055</v>
      </c>
      <c r="J161">
        <v>0.45945944999999999</v>
      </c>
    </row>
    <row r="162" spans="1:10" x14ac:dyDescent="0.3">
      <c r="A162">
        <v>160</v>
      </c>
      <c r="B162">
        <v>2546</v>
      </c>
      <c r="C162" t="b">
        <v>1</v>
      </c>
      <c r="D162">
        <v>8048</v>
      </c>
      <c r="E162">
        <v>8117</v>
      </c>
      <c r="F162">
        <v>8</v>
      </c>
      <c r="G162">
        <v>6.8</v>
      </c>
      <c r="H162">
        <v>1.1764705</v>
      </c>
      <c r="I162">
        <v>-0.17647055</v>
      </c>
      <c r="J162">
        <v>0.45945944999999999</v>
      </c>
    </row>
    <row r="163" spans="1:10" x14ac:dyDescent="0.3">
      <c r="A163">
        <v>161</v>
      </c>
      <c r="B163">
        <v>2562</v>
      </c>
      <c r="C163" t="b">
        <v>1</v>
      </c>
      <c r="D163">
        <v>8048</v>
      </c>
      <c r="E163">
        <v>8117</v>
      </c>
      <c r="F163">
        <v>8</v>
      </c>
      <c r="G163">
        <v>6.8</v>
      </c>
      <c r="H163">
        <v>1.1764705</v>
      </c>
      <c r="I163">
        <v>-0.17647055</v>
      </c>
      <c r="J163">
        <v>0.45945944999999999</v>
      </c>
    </row>
    <row r="164" spans="1:10" x14ac:dyDescent="0.3">
      <c r="A164">
        <v>162</v>
      </c>
      <c r="B164">
        <v>2578</v>
      </c>
      <c r="C164" t="b">
        <v>1</v>
      </c>
      <c r="D164">
        <v>8048</v>
      </c>
      <c r="E164">
        <v>8123</v>
      </c>
      <c r="F164">
        <v>8</v>
      </c>
      <c r="G164">
        <v>6.8</v>
      </c>
      <c r="H164">
        <v>1.1764705</v>
      </c>
      <c r="I164">
        <v>-0.17647055</v>
      </c>
      <c r="J164">
        <v>0.45945944999999999</v>
      </c>
    </row>
    <row r="165" spans="1:10" x14ac:dyDescent="0.3">
      <c r="A165">
        <v>163</v>
      </c>
      <c r="B165">
        <v>2594</v>
      </c>
      <c r="C165" t="b">
        <v>1</v>
      </c>
      <c r="D165">
        <v>8048</v>
      </c>
      <c r="E165">
        <v>8123</v>
      </c>
      <c r="F165">
        <v>8</v>
      </c>
      <c r="G165">
        <v>6.4</v>
      </c>
      <c r="H165">
        <v>1.25</v>
      </c>
      <c r="I165">
        <v>-0.24999999000000001</v>
      </c>
      <c r="J165">
        <v>0.44444447999999998</v>
      </c>
    </row>
    <row r="166" spans="1:10" x14ac:dyDescent="0.3">
      <c r="A166">
        <v>164</v>
      </c>
      <c r="B166">
        <v>2610</v>
      </c>
      <c r="C166" t="b">
        <v>1</v>
      </c>
      <c r="D166">
        <v>8048</v>
      </c>
      <c r="E166">
        <v>8123</v>
      </c>
      <c r="F166">
        <v>8</v>
      </c>
      <c r="G166">
        <v>6.8</v>
      </c>
      <c r="H166">
        <v>1.1764705</v>
      </c>
      <c r="I166">
        <v>-0.17647055</v>
      </c>
      <c r="J166">
        <v>0.45945944999999999</v>
      </c>
    </row>
    <row r="167" spans="1:10" x14ac:dyDescent="0.3">
      <c r="A167">
        <v>165</v>
      </c>
      <c r="B167">
        <v>2626</v>
      </c>
      <c r="C167" t="b">
        <v>1</v>
      </c>
      <c r="D167">
        <v>8048</v>
      </c>
      <c r="E167">
        <v>8123</v>
      </c>
      <c r="F167">
        <v>8</v>
      </c>
      <c r="G167">
        <v>6.8</v>
      </c>
      <c r="H167">
        <v>1.1764705</v>
      </c>
      <c r="I167">
        <v>-0.17647055</v>
      </c>
      <c r="J167">
        <v>0.45945944999999999</v>
      </c>
    </row>
    <row r="168" spans="1:10" x14ac:dyDescent="0.3">
      <c r="A168">
        <v>166</v>
      </c>
      <c r="B168">
        <v>2642</v>
      </c>
      <c r="C168" t="b">
        <v>1</v>
      </c>
      <c r="D168">
        <v>8048</v>
      </c>
      <c r="E168">
        <v>8123</v>
      </c>
      <c r="F168">
        <v>8</v>
      </c>
      <c r="G168">
        <v>6.8</v>
      </c>
      <c r="H168">
        <v>1.1764705</v>
      </c>
      <c r="I168">
        <v>-0.17647055</v>
      </c>
      <c r="J168">
        <v>0.45945944999999999</v>
      </c>
    </row>
    <row r="169" spans="1:10" x14ac:dyDescent="0.3">
      <c r="A169">
        <v>167</v>
      </c>
      <c r="B169">
        <v>2657</v>
      </c>
      <c r="C169" t="b">
        <v>1</v>
      </c>
      <c r="D169">
        <v>8048</v>
      </c>
      <c r="E169">
        <v>8123</v>
      </c>
      <c r="F169">
        <v>8</v>
      </c>
      <c r="G169">
        <v>6.8</v>
      </c>
      <c r="H169">
        <v>1.1764705</v>
      </c>
      <c r="I169">
        <v>-0.17647055</v>
      </c>
      <c r="J169">
        <v>0.45945944999999999</v>
      </c>
    </row>
    <row r="170" spans="1:10" x14ac:dyDescent="0.3">
      <c r="A170">
        <v>168</v>
      </c>
      <c r="B170">
        <v>2673</v>
      </c>
      <c r="C170" t="b">
        <v>1</v>
      </c>
      <c r="D170">
        <v>8048</v>
      </c>
      <c r="E170">
        <v>8123</v>
      </c>
      <c r="F170">
        <v>8</v>
      </c>
      <c r="G170">
        <v>6.8</v>
      </c>
      <c r="H170">
        <v>1.1764705</v>
      </c>
      <c r="I170">
        <v>-0.17647055</v>
      </c>
      <c r="J170">
        <v>0.45945944999999999</v>
      </c>
    </row>
    <row r="171" spans="1:10" x14ac:dyDescent="0.3">
      <c r="A171">
        <v>169</v>
      </c>
      <c r="B171">
        <v>2689</v>
      </c>
      <c r="C171" t="b">
        <v>1</v>
      </c>
      <c r="D171">
        <v>8048</v>
      </c>
      <c r="E171">
        <v>8123</v>
      </c>
      <c r="F171">
        <v>8</v>
      </c>
      <c r="G171">
        <v>6.8</v>
      </c>
      <c r="H171">
        <v>1.1764705</v>
      </c>
      <c r="I171">
        <v>-0.17647055</v>
      </c>
      <c r="J171">
        <v>0.45945944999999999</v>
      </c>
    </row>
    <row r="172" spans="1:10" x14ac:dyDescent="0.3">
      <c r="A172">
        <v>170</v>
      </c>
      <c r="B172">
        <v>2705</v>
      </c>
      <c r="C172" t="b">
        <v>1</v>
      </c>
      <c r="D172">
        <v>8048</v>
      </c>
      <c r="E172">
        <v>8123</v>
      </c>
      <c r="F172">
        <v>8</v>
      </c>
      <c r="G172">
        <v>6.8</v>
      </c>
      <c r="H172">
        <v>1.1764705</v>
      </c>
      <c r="I172">
        <v>-0.17647055</v>
      </c>
      <c r="J172">
        <v>0.45945944999999999</v>
      </c>
    </row>
    <row r="173" spans="1:10" x14ac:dyDescent="0.3">
      <c r="A173">
        <v>171</v>
      </c>
      <c r="B173">
        <v>2721</v>
      </c>
      <c r="C173" t="b">
        <v>1</v>
      </c>
      <c r="D173">
        <v>8048</v>
      </c>
      <c r="E173">
        <v>8123</v>
      </c>
      <c r="F173">
        <v>8</v>
      </c>
      <c r="G173">
        <v>6.8</v>
      </c>
      <c r="H173">
        <v>1.1764705</v>
      </c>
      <c r="I173">
        <v>-0.17647055</v>
      </c>
      <c r="J173">
        <v>0.45945944999999999</v>
      </c>
    </row>
    <row r="174" spans="1:10" x14ac:dyDescent="0.3">
      <c r="A174">
        <v>172</v>
      </c>
      <c r="B174">
        <v>2737</v>
      </c>
      <c r="C174" t="b">
        <v>1</v>
      </c>
      <c r="D174">
        <v>8048</v>
      </c>
      <c r="E174">
        <v>8123</v>
      </c>
      <c r="F174">
        <v>8</v>
      </c>
      <c r="G174">
        <v>6.8</v>
      </c>
      <c r="H174">
        <v>1.1764705</v>
      </c>
      <c r="I174">
        <v>-0.17647055</v>
      </c>
      <c r="J174">
        <v>0.45945944999999999</v>
      </c>
    </row>
    <row r="175" spans="1:10" x14ac:dyDescent="0.3">
      <c r="A175">
        <v>173</v>
      </c>
      <c r="B175">
        <v>2753</v>
      </c>
      <c r="C175" t="b">
        <v>1</v>
      </c>
      <c r="D175">
        <v>8048</v>
      </c>
      <c r="E175">
        <v>8123</v>
      </c>
      <c r="F175">
        <v>8</v>
      </c>
      <c r="G175">
        <v>6.8</v>
      </c>
      <c r="H175">
        <v>1.1764705</v>
      </c>
      <c r="I175">
        <v>-0.17647055</v>
      </c>
      <c r="J175">
        <v>0.45945944999999999</v>
      </c>
    </row>
    <row r="176" spans="1:10" x14ac:dyDescent="0.3">
      <c r="A176">
        <v>174</v>
      </c>
      <c r="B176">
        <v>2769</v>
      </c>
      <c r="C176" t="b">
        <v>1</v>
      </c>
      <c r="D176">
        <v>8048</v>
      </c>
      <c r="E176">
        <v>8123</v>
      </c>
      <c r="F176">
        <v>8</v>
      </c>
      <c r="G176">
        <v>6.8</v>
      </c>
      <c r="H176">
        <v>1.1764705</v>
      </c>
      <c r="I176">
        <v>-0.17647055</v>
      </c>
      <c r="J176">
        <v>0.45945944999999999</v>
      </c>
    </row>
    <row r="177" spans="1:10" x14ac:dyDescent="0.3">
      <c r="A177">
        <v>175</v>
      </c>
      <c r="B177">
        <v>2784</v>
      </c>
      <c r="C177" t="b">
        <v>1</v>
      </c>
      <c r="D177">
        <v>8048</v>
      </c>
      <c r="E177">
        <v>8129</v>
      </c>
      <c r="F177">
        <v>8</v>
      </c>
      <c r="G177">
        <v>6.8</v>
      </c>
      <c r="H177">
        <v>1.1764705</v>
      </c>
      <c r="I177">
        <v>-0.17647055</v>
      </c>
      <c r="J177">
        <v>0.45945944999999999</v>
      </c>
    </row>
    <row r="178" spans="1:10" x14ac:dyDescent="0.3">
      <c r="A178">
        <v>176</v>
      </c>
      <c r="B178">
        <v>2800</v>
      </c>
      <c r="C178" t="b">
        <v>1</v>
      </c>
      <c r="D178">
        <v>8048</v>
      </c>
      <c r="E178">
        <v>8123</v>
      </c>
      <c r="F178">
        <v>8</v>
      </c>
      <c r="G178">
        <v>7.2</v>
      </c>
      <c r="H178">
        <v>1.1111112000000001</v>
      </c>
      <c r="I178">
        <v>-0.11111114</v>
      </c>
      <c r="J178">
        <v>0.4736842</v>
      </c>
    </row>
    <row r="179" spans="1:10" x14ac:dyDescent="0.3">
      <c r="A179">
        <v>177</v>
      </c>
      <c r="B179">
        <v>2816</v>
      </c>
      <c r="C179" t="b">
        <v>1</v>
      </c>
      <c r="D179">
        <v>8042</v>
      </c>
      <c r="E179">
        <v>8123</v>
      </c>
      <c r="F179">
        <v>8</v>
      </c>
      <c r="G179">
        <v>7.6</v>
      </c>
      <c r="H179">
        <v>1.0526316</v>
      </c>
      <c r="I179">
        <v>-5.2631589999999999E-2</v>
      </c>
      <c r="J179">
        <v>0.48717946000000001</v>
      </c>
    </row>
    <row r="180" spans="1:10" x14ac:dyDescent="0.3">
      <c r="A180">
        <v>178</v>
      </c>
      <c r="B180">
        <v>2832</v>
      </c>
      <c r="C180" t="b">
        <v>1</v>
      </c>
      <c r="D180">
        <v>8048</v>
      </c>
      <c r="E180">
        <v>8129</v>
      </c>
      <c r="F180">
        <v>8</v>
      </c>
      <c r="G180">
        <v>8</v>
      </c>
      <c r="H180">
        <v>1</v>
      </c>
      <c r="I180">
        <v>0</v>
      </c>
      <c r="J180">
        <v>0.5</v>
      </c>
    </row>
    <row r="181" spans="1:10" x14ac:dyDescent="0.3">
      <c r="A181">
        <v>179</v>
      </c>
      <c r="B181">
        <v>2848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2864</v>
      </c>
      <c r="C182" t="b">
        <v>1</v>
      </c>
      <c r="D182">
        <v>8048</v>
      </c>
      <c r="E182">
        <v>8123</v>
      </c>
      <c r="F182">
        <v>8</v>
      </c>
      <c r="G182">
        <v>8</v>
      </c>
      <c r="H182">
        <v>1</v>
      </c>
      <c r="I182">
        <v>0</v>
      </c>
      <c r="J182">
        <v>0.5</v>
      </c>
    </row>
    <row r="183" spans="1:10" x14ac:dyDescent="0.3">
      <c r="A183">
        <v>181</v>
      </c>
      <c r="B183">
        <v>2880</v>
      </c>
      <c r="C183" t="b">
        <v>1</v>
      </c>
      <c r="D183">
        <v>8048</v>
      </c>
      <c r="E183">
        <v>8117</v>
      </c>
      <c r="F183">
        <v>8</v>
      </c>
      <c r="G183">
        <v>8</v>
      </c>
      <c r="H183">
        <v>1</v>
      </c>
      <c r="I183">
        <v>0</v>
      </c>
      <c r="J183">
        <v>0.5</v>
      </c>
    </row>
    <row r="184" spans="1:10" x14ac:dyDescent="0.3">
      <c r="A184">
        <v>182</v>
      </c>
      <c r="B184">
        <v>2895</v>
      </c>
      <c r="C184" t="b">
        <v>1</v>
      </c>
      <c r="D184">
        <v>8054</v>
      </c>
      <c r="E184">
        <v>8117</v>
      </c>
      <c r="F184">
        <v>8</v>
      </c>
      <c r="G184">
        <v>8</v>
      </c>
      <c r="H184">
        <v>1</v>
      </c>
      <c r="I184">
        <v>0</v>
      </c>
      <c r="J184">
        <v>0.5</v>
      </c>
    </row>
    <row r="185" spans="1:10" x14ac:dyDescent="0.3">
      <c r="A185">
        <v>183</v>
      </c>
      <c r="B185">
        <v>2911</v>
      </c>
      <c r="C185" t="b">
        <v>1</v>
      </c>
      <c r="D185">
        <v>8054</v>
      </c>
      <c r="E185">
        <v>8123</v>
      </c>
      <c r="F185">
        <v>8</v>
      </c>
      <c r="G185">
        <v>8</v>
      </c>
      <c r="H185">
        <v>1</v>
      </c>
      <c r="I185">
        <v>0</v>
      </c>
      <c r="J185">
        <v>0.5</v>
      </c>
    </row>
    <row r="186" spans="1:10" x14ac:dyDescent="0.3">
      <c r="A186">
        <v>184</v>
      </c>
      <c r="B186">
        <v>2927</v>
      </c>
      <c r="C186" t="b">
        <v>1</v>
      </c>
      <c r="D186">
        <v>8048</v>
      </c>
      <c r="E186">
        <v>8123</v>
      </c>
      <c r="F186">
        <v>8</v>
      </c>
      <c r="G186">
        <v>8</v>
      </c>
      <c r="H186">
        <v>1</v>
      </c>
      <c r="I186">
        <v>0</v>
      </c>
      <c r="J186">
        <v>0.5</v>
      </c>
    </row>
    <row r="187" spans="1:10" x14ac:dyDescent="0.3">
      <c r="A187">
        <v>185</v>
      </c>
      <c r="B187">
        <v>2943</v>
      </c>
      <c r="C187" t="b">
        <v>1</v>
      </c>
      <c r="D187">
        <v>8054</v>
      </c>
      <c r="E187">
        <v>8123</v>
      </c>
      <c r="F187">
        <v>8.4</v>
      </c>
      <c r="G187">
        <v>8</v>
      </c>
      <c r="H187">
        <v>1.05</v>
      </c>
      <c r="I187">
        <v>-4.9999952E-2</v>
      </c>
      <c r="J187">
        <v>0.48780489999999999</v>
      </c>
    </row>
    <row r="188" spans="1:10" x14ac:dyDescent="0.3">
      <c r="A188">
        <v>186</v>
      </c>
      <c r="B188">
        <v>2959</v>
      </c>
      <c r="C188" t="b">
        <v>1</v>
      </c>
      <c r="D188">
        <v>8048</v>
      </c>
      <c r="E188">
        <v>8117</v>
      </c>
      <c r="F188">
        <v>8.8000000000000007</v>
      </c>
      <c r="G188">
        <v>8</v>
      </c>
      <c r="H188">
        <v>1.1000000000000001</v>
      </c>
      <c r="I188">
        <v>-0.10000002400000001</v>
      </c>
      <c r="J188">
        <v>0.47619050000000002</v>
      </c>
    </row>
    <row r="189" spans="1:10" x14ac:dyDescent="0.3">
      <c r="A189">
        <v>187</v>
      </c>
      <c r="B189">
        <v>2975</v>
      </c>
      <c r="C189" t="b">
        <v>1</v>
      </c>
      <c r="D189">
        <v>8048</v>
      </c>
      <c r="E189">
        <v>8123</v>
      </c>
      <c r="F189">
        <v>8.8000000000000007</v>
      </c>
      <c r="G189">
        <v>8</v>
      </c>
      <c r="H189">
        <v>1.1000000000000001</v>
      </c>
      <c r="I189">
        <v>-0.10000002400000001</v>
      </c>
      <c r="J189">
        <v>0.47619050000000002</v>
      </c>
    </row>
    <row r="190" spans="1:10" x14ac:dyDescent="0.3">
      <c r="A190">
        <v>188</v>
      </c>
      <c r="B190">
        <v>2991</v>
      </c>
      <c r="C190" t="b">
        <v>1</v>
      </c>
      <c r="D190">
        <v>8054</v>
      </c>
      <c r="E190">
        <v>8123</v>
      </c>
      <c r="F190">
        <v>8.8000000000000007</v>
      </c>
      <c r="G190">
        <v>8</v>
      </c>
      <c r="H190">
        <v>1.1000000000000001</v>
      </c>
      <c r="I190">
        <v>-0.10000002400000001</v>
      </c>
      <c r="J190">
        <v>0.47619050000000002</v>
      </c>
    </row>
    <row r="191" spans="1:10" x14ac:dyDescent="0.3">
      <c r="A191">
        <v>189</v>
      </c>
      <c r="B191">
        <v>3007</v>
      </c>
      <c r="C191" t="b">
        <v>1</v>
      </c>
      <c r="D191">
        <v>8048</v>
      </c>
      <c r="E191">
        <v>8123</v>
      </c>
      <c r="F191">
        <v>8.8000000000000007</v>
      </c>
      <c r="G191">
        <v>8</v>
      </c>
      <c r="H191">
        <v>1.1000000000000001</v>
      </c>
      <c r="I191">
        <v>-0.10000002400000001</v>
      </c>
      <c r="J191">
        <v>0.47619050000000002</v>
      </c>
    </row>
    <row r="192" spans="1:10" x14ac:dyDescent="0.3">
      <c r="A192">
        <v>190</v>
      </c>
      <c r="B192">
        <v>3023</v>
      </c>
      <c r="C192" t="b">
        <v>1</v>
      </c>
      <c r="D192">
        <v>8048</v>
      </c>
      <c r="E192">
        <v>8123</v>
      </c>
      <c r="F192">
        <v>8.8000000000000007</v>
      </c>
      <c r="G192">
        <v>8</v>
      </c>
      <c r="H192">
        <v>1.1000000000000001</v>
      </c>
      <c r="I192">
        <v>-0.10000002400000001</v>
      </c>
      <c r="J192">
        <v>0.47619050000000002</v>
      </c>
    </row>
    <row r="193" spans="1:10" x14ac:dyDescent="0.3">
      <c r="A193">
        <v>191</v>
      </c>
      <c r="B193">
        <v>3039</v>
      </c>
      <c r="C193" t="b">
        <v>1</v>
      </c>
      <c r="D193">
        <v>8048</v>
      </c>
      <c r="E193">
        <v>8129</v>
      </c>
      <c r="F193">
        <v>8.8000000000000007</v>
      </c>
      <c r="G193">
        <v>8</v>
      </c>
      <c r="H193">
        <v>1.1000000000000001</v>
      </c>
      <c r="I193">
        <v>-0.10000002400000001</v>
      </c>
      <c r="J193">
        <v>0.47619050000000002</v>
      </c>
    </row>
    <row r="194" spans="1:10" x14ac:dyDescent="0.3">
      <c r="A194">
        <v>192</v>
      </c>
      <c r="B194">
        <v>3055</v>
      </c>
      <c r="C194" t="b">
        <v>1</v>
      </c>
      <c r="D194">
        <v>8048</v>
      </c>
      <c r="E194">
        <v>8123</v>
      </c>
      <c r="F194">
        <v>8.8000000000000007</v>
      </c>
      <c r="G194">
        <v>8</v>
      </c>
      <c r="H194">
        <v>1.1000000000000001</v>
      </c>
      <c r="I194">
        <v>-0.10000002400000001</v>
      </c>
      <c r="J194">
        <v>0.47619050000000002</v>
      </c>
    </row>
    <row r="195" spans="1:10" x14ac:dyDescent="0.3">
      <c r="A195">
        <v>193</v>
      </c>
      <c r="B195">
        <v>3071</v>
      </c>
      <c r="C195" t="b">
        <v>1</v>
      </c>
      <c r="D195">
        <v>8048</v>
      </c>
      <c r="E195">
        <v>8117</v>
      </c>
      <c r="F195">
        <v>8.8000000000000007</v>
      </c>
      <c r="G195">
        <v>8</v>
      </c>
      <c r="H195">
        <v>1.1000000000000001</v>
      </c>
      <c r="I195">
        <v>-0.10000002400000001</v>
      </c>
      <c r="J195">
        <v>0.47619050000000002</v>
      </c>
    </row>
    <row r="196" spans="1:10" x14ac:dyDescent="0.3">
      <c r="A196">
        <v>194</v>
      </c>
      <c r="B196">
        <v>3086</v>
      </c>
      <c r="C196" t="b">
        <v>1</v>
      </c>
      <c r="D196">
        <v>8048</v>
      </c>
      <c r="E196">
        <v>8117</v>
      </c>
      <c r="F196">
        <v>8.8000000000000007</v>
      </c>
      <c r="G196">
        <v>8</v>
      </c>
      <c r="H196">
        <v>1.1000000000000001</v>
      </c>
      <c r="I196">
        <v>-0.10000002400000001</v>
      </c>
      <c r="J196">
        <v>0.47619050000000002</v>
      </c>
    </row>
    <row r="197" spans="1:10" x14ac:dyDescent="0.3">
      <c r="A197">
        <v>195</v>
      </c>
      <c r="B197">
        <v>3102</v>
      </c>
      <c r="C197" t="b">
        <v>1</v>
      </c>
      <c r="D197">
        <v>8048</v>
      </c>
      <c r="E197">
        <v>8117</v>
      </c>
      <c r="F197">
        <v>8.8000000000000007</v>
      </c>
      <c r="G197">
        <v>7.6</v>
      </c>
      <c r="H197">
        <v>1.1578946999999999</v>
      </c>
      <c r="I197">
        <v>-0.15789478000000001</v>
      </c>
      <c r="J197">
        <v>0.46341463999999999</v>
      </c>
    </row>
    <row r="198" spans="1:10" x14ac:dyDescent="0.3">
      <c r="A198">
        <v>196</v>
      </c>
      <c r="B198">
        <v>3118</v>
      </c>
      <c r="C198" t="b">
        <v>1</v>
      </c>
      <c r="D198">
        <v>8048</v>
      </c>
      <c r="E198">
        <v>8117</v>
      </c>
      <c r="F198">
        <v>8.8000000000000007</v>
      </c>
      <c r="G198">
        <v>7.2</v>
      </c>
      <c r="H198">
        <v>1.2222223000000001</v>
      </c>
      <c r="I198">
        <v>-0.22222227999999999</v>
      </c>
      <c r="J198">
        <v>0.45</v>
      </c>
    </row>
    <row r="199" spans="1:10" x14ac:dyDescent="0.3">
      <c r="A199">
        <v>197</v>
      </c>
      <c r="B199">
        <v>3134</v>
      </c>
      <c r="C199" t="b">
        <v>1</v>
      </c>
      <c r="D199">
        <v>8048</v>
      </c>
      <c r="E199">
        <v>8117</v>
      </c>
      <c r="F199">
        <v>8.8000000000000007</v>
      </c>
      <c r="G199">
        <v>6.8</v>
      </c>
      <c r="H199">
        <v>1.2941176999999999</v>
      </c>
      <c r="I199">
        <v>-0.29411763000000002</v>
      </c>
      <c r="J199">
        <v>0.43589744000000002</v>
      </c>
    </row>
    <row r="200" spans="1:10" x14ac:dyDescent="0.3">
      <c r="A200">
        <v>198</v>
      </c>
      <c r="B200">
        <v>3150</v>
      </c>
      <c r="C200" t="b">
        <v>1</v>
      </c>
      <c r="D200">
        <v>8048</v>
      </c>
      <c r="E200">
        <v>8117</v>
      </c>
      <c r="F200">
        <v>8.8000000000000007</v>
      </c>
      <c r="G200">
        <v>6.4</v>
      </c>
      <c r="H200">
        <v>1.375</v>
      </c>
      <c r="I200">
        <v>-0.375</v>
      </c>
      <c r="J200">
        <v>0.4210526</v>
      </c>
    </row>
    <row r="201" spans="1:10" x14ac:dyDescent="0.3">
      <c r="A201">
        <v>199</v>
      </c>
      <c r="B201">
        <v>3165</v>
      </c>
      <c r="C201" t="b">
        <v>1</v>
      </c>
      <c r="D201">
        <v>8048</v>
      </c>
      <c r="E201">
        <v>8123</v>
      </c>
      <c r="F201">
        <v>8.8000000000000007</v>
      </c>
      <c r="G201">
        <v>6</v>
      </c>
      <c r="H201">
        <v>1.4666667</v>
      </c>
      <c r="I201">
        <v>-0.46666669999999999</v>
      </c>
      <c r="J201">
        <v>0.40540540000000003</v>
      </c>
    </row>
    <row r="202" spans="1:10" x14ac:dyDescent="0.3">
      <c r="A202">
        <v>200</v>
      </c>
      <c r="B202">
        <v>3181</v>
      </c>
      <c r="C202" t="b">
        <v>1</v>
      </c>
      <c r="D202">
        <v>8048</v>
      </c>
      <c r="E202">
        <v>8123</v>
      </c>
      <c r="F202">
        <v>8.4</v>
      </c>
      <c r="G202">
        <v>5.6</v>
      </c>
      <c r="H202">
        <v>1.5</v>
      </c>
      <c r="I202">
        <v>-0.49999997000000002</v>
      </c>
      <c r="J202">
        <v>0.4</v>
      </c>
    </row>
    <row r="203" spans="1:10" x14ac:dyDescent="0.3">
      <c r="A203">
        <v>201</v>
      </c>
      <c r="B203">
        <v>3197</v>
      </c>
      <c r="C203" t="b">
        <v>1</v>
      </c>
      <c r="D203">
        <v>8048</v>
      </c>
      <c r="E203">
        <v>8134</v>
      </c>
      <c r="F203">
        <v>8</v>
      </c>
      <c r="G203">
        <v>5.6</v>
      </c>
      <c r="H203">
        <v>1.4285715000000001</v>
      </c>
      <c r="I203">
        <v>-0.42857146000000002</v>
      </c>
      <c r="J203">
        <v>0.41176467999999999</v>
      </c>
    </row>
    <row r="204" spans="1:10" x14ac:dyDescent="0.3">
      <c r="A204">
        <v>202</v>
      </c>
      <c r="B204">
        <v>3213</v>
      </c>
      <c r="C204" t="b">
        <v>1</v>
      </c>
      <c r="D204">
        <v>8048</v>
      </c>
      <c r="E204">
        <v>8123</v>
      </c>
      <c r="F204">
        <v>8</v>
      </c>
      <c r="G204">
        <v>5.6</v>
      </c>
      <c r="H204">
        <v>1.4285715000000001</v>
      </c>
      <c r="I204">
        <v>-0.42857146000000002</v>
      </c>
      <c r="J204">
        <v>0.41176467999999999</v>
      </c>
    </row>
    <row r="205" spans="1:10" x14ac:dyDescent="0.3">
      <c r="A205">
        <v>203</v>
      </c>
      <c r="B205">
        <v>3229</v>
      </c>
      <c r="C205" t="b">
        <v>1</v>
      </c>
      <c r="D205">
        <v>8048</v>
      </c>
      <c r="E205">
        <v>8123</v>
      </c>
      <c r="F205">
        <v>8</v>
      </c>
      <c r="G205">
        <v>5.6</v>
      </c>
      <c r="H205">
        <v>1.4285715000000001</v>
      </c>
      <c r="I205">
        <v>-0.42857146000000002</v>
      </c>
      <c r="J205">
        <v>0.41176467999999999</v>
      </c>
    </row>
    <row r="206" spans="1:10" x14ac:dyDescent="0.3">
      <c r="A206">
        <v>204</v>
      </c>
      <c r="B206">
        <v>3245</v>
      </c>
      <c r="C206" t="b">
        <v>1</v>
      </c>
      <c r="D206">
        <v>8048</v>
      </c>
      <c r="E206">
        <v>8123</v>
      </c>
      <c r="F206">
        <v>8</v>
      </c>
      <c r="G206">
        <v>5.6</v>
      </c>
      <c r="H206">
        <v>1.4285715000000001</v>
      </c>
      <c r="I206">
        <v>-0.42857146000000002</v>
      </c>
      <c r="J206">
        <v>0.41176467999999999</v>
      </c>
    </row>
    <row r="207" spans="1:10" x14ac:dyDescent="0.3">
      <c r="A207">
        <v>205</v>
      </c>
      <c r="B207">
        <v>3261</v>
      </c>
      <c r="C207" t="b">
        <v>1</v>
      </c>
      <c r="D207">
        <v>8048</v>
      </c>
      <c r="E207">
        <v>8123</v>
      </c>
      <c r="F207">
        <v>8</v>
      </c>
      <c r="G207">
        <v>5.6</v>
      </c>
      <c r="H207">
        <v>1.4285715000000001</v>
      </c>
      <c r="I207">
        <v>-0.42857146000000002</v>
      </c>
      <c r="J207">
        <v>0.41176467999999999</v>
      </c>
    </row>
    <row r="208" spans="1:10" x14ac:dyDescent="0.3">
      <c r="A208">
        <v>206</v>
      </c>
      <c r="B208">
        <v>3277</v>
      </c>
      <c r="C208" t="b">
        <v>1</v>
      </c>
      <c r="D208">
        <v>8048</v>
      </c>
      <c r="E208">
        <v>8111</v>
      </c>
      <c r="F208">
        <v>8</v>
      </c>
      <c r="G208">
        <v>5.6</v>
      </c>
      <c r="H208">
        <v>1.4285715000000001</v>
      </c>
      <c r="I208">
        <v>-0.42857146000000002</v>
      </c>
      <c r="J208">
        <v>0.41176467999999999</v>
      </c>
    </row>
    <row r="209" spans="1:10" x14ac:dyDescent="0.3">
      <c r="A209">
        <v>207</v>
      </c>
      <c r="B209">
        <v>3293</v>
      </c>
      <c r="C209" t="b">
        <v>1</v>
      </c>
      <c r="D209">
        <v>8048</v>
      </c>
      <c r="E209">
        <v>8117</v>
      </c>
      <c r="F209">
        <v>8</v>
      </c>
      <c r="G209">
        <v>5.6</v>
      </c>
      <c r="H209">
        <v>1.4285715000000001</v>
      </c>
      <c r="I209">
        <v>-0.42857146000000002</v>
      </c>
      <c r="J209">
        <v>0.41176467999999999</v>
      </c>
    </row>
    <row r="210" spans="1:10" x14ac:dyDescent="0.3">
      <c r="A210">
        <v>208</v>
      </c>
      <c r="B210">
        <v>3309</v>
      </c>
      <c r="C210" t="b">
        <v>1</v>
      </c>
      <c r="D210">
        <v>8048</v>
      </c>
      <c r="E210">
        <v>8111</v>
      </c>
      <c r="F210">
        <v>8</v>
      </c>
      <c r="G210">
        <v>5.2</v>
      </c>
      <c r="H210">
        <v>1.5384616</v>
      </c>
      <c r="I210">
        <v>-0.53846156999999994</v>
      </c>
      <c r="J210">
        <v>0.39393938000000001</v>
      </c>
    </row>
    <row r="211" spans="1:10" x14ac:dyDescent="0.3">
      <c r="A211">
        <v>209</v>
      </c>
      <c r="B211">
        <v>3324</v>
      </c>
      <c r="C211" t="b">
        <v>1</v>
      </c>
      <c r="D211">
        <v>8048</v>
      </c>
      <c r="E211">
        <v>8117</v>
      </c>
      <c r="F211">
        <v>8</v>
      </c>
      <c r="G211">
        <v>4.8</v>
      </c>
      <c r="H211">
        <v>1.6666666000000001</v>
      </c>
      <c r="I211">
        <v>-0.6666666</v>
      </c>
      <c r="J211">
        <v>0.375</v>
      </c>
    </row>
    <row r="212" spans="1:10" x14ac:dyDescent="0.3">
      <c r="A212">
        <v>210</v>
      </c>
      <c r="B212">
        <v>3340</v>
      </c>
      <c r="C212" t="b">
        <v>1</v>
      </c>
      <c r="D212">
        <v>8048</v>
      </c>
      <c r="E212">
        <v>8111</v>
      </c>
      <c r="F212">
        <v>8</v>
      </c>
      <c r="G212">
        <v>4.4000000000000004</v>
      </c>
      <c r="H212">
        <v>1.8181818000000001</v>
      </c>
      <c r="I212">
        <v>-0.81818175000000004</v>
      </c>
      <c r="J212">
        <v>0.35483872999999999</v>
      </c>
    </row>
    <row r="213" spans="1:10" x14ac:dyDescent="0.3">
      <c r="A213">
        <v>211</v>
      </c>
      <c r="B213">
        <v>3356</v>
      </c>
      <c r="C213" t="b">
        <v>1</v>
      </c>
      <c r="D213">
        <v>8048</v>
      </c>
      <c r="E213">
        <v>8117</v>
      </c>
      <c r="F213">
        <v>8</v>
      </c>
      <c r="G213">
        <v>4.4000000000000004</v>
      </c>
      <c r="H213">
        <v>1.8181818000000001</v>
      </c>
      <c r="I213">
        <v>-0.81818175000000004</v>
      </c>
      <c r="J213">
        <v>0.35483872999999999</v>
      </c>
    </row>
    <row r="214" spans="1:10" x14ac:dyDescent="0.3">
      <c r="A214">
        <v>212</v>
      </c>
      <c r="B214">
        <v>3372</v>
      </c>
      <c r="C214" t="b">
        <v>1</v>
      </c>
      <c r="D214">
        <v>8048</v>
      </c>
      <c r="E214">
        <v>8123</v>
      </c>
      <c r="F214">
        <v>8</v>
      </c>
      <c r="G214">
        <v>4.4000000000000004</v>
      </c>
      <c r="H214">
        <v>1.8181818000000001</v>
      </c>
      <c r="I214">
        <v>-0.81818175000000004</v>
      </c>
      <c r="J214">
        <v>0.35483872999999999</v>
      </c>
    </row>
    <row r="215" spans="1:10" x14ac:dyDescent="0.3">
      <c r="A215">
        <v>213</v>
      </c>
      <c r="B215">
        <v>3388</v>
      </c>
      <c r="C215" t="b">
        <v>1</v>
      </c>
      <c r="D215">
        <v>8048</v>
      </c>
      <c r="E215">
        <v>8123</v>
      </c>
      <c r="F215">
        <v>8</v>
      </c>
      <c r="G215">
        <v>4.4000000000000004</v>
      </c>
      <c r="H215">
        <v>1.8181818000000001</v>
      </c>
      <c r="I215">
        <v>-0.81818175000000004</v>
      </c>
      <c r="J215">
        <v>0.35483872999999999</v>
      </c>
    </row>
    <row r="216" spans="1:10" x14ac:dyDescent="0.3">
      <c r="A216">
        <v>214</v>
      </c>
      <c r="B216">
        <v>3404</v>
      </c>
      <c r="C216" t="b">
        <v>1</v>
      </c>
      <c r="D216">
        <v>8048</v>
      </c>
      <c r="E216">
        <v>8123</v>
      </c>
      <c r="F216">
        <v>8</v>
      </c>
      <c r="G216">
        <v>4.8</v>
      </c>
      <c r="H216">
        <v>1.6666666000000001</v>
      </c>
      <c r="I216">
        <v>-0.6666666</v>
      </c>
      <c r="J216">
        <v>0.375</v>
      </c>
    </row>
    <row r="217" spans="1:10" x14ac:dyDescent="0.3">
      <c r="A217">
        <v>215</v>
      </c>
      <c r="B217">
        <v>3420</v>
      </c>
      <c r="C217" t="b">
        <v>1</v>
      </c>
      <c r="D217">
        <v>8048</v>
      </c>
      <c r="E217">
        <v>8123</v>
      </c>
      <c r="F217">
        <v>8</v>
      </c>
      <c r="G217">
        <v>5.2</v>
      </c>
      <c r="H217">
        <v>1.5384616</v>
      </c>
      <c r="I217">
        <v>-0.53846156999999994</v>
      </c>
      <c r="J217">
        <v>0.39393938000000001</v>
      </c>
    </row>
    <row r="218" spans="1:10" x14ac:dyDescent="0.3">
      <c r="A218">
        <v>216</v>
      </c>
      <c r="B218">
        <v>3436</v>
      </c>
      <c r="C218" t="b">
        <v>1</v>
      </c>
      <c r="D218">
        <v>8048</v>
      </c>
      <c r="E218">
        <v>8123</v>
      </c>
      <c r="F218">
        <v>8</v>
      </c>
      <c r="G218">
        <v>5.2</v>
      </c>
      <c r="H218">
        <v>1.5384616</v>
      </c>
      <c r="I218">
        <v>-0.53846156999999994</v>
      </c>
      <c r="J218">
        <v>0.39393938000000001</v>
      </c>
    </row>
    <row r="219" spans="1:10" x14ac:dyDescent="0.3">
      <c r="A219">
        <v>217</v>
      </c>
      <c r="B219">
        <v>3452</v>
      </c>
      <c r="C219" t="b">
        <v>1</v>
      </c>
      <c r="D219">
        <v>8048</v>
      </c>
      <c r="E219">
        <v>8123</v>
      </c>
      <c r="F219">
        <v>8</v>
      </c>
      <c r="G219">
        <v>5.2</v>
      </c>
      <c r="H219">
        <v>1.5384616</v>
      </c>
      <c r="I219">
        <v>-0.53846156999999994</v>
      </c>
      <c r="J219">
        <v>0.39393938000000001</v>
      </c>
    </row>
    <row r="220" spans="1:10" x14ac:dyDescent="0.3">
      <c r="A220">
        <v>218</v>
      </c>
      <c r="B220">
        <v>3468</v>
      </c>
      <c r="C220" t="b">
        <v>1</v>
      </c>
      <c r="D220">
        <v>8042</v>
      </c>
      <c r="E220">
        <v>8123</v>
      </c>
      <c r="F220">
        <v>8</v>
      </c>
      <c r="G220">
        <v>5.2</v>
      </c>
      <c r="H220">
        <v>1.5384616</v>
      </c>
      <c r="I220">
        <v>-0.53846156999999994</v>
      </c>
      <c r="J220">
        <v>0.39393938000000001</v>
      </c>
    </row>
    <row r="221" spans="1:10" x14ac:dyDescent="0.3">
      <c r="A221">
        <v>219</v>
      </c>
      <c r="B221">
        <v>3484</v>
      </c>
      <c r="C221" t="b">
        <v>1</v>
      </c>
      <c r="D221">
        <v>8048</v>
      </c>
      <c r="E221">
        <v>8123</v>
      </c>
      <c r="F221">
        <v>8</v>
      </c>
      <c r="G221">
        <v>5.2</v>
      </c>
      <c r="H221">
        <v>1.5384616</v>
      </c>
      <c r="I221">
        <v>-0.53846156999999994</v>
      </c>
      <c r="J221">
        <v>0.39393938000000001</v>
      </c>
    </row>
    <row r="222" spans="1:10" x14ac:dyDescent="0.3">
      <c r="A222">
        <v>220</v>
      </c>
      <c r="B222">
        <v>3500</v>
      </c>
      <c r="C222" t="b">
        <v>1</v>
      </c>
      <c r="D222">
        <v>8048</v>
      </c>
      <c r="E222">
        <v>8117</v>
      </c>
      <c r="F222">
        <v>8</v>
      </c>
      <c r="G222">
        <v>5.2</v>
      </c>
      <c r="H222">
        <v>1.5384616</v>
      </c>
      <c r="I222">
        <v>-0.53846156999999994</v>
      </c>
      <c r="J222">
        <v>0.39393938000000001</v>
      </c>
    </row>
    <row r="223" spans="1:10" x14ac:dyDescent="0.3">
      <c r="A223">
        <v>221</v>
      </c>
      <c r="B223">
        <v>3516</v>
      </c>
      <c r="C223" t="b">
        <v>1</v>
      </c>
      <c r="D223">
        <v>8054</v>
      </c>
      <c r="E223">
        <v>8123</v>
      </c>
      <c r="F223">
        <v>8</v>
      </c>
      <c r="G223">
        <v>5.2</v>
      </c>
      <c r="H223">
        <v>1.5384616</v>
      </c>
      <c r="I223">
        <v>-0.53846156999999994</v>
      </c>
      <c r="J223">
        <v>0.39393938000000001</v>
      </c>
    </row>
    <row r="224" spans="1:10" x14ac:dyDescent="0.3">
      <c r="A224">
        <v>222</v>
      </c>
      <c r="B224">
        <v>3532</v>
      </c>
      <c r="C224" t="b">
        <v>1</v>
      </c>
      <c r="D224">
        <v>8048</v>
      </c>
      <c r="E224">
        <v>8123</v>
      </c>
      <c r="F224">
        <v>8</v>
      </c>
      <c r="G224">
        <v>5.2</v>
      </c>
      <c r="H224">
        <v>1.5384616</v>
      </c>
      <c r="I224">
        <v>-0.53846156999999994</v>
      </c>
      <c r="J224">
        <v>0.39393938000000001</v>
      </c>
    </row>
    <row r="225" spans="1:10" x14ac:dyDescent="0.3">
      <c r="A225">
        <v>223</v>
      </c>
      <c r="B225">
        <v>3548</v>
      </c>
      <c r="C225" t="b">
        <v>1</v>
      </c>
      <c r="D225">
        <v>8048</v>
      </c>
      <c r="E225">
        <v>8129</v>
      </c>
      <c r="F225">
        <v>8</v>
      </c>
      <c r="G225">
        <v>5.6</v>
      </c>
      <c r="H225">
        <v>1.4285715000000001</v>
      </c>
      <c r="I225">
        <v>-0.42857146000000002</v>
      </c>
      <c r="J225">
        <v>0.41176467999999999</v>
      </c>
    </row>
    <row r="226" spans="1:10" x14ac:dyDescent="0.3">
      <c r="A226">
        <v>224</v>
      </c>
      <c r="B226">
        <v>3564</v>
      </c>
      <c r="C226" t="b">
        <v>1</v>
      </c>
      <c r="D226">
        <v>8048</v>
      </c>
      <c r="E226">
        <v>8123</v>
      </c>
      <c r="F226">
        <v>8</v>
      </c>
      <c r="G226">
        <v>6</v>
      </c>
      <c r="H226">
        <v>1.3333333999999999</v>
      </c>
      <c r="I226">
        <v>-0.33333333999999998</v>
      </c>
      <c r="J226">
        <v>0.42857142999999998</v>
      </c>
    </row>
    <row r="227" spans="1:10" x14ac:dyDescent="0.3">
      <c r="A227">
        <v>225</v>
      </c>
      <c r="B227">
        <v>3580</v>
      </c>
      <c r="C227" t="b">
        <v>1</v>
      </c>
      <c r="D227">
        <v>8048</v>
      </c>
      <c r="E227">
        <v>8123</v>
      </c>
      <c r="F227">
        <v>8</v>
      </c>
      <c r="G227">
        <v>6.8</v>
      </c>
      <c r="H227">
        <v>1.1764705</v>
      </c>
      <c r="I227">
        <v>-0.17647055</v>
      </c>
      <c r="J227">
        <v>0.45945944999999999</v>
      </c>
    </row>
    <row r="228" spans="1:10" x14ac:dyDescent="0.3">
      <c r="A228">
        <v>226</v>
      </c>
      <c r="B228">
        <v>3595</v>
      </c>
      <c r="C228" t="b">
        <v>1</v>
      </c>
      <c r="D228">
        <v>8048</v>
      </c>
      <c r="E228">
        <v>8123</v>
      </c>
      <c r="F228">
        <v>8</v>
      </c>
      <c r="G228">
        <v>7.2</v>
      </c>
      <c r="H228">
        <v>1.1111112000000001</v>
      </c>
      <c r="I228">
        <v>-0.11111114</v>
      </c>
      <c r="J228">
        <v>0.4736842</v>
      </c>
    </row>
    <row r="229" spans="1:10" x14ac:dyDescent="0.3">
      <c r="A229">
        <v>227</v>
      </c>
      <c r="B229">
        <v>3611</v>
      </c>
      <c r="C229" t="b">
        <v>1</v>
      </c>
      <c r="D229">
        <v>8042</v>
      </c>
      <c r="E229">
        <v>8123</v>
      </c>
      <c r="F229">
        <v>8</v>
      </c>
      <c r="G229">
        <v>7.6</v>
      </c>
      <c r="H229">
        <v>1.0526316</v>
      </c>
      <c r="I229">
        <v>-5.2631589999999999E-2</v>
      </c>
      <c r="J229">
        <v>0.48717946000000001</v>
      </c>
    </row>
    <row r="230" spans="1:10" x14ac:dyDescent="0.3">
      <c r="A230">
        <v>228</v>
      </c>
      <c r="B230">
        <v>3627</v>
      </c>
      <c r="C230" t="b">
        <v>1</v>
      </c>
      <c r="D230">
        <v>8042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3644</v>
      </c>
      <c r="C231" t="b">
        <v>1</v>
      </c>
      <c r="D231">
        <v>8037</v>
      </c>
      <c r="E231">
        <v>8123</v>
      </c>
      <c r="F231">
        <v>7.6</v>
      </c>
      <c r="G231">
        <v>8</v>
      </c>
      <c r="H231">
        <v>0.95</v>
      </c>
      <c r="I231">
        <v>5.0000012000000003E-2</v>
      </c>
      <c r="J231">
        <v>0.51282050000000001</v>
      </c>
    </row>
    <row r="232" spans="1:10" x14ac:dyDescent="0.3">
      <c r="A232">
        <v>230</v>
      </c>
      <c r="B232">
        <v>3660</v>
      </c>
      <c r="C232" t="b">
        <v>1</v>
      </c>
      <c r="D232">
        <v>8042</v>
      </c>
      <c r="E232">
        <v>8123</v>
      </c>
      <c r="F232">
        <v>7.2</v>
      </c>
      <c r="G232">
        <v>8</v>
      </c>
      <c r="H232">
        <v>0.9</v>
      </c>
      <c r="I232">
        <v>0.10000002400000001</v>
      </c>
      <c r="J232">
        <v>0.5263158</v>
      </c>
    </row>
    <row r="233" spans="1:10" x14ac:dyDescent="0.3">
      <c r="A233">
        <v>231</v>
      </c>
      <c r="B233">
        <v>3675</v>
      </c>
      <c r="C233" t="b">
        <v>1</v>
      </c>
      <c r="D233">
        <v>8042</v>
      </c>
      <c r="E233">
        <v>8123</v>
      </c>
      <c r="F233">
        <v>6.8</v>
      </c>
      <c r="G233">
        <v>8</v>
      </c>
      <c r="H233">
        <v>0.85</v>
      </c>
      <c r="I233">
        <v>0.14999998</v>
      </c>
      <c r="J233">
        <v>0.54054049999999998</v>
      </c>
    </row>
    <row r="234" spans="1:10" x14ac:dyDescent="0.3">
      <c r="A234">
        <v>232</v>
      </c>
      <c r="B234">
        <v>3691</v>
      </c>
      <c r="C234" t="b">
        <v>1</v>
      </c>
      <c r="D234">
        <v>8042</v>
      </c>
      <c r="E234">
        <v>8123</v>
      </c>
      <c r="F234">
        <v>6.4</v>
      </c>
      <c r="G234">
        <v>8</v>
      </c>
      <c r="H234">
        <v>0.8</v>
      </c>
      <c r="I234">
        <v>0.19999998999999999</v>
      </c>
      <c r="J234">
        <v>0.55555560000000004</v>
      </c>
    </row>
    <row r="235" spans="1:10" x14ac:dyDescent="0.3">
      <c r="A235">
        <v>233</v>
      </c>
      <c r="B235">
        <v>3707</v>
      </c>
      <c r="C235" t="b">
        <v>1</v>
      </c>
      <c r="D235">
        <v>8054</v>
      </c>
      <c r="E235">
        <v>8123</v>
      </c>
      <c r="F235">
        <v>6</v>
      </c>
      <c r="G235">
        <v>8</v>
      </c>
      <c r="H235">
        <v>0.75</v>
      </c>
      <c r="I235">
        <v>0.25</v>
      </c>
      <c r="J235">
        <v>0.57142859999999995</v>
      </c>
    </row>
    <row r="236" spans="1:10" x14ac:dyDescent="0.3">
      <c r="A236">
        <v>234</v>
      </c>
      <c r="B236">
        <v>3723</v>
      </c>
      <c r="C236" t="b">
        <v>1</v>
      </c>
      <c r="D236">
        <v>8054</v>
      </c>
      <c r="E236">
        <v>8123</v>
      </c>
      <c r="F236">
        <v>5.6</v>
      </c>
      <c r="G236">
        <v>8</v>
      </c>
      <c r="H236">
        <v>0.7</v>
      </c>
      <c r="I236">
        <v>0.3</v>
      </c>
      <c r="J236">
        <v>0.58823526000000004</v>
      </c>
    </row>
    <row r="237" spans="1:10" x14ac:dyDescent="0.3">
      <c r="A237">
        <v>235</v>
      </c>
      <c r="B237">
        <v>3739</v>
      </c>
      <c r="C237" t="b">
        <v>1</v>
      </c>
      <c r="D237">
        <v>8054</v>
      </c>
      <c r="E237">
        <v>8117</v>
      </c>
      <c r="F237">
        <v>6</v>
      </c>
      <c r="G237">
        <v>8</v>
      </c>
      <c r="H237">
        <v>0.75</v>
      </c>
      <c r="I237">
        <v>0.25</v>
      </c>
      <c r="J237">
        <v>0.57142859999999995</v>
      </c>
    </row>
    <row r="238" spans="1:10" x14ac:dyDescent="0.3">
      <c r="A238">
        <v>236</v>
      </c>
      <c r="B238">
        <v>3755</v>
      </c>
      <c r="C238" t="b">
        <v>1</v>
      </c>
      <c r="D238">
        <v>8054</v>
      </c>
      <c r="E238">
        <v>8123</v>
      </c>
      <c r="F238">
        <v>6.4</v>
      </c>
      <c r="G238">
        <v>8</v>
      </c>
      <c r="H238">
        <v>0.8</v>
      </c>
      <c r="I238">
        <v>0.19999998999999999</v>
      </c>
      <c r="J238">
        <v>0.55555560000000004</v>
      </c>
    </row>
    <row r="239" spans="1:10" x14ac:dyDescent="0.3">
      <c r="A239">
        <v>237</v>
      </c>
      <c r="B239">
        <v>3771</v>
      </c>
      <c r="C239" t="b">
        <v>1</v>
      </c>
      <c r="D239">
        <v>8054</v>
      </c>
      <c r="E239">
        <v>8117</v>
      </c>
      <c r="F239">
        <v>6.8</v>
      </c>
      <c r="G239">
        <v>8</v>
      </c>
      <c r="H239">
        <v>0.85</v>
      </c>
      <c r="I239">
        <v>0.14999998</v>
      </c>
      <c r="J239">
        <v>0.54054049999999998</v>
      </c>
    </row>
    <row r="240" spans="1:10" x14ac:dyDescent="0.3">
      <c r="A240">
        <v>238</v>
      </c>
      <c r="B240">
        <v>3787</v>
      </c>
      <c r="C240" t="b">
        <v>1</v>
      </c>
      <c r="D240">
        <v>8054</v>
      </c>
      <c r="E240">
        <v>8123</v>
      </c>
      <c r="F240">
        <v>7.2</v>
      </c>
      <c r="G240">
        <v>8</v>
      </c>
      <c r="H240">
        <v>0.9</v>
      </c>
      <c r="I240">
        <v>0.10000002400000001</v>
      </c>
      <c r="J240">
        <v>0.5263158</v>
      </c>
    </row>
    <row r="241" spans="1:10" x14ac:dyDescent="0.3">
      <c r="A241">
        <v>239</v>
      </c>
      <c r="B241">
        <v>3803</v>
      </c>
      <c r="C241" t="b">
        <v>1</v>
      </c>
      <c r="D241">
        <v>8054</v>
      </c>
      <c r="E241">
        <v>8123</v>
      </c>
      <c r="F241">
        <v>7.6</v>
      </c>
      <c r="G241">
        <v>8</v>
      </c>
      <c r="H241">
        <v>0.95</v>
      </c>
      <c r="I241">
        <v>5.0000012000000003E-2</v>
      </c>
      <c r="J241">
        <v>0.51282050000000001</v>
      </c>
    </row>
    <row r="242" spans="1:10" x14ac:dyDescent="0.3">
      <c r="A242">
        <v>240</v>
      </c>
      <c r="B242">
        <v>3819</v>
      </c>
      <c r="C242" t="b">
        <v>1</v>
      </c>
      <c r="D242">
        <v>8048</v>
      </c>
      <c r="E242">
        <v>8123</v>
      </c>
      <c r="F242">
        <v>8</v>
      </c>
      <c r="G242">
        <v>8</v>
      </c>
      <c r="H242">
        <v>1</v>
      </c>
      <c r="I242">
        <v>0</v>
      </c>
      <c r="J242">
        <v>0.5</v>
      </c>
    </row>
    <row r="243" spans="1:10" x14ac:dyDescent="0.3">
      <c r="A243">
        <v>241</v>
      </c>
      <c r="B243">
        <v>3835</v>
      </c>
      <c r="C243" t="b">
        <v>1</v>
      </c>
      <c r="D243">
        <v>8048</v>
      </c>
      <c r="E243">
        <v>8123</v>
      </c>
      <c r="F243">
        <v>8.4</v>
      </c>
      <c r="G243">
        <v>8</v>
      </c>
      <c r="H243">
        <v>1.05</v>
      </c>
      <c r="I243">
        <v>-4.9999952E-2</v>
      </c>
      <c r="J243">
        <v>0.48780489999999999</v>
      </c>
    </row>
    <row r="244" spans="1:10" x14ac:dyDescent="0.3">
      <c r="A244">
        <v>242</v>
      </c>
      <c r="B244">
        <v>3851</v>
      </c>
      <c r="C244" t="b">
        <v>1</v>
      </c>
      <c r="D244">
        <v>8054</v>
      </c>
      <c r="E244">
        <v>8117</v>
      </c>
      <c r="F244">
        <v>8.8000000000000007</v>
      </c>
      <c r="G244">
        <v>8</v>
      </c>
      <c r="H244">
        <v>1.1000000000000001</v>
      </c>
      <c r="I244">
        <v>-0.10000002400000001</v>
      </c>
      <c r="J244">
        <v>0.47619050000000002</v>
      </c>
    </row>
    <row r="245" spans="1:10" x14ac:dyDescent="0.3">
      <c r="A245">
        <v>243</v>
      </c>
      <c r="B245">
        <v>3867</v>
      </c>
      <c r="C245" t="b">
        <v>1</v>
      </c>
      <c r="D245">
        <v>8054</v>
      </c>
      <c r="E245">
        <v>8123</v>
      </c>
      <c r="F245">
        <v>9.1999999999999993</v>
      </c>
      <c r="G245">
        <v>8</v>
      </c>
      <c r="H245">
        <v>1.1499999999999999</v>
      </c>
      <c r="I245">
        <v>-0.14999998</v>
      </c>
      <c r="J245">
        <v>0.46511626</v>
      </c>
    </row>
    <row r="246" spans="1:10" x14ac:dyDescent="0.3">
      <c r="A246">
        <v>244</v>
      </c>
      <c r="B246">
        <v>3882</v>
      </c>
      <c r="C246" t="b">
        <v>1</v>
      </c>
      <c r="D246">
        <v>8048</v>
      </c>
      <c r="E246">
        <v>8123</v>
      </c>
      <c r="F246">
        <v>9.6</v>
      </c>
      <c r="G246">
        <v>8</v>
      </c>
      <c r="H246">
        <v>1.2</v>
      </c>
      <c r="I246">
        <v>-0.20000005000000001</v>
      </c>
      <c r="J246">
        <v>0.45454544000000002</v>
      </c>
    </row>
    <row r="247" spans="1:10" x14ac:dyDescent="0.3">
      <c r="A247">
        <v>245</v>
      </c>
      <c r="B247">
        <v>3898</v>
      </c>
      <c r="C247" t="b">
        <v>1</v>
      </c>
      <c r="D247">
        <v>8048</v>
      </c>
      <c r="E247">
        <v>8123</v>
      </c>
      <c r="F247">
        <v>10</v>
      </c>
      <c r="G247">
        <v>8</v>
      </c>
      <c r="H247">
        <v>1.25</v>
      </c>
      <c r="I247">
        <v>-0.25</v>
      </c>
      <c r="J247">
        <v>0.44444444999999999</v>
      </c>
    </row>
    <row r="248" spans="1:10" x14ac:dyDescent="0.3">
      <c r="A248">
        <v>246</v>
      </c>
      <c r="B248">
        <v>3914</v>
      </c>
      <c r="C248" t="b">
        <v>1</v>
      </c>
      <c r="D248">
        <v>8048</v>
      </c>
      <c r="E248">
        <v>8123</v>
      </c>
      <c r="F248">
        <v>10.4</v>
      </c>
      <c r="G248">
        <v>8</v>
      </c>
      <c r="H248">
        <v>1.3</v>
      </c>
      <c r="I248">
        <v>-0.29999995000000002</v>
      </c>
      <c r="J248">
        <v>0.43478262000000001</v>
      </c>
    </row>
    <row r="249" spans="1:10" x14ac:dyDescent="0.3">
      <c r="A249">
        <v>247</v>
      </c>
      <c r="B249">
        <v>3930</v>
      </c>
      <c r="C249" t="b">
        <v>1</v>
      </c>
      <c r="D249">
        <v>8054</v>
      </c>
      <c r="E249">
        <v>8123</v>
      </c>
      <c r="F249">
        <v>10.8</v>
      </c>
      <c r="G249">
        <v>8</v>
      </c>
      <c r="H249">
        <v>1.35</v>
      </c>
      <c r="I249">
        <v>-0.35000002000000002</v>
      </c>
      <c r="J249">
        <v>0.42553192000000001</v>
      </c>
    </row>
    <row r="250" spans="1:10" x14ac:dyDescent="0.3">
      <c r="A250">
        <v>248</v>
      </c>
      <c r="B250">
        <v>3946</v>
      </c>
      <c r="C250" t="b">
        <v>1</v>
      </c>
      <c r="D250">
        <v>8048</v>
      </c>
      <c r="E250">
        <v>8123</v>
      </c>
      <c r="F250">
        <v>11.2</v>
      </c>
      <c r="G250">
        <v>8</v>
      </c>
      <c r="H250">
        <v>1.4</v>
      </c>
      <c r="I250">
        <v>-0.39999997999999998</v>
      </c>
      <c r="J250">
        <v>0.41666666000000002</v>
      </c>
    </row>
    <row r="251" spans="1:10" x14ac:dyDescent="0.3">
      <c r="A251">
        <v>249</v>
      </c>
      <c r="B251">
        <v>3962</v>
      </c>
      <c r="C251" t="b">
        <v>1</v>
      </c>
      <c r="D251">
        <v>8048</v>
      </c>
      <c r="E251">
        <v>8123</v>
      </c>
      <c r="F251">
        <v>11.6</v>
      </c>
      <c r="G251">
        <v>8</v>
      </c>
      <c r="H251">
        <v>1.45</v>
      </c>
      <c r="I251">
        <v>-0.45000004999999998</v>
      </c>
      <c r="J251">
        <v>0.40816324999999998</v>
      </c>
    </row>
    <row r="252" spans="1:10" x14ac:dyDescent="0.3">
      <c r="A252">
        <v>250</v>
      </c>
      <c r="B252">
        <v>3978</v>
      </c>
      <c r="C252" t="b">
        <v>1</v>
      </c>
      <c r="D252">
        <v>8048</v>
      </c>
      <c r="E252">
        <v>8123</v>
      </c>
      <c r="F252">
        <v>11.2</v>
      </c>
      <c r="G252">
        <v>8</v>
      </c>
      <c r="H252">
        <v>1.4</v>
      </c>
      <c r="I252">
        <v>-0.39999997999999998</v>
      </c>
      <c r="J252">
        <v>0.41666666000000002</v>
      </c>
    </row>
    <row r="253" spans="1:10" x14ac:dyDescent="0.3">
      <c r="A253">
        <v>251</v>
      </c>
      <c r="B253">
        <v>3994</v>
      </c>
      <c r="C253" t="b">
        <v>1</v>
      </c>
      <c r="D253">
        <v>8048</v>
      </c>
      <c r="E253">
        <v>8117</v>
      </c>
      <c r="F253">
        <v>10.8</v>
      </c>
      <c r="G253">
        <v>8</v>
      </c>
      <c r="H253">
        <v>1.35</v>
      </c>
      <c r="I253">
        <v>-0.35000002000000002</v>
      </c>
      <c r="J253">
        <v>0.42553192000000001</v>
      </c>
    </row>
    <row r="254" spans="1:10" x14ac:dyDescent="0.3">
      <c r="A254">
        <v>252</v>
      </c>
      <c r="B254">
        <v>4010</v>
      </c>
      <c r="C254" t="b">
        <v>1</v>
      </c>
      <c r="D254">
        <v>8048</v>
      </c>
      <c r="E254">
        <v>8123</v>
      </c>
      <c r="F254">
        <v>10.4</v>
      </c>
      <c r="G254">
        <v>8</v>
      </c>
      <c r="H254">
        <v>1.3</v>
      </c>
      <c r="I254">
        <v>-0.29999995000000002</v>
      </c>
      <c r="J254">
        <v>0.43478262000000001</v>
      </c>
    </row>
    <row r="255" spans="1:10" x14ac:dyDescent="0.3">
      <c r="A255">
        <v>253</v>
      </c>
      <c r="B255">
        <v>4026</v>
      </c>
      <c r="C255" t="b">
        <v>1</v>
      </c>
      <c r="D255">
        <v>8054</v>
      </c>
      <c r="E255">
        <v>8117</v>
      </c>
      <c r="F255">
        <v>10</v>
      </c>
      <c r="G255">
        <v>8</v>
      </c>
      <c r="H255">
        <v>1.25</v>
      </c>
      <c r="I255">
        <v>-0.25</v>
      </c>
      <c r="J255">
        <v>0.44444444999999999</v>
      </c>
    </row>
    <row r="256" spans="1:10" x14ac:dyDescent="0.3">
      <c r="A256">
        <v>254</v>
      </c>
      <c r="B256">
        <v>4042</v>
      </c>
      <c r="C256" t="b">
        <v>1</v>
      </c>
      <c r="D256">
        <v>8048</v>
      </c>
      <c r="E256">
        <v>8117</v>
      </c>
      <c r="F256">
        <v>9.6</v>
      </c>
      <c r="G256">
        <v>7.6</v>
      </c>
      <c r="H256">
        <v>1.263158</v>
      </c>
      <c r="I256">
        <v>-0.26315796000000002</v>
      </c>
      <c r="J256">
        <v>0.44186044000000002</v>
      </c>
    </row>
    <row r="257" spans="1:10" x14ac:dyDescent="0.3">
      <c r="A257">
        <v>255</v>
      </c>
      <c r="B257">
        <v>4058</v>
      </c>
      <c r="C257" t="b">
        <v>1</v>
      </c>
      <c r="D257">
        <v>8048</v>
      </c>
      <c r="E257">
        <v>8123</v>
      </c>
      <c r="F257">
        <v>9.1999999999999993</v>
      </c>
      <c r="G257">
        <v>7.2</v>
      </c>
      <c r="H257">
        <v>1.2777778</v>
      </c>
      <c r="I257">
        <v>-0.27777780000000002</v>
      </c>
      <c r="J257">
        <v>0.43902439999999998</v>
      </c>
    </row>
    <row r="258" spans="1:10" x14ac:dyDescent="0.3">
      <c r="A258">
        <v>256</v>
      </c>
      <c r="B258">
        <v>4073</v>
      </c>
      <c r="C258" t="b">
        <v>1</v>
      </c>
      <c r="D258">
        <v>8054</v>
      </c>
      <c r="E258">
        <v>8123</v>
      </c>
      <c r="F258">
        <v>8.8000000000000007</v>
      </c>
      <c r="G258">
        <v>7.2</v>
      </c>
      <c r="H258">
        <v>1.2222223000000001</v>
      </c>
      <c r="I258">
        <v>-0.22222227999999999</v>
      </c>
      <c r="J258">
        <v>0.45</v>
      </c>
    </row>
    <row r="259" spans="1:10" x14ac:dyDescent="0.3">
      <c r="A259">
        <v>257</v>
      </c>
      <c r="B259">
        <v>4089</v>
      </c>
      <c r="C259" t="b">
        <v>1</v>
      </c>
      <c r="D259">
        <v>8048</v>
      </c>
      <c r="E259">
        <v>8117</v>
      </c>
      <c r="F259">
        <v>8.4</v>
      </c>
      <c r="G259">
        <v>6.8</v>
      </c>
      <c r="H259">
        <v>1.2352939999999999</v>
      </c>
      <c r="I259">
        <v>-0.23529402999999999</v>
      </c>
      <c r="J259">
        <v>0.44736843999999998</v>
      </c>
    </row>
    <row r="260" spans="1:10" x14ac:dyDescent="0.3">
      <c r="A260">
        <v>258</v>
      </c>
      <c r="B260">
        <v>4105</v>
      </c>
      <c r="C260" t="b">
        <v>1</v>
      </c>
      <c r="D260">
        <v>8048</v>
      </c>
      <c r="E260">
        <v>8123</v>
      </c>
      <c r="F260">
        <v>8</v>
      </c>
      <c r="G260">
        <v>6.8</v>
      </c>
      <c r="H260">
        <v>1.1764705</v>
      </c>
      <c r="I260">
        <v>-0.17647055</v>
      </c>
      <c r="J260">
        <v>0.45945944999999999</v>
      </c>
    </row>
    <row r="261" spans="1:10" x14ac:dyDescent="0.3">
      <c r="A261">
        <v>259</v>
      </c>
      <c r="B261">
        <v>4121</v>
      </c>
      <c r="C261" t="b">
        <v>1</v>
      </c>
      <c r="D261">
        <v>8048</v>
      </c>
      <c r="E261">
        <v>8123</v>
      </c>
      <c r="F261">
        <v>8</v>
      </c>
      <c r="G261">
        <v>6.8</v>
      </c>
      <c r="H261">
        <v>1.1764705</v>
      </c>
      <c r="I261">
        <v>-0.17647055</v>
      </c>
      <c r="J261">
        <v>0.45945944999999999</v>
      </c>
    </row>
    <row r="262" spans="1:10" x14ac:dyDescent="0.3">
      <c r="A262">
        <v>260</v>
      </c>
      <c r="B262">
        <v>4137</v>
      </c>
      <c r="C262" t="b">
        <v>1</v>
      </c>
      <c r="D262">
        <v>8054</v>
      </c>
      <c r="E262">
        <v>8123</v>
      </c>
      <c r="F262">
        <v>8</v>
      </c>
      <c r="G262">
        <v>6.8</v>
      </c>
      <c r="H262">
        <v>1.1764705</v>
      </c>
      <c r="I262">
        <v>-0.17647055</v>
      </c>
      <c r="J262">
        <v>0.45945944999999999</v>
      </c>
    </row>
    <row r="263" spans="1:10" x14ac:dyDescent="0.3">
      <c r="A263">
        <v>261</v>
      </c>
      <c r="B263">
        <v>4153</v>
      </c>
      <c r="C263" t="b">
        <v>1</v>
      </c>
      <c r="D263">
        <v>8054</v>
      </c>
      <c r="E263">
        <v>8123</v>
      </c>
      <c r="F263">
        <v>8</v>
      </c>
      <c r="G263">
        <v>6.8</v>
      </c>
      <c r="H263">
        <v>1.1764705</v>
      </c>
      <c r="I263">
        <v>-0.17647055</v>
      </c>
      <c r="J263">
        <v>0.45945944999999999</v>
      </c>
    </row>
    <row r="264" spans="1:10" x14ac:dyDescent="0.3">
      <c r="A264">
        <v>262</v>
      </c>
      <c r="B264">
        <v>4169</v>
      </c>
      <c r="C264" t="b">
        <v>1</v>
      </c>
      <c r="D264">
        <v>8054</v>
      </c>
      <c r="E264">
        <v>8117</v>
      </c>
      <c r="F264">
        <v>8.4</v>
      </c>
      <c r="G264">
        <v>6.8</v>
      </c>
      <c r="H264">
        <v>1.2352939999999999</v>
      </c>
      <c r="I264">
        <v>-0.23529402999999999</v>
      </c>
      <c r="J264">
        <v>0.44736843999999998</v>
      </c>
    </row>
    <row r="265" spans="1:10" x14ac:dyDescent="0.3">
      <c r="A265">
        <v>263</v>
      </c>
      <c r="B265">
        <v>4185</v>
      </c>
      <c r="C265" t="b">
        <v>1</v>
      </c>
      <c r="D265">
        <v>8054</v>
      </c>
      <c r="E265">
        <v>8123</v>
      </c>
      <c r="F265">
        <v>8.8000000000000007</v>
      </c>
      <c r="G265">
        <v>6.8</v>
      </c>
      <c r="H265">
        <v>1.2941176999999999</v>
      </c>
      <c r="I265">
        <v>-0.29411763000000002</v>
      </c>
      <c r="J265">
        <v>0.43589744000000002</v>
      </c>
    </row>
    <row r="266" spans="1:10" x14ac:dyDescent="0.3">
      <c r="A266">
        <v>264</v>
      </c>
      <c r="B266">
        <v>4201</v>
      </c>
      <c r="C266" t="b">
        <v>1</v>
      </c>
      <c r="D266">
        <v>8048</v>
      </c>
      <c r="E266">
        <v>8117</v>
      </c>
      <c r="F266">
        <v>9.1999999999999993</v>
      </c>
      <c r="G266">
        <v>6.8</v>
      </c>
      <c r="H266">
        <v>1.3529412000000001</v>
      </c>
      <c r="I266">
        <v>-0.35294110000000001</v>
      </c>
      <c r="J266">
        <v>0.42499999999999999</v>
      </c>
    </row>
    <row r="267" spans="1:10" x14ac:dyDescent="0.3">
      <c r="A267">
        <v>265</v>
      </c>
      <c r="B267">
        <v>4217</v>
      </c>
      <c r="C267" t="b">
        <v>1</v>
      </c>
      <c r="D267">
        <v>8048</v>
      </c>
      <c r="E267">
        <v>8117</v>
      </c>
      <c r="F267">
        <v>9.6</v>
      </c>
      <c r="G267">
        <v>6.4</v>
      </c>
      <c r="H267">
        <v>1.5</v>
      </c>
      <c r="I267">
        <v>-0.50000005999999997</v>
      </c>
      <c r="J267">
        <v>0.4</v>
      </c>
    </row>
    <row r="268" spans="1:10" x14ac:dyDescent="0.3">
      <c r="A268">
        <v>266</v>
      </c>
      <c r="B268">
        <v>4232</v>
      </c>
      <c r="C268" t="b">
        <v>1</v>
      </c>
      <c r="D268">
        <v>8054</v>
      </c>
      <c r="E268">
        <v>8123</v>
      </c>
      <c r="F268">
        <v>10</v>
      </c>
      <c r="G268">
        <v>6</v>
      </c>
      <c r="H268">
        <v>1.6666666000000001</v>
      </c>
      <c r="I268">
        <v>-0.66666669999999995</v>
      </c>
      <c r="J268">
        <v>0.375</v>
      </c>
    </row>
    <row r="269" spans="1:10" x14ac:dyDescent="0.3">
      <c r="A269">
        <v>267</v>
      </c>
      <c r="B269">
        <v>4248</v>
      </c>
      <c r="C269" t="b">
        <v>1</v>
      </c>
      <c r="D269">
        <v>8048</v>
      </c>
      <c r="E269">
        <v>8123</v>
      </c>
      <c r="F269">
        <v>10</v>
      </c>
      <c r="G269">
        <v>6</v>
      </c>
      <c r="H269">
        <v>1.6666666000000001</v>
      </c>
      <c r="I269">
        <v>-0.66666669999999995</v>
      </c>
      <c r="J269">
        <v>0.375</v>
      </c>
    </row>
    <row r="270" spans="1:10" x14ac:dyDescent="0.3">
      <c r="A270">
        <v>268</v>
      </c>
      <c r="B270">
        <v>4264</v>
      </c>
      <c r="C270" t="b">
        <v>1</v>
      </c>
      <c r="D270">
        <v>8048</v>
      </c>
      <c r="E270">
        <v>8117</v>
      </c>
      <c r="F270">
        <v>10</v>
      </c>
      <c r="G270">
        <v>5.6</v>
      </c>
      <c r="H270">
        <v>1.7857143</v>
      </c>
      <c r="I270">
        <v>-0.78571429999999998</v>
      </c>
      <c r="J270">
        <v>0.35897434</v>
      </c>
    </row>
    <row r="271" spans="1:10" x14ac:dyDescent="0.3">
      <c r="A271">
        <v>269</v>
      </c>
      <c r="B271">
        <v>4279</v>
      </c>
      <c r="C271" t="b">
        <v>1</v>
      </c>
      <c r="D271">
        <v>8048</v>
      </c>
      <c r="E271">
        <v>8123</v>
      </c>
      <c r="F271">
        <v>10</v>
      </c>
      <c r="G271">
        <v>6</v>
      </c>
      <c r="H271">
        <v>1.6666666000000001</v>
      </c>
      <c r="I271">
        <v>-0.66666669999999995</v>
      </c>
      <c r="J271">
        <v>0.375</v>
      </c>
    </row>
    <row r="272" spans="1:10" x14ac:dyDescent="0.3">
      <c r="A272">
        <v>270</v>
      </c>
      <c r="B272">
        <v>4295</v>
      </c>
      <c r="C272" t="b">
        <v>1</v>
      </c>
      <c r="D272">
        <v>8048</v>
      </c>
      <c r="E272">
        <v>8123</v>
      </c>
      <c r="F272">
        <v>10</v>
      </c>
      <c r="G272">
        <v>6.4</v>
      </c>
      <c r="H272">
        <v>1.5625</v>
      </c>
      <c r="I272">
        <v>-0.5625</v>
      </c>
      <c r="J272">
        <v>0.39024392000000002</v>
      </c>
    </row>
    <row r="273" spans="1:10" x14ac:dyDescent="0.3">
      <c r="A273">
        <v>271</v>
      </c>
      <c r="B273">
        <v>4311</v>
      </c>
      <c r="C273" t="b">
        <v>1</v>
      </c>
      <c r="D273">
        <v>8048</v>
      </c>
      <c r="E273">
        <v>8123</v>
      </c>
      <c r="F273">
        <v>10</v>
      </c>
      <c r="G273">
        <v>6.4</v>
      </c>
      <c r="H273">
        <v>1.5625</v>
      </c>
      <c r="I273">
        <v>-0.5625</v>
      </c>
      <c r="J273">
        <v>0.39024392000000002</v>
      </c>
    </row>
    <row r="274" spans="1:10" x14ac:dyDescent="0.3">
      <c r="A274">
        <v>272</v>
      </c>
      <c r="B274">
        <v>4327</v>
      </c>
      <c r="C274" t="b">
        <v>1</v>
      </c>
      <c r="D274">
        <v>8048</v>
      </c>
      <c r="E274">
        <v>8117</v>
      </c>
      <c r="F274">
        <v>10</v>
      </c>
      <c r="G274">
        <v>6.8</v>
      </c>
      <c r="H274">
        <v>1.4705881999999999</v>
      </c>
      <c r="I274">
        <v>-0.47058820000000001</v>
      </c>
      <c r="J274">
        <v>0.40476193999999999</v>
      </c>
    </row>
    <row r="275" spans="1:10" x14ac:dyDescent="0.3">
      <c r="A275">
        <v>273</v>
      </c>
      <c r="B275">
        <v>4343</v>
      </c>
      <c r="C275" t="b">
        <v>1</v>
      </c>
      <c r="D275">
        <v>8048</v>
      </c>
      <c r="E275">
        <v>8123</v>
      </c>
      <c r="F275">
        <v>10</v>
      </c>
      <c r="G275">
        <v>6.8</v>
      </c>
      <c r="H275">
        <v>1.4705881999999999</v>
      </c>
      <c r="I275">
        <v>-0.47058820000000001</v>
      </c>
      <c r="J275">
        <v>0.40476193999999999</v>
      </c>
    </row>
    <row r="276" spans="1:10" x14ac:dyDescent="0.3">
      <c r="A276">
        <v>274</v>
      </c>
      <c r="B276">
        <v>4359</v>
      </c>
      <c r="C276" t="b">
        <v>1</v>
      </c>
      <c r="D276">
        <v>8048</v>
      </c>
      <c r="E276">
        <v>8123</v>
      </c>
      <c r="F276">
        <v>10</v>
      </c>
      <c r="G276">
        <v>6.8</v>
      </c>
      <c r="H276">
        <v>1.4705881999999999</v>
      </c>
      <c r="I276">
        <v>-0.47058820000000001</v>
      </c>
      <c r="J276">
        <v>0.40476193999999999</v>
      </c>
    </row>
    <row r="277" spans="1:10" x14ac:dyDescent="0.3">
      <c r="A277">
        <v>275</v>
      </c>
      <c r="B277">
        <v>4375</v>
      </c>
      <c r="C277" t="b">
        <v>1</v>
      </c>
      <c r="D277">
        <v>8054</v>
      </c>
      <c r="E277">
        <v>8117</v>
      </c>
      <c r="F277">
        <v>10</v>
      </c>
      <c r="G277">
        <v>6.8</v>
      </c>
      <c r="H277">
        <v>1.4705881999999999</v>
      </c>
      <c r="I277">
        <v>-0.47058820000000001</v>
      </c>
      <c r="J277">
        <v>0.40476193999999999</v>
      </c>
    </row>
    <row r="278" spans="1:10" x14ac:dyDescent="0.3">
      <c r="A278">
        <v>276</v>
      </c>
      <c r="B278">
        <v>4391</v>
      </c>
      <c r="C278" t="b">
        <v>1</v>
      </c>
      <c r="D278">
        <v>8048</v>
      </c>
      <c r="E278">
        <v>8117</v>
      </c>
      <c r="F278">
        <v>10</v>
      </c>
      <c r="G278">
        <v>6.4</v>
      </c>
      <c r="H278">
        <v>1.5625</v>
      </c>
      <c r="I278">
        <v>-0.5625</v>
      </c>
      <c r="J278">
        <v>0.39024392000000002</v>
      </c>
    </row>
    <row r="279" spans="1:10" x14ac:dyDescent="0.3">
      <c r="A279">
        <v>277</v>
      </c>
      <c r="B279">
        <v>4407</v>
      </c>
      <c r="C279" t="b">
        <v>1</v>
      </c>
      <c r="D279">
        <v>8048</v>
      </c>
      <c r="E279">
        <v>8123</v>
      </c>
      <c r="F279">
        <v>9.6</v>
      </c>
      <c r="G279">
        <v>6.4</v>
      </c>
      <c r="H279">
        <v>1.5</v>
      </c>
      <c r="I279">
        <v>-0.50000005999999997</v>
      </c>
      <c r="J279">
        <v>0.4</v>
      </c>
    </row>
    <row r="280" spans="1:10" x14ac:dyDescent="0.3">
      <c r="A280">
        <v>278</v>
      </c>
      <c r="B280">
        <v>4422</v>
      </c>
      <c r="C280" t="b">
        <v>1</v>
      </c>
      <c r="D280">
        <v>8048</v>
      </c>
      <c r="E280">
        <v>8123</v>
      </c>
      <c r="F280">
        <v>9.1999999999999993</v>
      </c>
      <c r="G280">
        <v>6.4</v>
      </c>
      <c r="H280">
        <v>1.4375</v>
      </c>
      <c r="I280">
        <v>-0.43749993999999998</v>
      </c>
      <c r="J280">
        <v>0.41025642000000001</v>
      </c>
    </row>
    <row r="281" spans="1:10" x14ac:dyDescent="0.3">
      <c r="A281">
        <v>279</v>
      </c>
      <c r="B281">
        <v>4438</v>
      </c>
      <c r="C281" t="b">
        <v>1</v>
      </c>
      <c r="D281">
        <v>8048</v>
      </c>
      <c r="E281">
        <v>8123</v>
      </c>
      <c r="F281">
        <v>8.8000000000000007</v>
      </c>
      <c r="G281">
        <v>6.4</v>
      </c>
      <c r="H281">
        <v>1.375</v>
      </c>
      <c r="I281">
        <v>-0.375</v>
      </c>
      <c r="J281">
        <v>0.4210526</v>
      </c>
    </row>
    <row r="282" spans="1:10" x14ac:dyDescent="0.3">
      <c r="A282">
        <v>280</v>
      </c>
      <c r="B282">
        <v>4454</v>
      </c>
      <c r="C282" t="b">
        <v>1</v>
      </c>
      <c r="D282">
        <v>8048</v>
      </c>
      <c r="E282">
        <v>8129</v>
      </c>
      <c r="F282">
        <v>8.4</v>
      </c>
      <c r="G282">
        <v>6.8</v>
      </c>
      <c r="H282">
        <v>1.2352939999999999</v>
      </c>
      <c r="I282">
        <v>-0.23529402999999999</v>
      </c>
      <c r="J282">
        <v>0.44736843999999998</v>
      </c>
    </row>
    <row r="283" spans="1:10" x14ac:dyDescent="0.3">
      <c r="A283">
        <v>281</v>
      </c>
      <c r="B283">
        <v>4470</v>
      </c>
      <c r="C283" t="b">
        <v>1</v>
      </c>
      <c r="D283">
        <v>8048</v>
      </c>
      <c r="E283">
        <v>8129</v>
      </c>
      <c r="F283">
        <v>8</v>
      </c>
      <c r="G283">
        <v>7.2</v>
      </c>
      <c r="H283">
        <v>1.1111112000000001</v>
      </c>
      <c r="I283">
        <v>-0.11111114</v>
      </c>
      <c r="J283">
        <v>0.4736842</v>
      </c>
    </row>
    <row r="284" spans="1:10" x14ac:dyDescent="0.3">
      <c r="A284">
        <v>282</v>
      </c>
      <c r="B284">
        <v>4486</v>
      </c>
      <c r="C284" t="b">
        <v>1</v>
      </c>
      <c r="D284">
        <v>8048</v>
      </c>
      <c r="E284">
        <v>8123</v>
      </c>
      <c r="F284">
        <v>8</v>
      </c>
      <c r="G284">
        <v>7.2</v>
      </c>
      <c r="H284">
        <v>1.1111112000000001</v>
      </c>
      <c r="I284">
        <v>-0.11111114</v>
      </c>
      <c r="J284">
        <v>0.4736842</v>
      </c>
    </row>
    <row r="285" spans="1:10" x14ac:dyDescent="0.3">
      <c r="A285">
        <v>283</v>
      </c>
      <c r="B285">
        <v>4502</v>
      </c>
      <c r="C285" t="b">
        <v>1</v>
      </c>
      <c r="D285">
        <v>8048</v>
      </c>
      <c r="E285">
        <v>8129</v>
      </c>
      <c r="F285">
        <v>8</v>
      </c>
      <c r="G285">
        <v>8</v>
      </c>
      <c r="H285">
        <v>1</v>
      </c>
      <c r="I285">
        <v>0</v>
      </c>
      <c r="J285">
        <v>0.5</v>
      </c>
    </row>
    <row r="286" spans="1:10" x14ac:dyDescent="0.3">
      <c r="A286">
        <v>284</v>
      </c>
      <c r="B286">
        <v>4518</v>
      </c>
      <c r="C286" t="b">
        <v>1</v>
      </c>
      <c r="D286">
        <v>8054</v>
      </c>
      <c r="E286">
        <v>8123</v>
      </c>
      <c r="F286">
        <v>8</v>
      </c>
      <c r="G286">
        <v>8.4</v>
      </c>
      <c r="H286">
        <v>0.95238100000000003</v>
      </c>
      <c r="I286">
        <v>4.7619003999999999E-2</v>
      </c>
      <c r="J286">
        <v>0.51219510000000001</v>
      </c>
    </row>
    <row r="287" spans="1:10" x14ac:dyDescent="0.3">
      <c r="A287">
        <v>285</v>
      </c>
      <c r="B287">
        <v>4534</v>
      </c>
      <c r="C287" t="b">
        <v>1</v>
      </c>
      <c r="D287">
        <v>8054</v>
      </c>
      <c r="E287">
        <v>8129</v>
      </c>
      <c r="F287">
        <v>8</v>
      </c>
      <c r="G287">
        <v>8.8000000000000007</v>
      </c>
      <c r="H287">
        <v>0.90909090000000004</v>
      </c>
      <c r="I287">
        <v>9.0909110000000001E-2</v>
      </c>
      <c r="J287">
        <v>0.52380954999999996</v>
      </c>
    </row>
    <row r="288" spans="1:10" x14ac:dyDescent="0.3">
      <c r="A288">
        <v>286</v>
      </c>
      <c r="B288">
        <v>4550</v>
      </c>
      <c r="C288" t="b">
        <v>1</v>
      </c>
      <c r="D288">
        <v>8048</v>
      </c>
      <c r="E288">
        <v>8117</v>
      </c>
      <c r="F288">
        <v>8</v>
      </c>
      <c r="G288">
        <v>8.8000000000000007</v>
      </c>
      <c r="H288">
        <v>0.90909090000000004</v>
      </c>
      <c r="I288">
        <v>9.0909110000000001E-2</v>
      </c>
      <c r="J288">
        <v>0.52380954999999996</v>
      </c>
    </row>
    <row r="289" spans="1:10" x14ac:dyDescent="0.3">
      <c r="A289">
        <v>287</v>
      </c>
      <c r="B289">
        <v>4566</v>
      </c>
      <c r="C289" t="b">
        <v>1</v>
      </c>
      <c r="D289">
        <v>8048</v>
      </c>
      <c r="E289">
        <v>8123</v>
      </c>
      <c r="F289">
        <v>8</v>
      </c>
      <c r="G289">
        <v>8.8000000000000007</v>
      </c>
      <c r="H289">
        <v>0.90909090000000004</v>
      </c>
      <c r="I289">
        <v>9.0909110000000001E-2</v>
      </c>
      <c r="J289">
        <v>0.52380954999999996</v>
      </c>
    </row>
    <row r="290" spans="1:10" x14ac:dyDescent="0.3">
      <c r="A290">
        <v>288</v>
      </c>
      <c r="B290">
        <v>4581</v>
      </c>
      <c r="C290" t="b">
        <v>1</v>
      </c>
      <c r="D290">
        <v>8048</v>
      </c>
      <c r="E290">
        <v>8123</v>
      </c>
      <c r="F290">
        <v>8</v>
      </c>
      <c r="G290">
        <v>8.8000000000000007</v>
      </c>
      <c r="H290">
        <v>0.90909090000000004</v>
      </c>
      <c r="I290">
        <v>9.0909110000000001E-2</v>
      </c>
      <c r="J290">
        <v>0.52380954999999996</v>
      </c>
    </row>
    <row r="291" spans="1:10" x14ac:dyDescent="0.3">
      <c r="A291">
        <v>289</v>
      </c>
      <c r="B291">
        <v>4597</v>
      </c>
      <c r="C291" t="b">
        <v>1</v>
      </c>
      <c r="D291">
        <v>8048</v>
      </c>
      <c r="E291">
        <v>8123</v>
      </c>
      <c r="F291">
        <v>8</v>
      </c>
      <c r="G291">
        <v>8.8000000000000007</v>
      </c>
      <c r="H291">
        <v>0.90909090000000004</v>
      </c>
      <c r="I291">
        <v>9.0909110000000001E-2</v>
      </c>
      <c r="J291">
        <v>0.52380954999999996</v>
      </c>
    </row>
    <row r="292" spans="1:10" x14ac:dyDescent="0.3">
      <c r="A292">
        <v>290</v>
      </c>
      <c r="B292">
        <v>4613</v>
      </c>
      <c r="C292" t="b">
        <v>1</v>
      </c>
      <c r="D292">
        <v>8054</v>
      </c>
      <c r="E292">
        <v>8123</v>
      </c>
      <c r="F292">
        <v>8</v>
      </c>
      <c r="G292">
        <v>8.8000000000000007</v>
      </c>
      <c r="H292">
        <v>0.90909090000000004</v>
      </c>
      <c r="I292">
        <v>9.0909110000000001E-2</v>
      </c>
      <c r="J292">
        <v>0.52380954999999996</v>
      </c>
    </row>
    <row r="293" spans="1:10" x14ac:dyDescent="0.3">
      <c r="A293">
        <v>291</v>
      </c>
      <c r="B293">
        <v>4629</v>
      </c>
      <c r="C293" t="b">
        <v>1</v>
      </c>
      <c r="D293">
        <v>8048</v>
      </c>
      <c r="E293">
        <v>8123</v>
      </c>
      <c r="F293">
        <v>8</v>
      </c>
      <c r="G293">
        <v>9.1999999999999993</v>
      </c>
      <c r="H293">
        <v>0.86956524999999996</v>
      </c>
      <c r="I293">
        <v>0.13043477000000001</v>
      </c>
      <c r="J293">
        <v>0.53488369999999996</v>
      </c>
    </row>
    <row r="294" spans="1:10" x14ac:dyDescent="0.3">
      <c r="A294">
        <v>292</v>
      </c>
      <c r="B294">
        <v>4645</v>
      </c>
      <c r="C294" t="b">
        <v>1</v>
      </c>
      <c r="D294">
        <v>8048</v>
      </c>
      <c r="E294">
        <v>8123</v>
      </c>
      <c r="F294">
        <v>8</v>
      </c>
      <c r="G294">
        <v>9.1999999999999993</v>
      </c>
      <c r="H294">
        <v>0.86956524999999996</v>
      </c>
      <c r="I294">
        <v>0.13043477000000001</v>
      </c>
      <c r="J294">
        <v>0.53488369999999996</v>
      </c>
    </row>
    <row r="295" spans="1:10" x14ac:dyDescent="0.3">
      <c r="A295">
        <v>293</v>
      </c>
      <c r="B295">
        <v>4661</v>
      </c>
      <c r="C295" t="b">
        <v>1</v>
      </c>
      <c r="D295">
        <v>8048</v>
      </c>
      <c r="E295">
        <v>8123</v>
      </c>
      <c r="F295">
        <v>8</v>
      </c>
      <c r="G295">
        <v>9.1999999999999993</v>
      </c>
      <c r="H295">
        <v>0.86956524999999996</v>
      </c>
      <c r="I295">
        <v>0.13043477000000001</v>
      </c>
      <c r="J295">
        <v>0.53488369999999996</v>
      </c>
    </row>
    <row r="296" spans="1:10" x14ac:dyDescent="0.3">
      <c r="A296">
        <v>294</v>
      </c>
      <c r="B296">
        <v>4677</v>
      </c>
      <c r="C296" t="b">
        <v>1</v>
      </c>
      <c r="D296">
        <v>8048</v>
      </c>
      <c r="E296">
        <v>8123</v>
      </c>
      <c r="F296">
        <v>8</v>
      </c>
      <c r="G296">
        <v>9.1999999999999993</v>
      </c>
      <c r="H296">
        <v>0.86956524999999996</v>
      </c>
      <c r="I296">
        <v>0.13043477000000001</v>
      </c>
      <c r="J296">
        <v>0.53488369999999996</v>
      </c>
    </row>
    <row r="297" spans="1:10" x14ac:dyDescent="0.3">
      <c r="A297">
        <v>295</v>
      </c>
      <c r="B297">
        <v>4693</v>
      </c>
      <c r="C297" t="b">
        <v>1</v>
      </c>
      <c r="D297">
        <v>8048</v>
      </c>
      <c r="E297">
        <v>8123</v>
      </c>
      <c r="F297">
        <v>8</v>
      </c>
      <c r="G297">
        <v>9.1999999999999993</v>
      </c>
      <c r="H297">
        <v>0.86956524999999996</v>
      </c>
      <c r="I297">
        <v>0.13043477000000001</v>
      </c>
      <c r="J297">
        <v>0.53488369999999996</v>
      </c>
    </row>
    <row r="298" spans="1:10" x14ac:dyDescent="0.3">
      <c r="A298">
        <v>296</v>
      </c>
      <c r="B298">
        <v>4709</v>
      </c>
      <c r="C298" t="b">
        <v>1</v>
      </c>
      <c r="D298">
        <v>8048</v>
      </c>
      <c r="E298">
        <v>8123</v>
      </c>
      <c r="F298">
        <v>8</v>
      </c>
      <c r="G298">
        <v>9.1999999999999993</v>
      </c>
      <c r="H298">
        <v>0.86956524999999996</v>
      </c>
      <c r="I298">
        <v>0.13043477000000001</v>
      </c>
      <c r="J298">
        <v>0.53488369999999996</v>
      </c>
    </row>
    <row r="299" spans="1:10" x14ac:dyDescent="0.3">
      <c r="A299">
        <v>297</v>
      </c>
      <c r="B299">
        <v>4725</v>
      </c>
      <c r="C299" t="b">
        <v>1</v>
      </c>
      <c r="D299">
        <v>8054</v>
      </c>
      <c r="E299">
        <v>8123</v>
      </c>
      <c r="F299">
        <v>8</v>
      </c>
      <c r="G299">
        <v>9.1999999999999993</v>
      </c>
      <c r="H299">
        <v>0.86956524999999996</v>
      </c>
      <c r="I299">
        <v>0.13043477000000001</v>
      </c>
      <c r="J299">
        <v>0.53488369999999996</v>
      </c>
    </row>
    <row r="300" spans="1:10" x14ac:dyDescent="0.3">
      <c r="A300">
        <v>298</v>
      </c>
      <c r="B300">
        <v>4741</v>
      </c>
      <c r="C300" t="b">
        <v>1</v>
      </c>
      <c r="D300">
        <v>8048</v>
      </c>
      <c r="E300">
        <v>8117</v>
      </c>
      <c r="F300">
        <v>8</v>
      </c>
      <c r="G300">
        <v>8.8000000000000007</v>
      </c>
      <c r="H300">
        <v>0.90909090000000004</v>
      </c>
      <c r="I300">
        <v>9.0909110000000001E-2</v>
      </c>
      <c r="J300">
        <v>0.52380954999999996</v>
      </c>
    </row>
    <row r="301" spans="1:10" x14ac:dyDescent="0.3">
      <c r="A301">
        <v>299</v>
      </c>
      <c r="B301">
        <v>4757</v>
      </c>
      <c r="C301" t="b">
        <v>1</v>
      </c>
      <c r="D301">
        <v>8048</v>
      </c>
      <c r="E301">
        <v>8123</v>
      </c>
      <c r="F301">
        <v>8</v>
      </c>
      <c r="G301">
        <v>8.4</v>
      </c>
      <c r="H301">
        <v>0.95238100000000003</v>
      </c>
      <c r="I301">
        <v>4.7619003999999999E-2</v>
      </c>
      <c r="J301">
        <v>0.51219510000000001</v>
      </c>
    </row>
    <row r="302" spans="1:10" x14ac:dyDescent="0.3">
      <c r="A302">
        <v>300</v>
      </c>
      <c r="B302">
        <v>4772</v>
      </c>
      <c r="C302" t="b">
        <v>1</v>
      </c>
      <c r="D302">
        <v>8048</v>
      </c>
      <c r="E302">
        <v>8123</v>
      </c>
      <c r="F302">
        <v>8</v>
      </c>
      <c r="G302">
        <v>8</v>
      </c>
      <c r="H302">
        <v>1</v>
      </c>
      <c r="I302">
        <v>0</v>
      </c>
      <c r="J302">
        <v>0.5</v>
      </c>
    </row>
    <row r="303" spans="1:10" x14ac:dyDescent="0.3">
      <c r="A303">
        <v>301</v>
      </c>
      <c r="B303">
        <v>4788</v>
      </c>
      <c r="C303" t="b">
        <v>1</v>
      </c>
      <c r="D303">
        <v>8048</v>
      </c>
      <c r="E303">
        <v>8117</v>
      </c>
      <c r="F303">
        <v>8</v>
      </c>
      <c r="G303">
        <v>8</v>
      </c>
      <c r="H303">
        <v>1</v>
      </c>
      <c r="I303">
        <v>0</v>
      </c>
      <c r="J303">
        <v>0.5</v>
      </c>
    </row>
    <row r="304" spans="1:10" x14ac:dyDescent="0.3">
      <c r="A304">
        <v>302</v>
      </c>
      <c r="B304">
        <v>4804</v>
      </c>
      <c r="C304" t="b">
        <v>1</v>
      </c>
      <c r="D304">
        <v>8048</v>
      </c>
      <c r="E304">
        <v>8117</v>
      </c>
      <c r="F304">
        <v>8</v>
      </c>
      <c r="G304">
        <v>7.6</v>
      </c>
      <c r="H304">
        <v>1.0526316</v>
      </c>
      <c r="I304">
        <v>-5.2631589999999999E-2</v>
      </c>
      <c r="J304">
        <v>0.48717946000000001</v>
      </c>
    </row>
    <row r="305" spans="1:10" x14ac:dyDescent="0.3">
      <c r="A305">
        <v>303</v>
      </c>
      <c r="B305">
        <v>4820</v>
      </c>
      <c r="C305" t="b">
        <v>1</v>
      </c>
      <c r="D305">
        <v>8048</v>
      </c>
      <c r="E305">
        <v>8117</v>
      </c>
      <c r="F305">
        <v>8</v>
      </c>
      <c r="G305">
        <v>7.2</v>
      </c>
      <c r="H305">
        <v>1.1111112000000001</v>
      </c>
      <c r="I305">
        <v>-0.11111114</v>
      </c>
      <c r="J305">
        <v>0.4736842</v>
      </c>
    </row>
    <row r="306" spans="1:10" x14ac:dyDescent="0.3">
      <c r="A306">
        <v>304</v>
      </c>
      <c r="B306">
        <v>4836</v>
      </c>
      <c r="C306" t="b">
        <v>1</v>
      </c>
      <c r="D306">
        <v>8048</v>
      </c>
      <c r="E306">
        <v>8123</v>
      </c>
      <c r="F306">
        <v>8</v>
      </c>
      <c r="G306">
        <v>6.8</v>
      </c>
      <c r="H306">
        <v>1.1764705</v>
      </c>
      <c r="I306">
        <v>-0.17647055</v>
      </c>
      <c r="J306">
        <v>0.45945944999999999</v>
      </c>
    </row>
    <row r="307" spans="1:10" x14ac:dyDescent="0.3">
      <c r="A307">
        <v>305</v>
      </c>
      <c r="B307">
        <v>4852</v>
      </c>
      <c r="C307" t="b">
        <v>1</v>
      </c>
      <c r="D307">
        <v>8054</v>
      </c>
      <c r="E307">
        <v>8123</v>
      </c>
      <c r="F307">
        <v>8</v>
      </c>
      <c r="G307">
        <v>6.4</v>
      </c>
      <c r="H307">
        <v>1.25</v>
      </c>
      <c r="I307">
        <v>-0.24999999000000001</v>
      </c>
      <c r="J307">
        <v>0.44444447999999998</v>
      </c>
    </row>
    <row r="308" spans="1:10" x14ac:dyDescent="0.3">
      <c r="A308">
        <v>306</v>
      </c>
      <c r="B308">
        <v>4867</v>
      </c>
      <c r="C308" t="b">
        <v>1</v>
      </c>
      <c r="D308">
        <v>8048</v>
      </c>
      <c r="E308">
        <v>8129</v>
      </c>
      <c r="F308">
        <v>8</v>
      </c>
      <c r="G308">
        <v>6.4</v>
      </c>
      <c r="H308">
        <v>1.25</v>
      </c>
      <c r="I308">
        <v>-0.24999999000000001</v>
      </c>
      <c r="J308">
        <v>0.44444447999999998</v>
      </c>
    </row>
    <row r="309" spans="1:10" x14ac:dyDescent="0.3">
      <c r="A309">
        <v>307</v>
      </c>
      <c r="B309">
        <v>4883</v>
      </c>
      <c r="C309" t="b">
        <v>1</v>
      </c>
      <c r="D309">
        <v>8048</v>
      </c>
      <c r="E309">
        <v>8129</v>
      </c>
      <c r="F309">
        <v>8</v>
      </c>
      <c r="G309">
        <v>6.4</v>
      </c>
      <c r="H309">
        <v>1.25</v>
      </c>
      <c r="I309">
        <v>-0.24999999000000001</v>
      </c>
      <c r="J309">
        <v>0.44444447999999998</v>
      </c>
    </row>
    <row r="310" spans="1:10" x14ac:dyDescent="0.3">
      <c r="A310">
        <v>308</v>
      </c>
      <c r="B310">
        <v>4899</v>
      </c>
      <c r="C310" t="b">
        <v>1</v>
      </c>
      <c r="D310">
        <v>8048</v>
      </c>
      <c r="E310">
        <v>8129</v>
      </c>
      <c r="F310">
        <v>8</v>
      </c>
      <c r="G310">
        <v>6.8</v>
      </c>
      <c r="H310">
        <v>1.1764705</v>
      </c>
      <c r="I310">
        <v>-0.17647055</v>
      </c>
      <c r="J310">
        <v>0.45945944999999999</v>
      </c>
    </row>
    <row r="311" spans="1:10" x14ac:dyDescent="0.3">
      <c r="A311">
        <v>309</v>
      </c>
      <c r="B311">
        <v>4914</v>
      </c>
      <c r="C311" t="b">
        <v>1</v>
      </c>
      <c r="D311">
        <v>8048</v>
      </c>
      <c r="E311">
        <v>8129</v>
      </c>
      <c r="F311">
        <v>8</v>
      </c>
      <c r="G311">
        <v>7.2</v>
      </c>
      <c r="H311">
        <v>1.1111112000000001</v>
      </c>
      <c r="I311">
        <v>-0.11111114</v>
      </c>
      <c r="J311">
        <v>0.4736842</v>
      </c>
    </row>
    <row r="312" spans="1:10" x14ac:dyDescent="0.3">
      <c r="A312">
        <v>310</v>
      </c>
      <c r="B312">
        <v>4930</v>
      </c>
      <c r="C312" t="b">
        <v>1</v>
      </c>
      <c r="D312">
        <v>8054</v>
      </c>
      <c r="E312">
        <v>8129</v>
      </c>
      <c r="F312">
        <v>8</v>
      </c>
      <c r="G312">
        <v>7.6</v>
      </c>
      <c r="H312">
        <v>1.0526316</v>
      </c>
      <c r="I312">
        <v>-5.2631589999999999E-2</v>
      </c>
      <c r="J312">
        <v>0.48717946000000001</v>
      </c>
    </row>
    <row r="313" spans="1:10" x14ac:dyDescent="0.3">
      <c r="A313">
        <v>311</v>
      </c>
      <c r="B313">
        <v>4945</v>
      </c>
      <c r="C313" t="b">
        <v>1</v>
      </c>
      <c r="D313">
        <v>8048</v>
      </c>
      <c r="E313">
        <v>8123</v>
      </c>
      <c r="F313">
        <v>8</v>
      </c>
      <c r="G313">
        <v>8</v>
      </c>
      <c r="H313">
        <v>1</v>
      </c>
      <c r="I313">
        <v>0</v>
      </c>
      <c r="J313">
        <v>0.5</v>
      </c>
    </row>
    <row r="314" spans="1:10" x14ac:dyDescent="0.3">
      <c r="A314">
        <v>312</v>
      </c>
      <c r="B314">
        <v>4961</v>
      </c>
      <c r="C314" t="b">
        <v>1</v>
      </c>
      <c r="D314">
        <v>8054</v>
      </c>
      <c r="E314">
        <v>8123</v>
      </c>
      <c r="F314">
        <v>8</v>
      </c>
      <c r="G314">
        <v>8.4</v>
      </c>
      <c r="H314">
        <v>0.95238100000000003</v>
      </c>
      <c r="I314">
        <v>4.7619003999999999E-2</v>
      </c>
      <c r="J314">
        <v>0.51219510000000001</v>
      </c>
    </row>
    <row r="315" spans="1:10" x14ac:dyDescent="0.3">
      <c r="A315">
        <v>313</v>
      </c>
      <c r="B315">
        <v>4977</v>
      </c>
      <c r="C315" t="b">
        <v>1</v>
      </c>
      <c r="D315">
        <v>8048</v>
      </c>
      <c r="E315">
        <v>8123</v>
      </c>
      <c r="F315">
        <v>8</v>
      </c>
      <c r="G315">
        <v>8.4</v>
      </c>
      <c r="H315">
        <v>0.95238100000000003</v>
      </c>
      <c r="I315">
        <v>4.7619003999999999E-2</v>
      </c>
      <c r="J315">
        <v>0.51219510000000001</v>
      </c>
    </row>
    <row r="316" spans="1:10" x14ac:dyDescent="0.3">
      <c r="A316">
        <v>314</v>
      </c>
      <c r="B316">
        <v>4993</v>
      </c>
      <c r="C316" t="b">
        <v>1</v>
      </c>
      <c r="D316">
        <v>8054</v>
      </c>
      <c r="E316">
        <v>8123</v>
      </c>
      <c r="F316">
        <v>8.4</v>
      </c>
      <c r="G316">
        <v>8.4</v>
      </c>
      <c r="H316">
        <v>1</v>
      </c>
      <c r="I316">
        <v>0</v>
      </c>
      <c r="J316">
        <v>0.5</v>
      </c>
    </row>
    <row r="317" spans="1:10" x14ac:dyDescent="0.3">
      <c r="A317">
        <v>315</v>
      </c>
      <c r="B317">
        <v>5009</v>
      </c>
      <c r="C317" t="b">
        <v>1</v>
      </c>
      <c r="D317">
        <v>8054</v>
      </c>
      <c r="E317">
        <v>8117</v>
      </c>
      <c r="F317">
        <v>8.8000000000000007</v>
      </c>
      <c r="G317">
        <v>8.4</v>
      </c>
      <c r="H317">
        <v>1.0476190999999999</v>
      </c>
      <c r="I317">
        <v>-4.7619120000000001E-2</v>
      </c>
      <c r="J317">
        <v>0.48837206</v>
      </c>
    </row>
    <row r="318" spans="1:10" x14ac:dyDescent="0.3">
      <c r="A318">
        <v>316</v>
      </c>
      <c r="B318">
        <v>5025</v>
      </c>
      <c r="C318" t="b">
        <v>1</v>
      </c>
      <c r="D318">
        <v>8042</v>
      </c>
      <c r="E318">
        <v>8117</v>
      </c>
      <c r="F318">
        <v>9.1999999999999993</v>
      </c>
      <c r="G318">
        <v>8.4</v>
      </c>
      <c r="H318">
        <v>1.0952381</v>
      </c>
      <c r="I318">
        <v>-9.5238119999999996E-2</v>
      </c>
      <c r="J318">
        <v>0.47727275000000002</v>
      </c>
    </row>
    <row r="319" spans="1:10" x14ac:dyDescent="0.3">
      <c r="A319">
        <v>317</v>
      </c>
      <c r="B319">
        <v>5041</v>
      </c>
      <c r="C319" t="b">
        <v>1</v>
      </c>
      <c r="D319">
        <v>8042</v>
      </c>
      <c r="E319">
        <v>8123</v>
      </c>
      <c r="F319">
        <v>9.1999999999999993</v>
      </c>
      <c r="G319">
        <v>8.8000000000000007</v>
      </c>
      <c r="H319">
        <v>1.0454545</v>
      </c>
      <c r="I319">
        <v>-4.5454502000000001E-2</v>
      </c>
      <c r="J319">
        <v>0.48888890000000002</v>
      </c>
    </row>
    <row r="320" spans="1:10" x14ac:dyDescent="0.3">
      <c r="A320">
        <v>318</v>
      </c>
      <c r="B320">
        <v>5057</v>
      </c>
      <c r="C320" t="b">
        <v>1</v>
      </c>
      <c r="D320">
        <v>8042</v>
      </c>
      <c r="E320">
        <v>8123</v>
      </c>
      <c r="F320">
        <v>8.8000000000000007</v>
      </c>
      <c r="G320">
        <v>9.1999999999999993</v>
      </c>
      <c r="H320">
        <v>0.95652179999999998</v>
      </c>
      <c r="I320">
        <v>4.3478219999999998E-2</v>
      </c>
      <c r="J320">
        <v>0.51111110000000004</v>
      </c>
    </row>
    <row r="321" spans="1:10" x14ac:dyDescent="0.3">
      <c r="A321">
        <v>319</v>
      </c>
      <c r="B321">
        <v>5072</v>
      </c>
      <c r="C321" t="b">
        <v>1</v>
      </c>
      <c r="D321">
        <v>8042</v>
      </c>
      <c r="E321">
        <v>8123</v>
      </c>
      <c r="F321">
        <v>8.4</v>
      </c>
      <c r="G321">
        <v>9.6</v>
      </c>
      <c r="H321">
        <v>0.87499994000000003</v>
      </c>
      <c r="I321">
        <v>0.12500006999999999</v>
      </c>
      <c r="J321">
        <v>0.53333335999999998</v>
      </c>
    </row>
    <row r="322" spans="1:10" x14ac:dyDescent="0.3">
      <c r="A322">
        <v>320</v>
      </c>
      <c r="B322">
        <v>5088</v>
      </c>
      <c r="C322" t="b">
        <v>1</v>
      </c>
      <c r="D322">
        <v>8042</v>
      </c>
      <c r="E322">
        <v>8123</v>
      </c>
      <c r="F322">
        <v>8</v>
      </c>
      <c r="G322">
        <v>10</v>
      </c>
      <c r="H322">
        <v>0.8</v>
      </c>
      <c r="I322">
        <v>0.2</v>
      </c>
      <c r="J322">
        <v>0.55555560000000004</v>
      </c>
    </row>
    <row r="323" spans="1:10" x14ac:dyDescent="0.3">
      <c r="A323">
        <v>321</v>
      </c>
      <c r="B323">
        <v>5103</v>
      </c>
      <c r="C323" t="b">
        <v>1</v>
      </c>
      <c r="D323">
        <v>8042</v>
      </c>
      <c r="E323">
        <v>8123</v>
      </c>
      <c r="F323">
        <v>7.6</v>
      </c>
      <c r="G323">
        <v>10</v>
      </c>
      <c r="H323">
        <v>0.76</v>
      </c>
      <c r="I323">
        <v>0.24000001000000001</v>
      </c>
      <c r="J323">
        <v>0.56818179999999996</v>
      </c>
    </row>
    <row r="324" spans="1:10" x14ac:dyDescent="0.3">
      <c r="A324">
        <v>322</v>
      </c>
      <c r="B324">
        <v>5118</v>
      </c>
      <c r="C324" t="b">
        <v>1</v>
      </c>
      <c r="D324">
        <v>8042</v>
      </c>
      <c r="E324">
        <v>8117</v>
      </c>
      <c r="F324">
        <v>7.2</v>
      </c>
      <c r="G324">
        <v>10</v>
      </c>
      <c r="H324">
        <v>0.71999997000000004</v>
      </c>
      <c r="I324">
        <v>0.28000003000000001</v>
      </c>
      <c r="J324">
        <v>0.58139529999999995</v>
      </c>
    </row>
    <row r="325" spans="1:10" x14ac:dyDescent="0.3">
      <c r="A325">
        <v>323</v>
      </c>
      <c r="B325">
        <v>5134</v>
      </c>
      <c r="C325" t="b">
        <v>1</v>
      </c>
      <c r="D325">
        <v>8048</v>
      </c>
      <c r="E325">
        <v>8117</v>
      </c>
      <c r="F325">
        <v>6.8</v>
      </c>
      <c r="G325">
        <v>9.6</v>
      </c>
      <c r="H325">
        <v>0.70833330000000005</v>
      </c>
      <c r="I325">
        <v>0.2916667</v>
      </c>
      <c r="J325">
        <v>0.58536582999999998</v>
      </c>
    </row>
    <row r="326" spans="1:10" x14ac:dyDescent="0.3">
      <c r="A326">
        <v>324</v>
      </c>
      <c r="B326">
        <v>5150</v>
      </c>
      <c r="C326" t="b">
        <v>1</v>
      </c>
      <c r="D326">
        <v>8048</v>
      </c>
      <c r="E326">
        <v>8117</v>
      </c>
      <c r="F326">
        <v>6.4</v>
      </c>
      <c r="G326">
        <v>8.8000000000000007</v>
      </c>
      <c r="H326">
        <v>0.72727275000000002</v>
      </c>
      <c r="I326">
        <v>0.27272728000000002</v>
      </c>
      <c r="J326">
        <v>0.57894736999999996</v>
      </c>
    </row>
    <row r="327" spans="1:10" x14ac:dyDescent="0.3">
      <c r="A327">
        <v>325</v>
      </c>
      <c r="B327">
        <v>5166</v>
      </c>
      <c r="C327" t="b">
        <v>1</v>
      </c>
      <c r="D327">
        <v>8048</v>
      </c>
      <c r="E327">
        <v>8117</v>
      </c>
      <c r="F327">
        <v>6.4</v>
      </c>
      <c r="G327">
        <v>8</v>
      </c>
      <c r="H327">
        <v>0.8</v>
      </c>
      <c r="I327">
        <v>0.19999998999999999</v>
      </c>
      <c r="J327">
        <v>0.55555560000000004</v>
      </c>
    </row>
    <row r="328" spans="1:10" x14ac:dyDescent="0.3">
      <c r="A328">
        <v>326</v>
      </c>
      <c r="B328">
        <v>5182</v>
      </c>
      <c r="C328" t="b">
        <v>1</v>
      </c>
      <c r="D328">
        <v>8048</v>
      </c>
      <c r="E328">
        <v>8123</v>
      </c>
      <c r="F328">
        <v>6.4</v>
      </c>
      <c r="G328">
        <v>7.2</v>
      </c>
      <c r="H328">
        <v>0.88888895999999995</v>
      </c>
      <c r="I328">
        <v>0.111111075</v>
      </c>
      <c r="J328">
        <v>0.52941172999999997</v>
      </c>
    </row>
    <row r="329" spans="1:10" x14ac:dyDescent="0.3">
      <c r="A329">
        <v>327</v>
      </c>
      <c r="B329">
        <v>5197</v>
      </c>
      <c r="C329" t="b">
        <v>1</v>
      </c>
      <c r="D329">
        <v>8048</v>
      </c>
      <c r="E329">
        <v>8123</v>
      </c>
      <c r="F329">
        <v>6.4</v>
      </c>
      <c r="G329">
        <v>6.4</v>
      </c>
      <c r="H329">
        <v>1</v>
      </c>
      <c r="I329">
        <v>0</v>
      </c>
      <c r="J329">
        <v>0.5</v>
      </c>
    </row>
    <row r="330" spans="1:10" x14ac:dyDescent="0.3">
      <c r="A330">
        <v>328</v>
      </c>
      <c r="B330">
        <v>5213</v>
      </c>
      <c r="C330" t="b">
        <v>1</v>
      </c>
      <c r="D330">
        <v>8048</v>
      </c>
      <c r="E330">
        <v>8117</v>
      </c>
      <c r="F330">
        <v>6.4</v>
      </c>
      <c r="G330">
        <v>6</v>
      </c>
      <c r="H330">
        <v>1.0666667000000001</v>
      </c>
      <c r="I330">
        <v>-6.6666685000000003E-2</v>
      </c>
      <c r="J330">
        <v>0.48387098000000001</v>
      </c>
    </row>
    <row r="331" spans="1:10" x14ac:dyDescent="0.3">
      <c r="A331">
        <v>329</v>
      </c>
      <c r="B331">
        <v>5229</v>
      </c>
      <c r="C331" t="b">
        <v>1</v>
      </c>
      <c r="D331">
        <v>8054</v>
      </c>
      <c r="E331">
        <v>8117</v>
      </c>
      <c r="F331">
        <v>6</v>
      </c>
      <c r="G331">
        <v>5.6</v>
      </c>
      <c r="H331">
        <v>1.0714284999999999</v>
      </c>
      <c r="I331">
        <v>-7.142859E-2</v>
      </c>
      <c r="J331">
        <v>0.48275859999999998</v>
      </c>
    </row>
    <row r="332" spans="1:10" x14ac:dyDescent="0.3">
      <c r="A332">
        <v>330</v>
      </c>
      <c r="B332">
        <v>5244</v>
      </c>
      <c r="C332" t="b">
        <v>1</v>
      </c>
      <c r="D332">
        <v>8048</v>
      </c>
      <c r="E332">
        <v>8123</v>
      </c>
      <c r="F332">
        <v>5.6</v>
      </c>
      <c r="G332">
        <v>5.6</v>
      </c>
      <c r="H332">
        <v>1</v>
      </c>
      <c r="I332">
        <v>0</v>
      </c>
      <c r="J332">
        <v>0.5</v>
      </c>
    </row>
    <row r="333" spans="1:10" x14ac:dyDescent="0.3">
      <c r="A333">
        <v>331</v>
      </c>
      <c r="B333">
        <v>5260</v>
      </c>
      <c r="C333" t="b">
        <v>1</v>
      </c>
      <c r="D333">
        <v>8048</v>
      </c>
      <c r="E333">
        <v>8129</v>
      </c>
      <c r="F333">
        <v>5.2</v>
      </c>
      <c r="G333">
        <v>5.6</v>
      </c>
      <c r="H333">
        <v>0.92857140000000005</v>
      </c>
      <c r="I333">
        <v>7.142859E-2</v>
      </c>
      <c r="J333">
        <v>0.51851857000000001</v>
      </c>
    </row>
    <row r="334" spans="1:10" x14ac:dyDescent="0.3">
      <c r="A334">
        <v>332</v>
      </c>
      <c r="B334">
        <v>5275</v>
      </c>
      <c r="C334" t="b">
        <v>1</v>
      </c>
      <c r="D334">
        <v>8048</v>
      </c>
      <c r="E334">
        <v>8123</v>
      </c>
      <c r="F334">
        <v>5.2</v>
      </c>
      <c r="G334">
        <v>5.6</v>
      </c>
      <c r="H334">
        <v>0.92857140000000005</v>
      </c>
      <c r="I334">
        <v>7.142859E-2</v>
      </c>
      <c r="J334">
        <v>0.51851857000000001</v>
      </c>
    </row>
    <row r="335" spans="1:10" x14ac:dyDescent="0.3">
      <c r="A335">
        <v>333</v>
      </c>
      <c r="B335">
        <v>5291</v>
      </c>
      <c r="C335" t="b">
        <v>1</v>
      </c>
      <c r="D335">
        <v>8048</v>
      </c>
      <c r="E335">
        <v>8117</v>
      </c>
      <c r="F335">
        <v>5.6</v>
      </c>
      <c r="G335">
        <v>5.6</v>
      </c>
      <c r="H335">
        <v>1</v>
      </c>
      <c r="I335">
        <v>0</v>
      </c>
      <c r="J335">
        <v>0.5</v>
      </c>
    </row>
    <row r="336" spans="1:10" x14ac:dyDescent="0.3">
      <c r="A336">
        <v>334</v>
      </c>
      <c r="B336">
        <v>5307</v>
      </c>
      <c r="C336" t="b">
        <v>1</v>
      </c>
      <c r="D336">
        <v>8048</v>
      </c>
      <c r="E336">
        <v>8123</v>
      </c>
      <c r="F336">
        <v>6</v>
      </c>
      <c r="G336">
        <v>5.6</v>
      </c>
      <c r="H336">
        <v>1.0714284999999999</v>
      </c>
      <c r="I336">
        <v>-7.142859E-2</v>
      </c>
      <c r="J336">
        <v>0.48275859999999998</v>
      </c>
    </row>
    <row r="337" spans="1:10" x14ac:dyDescent="0.3">
      <c r="A337">
        <v>335</v>
      </c>
      <c r="B337">
        <v>5322</v>
      </c>
      <c r="C337" t="b">
        <v>1</v>
      </c>
      <c r="D337">
        <v>8048</v>
      </c>
      <c r="E337">
        <v>8123</v>
      </c>
      <c r="F337">
        <v>6.4</v>
      </c>
      <c r="G337">
        <v>5.6</v>
      </c>
      <c r="H337">
        <v>1.1428571999999999</v>
      </c>
      <c r="I337">
        <v>-0.14285718</v>
      </c>
      <c r="J337">
        <v>0.46666667000000001</v>
      </c>
    </row>
    <row r="338" spans="1:10" x14ac:dyDescent="0.3">
      <c r="A338">
        <v>336</v>
      </c>
      <c r="B338">
        <v>5338</v>
      </c>
      <c r="C338" t="b">
        <v>1</v>
      </c>
      <c r="D338">
        <v>8048</v>
      </c>
      <c r="E338">
        <v>8123</v>
      </c>
      <c r="F338">
        <v>6.8</v>
      </c>
      <c r="G338">
        <v>5.6</v>
      </c>
      <c r="H338">
        <v>1.2142857</v>
      </c>
      <c r="I338">
        <v>-0.21428578000000001</v>
      </c>
      <c r="J338">
        <v>0.45161291999999997</v>
      </c>
    </row>
    <row r="339" spans="1:10" x14ac:dyDescent="0.3">
      <c r="A339">
        <v>337</v>
      </c>
      <c r="B339">
        <v>5354</v>
      </c>
      <c r="C339" t="b">
        <v>1</v>
      </c>
      <c r="D339">
        <v>8042</v>
      </c>
      <c r="E339">
        <v>8123</v>
      </c>
      <c r="F339">
        <v>7.2</v>
      </c>
      <c r="G339">
        <v>5.6</v>
      </c>
      <c r="H339">
        <v>1.2857143</v>
      </c>
      <c r="I339">
        <v>-0.28571426999999999</v>
      </c>
      <c r="J339">
        <v>0.43750002999999998</v>
      </c>
    </row>
    <row r="340" spans="1:10" x14ac:dyDescent="0.3">
      <c r="A340">
        <v>338</v>
      </c>
      <c r="B340">
        <v>5370</v>
      </c>
      <c r="C340" t="b">
        <v>1</v>
      </c>
      <c r="D340">
        <v>8042</v>
      </c>
      <c r="E340">
        <v>8123</v>
      </c>
      <c r="F340">
        <v>7.6</v>
      </c>
      <c r="G340">
        <v>5.6</v>
      </c>
      <c r="H340">
        <v>1.3571428000000001</v>
      </c>
      <c r="I340">
        <v>-0.35714287</v>
      </c>
      <c r="J340">
        <v>0.42424244</v>
      </c>
    </row>
    <row r="341" spans="1:10" x14ac:dyDescent="0.3">
      <c r="A341">
        <v>339</v>
      </c>
      <c r="B341">
        <v>5386</v>
      </c>
      <c r="C341" t="b">
        <v>1</v>
      </c>
      <c r="D341">
        <v>8048</v>
      </c>
      <c r="E341">
        <v>8123</v>
      </c>
      <c r="F341">
        <v>8</v>
      </c>
      <c r="G341">
        <v>6</v>
      </c>
      <c r="H341">
        <v>1.3333333999999999</v>
      </c>
      <c r="I341">
        <v>-0.33333333999999998</v>
      </c>
      <c r="J341">
        <v>0.42857142999999998</v>
      </c>
    </row>
    <row r="342" spans="1:10" x14ac:dyDescent="0.3">
      <c r="A342">
        <v>340</v>
      </c>
      <c r="B342">
        <v>5401</v>
      </c>
      <c r="C342" t="b">
        <v>1</v>
      </c>
      <c r="D342">
        <v>8048</v>
      </c>
      <c r="E342">
        <v>8123</v>
      </c>
      <c r="F342">
        <v>8</v>
      </c>
      <c r="G342">
        <v>6.4</v>
      </c>
      <c r="H342">
        <v>1.25</v>
      </c>
      <c r="I342">
        <v>-0.24999999000000001</v>
      </c>
      <c r="J342">
        <v>0.44444447999999998</v>
      </c>
    </row>
    <row r="343" spans="1:10" x14ac:dyDescent="0.3">
      <c r="A343">
        <v>341</v>
      </c>
      <c r="B343">
        <v>5417</v>
      </c>
      <c r="C343" t="b">
        <v>1</v>
      </c>
      <c r="D343">
        <v>8048</v>
      </c>
      <c r="E343">
        <v>8123</v>
      </c>
      <c r="F343">
        <v>8</v>
      </c>
      <c r="G343">
        <v>6.8</v>
      </c>
      <c r="H343">
        <v>1.1764705</v>
      </c>
      <c r="I343">
        <v>-0.17647055</v>
      </c>
      <c r="J343">
        <v>0.45945944999999999</v>
      </c>
    </row>
    <row r="344" spans="1:10" x14ac:dyDescent="0.3">
      <c r="A344">
        <v>342</v>
      </c>
      <c r="B344">
        <v>5433</v>
      </c>
      <c r="C344" t="b">
        <v>1</v>
      </c>
      <c r="D344">
        <v>8048</v>
      </c>
      <c r="E344">
        <v>8129</v>
      </c>
      <c r="F344">
        <v>8</v>
      </c>
      <c r="G344">
        <v>7.2</v>
      </c>
      <c r="H344">
        <v>1.1111112000000001</v>
      </c>
      <c r="I344">
        <v>-0.11111114</v>
      </c>
      <c r="J344">
        <v>0.4736842</v>
      </c>
    </row>
    <row r="345" spans="1:10" x14ac:dyDescent="0.3">
      <c r="A345">
        <v>343</v>
      </c>
      <c r="B345">
        <v>5449</v>
      </c>
      <c r="C345" t="b">
        <v>1</v>
      </c>
      <c r="D345">
        <v>8048</v>
      </c>
      <c r="E345">
        <v>8129</v>
      </c>
      <c r="F345">
        <v>8</v>
      </c>
      <c r="G345">
        <v>7.6</v>
      </c>
      <c r="H345">
        <v>1.0526316</v>
      </c>
      <c r="I345">
        <v>-5.2631589999999999E-2</v>
      </c>
      <c r="J345">
        <v>0.48717946000000001</v>
      </c>
    </row>
    <row r="346" spans="1:10" x14ac:dyDescent="0.3">
      <c r="A346">
        <v>344</v>
      </c>
      <c r="B346">
        <v>5465</v>
      </c>
      <c r="C346" t="b">
        <v>1</v>
      </c>
      <c r="D346">
        <v>8048</v>
      </c>
      <c r="E346">
        <v>8129</v>
      </c>
      <c r="F346">
        <v>8</v>
      </c>
      <c r="G346">
        <v>8.4</v>
      </c>
      <c r="H346">
        <v>0.95238100000000003</v>
      </c>
      <c r="I346">
        <v>4.7619003999999999E-2</v>
      </c>
      <c r="J346">
        <v>0.51219510000000001</v>
      </c>
    </row>
    <row r="347" spans="1:10" x14ac:dyDescent="0.3">
      <c r="A347">
        <v>345</v>
      </c>
      <c r="B347">
        <v>5481</v>
      </c>
      <c r="C347" t="b">
        <v>1</v>
      </c>
      <c r="D347">
        <v>8048</v>
      </c>
      <c r="E347">
        <v>8129</v>
      </c>
      <c r="F347">
        <v>8</v>
      </c>
      <c r="G347">
        <v>8.8000000000000007</v>
      </c>
      <c r="H347">
        <v>0.90909090000000004</v>
      </c>
      <c r="I347">
        <v>9.0909110000000001E-2</v>
      </c>
      <c r="J347">
        <v>0.52380954999999996</v>
      </c>
    </row>
    <row r="348" spans="1:10" x14ac:dyDescent="0.3">
      <c r="A348">
        <v>346</v>
      </c>
      <c r="B348">
        <v>5496</v>
      </c>
      <c r="C348" t="b">
        <v>1</v>
      </c>
      <c r="D348">
        <v>8048</v>
      </c>
      <c r="E348">
        <v>8129</v>
      </c>
      <c r="F348">
        <v>8</v>
      </c>
      <c r="G348">
        <v>9.1999999999999993</v>
      </c>
      <c r="H348">
        <v>0.86956524999999996</v>
      </c>
      <c r="I348">
        <v>0.13043477000000001</v>
      </c>
      <c r="J348">
        <v>0.53488369999999996</v>
      </c>
    </row>
    <row r="349" spans="1:10" x14ac:dyDescent="0.3">
      <c r="A349">
        <v>347</v>
      </c>
      <c r="B349">
        <v>5512</v>
      </c>
      <c r="C349" t="b">
        <v>1</v>
      </c>
      <c r="D349">
        <v>8048</v>
      </c>
      <c r="E349">
        <v>8129</v>
      </c>
      <c r="F349">
        <v>8</v>
      </c>
      <c r="G349">
        <v>9.6</v>
      </c>
      <c r="H349">
        <v>0.83333330000000005</v>
      </c>
      <c r="I349">
        <v>0.1666667</v>
      </c>
      <c r="J349">
        <v>0.54545456000000003</v>
      </c>
    </row>
    <row r="350" spans="1:10" x14ac:dyDescent="0.3">
      <c r="A350">
        <v>348</v>
      </c>
      <c r="B350">
        <v>5528</v>
      </c>
      <c r="C350" t="b">
        <v>1</v>
      </c>
      <c r="D350">
        <v>8054</v>
      </c>
      <c r="E350">
        <v>8117</v>
      </c>
      <c r="F350">
        <v>8</v>
      </c>
      <c r="G350">
        <v>10</v>
      </c>
      <c r="H350">
        <v>0.8</v>
      </c>
      <c r="I350">
        <v>0.2</v>
      </c>
      <c r="J350">
        <v>0.55555560000000004</v>
      </c>
    </row>
    <row r="351" spans="1:10" x14ac:dyDescent="0.3">
      <c r="A351">
        <v>349</v>
      </c>
      <c r="B351">
        <v>5544</v>
      </c>
      <c r="C351" t="b">
        <v>1</v>
      </c>
      <c r="D351">
        <v>8048</v>
      </c>
      <c r="E351">
        <v>8123</v>
      </c>
      <c r="F351">
        <v>8</v>
      </c>
      <c r="G351">
        <v>10.4</v>
      </c>
      <c r="H351">
        <v>0.76923079999999999</v>
      </c>
      <c r="I351">
        <v>0.23076920000000001</v>
      </c>
      <c r="J351">
        <v>0.56521739999999998</v>
      </c>
    </row>
    <row r="352" spans="1:10" x14ac:dyDescent="0.3">
      <c r="A352">
        <v>350</v>
      </c>
      <c r="B352">
        <v>5560</v>
      </c>
      <c r="C352" t="b">
        <v>1</v>
      </c>
      <c r="D352">
        <v>8048</v>
      </c>
      <c r="E352">
        <v>8117</v>
      </c>
      <c r="F352">
        <v>8</v>
      </c>
      <c r="G352">
        <v>10.4</v>
      </c>
      <c r="H352">
        <v>0.76923079999999999</v>
      </c>
      <c r="I352">
        <v>0.23076920000000001</v>
      </c>
      <c r="J352">
        <v>0.56521739999999998</v>
      </c>
    </row>
    <row r="353" spans="1:10" x14ac:dyDescent="0.3">
      <c r="A353">
        <v>351</v>
      </c>
      <c r="B353">
        <v>5576</v>
      </c>
      <c r="C353" t="b">
        <v>1</v>
      </c>
      <c r="D353">
        <v>8048</v>
      </c>
      <c r="E353">
        <v>8117</v>
      </c>
      <c r="F353">
        <v>8</v>
      </c>
      <c r="G353">
        <v>10</v>
      </c>
      <c r="H353">
        <v>0.8</v>
      </c>
      <c r="I353">
        <v>0.2</v>
      </c>
      <c r="J353">
        <v>0.55555560000000004</v>
      </c>
    </row>
    <row r="354" spans="1:10" x14ac:dyDescent="0.3">
      <c r="A354">
        <v>352</v>
      </c>
      <c r="B354">
        <v>5592</v>
      </c>
      <c r="C354" t="b">
        <v>1</v>
      </c>
      <c r="D354">
        <v>8048</v>
      </c>
      <c r="E354">
        <v>8117</v>
      </c>
      <c r="F354">
        <v>8</v>
      </c>
      <c r="G354">
        <v>9.6</v>
      </c>
      <c r="H354">
        <v>0.83333330000000005</v>
      </c>
      <c r="I354">
        <v>0.1666667</v>
      </c>
      <c r="J354">
        <v>0.54545456000000003</v>
      </c>
    </row>
    <row r="355" spans="1:10" x14ac:dyDescent="0.3">
      <c r="A355">
        <v>353</v>
      </c>
      <c r="B355">
        <v>5608</v>
      </c>
      <c r="C355" t="b">
        <v>1</v>
      </c>
      <c r="D355">
        <v>8048</v>
      </c>
      <c r="E355">
        <v>8123</v>
      </c>
      <c r="F355">
        <v>8</v>
      </c>
      <c r="G355">
        <v>9.1999999999999993</v>
      </c>
      <c r="H355">
        <v>0.86956524999999996</v>
      </c>
      <c r="I355">
        <v>0.13043477000000001</v>
      </c>
      <c r="J355">
        <v>0.53488369999999996</v>
      </c>
    </row>
    <row r="356" spans="1:10" x14ac:dyDescent="0.3">
      <c r="A356">
        <v>354</v>
      </c>
      <c r="B356">
        <v>5624</v>
      </c>
      <c r="C356" t="b">
        <v>1</v>
      </c>
      <c r="D356">
        <v>8048</v>
      </c>
      <c r="E356">
        <v>8111</v>
      </c>
      <c r="F356">
        <v>8</v>
      </c>
      <c r="G356">
        <v>8.8000000000000007</v>
      </c>
      <c r="H356">
        <v>0.90909090000000004</v>
      </c>
      <c r="I356">
        <v>9.0909110000000001E-2</v>
      </c>
      <c r="J356">
        <v>0.52380954999999996</v>
      </c>
    </row>
    <row r="357" spans="1:10" x14ac:dyDescent="0.3">
      <c r="A357">
        <v>355</v>
      </c>
      <c r="B357">
        <v>5640</v>
      </c>
      <c r="C357" t="b">
        <v>1</v>
      </c>
      <c r="D357">
        <v>8054</v>
      </c>
      <c r="E357">
        <v>8123</v>
      </c>
      <c r="F357">
        <v>8</v>
      </c>
      <c r="G357">
        <v>8.4</v>
      </c>
      <c r="H357">
        <v>0.95238100000000003</v>
      </c>
      <c r="I357">
        <v>4.7619003999999999E-2</v>
      </c>
      <c r="J357">
        <v>0.51219510000000001</v>
      </c>
    </row>
    <row r="358" spans="1:10" x14ac:dyDescent="0.3">
      <c r="A358">
        <v>356</v>
      </c>
      <c r="B358">
        <v>5656</v>
      </c>
      <c r="C358" t="b">
        <v>1</v>
      </c>
      <c r="D358">
        <v>8048</v>
      </c>
      <c r="E358">
        <v>8123</v>
      </c>
      <c r="F358">
        <v>8</v>
      </c>
      <c r="G358">
        <v>8.4</v>
      </c>
      <c r="H358">
        <v>0.95238100000000003</v>
      </c>
      <c r="I358">
        <v>4.7619003999999999E-2</v>
      </c>
      <c r="J358">
        <v>0.51219510000000001</v>
      </c>
    </row>
    <row r="359" spans="1:10" x14ac:dyDescent="0.3">
      <c r="A359">
        <v>357</v>
      </c>
      <c r="B359">
        <v>5672</v>
      </c>
      <c r="C359" t="b">
        <v>1</v>
      </c>
      <c r="D359">
        <v>8048</v>
      </c>
      <c r="E359">
        <v>8123</v>
      </c>
      <c r="F359">
        <v>8</v>
      </c>
      <c r="G359">
        <v>8.4</v>
      </c>
      <c r="H359">
        <v>0.95238100000000003</v>
      </c>
      <c r="I359">
        <v>4.7619003999999999E-2</v>
      </c>
      <c r="J359">
        <v>0.51219510000000001</v>
      </c>
    </row>
    <row r="360" spans="1:10" x14ac:dyDescent="0.3">
      <c r="A360">
        <v>358</v>
      </c>
      <c r="B360">
        <v>5688</v>
      </c>
      <c r="C360" t="b">
        <v>1</v>
      </c>
      <c r="D360">
        <v>8048</v>
      </c>
      <c r="E360">
        <v>8123</v>
      </c>
      <c r="F360">
        <v>8</v>
      </c>
      <c r="G360">
        <v>8.4</v>
      </c>
      <c r="H360">
        <v>0.95238100000000003</v>
      </c>
      <c r="I360">
        <v>4.7619003999999999E-2</v>
      </c>
      <c r="J360">
        <v>0.51219510000000001</v>
      </c>
    </row>
    <row r="361" spans="1:10" x14ac:dyDescent="0.3">
      <c r="A361">
        <v>359</v>
      </c>
      <c r="B361">
        <v>5703</v>
      </c>
      <c r="C361" t="b">
        <v>1</v>
      </c>
      <c r="D361">
        <v>8048</v>
      </c>
      <c r="E361">
        <v>8117</v>
      </c>
      <c r="F361">
        <v>8</v>
      </c>
      <c r="G361">
        <v>8</v>
      </c>
      <c r="H361">
        <v>1</v>
      </c>
      <c r="I361">
        <v>0</v>
      </c>
      <c r="J361">
        <v>0.5</v>
      </c>
    </row>
    <row r="362" spans="1:10" x14ac:dyDescent="0.3">
      <c r="A362">
        <v>360</v>
      </c>
      <c r="B362">
        <v>5719</v>
      </c>
      <c r="C362" t="b">
        <v>1</v>
      </c>
      <c r="D362">
        <v>8048</v>
      </c>
      <c r="E362">
        <v>8123</v>
      </c>
      <c r="F362">
        <v>8</v>
      </c>
      <c r="G362">
        <v>7.6</v>
      </c>
      <c r="H362">
        <v>1.0526316</v>
      </c>
      <c r="I362">
        <v>-5.2631589999999999E-2</v>
      </c>
      <c r="J362">
        <v>0.48717946000000001</v>
      </c>
    </row>
    <row r="363" spans="1:10" x14ac:dyDescent="0.3">
      <c r="A363">
        <v>361</v>
      </c>
      <c r="B363">
        <v>5735</v>
      </c>
      <c r="C363" t="b">
        <v>1</v>
      </c>
      <c r="D363">
        <v>8048</v>
      </c>
      <c r="E363">
        <v>8123</v>
      </c>
      <c r="F363">
        <v>8</v>
      </c>
      <c r="G363">
        <v>7.2</v>
      </c>
      <c r="H363">
        <v>1.1111112000000001</v>
      </c>
      <c r="I363">
        <v>-0.11111114</v>
      </c>
      <c r="J363">
        <v>0.4736842</v>
      </c>
    </row>
    <row r="364" spans="1:10" x14ac:dyDescent="0.3">
      <c r="A364">
        <v>362</v>
      </c>
      <c r="B364">
        <v>5751</v>
      </c>
      <c r="C364" t="b">
        <v>1</v>
      </c>
      <c r="D364">
        <v>8048</v>
      </c>
      <c r="E364">
        <v>8123</v>
      </c>
      <c r="F364">
        <v>8</v>
      </c>
      <c r="G364">
        <v>6.8</v>
      </c>
      <c r="H364">
        <v>1.1764705</v>
      </c>
      <c r="I364">
        <v>-0.17647055</v>
      </c>
      <c r="J364">
        <v>0.45945944999999999</v>
      </c>
    </row>
    <row r="365" spans="1:10" x14ac:dyDescent="0.3">
      <c r="A365">
        <v>363</v>
      </c>
      <c r="B365">
        <v>5766</v>
      </c>
      <c r="C365" t="b">
        <v>1</v>
      </c>
      <c r="D365">
        <v>8048</v>
      </c>
      <c r="E365">
        <v>8123</v>
      </c>
      <c r="F365">
        <v>8</v>
      </c>
      <c r="G365">
        <v>6.4</v>
      </c>
      <c r="H365">
        <v>1.25</v>
      </c>
      <c r="I365">
        <v>-0.24999999000000001</v>
      </c>
      <c r="J365">
        <v>0.44444447999999998</v>
      </c>
    </row>
    <row r="366" spans="1:10" x14ac:dyDescent="0.3">
      <c r="A366">
        <v>364</v>
      </c>
      <c r="B366">
        <v>5782</v>
      </c>
      <c r="C366" t="b">
        <v>1</v>
      </c>
      <c r="D366">
        <v>8048</v>
      </c>
      <c r="E366">
        <v>8123</v>
      </c>
      <c r="F366">
        <v>8</v>
      </c>
      <c r="G366">
        <v>6</v>
      </c>
      <c r="H366">
        <v>1.3333333999999999</v>
      </c>
      <c r="I366">
        <v>-0.33333333999999998</v>
      </c>
      <c r="J366">
        <v>0.42857142999999998</v>
      </c>
    </row>
    <row r="367" spans="1:10" x14ac:dyDescent="0.3">
      <c r="A367">
        <v>365</v>
      </c>
      <c r="B367">
        <v>5798</v>
      </c>
      <c r="C367" t="b">
        <v>1</v>
      </c>
      <c r="D367">
        <v>8042</v>
      </c>
      <c r="E367">
        <v>8123</v>
      </c>
      <c r="F367">
        <v>8</v>
      </c>
      <c r="G367">
        <v>6</v>
      </c>
      <c r="H367">
        <v>1.3333333999999999</v>
      </c>
      <c r="I367">
        <v>-0.33333333999999998</v>
      </c>
      <c r="J367">
        <v>0.42857142999999998</v>
      </c>
    </row>
    <row r="368" spans="1:10" x14ac:dyDescent="0.3">
      <c r="A368">
        <v>366</v>
      </c>
      <c r="B368">
        <v>5814</v>
      </c>
      <c r="C368" t="b">
        <v>1</v>
      </c>
      <c r="D368">
        <v>8048</v>
      </c>
      <c r="E368">
        <v>8123</v>
      </c>
      <c r="F368">
        <v>8</v>
      </c>
      <c r="G368">
        <v>6.4</v>
      </c>
      <c r="H368">
        <v>1.25</v>
      </c>
      <c r="I368">
        <v>-0.24999999000000001</v>
      </c>
      <c r="J368">
        <v>0.44444447999999998</v>
      </c>
    </row>
    <row r="369" spans="1:10" x14ac:dyDescent="0.3">
      <c r="A369">
        <v>367</v>
      </c>
      <c r="B369">
        <v>5830</v>
      </c>
      <c r="C369" t="b">
        <v>1</v>
      </c>
      <c r="D369">
        <v>8048</v>
      </c>
      <c r="E369">
        <v>8123</v>
      </c>
      <c r="F369">
        <v>8</v>
      </c>
      <c r="G369">
        <v>6.8</v>
      </c>
      <c r="H369">
        <v>1.1764705</v>
      </c>
      <c r="I369">
        <v>-0.17647055</v>
      </c>
      <c r="J369">
        <v>0.45945944999999999</v>
      </c>
    </row>
    <row r="370" spans="1:10" x14ac:dyDescent="0.3">
      <c r="A370">
        <v>368</v>
      </c>
      <c r="B370">
        <v>5846</v>
      </c>
      <c r="C370" t="b">
        <v>1</v>
      </c>
      <c r="D370">
        <v>8054</v>
      </c>
      <c r="E370">
        <v>8117</v>
      </c>
      <c r="F370">
        <v>8</v>
      </c>
      <c r="G370">
        <v>7.2</v>
      </c>
      <c r="H370">
        <v>1.1111112000000001</v>
      </c>
      <c r="I370">
        <v>-0.11111114</v>
      </c>
      <c r="J370">
        <v>0.4736842</v>
      </c>
    </row>
    <row r="371" spans="1:10" x14ac:dyDescent="0.3">
      <c r="A371">
        <v>369</v>
      </c>
      <c r="B371">
        <v>5862</v>
      </c>
      <c r="C371" t="b">
        <v>1</v>
      </c>
      <c r="D371">
        <v>8048</v>
      </c>
      <c r="E371">
        <v>8123</v>
      </c>
      <c r="F371">
        <v>8</v>
      </c>
      <c r="G371">
        <v>7.6</v>
      </c>
      <c r="H371">
        <v>1.0526316</v>
      </c>
      <c r="I371">
        <v>-5.2631589999999999E-2</v>
      </c>
      <c r="J371">
        <v>0.48717946000000001</v>
      </c>
    </row>
    <row r="372" spans="1:10" x14ac:dyDescent="0.3">
      <c r="A372">
        <v>370</v>
      </c>
      <c r="B372">
        <v>5878</v>
      </c>
      <c r="C372" t="b">
        <v>1</v>
      </c>
      <c r="D372">
        <v>8048</v>
      </c>
      <c r="E372">
        <v>8117</v>
      </c>
      <c r="F372">
        <v>8</v>
      </c>
      <c r="G372">
        <v>8</v>
      </c>
      <c r="H372">
        <v>1</v>
      </c>
      <c r="I372">
        <v>0</v>
      </c>
      <c r="J372">
        <v>0.5</v>
      </c>
    </row>
    <row r="373" spans="1:10" x14ac:dyDescent="0.3">
      <c r="A373">
        <v>371</v>
      </c>
      <c r="B373">
        <v>5894</v>
      </c>
      <c r="C373" t="b">
        <v>1</v>
      </c>
      <c r="D373">
        <v>8048</v>
      </c>
      <c r="E373">
        <v>8117</v>
      </c>
      <c r="F373">
        <v>8</v>
      </c>
      <c r="G373">
        <v>7.6</v>
      </c>
      <c r="H373">
        <v>1.0526316</v>
      </c>
      <c r="I373">
        <v>-5.2631589999999999E-2</v>
      </c>
      <c r="J373">
        <v>0.48717946000000001</v>
      </c>
    </row>
    <row r="374" spans="1:10" x14ac:dyDescent="0.3">
      <c r="A374">
        <v>372</v>
      </c>
      <c r="B374">
        <v>5910</v>
      </c>
      <c r="C374" t="b">
        <v>1</v>
      </c>
      <c r="D374">
        <v>8048</v>
      </c>
      <c r="E374">
        <v>8123</v>
      </c>
      <c r="F374">
        <v>8</v>
      </c>
      <c r="G374">
        <v>7.2</v>
      </c>
      <c r="H374">
        <v>1.1111112000000001</v>
      </c>
      <c r="I374">
        <v>-0.11111114</v>
      </c>
      <c r="J374">
        <v>0.4736842</v>
      </c>
    </row>
    <row r="375" spans="1:10" x14ac:dyDescent="0.3">
      <c r="A375">
        <v>373</v>
      </c>
      <c r="B375">
        <v>5926</v>
      </c>
      <c r="C375" t="b">
        <v>1</v>
      </c>
      <c r="D375">
        <v>8048</v>
      </c>
      <c r="E375">
        <v>8117</v>
      </c>
      <c r="F375">
        <v>8</v>
      </c>
      <c r="G375">
        <v>6.8</v>
      </c>
      <c r="H375">
        <v>1.1764705</v>
      </c>
      <c r="I375">
        <v>-0.17647055</v>
      </c>
      <c r="J375">
        <v>0.45945944999999999</v>
      </c>
    </row>
    <row r="376" spans="1:10" x14ac:dyDescent="0.3">
      <c r="A376">
        <v>374</v>
      </c>
      <c r="B376">
        <v>5942</v>
      </c>
      <c r="C376" t="b">
        <v>1</v>
      </c>
      <c r="D376">
        <v>8048</v>
      </c>
      <c r="E376">
        <v>8123</v>
      </c>
      <c r="F376">
        <v>8</v>
      </c>
      <c r="G376">
        <v>6.4</v>
      </c>
      <c r="H376">
        <v>1.25</v>
      </c>
      <c r="I376">
        <v>-0.24999999000000001</v>
      </c>
      <c r="J376">
        <v>0.44444447999999998</v>
      </c>
    </row>
    <row r="377" spans="1:10" x14ac:dyDescent="0.3">
      <c r="A377">
        <v>375</v>
      </c>
      <c r="B377">
        <v>5957</v>
      </c>
      <c r="C377" t="b">
        <v>1</v>
      </c>
      <c r="D377">
        <v>8048</v>
      </c>
      <c r="E377">
        <v>8117</v>
      </c>
      <c r="F377">
        <v>8</v>
      </c>
      <c r="G377">
        <v>6</v>
      </c>
      <c r="H377">
        <v>1.3333333999999999</v>
      </c>
      <c r="I377">
        <v>-0.33333333999999998</v>
      </c>
      <c r="J377">
        <v>0.42857142999999998</v>
      </c>
    </row>
    <row r="378" spans="1:10" x14ac:dyDescent="0.3">
      <c r="A378">
        <v>376</v>
      </c>
      <c r="B378">
        <v>5973</v>
      </c>
      <c r="C378" t="b">
        <v>1</v>
      </c>
      <c r="D378">
        <v>8048</v>
      </c>
      <c r="E378">
        <v>8117</v>
      </c>
      <c r="F378">
        <v>8</v>
      </c>
      <c r="G378">
        <v>5.6</v>
      </c>
      <c r="H378">
        <v>1.4285715000000001</v>
      </c>
      <c r="I378">
        <v>-0.42857146000000002</v>
      </c>
      <c r="J378">
        <v>0.41176467999999999</v>
      </c>
    </row>
    <row r="379" spans="1:10" x14ac:dyDescent="0.3">
      <c r="A379">
        <v>377</v>
      </c>
      <c r="B379">
        <v>5989</v>
      </c>
      <c r="C379" t="b">
        <v>1</v>
      </c>
      <c r="D379">
        <v>8048</v>
      </c>
      <c r="E379">
        <v>8117</v>
      </c>
      <c r="F379">
        <v>8</v>
      </c>
      <c r="G379">
        <v>5.2</v>
      </c>
      <c r="H379">
        <v>1.5384616</v>
      </c>
      <c r="I379">
        <v>-0.53846156999999994</v>
      </c>
      <c r="J379">
        <v>0.39393938000000001</v>
      </c>
    </row>
    <row r="380" spans="1:10" x14ac:dyDescent="0.3">
      <c r="A380">
        <v>378</v>
      </c>
      <c r="B380">
        <v>6005</v>
      </c>
      <c r="C380" t="b">
        <v>1</v>
      </c>
      <c r="D380">
        <v>8048</v>
      </c>
      <c r="E380">
        <v>8123</v>
      </c>
      <c r="F380">
        <v>8</v>
      </c>
      <c r="G380">
        <v>4.8</v>
      </c>
      <c r="H380">
        <v>1.6666666000000001</v>
      </c>
      <c r="I380">
        <v>-0.6666666</v>
      </c>
      <c r="J380">
        <v>0.375</v>
      </c>
    </row>
    <row r="381" spans="1:10" x14ac:dyDescent="0.3">
      <c r="A381">
        <v>379</v>
      </c>
      <c r="B381">
        <v>6021</v>
      </c>
      <c r="C381" t="b">
        <v>1</v>
      </c>
      <c r="D381">
        <v>8048</v>
      </c>
      <c r="E381">
        <v>8123</v>
      </c>
      <c r="F381">
        <v>8</v>
      </c>
      <c r="G381">
        <v>4.4000000000000004</v>
      </c>
      <c r="H381">
        <v>1.8181818000000001</v>
      </c>
      <c r="I381">
        <v>-0.81818175000000004</v>
      </c>
      <c r="J381">
        <v>0.35483872999999999</v>
      </c>
    </row>
    <row r="382" spans="1:10" x14ac:dyDescent="0.3">
      <c r="A382">
        <v>380</v>
      </c>
      <c r="B382">
        <v>6037</v>
      </c>
      <c r="C382" t="b">
        <v>1</v>
      </c>
      <c r="D382">
        <v>8048</v>
      </c>
      <c r="E382">
        <v>8123</v>
      </c>
      <c r="F382">
        <v>8</v>
      </c>
      <c r="G382">
        <v>4.4000000000000004</v>
      </c>
      <c r="H382">
        <v>1.8181818000000001</v>
      </c>
      <c r="I382">
        <v>-0.81818175000000004</v>
      </c>
      <c r="J382">
        <v>0.35483872999999999</v>
      </c>
    </row>
    <row r="383" spans="1:10" x14ac:dyDescent="0.3">
      <c r="A383">
        <v>381</v>
      </c>
      <c r="B383">
        <v>6053</v>
      </c>
      <c r="C383" t="b">
        <v>1</v>
      </c>
      <c r="D383">
        <v>8048</v>
      </c>
      <c r="E383">
        <v>8117</v>
      </c>
      <c r="F383">
        <v>8</v>
      </c>
      <c r="G383">
        <v>4.4000000000000004</v>
      </c>
      <c r="H383">
        <v>1.8181818000000001</v>
      </c>
      <c r="I383">
        <v>-0.81818175000000004</v>
      </c>
      <c r="J383">
        <v>0.35483872999999999</v>
      </c>
    </row>
    <row r="384" spans="1:10" x14ac:dyDescent="0.3">
      <c r="A384">
        <v>382</v>
      </c>
      <c r="B384">
        <v>6068</v>
      </c>
      <c r="C384" t="b">
        <v>1</v>
      </c>
      <c r="D384">
        <v>8048</v>
      </c>
      <c r="E384">
        <v>8123</v>
      </c>
      <c r="F384">
        <v>8</v>
      </c>
      <c r="G384">
        <v>4.4000000000000004</v>
      </c>
      <c r="H384">
        <v>1.8181818000000001</v>
      </c>
      <c r="I384">
        <v>-0.81818175000000004</v>
      </c>
      <c r="J384">
        <v>0.35483872999999999</v>
      </c>
    </row>
    <row r="385" spans="1:10" x14ac:dyDescent="0.3">
      <c r="A385">
        <v>383</v>
      </c>
      <c r="B385">
        <v>6084</v>
      </c>
      <c r="C385" t="b">
        <v>1</v>
      </c>
      <c r="D385">
        <v>8048</v>
      </c>
      <c r="E385">
        <v>8117</v>
      </c>
      <c r="F385">
        <v>8</v>
      </c>
      <c r="G385">
        <v>4.4000000000000004</v>
      </c>
      <c r="H385">
        <v>1.8181818000000001</v>
      </c>
      <c r="I385">
        <v>-0.81818175000000004</v>
      </c>
      <c r="J385">
        <v>0.35483872999999999</v>
      </c>
    </row>
    <row r="386" spans="1:10" x14ac:dyDescent="0.3">
      <c r="A386">
        <v>384</v>
      </c>
      <c r="B386">
        <v>6100</v>
      </c>
      <c r="C386" t="b">
        <v>1</v>
      </c>
      <c r="D386">
        <v>8048</v>
      </c>
      <c r="E386">
        <v>8123</v>
      </c>
      <c r="F386">
        <v>8</v>
      </c>
      <c r="G386">
        <v>4.4000000000000004</v>
      </c>
      <c r="H386">
        <v>1.8181818000000001</v>
      </c>
      <c r="I386">
        <v>-0.81818175000000004</v>
      </c>
      <c r="J386">
        <v>0.35483872999999999</v>
      </c>
    </row>
    <row r="387" spans="1:10" x14ac:dyDescent="0.3">
      <c r="A387">
        <v>385</v>
      </c>
      <c r="B387">
        <v>6116</v>
      </c>
      <c r="C387" t="b">
        <v>1</v>
      </c>
      <c r="D387">
        <v>8048</v>
      </c>
      <c r="E387">
        <v>8117</v>
      </c>
      <c r="F387">
        <v>8</v>
      </c>
      <c r="G387">
        <v>4</v>
      </c>
      <c r="H387">
        <v>2</v>
      </c>
      <c r="I387">
        <v>-1</v>
      </c>
      <c r="J387">
        <v>0.33333333999999998</v>
      </c>
    </row>
    <row r="388" spans="1:10" x14ac:dyDescent="0.3">
      <c r="A388">
        <v>386</v>
      </c>
      <c r="B388">
        <v>6131</v>
      </c>
      <c r="C388" t="b">
        <v>1</v>
      </c>
      <c r="D388">
        <v>8054</v>
      </c>
      <c r="E388">
        <v>8123</v>
      </c>
      <c r="F388">
        <v>8</v>
      </c>
      <c r="G388">
        <v>4.4000000000000004</v>
      </c>
      <c r="H388">
        <v>1.8181818000000001</v>
      </c>
      <c r="I388">
        <v>-0.81818175000000004</v>
      </c>
      <c r="J388">
        <v>0.35483872999999999</v>
      </c>
    </row>
    <row r="389" spans="1:10" x14ac:dyDescent="0.3">
      <c r="A389">
        <v>387</v>
      </c>
      <c r="B389">
        <v>6147</v>
      </c>
      <c r="C389" t="b">
        <v>1</v>
      </c>
      <c r="D389">
        <v>8048</v>
      </c>
      <c r="E389">
        <v>8123</v>
      </c>
      <c r="F389">
        <v>8</v>
      </c>
      <c r="G389">
        <v>4.8</v>
      </c>
      <c r="H389">
        <v>1.6666666000000001</v>
      </c>
      <c r="I389">
        <v>-0.6666666</v>
      </c>
      <c r="J389">
        <v>0.375</v>
      </c>
    </row>
    <row r="390" spans="1:10" x14ac:dyDescent="0.3">
      <c r="A390">
        <v>388</v>
      </c>
      <c r="B390">
        <v>6163</v>
      </c>
      <c r="C390" t="b">
        <v>1</v>
      </c>
      <c r="D390">
        <v>8048</v>
      </c>
      <c r="E390">
        <v>8123</v>
      </c>
      <c r="F390">
        <v>8</v>
      </c>
      <c r="G390">
        <v>5.2</v>
      </c>
      <c r="H390">
        <v>1.5384616</v>
      </c>
      <c r="I390">
        <v>-0.53846156999999994</v>
      </c>
      <c r="J390">
        <v>0.39393938000000001</v>
      </c>
    </row>
    <row r="391" spans="1:10" x14ac:dyDescent="0.3">
      <c r="A391">
        <v>389</v>
      </c>
      <c r="B391">
        <v>6179</v>
      </c>
      <c r="C391" t="b">
        <v>1</v>
      </c>
      <c r="D391">
        <v>8048</v>
      </c>
      <c r="E391">
        <v>8123</v>
      </c>
      <c r="F391">
        <v>8</v>
      </c>
      <c r="G391">
        <v>5.6</v>
      </c>
      <c r="H391">
        <v>1.4285715000000001</v>
      </c>
      <c r="I391">
        <v>-0.42857146000000002</v>
      </c>
      <c r="J391">
        <v>0.41176467999999999</v>
      </c>
    </row>
    <row r="392" spans="1:10" x14ac:dyDescent="0.3">
      <c r="A392">
        <v>390</v>
      </c>
      <c r="B392">
        <v>6195</v>
      </c>
      <c r="C392" t="b">
        <v>1</v>
      </c>
      <c r="D392">
        <v>8048</v>
      </c>
      <c r="E392">
        <v>8123</v>
      </c>
      <c r="F392">
        <v>8</v>
      </c>
      <c r="G392">
        <v>6</v>
      </c>
      <c r="H392">
        <v>1.3333333999999999</v>
      </c>
      <c r="I392">
        <v>-0.33333333999999998</v>
      </c>
      <c r="J392">
        <v>0.42857142999999998</v>
      </c>
    </row>
    <row r="393" spans="1:10" x14ac:dyDescent="0.3">
      <c r="A393">
        <v>391</v>
      </c>
      <c r="B393">
        <v>6211</v>
      </c>
      <c r="C393" t="b">
        <v>1</v>
      </c>
      <c r="D393">
        <v>8048</v>
      </c>
      <c r="E393">
        <v>8123</v>
      </c>
      <c r="F393">
        <v>8</v>
      </c>
      <c r="G393">
        <v>6.4</v>
      </c>
      <c r="H393">
        <v>1.25</v>
      </c>
      <c r="I393">
        <v>-0.24999999000000001</v>
      </c>
      <c r="J393">
        <v>0.44444447999999998</v>
      </c>
    </row>
    <row r="394" spans="1:10" x14ac:dyDescent="0.3">
      <c r="A394">
        <v>392</v>
      </c>
      <c r="B394">
        <v>6227</v>
      </c>
      <c r="C394" t="b">
        <v>1</v>
      </c>
      <c r="D394">
        <v>8048</v>
      </c>
      <c r="E394">
        <v>8123</v>
      </c>
      <c r="F394">
        <v>8</v>
      </c>
      <c r="G394">
        <v>6.8</v>
      </c>
      <c r="H394">
        <v>1.1764705</v>
      </c>
      <c r="I394">
        <v>-0.17647055</v>
      </c>
      <c r="J394">
        <v>0.45945944999999999</v>
      </c>
    </row>
    <row r="395" spans="1:10" x14ac:dyDescent="0.3">
      <c r="A395">
        <v>393</v>
      </c>
      <c r="B395">
        <v>6243</v>
      </c>
      <c r="C395" t="b">
        <v>1</v>
      </c>
      <c r="D395">
        <v>8048</v>
      </c>
      <c r="E395">
        <v>8123</v>
      </c>
      <c r="F395">
        <v>8</v>
      </c>
      <c r="G395">
        <v>7.2</v>
      </c>
      <c r="H395">
        <v>1.1111112000000001</v>
      </c>
      <c r="I395">
        <v>-0.11111114</v>
      </c>
      <c r="J395">
        <v>0.4736842</v>
      </c>
    </row>
    <row r="396" spans="1:10" x14ac:dyDescent="0.3">
      <c r="A396">
        <v>394</v>
      </c>
      <c r="B396">
        <v>6261</v>
      </c>
      <c r="C396" t="b">
        <v>1</v>
      </c>
      <c r="D396">
        <v>8048</v>
      </c>
      <c r="E396">
        <v>8123</v>
      </c>
      <c r="F396">
        <v>8</v>
      </c>
      <c r="G396">
        <v>7.6</v>
      </c>
      <c r="H396">
        <v>1.0526316</v>
      </c>
      <c r="I396">
        <v>-5.2631589999999999E-2</v>
      </c>
      <c r="J396">
        <v>0.48717946000000001</v>
      </c>
    </row>
    <row r="397" spans="1:10" x14ac:dyDescent="0.3">
      <c r="A397">
        <v>395</v>
      </c>
      <c r="B397">
        <v>6277</v>
      </c>
      <c r="C397" t="b">
        <v>1</v>
      </c>
      <c r="D397">
        <v>8048</v>
      </c>
      <c r="E397">
        <v>8123</v>
      </c>
      <c r="F397">
        <v>8</v>
      </c>
      <c r="G397">
        <v>7.6</v>
      </c>
      <c r="H397">
        <v>1.0526316</v>
      </c>
      <c r="I397">
        <v>-5.2631589999999999E-2</v>
      </c>
      <c r="J397">
        <v>0.48717946000000001</v>
      </c>
    </row>
    <row r="398" spans="1:10" x14ac:dyDescent="0.3">
      <c r="A398">
        <v>396</v>
      </c>
      <c r="B398">
        <v>6293</v>
      </c>
      <c r="C398" t="b">
        <v>1</v>
      </c>
      <c r="D398">
        <v>8048</v>
      </c>
      <c r="E398">
        <v>8123</v>
      </c>
      <c r="F398">
        <v>8</v>
      </c>
      <c r="G398">
        <v>7.6</v>
      </c>
      <c r="H398">
        <v>1.0526316</v>
      </c>
      <c r="I398">
        <v>-5.2631589999999999E-2</v>
      </c>
      <c r="J398">
        <v>0.48717946000000001</v>
      </c>
    </row>
    <row r="399" spans="1:10" x14ac:dyDescent="0.3">
      <c r="A399">
        <v>397</v>
      </c>
      <c r="B399">
        <v>6309</v>
      </c>
      <c r="C399" t="b">
        <v>1</v>
      </c>
      <c r="D399">
        <v>8054</v>
      </c>
      <c r="E399">
        <v>8129</v>
      </c>
      <c r="F399">
        <v>8</v>
      </c>
      <c r="G399">
        <v>7.6</v>
      </c>
      <c r="H399">
        <v>1.0526316</v>
      </c>
      <c r="I399">
        <v>-5.2631589999999999E-2</v>
      </c>
      <c r="J399">
        <v>0.48717946000000001</v>
      </c>
    </row>
    <row r="400" spans="1:10" x14ac:dyDescent="0.3">
      <c r="A400">
        <v>398</v>
      </c>
      <c r="B400">
        <v>6325</v>
      </c>
      <c r="C400" t="b">
        <v>1</v>
      </c>
      <c r="D400">
        <v>8048</v>
      </c>
      <c r="E400">
        <v>8123</v>
      </c>
      <c r="F400">
        <v>8</v>
      </c>
      <c r="G400">
        <v>7.6</v>
      </c>
      <c r="H400">
        <v>1.0526316</v>
      </c>
      <c r="I400">
        <v>-5.2631589999999999E-2</v>
      </c>
      <c r="J400">
        <v>0.48717946000000001</v>
      </c>
    </row>
    <row r="401" spans="1:10" x14ac:dyDescent="0.3">
      <c r="A401">
        <v>399</v>
      </c>
      <c r="B401">
        <v>6341</v>
      </c>
      <c r="C401" t="b">
        <v>1</v>
      </c>
      <c r="D401">
        <v>8048</v>
      </c>
      <c r="E401">
        <v>8123</v>
      </c>
      <c r="F401">
        <v>8</v>
      </c>
      <c r="G401">
        <v>7.6</v>
      </c>
      <c r="H401">
        <v>1.0526316</v>
      </c>
      <c r="I401">
        <v>-5.2631589999999999E-2</v>
      </c>
      <c r="J401">
        <v>0.48717946000000001</v>
      </c>
    </row>
    <row r="402" spans="1:10" x14ac:dyDescent="0.3">
      <c r="A402">
        <v>400</v>
      </c>
      <c r="B402">
        <v>6357</v>
      </c>
      <c r="C402" t="b">
        <v>1</v>
      </c>
      <c r="D402">
        <v>8042</v>
      </c>
      <c r="E402">
        <v>8117</v>
      </c>
      <c r="F402">
        <v>8</v>
      </c>
      <c r="G402">
        <v>8</v>
      </c>
      <c r="H402">
        <v>1</v>
      </c>
      <c r="I402">
        <v>0</v>
      </c>
      <c r="J402">
        <v>0.5</v>
      </c>
    </row>
    <row r="403" spans="1:10" x14ac:dyDescent="0.3">
      <c r="A403">
        <v>401</v>
      </c>
      <c r="B403">
        <v>6372</v>
      </c>
      <c r="C403" t="b">
        <v>1</v>
      </c>
      <c r="D403">
        <v>8042</v>
      </c>
      <c r="E403">
        <v>8129</v>
      </c>
      <c r="F403">
        <v>8</v>
      </c>
      <c r="G403">
        <v>8</v>
      </c>
      <c r="H403">
        <v>1</v>
      </c>
      <c r="I403">
        <v>0</v>
      </c>
      <c r="J403">
        <v>0.5</v>
      </c>
    </row>
    <row r="404" spans="1:10" x14ac:dyDescent="0.3">
      <c r="A404">
        <v>402</v>
      </c>
      <c r="B404">
        <v>6388</v>
      </c>
      <c r="C404" t="b">
        <v>1</v>
      </c>
      <c r="D404">
        <v>8042</v>
      </c>
      <c r="E404">
        <v>8123</v>
      </c>
      <c r="F404">
        <v>7.6</v>
      </c>
      <c r="G404">
        <v>8</v>
      </c>
      <c r="H404">
        <v>0.95</v>
      </c>
      <c r="I404">
        <v>5.0000012000000003E-2</v>
      </c>
      <c r="J404">
        <v>0.51282050000000001</v>
      </c>
    </row>
    <row r="405" spans="1:10" x14ac:dyDescent="0.3">
      <c r="A405">
        <v>403</v>
      </c>
      <c r="B405">
        <v>6404</v>
      </c>
      <c r="C405" t="b">
        <v>1</v>
      </c>
      <c r="D405">
        <v>8042</v>
      </c>
      <c r="E405">
        <v>8123</v>
      </c>
      <c r="F405">
        <v>7.2</v>
      </c>
      <c r="G405">
        <v>8</v>
      </c>
      <c r="H405">
        <v>0.9</v>
      </c>
      <c r="I405">
        <v>0.10000002400000001</v>
      </c>
      <c r="J405">
        <v>0.5263158</v>
      </c>
    </row>
    <row r="406" spans="1:10" x14ac:dyDescent="0.3">
      <c r="A406">
        <v>404</v>
      </c>
      <c r="B406">
        <v>6420</v>
      </c>
      <c r="C406" t="b">
        <v>1</v>
      </c>
      <c r="D406">
        <v>8042</v>
      </c>
      <c r="E406">
        <v>8117</v>
      </c>
      <c r="F406">
        <v>6.8</v>
      </c>
      <c r="G406">
        <v>8</v>
      </c>
      <c r="H406">
        <v>0.85</v>
      </c>
      <c r="I406">
        <v>0.14999998</v>
      </c>
      <c r="J406">
        <v>0.54054049999999998</v>
      </c>
    </row>
    <row r="407" spans="1:10" x14ac:dyDescent="0.3">
      <c r="A407">
        <v>405</v>
      </c>
      <c r="B407">
        <v>6436</v>
      </c>
      <c r="C407" t="b">
        <v>1</v>
      </c>
      <c r="D407">
        <v>8042</v>
      </c>
      <c r="E407">
        <v>8117</v>
      </c>
      <c r="F407">
        <v>6.4</v>
      </c>
      <c r="G407">
        <v>8</v>
      </c>
      <c r="H407">
        <v>0.8</v>
      </c>
      <c r="I407">
        <v>0.19999998999999999</v>
      </c>
      <c r="J407">
        <v>0.55555560000000004</v>
      </c>
    </row>
    <row r="408" spans="1:10" x14ac:dyDescent="0.3">
      <c r="A408">
        <v>406</v>
      </c>
      <c r="B408">
        <v>6452</v>
      </c>
      <c r="C408" t="b">
        <v>1</v>
      </c>
      <c r="D408">
        <v>8048</v>
      </c>
      <c r="E408">
        <v>8117</v>
      </c>
      <c r="F408">
        <v>6</v>
      </c>
      <c r="G408">
        <v>7.6</v>
      </c>
      <c r="H408">
        <v>0.78947369999999994</v>
      </c>
      <c r="I408">
        <v>0.2105263</v>
      </c>
      <c r="J408">
        <v>0.55882350000000003</v>
      </c>
    </row>
    <row r="409" spans="1:10" x14ac:dyDescent="0.3">
      <c r="A409">
        <v>407</v>
      </c>
      <c r="B409">
        <v>6467</v>
      </c>
      <c r="C409" t="b">
        <v>1</v>
      </c>
      <c r="D409">
        <v>8048</v>
      </c>
      <c r="E409">
        <v>8117</v>
      </c>
      <c r="F409">
        <v>5.6</v>
      </c>
      <c r="G409">
        <v>7.2</v>
      </c>
      <c r="H409">
        <v>0.77777779999999996</v>
      </c>
      <c r="I409">
        <v>0.22222221</v>
      </c>
      <c r="J409">
        <v>0.5625</v>
      </c>
    </row>
    <row r="410" spans="1:10" x14ac:dyDescent="0.3">
      <c r="A410">
        <v>408</v>
      </c>
      <c r="B410">
        <v>6484</v>
      </c>
      <c r="C410" t="b">
        <v>1</v>
      </c>
      <c r="D410">
        <v>8048</v>
      </c>
      <c r="E410">
        <v>8117</v>
      </c>
      <c r="F410">
        <v>5.6</v>
      </c>
      <c r="G410">
        <v>6.8</v>
      </c>
      <c r="H410">
        <v>0.82352935999999999</v>
      </c>
      <c r="I410">
        <v>0.17647061999999999</v>
      </c>
      <c r="J410">
        <v>0.54838710000000002</v>
      </c>
    </row>
    <row r="411" spans="1:10" x14ac:dyDescent="0.3">
      <c r="A411">
        <v>409</v>
      </c>
      <c r="B411">
        <v>6499</v>
      </c>
      <c r="C411" t="b">
        <v>1</v>
      </c>
      <c r="D411">
        <v>8048</v>
      </c>
      <c r="E411">
        <v>8117</v>
      </c>
      <c r="F411">
        <v>5.6</v>
      </c>
      <c r="G411">
        <v>6.4</v>
      </c>
      <c r="H411">
        <v>0.875</v>
      </c>
      <c r="I411">
        <v>0.12500003000000001</v>
      </c>
      <c r="J411">
        <v>0.53333335999999998</v>
      </c>
    </row>
    <row r="412" spans="1:10" x14ac:dyDescent="0.3">
      <c r="A412">
        <v>410</v>
      </c>
      <c r="B412">
        <v>6515</v>
      </c>
      <c r="C412" t="b">
        <v>1</v>
      </c>
      <c r="D412">
        <v>8048</v>
      </c>
      <c r="E412">
        <v>8123</v>
      </c>
      <c r="F412">
        <v>5.6</v>
      </c>
      <c r="G412">
        <v>6</v>
      </c>
      <c r="H412">
        <v>0.93333334000000001</v>
      </c>
      <c r="I412">
        <v>6.6666685000000003E-2</v>
      </c>
      <c r="J412">
        <v>0.51724135999999998</v>
      </c>
    </row>
    <row r="413" spans="1:10" x14ac:dyDescent="0.3">
      <c r="A413">
        <v>411</v>
      </c>
      <c r="B413">
        <v>6531</v>
      </c>
      <c r="C413" t="b">
        <v>1</v>
      </c>
      <c r="D413">
        <v>8054</v>
      </c>
      <c r="E413">
        <v>8123</v>
      </c>
      <c r="F413">
        <v>5.6</v>
      </c>
      <c r="G413">
        <v>5.6</v>
      </c>
      <c r="H413">
        <v>1</v>
      </c>
      <c r="I413">
        <v>0</v>
      </c>
      <c r="J413">
        <v>0.5</v>
      </c>
    </row>
    <row r="414" spans="1:10" x14ac:dyDescent="0.3">
      <c r="A414">
        <v>412</v>
      </c>
      <c r="B414">
        <v>6546</v>
      </c>
      <c r="C414" t="b">
        <v>1</v>
      </c>
      <c r="D414">
        <v>8048</v>
      </c>
      <c r="E414">
        <v>8117</v>
      </c>
      <c r="F414">
        <v>5.6</v>
      </c>
      <c r="G414">
        <v>5.2</v>
      </c>
      <c r="H414">
        <v>1.0769230999999999</v>
      </c>
      <c r="I414">
        <v>-7.6923094999999997E-2</v>
      </c>
      <c r="J414">
        <v>0.48148150000000001</v>
      </c>
    </row>
    <row r="415" spans="1:10" x14ac:dyDescent="0.3">
      <c r="A415">
        <v>413</v>
      </c>
      <c r="B415">
        <v>6562</v>
      </c>
      <c r="C415" t="b">
        <v>1</v>
      </c>
      <c r="D415">
        <v>8048</v>
      </c>
      <c r="E415">
        <v>8123</v>
      </c>
      <c r="F415">
        <v>5.6</v>
      </c>
      <c r="G415">
        <v>5.2</v>
      </c>
      <c r="H415">
        <v>1.0769230999999999</v>
      </c>
      <c r="I415">
        <v>-7.6923094999999997E-2</v>
      </c>
      <c r="J415">
        <v>0.48148150000000001</v>
      </c>
    </row>
    <row r="416" spans="1:10" x14ac:dyDescent="0.3">
      <c r="A416">
        <v>414</v>
      </c>
      <c r="B416">
        <v>6578</v>
      </c>
      <c r="C416" t="b">
        <v>1</v>
      </c>
      <c r="D416">
        <v>8048</v>
      </c>
      <c r="E416">
        <v>8123</v>
      </c>
      <c r="F416">
        <v>5.6</v>
      </c>
      <c r="G416">
        <v>5.2</v>
      </c>
      <c r="H416">
        <v>1.0769230999999999</v>
      </c>
      <c r="I416">
        <v>-7.6923094999999997E-2</v>
      </c>
      <c r="J416">
        <v>0.48148150000000001</v>
      </c>
    </row>
    <row r="417" spans="1:10" x14ac:dyDescent="0.3">
      <c r="A417">
        <v>415</v>
      </c>
      <c r="B417">
        <v>6594</v>
      </c>
      <c r="C417" t="b">
        <v>1</v>
      </c>
      <c r="D417">
        <v>8048</v>
      </c>
      <c r="E417">
        <v>8123</v>
      </c>
      <c r="F417">
        <v>5.6</v>
      </c>
      <c r="G417">
        <v>5.2</v>
      </c>
      <c r="H417">
        <v>1.0769230999999999</v>
      </c>
      <c r="I417">
        <v>-7.6923094999999997E-2</v>
      </c>
      <c r="J417">
        <v>0.48148150000000001</v>
      </c>
    </row>
    <row r="418" spans="1:10" x14ac:dyDescent="0.3">
      <c r="A418">
        <v>416</v>
      </c>
      <c r="B418">
        <v>6610</v>
      </c>
      <c r="C418" t="b">
        <v>1</v>
      </c>
      <c r="D418">
        <v>8042</v>
      </c>
      <c r="E418">
        <v>8123</v>
      </c>
      <c r="F418">
        <v>5.6</v>
      </c>
      <c r="G418">
        <v>5.2</v>
      </c>
      <c r="H418">
        <v>1.0769230999999999</v>
      </c>
      <c r="I418">
        <v>-7.6923094999999997E-2</v>
      </c>
      <c r="J418">
        <v>0.48148150000000001</v>
      </c>
    </row>
    <row r="419" spans="1:10" x14ac:dyDescent="0.3">
      <c r="A419">
        <v>417</v>
      </c>
      <c r="B419">
        <v>6626</v>
      </c>
      <c r="C419" t="b">
        <v>1</v>
      </c>
      <c r="D419">
        <v>8048</v>
      </c>
      <c r="E419">
        <v>8129</v>
      </c>
      <c r="F419">
        <v>6</v>
      </c>
      <c r="G419">
        <v>5.2</v>
      </c>
      <c r="H419">
        <v>1.1538461</v>
      </c>
      <c r="I419">
        <v>-0.15384618999999999</v>
      </c>
      <c r="J419">
        <v>0.46428570000000002</v>
      </c>
    </row>
    <row r="420" spans="1:10" x14ac:dyDescent="0.3">
      <c r="A420">
        <v>418</v>
      </c>
      <c r="B420">
        <v>6642</v>
      </c>
      <c r="C420" t="b">
        <v>1</v>
      </c>
      <c r="D420">
        <v>8054</v>
      </c>
      <c r="E420">
        <v>8117</v>
      </c>
      <c r="F420">
        <v>6.4</v>
      </c>
      <c r="G420">
        <v>5.2</v>
      </c>
      <c r="H420">
        <v>1.2307693</v>
      </c>
      <c r="I420">
        <v>-0.23076928999999999</v>
      </c>
      <c r="J420">
        <v>0.44827582999999999</v>
      </c>
    </row>
    <row r="421" spans="1:10" x14ac:dyDescent="0.3">
      <c r="A421">
        <v>419</v>
      </c>
      <c r="B421">
        <v>6658</v>
      </c>
      <c r="C421" t="b">
        <v>1</v>
      </c>
      <c r="D421">
        <v>8054</v>
      </c>
      <c r="E421">
        <v>8123</v>
      </c>
      <c r="F421">
        <v>6.8</v>
      </c>
      <c r="G421">
        <v>5.2</v>
      </c>
      <c r="H421">
        <v>1.3076924000000001</v>
      </c>
      <c r="I421">
        <v>-0.30769237999999999</v>
      </c>
      <c r="J421">
        <v>0.43333329999999998</v>
      </c>
    </row>
    <row r="422" spans="1:10" x14ac:dyDescent="0.3">
      <c r="A422">
        <v>420</v>
      </c>
      <c r="B422">
        <v>6674</v>
      </c>
      <c r="C422" t="b">
        <v>1</v>
      </c>
      <c r="D422">
        <v>8054</v>
      </c>
      <c r="E422">
        <v>8123</v>
      </c>
      <c r="F422">
        <v>7.6</v>
      </c>
      <c r="G422">
        <v>5.2</v>
      </c>
      <c r="H422">
        <v>1.4615385999999999</v>
      </c>
      <c r="I422">
        <v>-0.46153850000000002</v>
      </c>
      <c r="J422">
        <v>0.40625</v>
      </c>
    </row>
    <row r="423" spans="1:10" x14ac:dyDescent="0.3">
      <c r="A423">
        <v>421</v>
      </c>
      <c r="B423">
        <v>6690</v>
      </c>
      <c r="C423" t="b">
        <v>1</v>
      </c>
      <c r="D423">
        <v>8054</v>
      </c>
      <c r="E423">
        <v>8117</v>
      </c>
      <c r="F423">
        <v>8.4</v>
      </c>
      <c r="G423">
        <v>5.6</v>
      </c>
      <c r="H423">
        <v>1.5</v>
      </c>
      <c r="I423">
        <v>-0.49999997000000002</v>
      </c>
      <c r="J423">
        <v>0.4</v>
      </c>
    </row>
    <row r="424" spans="1:10" x14ac:dyDescent="0.3">
      <c r="A424">
        <v>422</v>
      </c>
      <c r="B424">
        <v>6706</v>
      </c>
      <c r="C424" t="b">
        <v>1</v>
      </c>
      <c r="D424">
        <v>8054</v>
      </c>
      <c r="E424">
        <v>8123</v>
      </c>
      <c r="F424">
        <v>9.1999999999999993</v>
      </c>
      <c r="G424">
        <v>6</v>
      </c>
      <c r="H424">
        <v>1.5333333</v>
      </c>
      <c r="I424">
        <v>-0.53333330000000001</v>
      </c>
      <c r="J424">
        <v>0.39473686000000002</v>
      </c>
    </row>
    <row r="425" spans="1:10" x14ac:dyDescent="0.3">
      <c r="A425">
        <v>423</v>
      </c>
      <c r="B425">
        <v>6722</v>
      </c>
      <c r="C425" t="b">
        <v>1</v>
      </c>
      <c r="D425">
        <v>8054</v>
      </c>
      <c r="E425">
        <v>8123</v>
      </c>
      <c r="F425">
        <v>9.6</v>
      </c>
      <c r="G425">
        <v>6.4</v>
      </c>
      <c r="H425">
        <v>1.5</v>
      </c>
      <c r="I425">
        <v>-0.50000005999999997</v>
      </c>
      <c r="J425">
        <v>0.4</v>
      </c>
    </row>
    <row r="426" spans="1:10" x14ac:dyDescent="0.3">
      <c r="A426">
        <v>424</v>
      </c>
      <c r="B426">
        <v>6738</v>
      </c>
      <c r="C426" t="b">
        <v>1</v>
      </c>
      <c r="D426">
        <v>8054</v>
      </c>
      <c r="E426">
        <v>8123</v>
      </c>
      <c r="F426">
        <v>10</v>
      </c>
      <c r="G426">
        <v>6.8</v>
      </c>
      <c r="H426">
        <v>1.4705881999999999</v>
      </c>
      <c r="I426">
        <v>-0.47058820000000001</v>
      </c>
      <c r="J426">
        <v>0.40476193999999999</v>
      </c>
    </row>
    <row r="427" spans="1:10" x14ac:dyDescent="0.3">
      <c r="A427">
        <v>425</v>
      </c>
      <c r="B427">
        <v>6754</v>
      </c>
      <c r="C427" t="b">
        <v>1</v>
      </c>
      <c r="D427">
        <v>8048</v>
      </c>
      <c r="E427">
        <v>8117</v>
      </c>
      <c r="F427">
        <v>10.4</v>
      </c>
      <c r="G427">
        <v>7.2</v>
      </c>
      <c r="H427">
        <v>1.4444444000000001</v>
      </c>
      <c r="I427">
        <v>-0.44444442000000001</v>
      </c>
      <c r="J427">
        <v>0.40909094000000001</v>
      </c>
    </row>
    <row r="428" spans="1:10" x14ac:dyDescent="0.3">
      <c r="A428">
        <v>426</v>
      </c>
      <c r="B428">
        <v>6770</v>
      </c>
      <c r="C428" t="b">
        <v>1</v>
      </c>
      <c r="D428">
        <v>8048</v>
      </c>
      <c r="E428">
        <v>8123</v>
      </c>
      <c r="F428">
        <v>10.8</v>
      </c>
      <c r="G428">
        <v>7.6</v>
      </c>
      <c r="H428">
        <v>1.4210526999999999</v>
      </c>
      <c r="I428">
        <v>-0.42105266000000002</v>
      </c>
      <c r="J428">
        <v>0.41304347000000002</v>
      </c>
    </row>
    <row r="429" spans="1:10" x14ac:dyDescent="0.3">
      <c r="A429">
        <v>427</v>
      </c>
      <c r="B429">
        <v>6785</v>
      </c>
      <c r="C429" t="b">
        <v>1</v>
      </c>
      <c r="D429">
        <v>8042</v>
      </c>
      <c r="E429">
        <v>8123</v>
      </c>
      <c r="F429">
        <v>10.8</v>
      </c>
      <c r="G429">
        <v>8</v>
      </c>
      <c r="H429">
        <v>1.35</v>
      </c>
      <c r="I429">
        <v>-0.35000002000000002</v>
      </c>
      <c r="J429">
        <v>0.42553192000000001</v>
      </c>
    </row>
    <row r="430" spans="1:10" x14ac:dyDescent="0.3">
      <c r="A430">
        <v>428</v>
      </c>
      <c r="B430">
        <v>6801</v>
      </c>
      <c r="C430" t="b">
        <v>1</v>
      </c>
      <c r="D430">
        <v>8048</v>
      </c>
      <c r="E430">
        <v>8123</v>
      </c>
      <c r="F430">
        <v>10.8</v>
      </c>
      <c r="G430">
        <v>8</v>
      </c>
      <c r="H430">
        <v>1.35</v>
      </c>
      <c r="I430">
        <v>-0.35000002000000002</v>
      </c>
      <c r="J430">
        <v>0.42553192000000001</v>
      </c>
    </row>
    <row r="431" spans="1:10" x14ac:dyDescent="0.3">
      <c r="A431">
        <v>429</v>
      </c>
      <c r="B431">
        <v>6817</v>
      </c>
      <c r="C431" t="b">
        <v>1</v>
      </c>
      <c r="D431">
        <v>8048</v>
      </c>
      <c r="E431">
        <v>8123</v>
      </c>
      <c r="F431">
        <v>10.8</v>
      </c>
      <c r="G431">
        <v>8</v>
      </c>
      <c r="H431">
        <v>1.35</v>
      </c>
      <c r="I431">
        <v>-0.35000002000000002</v>
      </c>
      <c r="J431">
        <v>0.42553192000000001</v>
      </c>
    </row>
    <row r="432" spans="1:10" x14ac:dyDescent="0.3">
      <c r="A432">
        <v>430</v>
      </c>
      <c r="B432">
        <v>6833</v>
      </c>
      <c r="C432" t="b">
        <v>1</v>
      </c>
      <c r="D432">
        <v>8048</v>
      </c>
      <c r="E432">
        <v>8123</v>
      </c>
      <c r="F432">
        <v>10.8</v>
      </c>
      <c r="G432">
        <v>8</v>
      </c>
      <c r="H432">
        <v>1.35</v>
      </c>
      <c r="I432">
        <v>-0.35000002000000002</v>
      </c>
      <c r="J432">
        <v>0.42553192000000001</v>
      </c>
    </row>
    <row r="433" spans="1:10" x14ac:dyDescent="0.3">
      <c r="A433">
        <v>431</v>
      </c>
      <c r="B433">
        <v>6849</v>
      </c>
      <c r="C433" t="b">
        <v>1</v>
      </c>
      <c r="D433">
        <v>8054</v>
      </c>
      <c r="E433">
        <v>8123</v>
      </c>
      <c r="F433">
        <v>10.8</v>
      </c>
      <c r="G433">
        <v>8</v>
      </c>
      <c r="H433">
        <v>1.35</v>
      </c>
      <c r="I433">
        <v>-0.35000002000000002</v>
      </c>
      <c r="J433">
        <v>0.42553192000000001</v>
      </c>
    </row>
    <row r="434" spans="1:10" x14ac:dyDescent="0.3">
      <c r="A434">
        <v>432</v>
      </c>
      <c r="B434">
        <v>6865</v>
      </c>
      <c r="C434" t="b">
        <v>1</v>
      </c>
      <c r="D434">
        <v>8054</v>
      </c>
      <c r="E434">
        <v>8123</v>
      </c>
      <c r="F434">
        <v>10.8</v>
      </c>
      <c r="G434">
        <v>8</v>
      </c>
      <c r="H434">
        <v>1.35</v>
      </c>
      <c r="I434">
        <v>-0.35000002000000002</v>
      </c>
      <c r="J434">
        <v>0.42553192000000001</v>
      </c>
    </row>
    <row r="435" spans="1:10" x14ac:dyDescent="0.3">
      <c r="A435">
        <v>433</v>
      </c>
      <c r="B435">
        <v>6880</v>
      </c>
      <c r="C435" t="b">
        <v>1</v>
      </c>
      <c r="D435">
        <v>8054</v>
      </c>
      <c r="E435">
        <v>8123</v>
      </c>
      <c r="F435">
        <v>11.2</v>
      </c>
      <c r="G435">
        <v>8</v>
      </c>
      <c r="H435">
        <v>1.4</v>
      </c>
      <c r="I435">
        <v>-0.39999997999999998</v>
      </c>
      <c r="J435">
        <v>0.41666666000000002</v>
      </c>
    </row>
    <row r="436" spans="1:10" x14ac:dyDescent="0.3">
      <c r="A436">
        <v>434</v>
      </c>
      <c r="B436">
        <v>6896</v>
      </c>
      <c r="C436" t="b">
        <v>1</v>
      </c>
      <c r="D436">
        <v>8054</v>
      </c>
      <c r="E436">
        <v>8123</v>
      </c>
      <c r="F436">
        <v>11.6</v>
      </c>
      <c r="G436">
        <v>8</v>
      </c>
      <c r="H436">
        <v>1.45</v>
      </c>
      <c r="I436">
        <v>-0.45000004999999998</v>
      </c>
      <c r="J436">
        <v>0.40816324999999998</v>
      </c>
    </row>
    <row r="437" spans="1:10" x14ac:dyDescent="0.3">
      <c r="A437">
        <v>435</v>
      </c>
      <c r="B437">
        <v>6912</v>
      </c>
      <c r="C437" t="b">
        <v>1</v>
      </c>
      <c r="D437">
        <v>8054</v>
      </c>
      <c r="E437">
        <v>8123</v>
      </c>
      <c r="F437">
        <v>11.6</v>
      </c>
      <c r="G437">
        <v>8</v>
      </c>
      <c r="H437">
        <v>1.45</v>
      </c>
      <c r="I437">
        <v>-0.45000004999999998</v>
      </c>
      <c r="J437">
        <v>0.40816324999999998</v>
      </c>
    </row>
    <row r="438" spans="1:10" x14ac:dyDescent="0.3">
      <c r="A438">
        <v>436</v>
      </c>
      <c r="B438">
        <v>6928</v>
      </c>
      <c r="C438" t="b">
        <v>1</v>
      </c>
      <c r="D438">
        <v>8054</v>
      </c>
      <c r="E438">
        <v>8123</v>
      </c>
      <c r="F438">
        <v>11.6</v>
      </c>
      <c r="G438">
        <v>8</v>
      </c>
      <c r="H438">
        <v>1.45</v>
      </c>
      <c r="I438">
        <v>-0.45000004999999998</v>
      </c>
      <c r="J438">
        <v>0.40816324999999998</v>
      </c>
    </row>
    <row r="439" spans="1:10" x14ac:dyDescent="0.3">
      <c r="A439">
        <v>437</v>
      </c>
      <c r="B439">
        <v>6944</v>
      </c>
      <c r="C439" t="b">
        <v>1</v>
      </c>
      <c r="D439">
        <v>8048</v>
      </c>
      <c r="E439">
        <v>8123</v>
      </c>
      <c r="F439">
        <v>11.6</v>
      </c>
      <c r="G439">
        <v>8</v>
      </c>
      <c r="H439">
        <v>1.45</v>
      </c>
      <c r="I439">
        <v>-0.45000004999999998</v>
      </c>
      <c r="J439">
        <v>0.40816324999999998</v>
      </c>
    </row>
    <row r="440" spans="1:10" x14ac:dyDescent="0.3">
      <c r="A440">
        <v>438</v>
      </c>
      <c r="B440">
        <v>6960</v>
      </c>
      <c r="C440" t="b">
        <v>1</v>
      </c>
      <c r="D440">
        <v>8048</v>
      </c>
      <c r="E440">
        <v>8123</v>
      </c>
      <c r="F440">
        <v>11.6</v>
      </c>
      <c r="G440">
        <v>8</v>
      </c>
      <c r="H440">
        <v>1.45</v>
      </c>
      <c r="I440">
        <v>-0.45000004999999998</v>
      </c>
      <c r="J440">
        <v>0.40816324999999998</v>
      </c>
    </row>
    <row r="441" spans="1:10" x14ac:dyDescent="0.3">
      <c r="A441">
        <v>439</v>
      </c>
      <c r="B441">
        <v>6975</v>
      </c>
      <c r="C441" t="b">
        <v>1</v>
      </c>
      <c r="D441">
        <v>8048</v>
      </c>
      <c r="E441">
        <v>8123</v>
      </c>
      <c r="F441">
        <v>11.2</v>
      </c>
      <c r="G441">
        <v>8</v>
      </c>
      <c r="H441">
        <v>1.4</v>
      </c>
      <c r="I441">
        <v>-0.39999997999999998</v>
      </c>
      <c r="J441">
        <v>0.41666666000000002</v>
      </c>
    </row>
    <row r="442" spans="1:10" x14ac:dyDescent="0.3">
      <c r="A442">
        <v>440</v>
      </c>
      <c r="B442">
        <v>6991</v>
      </c>
      <c r="C442" t="b">
        <v>1</v>
      </c>
      <c r="D442">
        <v>8054</v>
      </c>
      <c r="E442">
        <v>8123</v>
      </c>
      <c r="F442">
        <v>10.8</v>
      </c>
      <c r="G442">
        <v>8</v>
      </c>
      <c r="H442">
        <v>1.35</v>
      </c>
      <c r="I442">
        <v>-0.35000002000000002</v>
      </c>
      <c r="J442">
        <v>0.42553192000000001</v>
      </c>
    </row>
    <row r="443" spans="1:10" x14ac:dyDescent="0.3">
      <c r="A443">
        <v>441</v>
      </c>
      <c r="B443">
        <v>7007</v>
      </c>
      <c r="C443" t="b">
        <v>1</v>
      </c>
      <c r="D443">
        <v>8042</v>
      </c>
      <c r="E443">
        <v>8123</v>
      </c>
      <c r="F443">
        <v>10.4</v>
      </c>
      <c r="G443">
        <v>8</v>
      </c>
      <c r="H443">
        <v>1.3</v>
      </c>
      <c r="I443">
        <v>-0.29999995000000002</v>
      </c>
      <c r="J443">
        <v>0.43478262000000001</v>
      </c>
    </row>
    <row r="444" spans="1:10" x14ac:dyDescent="0.3">
      <c r="A444">
        <v>442</v>
      </c>
      <c r="B444">
        <v>7023</v>
      </c>
      <c r="C444" t="b">
        <v>1</v>
      </c>
      <c r="D444">
        <v>8048</v>
      </c>
      <c r="E444">
        <v>8117</v>
      </c>
      <c r="F444">
        <v>10.4</v>
      </c>
      <c r="G444">
        <v>8</v>
      </c>
      <c r="H444">
        <v>1.3</v>
      </c>
      <c r="I444">
        <v>-0.29999995000000002</v>
      </c>
      <c r="J444">
        <v>0.43478262000000001</v>
      </c>
    </row>
    <row r="445" spans="1:10" x14ac:dyDescent="0.3">
      <c r="A445">
        <v>443</v>
      </c>
      <c r="B445">
        <v>7039</v>
      </c>
      <c r="C445" t="b">
        <v>1</v>
      </c>
      <c r="D445">
        <v>8048</v>
      </c>
      <c r="E445">
        <v>8123</v>
      </c>
      <c r="F445">
        <v>10.4</v>
      </c>
      <c r="G445">
        <v>8</v>
      </c>
      <c r="H445">
        <v>1.3</v>
      </c>
      <c r="I445">
        <v>-0.29999995000000002</v>
      </c>
      <c r="J445">
        <v>0.43478262000000001</v>
      </c>
    </row>
    <row r="446" spans="1:10" x14ac:dyDescent="0.3">
      <c r="A446">
        <v>444</v>
      </c>
      <c r="B446">
        <v>7055</v>
      </c>
      <c r="C446" t="b">
        <v>1</v>
      </c>
      <c r="D446">
        <v>8048</v>
      </c>
      <c r="E446">
        <v>8123</v>
      </c>
      <c r="F446">
        <v>10.4</v>
      </c>
      <c r="G446">
        <v>8</v>
      </c>
      <c r="H446">
        <v>1.3</v>
      </c>
      <c r="I446">
        <v>-0.29999995000000002</v>
      </c>
      <c r="J446">
        <v>0.43478262000000001</v>
      </c>
    </row>
    <row r="447" spans="1:10" x14ac:dyDescent="0.3">
      <c r="A447">
        <v>445</v>
      </c>
      <c r="B447">
        <v>7071</v>
      </c>
      <c r="C447" t="b">
        <v>1</v>
      </c>
      <c r="D447">
        <v>8048</v>
      </c>
      <c r="E447">
        <v>8117</v>
      </c>
      <c r="F447">
        <v>10.4</v>
      </c>
      <c r="G447">
        <v>8</v>
      </c>
      <c r="H447">
        <v>1.3</v>
      </c>
      <c r="I447">
        <v>-0.29999995000000002</v>
      </c>
      <c r="J447">
        <v>0.43478262000000001</v>
      </c>
    </row>
    <row r="448" spans="1:10" x14ac:dyDescent="0.3">
      <c r="A448">
        <v>446</v>
      </c>
      <c r="B448">
        <v>7087</v>
      </c>
      <c r="C448" t="b">
        <v>1</v>
      </c>
      <c r="D448">
        <v>8048</v>
      </c>
      <c r="E448">
        <v>8117</v>
      </c>
      <c r="F448">
        <v>10.4</v>
      </c>
      <c r="G448">
        <v>7.6</v>
      </c>
      <c r="H448">
        <v>1.3684210999999999</v>
      </c>
      <c r="I448">
        <v>-0.36842101999999999</v>
      </c>
      <c r="J448">
        <v>0.42222222999999998</v>
      </c>
    </row>
    <row r="449" spans="1:10" x14ac:dyDescent="0.3">
      <c r="A449">
        <v>447</v>
      </c>
      <c r="B449">
        <v>7102</v>
      </c>
      <c r="C449" t="b">
        <v>1</v>
      </c>
      <c r="D449">
        <v>8048</v>
      </c>
      <c r="E449">
        <v>8123</v>
      </c>
      <c r="F449">
        <v>10.4</v>
      </c>
      <c r="G449">
        <v>7.6</v>
      </c>
      <c r="H449">
        <v>1.3684210999999999</v>
      </c>
      <c r="I449">
        <v>-0.36842101999999999</v>
      </c>
      <c r="J449">
        <v>0.42222222999999998</v>
      </c>
    </row>
    <row r="450" spans="1:10" x14ac:dyDescent="0.3">
      <c r="A450">
        <v>448</v>
      </c>
      <c r="B450">
        <v>7118</v>
      </c>
      <c r="C450" t="b">
        <v>1</v>
      </c>
      <c r="D450">
        <v>8048</v>
      </c>
      <c r="E450">
        <v>8123</v>
      </c>
      <c r="F450">
        <v>10</v>
      </c>
      <c r="G450">
        <v>7.6</v>
      </c>
      <c r="H450">
        <v>1.3157894999999999</v>
      </c>
      <c r="I450">
        <v>-0.3157895</v>
      </c>
      <c r="J450">
        <v>0.43181816000000001</v>
      </c>
    </row>
    <row r="451" spans="1:10" x14ac:dyDescent="0.3">
      <c r="A451">
        <v>449</v>
      </c>
      <c r="B451">
        <v>7134</v>
      </c>
      <c r="C451" t="b">
        <v>1</v>
      </c>
      <c r="D451">
        <v>8048</v>
      </c>
      <c r="E451">
        <v>8123</v>
      </c>
      <c r="F451">
        <v>9.6</v>
      </c>
      <c r="G451">
        <v>7.6</v>
      </c>
      <c r="H451">
        <v>1.263158</v>
      </c>
      <c r="I451">
        <v>-0.26315796000000002</v>
      </c>
      <c r="J451">
        <v>0.44186044000000002</v>
      </c>
    </row>
    <row r="452" spans="1:10" x14ac:dyDescent="0.3">
      <c r="A452">
        <v>450</v>
      </c>
      <c r="B452">
        <v>7150</v>
      </c>
      <c r="C452" t="b">
        <v>1</v>
      </c>
      <c r="D452">
        <v>8042</v>
      </c>
      <c r="E452">
        <v>8123</v>
      </c>
      <c r="F452">
        <v>9.1999999999999993</v>
      </c>
      <c r="G452">
        <v>7.6</v>
      </c>
      <c r="H452">
        <v>1.2105262999999999</v>
      </c>
      <c r="I452">
        <v>-0.2105263</v>
      </c>
      <c r="J452">
        <v>0.45238096</v>
      </c>
    </row>
    <row r="453" spans="1:10" x14ac:dyDescent="0.3">
      <c r="A453">
        <v>451</v>
      </c>
      <c r="B453">
        <v>7165</v>
      </c>
      <c r="C453" t="b">
        <v>1</v>
      </c>
      <c r="D453">
        <v>8054</v>
      </c>
      <c r="E453">
        <v>8123</v>
      </c>
      <c r="F453">
        <v>8.8000000000000007</v>
      </c>
      <c r="G453">
        <v>7.6</v>
      </c>
      <c r="H453">
        <v>1.1578946999999999</v>
      </c>
      <c r="I453">
        <v>-0.15789478000000001</v>
      </c>
      <c r="J453">
        <v>0.46341463999999999</v>
      </c>
    </row>
    <row r="454" spans="1:10" x14ac:dyDescent="0.3">
      <c r="A454">
        <v>452</v>
      </c>
      <c r="B454">
        <v>7181</v>
      </c>
      <c r="C454" t="b">
        <v>1</v>
      </c>
      <c r="D454">
        <v>8042</v>
      </c>
      <c r="E454">
        <v>8123</v>
      </c>
      <c r="F454">
        <v>8.4</v>
      </c>
      <c r="G454">
        <v>7.6</v>
      </c>
      <c r="H454">
        <v>1.1052630999999999</v>
      </c>
      <c r="I454">
        <v>-0.10526312</v>
      </c>
      <c r="J454">
        <v>0.47499999999999998</v>
      </c>
    </row>
    <row r="455" spans="1:10" x14ac:dyDescent="0.3">
      <c r="A455">
        <v>453</v>
      </c>
      <c r="B455">
        <v>7197</v>
      </c>
      <c r="C455" t="b">
        <v>1</v>
      </c>
      <c r="D455">
        <v>8048</v>
      </c>
      <c r="E455">
        <v>8129</v>
      </c>
      <c r="F455">
        <v>8</v>
      </c>
      <c r="G455">
        <v>7.6</v>
      </c>
      <c r="H455">
        <v>1.0526316</v>
      </c>
      <c r="I455">
        <v>-5.2631589999999999E-2</v>
      </c>
      <c r="J455">
        <v>0.48717946000000001</v>
      </c>
    </row>
    <row r="456" spans="1:10" x14ac:dyDescent="0.3">
      <c r="A456">
        <v>454</v>
      </c>
      <c r="B456">
        <v>7213</v>
      </c>
      <c r="C456" t="b">
        <v>1</v>
      </c>
      <c r="D456">
        <v>8048</v>
      </c>
      <c r="E456">
        <v>8123</v>
      </c>
      <c r="F456">
        <v>8</v>
      </c>
      <c r="G456">
        <v>7.6</v>
      </c>
      <c r="H456">
        <v>1.0526316</v>
      </c>
      <c r="I456">
        <v>-5.2631589999999999E-2</v>
      </c>
      <c r="J456">
        <v>0.48717946000000001</v>
      </c>
    </row>
    <row r="457" spans="1:10" x14ac:dyDescent="0.3">
      <c r="A457">
        <v>455</v>
      </c>
      <c r="B457">
        <v>7229</v>
      </c>
      <c r="C457" t="b">
        <v>1</v>
      </c>
      <c r="D457">
        <v>8048</v>
      </c>
      <c r="E457">
        <v>8123</v>
      </c>
      <c r="F457">
        <v>8</v>
      </c>
      <c r="G457">
        <v>7.6</v>
      </c>
      <c r="H457">
        <v>1.0526316</v>
      </c>
      <c r="I457">
        <v>-5.2631589999999999E-2</v>
      </c>
      <c r="J457">
        <v>0.48717946000000001</v>
      </c>
    </row>
    <row r="458" spans="1:10" x14ac:dyDescent="0.3">
      <c r="A458">
        <v>456</v>
      </c>
      <c r="B458">
        <v>7245</v>
      </c>
      <c r="C458" t="b">
        <v>1</v>
      </c>
      <c r="D458">
        <v>8048</v>
      </c>
      <c r="E458">
        <v>8123</v>
      </c>
      <c r="F458">
        <v>8</v>
      </c>
      <c r="G458">
        <v>7.6</v>
      </c>
      <c r="H458">
        <v>1.0526316</v>
      </c>
      <c r="I458">
        <v>-5.2631589999999999E-2</v>
      </c>
      <c r="J458">
        <v>0.48717946000000001</v>
      </c>
    </row>
    <row r="459" spans="1:10" x14ac:dyDescent="0.3">
      <c r="A459">
        <v>457</v>
      </c>
      <c r="B459">
        <v>7261</v>
      </c>
      <c r="C459" t="b">
        <v>1</v>
      </c>
      <c r="D459">
        <v>8048</v>
      </c>
      <c r="E459">
        <v>8123</v>
      </c>
      <c r="F459">
        <v>8</v>
      </c>
      <c r="G459">
        <v>7.6</v>
      </c>
      <c r="H459">
        <v>1.0526316</v>
      </c>
      <c r="I459">
        <v>-5.2631589999999999E-2</v>
      </c>
      <c r="J459">
        <v>0.48717946000000001</v>
      </c>
    </row>
    <row r="460" spans="1:10" x14ac:dyDescent="0.3">
      <c r="A460">
        <v>458</v>
      </c>
      <c r="B460">
        <v>7277</v>
      </c>
      <c r="C460" t="b">
        <v>1</v>
      </c>
      <c r="D460">
        <v>8048</v>
      </c>
      <c r="E460">
        <v>8117</v>
      </c>
      <c r="F460">
        <v>8</v>
      </c>
      <c r="G460">
        <v>7.6</v>
      </c>
      <c r="H460">
        <v>1.0526316</v>
      </c>
      <c r="I460">
        <v>-5.2631589999999999E-2</v>
      </c>
      <c r="J460">
        <v>0.48717946000000001</v>
      </c>
    </row>
    <row r="461" spans="1:10" x14ac:dyDescent="0.3">
      <c r="A461">
        <v>459</v>
      </c>
      <c r="B461">
        <v>7293</v>
      </c>
      <c r="C461" t="b">
        <v>1</v>
      </c>
      <c r="D461">
        <v>8048</v>
      </c>
      <c r="E461">
        <v>8117</v>
      </c>
      <c r="F461">
        <v>8</v>
      </c>
      <c r="G461">
        <v>7.6</v>
      </c>
      <c r="H461">
        <v>1.0526316</v>
      </c>
      <c r="I461">
        <v>-5.2631589999999999E-2</v>
      </c>
      <c r="J461">
        <v>0.48717946000000001</v>
      </c>
    </row>
    <row r="462" spans="1:10" x14ac:dyDescent="0.3">
      <c r="A462">
        <v>460</v>
      </c>
      <c r="B462">
        <v>7309</v>
      </c>
      <c r="C462" t="b">
        <v>1</v>
      </c>
      <c r="D462">
        <v>8054</v>
      </c>
      <c r="E462">
        <v>8123</v>
      </c>
      <c r="F462">
        <v>8</v>
      </c>
      <c r="G462">
        <v>7.6</v>
      </c>
      <c r="H462">
        <v>1.0526316</v>
      </c>
      <c r="I462">
        <v>-5.2631589999999999E-2</v>
      </c>
      <c r="J462">
        <v>0.48717946000000001</v>
      </c>
    </row>
    <row r="463" spans="1:10" x14ac:dyDescent="0.3">
      <c r="A463">
        <v>461</v>
      </c>
      <c r="B463">
        <v>7324</v>
      </c>
      <c r="C463" t="b">
        <v>1</v>
      </c>
      <c r="D463">
        <v>8048</v>
      </c>
      <c r="E463">
        <v>8117</v>
      </c>
      <c r="F463">
        <v>8</v>
      </c>
      <c r="G463">
        <v>7.6</v>
      </c>
      <c r="H463">
        <v>1.0526316</v>
      </c>
      <c r="I463">
        <v>-5.2631589999999999E-2</v>
      </c>
      <c r="J463">
        <v>0.48717946000000001</v>
      </c>
    </row>
    <row r="464" spans="1:10" x14ac:dyDescent="0.3">
      <c r="A464">
        <v>462</v>
      </c>
      <c r="B464">
        <v>7340</v>
      </c>
      <c r="C464" t="b">
        <v>1</v>
      </c>
      <c r="D464">
        <v>8054</v>
      </c>
      <c r="E464">
        <v>8117</v>
      </c>
      <c r="F464">
        <v>8</v>
      </c>
      <c r="G464">
        <v>7.2</v>
      </c>
      <c r="H464">
        <v>1.1111112000000001</v>
      </c>
      <c r="I464">
        <v>-0.11111114</v>
      </c>
      <c r="J464">
        <v>0.4736842</v>
      </c>
    </row>
    <row r="465" spans="1:10" x14ac:dyDescent="0.3">
      <c r="A465">
        <v>463</v>
      </c>
      <c r="B465">
        <v>7356</v>
      </c>
      <c r="C465" t="b">
        <v>1</v>
      </c>
      <c r="D465">
        <v>8042</v>
      </c>
      <c r="E465">
        <v>8117</v>
      </c>
      <c r="F465">
        <v>8</v>
      </c>
      <c r="G465">
        <v>6.8</v>
      </c>
      <c r="H465">
        <v>1.1764705</v>
      </c>
      <c r="I465">
        <v>-0.17647055</v>
      </c>
      <c r="J465">
        <v>0.45945944999999999</v>
      </c>
    </row>
    <row r="466" spans="1:10" x14ac:dyDescent="0.3">
      <c r="A466">
        <v>464</v>
      </c>
      <c r="B466">
        <v>7372</v>
      </c>
      <c r="C466" t="b">
        <v>1</v>
      </c>
      <c r="D466">
        <v>8048</v>
      </c>
      <c r="E466">
        <v>8117</v>
      </c>
      <c r="F466">
        <v>8</v>
      </c>
      <c r="G466">
        <v>6.4</v>
      </c>
      <c r="H466">
        <v>1.25</v>
      </c>
      <c r="I466">
        <v>-0.24999999000000001</v>
      </c>
      <c r="J466">
        <v>0.44444447999999998</v>
      </c>
    </row>
    <row r="467" spans="1:10" x14ac:dyDescent="0.3">
      <c r="A467">
        <v>465</v>
      </c>
      <c r="B467">
        <v>7389</v>
      </c>
      <c r="C467" t="b">
        <v>1</v>
      </c>
      <c r="D467">
        <v>8048</v>
      </c>
      <c r="E467">
        <v>8117</v>
      </c>
      <c r="F467">
        <v>8</v>
      </c>
      <c r="G467">
        <v>6</v>
      </c>
      <c r="H467">
        <v>1.3333333999999999</v>
      </c>
      <c r="I467">
        <v>-0.33333333999999998</v>
      </c>
      <c r="J467">
        <v>0.42857142999999998</v>
      </c>
    </row>
    <row r="468" spans="1:10" x14ac:dyDescent="0.3">
      <c r="A468">
        <v>466</v>
      </c>
      <c r="B468">
        <v>7404</v>
      </c>
      <c r="C468" t="b">
        <v>1</v>
      </c>
      <c r="D468">
        <v>8048</v>
      </c>
      <c r="E468">
        <v>8123</v>
      </c>
      <c r="F468">
        <v>8</v>
      </c>
      <c r="G468">
        <v>5.6</v>
      </c>
      <c r="H468">
        <v>1.4285715000000001</v>
      </c>
      <c r="I468">
        <v>-0.42857146000000002</v>
      </c>
      <c r="J468">
        <v>0.41176467999999999</v>
      </c>
    </row>
    <row r="469" spans="1:10" x14ac:dyDescent="0.3">
      <c r="A469">
        <v>467</v>
      </c>
      <c r="B469">
        <v>7420</v>
      </c>
      <c r="C469" t="b">
        <v>1</v>
      </c>
      <c r="D469">
        <v>8054</v>
      </c>
      <c r="E469">
        <v>8123</v>
      </c>
      <c r="F469">
        <v>8</v>
      </c>
      <c r="G469">
        <v>5.2</v>
      </c>
      <c r="H469">
        <v>1.5384616</v>
      </c>
      <c r="I469">
        <v>-0.53846156999999994</v>
      </c>
      <c r="J469">
        <v>0.39393938000000001</v>
      </c>
    </row>
    <row r="470" spans="1:10" x14ac:dyDescent="0.3">
      <c r="A470">
        <v>468</v>
      </c>
      <c r="B470">
        <v>7436</v>
      </c>
      <c r="C470" t="b">
        <v>1</v>
      </c>
      <c r="D470">
        <v>8048</v>
      </c>
      <c r="E470">
        <v>8123</v>
      </c>
      <c r="F470">
        <v>8</v>
      </c>
      <c r="G470">
        <v>5.2</v>
      </c>
      <c r="H470">
        <v>1.5384616</v>
      </c>
      <c r="I470">
        <v>-0.53846156999999994</v>
      </c>
      <c r="J470">
        <v>0.39393938000000001</v>
      </c>
    </row>
    <row r="471" spans="1:10" x14ac:dyDescent="0.3">
      <c r="A471">
        <v>469</v>
      </c>
      <c r="B471">
        <v>7452</v>
      </c>
      <c r="C471" t="b">
        <v>1</v>
      </c>
      <c r="D471">
        <v>8060</v>
      </c>
      <c r="E471">
        <v>8123</v>
      </c>
      <c r="F471">
        <v>8</v>
      </c>
      <c r="G471">
        <v>5.2</v>
      </c>
      <c r="H471">
        <v>1.5384616</v>
      </c>
      <c r="I471">
        <v>-0.53846156999999994</v>
      </c>
      <c r="J471">
        <v>0.39393938000000001</v>
      </c>
    </row>
    <row r="472" spans="1:10" x14ac:dyDescent="0.3">
      <c r="A472">
        <v>470</v>
      </c>
      <c r="B472">
        <v>7468</v>
      </c>
      <c r="C472" t="b">
        <v>1</v>
      </c>
      <c r="D472">
        <v>8060</v>
      </c>
      <c r="E472">
        <v>8123</v>
      </c>
      <c r="F472">
        <v>8.4</v>
      </c>
      <c r="G472">
        <v>5.2</v>
      </c>
      <c r="H472">
        <v>1.6153846000000001</v>
      </c>
      <c r="I472">
        <v>-0.61538459999999995</v>
      </c>
      <c r="J472">
        <v>0.38235295000000002</v>
      </c>
    </row>
    <row r="473" spans="1:10" x14ac:dyDescent="0.3">
      <c r="A473">
        <v>471</v>
      </c>
      <c r="B473">
        <v>7484</v>
      </c>
      <c r="C473" t="b">
        <v>1</v>
      </c>
      <c r="D473">
        <v>8054</v>
      </c>
      <c r="E473">
        <v>8117</v>
      </c>
      <c r="F473">
        <v>8.8000000000000007</v>
      </c>
      <c r="G473">
        <v>5.2</v>
      </c>
      <c r="H473">
        <v>1.6923078</v>
      </c>
      <c r="I473">
        <v>-0.69230780000000003</v>
      </c>
      <c r="J473">
        <v>0.37142855000000002</v>
      </c>
    </row>
    <row r="474" spans="1:10" x14ac:dyDescent="0.3">
      <c r="A474">
        <v>472</v>
      </c>
      <c r="B474">
        <v>7500</v>
      </c>
      <c r="C474" t="b">
        <v>1</v>
      </c>
      <c r="D474">
        <v>8054</v>
      </c>
      <c r="E474">
        <v>8123</v>
      </c>
      <c r="F474">
        <v>9.1999999999999993</v>
      </c>
      <c r="G474">
        <v>5.2</v>
      </c>
      <c r="H474">
        <v>1.7692308000000001</v>
      </c>
      <c r="I474">
        <v>-0.76923079999999999</v>
      </c>
      <c r="J474">
        <v>0.36111110000000002</v>
      </c>
    </row>
    <row r="475" spans="1:10" x14ac:dyDescent="0.3">
      <c r="A475">
        <v>473</v>
      </c>
      <c r="B475">
        <v>7516</v>
      </c>
      <c r="C475" t="b">
        <v>1</v>
      </c>
      <c r="D475">
        <v>8054</v>
      </c>
      <c r="E475">
        <v>8117</v>
      </c>
      <c r="F475">
        <v>9.6</v>
      </c>
      <c r="G475">
        <v>5.2</v>
      </c>
      <c r="H475">
        <v>1.8461540000000001</v>
      </c>
      <c r="I475">
        <v>-0.84615399999999996</v>
      </c>
      <c r="J475">
        <v>0.35135132000000002</v>
      </c>
    </row>
    <row r="476" spans="1:10" x14ac:dyDescent="0.3">
      <c r="A476">
        <v>474</v>
      </c>
      <c r="B476">
        <v>7532</v>
      </c>
      <c r="C476" t="b">
        <v>1</v>
      </c>
      <c r="D476">
        <v>8054</v>
      </c>
      <c r="E476">
        <v>8123</v>
      </c>
      <c r="F476">
        <v>10</v>
      </c>
      <c r="G476">
        <v>5.2</v>
      </c>
      <c r="H476">
        <v>1.9230769999999999</v>
      </c>
      <c r="I476">
        <v>-0.92307700000000004</v>
      </c>
      <c r="J476">
        <v>0.34210527000000002</v>
      </c>
    </row>
    <row r="477" spans="1:10" x14ac:dyDescent="0.3">
      <c r="A477">
        <v>475</v>
      </c>
      <c r="B477">
        <v>7548</v>
      </c>
      <c r="C477" t="b">
        <v>1</v>
      </c>
      <c r="D477">
        <v>8060</v>
      </c>
      <c r="E477">
        <v>8123</v>
      </c>
      <c r="F477">
        <v>10.4</v>
      </c>
      <c r="G477">
        <v>5.2</v>
      </c>
      <c r="H477">
        <v>2</v>
      </c>
      <c r="I477">
        <v>-1</v>
      </c>
      <c r="J477">
        <v>0.33333333999999998</v>
      </c>
    </row>
    <row r="478" spans="1:10" x14ac:dyDescent="0.3">
      <c r="A478">
        <v>476</v>
      </c>
      <c r="B478">
        <v>7563</v>
      </c>
      <c r="C478" t="b">
        <v>1</v>
      </c>
      <c r="D478">
        <v>8042</v>
      </c>
      <c r="E478">
        <v>8123</v>
      </c>
      <c r="F478">
        <v>10.8</v>
      </c>
      <c r="G478">
        <v>5.6</v>
      </c>
      <c r="H478">
        <v>1.9285715000000001</v>
      </c>
      <c r="I478">
        <v>-0.92857149999999999</v>
      </c>
      <c r="J478">
        <v>0.34146342000000002</v>
      </c>
    </row>
    <row r="479" spans="1:10" x14ac:dyDescent="0.3">
      <c r="A479">
        <v>477</v>
      </c>
      <c r="B479">
        <v>7579</v>
      </c>
      <c r="C479" t="b">
        <v>1</v>
      </c>
      <c r="D479">
        <v>8048</v>
      </c>
      <c r="E479">
        <v>8123</v>
      </c>
      <c r="F479">
        <v>11.2</v>
      </c>
      <c r="G479">
        <v>6</v>
      </c>
      <c r="H479">
        <v>1.8666666999999999</v>
      </c>
      <c r="I479">
        <v>-0.86666659999999995</v>
      </c>
      <c r="J479">
        <v>0.34883720000000001</v>
      </c>
    </row>
    <row r="480" spans="1:10" x14ac:dyDescent="0.3">
      <c r="A480">
        <v>478</v>
      </c>
      <c r="B480">
        <v>7595</v>
      </c>
      <c r="C480" t="b">
        <v>1</v>
      </c>
      <c r="D480">
        <v>8048</v>
      </c>
      <c r="E480">
        <v>8117</v>
      </c>
      <c r="F480">
        <v>11.2</v>
      </c>
      <c r="G480">
        <v>6.4</v>
      </c>
      <c r="H480">
        <v>1.75</v>
      </c>
      <c r="I480">
        <v>-0.74999994000000003</v>
      </c>
      <c r="J480">
        <v>0.36363636999999999</v>
      </c>
    </row>
    <row r="481" spans="1:10" x14ac:dyDescent="0.3">
      <c r="A481">
        <v>479</v>
      </c>
      <c r="B481">
        <v>7611</v>
      </c>
      <c r="C481" t="b">
        <v>1</v>
      </c>
      <c r="D481">
        <v>8048</v>
      </c>
      <c r="E481">
        <v>8123</v>
      </c>
      <c r="F481">
        <v>11.2</v>
      </c>
      <c r="G481">
        <v>6.8</v>
      </c>
      <c r="H481">
        <v>1.6470587000000001</v>
      </c>
      <c r="I481">
        <v>-0.64705869999999999</v>
      </c>
      <c r="J481">
        <v>0.37777779</v>
      </c>
    </row>
    <row r="482" spans="1:10" x14ac:dyDescent="0.3">
      <c r="A482">
        <v>480</v>
      </c>
      <c r="B482">
        <v>7627</v>
      </c>
      <c r="C482" t="b">
        <v>1</v>
      </c>
      <c r="D482">
        <v>8054</v>
      </c>
      <c r="E482">
        <v>8123</v>
      </c>
      <c r="F482">
        <v>11.2</v>
      </c>
      <c r="G482">
        <v>7.2</v>
      </c>
      <c r="H482">
        <v>1.5555555999999999</v>
      </c>
      <c r="I482">
        <v>-0.55555560000000004</v>
      </c>
      <c r="J482">
        <v>0.39130433999999997</v>
      </c>
    </row>
    <row r="483" spans="1:10" x14ac:dyDescent="0.3">
      <c r="A483">
        <v>481</v>
      </c>
      <c r="B483">
        <v>7643</v>
      </c>
      <c r="C483" t="b">
        <v>1</v>
      </c>
      <c r="D483">
        <v>8048</v>
      </c>
      <c r="E483">
        <v>8123</v>
      </c>
      <c r="F483">
        <v>11.2</v>
      </c>
      <c r="G483">
        <v>7.6</v>
      </c>
      <c r="H483">
        <v>1.4736842000000001</v>
      </c>
      <c r="I483">
        <v>-0.4736842</v>
      </c>
      <c r="J483">
        <v>0.40425533000000002</v>
      </c>
    </row>
    <row r="484" spans="1:10" x14ac:dyDescent="0.3">
      <c r="A484">
        <v>482</v>
      </c>
      <c r="B484">
        <v>7659</v>
      </c>
      <c r="C484" t="b">
        <v>1</v>
      </c>
      <c r="D484">
        <v>8048</v>
      </c>
      <c r="E484">
        <v>8117</v>
      </c>
      <c r="F484">
        <v>11.2</v>
      </c>
      <c r="G484">
        <v>8</v>
      </c>
      <c r="H484">
        <v>1.4</v>
      </c>
      <c r="I484">
        <v>-0.39999997999999998</v>
      </c>
      <c r="J484">
        <v>0.41666666000000002</v>
      </c>
    </row>
    <row r="485" spans="1:10" x14ac:dyDescent="0.3">
      <c r="A485">
        <v>483</v>
      </c>
      <c r="B485">
        <v>7675</v>
      </c>
      <c r="C485" t="b">
        <v>1</v>
      </c>
      <c r="D485">
        <v>8048</v>
      </c>
      <c r="E485">
        <v>8123</v>
      </c>
      <c r="F485">
        <v>11.2</v>
      </c>
      <c r="G485">
        <v>8</v>
      </c>
      <c r="H485">
        <v>1.4</v>
      </c>
      <c r="I485">
        <v>-0.39999997999999998</v>
      </c>
      <c r="J485">
        <v>0.41666666000000002</v>
      </c>
    </row>
    <row r="486" spans="1:10" x14ac:dyDescent="0.3">
      <c r="A486">
        <v>484</v>
      </c>
      <c r="B486">
        <v>7691</v>
      </c>
      <c r="C486" t="b">
        <v>1</v>
      </c>
      <c r="D486">
        <v>8054</v>
      </c>
      <c r="E486">
        <v>8117</v>
      </c>
      <c r="F486">
        <v>11.2</v>
      </c>
      <c r="G486">
        <v>8</v>
      </c>
      <c r="H486">
        <v>1.4</v>
      </c>
      <c r="I486">
        <v>-0.39999997999999998</v>
      </c>
      <c r="J486">
        <v>0.41666666000000002</v>
      </c>
    </row>
    <row r="487" spans="1:10" x14ac:dyDescent="0.3">
      <c r="A487">
        <v>485</v>
      </c>
      <c r="B487">
        <v>7707</v>
      </c>
      <c r="C487" t="b">
        <v>1</v>
      </c>
      <c r="D487">
        <v>8054</v>
      </c>
      <c r="E487">
        <v>8123</v>
      </c>
      <c r="F487">
        <v>10.8</v>
      </c>
      <c r="G487">
        <v>8</v>
      </c>
      <c r="H487">
        <v>1.35</v>
      </c>
      <c r="I487">
        <v>-0.35000002000000002</v>
      </c>
      <c r="J487">
        <v>0.42553192000000001</v>
      </c>
    </row>
    <row r="488" spans="1:10" x14ac:dyDescent="0.3">
      <c r="A488">
        <v>486</v>
      </c>
      <c r="B488">
        <v>7722</v>
      </c>
      <c r="C488" t="b">
        <v>1</v>
      </c>
      <c r="D488">
        <v>8042</v>
      </c>
      <c r="E488">
        <v>8123</v>
      </c>
      <c r="F488">
        <v>10.4</v>
      </c>
      <c r="G488">
        <v>8</v>
      </c>
      <c r="H488">
        <v>1.3</v>
      </c>
      <c r="I488">
        <v>-0.29999995000000002</v>
      </c>
      <c r="J488">
        <v>0.43478262000000001</v>
      </c>
    </row>
    <row r="489" spans="1:10" x14ac:dyDescent="0.3">
      <c r="A489">
        <v>487</v>
      </c>
      <c r="B489">
        <v>7738</v>
      </c>
      <c r="C489" t="b">
        <v>1</v>
      </c>
      <c r="D489">
        <v>8048</v>
      </c>
      <c r="E489">
        <v>8123</v>
      </c>
      <c r="F489">
        <v>10</v>
      </c>
      <c r="G489">
        <v>8</v>
      </c>
      <c r="H489">
        <v>1.25</v>
      </c>
      <c r="I489">
        <v>-0.25</v>
      </c>
      <c r="J489">
        <v>0.44444444999999999</v>
      </c>
    </row>
    <row r="490" spans="1:10" x14ac:dyDescent="0.3">
      <c r="A490">
        <v>488</v>
      </c>
      <c r="B490">
        <v>7754</v>
      </c>
      <c r="C490" t="b">
        <v>1</v>
      </c>
      <c r="D490">
        <v>8048</v>
      </c>
      <c r="E490">
        <v>8123</v>
      </c>
      <c r="F490">
        <v>9.6</v>
      </c>
      <c r="G490">
        <v>8</v>
      </c>
      <c r="H490">
        <v>1.2</v>
      </c>
      <c r="I490">
        <v>-0.20000005000000001</v>
      </c>
      <c r="J490">
        <v>0.45454544000000002</v>
      </c>
    </row>
    <row r="491" spans="1:10" x14ac:dyDescent="0.3">
      <c r="A491">
        <v>489</v>
      </c>
      <c r="B491">
        <v>7770</v>
      </c>
      <c r="C491" t="b">
        <v>1</v>
      </c>
      <c r="D491">
        <v>8048</v>
      </c>
      <c r="E491">
        <v>8123</v>
      </c>
      <c r="F491">
        <v>9.1999999999999993</v>
      </c>
      <c r="G491">
        <v>8</v>
      </c>
      <c r="H491">
        <v>1.1499999999999999</v>
      </c>
      <c r="I491">
        <v>-0.14999998</v>
      </c>
      <c r="J491">
        <v>0.46511626</v>
      </c>
    </row>
    <row r="492" spans="1:10" x14ac:dyDescent="0.3">
      <c r="A492">
        <v>490</v>
      </c>
      <c r="B492">
        <v>7786</v>
      </c>
      <c r="C492" t="b">
        <v>1</v>
      </c>
      <c r="D492">
        <v>8048</v>
      </c>
      <c r="E492">
        <v>8117</v>
      </c>
      <c r="F492">
        <v>8.8000000000000007</v>
      </c>
      <c r="G492">
        <v>8</v>
      </c>
      <c r="H492">
        <v>1.1000000000000001</v>
      </c>
      <c r="I492">
        <v>-0.10000002400000001</v>
      </c>
      <c r="J492">
        <v>0.47619050000000002</v>
      </c>
    </row>
    <row r="493" spans="1:10" x14ac:dyDescent="0.3">
      <c r="A493">
        <v>491</v>
      </c>
      <c r="B493">
        <v>7802</v>
      </c>
      <c r="C493" t="b">
        <v>1</v>
      </c>
      <c r="D493">
        <v>8048</v>
      </c>
      <c r="E493">
        <v>8123</v>
      </c>
      <c r="F493">
        <v>8.4</v>
      </c>
      <c r="G493">
        <v>8</v>
      </c>
      <c r="H493">
        <v>1.05</v>
      </c>
      <c r="I493">
        <v>-4.9999952E-2</v>
      </c>
      <c r="J493">
        <v>0.48780489999999999</v>
      </c>
    </row>
    <row r="494" spans="1:10" x14ac:dyDescent="0.3">
      <c r="A494">
        <v>492</v>
      </c>
      <c r="B494">
        <v>7818</v>
      </c>
      <c r="C494" t="b">
        <v>1</v>
      </c>
      <c r="D494">
        <v>8048</v>
      </c>
      <c r="E494">
        <v>8123</v>
      </c>
      <c r="F494">
        <v>8</v>
      </c>
      <c r="G494">
        <v>8</v>
      </c>
      <c r="H494">
        <v>1</v>
      </c>
      <c r="I494">
        <v>0</v>
      </c>
      <c r="J494">
        <v>0.5</v>
      </c>
    </row>
    <row r="495" spans="1:10" x14ac:dyDescent="0.3">
      <c r="A495">
        <v>493</v>
      </c>
      <c r="B495">
        <v>7834</v>
      </c>
      <c r="C495" t="b">
        <v>1</v>
      </c>
      <c r="D495">
        <v>8054</v>
      </c>
      <c r="E495">
        <v>8123</v>
      </c>
      <c r="F495">
        <v>8</v>
      </c>
      <c r="G495">
        <v>8</v>
      </c>
      <c r="H495">
        <v>1</v>
      </c>
      <c r="I495">
        <v>0</v>
      </c>
      <c r="J495">
        <v>0.5</v>
      </c>
    </row>
    <row r="496" spans="1:10" x14ac:dyDescent="0.3">
      <c r="A496">
        <v>494</v>
      </c>
      <c r="B496">
        <v>7850</v>
      </c>
      <c r="C496" t="b">
        <v>1</v>
      </c>
      <c r="D496">
        <v>8048</v>
      </c>
      <c r="E496">
        <v>8123</v>
      </c>
      <c r="F496">
        <v>8</v>
      </c>
      <c r="G496">
        <v>8</v>
      </c>
      <c r="H496">
        <v>1</v>
      </c>
      <c r="I496">
        <v>0</v>
      </c>
      <c r="J496">
        <v>0.5</v>
      </c>
    </row>
    <row r="497" spans="1:10" x14ac:dyDescent="0.3">
      <c r="A497">
        <v>495</v>
      </c>
      <c r="B497">
        <v>7866</v>
      </c>
      <c r="C497" t="b">
        <v>1</v>
      </c>
      <c r="D497">
        <v>8048</v>
      </c>
      <c r="E497">
        <v>8123</v>
      </c>
      <c r="F497">
        <v>8</v>
      </c>
      <c r="G497">
        <v>8</v>
      </c>
      <c r="H497">
        <v>1</v>
      </c>
      <c r="I497">
        <v>0</v>
      </c>
      <c r="J497">
        <v>0.5</v>
      </c>
    </row>
    <row r="498" spans="1:10" x14ac:dyDescent="0.3">
      <c r="A498">
        <v>496</v>
      </c>
      <c r="B498">
        <v>7882</v>
      </c>
      <c r="C498" t="b">
        <v>1</v>
      </c>
      <c r="D498">
        <v>8048</v>
      </c>
      <c r="E498">
        <v>8123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7898</v>
      </c>
      <c r="C499" t="b">
        <v>1</v>
      </c>
      <c r="D499">
        <v>8054</v>
      </c>
      <c r="E499">
        <v>8123</v>
      </c>
      <c r="F499">
        <v>8</v>
      </c>
      <c r="G499">
        <v>8</v>
      </c>
      <c r="H499">
        <v>1</v>
      </c>
      <c r="I499">
        <v>0</v>
      </c>
      <c r="J499">
        <v>0.5</v>
      </c>
    </row>
    <row r="500" spans="1:10" x14ac:dyDescent="0.3">
      <c r="A500">
        <v>498</v>
      </c>
      <c r="B500">
        <v>7914</v>
      </c>
      <c r="C500" t="b">
        <v>1</v>
      </c>
      <c r="D500">
        <v>8054</v>
      </c>
      <c r="E500">
        <v>8123</v>
      </c>
      <c r="F500">
        <v>8</v>
      </c>
      <c r="G500">
        <v>8</v>
      </c>
      <c r="H500">
        <v>1</v>
      </c>
      <c r="I500">
        <v>0</v>
      </c>
      <c r="J500">
        <v>0.5</v>
      </c>
    </row>
    <row r="501" spans="1:10" x14ac:dyDescent="0.3">
      <c r="A501">
        <v>499</v>
      </c>
      <c r="B501">
        <v>7930</v>
      </c>
      <c r="C501" t="b">
        <v>1</v>
      </c>
      <c r="D501">
        <v>8054</v>
      </c>
      <c r="E501">
        <v>8117</v>
      </c>
      <c r="F501">
        <v>8.4</v>
      </c>
      <c r="G501">
        <v>8</v>
      </c>
      <c r="H501">
        <v>1.05</v>
      </c>
      <c r="I501">
        <v>-4.9999952E-2</v>
      </c>
      <c r="J501">
        <v>0.48780489999999999</v>
      </c>
    </row>
    <row r="502" spans="1:10" x14ac:dyDescent="0.3">
      <c r="A502">
        <v>500</v>
      </c>
      <c r="B502">
        <v>7946</v>
      </c>
      <c r="C502" t="b">
        <v>1</v>
      </c>
      <c r="D502">
        <v>8048</v>
      </c>
      <c r="E502">
        <v>8123</v>
      </c>
      <c r="F502">
        <v>8.8000000000000007</v>
      </c>
      <c r="G502">
        <v>8</v>
      </c>
      <c r="H502">
        <v>1.1000000000000001</v>
      </c>
      <c r="I502">
        <v>-0.10000002400000001</v>
      </c>
      <c r="J502">
        <v>0.47619050000000002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BF3A-AE4A-41E7-8050-9B071E44F77B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8054</v>
      </c>
      <c r="E2">
        <v>8123</v>
      </c>
      <c r="F2">
        <v>14</v>
      </c>
      <c r="G2">
        <v>8</v>
      </c>
      <c r="H2">
        <v>1.75</v>
      </c>
      <c r="I2">
        <v>-0.75</v>
      </c>
      <c r="J2">
        <v>0.36363636999999999</v>
      </c>
    </row>
    <row r="3" spans="1:10" x14ac:dyDescent="0.3">
      <c r="A3">
        <v>1</v>
      </c>
      <c r="B3">
        <v>28</v>
      </c>
      <c r="C3" t="b">
        <v>1</v>
      </c>
      <c r="D3">
        <v>8048</v>
      </c>
      <c r="E3">
        <v>8123</v>
      </c>
      <c r="F3">
        <v>14</v>
      </c>
      <c r="G3">
        <v>8</v>
      </c>
      <c r="H3">
        <v>1.75</v>
      </c>
      <c r="I3">
        <v>-0.75</v>
      </c>
      <c r="J3">
        <v>0.36363636999999999</v>
      </c>
    </row>
    <row r="4" spans="1:10" x14ac:dyDescent="0.3">
      <c r="A4">
        <v>2</v>
      </c>
      <c r="B4">
        <v>44</v>
      </c>
      <c r="C4" t="b">
        <v>1</v>
      </c>
      <c r="D4">
        <v>8048</v>
      </c>
      <c r="E4">
        <v>8123</v>
      </c>
      <c r="F4">
        <v>12</v>
      </c>
      <c r="G4">
        <v>8</v>
      </c>
      <c r="H4">
        <v>1.5</v>
      </c>
      <c r="I4">
        <v>-0.5</v>
      </c>
      <c r="J4">
        <v>0.4</v>
      </c>
    </row>
    <row r="5" spans="1:10" x14ac:dyDescent="0.3">
      <c r="A5">
        <v>3</v>
      </c>
      <c r="B5">
        <v>60</v>
      </c>
      <c r="C5" t="b">
        <v>1</v>
      </c>
      <c r="D5">
        <v>8042</v>
      </c>
      <c r="E5">
        <v>8123</v>
      </c>
      <c r="F5">
        <v>11</v>
      </c>
      <c r="G5">
        <v>8</v>
      </c>
      <c r="H5">
        <v>1.375</v>
      </c>
      <c r="I5">
        <v>-0.375</v>
      </c>
      <c r="J5">
        <v>0.42105262999999998</v>
      </c>
    </row>
    <row r="6" spans="1:10" x14ac:dyDescent="0.3">
      <c r="A6">
        <v>4</v>
      </c>
      <c r="B6">
        <v>75</v>
      </c>
      <c r="C6" t="b">
        <v>1</v>
      </c>
      <c r="D6">
        <v>8048</v>
      </c>
      <c r="E6">
        <v>8123</v>
      </c>
      <c r="F6">
        <v>10.4</v>
      </c>
      <c r="G6">
        <v>8</v>
      </c>
      <c r="H6">
        <v>1.3</v>
      </c>
      <c r="I6">
        <v>-0.29999995000000002</v>
      </c>
      <c r="J6">
        <v>0.43478262000000001</v>
      </c>
    </row>
    <row r="7" spans="1:10" x14ac:dyDescent="0.3">
      <c r="A7">
        <v>5</v>
      </c>
      <c r="B7">
        <v>91</v>
      </c>
      <c r="C7" t="b">
        <v>1</v>
      </c>
      <c r="D7">
        <v>8048</v>
      </c>
      <c r="E7">
        <v>8123</v>
      </c>
      <c r="F7">
        <v>10</v>
      </c>
      <c r="G7">
        <v>8</v>
      </c>
      <c r="H7">
        <v>1.25</v>
      </c>
      <c r="I7">
        <v>-0.25</v>
      </c>
      <c r="J7">
        <v>0.44444444999999999</v>
      </c>
    </row>
    <row r="8" spans="1:10" x14ac:dyDescent="0.3">
      <c r="A8">
        <v>6</v>
      </c>
      <c r="B8">
        <v>107</v>
      </c>
      <c r="C8" t="b">
        <v>1</v>
      </c>
      <c r="D8">
        <v>8048</v>
      </c>
      <c r="E8">
        <v>8123</v>
      </c>
      <c r="F8">
        <v>9.7142859999999995</v>
      </c>
      <c r="G8">
        <v>8</v>
      </c>
      <c r="H8">
        <v>1.2142857</v>
      </c>
      <c r="I8">
        <v>-0.21428573000000001</v>
      </c>
      <c r="J8">
        <v>0.45161289999999998</v>
      </c>
    </row>
    <row r="9" spans="1:10" x14ac:dyDescent="0.3">
      <c r="A9">
        <v>7</v>
      </c>
      <c r="B9">
        <v>123</v>
      </c>
      <c r="C9" t="b">
        <v>1</v>
      </c>
      <c r="D9">
        <v>8048</v>
      </c>
      <c r="E9">
        <v>8123</v>
      </c>
      <c r="F9">
        <v>9.5</v>
      </c>
      <c r="G9">
        <v>8</v>
      </c>
      <c r="H9">
        <v>1.1875</v>
      </c>
      <c r="I9">
        <v>-0.1875</v>
      </c>
      <c r="J9">
        <v>0.45714285999999998</v>
      </c>
    </row>
    <row r="10" spans="1:10" x14ac:dyDescent="0.3">
      <c r="A10">
        <v>8</v>
      </c>
      <c r="B10">
        <v>139</v>
      </c>
      <c r="C10" t="b">
        <v>1</v>
      </c>
      <c r="D10">
        <v>8048</v>
      </c>
      <c r="E10">
        <v>8123</v>
      </c>
      <c r="F10">
        <v>9.3333329999999997</v>
      </c>
      <c r="G10">
        <v>8</v>
      </c>
      <c r="H10">
        <v>1.1666666000000001</v>
      </c>
      <c r="I10">
        <v>-0.16666663000000001</v>
      </c>
      <c r="J10">
        <v>0.46153850000000002</v>
      </c>
    </row>
    <row r="11" spans="1:10" x14ac:dyDescent="0.3">
      <c r="A11">
        <v>9</v>
      </c>
      <c r="B11">
        <v>155</v>
      </c>
      <c r="C11" t="b">
        <v>1</v>
      </c>
      <c r="D11">
        <v>8048</v>
      </c>
      <c r="E11">
        <v>8123</v>
      </c>
      <c r="F11">
        <v>9.1999999999999993</v>
      </c>
      <c r="G11">
        <v>8</v>
      </c>
      <c r="H11">
        <v>1.1499999999999999</v>
      </c>
      <c r="I11">
        <v>-0.14999998</v>
      </c>
      <c r="J11">
        <v>0.46511626</v>
      </c>
    </row>
    <row r="12" spans="1:10" x14ac:dyDescent="0.3">
      <c r="A12">
        <v>10</v>
      </c>
      <c r="B12">
        <v>170</v>
      </c>
      <c r="C12" t="b">
        <v>1</v>
      </c>
      <c r="D12">
        <v>8048</v>
      </c>
      <c r="E12">
        <v>8129</v>
      </c>
      <c r="F12">
        <v>9.0909089999999999</v>
      </c>
      <c r="G12">
        <v>8</v>
      </c>
      <c r="H12">
        <v>1.1363635999999999</v>
      </c>
      <c r="I12">
        <v>-0.13636363000000001</v>
      </c>
      <c r="J12">
        <v>0.46808514000000001</v>
      </c>
    </row>
    <row r="13" spans="1:10" x14ac:dyDescent="0.3">
      <c r="A13">
        <v>11</v>
      </c>
      <c r="B13">
        <v>186</v>
      </c>
      <c r="C13" t="b">
        <v>1</v>
      </c>
      <c r="D13">
        <v>8048</v>
      </c>
      <c r="E13">
        <v>8123</v>
      </c>
      <c r="F13">
        <v>9</v>
      </c>
      <c r="G13">
        <v>8</v>
      </c>
      <c r="H13">
        <v>1.125</v>
      </c>
      <c r="I13">
        <v>-0.125</v>
      </c>
      <c r="J13">
        <v>0.47058823999999999</v>
      </c>
    </row>
    <row r="14" spans="1:10" x14ac:dyDescent="0.3">
      <c r="A14">
        <v>12</v>
      </c>
      <c r="B14">
        <v>202</v>
      </c>
      <c r="C14" t="b">
        <v>1</v>
      </c>
      <c r="D14">
        <v>8048</v>
      </c>
      <c r="E14">
        <v>8117</v>
      </c>
      <c r="F14">
        <v>8.9230769999999993</v>
      </c>
      <c r="G14">
        <v>8</v>
      </c>
      <c r="H14">
        <v>1.1153846000000001</v>
      </c>
      <c r="I14">
        <v>-0.11538458</v>
      </c>
      <c r="J14">
        <v>0.47272726999999998</v>
      </c>
    </row>
    <row r="15" spans="1:10" x14ac:dyDescent="0.3">
      <c r="A15">
        <v>13</v>
      </c>
      <c r="B15">
        <v>217</v>
      </c>
      <c r="C15" t="b">
        <v>1</v>
      </c>
      <c r="D15">
        <v>8048</v>
      </c>
      <c r="E15">
        <v>8123</v>
      </c>
      <c r="F15">
        <v>8.8571419999999996</v>
      </c>
      <c r="G15">
        <v>8</v>
      </c>
      <c r="H15">
        <v>1.1071428000000001</v>
      </c>
      <c r="I15">
        <v>-0.10714280599999999</v>
      </c>
      <c r="J15">
        <v>0.47457626000000003</v>
      </c>
    </row>
    <row r="16" spans="1:10" x14ac:dyDescent="0.3">
      <c r="A16">
        <v>14</v>
      </c>
      <c r="B16">
        <v>233</v>
      </c>
      <c r="C16" t="b">
        <v>1</v>
      </c>
      <c r="D16">
        <v>8048</v>
      </c>
      <c r="E16">
        <v>8129</v>
      </c>
      <c r="F16">
        <v>8.8000000000000007</v>
      </c>
      <c r="G16">
        <v>8</v>
      </c>
      <c r="H16">
        <v>1.1000000000000001</v>
      </c>
      <c r="I16">
        <v>-0.10000002400000001</v>
      </c>
      <c r="J16">
        <v>0.47619050000000002</v>
      </c>
    </row>
    <row r="17" spans="1:10" x14ac:dyDescent="0.3">
      <c r="A17">
        <v>15</v>
      </c>
      <c r="B17">
        <v>249</v>
      </c>
      <c r="C17" t="b">
        <v>1</v>
      </c>
      <c r="D17">
        <v>8054</v>
      </c>
      <c r="E17">
        <v>8123</v>
      </c>
      <c r="F17">
        <v>8.4</v>
      </c>
      <c r="G17">
        <v>8</v>
      </c>
      <c r="H17">
        <v>1.05</v>
      </c>
      <c r="I17">
        <v>-4.9999952E-2</v>
      </c>
      <c r="J17">
        <v>0.48780489999999999</v>
      </c>
    </row>
    <row r="18" spans="1:10" x14ac:dyDescent="0.3">
      <c r="A18">
        <v>16</v>
      </c>
      <c r="B18">
        <v>265</v>
      </c>
      <c r="C18" t="b">
        <v>1</v>
      </c>
      <c r="D18">
        <v>8048</v>
      </c>
      <c r="E18">
        <v>8123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281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297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313</v>
      </c>
      <c r="C21" t="b">
        <v>1</v>
      </c>
      <c r="D21">
        <v>8048</v>
      </c>
      <c r="E21">
        <v>8123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329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345</v>
      </c>
      <c r="C23" t="b">
        <v>1</v>
      </c>
      <c r="D23">
        <v>8048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361</v>
      </c>
      <c r="C24" t="b">
        <v>1</v>
      </c>
      <c r="D24">
        <v>8048</v>
      </c>
      <c r="E24">
        <v>8123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377</v>
      </c>
      <c r="C25" t="b">
        <v>1</v>
      </c>
      <c r="D25">
        <v>8048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393</v>
      </c>
      <c r="C26" t="b">
        <v>1</v>
      </c>
      <c r="D26">
        <v>8048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408</v>
      </c>
      <c r="C27" t="b">
        <v>1</v>
      </c>
      <c r="D27">
        <v>8048</v>
      </c>
      <c r="E27">
        <v>8123</v>
      </c>
      <c r="F27">
        <v>8</v>
      </c>
      <c r="G27">
        <v>8</v>
      </c>
      <c r="H27">
        <v>1</v>
      </c>
      <c r="I27">
        <v>0</v>
      </c>
      <c r="J27">
        <v>0.5</v>
      </c>
    </row>
    <row r="28" spans="1:10" x14ac:dyDescent="0.3">
      <c r="A28">
        <v>26</v>
      </c>
      <c r="B28">
        <v>424</v>
      </c>
      <c r="C28" t="b">
        <v>1</v>
      </c>
      <c r="D28">
        <v>8054</v>
      </c>
      <c r="E28">
        <v>8123</v>
      </c>
      <c r="F28">
        <v>8</v>
      </c>
      <c r="G28">
        <v>8</v>
      </c>
      <c r="H28">
        <v>1</v>
      </c>
      <c r="I28">
        <v>0</v>
      </c>
      <c r="J28">
        <v>0.5</v>
      </c>
    </row>
    <row r="29" spans="1:10" x14ac:dyDescent="0.3">
      <c r="A29">
        <v>27</v>
      </c>
      <c r="B29">
        <v>440</v>
      </c>
      <c r="C29" t="b">
        <v>1</v>
      </c>
      <c r="D29">
        <v>8048</v>
      </c>
      <c r="E29">
        <v>8123</v>
      </c>
      <c r="F29">
        <v>8</v>
      </c>
      <c r="G29">
        <v>8</v>
      </c>
      <c r="H29">
        <v>1</v>
      </c>
      <c r="I29">
        <v>0</v>
      </c>
      <c r="J29">
        <v>0.5</v>
      </c>
    </row>
    <row r="30" spans="1:10" x14ac:dyDescent="0.3">
      <c r="A30">
        <v>28</v>
      </c>
      <c r="B30">
        <v>456</v>
      </c>
      <c r="C30" t="b">
        <v>1</v>
      </c>
      <c r="D30">
        <v>8048</v>
      </c>
      <c r="E30">
        <v>8123</v>
      </c>
      <c r="F30">
        <v>8</v>
      </c>
      <c r="G30">
        <v>8</v>
      </c>
      <c r="H30">
        <v>1</v>
      </c>
      <c r="I30">
        <v>0</v>
      </c>
      <c r="J30">
        <v>0.5</v>
      </c>
    </row>
    <row r="31" spans="1:10" x14ac:dyDescent="0.3">
      <c r="A31">
        <v>29</v>
      </c>
      <c r="B31">
        <v>471</v>
      </c>
      <c r="C31" t="b">
        <v>1</v>
      </c>
      <c r="D31">
        <v>8048</v>
      </c>
      <c r="E31">
        <v>8123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487</v>
      </c>
      <c r="C32" t="b">
        <v>1</v>
      </c>
      <c r="D32">
        <v>8048</v>
      </c>
      <c r="E32">
        <v>8117</v>
      </c>
      <c r="F32">
        <v>8</v>
      </c>
      <c r="G32">
        <v>8</v>
      </c>
      <c r="H32">
        <v>1</v>
      </c>
      <c r="I32">
        <v>0</v>
      </c>
      <c r="J32">
        <v>0.5</v>
      </c>
    </row>
    <row r="33" spans="1:10" x14ac:dyDescent="0.3">
      <c r="A33">
        <v>31</v>
      </c>
      <c r="B33">
        <v>503</v>
      </c>
      <c r="C33" t="b">
        <v>1</v>
      </c>
      <c r="D33">
        <v>8048</v>
      </c>
      <c r="E33">
        <v>8117</v>
      </c>
      <c r="F33">
        <v>8</v>
      </c>
      <c r="G33">
        <v>8</v>
      </c>
      <c r="H33">
        <v>1</v>
      </c>
      <c r="I33">
        <v>0</v>
      </c>
      <c r="J33">
        <v>0.5</v>
      </c>
    </row>
    <row r="34" spans="1:10" x14ac:dyDescent="0.3">
      <c r="A34">
        <v>32</v>
      </c>
      <c r="B34">
        <v>519</v>
      </c>
      <c r="C34" t="b">
        <v>1</v>
      </c>
      <c r="D34">
        <v>8048</v>
      </c>
      <c r="E34">
        <v>8117</v>
      </c>
      <c r="F34">
        <v>8</v>
      </c>
      <c r="G34">
        <v>7.6</v>
      </c>
      <c r="H34">
        <v>1.0526316</v>
      </c>
      <c r="I34">
        <v>-5.2631589999999999E-2</v>
      </c>
      <c r="J34">
        <v>0.48717946000000001</v>
      </c>
    </row>
    <row r="35" spans="1:10" x14ac:dyDescent="0.3">
      <c r="A35">
        <v>33</v>
      </c>
      <c r="B35">
        <v>536</v>
      </c>
      <c r="C35" t="b">
        <v>1</v>
      </c>
      <c r="D35">
        <v>8054</v>
      </c>
      <c r="E35">
        <v>8111</v>
      </c>
      <c r="F35">
        <v>8</v>
      </c>
      <c r="G35">
        <v>7.2</v>
      </c>
      <c r="H35">
        <v>1.1111112000000001</v>
      </c>
      <c r="I35">
        <v>-0.11111114</v>
      </c>
      <c r="J35">
        <v>0.4736842</v>
      </c>
    </row>
    <row r="36" spans="1:10" x14ac:dyDescent="0.3">
      <c r="A36">
        <v>34</v>
      </c>
      <c r="B36">
        <v>552</v>
      </c>
      <c r="C36" t="b">
        <v>1</v>
      </c>
      <c r="D36">
        <v>8048</v>
      </c>
      <c r="E36">
        <v>8123</v>
      </c>
      <c r="F36">
        <v>8</v>
      </c>
      <c r="G36">
        <v>6.8</v>
      </c>
      <c r="H36">
        <v>1.1764705</v>
      </c>
      <c r="I36">
        <v>-0.17647055</v>
      </c>
      <c r="J36">
        <v>0.45945944999999999</v>
      </c>
    </row>
    <row r="37" spans="1:10" x14ac:dyDescent="0.3">
      <c r="A37">
        <v>35</v>
      </c>
      <c r="B37">
        <v>567</v>
      </c>
      <c r="C37" t="b">
        <v>1</v>
      </c>
      <c r="D37">
        <v>8048</v>
      </c>
      <c r="E37">
        <v>8117</v>
      </c>
      <c r="F37">
        <v>8</v>
      </c>
      <c r="G37">
        <v>6.4</v>
      </c>
      <c r="H37">
        <v>1.25</v>
      </c>
      <c r="I37">
        <v>-0.24999999000000001</v>
      </c>
      <c r="J37">
        <v>0.44444447999999998</v>
      </c>
    </row>
    <row r="38" spans="1:10" x14ac:dyDescent="0.3">
      <c r="A38">
        <v>36</v>
      </c>
      <c r="B38">
        <v>583</v>
      </c>
      <c r="C38" t="b">
        <v>1</v>
      </c>
      <c r="D38">
        <v>8048</v>
      </c>
      <c r="E38">
        <v>8123</v>
      </c>
      <c r="F38">
        <v>8</v>
      </c>
      <c r="G38">
        <v>6</v>
      </c>
      <c r="H38">
        <v>1.3333333999999999</v>
      </c>
      <c r="I38">
        <v>-0.33333333999999998</v>
      </c>
      <c r="J38">
        <v>0.42857142999999998</v>
      </c>
    </row>
    <row r="39" spans="1:10" x14ac:dyDescent="0.3">
      <c r="A39">
        <v>37</v>
      </c>
      <c r="B39">
        <v>599</v>
      </c>
      <c r="C39" t="b">
        <v>1</v>
      </c>
      <c r="D39">
        <v>8048</v>
      </c>
      <c r="E39">
        <v>8123</v>
      </c>
      <c r="F39">
        <v>8</v>
      </c>
      <c r="G39">
        <v>6</v>
      </c>
      <c r="H39">
        <v>1.3333333999999999</v>
      </c>
      <c r="I39">
        <v>-0.33333333999999998</v>
      </c>
      <c r="J39">
        <v>0.42857142999999998</v>
      </c>
    </row>
    <row r="40" spans="1:10" x14ac:dyDescent="0.3">
      <c r="A40">
        <v>38</v>
      </c>
      <c r="B40">
        <v>615</v>
      </c>
      <c r="C40" t="b">
        <v>1</v>
      </c>
      <c r="D40">
        <v>8048</v>
      </c>
      <c r="E40">
        <v>8123</v>
      </c>
      <c r="F40">
        <v>8</v>
      </c>
      <c r="G40">
        <v>6</v>
      </c>
      <c r="H40">
        <v>1.3333333999999999</v>
      </c>
      <c r="I40">
        <v>-0.33333333999999998</v>
      </c>
      <c r="J40">
        <v>0.42857142999999998</v>
      </c>
    </row>
    <row r="41" spans="1:10" x14ac:dyDescent="0.3">
      <c r="A41">
        <v>39</v>
      </c>
      <c r="B41">
        <v>631</v>
      </c>
      <c r="C41" t="b">
        <v>1</v>
      </c>
      <c r="D41">
        <v>8048</v>
      </c>
      <c r="E41">
        <v>8123</v>
      </c>
      <c r="F41">
        <v>8</v>
      </c>
      <c r="G41">
        <v>6</v>
      </c>
      <c r="H41">
        <v>1.3333333999999999</v>
      </c>
      <c r="I41">
        <v>-0.33333333999999998</v>
      </c>
      <c r="J41">
        <v>0.42857142999999998</v>
      </c>
    </row>
    <row r="42" spans="1:10" x14ac:dyDescent="0.3">
      <c r="A42">
        <v>40</v>
      </c>
      <c r="B42">
        <v>647</v>
      </c>
      <c r="C42" t="b">
        <v>1</v>
      </c>
      <c r="D42">
        <v>8048</v>
      </c>
      <c r="E42">
        <v>8129</v>
      </c>
      <c r="F42">
        <v>8</v>
      </c>
      <c r="G42">
        <v>6</v>
      </c>
      <c r="H42">
        <v>1.3333333999999999</v>
      </c>
      <c r="I42">
        <v>-0.33333333999999998</v>
      </c>
      <c r="J42">
        <v>0.42857142999999998</v>
      </c>
    </row>
    <row r="43" spans="1:10" x14ac:dyDescent="0.3">
      <c r="A43">
        <v>41</v>
      </c>
      <c r="B43">
        <v>662</v>
      </c>
      <c r="C43" t="b">
        <v>1</v>
      </c>
      <c r="D43">
        <v>8048</v>
      </c>
      <c r="E43">
        <v>8129</v>
      </c>
      <c r="F43">
        <v>8</v>
      </c>
      <c r="G43">
        <v>6</v>
      </c>
      <c r="H43">
        <v>1.3333333999999999</v>
      </c>
      <c r="I43">
        <v>-0.33333333999999998</v>
      </c>
      <c r="J43">
        <v>0.42857142999999998</v>
      </c>
    </row>
    <row r="44" spans="1:10" x14ac:dyDescent="0.3">
      <c r="A44">
        <v>42</v>
      </c>
      <c r="B44">
        <v>678</v>
      </c>
      <c r="C44" t="b">
        <v>1</v>
      </c>
      <c r="D44">
        <v>8048</v>
      </c>
      <c r="E44">
        <v>8123</v>
      </c>
      <c r="F44">
        <v>8</v>
      </c>
      <c r="G44">
        <v>6</v>
      </c>
      <c r="H44">
        <v>1.3333333999999999</v>
      </c>
      <c r="I44">
        <v>-0.33333333999999998</v>
      </c>
      <c r="J44">
        <v>0.42857142999999998</v>
      </c>
    </row>
    <row r="45" spans="1:10" x14ac:dyDescent="0.3">
      <c r="A45">
        <v>43</v>
      </c>
      <c r="B45">
        <v>694</v>
      </c>
      <c r="C45" t="b">
        <v>1</v>
      </c>
      <c r="D45">
        <v>8048</v>
      </c>
      <c r="E45">
        <v>8123</v>
      </c>
      <c r="F45">
        <v>8</v>
      </c>
      <c r="G45">
        <v>6</v>
      </c>
      <c r="H45">
        <v>1.3333333999999999</v>
      </c>
      <c r="I45">
        <v>-0.33333333999999998</v>
      </c>
      <c r="J45">
        <v>0.42857142999999998</v>
      </c>
    </row>
    <row r="46" spans="1:10" x14ac:dyDescent="0.3">
      <c r="A46">
        <v>44</v>
      </c>
      <c r="B46">
        <v>709</v>
      </c>
      <c r="C46" t="b">
        <v>1</v>
      </c>
      <c r="D46">
        <v>8048</v>
      </c>
      <c r="E46">
        <v>8123</v>
      </c>
      <c r="F46">
        <v>8</v>
      </c>
      <c r="G46">
        <v>6</v>
      </c>
      <c r="H46">
        <v>1.3333333999999999</v>
      </c>
      <c r="I46">
        <v>-0.33333333999999998</v>
      </c>
      <c r="J46">
        <v>0.42857142999999998</v>
      </c>
    </row>
    <row r="47" spans="1:10" x14ac:dyDescent="0.3">
      <c r="A47">
        <v>45</v>
      </c>
      <c r="B47">
        <v>725</v>
      </c>
      <c r="C47" t="b">
        <v>1</v>
      </c>
      <c r="D47">
        <v>8048</v>
      </c>
      <c r="E47">
        <v>8123</v>
      </c>
      <c r="F47">
        <v>8</v>
      </c>
      <c r="G47">
        <v>6</v>
      </c>
      <c r="H47">
        <v>1.3333333999999999</v>
      </c>
      <c r="I47">
        <v>-0.33333333999999998</v>
      </c>
      <c r="J47">
        <v>0.42857142999999998</v>
      </c>
    </row>
    <row r="48" spans="1:10" x14ac:dyDescent="0.3">
      <c r="A48">
        <v>46</v>
      </c>
      <c r="B48">
        <v>741</v>
      </c>
      <c r="C48" t="b">
        <v>1</v>
      </c>
      <c r="D48">
        <v>8048</v>
      </c>
      <c r="E48">
        <v>8123</v>
      </c>
      <c r="F48">
        <v>8</v>
      </c>
      <c r="G48">
        <v>6</v>
      </c>
      <c r="H48">
        <v>1.3333333999999999</v>
      </c>
      <c r="I48">
        <v>-0.33333333999999998</v>
      </c>
      <c r="J48">
        <v>0.42857142999999998</v>
      </c>
    </row>
    <row r="49" spans="1:10" x14ac:dyDescent="0.3">
      <c r="A49">
        <v>47</v>
      </c>
      <c r="B49">
        <v>757</v>
      </c>
      <c r="C49" t="b">
        <v>1</v>
      </c>
      <c r="D49">
        <v>8037</v>
      </c>
      <c r="E49">
        <v>8129</v>
      </c>
      <c r="F49">
        <v>8</v>
      </c>
      <c r="G49">
        <v>6.4</v>
      </c>
      <c r="H49">
        <v>1.25</v>
      </c>
      <c r="I49">
        <v>-0.24999999000000001</v>
      </c>
      <c r="J49">
        <v>0.44444447999999998</v>
      </c>
    </row>
    <row r="50" spans="1:10" x14ac:dyDescent="0.3">
      <c r="A50">
        <v>48</v>
      </c>
      <c r="B50">
        <v>773</v>
      </c>
      <c r="C50" t="b">
        <v>1</v>
      </c>
      <c r="D50">
        <v>8042</v>
      </c>
      <c r="E50">
        <v>8123</v>
      </c>
      <c r="F50">
        <v>8</v>
      </c>
      <c r="G50">
        <v>6.8</v>
      </c>
      <c r="H50">
        <v>1.1764705</v>
      </c>
      <c r="I50">
        <v>-0.17647055</v>
      </c>
      <c r="J50">
        <v>0.45945944999999999</v>
      </c>
    </row>
    <row r="51" spans="1:10" x14ac:dyDescent="0.3">
      <c r="A51">
        <v>49</v>
      </c>
      <c r="B51">
        <v>789</v>
      </c>
      <c r="C51" t="b">
        <v>1</v>
      </c>
      <c r="D51">
        <v>8042</v>
      </c>
      <c r="E51">
        <v>8123</v>
      </c>
      <c r="F51">
        <v>7.6</v>
      </c>
      <c r="G51">
        <v>7.2</v>
      </c>
      <c r="H51">
        <v>1.0555555999999999</v>
      </c>
      <c r="I51">
        <v>-5.5555569999999999E-2</v>
      </c>
      <c r="J51">
        <v>0.48648649999999999</v>
      </c>
    </row>
    <row r="52" spans="1:10" x14ac:dyDescent="0.3">
      <c r="A52">
        <v>50</v>
      </c>
      <c r="B52">
        <v>805</v>
      </c>
      <c r="C52" t="b">
        <v>1</v>
      </c>
      <c r="D52">
        <v>8037</v>
      </c>
      <c r="E52">
        <v>8123</v>
      </c>
      <c r="F52">
        <v>7.2</v>
      </c>
      <c r="G52">
        <v>7.6</v>
      </c>
      <c r="H52">
        <v>0.9473684</v>
      </c>
      <c r="I52">
        <v>5.2631589999999999E-2</v>
      </c>
      <c r="J52">
        <v>0.51351349999999996</v>
      </c>
    </row>
    <row r="53" spans="1:10" x14ac:dyDescent="0.3">
      <c r="A53">
        <v>51</v>
      </c>
      <c r="B53">
        <v>821</v>
      </c>
      <c r="C53" t="b">
        <v>1</v>
      </c>
      <c r="D53">
        <v>8042</v>
      </c>
      <c r="E53">
        <v>8123</v>
      </c>
      <c r="F53">
        <v>6.8</v>
      </c>
      <c r="G53">
        <v>8</v>
      </c>
      <c r="H53">
        <v>0.85</v>
      </c>
      <c r="I53">
        <v>0.14999998</v>
      </c>
      <c r="J53">
        <v>0.54054049999999998</v>
      </c>
    </row>
    <row r="54" spans="1:10" x14ac:dyDescent="0.3">
      <c r="A54">
        <v>52</v>
      </c>
      <c r="B54">
        <v>837</v>
      </c>
      <c r="C54" t="b">
        <v>1</v>
      </c>
      <c r="D54">
        <v>8042</v>
      </c>
      <c r="E54">
        <v>8123</v>
      </c>
      <c r="F54">
        <v>6.4</v>
      </c>
      <c r="G54">
        <v>8</v>
      </c>
      <c r="H54">
        <v>0.8</v>
      </c>
      <c r="I54">
        <v>0.19999998999999999</v>
      </c>
      <c r="J54">
        <v>0.55555560000000004</v>
      </c>
    </row>
    <row r="55" spans="1:10" x14ac:dyDescent="0.3">
      <c r="A55">
        <v>53</v>
      </c>
      <c r="B55">
        <v>853</v>
      </c>
      <c r="C55" t="b">
        <v>1</v>
      </c>
      <c r="D55">
        <v>8042</v>
      </c>
      <c r="E55">
        <v>8117</v>
      </c>
      <c r="F55">
        <v>6</v>
      </c>
      <c r="G55">
        <v>8</v>
      </c>
      <c r="H55">
        <v>0.75</v>
      </c>
      <c r="I55">
        <v>0.25</v>
      </c>
      <c r="J55">
        <v>0.57142859999999995</v>
      </c>
    </row>
    <row r="56" spans="1:10" x14ac:dyDescent="0.3">
      <c r="A56">
        <v>54</v>
      </c>
      <c r="B56">
        <v>869</v>
      </c>
      <c r="C56" t="b">
        <v>1</v>
      </c>
      <c r="D56">
        <v>8048</v>
      </c>
      <c r="E56">
        <v>8123</v>
      </c>
      <c r="F56">
        <v>5.6</v>
      </c>
      <c r="G56">
        <v>8</v>
      </c>
      <c r="H56">
        <v>0.7</v>
      </c>
      <c r="I56">
        <v>0.3</v>
      </c>
      <c r="J56">
        <v>0.58823526000000004</v>
      </c>
    </row>
    <row r="57" spans="1:10" x14ac:dyDescent="0.3">
      <c r="A57">
        <v>55</v>
      </c>
      <c r="B57">
        <v>884</v>
      </c>
      <c r="C57" t="b">
        <v>1</v>
      </c>
      <c r="D57">
        <v>8054</v>
      </c>
      <c r="E57">
        <v>8117</v>
      </c>
      <c r="F57">
        <v>5.2</v>
      </c>
      <c r="G57">
        <v>8</v>
      </c>
      <c r="H57">
        <v>0.65</v>
      </c>
      <c r="I57">
        <v>0.35000002000000002</v>
      </c>
      <c r="J57">
        <v>0.60606059999999995</v>
      </c>
    </row>
    <row r="58" spans="1:10" x14ac:dyDescent="0.3">
      <c r="A58">
        <v>56</v>
      </c>
      <c r="B58">
        <v>900</v>
      </c>
      <c r="C58" t="b">
        <v>1</v>
      </c>
      <c r="D58">
        <v>8048</v>
      </c>
      <c r="E58">
        <v>8117</v>
      </c>
      <c r="F58">
        <v>5.2</v>
      </c>
      <c r="G58">
        <v>7.6</v>
      </c>
      <c r="H58">
        <v>0.68421054000000003</v>
      </c>
      <c r="I58">
        <v>0.3157895</v>
      </c>
      <c r="J58">
        <v>0.59375</v>
      </c>
    </row>
    <row r="59" spans="1:10" x14ac:dyDescent="0.3">
      <c r="A59">
        <v>57</v>
      </c>
      <c r="B59">
        <v>916</v>
      </c>
      <c r="C59" t="b">
        <v>1</v>
      </c>
      <c r="D59">
        <v>8048</v>
      </c>
      <c r="E59">
        <v>8117</v>
      </c>
      <c r="F59">
        <v>5.2</v>
      </c>
      <c r="G59">
        <v>7.2</v>
      </c>
      <c r="H59">
        <v>0.72222220000000004</v>
      </c>
      <c r="I59">
        <v>0.27777780000000002</v>
      </c>
      <c r="J59">
        <v>0.58064514</v>
      </c>
    </row>
    <row r="60" spans="1:10" x14ac:dyDescent="0.3">
      <c r="A60">
        <v>58</v>
      </c>
      <c r="B60">
        <v>932</v>
      </c>
      <c r="C60" t="b">
        <v>1</v>
      </c>
      <c r="D60">
        <v>8054</v>
      </c>
      <c r="E60">
        <v>8117</v>
      </c>
      <c r="F60">
        <v>5.2</v>
      </c>
      <c r="G60">
        <v>6.8</v>
      </c>
      <c r="H60">
        <v>0.76470583999999997</v>
      </c>
      <c r="I60">
        <v>0.23529416</v>
      </c>
      <c r="J60">
        <v>0.56666665999999999</v>
      </c>
    </row>
    <row r="61" spans="1:10" x14ac:dyDescent="0.3">
      <c r="A61">
        <v>59</v>
      </c>
      <c r="B61">
        <v>948</v>
      </c>
      <c r="C61" t="b">
        <v>1</v>
      </c>
      <c r="D61">
        <v>8042</v>
      </c>
      <c r="E61">
        <v>8117</v>
      </c>
      <c r="F61">
        <v>5.2</v>
      </c>
      <c r="G61">
        <v>6.4</v>
      </c>
      <c r="H61">
        <v>0.81249994000000003</v>
      </c>
      <c r="I61">
        <v>0.18750004000000001</v>
      </c>
      <c r="J61">
        <v>0.55172414000000003</v>
      </c>
    </row>
    <row r="62" spans="1:10" x14ac:dyDescent="0.3">
      <c r="A62">
        <v>60</v>
      </c>
      <c r="B62">
        <v>964</v>
      </c>
      <c r="C62" t="b">
        <v>1</v>
      </c>
      <c r="D62">
        <v>8037</v>
      </c>
      <c r="E62">
        <v>8123</v>
      </c>
      <c r="F62">
        <v>5.2</v>
      </c>
      <c r="G62">
        <v>6</v>
      </c>
      <c r="H62">
        <v>0.86666659999999995</v>
      </c>
      <c r="I62">
        <v>0.13333337000000001</v>
      </c>
      <c r="J62">
        <v>0.53571427000000005</v>
      </c>
    </row>
    <row r="63" spans="1:10" x14ac:dyDescent="0.3">
      <c r="A63">
        <v>61</v>
      </c>
      <c r="B63">
        <v>980</v>
      </c>
      <c r="C63" t="b">
        <v>1</v>
      </c>
      <c r="D63">
        <v>8042</v>
      </c>
      <c r="E63">
        <v>8123</v>
      </c>
      <c r="F63">
        <v>4.8</v>
      </c>
      <c r="G63">
        <v>5.6</v>
      </c>
      <c r="H63">
        <v>0.85714290000000004</v>
      </c>
      <c r="I63">
        <v>0.14285708999999999</v>
      </c>
      <c r="J63">
        <v>0.53846156999999994</v>
      </c>
    </row>
    <row r="64" spans="1:10" x14ac:dyDescent="0.3">
      <c r="A64">
        <v>62</v>
      </c>
      <c r="B64">
        <v>995</v>
      </c>
      <c r="C64" t="b">
        <v>1</v>
      </c>
      <c r="D64">
        <v>8042</v>
      </c>
      <c r="E64">
        <v>8123</v>
      </c>
      <c r="F64">
        <v>4.4000000000000004</v>
      </c>
      <c r="G64">
        <v>5.6</v>
      </c>
      <c r="H64">
        <v>0.78571429999999998</v>
      </c>
      <c r="I64">
        <v>0.21428569</v>
      </c>
      <c r="J64">
        <v>0.56000000000000005</v>
      </c>
    </row>
    <row r="65" spans="1:10" x14ac:dyDescent="0.3">
      <c r="A65">
        <v>63</v>
      </c>
      <c r="B65">
        <v>1011</v>
      </c>
      <c r="C65" t="b">
        <v>1</v>
      </c>
      <c r="D65">
        <v>8042</v>
      </c>
      <c r="E65">
        <v>8123</v>
      </c>
      <c r="F65">
        <v>4</v>
      </c>
      <c r="G65">
        <v>5.6</v>
      </c>
      <c r="H65">
        <v>0.71428572999999995</v>
      </c>
      <c r="I65">
        <v>0.28571426999999999</v>
      </c>
      <c r="J65">
        <v>0.58333330000000005</v>
      </c>
    </row>
    <row r="66" spans="1:10" x14ac:dyDescent="0.3">
      <c r="A66">
        <v>64</v>
      </c>
      <c r="B66">
        <v>1027</v>
      </c>
      <c r="C66" t="b">
        <v>1</v>
      </c>
      <c r="D66">
        <v>8042</v>
      </c>
      <c r="E66">
        <v>8123</v>
      </c>
      <c r="F66">
        <v>4</v>
      </c>
      <c r="G66">
        <v>5.6</v>
      </c>
      <c r="H66">
        <v>0.71428572999999995</v>
      </c>
      <c r="I66">
        <v>0.28571426999999999</v>
      </c>
      <c r="J66">
        <v>0.58333330000000005</v>
      </c>
    </row>
    <row r="67" spans="1:10" x14ac:dyDescent="0.3">
      <c r="A67">
        <v>65</v>
      </c>
      <c r="B67">
        <v>1043</v>
      </c>
      <c r="C67" t="b">
        <v>1</v>
      </c>
      <c r="D67">
        <v>8042</v>
      </c>
      <c r="E67">
        <v>8123</v>
      </c>
      <c r="F67">
        <v>4</v>
      </c>
      <c r="G67">
        <v>5.6</v>
      </c>
      <c r="H67">
        <v>0.71428572999999995</v>
      </c>
      <c r="I67">
        <v>0.28571426999999999</v>
      </c>
      <c r="J67">
        <v>0.58333330000000005</v>
      </c>
    </row>
    <row r="68" spans="1:10" x14ac:dyDescent="0.3">
      <c r="A68">
        <v>66</v>
      </c>
      <c r="B68">
        <v>1059</v>
      </c>
      <c r="C68" t="b">
        <v>1</v>
      </c>
      <c r="D68">
        <v>8054</v>
      </c>
      <c r="E68">
        <v>8123</v>
      </c>
      <c r="F68">
        <v>4</v>
      </c>
      <c r="G68">
        <v>5.6</v>
      </c>
      <c r="H68">
        <v>0.71428572999999995</v>
      </c>
      <c r="I68">
        <v>0.28571426999999999</v>
      </c>
      <c r="J68">
        <v>0.58333330000000005</v>
      </c>
    </row>
    <row r="69" spans="1:10" x14ac:dyDescent="0.3">
      <c r="A69">
        <v>67</v>
      </c>
      <c r="B69">
        <v>1074</v>
      </c>
      <c r="C69" t="b">
        <v>1</v>
      </c>
      <c r="D69">
        <v>8048</v>
      </c>
      <c r="E69">
        <v>8123</v>
      </c>
      <c r="F69">
        <v>4</v>
      </c>
      <c r="G69">
        <v>5.6</v>
      </c>
      <c r="H69">
        <v>0.71428572999999995</v>
      </c>
      <c r="I69">
        <v>0.28571426999999999</v>
      </c>
      <c r="J69">
        <v>0.58333330000000005</v>
      </c>
    </row>
    <row r="70" spans="1:10" x14ac:dyDescent="0.3">
      <c r="A70">
        <v>68</v>
      </c>
      <c r="B70">
        <v>1090</v>
      </c>
      <c r="C70" t="b">
        <v>1</v>
      </c>
      <c r="D70">
        <v>8048</v>
      </c>
      <c r="E70">
        <v>8123</v>
      </c>
      <c r="F70">
        <v>4.4000000000000004</v>
      </c>
      <c r="G70">
        <v>5.6</v>
      </c>
      <c r="H70">
        <v>0.78571429999999998</v>
      </c>
      <c r="I70">
        <v>0.21428569</v>
      </c>
      <c r="J70">
        <v>0.56000000000000005</v>
      </c>
    </row>
    <row r="71" spans="1:10" x14ac:dyDescent="0.3">
      <c r="A71">
        <v>69</v>
      </c>
      <c r="B71">
        <v>1106</v>
      </c>
      <c r="C71" t="b">
        <v>1</v>
      </c>
      <c r="D71">
        <v>8048</v>
      </c>
      <c r="E71">
        <v>8123</v>
      </c>
      <c r="F71">
        <v>4.8</v>
      </c>
      <c r="G71">
        <v>5.6</v>
      </c>
      <c r="H71">
        <v>0.85714290000000004</v>
      </c>
      <c r="I71">
        <v>0.14285708999999999</v>
      </c>
      <c r="J71">
        <v>0.53846156999999994</v>
      </c>
    </row>
    <row r="72" spans="1:10" x14ac:dyDescent="0.3">
      <c r="A72">
        <v>70</v>
      </c>
      <c r="B72">
        <v>1122</v>
      </c>
      <c r="C72" t="b">
        <v>1</v>
      </c>
      <c r="D72">
        <v>8048</v>
      </c>
      <c r="E72">
        <v>8123</v>
      </c>
      <c r="F72">
        <v>5.2</v>
      </c>
      <c r="G72">
        <v>5.6</v>
      </c>
      <c r="H72">
        <v>0.92857140000000005</v>
      </c>
      <c r="I72">
        <v>7.142859E-2</v>
      </c>
      <c r="J72">
        <v>0.51851857000000001</v>
      </c>
    </row>
    <row r="73" spans="1:10" x14ac:dyDescent="0.3">
      <c r="A73">
        <v>71</v>
      </c>
      <c r="B73">
        <v>1138</v>
      </c>
      <c r="C73" t="b">
        <v>1</v>
      </c>
      <c r="D73">
        <v>8048</v>
      </c>
      <c r="E73">
        <v>8123</v>
      </c>
      <c r="F73">
        <v>5.2</v>
      </c>
      <c r="G73">
        <v>6</v>
      </c>
      <c r="H73">
        <v>0.86666659999999995</v>
      </c>
      <c r="I73">
        <v>0.13333337000000001</v>
      </c>
      <c r="J73">
        <v>0.53571427000000005</v>
      </c>
    </row>
    <row r="74" spans="1:10" x14ac:dyDescent="0.3">
      <c r="A74">
        <v>72</v>
      </c>
      <c r="B74">
        <v>1154</v>
      </c>
      <c r="C74" t="b">
        <v>1</v>
      </c>
      <c r="D74">
        <v>8048</v>
      </c>
      <c r="E74">
        <v>8123</v>
      </c>
      <c r="F74">
        <v>5.2</v>
      </c>
      <c r="G74">
        <v>6.4</v>
      </c>
      <c r="H74">
        <v>0.81249994000000003</v>
      </c>
      <c r="I74">
        <v>0.18750004000000001</v>
      </c>
      <c r="J74">
        <v>0.55172414000000003</v>
      </c>
    </row>
    <row r="75" spans="1:10" x14ac:dyDescent="0.3">
      <c r="A75">
        <v>73</v>
      </c>
      <c r="B75">
        <v>1170</v>
      </c>
      <c r="C75" t="b">
        <v>1</v>
      </c>
      <c r="D75">
        <v>8048</v>
      </c>
      <c r="E75">
        <v>8123</v>
      </c>
      <c r="F75">
        <v>5.2</v>
      </c>
      <c r="G75">
        <v>6.8</v>
      </c>
      <c r="H75">
        <v>0.76470583999999997</v>
      </c>
      <c r="I75">
        <v>0.23529416</v>
      </c>
      <c r="J75">
        <v>0.56666665999999999</v>
      </c>
    </row>
    <row r="76" spans="1:10" x14ac:dyDescent="0.3">
      <c r="A76">
        <v>74</v>
      </c>
      <c r="B76">
        <v>1186</v>
      </c>
      <c r="C76" t="b">
        <v>1</v>
      </c>
      <c r="D76">
        <v>8042</v>
      </c>
      <c r="E76">
        <v>8123</v>
      </c>
      <c r="F76">
        <v>5.2</v>
      </c>
      <c r="G76">
        <v>7.2</v>
      </c>
      <c r="H76">
        <v>0.72222220000000004</v>
      </c>
      <c r="I76">
        <v>0.27777780000000002</v>
      </c>
      <c r="J76">
        <v>0.58064514</v>
      </c>
    </row>
    <row r="77" spans="1:10" x14ac:dyDescent="0.3">
      <c r="A77">
        <v>75</v>
      </c>
      <c r="B77">
        <v>1202</v>
      </c>
      <c r="C77" t="b">
        <v>1</v>
      </c>
      <c r="D77">
        <v>8048</v>
      </c>
      <c r="E77">
        <v>8123</v>
      </c>
      <c r="F77">
        <v>5.2</v>
      </c>
      <c r="G77">
        <v>7.6</v>
      </c>
      <c r="H77">
        <v>0.68421054000000003</v>
      </c>
      <c r="I77">
        <v>0.3157895</v>
      </c>
      <c r="J77">
        <v>0.59375</v>
      </c>
    </row>
    <row r="78" spans="1:10" x14ac:dyDescent="0.3">
      <c r="A78">
        <v>76</v>
      </c>
      <c r="B78">
        <v>1218</v>
      </c>
      <c r="C78" t="b">
        <v>1</v>
      </c>
      <c r="D78">
        <v>8048</v>
      </c>
      <c r="E78">
        <v>8134</v>
      </c>
      <c r="F78">
        <v>5.6</v>
      </c>
      <c r="G78">
        <v>8</v>
      </c>
      <c r="H78">
        <v>0.7</v>
      </c>
      <c r="I78">
        <v>0.3</v>
      </c>
      <c r="J78">
        <v>0.58823526000000004</v>
      </c>
    </row>
    <row r="79" spans="1:10" x14ac:dyDescent="0.3">
      <c r="A79">
        <v>77</v>
      </c>
      <c r="B79">
        <v>1233</v>
      </c>
      <c r="C79" t="b">
        <v>1</v>
      </c>
      <c r="D79">
        <v>8042</v>
      </c>
      <c r="E79">
        <v>8123</v>
      </c>
      <c r="F79">
        <v>6</v>
      </c>
      <c r="G79">
        <v>8</v>
      </c>
      <c r="H79">
        <v>0.75</v>
      </c>
      <c r="I79">
        <v>0.25</v>
      </c>
      <c r="J79">
        <v>0.57142859999999995</v>
      </c>
    </row>
    <row r="80" spans="1:10" x14ac:dyDescent="0.3">
      <c r="A80">
        <v>78</v>
      </c>
      <c r="B80">
        <v>1249</v>
      </c>
      <c r="C80" t="b">
        <v>1</v>
      </c>
      <c r="D80">
        <v>8048</v>
      </c>
      <c r="E80">
        <v>8123</v>
      </c>
      <c r="F80">
        <v>6.4</v>
      </c>
      <c r="G80">
        <v>8</v>
      </c>
      <c r="H80">
        <v>0.8</v>
      </c>
      <c r="I80">
        <v>0.19999998999999999</v>
      </c>
      <c r="J80">
        <v>0.55555560000000004</v>
      </c>
    </row>
    <row r="81" spans="1:10" x14ac:dyDescent="0.3">
      <c r="A81">
        <v>79</v>
      </c>
      <c r="B81">
        <v>1265</v>
      </c>
      <c r="C81" t="b">
        <v>1</v>
      </c>
      <c r="D81">
        <v>8054</v>
      </c>
      <c r="E81">
        <v>8123</v>
      </c>
      <c r="F81">
        <v>6.8</v>
      </c>
      <c r="G81">
        <v>8</v>
      </c>
      <c r="H81">
        <v>0.85</v>
      </c>
      <c r="I81">
        <v>0.14999998</v>
      </c>
      <c r="J81">
        <v>0.54054049999999998</v>
      </c>
    </row>
    <row r="82" spans="1:10" x14ac:dyDescent="0.3">
      <c r="A82">
        <v>80</v>
      </c>
      <c r="B82">
        <v>1281</v>
      </c>
      <c r="C82" t="b">
        <v>1</v>
      </c>
      <c r="D82">
        <v>8048</v>
      </c>
      <c r="E82">
        <v>8123</v>
      </c>
      <c r="F82">
        <v>7.2</v>
      </c>
      <c r="G82">
        <v>8</v>
      </c>
      <c r="H82">
        <v>0.9</v>
      </c>
      <c r="I82">
        <v>0.10000002400000001</v>
      </c>
      <c r="J82">
        <v>0.5263158</v>
      </c>
    </row>
    <row r="83" spans="1:10" x14ac:dyDescent="0.3">
      <c r="A83">
        <v>81</v>
      </c>
      <c r="B83">
        <v>1297</v>
      </c>
      <c r="C83" t="b">
        <v>1</v>
      </c>
      <c r="D83">
        <v>8048</v>
      </c>
      <c r="E83">
        <v>8123</v>
      </c>
      <c r="F83">
        <v>7.6</v>
      </c>
      <c r="G83">
        <v>8</v>
      </c>
      <c r="H83">
        <v>0.95</v>
      </c>
      <c r="I83">
        <v>5.0000012000000003E-2</v>
      </c>
      <c r="J83">
        <v>0.51282050000000001</v>
      </c>
    </row>
    <row r="84" spans="1:10" x14ac:dyDescent="0.3">
      <c r="A84">
        <v>82</v>
      </c>
      <c r="B84">
        <v>1313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1329</v>
      </c>
      <c r="C85" t="b">
        <v>1</v>
      </c>
      <c r="D85">
        <v>8048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1345</v>
      </c>
      <c r="C86" t="b">
        <v>1</v>
      </c>
      <c r="D86">
        <v>8048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1361</v>
      </c>
      <c r="C87" t="b">
        <v>1</v>
      </c>
      <c r="D87">
        <v>8048</v>
      </c>
      <c r="E87">
        <v>8123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1377</v>
      </c>
      <c r="C88" t="b">
        <v>1</v>
      </c>
      <c r="D88">
        <v>8048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1393</v>
      </c>
      <c r="C89" t="b">
        <v>1</v>
      </c>
      <c r="D89">
        <v>8048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1409</v>
      </c>
      <c r="C90" t="b">
        <v>1</v>
      </c>
      <c r="D90">
        <v>8042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1425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1440</v>
      </c>
      <c r="C92" t="b">
        <v>1</v>
      </c>
      <c r="D92">
        <v>8042</v>
      </c>
      <c r="E92">
        <v>8123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1456</v>
      </c>
      <c r="C93" t="b">
        <v>1</v>
      </c>
      <c r="D93">
        <v>8048</v>
      </c>
      <c r="E93">
        <v>8123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1472</v>
      </c>
      <c r="C94" t="b">
        <v>1</v>
      </c>
      <c r="D94">
        <v>8048</v>
      </c>
      <c r="E94">
        <v>8123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1488</v>
      </c>
      <c r="C95" t="b">
        <v>1</v>
      </c>
      <c r="D95">
        <v>8048</v>
      </c>
      <c r="E95">
        <v>8123</v>
      </c>
      <c r="F95">
        <v>8</v>
      </c>
      <c r="G95">
        <v>8</v>
      </c>
      <c r="H95">
        <v>1</v>
      </c>
      <c r="I95">
        <v>0</v>
      </c>
      <c r="J95">
        <v>0.5</v>
      </c>
    </row>
    <row r="96" spans="1:10" x14ac:dyDescent="0.3">
      <c r="A96">
        <v>94</v>
      </c>
      <c r="B96">
        <v>1504</v>
      </c>
      <c r="C96" t="b">
        <v>1</v>
      </c>
      <c r="D96">
        <v>8048</v>
      </c>
      <c r="E96">
        <v>8123</v>
      </c>
      <c r="F96">
        <v>8</v>
      </c>
      <c r="G96">
        <v>8</v>
      </c>
      <c r="H96">
        <v>1</v>
      </c>
      <c r="I96">
        <v>0</v>
      </c>
      <c r="J96">
        <v>0.5</v>
      </c>
    </row>
    <row r="97" spans="1:10" x14ac:dyDescent="0.3">
      <c r="A97">
        <v>95</v>
      </c>
      <c r="B97">
        <v>1520</v>
      </c>
      <c r="C97" t="b">
        <v>1</v>
      </c>
      <c r="D97">
        <v>8048</v>
      </c>
      <c r="E97">
        <v>8123</v>
      </c>
      <c r="F97">
        <v>8</v>
      </c>
      <c r="G97">
        <v>8</v>
      </c>
      <c r="H97">
        <v>1</v>
      </c>
      <c r="I97">
        <v>0</v>
      </c>
      <c r="J97">
        <v>0.5</v>
      </c>
    </row>
    <row r="98" spans="1:10" x14ac:dyDescent="0.3">
      <c r="A98">
        <v>96</v>
      </c>
      <c r="B98">
        <v>1535</v>
      </c>
      <c r="C98" t="b">
        <v>1</v>
      </c>
      <c r="D98">
        <v>8048</v>
      </c>
      <c r="E98">
        <v>8123</v>
      </c>
      <c r="F98">
        <v>8</v>
      </c>
      <c r="G98">
        <v>8</v>
      </c>
      <c r="H98">
        <v>1</v>
      </c>
      <c r="I98">
        <v>0</v>
      </c>
      <c r="J98">
        <v>0.5</v>
      </c>
    </row>
    <row r="99" spans="1:10" x14ac:dyDescent="0.3">
      <c r="A99">
        <v>97</v>
      </c>
      <c r="B99">
        <v>1551</v>
      </c>
      <c r="C99" t="b">
        <v>1</v>
      </c>
      <c r="D99">
        <v>8048</v>
      </c>
      <c r="E99">
        <v>8123</v>
      </c>
      <c r="F99">
        <v>8</v>
      </c>
      <c r="G99">
        <v>8</v>
      </c>
      <c r="H99">
        <v>1</v>
      </c>
      <c r="I99">
        <v>0</v>
      </c>
      <c r="J99">
        <v>0.5</v>
      </c>
    </row>
    <row r="100" spans="1:10" x14ac:dyDescent="0.3">
      <c r="A100">
        <v>98</v>
      </c>
      <c r="B100">
        <v>1567</v>
      </c>
      <c r="C100" t="b">
        <v>1</v>
      </c>
      <c r="D100">
        <v>8042</v>
      </c>
      <c r="E100">
        <v>8123</v>
      </c>
      <c r="F100">
        <v>8</v>
      </c>
      <c r="G100">
        <v>8</v>
      </c>
      <c r="H100">
        <v>1</v>
      </c>
      <c r="I100">
        <v>0</v>
      </c>
      <c r="J100">
        <v>0.5</v>
      </c>
    </row>
    <row r="101" spans="1:10" x14ac:dyDescent="0.3">
      <c r="A101">
        <v>99</v>
      </c>
      <c r="B101">
        <v>1583</v>
      </c>
      <c r="C101" t="b">
        <v>1</v>
      </c>
      <c r="D101">
        <v>8042</v>
      </c>
      <c r="E101">
        <v>8129</v>
      </c>
      <c r="F101">
        <v>8</v>
      </c>
      <c r="G101">
        <v>8</v>
      </c>
      <c r="H101">
        <v>1</v>
      </c>
      <c r="I101">
        <v>0</v>
      </c>
      <c r="J101">
        <v>0.5</v>
      </c>
    </row>
    <row r="102" spans="1:10" x14ac:dyDescent="0.3">
      <c r="A102">
        <v>100</v>
      </c>
      <c r="B102">
        <v>1599</v>
      </c>
      <c r="C102" t="b">
        <v>1</v>
      </c>
      <c r="D102">
        <v>8048</v>
      </c>
      <c r="E102">
        <v>8117</v>
      </c>
      <c r="F102">
        <v>8</v>
      </c>
      <c r="G102">
        <v>8</v>
      </c>
      <c r="H102">
        <v>1</v>
      </c>
      <c r="I102">
        <v>0</v>
      </c>
      <c r="J102">
        <v>0.5</v>
      </c>
    </row>
    <row r="103" spans="1:10" x14ac:dyDescent="0.3">
      <c r="A103">
        <v>101</v>
      </c>
      <c r="B103">
        <v>1615</v>
      </c>
      <c r="C103" t="b">
        <v>1</v>
      </c>
      <c r="D103">
        <v>8042</v>
      </c>
      <c r="E103">
        <v>8123</v>
      </c>
      <c r="F103">
        <v>7.6</v>
      </c>
      <c r="G103">
        <v>8</v>
      </c>
      <c r="H103">
        <v>0.95</v>
      </c>
      <c r="I103">
        <v>5.0000012000000003E-2</v>
      </c>
      <c r="J103">
        <v>0.51282050000000001</v>
      </c>
    </row>
    <row r="104" spans="1:10" x14ac:dyDescent="0.3">
      <c r="A104">
        <v>102</v>
      </c>
      <c r="B104">
        <v>1631</v>
      </c>
      <c r="C104" t="b">
        <v>1</v>
      </c>
      <c r="D104">
        <v>8048</v>
      </c>
      <c r="E104">
        <v>8123</v>
      </c>
      <c r="F104">
        <v>7.2</v>
      </c>
      <c r="G104">
        <v>8</v>
      </c>
      <c r="H104">
        <v>0.9</v>
      </c>
      <c r="I104">
        <v>0.10000002400000001</v>
      </c>
      <c r="J104">
        <v>0.5263158</v>
      </c>
    </row>
    <row r="105" spans="1:10" x14ac:dyDescent="0.3">
      <c r="A105">
        <v>103</v>
      </c>
      <c r="B105">
        <v>1647</v>
      </c>
      <c r="C105" t="b">
        <v>1</v>
      </c>
      <c r="D105">
        <v>8048</v>
      </c>
      <c r="E105">
        <v>8123</v>
      </c>
      <c r="F105">
        <v>7.2</v>
      </c>
      <c r="G105">
        <v>8</v>
      </c>
      <c r="H105">
        <v>0.9</v>
      </c>
      <c r="I105">
        <v>0.10000002400000001</v>
      </c>
      <c r="J105">
        <v>0.5263158</v>
      </c>
    </row>
    <row r="106" spans="1:10" x14ac:dyDescent="0.3">
      <c r="A106">
        <v>104</v>
      </c>
      <c r="B106">
        <v>1663</v>
      </c>
      <c r="C106" t="b">
        <v>1</v>
      </c>
      <c r="D106">
        <v>8048</v>
      </c>
      <c r="E106">
        <v>8123</v>
      </c>
      <c r="F106">
        <v>7.2</v>
      </c>
      <c r="G106">
        <v>8</v>
      </c>
      <c r="H106">
        <v>0.9</v>
      </c>
      <c r="I106">
        <v>0.10000002400000001</v>
      </c>
      <c r="J106">
        <v>0.5263158</v>
      </c>
    </row>
    <row r="107" spans="1:10" x14ac:dyDescent="0.3">
      <c r="A107">
        <v>105</v>
      </c>
      <c r="B107">
        <v>1679</v>
      </c>
      <c r="C107" t="b">
        <v>1</v>
      </c>
      <c r="D107">
        <v>8048</v>
      </c>
      <c r="E107">
        <v>8123</v>
      </c>
      <c r="F107">
        <v>7.2</v>
      </c>
      <c r="G107">
        <v>8</v>
      </c>
      <c r="H107">
        <v>0.9</v>
      </c>
      <c r="I107">
        <v>0.10000002400000001</v>
      </c>
      <c r="J107">
        <v>0.5263158</v>
      </c>
    </row>
    <row r="108" spans="1:10" x14ac:dyDescent="0.3">
      <c r="A108">
        <v>106</v>
      </c>
      <c r="B108">
        <v>1695</v>
      </c>
      <c r="C108" t="b">
        <v>1</v>
      </c>
      <c r="D108">
        <v>8048</v>
      </c>
      <c r="E108">
        <v>8123</v>
      </c>
      <c r="F108">
        <v>7.2</v>
      </c>
      <c r="G108">
        <v>8</v>
      </c>
      <c r="H108">
        <v>0.9</v>
      </c>
      <c r="I108">
        <v>0.10000002400000001</v>
      </c>
      <c r="J108">
        <v>0.5263158</v>
      </c>
    </row>
    <row r="109" spans="1:10" x14ac:dyDescent="0.3">
      <c r="A109">
        <v>107</v>
      </c>
      <c r="B109">
        <v>1711</v>
      </c>
      <c r="C109" t="b">
        <v>1</v>
      </c>
      <c r="D109">
        <v>8042</v>
      </c>
      <c r="E109">
        <v>8123</v>
      </c>
      <c r="F109">
        <v>7.2</v>
      </c>
      <c r="G109">
        <v>8</v>
      </c>
      <c r="H109">
        <v>0.9</v>
      </c>
      <c r="I109">
        <v>0.10000002400000001</v>
      </c>
      <c r="J109">
        <v>0.5263158</v>
      </c>
    </row>
    <row r="110" spans="1:10" x14ac:dyDescent="0.3">
      <c r="A110">
        <v>108</v>
      </c>
      <c r="B110">
        <v>1727</v>
      </c>
      <c r="C110" t="b">
        <v>1</v>
      </c>
      <c r="D110">
        <v>8042</v>
      </c>
      <c r="E110">
        <v>8123</v>
      </c>
      <c r="F110">
        <v>7.2</v>
      </c>
      <c r="G110">
        <v>8</v>
      </c>
      <c r="H110">
        <v>0.9</v>
      </c>
      <c r="I110">
        <v>0.10000002400000001</v>
      </c>
      <c r="J110">
        <v>0.5263158</v>
      </c>
    </row>
    <row r="111" spans="1:10" x14ac:dyDescent="0.3">
      <c r="A111">
        <v>109</v>
      </c>
      <c r="B111">
        <v>1743</v>
      </c>
      <c r="C111" t="b">
        <v>1</v>
      </c>
      <c r="D111">
        <v>8042</v>
      </c>
      <c r="E111">
        <v>8123</v>
      </c>
      <c r="F111">
        <v>6.8</v>
      </c>
      <c r="G111">
        <v>8</v>
      </c>
      <c r="H111">
        <v>0.85</v>
      </c>
      <c r="I111">
        <v>0.14999998</v>
      </c>
      <c r="J111">
        <v>0.54054049999999998</v>
      </c>
    </row>
    <row r="112" spans="1:10" x14ac:dyDescent="0.3">
      <c r="A112">
        <v>110</v>
      </c>
      <c r="B112">
        <v>1759</v>
      </c>
      <c r="C112" t="b">
        <v>1</v>
      </c>
      <c r="D112">
        <v>8048</v>
      </c>
      <c r="E112">
        <v>8123</v>
      </c>
      <c r="F112">
        <v>6.4</v>
      </c>
      <c r="G112">
        <v>8</v>
      </c>
      <c r="H112">
        <v>0.8</v>
      </c>
      <c r="I112">
        <v>0.19999998999999999</v>
      </c>
      <c r="J112">
        <v>0.55555560000000004</v>
      </c>
    </row>
    <row r="113" spans="1:10" x14ac:dyDescent="0.3">
      <c r="A113">
        <v>111</v>
      </c>
      <c r="B113">
        <v>1775</v>
      </c>
      <c r="C113" t="b">
        <v>1</v>
      </c>
      <c r="D113">
        <v>8048</v>
      </c>
      <c r="E113">
        <v>8123</v>
      </c>
      <c r="F113">
        <v>6</v>
      </c>
      <c r="G113">
        <v>8</v>
      </c>
      <c r="H113">
        <v>0.75</v>
      </c>
      <c r="I113">
        <v>0.25</v>
      </c>
      <c r="J113">
        <v>0.57142859999999995</v>
      </c>
    </row>
    <row r="114" spans="1:10" x14ac:dyDescent="0.3">
      <c r="A114">
        <v>112</v>
      </c>
      <c r="B114">
        <v>1791</v>
      </c>
      <c r="C114" t="b">
        <v>1</v>
      </c>
      <c r="D114">
        <v>8048</v>
      </c>
      <c r="E114">
        <v>8123</v>
      </c>
      <c r="F114">
        <v>6</v>
      </c>
      <c r="G114">
        <v>8</v>
      </c>
      <c r="H114">
        <v>0.75</v>
      </c>
      <c r="I114">
        <v>0.25</v>
      </c>
      <c r="J114">
        <v>0.57142859999999995</v>
      </c>
    </row>
    <row r="115" spans="1:10" x14ac:dyDescent="0.3">
      <c r="A115">
        <v>113</v>
      </c>
      <c r="B115">
        <v>1807</v>
      </c>
      <c r="C115" t="b">
        <v>1</v>
      </c>
      <c r="D115">
        <v>8048</v>
      </c>
      <c r="E115">
        <v>8123</v>
      </c>
      <c r="F115">
        <v>6</v>
      </c>
      <c r="G115">
        <v>8</v>
      </c>
      <c r="H115">
        <v>0.75</v>
      </c>
      <c r="I115">
        <v>0.25</v>
      </c>
      <c r="J115">
        <v>0.57142859999999995</v>
      </c>
    </row>
    <row r="116" spans="1:10" x14ac:dyDescent="0.3">
      <c r="A116">
        <v>114</v>
      </c>
      <c r="B116">
        <v>1823</v>
      </c>
      <c r="C116" t="b">
        <v>1</v>
      </c>
      <c r="D116">
        <v>8054</v>
      </c>
      <c r="E116">
        <v>8117</v>
      </c>
      <c r="F116">
        <v>6</v>
      </c>
      <c r="G116">
        <v>8</v>
      </c>
      <c r="H116">
        <v>0.75</v>
      </c>
      <c r="I116">
        <v>0.25</v>
      </c>
      <c r="J116">
        <v>0.57142859999999995</v>
      </c>
    </row>
    <row r="117" spans="1:10" x14ac:dyDescent="0.3">
      <c r="A117">
        <v>115</v>
      </c>
      <c r="B117">
        <v>1839</v>
      </c>
      <c r="C117" t="b">
        <v>1</v>
      </c>
      <c r="D117">
        <v>8048</v>
      </c>
      <c r="E117">
        <v>8123</v>
      </c>
      <c r="F117">
        <v>6</v>
      </c>
      <c r="G117">
        <v>8</v>
      </c>
      <c r="H117">
        <v>0.75</v>
      </c>
      <c r="I117">
        <v>0.25</v>
      </c>
      <c r="J117">
        <v>0.57142859999999995</v>
      </c>
    </row>
    <row r="118" spans="1:10" x14ac:dyDescent="0.3">
      <c r="A118">
        <v>116</v>
      </c>
      <c r="B118">
        <v>1854</v>
      </c>
      <c r="C118" t="b">
        <v>1</v>
      </c>
      <c r="D118">
        <v>8048</v>
      </c>
      <c r="E118">
        <v>8123</v>
      </c>
      <c r="F118">
        <v>6.4</v>
      </c>
      <c r="G118">
        <v>8</v>
      </c>
      <c r="H118">
        <v>0.8</v>
      </c>
      <c r="I118">
        <v>0.19999998999999999</v>
      </c>
      <c r="J118">
        <v>0.55555560000000004</v>
      </c>
    </row>
    <row r="119" spans="1:10" x14ac:dyDescent="0.3">
      <c r="A119">
        <v>117</v>
      </c>
      <c r="B119">
        <v>1870</v>
      </c>
      <c r="C119" t="b">
        <v>1</v>
      </c>
      <c r="D119">
        <v>8048</v>
      </c>
      <c r="E119">
        <v>8123</v>
      </c>
      <c r="F119">
        <v>6.8</v>
      </c>
      <c r="G119">
        <v>8</v>
      </c>
      <c r="H119">
        <v>0.85</v>
      </c>
      <c r="I119">
        <v>0.14999998</v>
      </c>
      <c r="J119">
        <v>0.54054049999999998</v>
      </c>
    </row>
    <row r="120" spans="1:10" x14ac:dyDescent="0.3">
      <c r="A120">
        <v>118</v>
      </c>
      <c r="B120">
        <v>1886</v>
      </c>
      <c r="C120" t="b">
        <v>1</v>
      </c>
      <c r="D120">
        <v>8042</v>
      </c>
      <c r="E120">
        <v>8123</v>
      </c>
      <c r="F120">
        <v>6.8</v>
      </c>
      <c r="G120">
        <v>8</v>
      </c>
      <c r="H120">
        <v>0.85</v>
      </c>
      <c r="I120">
        <v>0.14999998</v>
      </c>
      <c r="J120">
        <v>0.54054049999999998</v>
      </c>
    </row>
    <row r="121" spans="1:10" x14ac:dyDescent="0.3">
      <c r="A121">
        <v>119</v>
      </c>
      <c r="B121">
        <v>1902</v>
      </c>
      <c r="C121" t="b">
        <v>1</v>
      </c>
      <c r="D121">
        <v>8048</v>
      </c>
      <c r="E121">
        <v>8123</v>
      </c>
      <c r="F121">
        <v>6.8</v>
      </c>
      <c r="G121">
        <v>8</v>
      </c>
      <c r="H121">
        <v>0.85</v>
      </c>
      <c r="I121">
        <v>0.14999998</v>
      </c>
      <c r="J121">
        <v>0.54054049999999998</v>
      </c>
    </row>
    <row r="122" spans="1:10" x14ac:dyDescent="0.3">
      <c r="A122">
        <v>120</v>
      </c>
      <c r="B122">
        <v>1918</v>
      </c>
      <c r="C122" t="b">
        <v>1</v>
      </c>
      <c r="D122">
        <v>8048</v>
      </c>
      <c r="E122">
        <v>8123</v>
      </c>
      <c r="F122">
        <v>6.8</v>
      </c>
      <c r="G122">
        <v>8</v>
      </c>
      <c r="H122">
        <v>0.85</v>
      </c>
      <c r="I122">
        <v>0.14999998</v>
      </c>
      <c r="J122">
        <v>0.54054049999999998</v>
      </c>
    </row>
    <row r="123" spans="1:10" x14ac:dyDescent="0.3">
      <c r="A123">
        <v>121</v>
      </c>
      <c r="B123">
        <v>1935</v>
      </c>
      <c r="C123" t="b">
        <v>1</v>
      </c>
      <c r="D123">
        <v>8048</v>
      </c>
      <c r="E123">
        <v>8123</v>
      </c>
      <c r="F123">
        <v>6.8</v>
      </c>
      <c r="G123">
        <v>8</v>
      </c>
      <c r="H123">
        <v>0.85</v>
      </c>
      <c r="I123">
        <v>0.14999998</v>
      </c>
      <c r="J123">
        <v>0.54054049999999998</v>
      </c>
    </row>
    <row r="124" spans="1:10" x14ac:dyDescent="0.3">
      <c r="A124">
        <v>122</v>
      </c>
      <c r="B124">
        <v>1950</v>
      </c>
      <c r="C124" t="b">
        <v>1</v>
      </c>
      <c r="D124">
        <v>8048</v>
      </c>
      <c r="E124">
        <v>8123</v>
      </c>
      <c r="F124">
        <v>6.8</v>
      </c>
      <c r="G124">
        <v>8</v>
      </c>
      <c r="H124">
        <v>0.85</v>
      </c>
      <c r="I124">
        <v>0.14999998</v>
      </c>
      <c r="J124">
        <v>0.54054049999999998</v>
      </c>
    </row>
    <row r="125" spans="1:10" x14ac:dyDescent="0.3">
      <c r="A125">
        <v>123</v>
      </c>
      <c r="B125">
        <v>1966</v>
      </c>
      <c r="C125" t="b">
        <v>1</v>
      </c>
      <c r="D125">
        <v>8048</v>
      </c>
      <c r="E125">
        <v>8123</v>
      </c>
      <c r="F125">
        <v>6.8</v>
      </c>
      <c r="G125">
        <v>8</v>
      </c>
      <c r="H125">
        <v>0.85</v>
      </c>
      <c r="I125">
        <v>0.14999998</v>
      </c>
      <c r="J125">
        <v>0.54054049999999998</v>
      </c>
    </row>
    <row r="126" spans="1:10" x14ac:dyDescent="0.3">
      <c r="A126">
        <v>124</v>
      </c>
      <c r="B126">
        <v>1982</v>
      </c>
      <c r="C126" t="b">
        <v>1</v>
      </c>
      <c r="D126">
        <v>8048</v>
      </c>
      <c r="E126">
        <v>8123</v>
      </c>
      <c r="F126">
        <v>7.2</v>
      </c>
      <c r="G126">
        <v>8</v>
      </c>
      <c r="H126">
        <v>0.9</v>
      </c>
      <c r="I126">
        <v>0.10000002400000001</v>
      </c>
      <c r="J126">
        <v>0.5263158</v>
      </c>
    </row>
    <row r="127" spans="1:10" x14ac:dyDescent="0.3">
      <c r="A127">
        <v>125</v>
      </c>
      <c r="B127">
        <v>1998</v>
      </c>
      <c r="C127" t="b">
        <v>1</v>
      </c>
      <c r="D127">
        <v>8048</v>
      </c>
      <c r="E127">
        <v>8123</v>
      </c>
      <c r="F127">
        <v>7.6</v>
      </c>
      <c r="G127">
        <v>8</v>
      </c>
      <c r="H127">
        <v>0.95</v>
      </c>
      <c r="I127">
        <v>5.0000012000000003E-2</v>
      </c>
      <c r="J127">
        <v>0.51282050000000001</v>
      </c>
    </row>
    <row r="128" spans="1:10" x14ac:dyDescent="0.3">
      <c r="A128">
        <v>126</v>
      </c>
      <c r="B128">
        <v>2014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2030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2046</v>
      </c>
      <c r="C130" t="b">
        <v>1</v>
      </c>
      <c r="D130">
        <v>8048</v>
      </c>
      <c r="E130">
        <v>8117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2062</v>
      </c>
      <c r="C131" t="b">
        <v>1</v>
      </c>
      <c r="D131">
        <v>8042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2078</v>
      </c>
      <c r="C132" t="b">
        <v>1</v>
      </c>
      <c r="D132">
        <v>8048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2093</v>
      </c>
      <c r="C133" t="b">
        <v>1</v>
      </c>
      <c r="D133">
        <v>8048</v>
      </c>
      <c r="E133">
        <v>8129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2109</v>
      </c>
      <c r="C134" t="b">
        <v>1</v>
      </c>
      <c r="D134">
        <v>8042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2125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2141</v>
      </c>
      <c r="C136" t="b">
        <v>1</v>
      </c>
      <c r="D136">
        <v>8048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2157</v>
      </c>
      <c r="C137" t="b">
        <v>1</v>
      </c>
      <c r="D137">
        <v>8048</v>
      </c>
      <c r="E137">
        <v>8123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2173</v>
      </c>
      <c r="C138" t="b">
        <v>1</v>
      </c>
      <c r="D138">
        <v>8054</v>
      </c>
      <c r="E138">
        <v>8123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2189</v>
      </c>
      <c r="C139" t="b">
        <v>1</v>
      </c>
      <c r="D139">
        <v>8048</v>
      </c>
      <c r="E139">
        <v>8123</v>
      </c>
      <c r="F139">
        <v>8</v>
      </c>
      <c r="G139">
        <v>8</v>
      </c>
      <c r="H139">
        <v>1</v>
      </c>
      <c r="I139">
        <v>0</v>
      </c>
      <c r="J139">
        <v>0.5</v>
      </c>
    </row>
    <row r="140" spans="1:10" x14ac:dyDescent="0.3">
      <c r="A140">
        <v>138</v>
      </c>
      <c r="B140">
        <v>2204</v>
      </c>
      <c r="C140" t="b">
        <v>1</v>
      </c>
      <c r="D140">
        <v>8048</v>
      </c>
      <c r="E140">
        <v>8117</v>
      </c>
      <c r="F140">
        <v>8</v>
      </c>
      <c r="G140">
        <v>8</v>
      </c>
      <c r="H140">
        <v>1</v>
      </c>
      <c r="I140">
        <v>0</v>
      </c>
      <c r="J140">
        <v>0.5</v>
      </c>
    </row>
    <row r="141" spans="1:10" x14ac:dyDescent="0.3">
      <c r="A141">
        <v>139</v>
      </c>
      <c r="B141">
        <v>2220</v>
      </c>
      <c r="C141" t="b">
        <v>1</v>
      </c>
      <c r="D141">
        <v>8048</v>
      </c>
      <c r="E141">
        <v>8123</v>
      </c>
      <c r="F141">
        <v>8</v>
      </c>
      <c r="G141">
        <v>8</v>
      </c>
      <c r="H141">
        <v>1</v>
      </c>
      <c r="I141">
        <v>0</v>
      </c>
      <c r="J141">
        <v>0.5</v>
      </c>
    </row>
    <row r="142" spans="1:10" x14ac:dyDescent="0.3">
      <c r="A142">
        <v>140</v>
      </c>
      <c r="B142">
        <v>2236</v>
      </c>
      <c r="C142" t="b">
        <v>1</v>
      </c>
      <c r="D142">
        <v>8048</v>
      </c>
      <c r="E142">
        <v>8123</v>
      </c>
      <c r="F142">
        <v>8</v>
      </c>
      <c r="G142">
        <v>8</v>
      </c>
      <c r="H142">
        <v>1</v>
      </c>
      <c r="I142">
        <v>0</v>
      </c>
      <c r="J142">
        <v>0.5</v>
      </c>
    </row>
    <row r="143" spans="1:10" x14ac:dyDescent="0.3">
      <c r="A143">
        <v>141</v>
      </c>
      <c r="B143">
        <v>2252</v>
      </c>
      <c r="C143" t="b">
        <v>1</v>
      </c>
      <c r="D143">
        <v>8048</v>
      </c>
      <c r="E143">
        <v>8123</v>
      </c>
      <c r="F143">
        <v>8</v>
      </c>
      <c r="G143">
        <v>8</v>
      </c>
      <c r="H143">
        <v>1</v>
      </c>
      <c r="I143">
        <v>0</v>
      </c>
      <c r="J143">
        <v>0.5</v>
      </c>
    </row>
    <row r="144" spans="1:10" x14ac:dyDescent="0.3">
      <c r="A144">
        <v>142</v>
      </c>
      <c r="B144">
        <v>2268</v>
      </c>
      <c r="C144" t="b">
        <v>1</v>
      </c>
      <c r="D144">
        <v>8048</v>
      </c>
      <c r="E144">
        <v>8117</v>
      </c>
      <c r="F144">
        <v>8</v>
      </c>
      <c r="G144">
        <v>8</v>
      </c>
      <c r="H144">
        <v>1</v>
      </c>
      <c r="I144">
        <v>0</v>
      </c>
      <c r="J144">
        <v>0.5</v>
      </c>
    </row>
    <row r="145" spans="1:10" x14ac:dyDescent="0.3">
      <c r="A145">
        <v>143</v>
      </c>
      <c r="B145">
        <v>2284</v>
      </c>
      <c r="C145" t="b">
        <v>1</v>
      </c>
      <c r="D145">
        <v>8048</v>
      </c>
      <c r="E145">
        <v>8123</v>
      </c>
      <c r="F145">
        <v>8</v>
      </c>
      <c r="G145">
        <v>8</v>
      </c>
      <c r="H145">
        <v>1</v>
      </c>
      <c r="I145">
        <v>0</v>
      </c>
      <c r="J145">
        <v>0.5</v>
      </c>
    </row>
    <row r="146" spans="1:10" x14ac:dyDescent="0.3">
      <c r="A146">
        <v>144</v>
      </c>
      <c r="B146">
        <v>2299</v>
      </c>
      <c r="C146" t="b">
        <v>1</v>
      </c>
      <c r="D146">
        <v>8048</v>
      </c>
      <c r="E146">
        <v>8123</v>
      </c>
      <c r="F146">
        <v>8</v>
      </c>
      <c r="G146">
        <v>8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2315</v>
      </c>
      <c r="C147" t="b">
        <v>1</v>
      </c>
      <c r="D147">
        <v>8048</v>
      </c>
      <c r="E147">
        <v>8123</v>
      </c>
      <c r="F147">
        <v>8</v>
      </c>
      <c r="G147">
        <v>8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2331</v>
      </c>
      <c r="C148" t="b">
        <v>1</v>
      </c>
      <c r="D148">
        <v>8048</v>
      </c>
      <c r="E148">
        <v>8117</v>
      </c>
      <c r="F148">
        <v>8</v>
      </c>
      <c r="G148">
        <v>8</v>
      </c>
      <c r="H148">
        <v>1</v>
      </c>
      <c r="I148">
        <v>0</v>
      </c>
      <c r="J148">
        <v>0.5</v>
      </c>
    </row>
    <row r="149" spans="1:10" x14ac:dyDescent="0.3">
      <c r="A149">
        <v>147</v>
      </c>
      <c r="B149">
        <v>2347</v>
      </c>
      <c r="C149" t="b">
        <v>1</v>
      </c>
      <c r="D149">
        <v>8048</v>
      </c>
      <c r="E149">
        <v>8123</v>
      </c>
      <c r="F149">
        <v>8</v>
      </c>
      <c r="G149">
        <v>8</v>
      </c>
      <c r="H149">
        <v>1</v>
      </c>
      <c r="I149">
        <v>0</v>
      </c>
      <c r="J149">
        <v>0.5</v>
      </c>
    </row>
    <row r="150" spans="1:10" x14ac:dyDescent="0.3">
      <c r="A150">
        <v>148</v>
      </c>
      <c r="B150">
        <v>2363</v>
      </c>
      <c r="C150" t="b">
        <v>1</v>
      </c>
      <c r="D150">
        <v>8048</v>
      </c>
      <c r="E150">
        <v>8129</v>
      </c>
      <c r="F150">
        <v>8</v>
      </c>
      <c r="G150">
        <v>8</v>
      </c>
      <c r="H150">
        <v>1</v>
      </c>
      <c r="I150">
        <v>0</v>
      </c>
      <c r="J150">
        <v>0.5</v>
      </c>
    </row>
    <row r="151" spans="1:10" x14ac:dyDescent="0.3">
      <c r="A151">
        <v>149</v>
      </c>
      <c r="B151">
        <v>2379</v>
      </c>
      <c r="C151" t="b">
        <v>1</v>
      </c>
      <c r="D151">
        <v>8048</v>
      </c>
      <c r="E151">
        <v>8123</v>
      </c>
      <c r="F151">
        <v>8</v>
      </c>
      <c r="G151">
        <v>8</v>
      </c>
      <c r="H151">
        <v>1</v>
      </c>
      <c r="I151">
        <v>0</v>
      </c>
      <c r="J151">
        <v>0.5</v>
      </c>
    </row>
    <row r="152" spans="1:10" x14ac:dyDescent="0.3">
      <c r="A152">
        <v>150</v>
      </c>
      <c r="B152">
        <v>2395</v>
      </c>
      <c r="C152" t="b">
        <v>1</v>
      </c>
      <c r="D152">
        <v>8048</v>
      </c>
      <c r="E152">
        <v>8129</v>
      </c>
      <c r="F152">
        <v>8</v>
      </c>
      <c r="G152">
        <v>8</v>
      </c>
      <c r="H152">
        <v>1</v>
      </c>
      <c r="I152">
        <v>0</v>
      </c>
      <c r="J152">
        <v>0.5</v>
      </c>
    </row>
    <row r="153" spans="1:10" x14ac:dyDescent="0.3">
      <c r="A153">
        <v>151</v>
      </c>
      <c r="B153">
        <v>2411</v>
      </c>
      <c r="C153" t="b">
        <v>1</v>
      </c>
      <c r="D153">
        <v>8048</v>
      </c>
      <c r="E153">
        <v>8123</v>
      </c>
      <c r="F153">
        <v>8</v>
      </c>
      <c r="G153">
        <v>8</v>
      </c>
      <c r="H153">
        <v>1</v>
      </c>
      <c r="I153">
        <v>0</v>
      </c>
      <c r="J153">
        <v>0.5</v>
      </c>
    </row>
    <row r="154" spans="1:10" x14ac:dyDescent="0.3">
      <c r="A154">
        <v>152</v>
      </c>
      <c r="B154">
        <v>2427</v>
      </c>
      <c r="C154" t="b">
        <v>1</v>
      </c>
      <c r="D154">
        <v>8048</v>
      </c>
      <c r="E154">
        <v>8123</v>
      </c>
      <c r="F154">
        <v>8</v>
      </c>
      <c r="G154">
        <v>8</v>
      </c>
      <c r="H154">
        <v>1</v>
      </c>
      <c r="I154">
        <v>0</v>
      </c>
      <c r="J154">
        <v>0.5</v>
      </c>
    </row>
    <row r="155" spans="1:10" x14ac:dyDescent="0.3">
      <c r="A155">
        <v>153</v>
      </c>
      <c r="B155">
        <v>2443</v>
      </c>
      <c r="C155" t="b">
        <v>1</v>
      </c>
      <c r="D155">
        <v>8048</v>
      </c>
      <c r="E155">
        <v>8117</v>
      </c>
      <c r="F155">
        <v>8</v>
      </c>
      <c r="G155">
        <v>8</v>
      </c>
      <c r="H155">
        <v>1</v>
      </c>
      <c r="I155">
        <v>0</v>
      </c>
      <c r="J155">
        <v>0.5</v>
      </c>
    </row>
    <row r="156" spans="1:10" x14ac:dyDescent="0.3">
      <c r="A156">
        <v>154</v>
      </c>
      <c r="B156">
        <v>2459</v>
      </c>
      <c r="C156" t="b">
        <v>1</v>
      </c>
      <c r="D156">
        <v>8048</v>
      </c>
      <c r="E156">
        <v>8117</v>
      </c>
      <c r="F156">
        <v>8</v>
      </c>
      <c r="G156">
        <v>8</v>
      </c>
      <c r="H156">
        <v>1</v>
      </c>
      <c r="I156">
        <v>0</v>
      </c>
      <c r="J156">
        <v>0.5</v>
      </c>
    </row>
    <row r="157" spans="1:10" x14ac:dyDescent="0.3">
      <c r="A157">
        <v>155</v>
      </c>
      <c r="B157">
        <v>2474</v>
      </c>
      <c r="C157" t="b">
        <v>1</v>
      </c>
      <c r="D157">
        <v>8042</v>
      </c>
      <c r="E157">
        <v>8117</v>
      </c>
      <c r="F157">
        <v>8</v>
      </c>
      <c r="G157">
        <v>7.6</v>
      </c>
      <c r="H157">
        <v>1.0526316</v>
      </c>
      <c r="I157">
        <v>-5.2631589999999999E-2</v>
      </c>
      <c r="J157">
        <v>0.48717946000000001</v>
      </c>
    </row>
    <row r="158" spans="1:10" x14ac:dyDescent="0.3">
      <c r="A158">
        <v>156</v>
      </c>
      <c r="B158">
        <v>2490</v>
      </c>
      <c r="C158" t="b">
        <v>1</v>
      </c>
      <c r="D158">
        <v>8048</v>
      </c>
      <c r="E158">
        <v>8117</v>
      </c>
      <c r="F158">
        <v>8</v>
      </c>
      <c r="G158">
        <v>7.2</v>
      </c>
      <c r="H158">
        <v>1.1111112000000001</v>
      </c>
      <c r="I158">
        <v>-0.11111114</v>
      </c>
      <c r="J158">
        <v>0.4736842</v>
      </c>
    </row>
    <row r="159" spans="1:10" x14ac:dyDescent="0.3">
      <c r="A159">
        <v>157</v>
      </c>
      <c r="B159">
        <v>2506</v>
      </c>
      <c r="C159" t="b">
        <v>1</v>
      </c>
      <c r="D159">
        <v>8048</v>
      </c>
      <c r="E159">
        <v>8117</v>
      </c>
      <c r="F159">
        <v>8</v>
      </c>
      <c r="G159">
        <v>6.8</v>
      </c>
      <c r="H159">
        <v>1.1764705</v>
      </c>
      <c r="I159">
        <v>-0.17647055</v>
      </c>
      <c r="J159">
        <v>0.45945944999999999</v>
      </c>
    </row>
    <row r="160" spans="1:10" x14ac:dyDescent="0.3">
      <c r="A160">
        <v>158</v>
      </c>
      <c r="B160">
        <v>2522</v>
      </c>
      <c r="C160" t="b">
        <v>1</v>
      </c>
      <c r="D160">
        <v>8048</v>
      </c>
      <c r="E160">
        <v>8117</v>
      </c>
      <c r="F160">
        <v>8</v>
      </c>
      <c r="G160">
        <v>6.4</v>
      </c>
      <c r="H160">
        <v>1.25</v>
      </c>
      <c r="I160">
        <v>-0.24999999000000001</v>
      </c>
      <c r="J160">
        <v>0.44444447999999998</v>
      </c>
    </row>
    <row r="161" spans="1:10" x14ac:dyDescent="0.3">
      <c r="A161">
        <v>159</v>
      </c>
      <c r="B161">
        <v>2538</v>
      </c>
      <c r="C161" t="b">
        <v>1</v>
      </c>
      <c r="D161">
        <v>8048</v>
      </c>
      <c r="E161">
        <v>8123</v>
      </c>
      <c r="F161">
        <v>8</v>
      </c>
      <c r="G161">
        <v>6</v>
      </c>
      <c r="H161">
        <v>1.3333333999999999</v>
      </c>
      <c r="I161">
        <v>-0.33333333999999998</v>
      </c>
      <c r="J161">
        <v>0.42857142999999998</v>
      </c>
    </row>
    <row r="162" spans="1:10" x14ac:dyDescent="0.3">
      <c r="A162">
        <v>160</v>
      </c>
      <c r="B162">
        <v>2554</v>
      </c>
      <c r="C162" t="b">
        <v>1</v>
      </c>
      <c r="D162">
        <v>8042</v>
      </c>
      <c r="E162">
        <v>8123</v>
      </c>
      <c r="F162">
        <v>8</v>
      </c>
      <c r="G162">
        <v>5.6</v>
      </c>
      <c r="H162">
        <v>1.4285715000000001</v>
      </c>
      <c r="I162">
        <v>-0.42857146000000002</v>
      </c>
      <c r="J162">
        <v>0.41176467999999999</v>
      </c>
    </row>
    <row r="163" spans="1:10" x14ac:dyDescent="0.3">
      <c r="A163">
        <v>161</v>
      </c>
      <c r="B163">
        <v>2570</v>
      </c>
      <c r="C163" t="b">
        <v>1</v>
      </c>
      <c r="D163">
        <v>8048</v>
      </c>
      <c r="E163">
        <v>8123</v>
      </c>
      <c r="F163">
        <v>8</v>
      </c>
      <c r="G163">
        <v>5.6</v>
      </c>
      <c r="H163">
        <v>1.4285715000000001</v>
      </c>
      <c r="I163">
        <v>-0.42857146000000002</v>
      </c>
      <c r="J163">
        <v>0.41176467999999999</v>
      </c>
    </row>
    <row r="164" spans="1:10" x14ac:dyDescent="0.3">
      <c r="A164">
        <v>162</v>
      </c>
      <c r="B164">
        <v>2586</v>
      </c>
      <c r="C164" t="b">
        <v>1</v>
      </c>
      <c r="D164">
        <v>8048</v>
      </c>
      <c r="E164">
        <v>8123</v>
      </c>
      <c r="F164">
        <v>8</v>
      </c>
      <c r="G164">
        <v>5.6</v>
      </c>
      <c r="H164">
        <v>1.4285715000000001</v>
      </c>
      <c r="I164">
        <v>-0.42857146000000002</v>
      </c>
      <c r="J164">
        <v>0.41176467999999999</v>
      </c>
    </row>
    <row r="165" spans="1:10" x14ac:dyDescent="0.3">
      <c r="A165">
        <v>163</v>
      </c>
      <c r="B165">
        <v>2602</v>
      </c>
      <c r="C165" t="b">
        <v>1</v>
      </c>
      <c r="D165">
        <v>8048</v>
      </c>
      <c r="E165">
        <v>8123</v>
      </c>
      <c r="F165">
        <v>8</v>
      </c>
      <c r="G165">
        <v>5.6</v>
      </c>
      <c r="H165">
        <v>1.4285715000000001</v>
      </c>
      <c r="I165">
        <v>-0.42857146000000002</v>
      </c>
      <c r="J165">
        <v>0.41176467999999999</v>
      </c>
    </row>
    <row r="166" spans="1:10" x14ac:dyDescent="0.3">
      <c r="A166">
        <v>164</v>
      </c>
      <c r="B166">
        <v>2617</v>
      </c>
      <c r="C166" t="b">
        <v>1</v>
      </c>
      <c r="D166">
        <v>8048</v>
      </c>
      <c r="E166">
        <v>8123</v>
      </c>
      <c r="F166">
        <v>8</v>
      </c>
      <c r="G166">
        <v>5.6</v>
      </c>
      <c r="H166">
        <v>1.4285715000000001</v>
      </c>
      <c r="I166">
        <v>-0.42857146000000002</v>
      </c>
      <c r="J166">
        <v>0.41176467999999999</v>
      </c>
    </row>
    <row r="167" spans="1:10" x14ac:dyDescent="0.3">
      <c r="A167">
        <v>165</v>
      </c>
      <c r="B167">
        <v>2633</v>
      </c>
      <c r="C167" t="b">
        <v>1</v>
      </c>
      <c r="D167">
        <v>8048</v>
      </c>
      <c r="E167">
        <v>8123</v>
      </c>
      <c r="F167">
        <v>8</v>
      </c>
      <c r="G167">
        <v>5.6</v>
      </c>
      <c r="H167">
        <v>1.4285715000000001</v>
      </c>
      <c r="I167">
        <v>-0.42857146000000002</v>
      </c>
      <c r="J167">
        <v>0.41176467999999999</v>
      </c>
    </row>
    <row r="168" spans="1:10" x14ac:dyDescent="0.3">
      <c r="A168">
        <v>166</v>
      </c>
      <c r="B168">
        <v>2649</v>
      </c>
      <c r="C168" t="b">
        <v>1</v>
      </c>
      <c r="D168">
        <v>8048</v>
      </c>
      <c r="E168">
        <v>8123</v>
      </c>
      <c r="F168">
        <v>8</v>
      </c>
      <c r="G168">
        <v>5.6</v>
      </c>
      <c r="H168">
        <v>1.4285715000000001</v>
      </c>
      <c r="I168">
        <v>-0.42857146000000002</v>
      </c>
      <c r="J168">
        <v>0.41176467999999999</v>
      </c>
    </row>
    <row r="169" spans="1:10" x14ac:dyDescent="0.3">
      <c r="A169">
        <v>167</v>
      </c>
      <c r="B169">
        <v>2665</v>
      </c>
      <c r="C169" t="b">
        <v>1</v>
      </c>
      <c r="D169">
        <v>8048</v>
      </c>
      <c r="E169">
        <v>8123</v>
      </c>
      <c r="F169">
        <v>8</v>
      </c>
      <c r="G169">
        <v>5.6</v>
      </c>
      <c r="H169">
        <v>1.4285715000000001</v>
      </c>
      <c r="I169">
        <v>-0.42857146000000002</v>
      </c>
      <c r="J169">
        <v>0.41176467999999999</v>
      </c>
    </row>
    <row r="170" spans="1:10" x14ac:dyDescent="0.3">
      <c r="A170">
        <v>168</v>
      </c>
      <c r="B170">
        <v>2681</v>
      </c>
      <c r="C170" t="b">
        <v>1</v>
      </c>
      <c r="D170">
        <v>8048</v>
      </c>
      <c r="E170">
        <v>8123</v>
      </c>
      <c r="F170">
        <v>8</v>
      </c>
      <c r="G170">
        <v>5.6</v>
      </c>
      <c r="H170">
        <v>1.4285715000000001</v>
      </c>
      <c r="I170">
        <v>-0.42857146000000002</v>
      </c>
      <c r="J170">
        <v>0.41176467999999999</v>
      </c>
    </row>
    <row r="171" spans="1:10" x14ac:dyDescent="0.3">
      <c r="A171">
        <v>169</v>
      </c>
      <c r="B171">
        <v>2697</v>
      </c>
      <c r="C171" t="b">
        <v>1</v>
      </c>
      <c r="D171">
        <v>8048</v>
      </c>
      <c r="E171">
        <v>8123</v>
      </c>
      <c r="F171">
        <v>8</v>
      </c>
      <c r="G171">
        <v>5.6</v>
      </c>
      <c r="H171">
        <v>1.4285715000000001</v>
      </c>
      <c r="I171">
        <v>-0.42857146000000002</v>
      </c>
      <c r="J171">
        <v>0.41176467999999999</v>
      </c>
    </row>
    <row r="172" spans="1:10" x14ac:dyDescent="0.3">
      <c r="A172">
        <v>170</v>
      </c>
      <c r="B172">
        <v>2713</v>
      </c>
      <c r="C172" t="b">
        <v>1</v>
      </c>
      <c r="D172">
        <v>8048</v>
      </c>
      <c r="E172">
        <v>8123</v>
      </c>
      <c r="F172">
        <v>8</v>
      </c>
      <c r="G172">
        <v>6</v>
      </c>
      <c r="H172">
        <v>1.3333333999999999</v>
      </c>
      <c r="I172">
        <v>-0.33333333999999998</v>
      </c>
      <c r="J172">
        <v>0.42857142999999998</v>
      </c>
    </row>
    <row r="173" spans="1:10" x14ac:dyDescent="0.3">
      <c r="A173">
        <v>171</v>
      </c>
      <c r="B173">
        <v>2729</v>
      </c>
      <c r="C173" t="b">
        <v>1</v>
      </c>
      <c r="D173">
        <v>8048</v>
      </c>
      <c r="E173">
        <v>8123</v>
      </c>
      <c r="F173">
        <v>8</v>
      </c>
      <c r="G173">
        <v>6.4</v>
      </c>
      <c r="H173">
        <v>1.25</v>
      </c>
      <c r="I173">
        <v>-0.24999999000000001</v>
      </c>
      <c r="J173">
        <v>0.44444447999999998</v>
      </c>
    </row>
    <row r="174" spans="1:10" x14ac:dyDescent="0.3">
      <c r="A174">
        <v>172</v>
      </c>
      <c r="B174">
        <v>2745</v>
      </c>
      <c r="C174" t="b">
        <v>1</v>
      </c>
      <c r="D174">
        <v>8042</v>
      </c>
      <c r="E174">
        <v>8129</v>
      </c>
      <c r="F174">
        <v>8</v>
      </c>
      <c r="G174">
        <v>6.8</v>
      </c>
      <c r="H174">
        <v>1.1764705</v>
      </c>
      <c r="I174">
        <v>-0.17647055</v>
      </c>
      <c r="J174">
        <v>0.45945944999999999</v>
      </c>
    </row>
    <row r="175" spans="1:10" x14ac:dyDescent="0.3">
      <c r="A175">
        <v>173</v>
      </c>
      <c r="B175">
        <v>2761</v>
      </c>
      <c r="C175" t="b">
        <v>1</v>
      </c>
      <c r="D175">
        <v>8048</v>
      </c>
      <c r="E175">
        <v>8123</v>
      </c>
      <c r="F175">
        <v>8</v>
      </c>
      <c r="G175">
        <v>7.2</v>
      </c>
      <c r="H175">
        <v>1.1111112000000001</v>
      </c>
      <c r="I175">
        <v>-0.11111114</v>
      </c>
      <c r="J175">
        <v>0.4736842</v>
      </c>
    </row>
    <row r="176" spans="1:10" x14ac:dyDescent="0.3">
      <c r="A176">
        <v>174</v>
      </c>
      <c r="B176">
        <v>2777</v>
      </c>
      <c r="C176" t="b">
        <v>1</v>
      </c>
      <c r="D176">
        <v>8048</v>
      </c>
      <c r="E176">
        <v>8123</v>
      </c>
      <c r="F176">
        <v>8</v>
      </c>
      <c r="G176">
        <v>7.6</v>
      </c>
      <c r="H176">
        <v>1.0526316</v>
      </c>
      <c r="I176">
        <v>-5.2631589999999999E-2</v>
      </c>
      <c r="J176">
        <v>0.48717946000000001</v>
      </c>
    </row>
    <row r="177" spans="1:10" x14ac:dyDescent="0.3">
      <c r="A177">
        <v>175</v>
      </c>
      <c r="B177">
        <v>2793</v>
      </c>
      <c r="C177" t="b">
        <v>1</v>
      </c>
      <c r="D177">
        <v>8054</v>
      </c>
      <c r="E177">
        <v>8123</v>
      </c>
      <c r="F177">
        <v>8</v>
      </c>
      <c r="G177">
        <v>8</v>
      </c>
      <c r="H177">
        <v>1</v>
      </c>
      <c r="I177">
        <v>0</v>
      </c>
      <c r="J177">
        <v>0.5</v>
      </c>
    </row>
    <row r="178" spans="1:10" x14ac:dyDescent="0.3">
      <c r="A178">
        <v>176</v>
      </c>
      <c r="B178">
        <v>2809</v>
      </c>
      <c r="C178" t="b">
        <v>1</v>
      </c>
      <c r="D178">
        <v>8048</v>
      </c>
      <c r="E178">
        <v>8123</v>
      </c>
      <c r="F178">
        <v>8</v>
      </c>
      <c r="G178">
        <v>8</v>
      </c>
      <c r="H178">
        <v>1</v>
      </c>
      <c r="I178">
        <v>0</v>
      </c>
      <c r="J178">
        <v>0.5</v>
      </c>
    </row>
    <row r="179" spans="1:10" x14ac:dyDescent="0.3">
      <c r="A179">
        <v>177</v>
      </c>
      <c r="B179">
        <v>2825</v>
      </c>
      <c r="C179" t="b">
        <v>1</v>
      </c>
      <c r="D179">
        <v>8048</v>
      </c>
      <c r="E179">
        <v>8123</v>
      </c>
      <c r="F179">
        <v>8</v>
      </c>
      <c r="G179">
        <v>8</v>
      </c>
      <c r="H179">
        <v>1</v>
      </c>
      <c r="I179">
        <v>0</v>
      </c>
      <c r="J179">
        <v>0.5</v>
      </c>
    </row>
    <row r="180" spans="1:10" x14ac:dyDescent="0.3">
      <c r="A180">
        <v>178</v>
      </c>
      <c r="B180">
        <v>2841</v>
      </c>
      <c r="C180" t="b">
        <v>1</v>
      </c>
      <c r="D180">
        <v>8048</v>
      </c>
      <c r="E180">
        <v>8117</v>
      </c>
      <c r="F180">
        <v>8</v>
      </c>
      <c r="G180">
        <v>8</v>
      </c>
      <c r="H180">
        <v>1</v>
      </c>
      <c r="I180">
        <v>0</v>
      </c>
      <c r="J180">
        <v>0.5</v>
      </c>
    </row>
    <row r="181" spans="1:10" x14ac:dyDescent="0.3">
      <c r="A181">
        <v>179</v>
      </c>
      <c r="B181">
        <v>2857</v>
      </c>
      <c r="C181" t="b">
        <v>1</v>
      </c>
      <c r="D181">
        <v>8048</v>
      </c>
      <c r="E181">
        <v>8117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2873</v>
      </c>
      <c r="C182" t="b">
        <v>1</v>
      </c>
      <c r="D182">
        <v>8048</v>
      </c>
      <c r="E182">
        <v>8117</v>
      </c>
      <c r="F182">
        <v>8</v>
      </c>
      <c r="G182">
        <v>7.6</v>
      </c>
      <c r="H182">
        <v>1.0526316</v>
      </c>
      <c r="I182">
        <v>-5.2631589999999999E-2</v>
      </c>
      <c r="J182">
        <v>0.48717946000000001</v>
      </c>
    </row>
    <row r="183" spans="1:10" x14ac:dyDescent="0.3">
      <c r="A183">
        <v>181</v>
      </c>
      <c r="B183">
        <v>2889</v>
      </c>
      <c r="C183" t="b">
        <v>1</v>
      </c>
      <c r="D183">
        <v>8048</v>
      </c>
      <c r="E183">
        <v>8123</v>
      </c>
      <c r="F183">
        <v>8</v>
      </c>
      <c r="G183">
        <v>7.2</v>
      </c>
      <c r="H183">
        <v>1.1111112000000001</v>
      </c>
      <c r="I183">
        <v>-0.11111114</v>
      </c>
      <c r="J183">
        <v>0.4736842</v>
      </c>
    </row>
    <row r="184" spans="1:10" x14ac:dyDescent="0.3">
      <c r="A184">
        <v>182</v>
      </c>
      <c r="B184">
        <v>2905</v>
      </c>
      <c r="C184" t="b">
        <v>1</v>
      </c>
      <c r="D184">
        <v>8048</v>
      </c>
      <c r="E184">
        <v>8117</v>
      </c>
      <c r="F184">
        <v>8</v>
      </c>
      <c r="G184">
        <v>6.8</v>
      </c>
      <c r="H184">
        <v>1.1764705</v>
      </c>
      <c r="I184">
        <v>-0.17647055</v>
      </c>
      <c r="J184">
        <v>0.45945944999999999</v>
      </c>
    </row>
    <row r="185" spans="1:10" x14ac:dyDescent="0.3">
      <c r="A185">
        <v>183</v>
      </c>
      <c r="B185">
        <v>2920</v>
      </c>
      <c r="C185" t="b">
        <v>1</v>
      </c>
      <c r="D185">
        <v>8048</v>
      </c>
      <c r="E185">
        <v>8117</v>
      </c>
      <c r="F185">
        <v>8</v>
      </c>
      <c r="G185">
        <v>6.4</v>
      </c>
      <c r="H185">
        <v>1.25</v>
      </c>
      <c r="I185">
        <v>-0.24999999000000001</v>
      </c>
      <c r="J185">
        <v>0.44444447999999998</v>
      </c>
    </row>
    <row r="186" spans="1:10" x14ac:dyDescent="0.3">
      <c r="A186">
        <v>184</v>
      </c>
      <c r="B186">
        <v>2936</v>
      </c>
      <c r="C186" t="b">
        <v>1</v>
      </c>
      <c r="D186">
        <v>8042</v>
      </c>
      <c r="E186">
        <v>8123</v>
      </c>
      <c r="F186">
        <v>8</v>
      </c>
      <c r="G186">
        <v>6</v>
      </c>
      <c r="H186">
        <v>1.3333333999999999</v>
      </c>
      <c r="I186">
        <v>-0.33333333999999998</v>
      </c>
      <c r="J186">
        <v>0.42857142999999998</v>
      </c>
    </row>
    <row r="187" spans="1:10" x14ac:dyDescent="0.3">
      <c r="A187">
        <v>185</v>
      </c>
      <c r="B187">
        <v>2952</v>
      </c>
      <c r="C187" t="b">
        <v>1</v>
      </c>
      <c r="D187">
        <v>8048</v>
      </c>
      <c r="E187">
        <v>8134</v>
      </c>
      <c r="F187">
        <v>8</v>
      </c>
      <c r="G187">
        <v>6</v>
      </c>
      <c r="H187">
        <v>1.3333333999999999</v>
      </c>
      <c r="I187">
        <v>-0.33333333999999998</v>
      </c>
      <c r="J187">
        <v>0.42857142999999998</v>
      </c>
    </row>
    <row r="188" spans="1:10" x14ac:dyDescent="0.3">
      <c r="A188">
        <v>186</v>
      </c>
      <c r="B188">
        <v>2968</v>
      </c>
      <c r="C188" t="b">
        <v>1</v>
      </c>
      <c r="D188">
        <v>8048</v>
      </c>
      <c r="E188">
        <v>8123</v>
      </c>
      <c r="F188">
        <v>8</v>
      </c>
      <c r="G188">
        <v>6</v>
      </c>
      <c r="H188">
        <v>1.3333333999999999</v>
      </c>
      <c r="I188">
        <v>-0.33333333999999998</v>
      </c>
      <c r="J188">
        <v>0.42857142999999998</v>
      </c>
    </row>
    <row r="189" spans="1:10" x14ac:dyDescent="0.3">
      <c r="A189">
        <v>187</v>
      </c>
      <c r="B189">
        <v>2984</v>
      </c>
      <c r="C189" t="b">
        <v>1</v>
      </c>
      <c r="D189">
        <v>8048</v>
      </c>
      <c r="E189">
        <v>8123</v>
      </c>
      <c r="F189">
        <v>8</v>
      </c>
      <c r="G189">
        <v>6</v>
      </c>
      <c r="H189">
        <v>1.3333333999999999</v>
      </c>
      <c r="I189">
        <v>-0.33333333999999998</v>
      </c>
      <c r="J189">
        <v>0.42857142999999998</v>
      </c>
    </row>
    <row r="190" spans="1:10" x14ac:dyDescent="0.3">
      <c r="A190">
        <v>188</v>
      </c>
      <c r="B190">
        <v>3000</v>
      </c>
      <c r="C190" t="b">
        <v>1</v>
      </c>
      <c r="D190">
        <v>8048</v>
      </c>
      <c r="E190">
        <v>8123</v>
      </c>
      <c r="F190">
        <v>8</v>
      </c>
      <c r="G190">
        <v>6</v>
      </c>
      <c r="H190">
        <v>1.3333333999999999</v>
      </c>
      <c r="I190">
        <v>-0.33333333999999998</v>
      </c>
      <c r="J190">
        <v>0.42857142999999998</v>
      </c>
    </row>
    <row r="191" spans="1:10" x14ac:dyDescent="0.3">
      <c r="A191">
        <v>189</v>
      </c>
      <c r="B191">
        <v>3015</v>
      </c>
      <c r="C191" t="b">
        <v>1</v>
      </c>
      <c r="D191">
        <v>8048</v>
      </c>
      <c r="E191">
        <v>8123</v>
      </c>
      <c r="F191">
        <v>8</v>
      </c>
      <c r="G191">
        <v>6</v>
      </c>
      <c r="H191">
        <v>1.3333333999999999</v>
      </c>
      <c r="I191">
        <v>-0.33333333999999998</v>
      </c>
      <c r="J191">
        <v>0.42857142999999998</v>
      </c>
    </row>
    <row r="192" spans="1:10" x14ac:dyDescent="0.3">
      <c r="A192">
        <v>190</v>
      </c>
      <c r="B192">
        <v>3031</v>
      </c>
      <c r="C192" t="b">
        <v>1</v>
      </c>
      <c r="D192">
        <v>8048</v>
      </c>
      <c r="E192">
        <v>8129</v>
      </c>
      <c r="F192">
        <v>8</v>
      </c>
      <c r="G192">
        <v>6</v>
      </c>
      <c r="H192">
        <v>1.3333333999999999</v>
      </c>
      <c r="I192">
        <v>-0.33333333999999998</v>
      </c>
      <c r="J192">
        <v>0.42857142999999998</v>
      </c>
    </row>
    <row r="193" spans="1:10" x14ac:dyDescent="0.3">
      <c r="A193">
        <v>191</v>
      </c>
      <c r="B193">
        <v>3047</v>
      </c>
      <c r="C193" t="b">
        <v>1</v>
      </c>
      <c r="D193">
        <v>8048</v>
      </c>
      <c r="E193">
        <v>8123</v>
      </c>
      <c r="F193">
        <v>8</v>
      </c>
      <c r="G193">
        <v>6</v>
      </c>
      <c r="H193">
        <v>1.3333333999999999</v>
      </c>
      <c r="I193">
        <v>-0.33333333999999998</v>
      </c>
      <c r="J193">
        <v>0.42857142999999998</v>
      </c>
    </row>
    <row r="194" spans="1:10" x14ac:dyDescent="0.3">
      <c r="A194">
        <v>192</v>
      </c>
      <c r="B194">
        <v>3063</v>
      </c>
      <c r="C194" t="b">
        <v>1</v>
      </c>
      <c r="D194">
        <v>8048</v>
      </c>
      <c r="E194">
        <v>8123</v>
      </c>
      <c r="F194">
        <v>8</v>
      </c>
      <c r="G194">
        <v>6</v>
      </c>
      <c r="H194">
        <v>1.3333333999999999</v>
      </c>
      <c r="I194">
        <v>-0.33333333999999998</v>
      </c>
      <c r="J194">
        <v>0.42857142999999998</v>
      </c>
    </row>
    <row r="195" spans="1:10" x14ac:dyDescent="0.3">
      <c r="A195">
        <v>193</v>
      </c>
      <c r="B195">
        <v>3079</v>
      </c>
      <c r="C195" t="b">
        <v>1</v>
      </c>
      <c r="D195">
        <v>8048</v>
      </c>
      <c r="E195">
        <v>8123</v>
      </c>
      <c r="F195">
        <v>8</v>
      </c>
      <c r="G195">
        <v>6</v>
      </c>
      <c r="H195">
        <v>1.3333333999999999</v>
      </c>
      <c r="I195">
        <v>-0.33333333999999998</v>
      </c>
      <c r="J195">
        <v>0.42857142999999998</v>
      </c>
    </row>
    <row r="196" spans="1:10" x14ac:dyDescent="0.3">
      <c r="A196">
        <v>194</v>
      </c>
      <c r="B196">
        <v>3095</v>
      </c>
      <c r="C196" t="b">
        <v>1</v>
      </c>
      <c r="D196">
        <v>8048</v>
      </c>
      <c r="E196">
        <v>8123</v>
      </c>
      <c r="F196">
        <v>8</v>
      </c>
      <c r="G196">
        <v>6</v>
      </c>
      <c r="H196">
        <v>1.3333333999999999</v>
      </c>
      <c r="I196">
        <v>-0.33333333999999998</v>
      </c>
      <c r="J196">
        <v>0.42857142999999998</v>
      </c>
    </row>
    <row r="197" spans="1:10" x14ac:dyDescent="0.3">
      <c r="A197">
        <v>195</v>
      </c>
      <c r="B197">
        <v>3111</v>
      </c>
      <c r="C197" t="b">
        <v>1</v>
      </c>
      <c r="D197">
        <v>8048</v>
      </c>
      <c r="E197">
        <v>8117</v>
      </c>
      <c r="F197">
        <v>8</v>
      </c>
      <c r="G197">
        <v>6.4</v>
      </c>
      <c r="H197">
        <v>1.25</v>
      </c>
      <c r="I197">
        <v>-0.24999999000000001</v>
      </c>
      <c r="J197">
        <v>0.44444447999999998</v>
      </c>
    </row>
    <row r="198" spans="1:10" x14ac:dyDescent="0.3">
      <c r="A198">
        <v>196</v>
      </c>
      <c r="B198">
        <v>3127</v>
      </c>
      <c r="C198" t="b">
        <v>1</v>
      </c>
      <c r="D198">
        <v>8048</v>
      </c>
      <c r="E198">
        <v>8123</v>
      </c>
      <c r="F198">
        <v>8</v>
      </c>
      <c r="G198">
        <v>6.8</v>
      </c>
      <c r="H198">
        <v>1.1764705</v>
      </c>
      <c r="I198">
        <v>-0.17647055</v>
      </c>
      <c r="J198">
        <v>0.45945944999999999</v>
      </c>
    </row>
    <row r="199" spans="1:10" x14ac:dyDescent="0.3">
      <c r="A199">
        <v>197</v>
      </c>
      <c r="B199">
        <v>3142</v>
      </c>
      <c r="C199" t="b">
        <v>1</v>
      </c>
      <c r="D199">
        <v>8048</v>
      </c>
      <c r="E199">
        <v>8123</v>
      </c>
      <c r="F199">
        <v>8</v>
      </c>
      <c r="G199">
        <v>7.2</v>
      </c>
      <c r="H199">
        <v>1.1111112000000001</v>
      </c>
      <c r="I199">
        <v>-0.11111114</v>
      </c>
      <c r="J199">
        <v>0.4736842</v>
      </c>
    </row>
    <row r="200" spans="1:10" x14ac:dyDescent="0.3">
      <c r="A200">
        <v>198</v>
      </c>
      <c r="B200">
        <v>3158</v>
      </c>
      <c r="C200" t="b">
        <v>1</v>
      </c>
      <c r="D200">
        <v>8048</v>
      </c>
      <c r="E200">
        <v>8123</v>
      </c>
      <c r="F200">
        <v>8</v>
      </c>
      <c r="G200">
        <v>7.6</v>
      </c>
      <c r="H200">
        <v>1.0526316</v>
      </c>
      <c r="I200">
        <v>-5.2631589999999999E-2</v>
      </c>
      <c r="J200">
        <v>0.48717946000000001</v>
      </c>
    </row>
    <row r="201" spans="1:10" x14ac:dyDescent="0.3">
      <c r="A201">
        <v>199</v>
      </c>
      <c r="B201">
        <v>3174</v>
      </c>
      <c r="C201" t="b">
        <v>1</v>
      </c>
      <c r="D201">
        <v>8048</v>
      </c>
      <c r="E201">
        <v>8123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3190</v>
      </c>
      <c r="C202" t="b">
        <v>1</v>
      </c>
      <c r="D202">
        <v>8048</v>
      </c>
      <c r="E202">
        <v>8123</v>
      </c>
      <c r="F202">
        <v>8</v>
      </c>
      <c r="G202">
        <v>8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3206</v>
      </c>
      <c r="C203" t="b">
        <v>1</v>
      </c>
      <c r="D203">
        <v>8048</v>
      </c>
      <c r="E203">
        <v>8123</v>
      </c>
      <c r="F203">
        <v>8</v>
      </c>
      <c r="G203">
        <v>8</v>
      </c>
      <c r="H203">
        <v>1</v>
      </c>
      <c r="I203">
        <v>0</v>
      </c>
      <c r="J203">
        <v>0.5</v>
      </c>
    </row>
    <row r="204" spans="1:10" x14ac:dyDescent="0.3">
      <c r="A204">
        <v>202</v>
      </c>
      <c r="B204">
        <v>3222</v>
      </c>
      <c r="C204" t="b">
        <v>1</v>
      </c>
      <c r="D204">
        <v>8054</v>
      </c>
      <c r="E204">
        <v>8129</v>
      </c>
      <c r="F204">
        <v>8</v>
      </c>
      <c r="G204">
        <v>8</v>
      </c>
      <c r="H204">
        <v>1</v>
      </c>
      <c r="I204">
        <v>0</v>
      </c>
      <c r="J204">
        <v>0.5</v>
      </c>
    </row>
    <row r="205" spans="1:10" x14ac:dyDescent="0.3">
      <c r="A205">
        <v>203</v>
      </c>
      <c r="B205">
        <v>3238</v>
      </c>
      <c r="C205" t="b">
        <v>1</v>
      </c>
      <c r="D205">
        <v>8048</v>
      </c>
      <c r="E205">
        <v>8123</v>
      </c>
      <c r="F205">
        <v>8</v>
      </c>
      <c r="G205">
        <v>8</v>
      </c>
      <c r="H205">
        <v>1</v>
      </c>
      <c r="I205">
        <v>0</v>
      </c>
      <c r="J205">
        <v>0.5</v>
      </c>
    </row>
    <row r="206" spans="1:10" x14ac:dyDescent="0.3">
      <c r="A206">
        <v>204</v>
      </c>
      <c r="B206">
        <v>3254</v>
      </c>
      <c r="C206" t="b">
        <v>1</v>
      </c>
      <c r="D206">
        <v>8054</v>
      </c>
      <c r="E206">
        <v>8123</v>
      </c>
      <c r="F206">
        <v>8</v>
      </c>
      <c r="G206">
        <v>8</v>
      </c>
      <c r="H206">
        <v>1</v>
      </c>
      <c r="I206">
        <v>0</v>
      </c>
      <c r="J206">
        <v>0.5</v>
      </c>
    </row>
    <row r="207" spans="1:10" x14ac:dyDescent="0.3">
      <c r="A207">
        <v>205</v>
      </c>
      <c r="B207">
        <v>3269</v>
      </c>
      <c r="C207" t="b">
        <v>1</v>
      </c>
      <c r="D207">
        <v>8048</v>
      </c>
      <c r="E207">
        <v>8123</v>
      </c>
      <c r="F207">
        <v>8</v>
      </c>
      <c r="G207">
        <v>8</v>
      </c>
      <c r="H207">
        <v>1</v>
      </c>
      <c r="I207">
        <v>0</v>
      </c>
      <c r="J207">
        <v>0.5</v>
      </c>
    </row>
    <row r="208" spans="1:10" x14ac:dyDescent="0.3">
      <c r="A208">
        <v>206</v>
      </c>
      <c r="B208">
        <v>3285</v>
      </c>
      <c r="C208" t="b">
        <v>1</v>
      </c>
      <c r="D208">
        <v>8048</v>
      </c>
      <c r="E208">
        <v>8123</v>
      </c>
      <c r="F208">
        <v>8</v>
      </c>
      <c r="G208">
        <v>8</v>
      </c>
      <c r="H208">
        <v>1</v>
      </c>
      <c r="I208">
        <v>0</v>
      </c>
      <c r="J208">
        <v>0.5</v>
      </c>
    </row>
    <row r="209" spans="1:10" x14ac:dyDescent="0.3">
      <c r="A209">
        <v>207</v>
      </c>
      <c r="B209">
        <v>3301</v>
      </c>
      <c r="C209" t="b">
        <v>1</v>
      </c>
      <c r="D209">
        <v>8048</v>
      </c>
      <c r="E209">
        <v>8123</v>
      </c>
      <c r="F209">
        <v>8</v>
      </c>
      <c r="G209">
        <v>8</v>
      </c>
      <c r="H209">
        <v>1</v>
      </c>
      <c r="I209">
        <v>0</v>
      </c>
      <c r="J209">
        <v>0.5</v>
      </c>
    </row>
    <row r="210" spans="1:10" x14ac:dyDescent="0.3">
      <c r="A210">
        <v>208</v>
      </c>
      <c r="B210">
        <v>3317</v>
      </c>
      <c r="C210" t="b">
        <v>1</v>
      </c>
      <c r="D210">
        <v>8048</v>
      </c>
      <c r="E210">
        <v>8123</v>
      </c>
      <c r="F210">
        <v>8</v>
      </c>
      <c r="G210">
        <v>8</v>
      </c>
      <c r="H210">
        <v>1</v>
      </c>
      <c r="I210">
        <v>0</v>
      </c>
      <c r="J210">
        <v>0.5</v>
      </c>
    </row>
    <row r="211" spans="1:10" x14ac:dyDescent="0.3">
      <c r="A211">
        <v>209</v>
      </c>
      <c r="B211">
        <v>3333</v>
      </c>
      <c r="C211" t="b">
        <v>1</v>
      </c>
      <c r="D211">
        <v>8042</v>
      </c>
      <c r="E211">
        <v>8129</v>
      </c>
      <c r="F211">
        <v>8</v>
      </c>
      <c r="G211">
        <v>8</v>
      </c>
      <c r="H211">
        <v>1</v>
      </c>
      <c r="I211">
        <v>0</v>
      </c>
      <c r="J211">
        <v>0.5</v>
      </c>
    </row>
    <row r="212" spans="1:10" x14ac:dyDescent="0.3">
      <c r="A212">
        <v>210</v>
      </c>
      <c r="B212">
        <v>3348</v>
      </c>
      <c r="C212" t="b">
        <v>1</v>
      </c>
      <c r="D212">
        <v>8048</v>
      </c>
      <c r="E212">
        <v>8129</v>
      </c>
      <c r="F212">
        <v>8</v>
      </c>
      <c r="G212">
        <v>8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3364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3380</v>
      </c>
      <c r="C214" t="b">
        <v>1</v>
      </c>
      <c r="D214">
        <v>8054</v>
      </c>
      <c r="E214">
        <v>8123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3396</v>
      </c>
      <c r="C215" t="b">
        <v>1</v>
      </c>
      <c r="D215">
        <v>8048</v>
      </c>
      <c r="E215">
        <v>8123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3412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3428</v>
      </c>
      <c r="C217" t="b">
        <v>1</v>
      </c>
      <c r="D217">
        <v>8054</v>
      </c>
      <c r="E217">
        <v>8123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3444</v>
      </c>
      <c r="C218" t="b">
        <v>1</v>
      </c>
      <c r="D218">
        <v>8048</v>
      </c>
      <c r="E218">
        <v>8129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3460</v>
      </c>
      <c r="C219" t="b">
        <v>1</v>
      </c>
      <c r="D219">
        <v>8048</v>
      </c>
      <c r="E219">
        <v>8129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3476</v>
      </c>
      <c r="C220" t="b">
        <v>1</v>
      </c>
      <c r="D220">
        <v>8054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3492</v>
      </c>
      <c r="C221" t="b">
        <v>1</v>
      </c>
      <c r="D221">
        <v>8048</v>
      </c>
      <c r="E221">
        <v>8123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3508</v>
      </c>
      <c r="C222" t="b">
        <v>1</v>
      </c>
      <c r="D222">
        <v>8048</v>
      </c>
      <c r="E222">
        <v>8123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3524</v>
      </c>
      <c r="C223" t="b">
        <v>1</v>
      </c>
      <c r="D223">
        <v>8048</v>
      </c>
      <c r="E223">
        <v>8123</v>
      </c>
      <c r="F223">
        <v>8</v>
      </c>
      <c r="G223">
        <v>8</v>
      </c>
      <c r="H223">
        <v>1</v>
      </c>
      <c r="I223">
        <v>0</v>
      </c>
      <c r="J223">
        <v>0.5</v>
      </c>
    </row>
    <row r="224" spans="1:10" x14ac:dyDescent="0.3">
      <c r="A224">
        <v>222</v>
      </c>
      <c r="B224">
        <v>3539</v>
      </c>
      <c r="C224" t="b">
        <v>1</v>
      </c>
      <c r="D224">
        <v>8048</v>
      </c>
      <c r="E224">
        <v>8123</v>
      </c>
      <c r="F224">
        <v>8</v>
      </c>
      <c r="G224">
        <v>8</v>
      </c>
      <c r="H224">
        <v>1</v>
      </c>
      <c r="I224">
        <v>0</v>
      </c>
      <c r="J224">
        <v>0.5</v>
      </c>
    </row>
    <row r="225" spans="1:10" x14ac:dyDescent="0.3">
      <c r="A225">
        <v>223</v>
      </c>
      <c r="B225">
        <v>3555</v>
      </c>
      <c r="C225" t="b">
        <v>1</v>
      </c>
      <c r="D225">
        <v>8048</v>
      </c>
      <c r="E225">
        <v>8129</v>
      </c>
      <c r="F225">
        <v>8</v>
      </c>
      <c r="G225">
        <v>8</v>
      </c>
      <c r="H225">
        <v>1</v>
      </c>
      <c r="I225">
        <v>0</v>
      </c>
      <c r="J225">
        <v>0.5</v>
      </c>
    </row>
    <row r="226" spans="1:10" x14ac:dyDescent="0.3">
      <c r="A226">
        <v>224</v>
      </c>
      <c r="B226">
        <v>3571</v>
      </c>
      <c r="C226" t="b">
        <v>1</v>
      </c>
      <c r="D226">
        <v>8048</v>
      </c>
      <c r="E226">
        <v>8123</v>
      </c>
      <c r="F226">
        <v>8</v>
      </c>
      <c r="G226">
        <v>8</v>
      </c>
      <c r="H226">
        <v>1</v>
      </c>
      <c r="I226">
        <v>0</v>
      </c>
      <c r="J226">
        <v>0.5</v>
      </c>
    </row>
    <row r="227" spans="1:10" x14ac:dyDescent="0.3">
      <c r="A227">
        <v>225</v>
      </c>
      <c r="B227">
        <v>3587</v>
      </c>
      <c r="C227" t="b">
        <v>1</v>
      </c>
      <c r="D227">
        <v>8048</v>
      </c>
      <c r="E227">
        <v>8123</v>
      </c>
      <c r="F227">
        <v>8</v>
      </c>
      <c r="G227">
        <v>8</v>
      </c>
      <c r="H227">
        <v>1</v>
      </c>
      <c r="I227">
        <v>0</v>
      </c>
      <c r="J227">
        <v>0.5</v>
      </c>
    </row>
    <row r="228" spans="1:10" x14ac:dyDescent="0.3">
      <c r="A228">
        <v>226</v>
      </c>
      <c r="B228">
        <v>3603</v>
      </c>
      <c r="C228" t="b">
        <v>1</v>
      </c>
      <c r="D228">
        <v>8048</v>
      </c>
      <c r="E228">
        <v>8123</v>
      </c>
      <c r="F228">
        <v>8</v>
      </c>
      <c r="G228">
        <v>8</v>
      </c>
      <c r="H228">
        <v>1</v>
      </c>
      <c r="I228">
        <v>0</v>
      </c>
      <c r="J228">
        <v>0.5</v>
      </c>
    </row>
    <row r="229" spans="1:10" x14ac:dyDescent="0.3">
      <c r="A229">
        <v>227</v>
      </c>
      <c r="B229">
        <v>3619</v>
      </c>
      <c r="C229" t="b">
        <v>1</v>
      </c>
      <c r="D229">
        <v>8054</v>
      </c>
      <c r="E229">
        <v>8123</v>
      </c>
      <c r="F229">
        <v>8</v>
      </c>
      <c r="G229">
        <v>8</v>
      </c>
      <c r="H229">
        <v>1</v>
      </c>
      <c r="I229">
        <v>0</v>
      </c>
      <c r="J229">
        <v>0.5</v>
      </c>
    </row>
    <row r="230" spans="1:10" x14ac:dyDescent="0.3">
      <c r="A230">
        <v>228</v>
      </c>
      <c r="B230">
        <v>3635</v>
      </c>
      <c r="C230" t="b">
        <v>1</v>
      </c>
      <c r="D230">
        <v>8048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3651</v>
      </c>
      <c r="C231" t="b">
        <v>1</v>
      </c>
      <c r="D231">
        <v>8054</v>
      </c>
      <c r="E231">
        <v>8123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3667</v>
      </c>
      <c r="C232" t="b">
        <v>1</v>
      </c>
      <c r="D232">
        <v>8048</v>
      </c>
      <c r="E232">
        <v>8123</v>
      </c>
      <c r="F232">
        <v>8</v>
      </c>
      <c r="G232">
        <v>8</v>
      </c>
      <c r="H232">
        <v>1</v>
      </c>
      <c r="I232">
        <v>0</v>
      </c>
      <c r="J232">
        <v>0.5</v>
      </c>
    </row>
    <row r="233" spans="1:10" x14ac:dyDescent="0.3">
      <c r="A233">
        <v>231</v>
      </c>
      <c r="B233">
        <v>3682</v>
      </c>
      <c r="C233" t="b">
        <v>1</v>
      </c>
      <c r="D233">
        <v>8048</v>
      </c>
      <c r="E233">
        <v>8134</v>
      </c>
      <c r="F233">
        <v>8</v>
      </c>
      <c r="G233">
        <v>8</v>
      </c>
      <c r="H233">
        <v>1</v>
      </c>
      <c r="I233">
        <v>0</v>
      </c>
      <c r="J233">
        <v>0.5</v>
      </c>
    </row>
    <row r="234" spans="1:10" x14ac:dyDescent="0.3">
      <c r="A234">
        <v>232</v>
      </c>
      <c r="B234">
        <v>3698</v>
      </c>
      <c r="C234" t="b">
        <v>1</v>
      </c>
      <c r="D234">
        <v>8054</v>
      </c>
      <c r="E234">
        <v>8123</v>
      </c>
      <c r="F234">
        <v>8</v>
      </c>
      <c r="G234">
        <v>8</v>
      </c>
      <c r="H234">
        <v>1</v>
      </c>
      <c r="I234">
        <v>0</v>
      </c>
      <c r="J234">
        <v>0.5</v>
      </c>
    </row>
    <row r="235" spans="1:10" x14ac:dyDescent="0.3">
      <c r="A235">
        <v>233</v>
      </c>
      <c r="B235">
        <v>3714</v>
      </c>
      <c r="C235" t="b">
        <v>1</v>
      </c>
      <c r="D235">
        <v>8054</v>
      </c>
      <c r="E235">
        <v>8123</v>
      </c>
      <c r="F235">
        <v>8.4</v>
      </c>
      <c r="G235">
        <v>8</v>
      </c>
      <c r="H235">
        <v>1.05</v>
      </c>
      <c r="I235">
        <v>-4.9999952E-2</v>
      </c>
      <c r="J235">
        <v>0.48780489999999999</v>
      </c>
    </row>
    <row r="236" spans="1:10" x14ac:dyDescent="0.3">
      <c r="A236">
        <v>234</v>
      </c>
      <c r="B236">
        <v>3730</v>
      </c>
      <c r="C236" t="b">
        <v>1</v>
      </c>
      <c r="D236">
        <v>8054</v>
      </c>
      <c r="E236">
        <v>8117</v>
      </c>
      <c r="F236">
        <v>8.8000000000000007</v>
      </c>
      <c r="G236">
        <v>8</v>
      </c>
      <c r="H236">
        <v>1.1000000000000001</v>
      </c>
      <c r="I236">
        <v>-0.10000002400000001</v>
      </c>
      <c r="J236">
        <v>0.47619050000000002</v>
      </c>
    </row>
    <row r="237" spans="1:10" x14ac:dyDescent="0.3">
      <c r="A237">
        <v>235</v>
      </c>
      <c r="B237">
        <v>3746</v>
      </c>
      <c r="C237" t="b">
        <v>1</v>
      </c>
      <c r="D237">
        <v>8054</v>
      </c>
      <c r="E237">
        <v>8117</v>
      </c>
      <c r="F237">
        <v>9.1999999999999993</v>
      </c>
      <c r="G237">
        <v>8</v>
      </c>
      <c r="H237">
        <v>1.1499999999999999</v>
      </c>
      <c r="I237">
        <v>-0.14999998</v>
      </c>
      <c r="J237">
        <v>0.46511626</v>
      </c>
    </row>
    <row r="238" spans="1:10" x14ac:dyDescent="0.3">
      <c r="A238">
        <v>236</v>
      </c>
      <c r="B238">
        <v>3762</v>
      </c>
      <c r="C238" t="b">
        <v>1</v>
      </c>
      <c r="D238">
        <v>8054</v>
      </c>
      <c r="E238">
        <v>8117</v>
      </c>
      <c r="F238">
        <v>9.6</v>
      </c>
      <c r="G238">
        <v>7.6</v>
      </c>
      <c r="H238">
        <v>1.263158</v>
      </c>
      <c r="I238">
        <v>-0.26315796000000002</v>
      </c>
      <c r="J238">
        <v>0.44186044000000002</v>
      </c>
    </row>
    <row r="239" spans="1:10" x14ac:dyDescent="0.3">
      <c r="A239">
        <v>237</v>
      </c>
      <c r="B239">
        <v>3778</v>
      </c>
      <c r="C239" t="b">
        <v>1</v>
      </c>
      <c r="D239">
        <v>8054</v>
      </c>
      <c r="E239">
        <v>8117</v>
      </c>
      <c r="F239">
        <v>10</v>
      </c>
      <c r="G239">
        <v>7.2</v>
      </c>
      <c r="H239">
        <v>1.388889</v>
      </c>
      <c r="I239">
        <v>-0.38888893000000002</v>
      </c>
      <c r="J239">
        <v>0.41860459999999999</v>
      </c>
    </row>
    <row r="240" spans="1:10" x14ac:dyDescent="0.3">
      <c r="A240">
        <v>238</v>
      </c>
      <c r="B240">
        <v>3794</v>
      </c>
      <c r="C240" t="b">
        <v>1</v>
      </c>
      <c r="D240">
        <v>8048</v>
      </c>
      <c r="E240">
        <v>8117</v>
      </c>
      <c r="F240">
        <v>10.4</v>
      </c>
      <c r="G240">
        <v>6.8</v>
      </c>
      <c r="H240">
        <v>1.5294117</v>
      </c>
      <c r="I240">
        <v>-0.52941170000000004</v>
      </c>
      <c r="J240">
        <v>0.39534881999999999</v>
      </c>
    </row>
    <row r="241" spans="1:10" x14ac:dyDescent="0.3">
      <c r="A241">
        <v>239</v>
      </c>
      <c r="B241">
        <v>3810</v>
      </c>
      <c r="C241" t="b">
        <v>1</v>
      </c>
      <c r="D241">
        <v>8048</v>
      </c>
      <c r="E241">
        <v>8123</v>
      </c>
      <c r="F241">
        <v>10.8</v>
      </c>
      <c r="G241">
        <v>6.4</v>
      </c>
      <c r="H241">
        <v>1.6875</v>
      </c>
      <c r="I241">
        <v>-0.6875</v>
      </c>
      <c r="J241">
        <v>0.37209302</v>
      </c>
    </row>
    <row r="242" spans="1:10" x14ac:dyDescent="0.3">
      <c r="A242">
        <v>240</v>
      </c>
      <c r="B242">
        <v>3826</v>
      </c>
      <c r="C242" t="b">
        <v>1</v>
      </c>
      <c r="D242">
        <v>8048</v>
      </c>
      <c r="E242">
        <v>8123</v>
      </c>
      <c r="F242">
        <v>10.8</v>
      </c>
      <c r="G242">
        <v>6</v>
      </c>
      <c r="H242">
        <v>1.8000001000000001</v>
      </c>
      <c r="I242">
        <v>-0.8</v>
      </c>
      <c r="J242">
        <v>0.35714287</v>
      </c>
    </row>
    <row r="243" spans="1:10" x14ac:dyDescent="0.3">
      <c r="A243">
        <v>241</v>
      </c>
      <c r="B243">
        <v>3841</v>
      </c>
      <c r="C243" t="b">
        <v>1</v>
      </c>
      <c r="D243">
        <v>8048</v>
      </c>
      <c r="E243">
        <v>8123</v>
      </c>
      <c r="F243">
        <v>10.8</v>
      </c>
      <c r="G243">
        <v>6</v>
      </c>
      <c r="H243">
        <v>1.8000001000000001</v>
      </c>
      <c r="I243">
        <v>-0.8</v>
      </c>
      <c r="J243">
        <v>0.35714287</v>
      </c>
    </row>
    <row r="244" spans="1:10" x14ac:dyDescent="0.3">
      <c r="A244">
        <v>242</v>
      </c>
      <c r="B244">
        <v>3857</v>
      </c>
      <c r="C244" t="b">
        <v>1</v>
      </c>
      <c r="D244">
        <v>8048</v>
      </c>
      <c r="E244">
        <v>8123</v>
      </c>
      <c r="F244">
        <v>10.8</v>
      </c>
      <c r="G244">
        <v>6</v>
      </c>
      <c r="H244">
        <v>1.8000001000000001</v>
      </c>
      <c r="I244">
        <v>-0.8</v>
      </c>
      <c r="J244">
        <v>0.35714287</v>
      </c>
    </row>
    <row r="245" spans="1:10" x14ac:dyDescent="0.3">
      <c r="A245">
        <v>243</v>
      </c>
      <c r="B245">
        <v>3873</v>
      </c>
      <c r="C245" t="b">
        <v>1</v>
      </c>
      <c r="D245">
        <v>8042</v>
      </c>
      <c r="E245">
        <v>8123</v>
      </c>
      <c r="F245">
        <v>10.8</v>
      </c>
      <c r="G245">
        <v>6</v>
      </c>
      <c r="H245">
        <v>1.8000001000000001</v>
      </c>
      <c r="I245">
        <v>-0.8</v>
      </c>
      <c r="J245">
        <v>0.35714287</v>
      </c>
    </row>
    <row r="246" spans="1:10" x14ac:dyDescent="0.3">
      <c r="A246">
        <v>244</v>
      </c>
      <c r="B246">
        <v>3889</v>
      </c>
      <c r="C246" t="b">
        <v>1</v>
      </c>
      <c r="D246">
        <v>8042</v>
      </c>
      <c r="E246">
        <v>8123</v>
      </c>
      <c r="F246">
        <v>10.8</v>
      </c>
      <c r="G246">
        <v>6</v>
      </c>
      <c r="H246">
        <v>1.8000001000000001</v>
      </c>
      <c r="I246">
        <v>-0.8</v>
      </c>
      <c r="J246">
        <v>0.35714287</v>
      </c>
    </row>
    <row r="247" spans="1:10" x14ac:dyDescent="0.3">
      <c r="A247">
        <v>245</v>
      </c>
      <c r="B247">
        <v>3905</v>
      </c>
      <c r="C247" t="b">
        <v>1</v>
      </c>
      <c r="D247">
        <v>8048</v>
      </c>
      <c r="E247">
        <v>8129</v>
      </c>
      <c r="F247">
        <v>10.8</v>
      </c>
      <c r="G247">
        <v>6</v>
      </c>
      <c r="H247">
        <v>1.8000001000000001</v>
      </c>
      <c r="I247">
        <v>-0.8</v>
      </c>
      <c r="J247">
        <v>0.35714287</v>
      </c>
    </row>
    <row r="248" spans="1:10" x14ac:dyDescent="0.3">
      <c r="A248">
        <v>246</v>
      </c>
      <c r="B248">
        <v>3920</v>
      </c>
      <c r="C248" t="b">
        <v>1</v>
      </c>
      <c r="D248">
        <v>8048</v>
      </c>
      <c r="E248">
        <v>8123</v>
      </c>
      <c r="F248">
        <v>10.8</v>
      </c>
      <c r="G248">
        <v>6</v>
      </c>
      <c r="H248">
        <v>1.8000001000000001</v>
      </c>
      <c r="I248">
        <v>-0.8</v>
      </c>
      <c r="J248">
        <v>0.35714287</v>
      </c>
    </row>
    <row r="249" spans="1:10" x14ac:dyDescent="0.3">
      <c r="A249">
        <v>247</v>
      </c>
      <c r="B249">
        <v>3936</v>
      </c>
      <c r="C249" t="b">
        <v>1</v>
      </c>
      <c r="D249">
        <v>8048</v>
      </c>
      <c r="E249">
        <v>8123</v>
      </c>
      <c r="F249">
        <v>10.8</v>
      </c>
      <c r="G249">
        <v>6</v>
      </c>
      <c r="H249">
        <v>1.8000001000000001</v>
      </c>
      <c r="I249">
        <v>-0.8</v>
      </c>
      <c r="J249">
        <v>0.35714287</v>
      </c>
    </row>
    <row r="250" spans="1:10" x14ac:dyDescent="0.3">
      <c r="A250">
        <v>248</v>
      </c>
      <c r="B250">
        <v>3952</v>
      </c>
      <c r="C250" t="b">
        <v>1</v>
      </c>
      <c r="D250">
        <v>8048</v>
      </c>
      <c r="E250">
        <v>8123</v>
      </c>
      <c r="F250">
        <v>10.4</v>
      </c>
      <c r="G250">
        <v>6</v>
      </c>
      <c r="H250">
        <v>1.7333331999999999</v>
      </c>
      <c r="I250">
        <v>-0.73333329999999997</v>
      </c>
      <c r="J250">
        <v>0.36585367000000002</v>
      </c>
    </row>
    <row r="251" spans="1:10" x14ac:dyDescent="0.3">
      <c r="A251">
        <v>249</v>
      </c>
      <c r="B251">
        <v>3968</v>
      </c>
      <c r="C251" t="b">
        <v>1</v>
      </c>
      <c r="D251">
        <v>8042</v>
      </c>
      <c r="E251">
        <v>8123</v>
      </c>
      <c r="F251">
        <v>10</v>
      </c>
      <c r="G251">
        <v>6</v>
      </c>
      <c r="H251">
        <v>1.6666666000000001</v>
      </c>
      <c r="I251">
        <v>-0.66666669999999995</v>
      </c>
      <c r="J251">
        <v>0.375</v>
      </c>
    </row>
    <row r="252" spans="1:10" x14ac:dyDescent="0.3">
      <c r="A252">
        <v>250</v>
      </c>
      <c r="B252">
        <v>3984</v>
      </c>
      <c r="C252" t="b">
        <v>1</v>
      </c>
      <c r="D252">
        <v>8042</v>
      </c>
      <c r="E252">
        <v>8117</v>
      </c>
      <c r="F252">
        <v>9.6</v>
      </c>
      <c r="G252">
        <v>6</v>
      </c>
      <c r="H252">
        <v>1.6</v>
      </c>
      <c r="I252">
        <v>-0.60000010000000004</v>
      </c>
      <c r="J252">
        <v>0.38461536000000002</v>
      </c>
    </row>
    <row r="253" spans="1:10" x14ac:dyDescent="0.3">
      <c r="A253">
        <v>251</v>
      </c>
      <c r="B253">
        <v>4000</v>
      </c>
      <c r="C253" t="b">
        <v>1</v>
      </c>
      <c r="D253">
        <v>8042</v>
      </c>
      <c r="E253">
        <v>8123</v>
      </c>
      <c r="F253">
        <v>8.8000000000000007</v>
      </c>
      <c r="G253">
        <v>6.4</v>
      </c>
      <c r="H253">
        <v>1.375</v>
      </c>
      <c r="I253">
        <v>-0.375</v>
      </c>
      <c r="J253">
        <v>0.4210526</v>
      </c>
    </row>
    <row r="254" spans="1:10" x14ac:dyDescent="0.3">
      <c r="A254">
        <v>252</v>
      </c>
      <c r="B254">
        <v>4015</v>
      </c>
      <c r="C254" t="b">
        <v>1</v>
      </c>
      <c r="D254">
        <v>8042</v>
      </c>
      <c r="E254">
        <v>8123</v>
      </c>
      <c r="F254">
        <v>8</v>
      </c>
      <c r="G254">
        <v>6.8</v>
      </c>
      <c r="H254">
        <v>1.1764705</v>
      </c>
      <c r="I254">
        <v>-0.17647055</v>
      </c>
      <c r="J254">
        <v>0.45945944999999999</v>
      </c>
    </row>
    <row r="255" spans="1:10" x14ac:dyDescent="0.3">
      <c r="A255">
        <v>253</v>
      </c>
      <c r="B255">
        <v>4032</v>
      </c>
      <c r="C255" t="b">
        <v>1</v>
      </c>
      <c r="D255">
        <v>8048</v>
      </c>
      <c r="E255">
        <v>8117</v>
      </c>
      <c r="F255">
        <v>7.2</v>
      </c>
      <c r="G255">
        <v>7.2</v>
      </c>
      <c r="H255">
        <v>1</v>
      </c>
      <c r="I255">
        <v>0</v>
      </c>
      <c r="J255">
        <v>0.5</v>
      </c>
    </row>
    <row r="256" spans="1:10" x14ac:dyDescent="0.3">
      <c r="A256">
        <v>254</v>
      </c>
      <c r="B256">
        <v>4048</v>
      </c>
      <c r="C256" t="b">
        <v>1</v>
      </c>
      <c r="D256">
        <v>8048</v>
      </c>
      <c r="E256">
        <v>8117</v>
      </c>
      <c r="F256">
        <v>6.4</v>
      </c>
      <c r="G256">
        <v>7.2</v>
      </c>
      <c r="H256">
        <v>0.88888895999999995</v>
      </c>
      <c r="I256">
        <v>0.111111075</v>
      </c>
      <c r="J256">
        <v>0.52941172999999997</v>
      </c>
    </row>
    <row r="257" spans="1:10" x14ac:dyDescent="0.3">
      <c r="A257">
        <v>255</v>
      </c>
      <c r="B257">
        <v>4064</v>
      </c>
      <c r="C257" t="b">
        <v>1</v>
      </c>
      <c r="D257">
        <v>8048</v>
      </c>
      <c r="E257">
        <v>8117</v>
      </c>
      <c r="F257">
        <v>6.4</v>
      </c>
      <c r="G257">
        <v>7.2</v>
      </c>
      <c r="H257">
        <v>0.88888895999999995</v>
      </c>
      <c r="I257">
        <v>0.111111075</v>
      </c>
      <c r="J257">
        <v>0.52941172999999997</v>
      </c>
    </row>
    <row r="258" spans="1:10" x14ac:dyDescent="0.3">
      <c r="A258">
        <v>256</v>
      </c>
      <c r="B258">
        <v>4079</v>
      </c>
      <c r="C258" t="b">
        <v>1</v>
      </c>
      <c r="D258">
        <v>8048</v>
      </c>
      <c r="E258">
        <v>8117</v>
      </c>
      <c r="F258">
        <v>6.4</v>
      </c>
      <c r="G258">
        <v>6.8</v>
      </c>
      <c r="H258">
        <v>0.94117649999999997</v>
      </c>
      <c r="I258">
        <v>5.8823540000000001E-2</v>
      </c>
      <c r="J258">
        <v>0.51515149999999998</v>
      </c>
    </row>
    <row r="259" spans="1:10" x14ac:dyDescent="0.3">
      <c r="A259">
        <v>257</v>
      </c>
      <c r="B259">
        <v>4095</v>
      </c>
      <c r="C259" t="b">
        <v>1</v>
      </c>
      <c r="D259">
        <v>8054</v>
      </c>
      <c r="E259">
        <v>8117</v>
      </c>
      <c r="F259">
        <v>6.4</v>
      </c>
      <c r="G259">
        <v>6.4</v>
      </c>
      <c r="H259">
        <v>1</v>
      </c>
      <c r="I259">
        <v>0</v>
      </c>
      <c r="J259">
        <v>0.5</v>
      </c>
    </row>
    <row r="260" spans="1:10" x14ac:dyDescent="0.3">
      <c r="A260">
        <v>258</v>
      </c>
      <c r="B260">
        <v>4111</v>
      </c>
      <c r="C260" t="b">
        <v>1</v>
      </c>
      <c r="D260">
        <v>8054</v>
      </c>
      <c r="E260">
        <v>8123</v>
      </c>
      <c r="F260">
        <v>6.4</v>
      </c>
      <c r="G260">
        <v>6</v>
      </c>
      <c r="H260">
        <v>1.0666667000000001</v>
      </c>
      <c r="I260">
        <v>-6.6666685000000003E-2</v>
      </c>
      <c r="J260">
        <v>0.48387098000000001</v>
      </c>
    </row>
    <row r="261" spans="1:10" x14ac:dyDescent="0.3">
      <c r="A261">
        <v>259</v>
      </c>
      <c r="B261">
        <v>4127</v>
      </c>
      <c r="C261" t="b">
        <v>1</v>
      </c>
      <c r="D261">
        <v>8054</v>
      </c>
      <c r="E261">
        <v>8123</v>
      </c>
      <c r="F261">
        <v>6.8</v>
      </c>
      <c r="G261">
        <v>5.6</v>
      </c>
      <c r="H261">
        <v>1.2142857</v>
      </c>
      <c r="I261">
        <v>-0.21428578000000001</v>
      </c>
      <c r="J261">
        <v>0.45161291999999997</v>
      </c>
    </row>
    <row r="262" spans="1:10" x14ac:dyDescent="0.3">
      <c r="A262">
        <v>260</v>
      </c>
      <c r="B262">
        <v>4143</v>
      </c>
      <c r="C262" t="b">
        <v>1</v>
      </c>
      <c r="D262">
        <v>8048</v>
      </c>
      <c r="E262">
        <v>8123</v>
      </c>
      <c r="F262">
        <v>7.2</v>
      </c>
      <c r="G262">
        <v>5.6</v>
      </c>
      <c r="H262">
        <v>1.2857143</v>
      </c>
      <c r="I262">
        <v>-0.28571426999999999</v>
      </c>
      <c r="J262">
        <v>0.43750002999999998</v>
      </c>
    </row>
    <row r="263" spans="1:10" x14ac:dyDescent="0.3">
      <c r="A263">
        <v>261</v>
      </c>
      <c r="B263">
        <v>4159</v>
      </c>
      <c r="C263" t="b">
        <v>1</v>
      </c>
      <c r="D263">
        <v>8054</v>
      </c>
      <c r="E263">
        <v>8123</v>
      </c>
      <c r="F263">
        <v>7.6</v>
      </c>
      <c r="G263">
        <v>5.6</v>
      </c>
      <c r="H263">
        <v>1.3571428000000001</v>
      </c>
      <c r="I263">
        <v>-0.35714287</v>
      </c>
      <c r="J263">
        <v>0.42424244</v>
      </c>
    </row>
    <row r="264" spans="1:10" x14ac:dyDescent="0.3">
      <c r="A264">
        <v>262</v>
      </c>
      <c r="B264">
        <v>4175</v>
      </c>
      <c r="C264" t="b">
        <v>1</v>
      </c>
      <c r="D264">
        <v>8054</v>
      </c>
      <c r="E264">
        <v>8123</v>
      </c>
      <c r="F264">
        <v>8</v>
      </c>
      <c r="G264">
        <v>5.6</v>
      </c>
      <c r="H264">
        <v>1.4285715000000001</v>
      </c>
      <c r="I264">
        <v>-0.42857146000000002</v>
      </c>
      <c r="J264">
        <v>0.41176467999999999</v>
      </c>
    </row>
    <row r="265" spans="1:10" x14ac:dyDescent="0.3">
      <c r="A265">
        <v>263</v>
      </c>
      <c r="B265">
        <v>4190</v>
      </c>
      <c r="C265" t="b">
        <v>1</v>
      </c>
      <c r="D265">
        <v>8048</v>
      </c>
      <c r="E265">
        <v>8123</v>
      </c>
      <c r="F265">
        <v>8.4</v>
      </c>
      <c r="G265">
        <v>5.6</v>
      </c>
      <c r="H265">
        <v>1.5</v>
      </c>
      <c r="I265">
        <v>-0.49999997000000002</v>
      </c>
      <c r="J265">
        <v>0.4</v>
      </c>
    </row>
    <row r="266" spans="1:10" x14ac:dyDescent="0.3">
      <c r="A266">
        <v>264</v>
      </c>
      <c r="B266">
        <v>4206</v>
      </c>
      <c r="C266" t="b">
        <v>1</v>
      </c>
      <c r="D266">
        <v>8048</v>
      </c>
      <c r="E266">
        <v>8123</v>
      </c>
      <c r="F266">
        <v>8.4</v>
      </c>
      <c r="G266">
        <v>5.6</v>
      </c>
      <c r="H266">
        <v>1.5</v>
      </c>
      <c r="I266">
        <v>-0.49999997000000002</v>
      </c>
      <c r="J266">
        <v>0.4</v>
      </c>
    </row>
    <row r="267" spans="1:10" x14ac:dyDescent="0.3">
      <c r="A267">
        <v>265</v>
      </c>
      <c r="B267">
        <v>4222</v>
      </c>
      <c r="C267" t="b">
        <v>1</v>
      </c>
      <c r="D267">
        <v>8048</v>
      </c>
      <c r="E267">
        <v>8123</v>
      </c>
      <c r="F267">
        <v>8.4</v>
      </c>
      <c r="G267">
        <v>5.6</v>
      </c>
      <c r="H267">
        <v>1.5</v>
      </c>
      <c r="I267">
        <v>-0.49999997000000002</v>
      </c>
      <c r="J267">
        <v>0.4</v>
      </c>
    </row>
    <row r="268" spans="1:10" x14ac:dyDescent="0.3">
      <c r="A268">
        <v>266</v>
      </c>
      <c r="B268">
        <v>4238</v>
      </c>
      <c r="C268" t="b">
        <v>1</v>
      </c>
      <c r="D268">
        <v>8048</v>
      </c>
      <c r="E268">
        <v>8123</v>
      </c>
      <c r="F268">
        <v>8.8000000000000007</v>
      </c>
      <c r="G268">
        <v>5.6</v>
      </c>
      <c r="H268">
        <v>1.5714287</v>
      </c>
      <c r="I268">
        <v>-0.57142866000000003</v>
      </c>
      <c r="J268">
        <v>0.38888889999999998</v>
      </c>
    </row>
    <row r="269" spans="1:10" x14ac:dyDescent="0.3">
      <c r="A269">
        <v>267</v>
      </c>
      <c r="B269">
        <v>4254</v>
      </c>
      <c r="C269" t="b">
        <v>1</v>
      </c>
      <c r="D269">
        <v>8054</v>
      </c>
      <c r="E269">
        <v>8123</v>
      </c>
      <c r="F269">
        <v>9.1999999999999993</v>
      </c>
      <c r="G269">
        <v>5.6</v>
      </c>
      <c r="H269">
        <v>1.6428571999999999</v>
      </c>
      <c r="I269">
        <v>-0.64285713</v>
      </c>
      <c r="J269">
        <v>0.3783784</v>
      </c>
    </row>
    <row r="270" spans="1:10" x14ac:dyDescent="0.3">
      <c r="A270">
        <v>268</v>
      </c>
      <c r="B270">
        <v>4270</v>
      </c>
      <c r="C270" t="b">
        <v>1</v>
      </c>
      <c r="D270">
        <v>8054</v>
      </c>
      <c r="E270">
        <v>8123</v>
      </c>
      <c r="F270">
        <v>9.6</v>
      </c>
      <c r="G270">
        <v>5.6</v>
      </c>
      <c r="H270">
        <v>1.7142858999999999</v>
      </c>
      <c r="I270">
        <v>-0.71428579999999997</v>
      </c>
      <c r="J270">
        <v>0.36842101999999999</v>
      </c>
    </row>
    <row r="271" spans="1:10" x14ac:dyDescent="0.3">
      <c r="A271">
        <v>269</v>
      </c>
      <c r="B271">
        <v>4286</v>
      </c>
      <c r="C271" t="b">
        <v>1</v>
      </c>
      <c r="D271">
        <v>8048</v>
      </c>
      <c r="E271">
        <v>8123</v>
      </c>
      <c r="F271">
        <v>10</v>
      </c>
      <c r="G271">
        <v>6</v>
      </c>
      <c r="H271">
        <v>1.6666666000000001</v>
      </c>
      <c r="I271">
        <v>-0.66666669999999995</v>
      </c>
      <c r="J271">
        <v>0.375</v>
      </c>
    </row>
    <row r="272" spans="1:10" x14ac:dyDescent="0.3">
      <c r="A272">
        <v>270</v>
      </c>
      <c r="B272">
        <v>4302</v>
      </c>
      <c r="C272" t="b">
        <v>1</v>
      </c>
      <c r="D272">
        <v>8048</v>
      </c>
      <c r="E272">
        <v>8123</v>
      </c>
      <c r="F272">
        <v>10</v>
      </c>
      <c r="G272">
        <v>6.4</v>
      </c>
      <c r="H272">
        <v>1.5625</v>
      </c>
      <c r="I272">
        <v>-0.5625</v>
      </c>
      <c r="J272">
        <v>0.39024392000000002</v>
      </c>
    </row>
    <row r="273" spans="1:10" x14ac:dyDescent="0.3">
      <c r="A273">
        <v>271</v>
      </c>
      <c r="B273">
        <v>4318</v>
      </c>
      <c r="C273" t="b">
        <v>1</v>
      </c>
      <c r="D273">
        <v>8042</v>
      </c>
      <c r="E273">
        <v>8123</v>
      </c>
      <c r="F273">
        <v>10</v>
      </c>
      <c r="G273">
        <v>6.8</v>
      </c>
      <c r="H273">
        <v>1.4705881999999999</v>
      </c>
      <c r="I273">
        <v>-0.47058820000000001</v>
      </c>
      <c r="J273">
        <v>0.40476193999999999</v>
      </c>
    </row>
    <row r="274" spans="1:10" x14ac:dyDescent="0.3">
      <c r="A274">
        <v>272</v>
      </c>
      <c r="B274">
        <v>4334</v>
      </c>
      <c r="C274" t="b">
        <v>1</v>
      </c>
      <c r="D274">
        <v>8042</v>
      </c>
      <c r="E274">
        <v>8123</v>
      </c>
      <c r="F274">
        <v>10</v>
      </c>
      <c r="G274">
        <v>7.2</v>
      </c>
      <c r="H274">
        <v>1.388889</v>
      </c>
      <c r="I274">
        <v>-0.38888893000000002</v>
      </c>
      <c r="J274">
        <v>0.41860459999999999</v>
      </c>
    </row>
    <row r="275" spans="1:10" x14ac:dyDescent="0.3">
      <c r="A275">
        <v>273</v>
      </c>
      <c r="B275">
        <v>4350</v>
      </c>
      <c r="C275" t="b">
        <v>1</v>
      </c>
      <c r="D275">
        <v>8048</v>
      </c>
      <c r="E275">
        <v>8123</v>
      </c>
      <c r="F275">
        <v>10</v>
      </c>
      <c r="G275">
        <v>7.6</v>
      </c>
      <c r="H275">
        <v>1.3157894999999999</v>
      </c>
      <c r="I275">
        <v>-0.3157895</v>
      </c>
      <c r="J275">
        <v>0.43181816000000001</v>
      </c>
    </row>
    <row r="276" spans="1:10" x14ac:dyDescent="0.3">
      <c r="A276">
        <v>274</v>
      </c>
      <c r="B276">
        <v>4366</v>
      </c>
      <c r="C276" t="b">
        <v>1</v>
      </c>
      <c r="D276">
        <v>8048</v>
      </c>
      <c r="E276">
        <v>8123</v>
      </c>
      <c r="F276">
        <v>9.6</v>
      </c>
      <c r="G276">
        <v>8</v>
      </c>
      <c r="H276">
        <v>1.2</v>
      </c>
      <c r="I276">
        <v>-0.20000005000000001</v>
      </c>
      <c r="J276">
        <v>0.45454544000000002</v>
      </c>
    </row>
    <row r="277" spans="1:10" x14ac:dyDescent="0.3">
      <c r="A277">
        <v>275</v>
      </c>
      <c r="B277">
        <v>4381</v>
      </c>
      <c r="C277" t="b">
        <v>1</v>
      </c>
      <c r="D277">
        <v>8048</v>
      </c>
      <c r="E277">
        <v>8123</v>
      </c>
      <c r="F277">
        <v>9.1999999999999993</v>
      </c>
      <c r="G277">
        <v>8</v>
      </c>
      <c r="H277">
        <v>1.1499999999999999</v>
      </c>
      <c r="I277">
        <v>-0.14999998</v>
      </c>
      <c r="J277">
        <v>0.46511626</v>
      </c>
    </row>
    <row r="278" spans="1:10" x14ac:dyDescent="0.3">
      <c r="A278">
        <v>276</v>
      </c>
      <c r="B278">
        <v>4397</v>
      </c>
      <c r="C278" t="b">
        <v>1</v>
      </c>
      <c r="D278">
        <v>8048</v>
      </c>
      <c r="E278">
        <v>8129</v>
      </c>
      <c r="F278">
        <v>8.8000000000000007</v>
      </c>
      <c r="G278">
        <v>8</v>
      </c>
      <c r="H278">
        <v>1.1000000000000001</v>
      </c>
      <c r="I278">
        <v>-0.10000002400000001</v>
      </c>
      <c r="J278">
        <v>0.47619050000000002</v>
      </c>
    </row>
    <row r="279" spans="1:10" x14ac:dyDescent="0.3">
      <c r="A279">
        <v>277</v>
      </c>
      <c r="B279">
        <v>4413</v>
      </c>
      <c r="C279" t="b">
        <v>1</v>
      </c>
      <c r="D279">
        <v>8054</v>
      </c>
      <c r="E279">
        <v>8123</v>
      </c>
      <c r="F279">
        <v>8.4</v>
      </c>
      <c r="G279">
        <v>8</v>
      </c>
      <c r="H279">
        <v>1.05</v>
      </c>
      <c r="I279">
        <v>-4.9999952E-2</v>
      </c>
      <c r="J279">
        <v>0.48780489999999999</v>
      </c>
    </row>
    <row r="280" spans="1:10" x14ac:dyDescent="0.3">
      <c r="A280">
        <v>278</v>
      </c>
      <c r="B280">
        <v>4429</v>
      </c>
      <c r="C280" t="b">
        <v>1</v>
      </c>
      <c r="D280">
        <v>8054</v>
      </c>
      <c r="E280">
        <v>8123</v>
      </c>
      <c r="F280">
        <v>8</v>
      </c>
      <c r="G280">
        <v>8</v>
      </c>
      <c r="H280">
        <v>1</v>
      </c>
      <c r="I280">
        <v>0</v>
      </c>
      <c r="J280">
        <v>0.5</v>
      </c>
    </row>
    <row r="281" spans="1:10" x14ac:dyDescent="0.3">
      <c r="A281">
        <v>279</v>
      </c>
      <c r="B281">
        <v>4445</v>
      </c>
      <c r="C281" t="b">
        <v>1</v>
      </c>
      <c r="D281">
        <v>8054</v>
      </c>
      <c r="E281">
        <v>8129</v>
      </c>
      <c r="F281">
        <v>8.4</v>
      </c>
      <c r="G281">
        <v>8</v>
      </c>
      <c r="H281">
        <v>1.05</v>
      </c>
      <c r="I281">
        <v>-4.9999952E-2</v>
      </c>
      <c r="J281">
        <v>0.48780489999999999</v>
      </c>
    </row>
    <row r="282" spans="1:10" x14ac:dyDescent="0.3">
      <c r="A282">
        <v>280</v>
      </c>
      <c r="B282">
        <v>4461</v>
      </c>
      <c r="C282" t="b">
        <v>1</v>
      </c>
      <c r="D282">
        <v>8048</v>
      </c>
      <c r="E282">
        <v>8123</v>
      </c>
      <c r="F282">
        <v>8.8000000000000007</v>
      </c>
      <c r="G282">
        <v>8</v>
      </c>
      <c r="H282">
        <v>1.1000000000000001</v>
      </c>
      <c r="I282">
        <v>-0.10000002400000001</v>
      </c>
      <c r="J282">
        <v>0.47619050000000002</v>
      </c>
    </row>
    <row r="283" spans="1:10" x14ac:dyDescent="0.3">
      <c r="A283">
        <v>281</v>
      </c>
      <c r="B283">
        <v>4477</v>
      </c>
      <c r="C283" t="b">
        <v>1</v>
      </c>
      <c r="D283">
        <v>8048</v>
      </c>
      <c r="E283">
        <v>8123</v>
      </c>
      <c r="F283">
        <v>9.1999999999999993</v>
      </c>
      <c r="G283">
        <v>8</v>
      </c>
      <c r="H283">
        <v>1.1499999999999999</v>
      </c>
      <c r="I283">
        <v>-0.14999998</v>
      </c>
      <c r="J283">
        <v>0.46511626</v>
      </c>
    </row>
    <row r="284" spans="1:10" x14ac:dyDescent="0.3">
      <c r="A284">
        <v>282</v>
      </c>
      <c r="B284">
        <v>4493</v>
      </c>
      <c r="C284" t="b">
        <v>1</v>
      </c>
      <c r="D284">
        <v>8048</v>
      </c>
      <c r="E284">
        <v>8123</v>
      </c>
      <c r="F284">
        <v>9.1999999999999993</v>
      </c>
      <c r="G284">
        <v>8</v>
      </c>
      <c r="H284">
        <v>1.1499999999999999</v>
      </c>
      <c r="I284">
        <v>-0.14999998</v>
      </c>
      <c r="J284">
        <v>0.46511626</v>
      </c>
    </row>
    <row r="285" spans="1:10" x14ac:dyDescent="0.3">
      <c r="A285">
        <v>283</v>
      </c>
      <c r="B285">
        <v>4509</v>
      </c>
      <c r="C285" t="b">
        <v>1</v>
      </c>
      <c r="D285">
        <v>8042</v>
      </c>
      <c r="E285">
        <v>8123</v>
      </c>
      <c r="F285">
        <v>9.1999999999999993</v>
      </c>
      <c r="G285">
        <v>8</v>
      </c>
      <c r="H285">
        <v>1.1499999999999999</v>
      </c>
      <c r="I285">
        <v>-0.14999998</v>
      </c>
      <c r="J285">
        <v>0.46511626</v>
      </c>
    </row>
    <row r="286" spans="1:10" x14ac:dyDescent="0.3">
      <c r="A286">
        <v>284</v>
      </c>
      <c r="B286">
        <v>4525</v>
      </c>
      <c r="C286" t="b">
        <v>1</v>
      </c>
      <c r="D286">
        <v>8048</v>
      </c>
      <c r="E286">
        <v>8123</v>
      </c>
      <c r="F286">
        <v>9.1999999999999993</v>
      </c>
      <c r="G286">
        <v>8</v>
      </c>
      <c r="H286">
        <v>1.1499999999999999</v>
      </c>
      <c r="I286">
        <v>-0.14999998</v>
      </c>
      <c r="J286">
        <v>0.46511626</v>
      </c>
    </row>
    <row r="287" spans="1:10" x14ac:dyDescent="0.3">
      <c r="A287">
        <v>285</v>
      </c>
      <c r="B287">
        <v>4541</v>
      </c>
      <c r="C287" t="b">
        <v>1</v>
      </c>
      <c r="D287">
        <v>8048</v>
      </c>
      <c r="E287">
        <v>8123</v>
      </c>
      <c r="F287">
        <v>9.1999999999999993</v>
      </c>
      <c r="G287">
        <v>8</v>
      </c>
      <c r="H287">
        <v>1.1499999999999999</v>
      </c>
      <c r="I287">
        <v>-0.14999998</v>
      </c>
      <c r="J287">
        <v>0.46511626</v>
      </c>
    </row>
    <row r="288" spans="1:10" x14ac:dyDescent="0.3">
      <c r="A288">
        <v>286</v>
      </c>
      <c r="B288">
        <v>4556</v>
      </c>
      <c r="C288" t="b">
        <v>1</v>
      </c>
      <c r="D288">
        <v>8048</v>
      </c>
      <c r="E288">
        <v>8123</v>
      </c>
      <c r="F288">
        <v>9.1999999999999993</v>
      </c>
      <c r="G288">
        <v>8</v>
      </c>
      <c r="H288">
        <v>1.1499999999999999</v>
      </c>
      <c r="I288">
        <v>-0.14999998</v>
      </c>
      <c r="J288">
        <v>0.46511626</v>
      </c>
    </row>
    <row r="289" spans="1:10" x14ac:dyDescent="0.3">
      <c r="A289">
        <v>287</v>
      </c>
      <c r="B289">
        <v>4572</v>
      </c>
      <c r="C289" t="b">
        <v>1</v>
      </c>
      <c r="D289">
        <v>8048</v>
      </c>
      <c r="E289">
        <v>8123</v>
      </c>
      <c r="F289">
        <v>9.1999999999999993</v>
      </c>
      <c r="G289">
        <v>8</v>
      </c>
      <c r="H289">
        <v>1.1499999999999999</v>
      </c>
      <c r="I289">
        <v>-0.14999998</v>
      </c>
      <c r="J289">
        <v>0.46511626</v>
      </c>
    </row>
    <row r="290" spans="1:10" x14ac:dyDescent="0.3">
      <c r="A290">
        <v>288</v>
      </c>
      <c r="B290">
        <v>4588</v>
      </c>
      <c r="C290" t="b">
        <v>1</v>
      </c>
      <c r="D290">
        <v>8048</v>
      </c>
      <c r="E290">
        <v>8123</v>
      </c>
      <c r="F290">
        <v>9.1999999999999993</v>
      </c>
      <c r="G290">
        <v>8</v>
      </c>
      <c r="H290">
        <v>1.1499999999999999</v>
      </c>
      <c r="I290">
        <v>-0.14999998</v>
      </c>
      <c r="J290">
        <v>0.46511626</v>
      </c>
    </row>
    <row r="291" spans="1:10" x14ac:dyDescent="0.3">
      <c r="A291">
        <v>289</v>
      </c>
      <c r="B291">
        <v>4604</v>
      </c>
      <c r="C291" t="b">
        <v>1</v>
      </c>
      <c r="D291">
        <v>8048</v>
      </c>
      <c r="E291">
        <v>8123</v>
      </c>
      <c r="F291">
        <v>9.1999999999999993</v>
      </c>
      <c r="G291">
        <v>8</v>
      </c>
      <c r="H291">
        <v>1.1499999999999999</v>
      </c>
      <c r="I291">
        <v>-0.14999998</v>
      </c>
      <c r="J291">
        <v>0.46511626</v>
      </c>
    </row>
    <row r="292" spans="1:10" x14ac:dyDescent="0.3">
      <c r="A292">
        <v>290</v>
      </c>
      <c r="B292">
        <v>4620</v>
      </c>
      <c r="C292" t="b">
        <v>1</v>
      </c>
      <c r="D292">
        <v>8048</v>
      </c>
      <c r="E292">
        <v>8129</v>
      </c>
      <c r="F292">
        <v>9.1999999999999993</v>
      </c>
      <c r="G292">
        <v>8</v>
      </c>
      <c r="H292">
        <v>1.1499999999999999</v>
      </c>
      <c r="I292">
        <v>-0.14999998</v>
      </c>
      <c r="J292">
        <v>0.46511626</v>
      </c>
    </row>
    <row r="293" spans="1:10" x14ac:dyDescent="0.3">
      <c r="A293">
        <v>291</v>
      </c>
      <c r="B293">
        <v>4636</v>
      </c>
      <c r="C293" t="b">
        <v>1</v>
      </c>
      <c r="D293">
        <v>8048</v>
      </c>
      <c r="E293">
        <v>8129</v>
      </c>
      <c r="F293">
        <v>9.1999999999999993</v>
      </c>
      <c r="G293">
        <v>8</v>
      </c>
      <c r="H293">
        <v>1.1499999999999999</v>
      </c>
      <c r="I293">
        <v>-0.14999998</v>
      </c>
      <c r="J293">
        <v>0.46511626</v>
      </c>
    </row>
    <row r="294" spans="1:10" x14ac:dyDescent="0.3">
      <c r="A294">
        <v>292</v>
      </c>
      <c r="B294">
        <v>4652</v>
      </c>
      <c r="C294" t="b">
        <v>1</v>
      </c>
      <c r="D294">
        <v>8054</v>
      </c>
      <c r="E294">
        <v>8123</v>
      </c>
      <c r="F294">
        <v>9.1999999999999993</v>
      </c>
      <c r="G294">
        <v>8</v>
      </c>
      <c r="H294">
        <v>1.1499999999999999</v>
      </c>
      <c r="I294">
        <v>-0.14999998</v>
      </c>
      <c r="J294">
        <v>0.46511626</v>
      </c>
    </row>
    <row r="295" spans="1:10" x14ac:dyDescent="0.3">
      <c r="A295">
        <v>293</v>
      </c>
      <c r="B295">
        <v>4668</v>
      </c>
      <c r="C295" t="b">
        <v>1</v>
      </c>
      <c r="D295">
        <v>8048</v>
      </c>
      <c r="E295">
        <v>8123</v>
      </c>
      <c r="F295">
        <v>9.1999999999999993</v>
      </c>
      <c r="G295">
        <v>8</v>
      </c>
      <c r="H295">
        <v>1.1499999999999999</v>
      </c>
      <c r="I295">
        <v>-0.14999998</v>
      </c>
      <c r="J295">
        <v>0.46511626</v>
      </c>
    </row>
    <row r="296" spans="1:10" x14ac:dyDescent="0.3">
      <c r="A296">
        <v>294</v>
      </c>
      <c r="B296">
        <v>4684</v>
      </c>
      <c r="C296" t="b">
        <v>1</v>
      </c>
      <c r="D296">
        <v>8048</v>
      </c>
      <c r="E296">
        <v>8123</v>
      </c>
      <c r="F296">
        <v>8.8000000000000007</v>
      </c>
      <c r="G296">
        <v>8</v>
      </c>
      <c r="H296">
        <v>1.1000000000000001</v>
      </c>
      <c r="I296">
        <v>-0.10000002400000001</v>
      </c>
      <c r="J296">
        <v>0.47619050000000002</v>
      </c>
    </row>
    <row r="297" spans="1:10" x14ac:dyDescent="0.3">
      <c r="A297">
        <v>295</v>
      </c>
      <c r="B297">
        <v>4700</v>
      </c>
      <c r="C297" t="b">
        <v>1</v>
      </c>
      <c r="D297">
        <v>8048</v>
      </c>
      <c r="E297">
        <v>8129</v>
      </c>
      <c r="F297">
        <v>8.4</v>
      </c>
      <c r="G297">
        <v>8</v>
      </c>
      <c r="H297">
        <v>1.05</v>
      </c>
      <c r="I297">
        <v>-4.9999952E-2</v>
      </c>
      <c r="J297">
        <v>0.48780489999999999</v>
      </c>
    </row>
    <row r="298" spans="1:10" x14ac:dyDescent="0.3">
      <c r="A298">
        <v>296</v>
      </c>
      <c r="B298">
        <v>4716</v>
      </c>
      <c r="C298" t="b">
        <v>1</v>
      </c>
      <c r="D298">
        <v>8048</v>
      </c>
      <c r="E298">
        <v>8111</v>
      </c>
      <c r="F298">
        <v>8</v>
      </c>
      <c r="G298">
        <v>8</v>
      </c>
      <c r="H298">
        <v>1</v>
      </c>
      <c r="I298">
        <v>0</v>
      </c>
      <c r="J298">
        <v>0.5</v>
      </c>
    </row>
    <row r="299" spans="1:10" x14ac:dyDescent="0.3">
      <c r="A299">
        <v>297</v>
      </c>
      <c r="B299">
        <v>4732</v>
      </c>
      <c r="C299" t="b">
        <v>1</v>
      </c>
      <c r="D299">
        <v>8042</v>
      </c>
      <c r="E299">
        <v>8117</v>
      </c>
      <c r="F299">
        <v>8</v>
      </c>
      <c r="G299">
        <v>8</v>
      </c>
      <c r="H299">
        <v>1</v>
      </c>
      <c r="I299">
        <v>0</v>
      </c>
      <c r="J299">
        <v>0.5</v>
      </c>
    </row>
    <row r="300" spans="1:10" x14ac:dyDescent="0.3">
      <c r="A300">
        <v>298</v>
      </c>
      <c r="B300">
        <v>4748</v>
      </c>
      <c r="C300" t="b">
        <v>1</v>
      </c>
      <c r="D300">
        <v>8048</v>
      </c>
      <c r="E300">
        <v>8117</v>
      </c>
      <c r="F300">
        <v>8</v>
      </c>
      <c r="G300">
        <v>7.6</v>
      </c>
      <c r="H300">
        <v>1.0526316</v>
      </c>
      <c r="I300">
        <v>-5.2631589999999999E-2</v>
      </c>
      <c r="J300">
        <v>0.48717946000000001</v>
      </c>
    </row>
    <row r="301" spans="1:10" x14ac:dyDescent="0.3">
      <c r="A301">
        <v>299</v>
      </c>
      <c r="B301">
        <v>4764</v>
      </c>
      <c r="C301" t="b">
        <v>1</v>
      </c>
      <c r="D301">
        <v>8048</v>
      </c>
      <c r="E301">
        <v>8117</v>
      </c>
      <c r="F301">
        <v>8</v>
      </c>
      <c r="G301">
        <v>7.2</v>
      </c>
      <c r="H301">
        <v>1.1111112000000001</v>
      </c>
      <c r="I301">
        <v>-0.11111114</v>
      </c>
      <c r="J301">
        <v>0.4736842</v>
      </c>
    </row>
    <row r="302" spans="1:10" x14ac:dyDescent="0.3">
      <c r="A302">
        <v>300</v>
      </c>
      <c r="B302">
        <v>4780</v>
      </c>
      <c r="C302" t="b">
        <v>1</v>
      </c>
      <c r="D302">
        <v>8048</v>
      </c>
      <c r="E302">
        <v>8117</v>
      </c>
      <c r="F302">
        <v>8</v>
      </c>
      <c r="G302">
        <v>6.8</v>
      </c>
      <c r="H302">
        <v>1.1764705</v>
      </c>
      <c r="I302">
        <v>-0.17647055</v>
      </c>
      <c r="J302">
        <v>0.45945944999999999</v>
      </c>
    </row>
    <row r="303" spans="1:10" x14ac:dyDescent="0.3">
      <c r="A303">
        <v>301</v>
      </c>
      <c r="B303">
        <v>4796</v>
      </c>
      <c r="C303" t="b">
        <v>1</v>
      </c>
      <c r="D303">
        <v>8048</v>
      </c>
      <c r="E303">
        <v>8117</v>
      </c>
      <c r="F303">
        <v>8</v>
      </c>
      <c r="G303">
        <v>6.4</v>
      </c>
      <c r="H303">
        <v>1.25</v>
      </c>
      <c r="I303">
        <v>-0.24999999000000001</v>
      </c>
      <c r="J303">
        <v>0.44444447999999998</v>
      </c>
    </row>
    <row r="304" spans="1:10" x14ac:dyDescent="0.3">
      <c r="A304">
        <v>302</v>
      </c>
      <c r="B304">
        <v>4812</v>
      </c>
      <c r="C304" t="b">
        <v>1</v>
      </c>
      <c r="D304">
        <v>8048</v>
      </c>
      <c r="E304">
        <v>8129</v>
      </c>
      <c r="F304">
        <v>8</v>
      </c>
      <c r="G304">
        <v>6</v>
      </c>
      <c r="H304">
        <v>1.3333333999999999</v>
      </c>
      <c r="I304">
        <v>-0.33333333999999998</v>
      </c>
      <c r="J304">
        <v>0.42857142999999998</v>
      </c>
    </row>
    <row r="305" spans="1:10" x14ac:dyDescent="0.3">
      <c r="A305">
        <v>303</v>
      </c>
      <c r="B305">
        <v>4827</v>
      </c>
      <c r="C305" t="b">
        <v>1</v>
      </c>
      <c r="D305">
        <v>8048</v>
      </c>
      <c r="E305">
        <v>8123</v>
      </c>
      <c r="F305">
        <v>8</v>
      </c>
      <c r="G305">
        <v>5.6</v>
      </c>
      <c r="H305">
        <v>1.4285715000000001</v>
      </c>
      <c r="I305">
        <v>-0.42857146000000002</v>
      </c>
      <c r="J305">
        <v>0.41176467999999999</v>
      </c>
    </row>
    <row r="306" spans="1:10" x14ac:dyDescent="0.3">
      <c r="A306">
        <v>304</v>
      </c>
      <c r="B306">
        <v>4843</v>
      </c>
      <c r="C306" t="b">
        <v>1</v>
      </c>
      <c r="D306">
        <v>8048</v>
      </c>
      <c r="E306">
        <v>8129</v>
      </c>
      <c r="F306">
        <v>8</v>
      </c>
      <c r="G306">
        <v>5.6</v>
      </c>
      <c r="H306">
        <v>1.4285715000000001</v>
      </c>
      <c r="I306">
        <v>-0.42857146000000002</v>
      </c>
      <c r="J306">
        <v>0.41176467999999999</v>
      </c>
    </row>
    <row r="307" spans="1:10" x14ac:dyDescent="0.3">
      <c r="A307">
        <v>305</v>
      </c>
      <c r="B307">
        <v>4859</v>
      </c>
      <c r="C307" t="b">
        <v>1</v>
      </c>
      <c r="D307">
        <v>8048</v>
      </c>
      <c r="E307">
        <v>8123</v>
      </c>
      <c r="F307">
        <v>8</v>
      </c>
      <c r="G307">
        <v>5.6</v>
      </c>
      <c r="H307">
        <v>1.4285715000000001</v>
      </c>
      <c r="I307">
        <v>-0.42857146000000002</v>
      </c>
      <c r="J307">
        <v>0.41176467999999999</v>
      </c>
    </row>
    <row r="308" spans="1:10" x14ac:dyDescent="0.3">
      <c r="A308">
        <v>306</v>
      </c>
      <c r="B308">
        <v>4875</v>
      </c>
      <c r="C308" t="b">
        <v>1</v>
      </c>
      <c r="D308">
        <v>8048</v>
      </c>
      <c r="E308">
        <v>8123</v>
      </c>
      <c r="F308">
        <v>8</v>
      </c>
      <c r="G308">
        <v>5.6</v>
      </c>
      <c r="H308">
        <v>1.4285715000000001</v>
      </c>
      <c r="I308">
        <v>-0.42857146000000002</v>
      </c>
      <c r="J308">
        <v>0.41176467999999999</v>
      </c>
    </row>
    <row r="309" spans="1:10" x14ac:dyDescent="0.3">
      <c r="A309">
        <v>307</v>
      </c>
      <c r="B309">
        <v>4891</v>
      </c>
      <c r="C309" t="b">
        <v>1</v>
      </c>
      <c r="D309">
        <v>8054</v>
      </c>
      <c r="E309">
        <v>8129</v>
      </c>
      <c r="F309">
        <v>8</v>
      </c>
      <c r="G309">
        <v>5.6</v>
      </c>
      <c r="H309">
        <v>1.4285715000000001</v>
      </c>
      <c r="I309">
        <v>-0.42857146000000002</v>
      </c>
      <c r="J309">
        <v>0.41176467999999999</v>
      </c>
    </row>
    <row r="310" spans="1:10" x14ac:dyDescent="0.3">
      <c r="A310">
        <v>308</v>
      </c>
      <c r="B310">
        <v>4907</v>
      </c>
      <c r="C310" t="b">
        <v>1</v>
      </c>
      <c r="D310">
        <v>8048</v>
      </c>
      <c r="E310">
        <v>8123</v>
      </c>
      <c r="F310">
        <v>8</v>
      </c>
      <c r="G310">
        <v>5.6</v>
      </c>
      <c r="H310">
        <v>1.4285715000000001</v>
      </c>
      <c r="I310">
        <v>-0.42857146000000002</v>
      </c>
      <c r="J310">
        <v>0.41176467999999999</v>
      </c>
    </row>
    <row r="311" spans="1:10" x14ac:dyDescent="0.3">
      <c r="A311">
        <v>309</v>
      </c>
      <c r="B311">
        <v>4923</v>
      </c>
      <c r="C311" t="b">
        <v>1</v>
      </c>
      <c r="D311">
        <v>8042</v>
      </c>
      <c r="E311">
        <v>8123</v>
      </c>
      <c r="F311">
        <v>8</v>
      </c>
      <c r="G311">
        <v>5.6</v>
      </c>
      <c r="H311">
        <v>1.4285715000000001</v>
      </c>
      <c r="I311">
        <v>-0.42857146000000002</v>
      </c>
      <c r="J311">
        <v>0.41176467999999999</v>
      </c>
    </row>
    <row r="312" spans="1:10" x14ac:dyDescent="0.3">
      <c r="A312">
        <v>310</v>
      </c>
      <c r="B312">
        <v>4939</v>
      </c>
      <c r="C312" t="b">
        <v>1</v>
      </c>
      <c r="D312">
        <v>8048</v>
      </c>
      <c r="E312">
        <v>8123</v>
      </c>
      <c r="F312">
        <v>8</v>
      </c>
      <c r="G312">
        <v>5.6</v>
      </c>
      <c r="H312">
        <v>1.4285715000000001</v>
      </c>
      <c r="I312">
        <v>-0.42857146000000002</v>
      </c>
      <c r="J312">
        <v>0.41176467999999999</v>
      </c>
    </row>
    <row r="313" spans="1:10" x14ac:dyDescent="0.3">
      <c r="A313">
        <v>311</v>
      </c>
      <c r="B313">
        <v>4954</v>
      </c>
      <c r="C313" t="b">
        <v>1</v>
      </c>
      <c r="D313">
        <v>8054</v>
      </c>
      <c r="E313">
        <v>8123</v>
      </c>
      <c r="F313">
        <v>8</v>
      </c>
      <c r="G313">
        <v>5.6</v>
      </c>
      <c r="H313">
        <v>1.4285715000000001</v>
      </c>
      <c r="I313">
        <v>-0.42857146000000002</v>
      </c>
      <c r="J313">
        <v>0.41176467999999999</v>
      </c>
    </row>
    <row r="314" spans="1:10" x14ac:dyDescent="0.3">
      <c r="A314">
        <v>312</v>
      </c>
      <c r="B314">
        <v>4970</v>
      </c>
      <c r="C314" t="b">
        <v>1</v>
      </c>
      <c r="D314">
        <v>8054</v>
      </c>
      <c r="E314">
        <v>8123</v>
      </c>
      <c r="F314">
        <v>8</v>
      </c>
      <c r="G314">
        <v>5.6</v>
      </c>
      <c r="H314">
        <v>1.4285715000000001</v>
      </c>
      <c r="I314">
        <v>-0.42857146000000002</v>
      </c>
      <c r="J314">
        <v>0.41176467999999999</v>
      </c>
    </row>
    <row r="315" spans="1:10" x14ac:dyDescent="0.3">
      <c r="A315">
        <v>313</v>
      </c>
      <c r="B315">
        <v>4986</v>
      </c>
      <c r="C315" t="b">
        <v>1</v>
      </c>
      <c r="D315">
        <v>8048</v>
      </c>
      <c r="E315">
        <v>8123</v>
      </c>
      <c r="F315">
        <v>8</v>
      </c>
      <c r="G315">
        <v>6</v>
      </c>
      <c r="H315">
        <v>1.3333333999999999</v>
      </c>
      <c r="I315">
        <v>-0.33333333999999998</v>
      </c>
      <c r="J315">
        <v>0.42857142999999998</v>
      </c>
    </row>
    <row r="316" spans="1:10" x14ac:dyDescent="0.3">
      <c r="A316">
        <v>314</v>
      </c>
      <c r="B316">
        <v>5002</v>
      </c>
      <c r="C316" t="b">
        <v>1</v>
      </c>
      <c r="D316">
        <v>8054</v>
      </c>
      <c r="E316">
        <v>8123</v>
      </c>
      <c r="F316">
        <v>8.4</v>
      </c>
      <c r="G316">
        <v>6.4</v>
      </c>
      <c r="H316">
        <v>1.3124998999999999</v>
      </c>
      <c r="I316">
        <v>-0.3124999</v>
      </c>
      <c r="J316">
        <v>0.43243247000000001</v>
      </c>
    </row>
    <row r="317" spans="1:10" x14ac:dyDescent="0.3">
      <c r="A317">
        <v>315</v>
      </c>
      <c r="B317">
        <v>5018</v>
      </c>
      <c r="C317" t="b">
        <v>1</v>
      </c>
      <c r="D317">
        <v>8054</v>
      </c>
      <c r="E317">
        <v>8129</v>
      </c>
      <c r="F317">
        <v>8.8000000000000007</v>
      </c>
      <c r="G317">
        <v>6.8</v>
      </c>
      <c r="H317">
        <v>1.2941176999999999</v>
      </c>
      <c r="I317">
        <v>-0.29411763000000002</v>
      </c>
      <c r="J317">
        <v>0.43589744000000002</v>
      </c>
    </row>
    <row r="318" spans="1:10" x14ac:dyDescent="0.3">
      <c r="A318">
        <v>316</v>
      </c>
      <c r="B318">
        <v>5034</v>
      </c>
      <c r="C318" t="b">
        <v>1</v>
      </c>
      <c r="D318">
        <v>8048</v>
      </c>
      <c r="E318">
        <v>8123</v>
      </c>
      <c r="F318">
        <v>9.1999999999999993</v>
      </c>
      <c r="G318">
        <v>7.2</v>
      </c>
      <c r="H318">
        <v>1.2777778</v>
      </c>
      <c r="I318">
        <v>-0.27777780000000002</v>
      </c>
      <c r="J318">
        <v>0.43902439999999998</v>
      </c>
    </row>
    <row r="319" spans="1:10" x14ac:dyDescent="0.3">
      <c r="A319">
        <v>317</v>
      </c>
      <c r="B319">
        <v>5050</v>
      </c>
      <c r="C319" t="b">
        <v>1</v>
      </c>
      <c r="D319">
        <v>8054</v>
      </c>
      <c r="E319">
        <v>8123</v>
      </c>
      <c r="F319">
        <v>9.6</v>
      </c>
      <c r="G319">
        <v>7.6</v>
      </c>
      <c r="H319">
        <v>1.263158</v>
      </c>
      <c r="I319">
        <v>-0.26315796000000002</v>
      </c>
      <c r="J319">
        <v>0.44186044000000002</v>
      </c>
    </row>
    <row r="320" spans="1:10" x14ac:dyDescent="0.3">
      <c r="A320">
        <v>318</v>
      </c>
      <c r="B320">
        <v>5066</v>
      </c>
      <c r="C320" t="b">
        <v>1</v>
      </c>
      <c r="D320">
        <v>8054</v>
      </c>
      <c r="E320">
        <v>8123</v>
      </c>
      <c r="F320">
        <v>10</v>
      </c>
      <c r="G320">
        <v>8</v>
      </c>
      <c r="H320">
        <v>1.25</v>
      </c>
      <c r="I320">
        <v>-0.25</v>
      </c>
      <c r="J320">
        <v>0.44444444999999999</v>
      </c>
    </row>
    <row r="321" spans="1:10" x14ac:dyDescent="0.3">
      <c r="A321">
        <v>319</v>
      </c>
      <c r="B321">
        <v>5081</v>
      </c>
      <c r="C321" t="b">
        <v>1</v>
      </c>
      <c r="D321">
        <v>8054</v>
      </c>
      <c r="E321">
        <v>8129</v>
      </c>
      <c r="F321">
        <v>10.4</v>
      </c>
      <c r="G321">
        <v>8</v>
      </c>
      <c r="H321">
        <v>1.3</v>
      </c>
      <c r="I321">
        <v>-0.29999995000000002</v>
      </c>
      <c r="J321">
        <v>0.43478262000000001</v>
      </c>
    </row>
    <row r="322" spans="1:10" x14ac:dyDescent="0.3">
      <c r="A322">
        <v>320</v>
      </c>
      <c r="B322">
        <v>5097</v>
      </c>
      <c r="C322" t="b">
        <v>1</v>
      </c>
      <c r="D322">
        <v>8060</v>
      </c>
      <c r="E322">
        <v>8123</v>
      </c>
      <c r="F322">
        <v>10.8</v>
      </c>
      <c r="G322">
        <v>8</v>
      </c>
      <c r="H322">
        <v>1.35</v>
      </c>
      <c r="I322">
        <v>-0.35000002000000002</v>
      </c>
      <c r="J322">
        <v>0.42553192000000001</v>
      </c>
    </row>
    <row r="323" spans="1:10" x14ac:dyDescent="0.3">
      <c r="A323">
        <v>321</v>
      </c>
      <c r="B323">
        <v>5113</v>
      </c>
      <c r="C323" t="b">
        <v>1</v>
      </c>
      <c r="D323">
        <v>8042</v>
      </c>
      <c r="E323">
        <v>8123</v>
      </c>
      <c r="F323">
        <v>11.2</v>
      </c>
      <c r="G323">
        <v>8</v>
      </c>
      <c r="H323">
        <v>1.4</v>
      </c>
      <c r="I323">
        <v>-0.39999997999999998</v>
      </c>
      <c r="J323">
        <v>0.41666666000000002</v>
      </c>
    </row>
    <row r="324" spans="1:10" x14ac:dyDescent="0.3">
      <c r="A324">
        <v>322</v>
      </c>
      <c r="B324">
        <v>5129</v>
      </c>
      <c r="C324" t="b">
        <v>1</v>
      </c>
      <c r="D324">
        <v>8042</v>
      </c>
      <c r="E324">
        <v>8123</v>
      </c>
      <c r="F324">
        <v>11.6</v>
      </c>
      <c r="G324">
        <v>8</v>
      </c>
      <c r="H324">
        <v>1.45</v>
      </c>
      <c r="I324">
        <v>-0.45000004999999998</v>
      </c>
      <c r="J324">
        <v>0.40816324999999998</v>
      </c>
    </row>
    <row r="325" spans="1:10" x14ac:dyDescent="0.3">
      <c r="A325">
        <v>323</v>
      </c>
      <c r="B325">
        <v>5144</v>
      </c>
      <c r="C325" t="b">
        <v>1</v>
      </c>
      <c r="D325">
        <v>8042</v>
      </c>
      <c r="E325">
        <v>8123</v>
      </c>
      <c r="F325">
        <v>11.2</v>
      </c>
      <c r="G325">
        <v>8</v>
      </c>
      <c r="H325">
        <v>1.4</v>
      </c>
      <c r="I325">
        <v>-0.39999997999999998</v>
      </c>
      <c r="J325">
        <v>0.41666666000000002</v>
      </c>
    </row>
    <row r="326" spans="1:10" x14ac:dyDescent="0.3">
      <c r="A326">
        <v>324</v>
      </c>
      <c r="B326">
        <v>5160</v>
      </c>
      <c r="C326" t="b">
        <v>1</v>
      </c>
      <c r="D326">
        <v>8042</v>
      </c>
      <c r="E326">
        <v>8123</v>
      </c>
      <c r="F326">
        <v>10.8</v>
      </c>
      <c r="G326">
        <v>8</v>
      </c>
      <c r="H326">
        <v>1.35</v>
      </c>
      <c r="I326">
        <v>-0.35000002000000002</v>
      </c>
      <c r="J326">
        <v>0.42553192000000001</v>
      </c>
    </row>
    <row r="327" spans="1:10" x14ac:dyDescent="0.3">
      <c r="A327">
        <v>325</v>
      </c>
      <c r="B327">
        <v>5176</v>
      </c>
      <c r="C327" t="b">
        <v>1</v>
      </c>
      <c r="D327">
        <v>8042</v>
      </c>
      <c r="E327">
        <v>8117</v>
      </c>
      <c r="F327">
        <v>10.4</v>
      </c>
      <c r="G327">
        <v>8</v>
      </c>
      <c r="H327">
        <v>1.3</v>
      </c>
      <c r="I327">
        <v>-0.29999995000000002</v>
      </c>
      <c r="J327">
        <v>0.43478262000000001</v>
      </c>
    </row>
    <row r="328" spans="1:10" x14ac:dyDescent="0.3">
      <c r="A328">
        <v>326</v>
      </c>
      <c r="B328">
        <v>5192</v>
      </c>
      <c r="C328" t="b">
        <v>1</v>
      </c>
      <c r="D328">
        <v>8042</v>
      </c>
      <c r="E328">
        <v>8123</v>
      </c>
      <c r="F328">
        <v>10</v>
      </c>
      <c r="G328">
        <v>8</v>
      </c>
      <c r="H328">
        <v>1.25</v>
      </c>
      <c r="I328">
        <v>-0.25</v>
      </c>
      <c r="J328">
        <v>0.44444444999999999</v>
      </c>
    </row>
    <row r="329" spans="1:10" x14ac:dyDescent="0.3">
      <c r="A329">
        <v>327</v>
      </c>
      <c r="B329">
        <v>5208</v>
      </c>
      <c r="C329" t="b">
        <v>1</v>
      </c>
      <c r="D329">
        <v>8054</v>
      </c>
      <c r="E329">
        <v>8123</v>
      </c>
      <c r="F329">
        <v>9.6</v>
      </c>
      <c r="G329">
        <v>8</v>
      </c>
      <c r="H329">
        <v>1.2</v>
      </c>
      <c r="I329">
        <v>-0.20000005000000001</v>
      </c>
      <c r="J329">
        <v>0.45454544000000002</v>
      </c>
    </row>
    <row r="330" spans="1:10" x14ac:dyDescent="0.3">
      <c r="A330">
        <v>328</v>
      </c>
      <c r="B330">
        <v>5224</v>
      </c>
      <c r="C330" t="b">
        <v>1</v>
      </c>
      <c r="D330">
        <v>8048</v>
      </c>
      <c r="E330">
        <v>8123</v>
      </c>
      <c r="F330">
        <v>9.1999999999999993</v>
      </c>
      <c r="G330">
        <v>8</v>
      </c>
      <c r="H330">
        <v>1.1499999999999999</v>
      </c>
      <c r="I330">
        <v>-0.14999998</v>
      </c>
      <c r="J330">
        <v>0.46511626</v>
      </c>
    </row>
    <row r="331" spans="1:10" x14ac:dyDescent="0.3">
      <c r="A331">
        <v>329</v>
      </c>
      <c r="B331">
        <v>5239</v>
      </c>
      <c r="C331" t="b">
        <v>1</v>
      </c>
      <c r="D331">
        <v>8048</v>
      </c>
      <c r="E331">
        <v>8123</v>
      </c>
      <c r="F331">
        <v>8.8000000000000007</v>
      </c>
      <c r="G331">
        <v>8</v>
      </c>
      <c r="H331">
        <v>1.1000000000000001</v>
      </c>
      <c r="I331">
        <v>-0.10000002400000001</v>
      </c>
      <c r="J331">
        <v>0.47619050000000002</v>
      </c>
    </row>
    <row r="332" spans="1:10" x14ac:dyDescent="0.3">
      <c r="A332">
        <v>330</v>
      </c>
      <c r="B332">
        <v>5255</v>
      </c>
      <c r="C332" t="b">
        <v>1</v>
      </c>
      <c r="D332">
        <v>8048</v>
      </c>
      <c r="E332">
        <v>8123</v>
      </c>
      <c r="F332">
        <v>8.4</v>
      </c>
      <c r="G332">
        <v>8</v>
      </c>
      <c r="H332">
        <v>1.05</v>
      </c>
      <c r="I332">
        <v>-4.9999952E-2</v>
      </c>
      <c r="J332">
        <v>0.48780489999999999</v>
      </c>
    </row>
    <row r="333" spans="1:10" x14ac:dyDescent="0.3">
      <c r="A333">
        <v>331</v>
      </c>
      <c r="B333">
        <v>5271</v>
      </c>
      <c r="C333" t="b">
        <v>1</v>
      </c>
      <c r="D333">
        <v>8048</v>
      </c>
      <c r="E333">
        <v>8123</v>
      </c>
      <c r="F333">
        <v>8</v>
      </c>
      <c r="G333">
        <v>8</v>
      </c>
      <c r="H333">
        <v>1</v>
      </c>
      <c r="I333">
        <v>0</v>
      </c>
      <c r="J333">
        <v>0.5</v>
      </c>
    </row>
    <row r="334" spans="1:10" x14ac:dyDescent="0.3">
      <c r="A334">
        <v>332</v>
      </c>
      <c r="B334">
        <v>5287</v>
      </c>
      <c r="C334" t="b">
        <v>1</v>
      </c>
      <c r="D334">
        <v>8048</v>
      </c>
      <c r="E334">
        <v>8123</v>
      </c>
      <c r="F334">
        <v>7.6</v>
      </c>
      <c r="G334">
        <v>8</v>
      </c>
      <c r="H334">
        <v>0.95</v>
      </c>
      <c r="I334">
        <v>5.0000012000000003E-2</v>
      </c>
      <c r="J334">
        <v>0.51282050000000001</v>
      </c>
    </row>
    <row r="335" spans="1:10" x14ac:dyDescent="0.3">
      <c r="A335">
        <v>333</v>
      </c>
      <c r="B335">
        <v>5303</v>
      </c>
      <c r="C335" t="b">
        <v>1</v>
      </c>
      <c r="D335">
        <v>8048</v>
      </c>
      <c r="E335">
        <v>8123</v>
      </c>
      <c r="F335">
        <v>7.2</v>
      </c>
      <c r="G335">
        <v>8</v>
      </c>
      <c r="H335">
        <v>0.9</v>
      </c>
      <c r="I335">
        <v>0.10000002400000001</v>
      </c>
      <c r="J335">
        <v>0.5263158</v>
      </c>
    </row>
    <row r="336" spans="1:10" x14ac:dyDescent="0.3">
      <c r="A336">
        <v>334</v>
      </c>
      <c r="B336">
        <v>5319</v>
      </c>
      <c r="C336" t="b">
        <v>1</v>
      </c>
      <c r="D336">
        <v>8054</v>
      </c>
      <c r="E336">
        <v>8129</v>
      </c>
      <c r="F336">
        <v>6.8</v>
      </c>
      <c r="G336">
        <v>8</v>
      </c>
      <c r="H336">
        <v>0.85</v>
      </c>
      <c r="I336">
        <v>0.14999998</v>
      </c>
      <c r="J336">
        <v>0.54054049999999998</v>
      </c>
    </row>
    <row r="337" spans="1:10" x14ac:dyDescent="0.3">
      <c r="A337">
        <v>335</v>
      </c>
      <c r="B337">
        <v>5335</v>
      </c>
      <c r="C337" t="b">
        <v>1</v>
      </c>
      <c r="D337">
        <v>8048</v>
      </c>
      <c r="E337">
        <v>8129</v>
      </c>
      <c r="F337">
        <v>6.4</v>
      </c>
      <c r="G337">
        <v>8</v>
      </c>
      <c r="H337">
        <v>0.8</v>
      </c>
      <c r="I337">
        <v>0.19999998999999999</v>
      </c>
      <c r="J337">
        <v>0.55555560000000004</v>
      </c>
    </row>
    <row r="338" spans="1:10" x14ac:dyDescent="0.3">
      <c r="A338">
        <v>336</v>
      </c>
      <c r="B338">
        <v>5351</v>
      </c>
      <c r="C338" t="b">
        <v>1</v>
      </c>
      <c r="D338">
        <v>8048</v>
      </c>
      <c r="E338">
        <v>8123</v>
      </c>
      <c r="F338">
        <v>6</v>
      </c>
      <c r="G338">
        <v>8</v>
      </c>
      <c r="H338">
        <v>0.75</v>
      </c>
      <c r="I338">
        <v>0.25</v>
      </c>
      <c r="J338">
        <v>0.57142859999999995</v>
      </c>
    </row>
    <row r="339" spans="1:10" x14ac:dyDescent="0.3">
      <c r="A339">
        <v>337</v>
      </c>
      <c r="B339">
        <v>5367</v>
      </c>
      <c r="C339" t="b">
        <v>1</v>
      </c>
      <c r="D339">
        <v>8048</v>
      </c>
      <c r="E339">
        <v>8123</v>
      </c>
      <c r="F339">
        <v>5.6</v>
      </c>
      <c r="G339">
        <v>8</v>
      </c>
      <c r="H339">
        <v>0.7</v>
      </c>
      <c r="I339">
        <v>0.3</v>
      </c>
      <c r="J339">
        <v>0.58823526000000004</v>
      </c>
    </row>
    <row r="340" spans="1:10" x14ac:dyDescent="0.3">
      <c r="A340">
        <v>338</v>
      </c>
      <c r="B340">
        <v>5383</v>
      </c>
      <c r="C340" t="b">
        <v>1</v>
      </c>
      <c r="D340">
        <v>8048</v>
      </c>
      <c r="E340">
        <v>8123</v>
      </c>
      <c r="F340">
        <v>6</v>
      </c>
      <c r="G340">
        <v>8</v>
      </c>
      <c r="H340">
        <v>0.75</v>
      </c>
      <c r="I340">
        <v>0.25</v>
      </c>
      <c r="J340">
        <v>0.57142859999999995</v>
      </c>
    </row>
    <row r="341" spans="1:10" x14ac:dyDescent="0.3">
      <c r="A341">
        <v>339</v>
      </c>
      <c r="B341">
        <v>5399</v>
      </c>
      <c r="C341" t="b">
        <v>1</v>
      </c>
      <c r="D341">
        <v>8048</v>
      </c>
      <c r="E341">
        <v>8123</v>
      </c>
      <c r="F341">
        <v>6.4</v>
      </c>
      <c r="G341">
        <v>8</v>
      </c>
      <c r="H341">
        <v>0.8</v>
      </c>
      <c r="I341">
        <v>0.19999998999999999</v>
      </c>
      <c r="J341">
        <v>0.55555560000000004</v>
      </c>
    </row>
    <row r="342" spans="1:10" x14ac:dyDescent="0.3">
      <c r="A342">
        <v>340</v>
      </c>
      <c r="B342">
        <v>5415</v>
      </c>
      <c r="C342" t="b">
        <v>1</v>
      </c>
      <c r="D342">
        <v>8042</v>
      </c>
      <c r="E342">
        <v>8117</v>
      </c>
      <c r="F342">
        <v>6.8</v>
      </c>
      <c r="G342">
        <v>8</v>
      </c>
      <c r="H342">
        <v>0.85</v>
      </c>
      <c r="I342">
        <v>0.14999998</v>
      </c>
      <c r="J342">
        <v>0.54054049999999998</v>
      </c>
    </row>
    <row r="343" spans="1:10" x14ac:dyDescent="0.3">
      <c r="A343">
        <v>341</v>
      </c>
      <c r="B343">
        <v>5431</v>
      </c>
      <c r="C343" t="b">
        <v>1</v>
      </c>
      <c r="D343">
        <v>8048</v>
      </c>
      <c r="E343">
        <v>8123</v>
      </c>
      <c r="F343">
        <v>7.2</v>
      </c>
      <c r="G343">
        <v>8</v>
      </c>
      <c r="H343">
        <v>0.9</v>
      </c>
      <c r="I343">
        <v>0.10000002400000001</v>
      </c>
      <c r="J343">
        <v>0.5263158</v>
      </c>
    </row>
    <row r="344" spans="1:10" x14ac:dyDescent="0.3">
      <c r="A344">
        <v>342</v>
      </c>
      <c r="B344">
        <v>5446</v>
      </c>
      <c r="C344" t="b">
        <v>1</v>
      </c>
      <c r="D344">
        <v>8042</v>
      </c>
      <c r="E344">
        <v>8123</v>
      </c>
      <c r="F344">
        <v>7.6</v>
      </c>
      <c r="G344">
        <v>8</v>
      </c>
      <c r="H344">
        <v>0.95</v>
      </c>
      <c r="I344">
        <v>5.0000012000000003E-2</v>
      </c>
      <c r="J344">
        <v>0.51282050000000001</v>
      </c>
    </row>
    <row r="345" spans="1:10" x14ac:dyDescent="0.3">
      <c r="A345">
        <v>343</v>
      </c>
      <c r="B345">
        <v>5462</v>
      </c>
      <c r="C345" t="b">
        <v>1</v>
      </c>
      <c r="D345">
        <v>8048</v>
      </c>
      <c r="E345">
        <v>8123</v>
      </c>
      <c r="F345">
        <v>8</v>
      </c>
      <c r="G345">
        <v>8</v>
      </c>
      <c r="H345">
        <v>1</v>
      </c>
      <c r="I345">
        <v>0</v>
      </c>
      <c r="J345">
        <v>0.5</v>
      </c>
    </row>
    <row r="346" spans="1:10" x14ac:dyDescent="0.3">
      <c r="A346">
        <v>344</v>
      </c>
      <c r="B346">
        <v>5478</v>
      </c>
      <c r="C346" t="b">
        <v>1</v>
      </c>
      <c r="D346">
        <v>8048</v>
      </c>
      <c r="E346">
        <v>8123</v>
      </c>
      <c r="F346">
        <v>8</v>
      </c>
      <c r="G346">
        <v>8</v>
      </c>
      <c r="H346">
        <v>1</v>
      </c>
      <c r="I346">
        <v>0</v>
      </c>
      <c r="J346">
        <v>0.5</v>
      </c>
    </row>
    <row r="347" spans="1:10" x14ac:dyDescent="0.3">
      <c r="A347">
        <v>345</v>
      </c>
      <c r="B347">
        <v>5494</v>
      </c>
      <c r="C347" t="b">
        <v>1</v>
      </c>
      <c r="D347">
        <v>8048</v>
      </c>
      <c r="E347">
        <v>8123</v>
      </c>
      <c r="F347">
        <v>8</v>
      </c>
      <c r="G347">
        <v>8</v>
      </c>
      <c r="H347">
        <v>1</v>
      </c>
      <c r="I347">
        <v>0</v>
      </c>
      <c r="J347">
        <v>0.5</v>
      </c>
    </row>
    <row r="348" spans="1:10" x14ac:dyDescent="0.3">
      <c r="A348">
        <v>346</v>
      </c>
      <c r="B348">
        <v>5510</v>
      </c>
      <c r="C348" t="b">
        <v>1</v>
      </c>
      <c r="D348">
        <v>8048</v>
      </c>
      <c r="E348">
        <v>8123</v>
      </c>
      <c r="F348">
        <v>8</v>
      </c>
      <c r="G348">
        <v>8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5525</v>
      </c>
      <c r="C349" t="b">
        <v>1</v>
      </c>
      <c r="D349">
        <v>8042</v>
      </c>
      <c r="E349">
        <v>8123</v>
      </c>
      <c r="F349">
        <v>8</v>
      </c>
      <c r="G349">
        <v>8</v>
      </c>
      <c r="H349">
        <v>1</v>
      </c>
      <c r="I349">
        <v>0</v>
      </c>
      <c r="J349">
        <v>0.5</v>
      </c>
    </row>
    <row r="350" spans="1:10" x14ac:dyDescent="0.3">
      <c r="A350">
        <v>348</v>
      </c>
      <c r="B350">
        <v>5541</v>
      </c>
      <c r="C350" t="b">
        <v>1</v>
      </c>
      <c r="D350">
        <v>8048</v>
      </c>
      <c r="E350">
        <v>8123</v>
      </c>
      <c r="F350">
        <v>8</v>
      </c>
      <c r="G350">
        <v>8</v>
      </c>
      <c r="H350">
        <v>1</v>
      </c>
      <c r="I350">
        <v>0</v>
      </c>
      <c r="J350">
        <v>0.5</v>
      </c>
    </row>
    <row r="351" spans="1:10" x14ac:dyDescent="0.3">
      <c r="A351">
        <v>349</v>
      </c>
      <c r="B351">
        <v>5557</v>
      </c>
      <c r="C351" t="b">
        <v>1</v>
      </c>
      <c r="D351">
        <v>8048</v>
      </c>
      <c r="E351">
        <v>8129</v>
      </c>
      <c r="F351">
        <v>8</v>
      </c>
      <c r="G351">
        <v>8</v>
      </c>
      <c r="H351">
        <v>1</v>
      </c>
      <c r="I351">
        <v>0</v>
      </c>
      <c r="J351">
        <v>0.5</v>
      </c>
    </row>
    <row r="352" spans="1:10" x14ac:dyDescent="0.3">
      <c r="A352">
        <v>350</v>
      </c>
      <c r="B352">
        <v>5573</v>
      </c>
      <c r="C352" t="b">
        <v>1</v>
      </c>
      <c r="D352">
        <v>8048</v>
      </c>
      <c r="E352">
        <v>8123</v>
      </c>
      <c r="F352">
        <v>8</v>
      </c>
      <c r="G352">
        <v>8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5589</v>
      </c>
      <c r="C353" t="b">
        <v>1</v>
      </c>
      <c r="D353">
        <v>8048</v>
      </c>
      <c r="E353">
        <v>8123</v>
      </c>
      <c r="F353">
        <v>8</v>
      </c>
      <c r="G353">
        <v>8</v>
      </c>
      <c r="H353">
        <v>1</v>
      </c>
      <c r="I353">
        <v>0</v>
      </c>
      <c r="J353">
        <v>0.5</v>
      </c>
    </row>
    <row r="354" spans="1:10" x14ac:dyDescent="0.3">
      <c r="A354">
        <v>352</v>
      </c>
      <c r="B354">
        <v>5605</v>
      </c>
      <c r="C354" t="b">
        <v>1</v>
      </c>
      <c r="D354">
        <v>8048</v>
      </c>
      <c r="E354">
        <v>8129</v>
      </c>
      <c r="F354">
        <v>8</v>
      </c>
      <c r="G354">
        <v>8</v>
      </c>
      <c r="H354">
        <v>1</v>
      </c>
      <c r="I354">
        <v>0</v>
      </c>
      <c r="J354">
        <v>0.5</v>
      </c>
    </row>
    <row r="355" spans="1:10" x14ac:dyDescent="0.3">
      <c r="A355">
        <v>353</v>
      </c>
      <c r="B355">
        <v>5620</v>
      </c>
      <c r="C355" t="b">
        <v>1</v>
      </c>
      <c r="D355">
        <v>8048</v>
      </c>
      <c r="E355">
        <v>8123</v>
      </c>
      <c r="F355">
        <v>8</v>
      </c>
      <c r="G355">
        <v>8</v>
      </c>
      <c r="H355">
        <v>1</v>
      </c>
      <c r="I355">
        <v>0</v>
      </c>
      <c r="J355">
        <v>0.5</v>
      </c>
    </row>
    <row r="356" spans="1:10" x14ac:dyDescent="0.3">
      <c r="A356">
        <v>354</v>
      </c>
      <c r="B356">
        <v>5636</v>
      </c>
      <c r="C356" t="b">
        <v>1</v>
      </c>
      <c r="D356">
        <v>8048</v>
      </c>
      <c r="E356">
        <v>8123</v>
      </c>
      <c r="F356">
        <v>8</v>
      </c>
      <c r="G356">
        <v>8</v>
      </c>
      <c r="H356">
        <v>1</v>
      </c>
      <c r="I356">
        <v>0</v>
      </c>
      <c r="J356">
        <v>0.5</v>
      </c>
    </row>
    <row r="357" spans="1:10" x14ac:dyDescent="0.3">
      <c r="A357">
        <v>355</v>
      </c>
      <c r="B357">
        <v>5651</v>
      </c>
      <c r="C357" t="b">
        <v>1</v>
      </c>
      <c r="D357">
        <v>8048</v>
      </c>
      <c r="E357">
        <v>8123</v>
      </c>
      <c r="F357">
        <v>8</v>
      </c>
      <c r="G357">
        <v>8</v>
      </c>
      <c r="H357">
        <v>1</v>
      </c>
      <c r="I357">
        <v>0</v>
      </c>
      <c r="J357">
        <v>0.5</v>
      </c>
    </row>
    <row r="358" spans="1:10" x14ac:dyDescent="0.3">
      <c r="A358">
        <v>356</v>
      </c>
      <c r="B358">
        <v>5668</v>
      </c>
      <c r="C358" t="b">
        <v>1</v>
      </c>
      <c r="D358">
        <v>8048</v>
      </c>
      <c r="E358">
        <v>8123</v>
      </c>
      <c r="F358">
        <v>8</v>
      </c>
      <c r="G358">
        <v>8</v>
      </c>
      <c r="H358">
        <v>1</v>
      </c>
      <c r="I358">
        <v>0</v>
      </c>
      <c r="J358">
        <v>0.5</v>
      </c>
    </row>
    <row r="359" spans="1:10" x14ac:dyDescent="0.3">
      <c r="A359">
        <v>357</v>
      </c>
      <c r="B359">
        <v>5683</v>
      </c>
      <c r="C359" t="b">
        <v>1</v>
      </c>
      <c r="D359">
        <v>8048</v>
      </c>
      <c r="E359">
        <v>8123</v>
      </c>
      <c r="F359">
        <v>8</v>
      </c>
      <c r="G359">
        <v>8</v>
      </c>
      <c r="H359">
        <v>1</v>
      </c>
      <c r="I359">
        <v>0</v>
      </c>
      <c r="J359">
        <v>0.5</v>
      </c>
    </row>
    <row r="360" spans="1:10" x14ac:dyDescent="0.3">
      <c r="A360">
        <v>358</v>
      </c>
      <c r="B360">
        <v>5699</v>
      </c>
      <c r="C360" t="b">
        <v>1</v>
      </c>
      <c r="D360">
        <v>8048</v>
      </c>
      <c r="E360">
        <v>8123</v>
      </c>
      <c r="F360">
        <v>8</v>
      </c>
      <c r="G360">
        <v>8</v>
      </c>
      <c r="H360">
        <v>1</v>
      </c>
      <c r="I360">
        <v>0</v>
      </c>
      <c r="J360">
        <v>0.5</v>
      </c>
    </row>
    <row r="361" spans="1:10" x14ac:dyDescent="0.3">
      <c r="A361">
        <v>359</v>
      </c>
      <c r="B361">
        <v>5715</v>
      </c>
      <c r="C361" t="b">
        <v>1</v>
      </c>
      <c r="D361">
        <v>8054</v>
      </c>
      <c r="E361">
        <v>8117</v>
      </c>
      <c r="F361">
        <v>8</v>
      </c>
      <c r="G361">
        <v>8</v>
      </c>
      <c r="H361">
        <v>1</v>
      </c>
      <c r="I361">
        <v>0</v>
      </c>
      <c r="J361">
        <v>0.5</v>
      </c>
    </row>
    <row r="362" spans="1:10" x14ac:dyDescent="0.3">
      <c r="A362">
        <v>360</v>
      </c>
      <c r="B362">
        <v>5731</v>
      </c>
      <c r="C362" t="b">
        <v>1</v>
      </c>
      <c r="D362">
        <v>8048</v>
      </c>
      <c r="E362">
        <v>8111</v>
      </c>
      <c r="F362">
        <v>8</v>
      </c>
      <c r="G362">
        <v>8</v>
      </c>
      <c r="H362">
        <v>1</v>
      </c>
      <c r="I362">
        <v>0</v>
      </c>
      <c r="J362">
        <v>0.5</v>
      </c>
    </row>
    <row r="363" spans="1:10" x14ac:dyDescent="0.3">
      <c r="A363">
        <v>361</v>
      </c>
      <c r="B363">
        <v>5747</v>
      </c>
      <c r="C363" t="b">
        <v>1</v>
      </c>
      <c r="D363">
        <v>8048</v>
      </c>
      <c r="E363">
        <v>8117</v>
      </c>
      <c r="F363">
        <v>8</v>
      </c>
      <c r="G363">
        <v>7.6</v>
      </c>
      <c r="H363">
        <v>1.0526316</v>
      </c>
      <c r="I363">
        <v>-5.2631589999999999E-2</v>
      </c>
      <c r="J363">
        <v>0.48717946000000001</v>
      </c>
    </row>
    <row r="364" spans="1:10" x14ac:dyDescent="0.3">
      <c r="A364">
        <v>362</v>
      </c>
      <c r="B364">
        <v>5763</v>
      </c>
      <c r="C364" t="b">
        <v>1</v>
      </c>
      <c r="D364">
        <v>8048</v>
      </c>
      <c r="E364">
        <v>8117</v>
      </c>
      <c r="F364">
        <v>8</v>
      </c>
      <c r="G364">
        <v>7.2</v>
      </c>
      <c r="H364">
        <v>1.1111112000000001</v>
      </c>
      <c r="I364">
        <v>-0.11111114</v>
      </c>
      <c r="J364">
        <v>0.4736842</v>
      </c>
    </row>
    <row r="365" spans="1:10" x14ac:dyDescent="0.3">
      <c r="A365">
        <v>363</v>
      </c>
      <c r="B365">
        <v>5778</v>
      </c>
      <c r="C365" t="b">
        <v>1</v>
      </c>
      <c r="D365">
        <v>8048</v>
      </c>
      <c r="E365">
        <v>8123</v>
      </c>
      <c r="F365">
        <v>8</v>
      </c>
      <c r="G365">
        <v>6.8</v>
      </c>
      <c r="H365">
        <v>1.1764705</v>
      </c>
      <c r="I365">
        <v>-0.17647055</v>
      </c>
      <c r="J365">
        <v>0.45945944999999999</v>
      </c>
    </row>
    <row r="366" spans="1:10" x14ac:dyDescent="0.3">
      <c r="A366">
        <v>364</v>
      </c>
      <c r="B366">
        <v>5793</v>
      </c>
      <c r="C366" t="b">
        <v>1</v>
      </c>
      <c r="D366">
        <v>8048</v>
      </c>
      <c r="E366">
        <v>8123</v>
      </c>
      <c r="F366">
        <v>8</v>
      </c>
      <c r="G366">
        <v>6.4</v>
      </c>
      <c r="H366">
        <v>1.25</v>
      </c>
      <c r="I366">
        <v>-0.24999999000000001</v>
      </c>
      <c r="J366">
        <v>0.44444447999999998</v>
      </c>
    </row>
    <row r="367" spans="1:10" x14ac:dyDescent="0.3">
      <c r="A367">
        <v>365</v>
      </c>
      <c r="B367">
        <v>5809</v>
      </c>
      <c r="C367" t="b">
        <v>1</v>
      </c>
      <c r="D367">
        <v>8042</v>
      </c>
      <c r="E367">
        <v>8123</v>
      </c>
      <c r="F367">
        <v>8</v>
      </c>
      <c r="G367">
        <v>6.4</v>
      </c>
      <c r="H367">
        <v>1.25</v>
      </c>
      <c r="I367">
        <v>-0.24999999000000001</v>
      </c>
      <c r="J367">
        <v>0.44444447999999998</v>
      </c>
    </row>
    <row r="368" spans="1:10" x14ac:dyDescent="0.3">
      <c r="A368">
        <v>366</v>
      </c>
      <c r="B368">
        <v>5825</v>
      </c>
      <c r="C368" t="b">
        <v>1</v>
      </c>
      <c r="D368">
        <v>8048</v>
      </c>
      <c r="E368">
        <v>8129</v>
      </c>
      <c r="F368">
        <v>8</v>
      </c>
      <c r="G368">
        <v>6.4</v>
      </c>
      <c r="H368">
        <v>1.25</v>
      </c>
      <c r="I368">
        <v>-0.24999999000000001</v>
      </c>
      <c r="J368">
        <v>0.44444447999999998</v>
      </c>
    </row>
    <row r="369" spans="1:10" x14ac:dyDescent="0.3">
      <c r="A369">
        <v>367</v>
      </c>
      <c r="B369">
        <v>5841</v>
      </c>
      <c r="C369" t="b">
        <v>1</v>
      </c>
      <c r="D369">
        <v>8048</v>
      </c>
      <c r="E369">
        <v>8123</v>
      </c>
      <c r="F369">
        <v>8</v>
      </c>
      <c r="G369">
        <v>6.4</v>
      </c>
      <c r="H369">
        <v>1.25</v>
      </c>
      <c r="I369">
        <v>-0.24999999000000001</v>
      </c>
      <c r="J369">
        <v>0.44444447999999998</v>
      </c>
    </row>
    <row r="370" spans="1:10" x14ac:dyDescent="0.3">
      <c r="A370">
        <v>368</v>
      </c>
      <c r="B370">
        <v>5857</v>
      </c>
      <c r="C370" t="b">
        <v>1</v>
      </c>
      <c r="D370">
        <v>8048</v>
      </c>
      <c r="E370">
        <v>8123</v>
      </c>
      <c r="F370">
        <v>8</v>
      </c>
      <c r="G370">
        <v>6.4</v>
      </c>
      <c r="H370">
        <v>1.25</v>
      </c>
      <c r="I370">
        <v>-0.24999999000000001</v>
      </c>
      <c r="J370">
        <v>0.44444447999999998</v>
      </c>
    </row>
    <row r="371" spans="1:10" x14ac:dyDescent="0.3">
      <c r="A371">
        <v>369</v>
      </c>
      <c r="B371">
        <v>5872</v>
      </c>
      <c r="C371" t="b">
        <v>1</v>
      </c>
      <c r="D371">
        <v>8048</v>
      </c>
      <c r="E371">
        <v>8123</v>
      </c>
      <c r="F371">
        <v>8</v>
      </c>
      <c r="G371">
        <v>6.4</v>
      </c>
      <c r="H371">
        <v>1.25</v>
      </c>
      <c r="I371">
        <v>-0.24999999000000001</v>
      </c>
      <c r="J371">
        <v>0.44444447999999998</v>
      </c>
    </row>
    <row r="372" spans="1:10" x14ac:dyDescent="0.3">
      <c r="A372">
        <v>370</v>
      </c>
      <c r="B372">
        <v>5888</v>
      </c>
      <c r="C372" t="b">
        <v>1</v>
      </c>
      <c r="D372">
        <v>8048</v>
      </c>
      <c r="E372">
        <v>8123</v>
      </c>
      <c r="F372">
        <v>8</v>
      </c>
      <c r="G372">
        <v>6.4</v>
      </c>
      <c r="H372">
        <v>1.25</v>
      </c>
      <c r="I372">
        <v>-0.24999999000000001</v>
      </c>
      <c r="J372">
        <v>0.44444447999999998</v>
      </c>
    </row>
    <row r="373" spans="1:10" x14ac:dyDescent="0.3">
      <c r="A373">
        <v>371</v>
      </c>
      <c r="B373">
        <v>5904</v>
      </c>
      <c r="C373" t="b">
        <v>1</v>
      </c>
      <c r="D373">
        <v>8048</v>
      </c>
      <c r="E373">
        <v>8117</v>
      </c>
      <c r="F373">
        <v>8</v>
      </c>
      <c r="G373">
        <v>6.4</v>
      </c>
      <c r="H373">
        <v>1.25</v>
      </c>
      <c r="I373">
        <v>-0.24999999000000001</v>
      </c>
      <c r="J373">
        <v>0.44444447999999998</v>
      </c>
    </row>
    <row r="374" spans="1:10" x14ac:dyDescent="0.3">
      <c r="A374">
        <v>372</v>
      </c>
      <c r="B374">
        <v>5919</v>
      </c>
      <c r="C374" t="b">
        <v>1</v>
      </c>
      <c r="D374">
        <v>8048</v>
      </c>
      <c r="E374">
        <v>8123</v>
      </c>
      <c r="F374">
        <v>8</v>
      </c>
      <c r="G374">
        <v>6.4</v>
      </c>
      <c r="H374">
        <v>1.25</v>
      </c>
      <c r="I374">
        <v>-0.24999999000000001</v>
      </c>
      <c r="J374">
        <v>0.44444447999999998</v>
      </c>
    </row>
    <row r="375" spans="1:10" x14ac:dyDescent="0.3">
      <c r="A375">
        <v>373</v>
      </c>
      <c r="B375">
        <v>5935</v>
      </c>
      <c r="C375" t="b">
        <v>1</v>
      </c>
      <c r="D375">
        <v>8048</v>
      </c>
      <c r="E375">
        <v>8123</v>
      </c>
      <c r="F375">
        <v>8</v>
      </c>
      <c r="G375">
        <v>6.4</v>
      </c>
      <c r="H375">
        <v>1.25</v>
      </c>
      <c r="I375">
        <v>-0.24999999000000001</v>
      </c>
      <c r="J375">
        <v>0.44444447999999998</v>
      </c>
    </row>
    <row r="376" spans="1:10" x14ac:dyDescent="0.3">
      <c r="A376">
        <v>374</v>
      </c>
      <c r="B376">
        <v>5951</v>
      </c>
      <c r="C376" t="b">
        <v>1</v>
      </c>
      <c r="D376">
        <v>8048</v>
      </c>
      <c r="E376">
        <v>8123</v>
      </c>
      <c r="F376">
        <v>8</v>
      </c>
      <c r="G376">
        <v>6.4</v>
      </c>
      <c r="H376">
        <v>1.25</v>
      </c>
      <c r="I376">
        <v>-0.24999999000000001</v>
      </c>
      <c r="J376">
        <v>0.44444447999999998</v>
      </c>
    </row>
    <row r="377" spans="1:10" x14ac:dyDescent="0.3">
      <c r="A377">
        <v>375</v>
      </c>
      <c r="B377">
        <v>5966</v>
      </c>
      <c r="C377" t="b">
        <v>1</v>
      </c>
      <c r="D377">
        <v>8054</v>
      </c>
      <c r="E377">
        <v>8123</v>
      </c>
      <c r="F377">
        <v>8</v>
      </c>
      <c r="G377">
        <v>6.4</v>
      </c>
      <c r="H377">
        <v>1.25</v>
      </c>
      <c r="I377">
        <v>-0.24999999000000001</v>
      </c>
      <c r="J377">
        <v>0.44444447999999998</v>
      </c>
    </row>
    <row r="378" spans="1:10" x14ac:dyDescent="0.3">
      <c r="A378">
        <v>376</v>
      </c>
      <c r="B378">
        <v>5982</v>
      </c>
      <c r="C378" t="b">
        <v>1</v>
      </c>
      <c r="D378">
        <v>8048</v>
      </c>
      <c r="E378">
        <v>8117</v>
      </c>
      <c r="F378">
        <v>8</v>
      </c>
      <c r="G378">
        <v>6.8</v>
      </c>
      <c r="H378">
        <v>1.1764705</v>
      </c>
      <c r="I378">
        <v>-0.17647055</v>
      </c>
      <c r="J378">
        <v>0.45945944999999999</v>
      </c>
    </row>
    <row r="379" spans="1:10" x14ac:dyDescent="0.3">
      <c r="A379">
        <v>377</v>
      </c>
      <c r="B379">
        <v>5998</v>
      </c>
      <c r="C379" t="b">
        <v>1</v>
      </c>
      <c r="D379">
        <v>8048</v>
      </c>
      <c r="E379">
        <v>8117</v>
      </c>
      <c r="F379">
        <v>8</v>
      </c>
      <c r="G379">
        <v>7.2</v>
      </c>
      <c r="H379">
        <v>1.1111112000000001</v>
      </c>
      <c r="I379">
        <v>-0.11111114</v>
      </c>
      <c r="J379">
        <v>0.4736842</v>
      </c>
    </row>
    <row r="380" spans="1:10" x14ac:dyDescent="0.3">
      <c r="A380">
        <v>378</v>
      </c>
      <c r="B380">
        <v>6014</v>
      </c>
      <c r="C380" t="b">
        <v>1</v>
      </c>
      <c r="D380">
        <v>8048</v>
      </c>
      <c r="E380">
        <v>8117</v>
      </c>
      <c r="F380">
        <v>8</v>
      </c>
      <c r="G380">
        <v>7.2</v>
      </c>
      <c r="H380">
        <v>1.1111112000000001</v>
      </c>
      <c r="I380">
        <v>-0.11111114</v>
      </c>
      <c r="J380">
        <v>0.4736842</v>
      </c>
    </row>
    <row r="381" spans="1:10" x14ac:dyDescent="0.3">
      <c r="A381">
        <v>379</v>
      </c>
      <c r="B381">
        <v>6030</v>
      </c>
      <c r="C381" t="b">
        <v>1</v>
      </c>
      <c r="D381">
        <v>8048</v>
      </c>
      <c r="E381">
        <v>8117</v>
      </c>
      <c r="F381">
        <v>8</v>
      </c>
      <c r="G381">
        <v>7.2</v>
      </c>
      <c r="H381">
        <v>1.1111112000000001</v>
      </c>
      <c r="I381">
        <v>-0.11111114</v>
      </c>
      <c r="J381">
        <v>0.4736842</v>
      </c>
    </row>
    <row r="382" spans="1:10" x14ac:dyDescent="0.3">
      <c r="A382">
        <v>380</v>
      </c>
      <c r="B382">
        <v>6045</v>
      </c>
      <c r="C382" t="b">
        <v>1</v>
      </c>
      <c r="D382">
        <v>8048</v>
      </c>
      <c r="E382">
        <v>8117</v>
      </c>
      <c r="F382">
        <v>8</v>
      </c>
      <c r="G382">
        <v>6.8</v>
      </c>
      <c r="H382">
        <v>1.1764705</v>
      </c>
      <c r="I382">
        <v>-0.17647055</v>
      </c>
      <c r="J382">
        <v>0.45945944999999999</v>
      </c>
    </row>
    <row r="383" spans="1:10" x14ac:dyDescent="0.3">
      <c r="A383">
        <v>381</v>
      </c>
      <c r="B383">
        <v>6061</v>
      </c>
      <c r="C383" t="b">
        <v>1</v>
      </c>
      <c r="D383">
        <v>8048</v>
      </c>
      <c r="E383">
        <v>8117</v>
      </c>
      <c r="F383">
        <v>8</v>
      </c>
      <c r="G383">
        <v>6.4</v>
      </c>
      <c r="H383">
        <v>1.25</v>
      </c>
      <c r="I383">
        <v>-0.24999999000000001</v>
      </c>
      <c r="J383">
        <v>0.44444447999999998</v>
      </c>
    </row>
    <row r="384" spans="1:10" x14ac:dyDescent="0.3">
      <c r="A384">
        <v>382</v>
      </c>
      <c r="B384">
        <v>6077</v>
      </c>
      <c r="C384" t="b">
        <v>1</v>
      </c>
      <c r="D384">
        <v>8048</v>
      </c>
      <c r="E384">
        <v>8117</v>
      </c>
      <c r="F384">
        <v>8</v>
      </c>
      <c r="G384">
        <v>6</v>
      </c>
      <c r="H384">
        <v>1.3333333999999999</v>
      </c>
      <c r="I384">
        <v>-0.33333333999999998</v>
      </c>
      <c r="J384">
        <v>0.42857142999999998</v>
      </c>
    </row>
    <row r="385" spans="1:10" x14ac:dyDescent="0.3">
      <c r="A385">
        <v>383</v>
      </c>
      <c r="B385">
        <v>6092</v>
      </c>
      <c r="C385" t="b">
        <v>1</v>
      </c>
      <c r="D385">
        <v>8048</v>
      </c>
      <c r="E385">
        <v>8123</v>
      </c>
      <c r="F385">
        <v>8</v>
      </c>
      <c r="G385">
        <v>5.6</v>
      </c>
      <c r="H385">
        <v>1.4285715000000001</v>
      </c>
      <c r="I385">
        <v>-0.42857146000000002</v>
      </c>
      <c r="J385">
        <v>0.41176467999999999</v>
      </c>
    </row>
    <row r="386" spans="1:10" x14ac:dyDescent="0.3">
      <c r="A386">
        <v>384</v>
      </c>
      <c r="B386">
        <v>6108</v>
      </c>
      <c r="C386" t="b">
        <v>1</v>
      </c>
      <c r="D386">
        <v>8048</v>
      </c>
      <c r="E386">
        <v>8123</v>
      </c>
      <c r="F386">
        <v>8</v>
      </c>
      <c r="G386">
        <v>5.2</v>
      </c>
      <c r="H386">
        <v>1.5384616</v>
      </c>
      <c r="I386">
        <v>-0.53846156999999994</v>
      </c>
      <c r="J386">
        <v>0.39393938000000001</v>
      </c>
    </row>
    <row r="387" spans="1:10" x14ac:dyDescent="0.3">
      <c r="A387">
        <v>385</v>
      </c>
      <c r="B387">
        <v>6123</v>
      </c>
      <c r="C387" t="b">
        <v>1</v>
      </c>
      <c r="D387">
        <v>8048</v>
      </c>
      <c r="E387">
        <v>8123</v>
      </c>
      <c r="F387">
        <v>8</v>
      </c>
      <c r="G387">
        <v>5.2</v>
      </c>
      <c r="H387">
        <v>1.5384616</v>
      </c>
      <c r="I387">
        <v>-0.53846156999999994</v>
      </c>
      <c r="J387">
        <v>0.39393938000000001</v>
      </c>
    </row>
    <row r="388" spans="1:10" x14ac:dyDescent="0.3">
      <c r="A388">
        <v>386</v>
      </c>
      <c r="B388">
        <v>6139</v>
      </c>
      <c r="C388" t="b">
        <v>1</v>
      </c>
      <c r="D388">
        <v>8042</v>
      </c>
      <c r="E388">
        <v>8123</v>
      </c>
      <c r="F388">
        <v>8</v>
      </c>
      <c r="G388">
        <v>5.2</v>
      </c>
      <c r="H388">
        <v>1.5384616</v>
      </c>
      <c r="I388">
        <v>-0.53846156999999994</v>
      </c>
      <c r="J388">
        <v>0.39393938000000001</v>
      </c>
    </row>
    <row r="389" spans="1:10" x14ac:dyDescent="0.3">
      <c r="A389">
        <v>387</v>
      </c>
      <c r="B389">
        <v>6155</v>
      </c>
      <c r="C389" t="b">
        <v>1</v>
      </c>
      <c r="D389">
        <v>8048</v>
      </c>
      <c r="E389">
        <v>8123</v>
      </c>
      <c r="F389">
        <v>8</v>
      </c>
      <c r="G389">
        <v>5.2</v>
      </c>
      <c r="H389">
        <v>1.5384616</v>
      </c>
      <c r="I389">
        <v>-0.53846156999999994</v>
      </c>
      <c r="J389">
        <v>0.39393938000000001</v>
      </c>
    </row>
    <row r="390" spans="1:10" x14ac:dyDescent="0.3">
      <c r="A390">
        <v>388</v>
      </c>
      <c r="B390">
        <v>6171</v>
      </c>
      <c r="C390" t="b">
        <v>1</v>
      </c>
      <c r="D390">
        <v>8048</v>
      </c>
      <c r="E390">
        <v>8123</v>
      </c>
      <c r="F390">
        <v>8</v>
      </c>
      <c r="G390">
        <v>5.2</v>
      </c>
      <c r="H390">
        <v>1.5384616</v>
      </c>
      <c r="I390">
        <v>-0.53846156999999994</v>
      </c>
      <c r="J390">
        <v>0.39393938000000001</v>
      </c>
    </row>
    <row r="391" spans="1:10" x14ac:dyDescent="0.3">
      <c r="A391">
        <v>389</v>
      </c>
      <c r="B391">
        <v>6187</v>
      </c>
      <c r="C391" t="b">
        <v>1</v>
      </c>
      <c r="D391">
        <v>8048</v>
      </c>
      <c r="E391">
        <v>8123</v>
      </c>
      <c r="F391">
        <v>8</v>
      </c>
      <c r="G391">
        <v>5.2</v>
      </c>
      <c r="H391">
        <v>1.5384616</v>
      </c>
      <c r="I391">
        <v>-0.53846156999999994</v>
      </c>
      <c r="J391">
        <v>0.39393938000000001</v>
      </c>
    </row>
    <row r="392" spans="1:10" x14ac:dyDescent="0.3">
      <c r="A392">
        <v>390</v>
      </c>
      <c r="B392">
        <v>6203</v>
      </c>
      <c r="C392" t="b">
        <v>1</v>
      </c>
      <c r="D392">
        <v>8048</v>
      </c>
      <c r="E392">
        <v>8123</v>
      </c>
      <c r="F392">
        <v>8</v>
      </c>
      <c r="G392">
        <v>5.2</v>
      </c>
      <c r="H392">
        <v>1.5384616</v>
      </c>
      <c r="I392">
        <v>-0.53846156999999994</v>
      </c>
      <c r="J392">
        <v>0.39393938000000001</v>
      </c>
    </row>
    <row r="393" spans="1:10" x14ac:dyDescent="0.3">
      <c r="A393">
        <v>391</v>
      </c>
      <c r="B393">
        <v>6219</v>
      </c>
      <c r="C393" t="b">
        <v>1</v>
      </c>
      <c r="D393">
        <v>8048</v>
      </c>
      <c r="E393">
        <v>8123</v>
      </c>
      <c r="F393">
        <v>8</v>
      </c>
      <c r="G393">
        <v>5.2</v>
      </c>
      <c r="H393">
        <v>1.5384616</v>
      </c>
      <c r="I393">
        <v>-0.53846156999999994</v>
      </c>
      <c r="J393">
        <v>0.39393938000000001</v>
      </c>
    </row>
    <row r="394" spans="1:10" x14ac:dyDescent="0.3">
      <c r="A394">
        <v>392</v>
      </c>
      <c r="B394">
        <v>6234</v>
      </c>
      <c r="C394" t="b">
        <v>1</v>
      </c>
      <c r="D394">
        <v>8054</v>
      </c>
      <c r="E394">
        <v>8117</v>
      </c>
      <c r="F394">
        <v>8</v>
      </c>
      <c r="G394">
        <v>5.2</v>
      </c>
      <c r="H394">
        <v>1.5384616</v>
      </c>
      <c r="I394">
        <v>-0.53846156999999994</v>
      </c>
      <c r="J394">
        <v>0.39393938000000001</v>
      </c>
    </row>
    <row r="395" spans="1:10" x14ac:dyDescent="0.3">
      <c r="A395">
        <v>393</v>
      </c>
      <c r="B395">
        <v>6250</v>
      </c>
      <c r="C395" t="b">
        <v>1</v>
      </c>
      <c r="D395">
        <v>8048</v>
      </c>
      <c r="E395">
        <v>8123</v>
      </c>
      <c r="F395">
        <v>8</v>
      </c>
      <c r="G395">
        <v>5.6</v>
      </c>
      <c r="H395">
        <v>1.4285715000000001</v>
      </c>
      <c r="I395">
        <v>-0.42857146000000002</v>
      </c>
      <c r="J395">
        <v>0.41176467999999999</v>
      </c>
    </row>
    <row r="396" spans="1:10" x14ac:dyDescent="0.3">
      <c r="A396">
        <v>394</v>
      </c>
      <c r="B396">
        <v>6266</v>
      </c>
      <c r="C396" t="b">
        <v>1</v>
      </c>
      <c r="D396">
        <v>8048</v>
      </c>
      <c r="E396">
        <v>8123</v>
      </c>
      <c r="F396">
        <v>8</v>
      </c>
      <c r="G396">
        <v>6</v>
      </c>
      <c r="H396">
        <v>1.3333333999999999</v>
      </c>
      <c r="I396">
        <v>-0.33333333999999998</v>
      </c>
      <c r="J396">
        <v>0.42857142999999998</v>
      </c>
    </row>
    <row r="397" spans="1:10" x14ac:dyDescent="0.3">
      <c r="A397">
        <v>395</v>
      </c>
      <c r="B397">
        <v>6281</v>
      </c>
      <c r="C397" t="b">
        <v>1</v>
      </c>
      <c r="D397">
        <v>8048</v>
      </c>
      <c r="E397">
        <v>8123</v>
      </c>
      <c r="F397">
        <v>8</v>
      </c>
      <c r="G397">
        <v>6.4</v>
      </c>
      <c r="H397">
        <v>1.25</v>
      </c>
      <c r="I397">
        <v>-0.24999999000000001</v>
      </c>
      <c r="J397">
        <v>0.44444447999999998</v>
      </c>
    </row>
    <row r="398" spans="1:10" x14ac:dyDescent="0.3">
      <c r="A398">
        <v>396</v>
      </c>
      <c r="B398">
        <v>6297</v>
      </c>
      <c r="C398" t="b">
        <v>1</v>
      </c>
      <c r="D398">
        <v>8054</v>
      </c>
      <c r="E398">
        <v>8123</v>
      </c>
      <c r="F398">
        <v>8</v>
      </c>
      <c r="G398">
        <v>6.8</v>
      </c>
      <c r="H398">
        <v>1.1764705</v>
      </c>
      <c r="I398">
        <v>-0.17647055</v>
      </c>
      <c r="J398">
        <v>0.45945944999999999</v>
      </c>
    </row>
    <row r="399" spans="1:10" x14ac:dyDescent="0.3">
      <c r="A399">
        <v>397</v>
      </c>
      <c r="B399">
        <v>6313</v>
      </c>
      <c r="C399" t="b">
        <v>1</v>
      </c>
      <c r="D399">
        <v>8048</v>
      </c>
      <c r="E399">
        <v>8123</v>
      </c>
      <c r="F399">
        <v>8</v>
      </c>
      <c r="G399">
        <v>7.2</v>
      </c>
      <c r="H399">
        <v>1.1111112000000001</v>
      </c>
      <c r="I399">
        <v>-0.11111114</v>
      </c>
      <c r="J399">
        <v>0.4736842</v>
      </c>
    </row>
    <row r="400" spans="1:10" x14ac:dyDescent="0.3">
      <c r="A400">
        <v>398</v>
      </c>
      <c r="B400">
        <v>6329</v>
      </c>
      <c r="C400" t="b">
        <v>1</v>
      </c>
      <c r="D400">
        <v>8054</v>
      </c>
      <c r="E400">
        <v>8123</v>
      </c>
      <c r="F400">
        <v>8</v>
      </c>
      <c r="G400">
        <v>7.6</v>
      </c>
      <c r="H400">
        <v>1.0526316</v>
      </c>
      <c r="I400">
        <v>-5.2631589999999999E-2</v>
      </c>
      <c r="J400">
        <v>0.48717946000000001</v>
      </c>
    </row>
    <row r="401" spans="1:10" x14ac:dyDescent="0.3">
      <c r="A401">
        <v>399</v>
      </c>
      <c r="B401">
        <v>6345</v>
      </c>
      <c r="C401" t="b">
        <v>1</v>
      </c>
      <c r="D401">
        <v>8048</v>
      </c>
      <c r="E401">
        <v>8123</v>
      </c>
      <c r="F401">
        <v>8</v>
      </c>
      <c r="G401">
        <v>8</v>
      </c>
      <c r="H401">
        <v>1</v>
      </c>
      <c r="I401">
        <v>0</v>
      </c>
      <c r="J401">
        <v>0.5</v>
      </c>
    </row>
    <row r="402" spans="1:10" x14ac:dyDescent="0.3">
      <c r="A402">
        <v>400</v>
      </c>
      <c r="B402">
        <v>6361</v>
      </c>
      <c r="C402" t="b">
        <v>1</v>
      </c>
      <c r="D402">
        <v>8048</v>
      </c>
      <c r="E402">
        <v>8129</v>
      </c>
      <c r="F402">
        <v>8</v>
      </c>
      <c r="G402">
        <v>8</v>
      </c>
      <c r="H402">
        <v>1</v>
      </c>
      <c r="I402">
        <v>0</v>
      </c>
      <c r="J402">
        <v>0.5</v>
      </c>
    </row>
    <row r="403" spans="1:10" x14ac:dyDescent="0.3">
      <c r="A403">
        <v>401</v>
      </c>
      <c r="B403">
        <v>6377</v>
      </c>
      <c r="C403" t="b">
        <v>1</v>
      </c>
      <c r="D403">
        <v>8054</v>
      </c>
      <c r="E403">
        <v>8129</v>
      </c>
      <c r="F403">
        <v>8</v>
      </c>
      <c r="G403">
        <v>8</v>
      </c>
      <c r="H403">
        <v>1</v>
      </c>
      <c r="I403">
        <v>0</v>
      </c>
      <c r="J403">
        <v>0.5</v>
      </c>
    </row>
    <row r="404" spans="1:10" x14ac:dyDescent="0.3">
      <c r="A404">
        <v>402</v>
      </c>
      <c r="B404">
        <v>6393</v>
      </c>
      <c r="C404" t="b">
        <v>1</v>
      </c>
      <c r="D404">
        <v>8048</v>
      </c>
      <c r="E404">
        <v>8129</v>
      </c>
      <c r="F404">
        <v>8</v>
      </c>
      <c r="G404">
        <v>8.4</v>
      </c>
      <c r="H404">
        <v>0.95238100000000003</v>
      </c>
      <c r="I404">
        <v>4.7619003999999999E-2</v>
      </c>
      <c r="J404">
        <v>0.51219510000000001</v>
      </c>
    </row>
    <row r="405" spans="1:10" x14ac:dyDescent="0.3">
      <c r="A405">
        <v>403</v>
      </c>
      <c r="B405">
        <v>6409</v>
      </c>
      <c r="C405" t="b">
        <v>1</v>
      </c>
      <c r="D405">
        <v>8048</v>
      </c>
      <c r="E405">
        <v>8129</v>
      </c>
      <c r="F405">
        <v>8</v>
      </c>
      <c r="G405">
        <v>8.8000000000000007</v>
      </c>
      <c r="H405">
        <v>0.90909090000000004</v>
      </c>
      <c r="I405">
        <v>9.0909110000000001E-2</v>
      </c>
      <c r="J405">
        <v>0.52380954999999996</v>
      </c>
    </row>
    <row r="406" spans="1:10" x14ac:dyDescent="0.3">
      <c r="A406">
        <v>404</v>
      </c>
      <c r="B406">
        <v>6424</v>
      </c>
      <c r="C406" t="b">
        <v>1</v>
      </c>
      <c r="D406">
        <v>8048</v>
      </c>
      <c r="E406">
        <v>8129</v>
      </c>
      <c r="F406">
        <v>8</v>
      </c>
      <c r="G406">
        <v>9.1999999999999993</v>
      </c>
      <c r="H406">
        <v>0.86956524999999996</v>
      </c>
      <c r="I406">
        <v>0.13043477000000001</v>
      </c>
      <c r="J406">
        <v>0.53488369999999996</v>
      </c>
    </row>
    <row r="407" spans="1:10" x14ac:dyDescent="0.3">
      <c r="A407">
        <v>405</v>
      </c>
      <c r="B407">
        <v>6440</v>
      </c>
      <c r="C407" t="b">
        <v>1</v>
      </c>
      <c r="D407">
        <v>8048</v>
      </c>
      <c r="E407">
        <v>8129</v>
      </c>
      <c r="F407">
        <v>8</v>
      </c>
      <c r="G407">
        <v>9.6</v>
      </c>
      <c r="H407">
        <v>0.83333330000000005</v>
      </c>
      <c r="I407">
        <v>0.1666667</v>
      </c>
      <c r="J407">
        <v>0.54545456000000003</v>
      </c>
    </row>
    <row r="408" spans="1:10" x14ac:dyDescent="0.3">
      <c r="A408">
        <v>406</v>
      </c>
      <c r="B408">
        <v>6456</v>
      </c>
      <c r="C408" t="b">
        <v>1</v>
      </c>
      <c r="D408">
        <v>8048</v>
      </c>
      <c r="E408">
        <v>8129</v>
      </c>
      <c r="F408">
        <v>8</v>
      </c>
      <c r="G408">
        <v>10</v>
      </c>
      <c r="H408">
        <v>0.8</v>
      </c>
      <c r="I408">
        <v>0.2</v>
      </c>
      <c r="J408">
        <v>0.55555560000000004</v>
      </c>
    </row>
    <row r="409" spans="1:10" x14ac:dyDescent="0.3">
      <c r="A409">
        <v>407</v>
      </c>
      <c r="B409">
        <v>6472</v>
      </c>
      <c r="C409" t="b">
        <v>1</v>
      </c>
      <c r="D409">
        <v>8048</v>
      </c>
      <c r="E409">
        <v>8129</v>
      </c>
      <c r="F409">
        <v>8</v>
      </c>
      <c r="G409">
        <v>10.4</v>
      </c>
      <c r="H409">
        <v>0.76923079999999999</v>
      </c>
      <c r="I409">
        <v>0.23076920000000001</v>
      </c>
      <c r="J409">
        <v>0.56521739999999998</v>
      </c>
    </row>
    <row r="410" spans="1:10" x14ac:dyDescent="0.3">
      <c r="A410">
        <v>408</v>
      </c>
      <c r="B410">
        <v>6488</v>
      </c>
      <c r="C410" t="b">
        <v>1</v>
      </c>
      <c r="D410">
        <v>8048</v>
      </c>
      <c r="E410">
        <v>8117</v>
      </c>
      <c r="F410">
        <v>8</v>
      </c>
      <c r="G410">
        <v>10.8</v>
      </c>
      <c r="H410">
        <v>0.74074070000000003</v>
      </c>
      <c r="I410">
        <v>0.25925927999999998</v>
      </c>
      <c r="J410">
        <v>0.57446814000000002</v>
      </c>
    </row>
    <row r="411" spans="1:10" x14ac:dyDescent="0.3">
      <c r="A411">
        <v>409</v>
      </c>
      <c r="B411">
        <v>6503</v>
      </c>
      <c r="C411" t="b">
        <v>1</v>
      </c>
      <c r="D411">
        <v>8048</v>
      </c>
      <c r="E411">
        <v>8117</v>
      </c>
      <c r="F411">
        <v>8</v>
      </c>
      <c r="G411">
        <v>11.2</v>
      </c>
      <c r="H411">
        <v>0.71428572999999995</v>
      </c>
      <c r="I411">
        <v>0.28571426999999999</v>
      </c>
      <c r="J411">
        <v>0.58333330000000005</v>
      </c>
    </row>
    <row r="412" spans="1:10" x14ac:dyDescent="0.3">
      <c r="A412">
        <v>410</v>
      </c>
      <c r="B412">
        <v>6519</v>
      </c>
      <c r="C412" t="b">
        <v>1</v>
      </c>
      <c r="D412">
        <v>8048</v>
      </c>
      <c r="E412">
        <v>8123</v>
      </c>
      <c r="F412">
        <v>8</v>
      </c>
      <c r="G412">
        <v>11.2</v>
      </c>
      <c r="H412">
        <v>0.71428572999999995</v>
      </c>
      <c r="I412">
        <v>0.28571426999999999</v>
      </c>
      <c r="J412">
        <v>0.58333330000000005</v>
      </c>
    </row>
    <row r="413" spans="1:10" x14ac:dyDescent="0.3">
      <c r="A413">
        <v>411</v>
      </c>
      <c r="B413">
        <v>6535</v>
      </c>
      <c r="C413" t="b">
        <v>1</v>
      </c>
      <c r="D413">
        <v>8054</v>
      </c>
      <c r="E413">
        <v>8117</v>
      </c>
      <c r="F413">
        <v>8</v>
      </c>
      <c r="G413">
        <v>10.8</v>
      </c>
      <c r="H413">
        <v>0.74074070000000003</v>
      </c>
      <c r="I413">
        <v>0.25925927999999998</v>
      </c>
      <c r="J413">
        <v>0.57446814000000002</v>
      </c>
    </row>
    <row r="414" spans="1:10" x14ac:dyDescent="0.3">
      <c r="A414">
        <v>412</v>
      </c>
      <c r="B414">
        <v>6551</v>
      </c>
      <c r="C414" t="b">
        <v>1</v>
      </c>
      <c r="D414">
        <v>8048</v>
      </c>
      <c r="E414">
        <v>8123</v>
      </c>
      <c r="F414">
        <v>8</v>
      </c>
      <c r="G414">
        <v>10.4</v>
      </c>
      <c r="H414">
        <v>0.76923079999999999</v>
      </c>
      <c r="I414">
        <v>0.23076920000000001</v>
      </c>
      <c r="J414">
        <v>0.56521739999999998</v>
      </c>
    </row>
    <row r="415" spans="1:10" x14ac:dyDescent="0.3">
      <c r="A415">
        <v>413</v>
      </c>
      <c r="B415">
        <v>6567</v>
      </c>
      <c r="C415" t="b">
        <v>1</v>
      </c>
      <c r="D415">
        <v>8048</v>
      </c>
      <c r="E415">
        <v>8117</v>
      </c>
      <c r="F415">
        <v>8</v>
      </c>
      <c r="G415">
        <v>10</v>
      </c>
      <c r="H415">
        <v>0.8</v>
      </c>
      <c r="I415">
        <v>0.2</v>
      </c>
      <c r="J415">
        <v>0.55555560000000004</v>
      </c>
    </row>
    <row r="416" spans="1:10" x14ac:dyDescent="0.3">
      <c r="A416">
        <v>414</v>
      </c>
      <c r="B416">
        <v>6583</v>
      </c>
      <c r="C416" t="b">
        <v>1</v>
      </c>
      <c r="D416">
        <v>8054</v>
      </c>
      <c r="E416">
        <v>8123</v>
      </c>
      <c r="F416">
        <v>8</v>
      </c>
      <c r="G416">
        <v>10</v>
      </c>
      <c r="H416">
        <v>0.8</v>
      </c>
      <c r="I416">
        <v>0.2</v>
      </c>
      <c r="J416">
        <v>0.55555560000000004</v>
      </c>
    </row>
    <row r="417" spans="1:10" x14ac:dyDescent="0.3">
      <c r="A417">
        <v>415</v>
      </c>
      <c r="B417">
        <v>6599</v>
      </c>
      <c r="C417" t="b">
        <v>1</v>
      </c>
      <c r="D417">
        <v>8048</v>
      </c>
      <c r="E417">
        <v>8123</v>
      </c>
      <c r="F417">
        <v>8</v>
      </c>
      <c r="G417">
        <v>10</v>
      </c>
      <c r="H417">
        <v>0.8</v>
      </c>
      <c r="I417">
        <v>0.2</v>
      </c>
      <c r="J417">
        <v>0.55555560000000004</v>
      </c>
    </row>
    <row r="418" spans="1:10" x14ac:dyDescent="0.3">
      <c r="A418">
        <v>416</v>
      </c>
      <c r="B418">
        <v>6614</v>
      </c>
      <c r="C418" t="b">
        <v>1</v>
      </c>
      <c r="D418">
        <v>8048</v>
      </c>
      <c r="E418">
        <v>8123</v>
      </c>
      <c r="F418">
        <v>8</v>
      </c>
      <c r="G418">
        <v>10</v>
      </c>
      <c r="H418">
        <v>0.8</v>
      </c>
      <c r="I418">
        <v>0.2</v>
      </c>
      <c r="J418">
        <v>0.55555560000000004</v>
      </c>
    </row>
    <row r="419" spans="1:10" x14ac:dyDescent="0.3">
      <c r="A419">
        <v>417</v>
      </c>
      <c r="B419">
        <v>6630</v>
      </c>
      <c r="C419" t="b">
        <v>1</v>
      </c>
      <c r="D419">
        <v>8048</v>
      </c>
      <c r="E419">
        <v>8123</v>
      </c>
      <c r="F419">
        <v>8</v>
      </c>
      <c r="G419">
        <v>9.6</v>
      </c>
      <c r="H419">
        <v>0.83333330000000005</v>
      </c>
      <c r="I419">
        <v>0.1666667</v>
      </c>
      <c r="J419">
        <v>0.54545456000000003</v>
      </c>
    </row>
    <row r="420" spans="1:10" x14ac:dyDescent="0.3">
      <c r="A420">
        <v>418</v>
      </c>
      <c r="B420">
        <v>6646</v>
      </c>
      <c r="C420" t="b">
        <v>1</v>
      </c>
      <c r="D420">
        <v>8048</v>
      </c>
      <c r="E420">
        <v>8123</v>
      </c>
      <c r="F420">
        <v>8</v>
      </c>
      <c r="G420">
        <v>9.1999999999999993</v>
      </c>
      <c r="H420">
        <v>0.86956524999999996</v>
      </c>
      <c r="I420">
        <v>0.13043477000000001</v>
      </c>
      <c r="J420">
        <v>0.53488369999999996</v>
      </c>
    </row>
    <row r="421" spans="1:10" x14ac:dyDescent="0.3">
      <c r="A421">
        <v>419</v>
      </c>
      <c r="B421">
        <v>6662</v>
      </c>
      <c r="C421" t="b">
        <v>1</v>
      </c>
      <c r="D421">
        <v>8042</v>
      </c>
      <c r="E421">
        <v>8123</v>
      </c>
      <c r="F421">
        <v>8</v>
      </c>
      <c r="G421">
        <v>8.8000000000000007</v>
      </c>
      <c r="H421">
        <v>0.90909090000000004</v>
      </c>
      <c r="I421">
        <v>9.0909110000000001E-2</v>
      </c>
      <c r="J421">
        <v>0.52380954999999996</v>
      </c>
    </row>
    <row r="422" spans="1:10" x14ac:dyDescent="0.3">
      <c r="A422">
        <v>420</v>
      </c>
      <c r="B422">
        <v>6678</v>
      </c>
      <c r="C422" t="b">
        <v>1</v>
      </c>
      <c r="D422">
        <v>8048</v>
      </c>
      <c r="E422">
        <v>8129</v>
      </c>
      <c r="F422">
        <v>8</v>
      </c>
      <c r="G422">
        <v>8.4</v>
      </c>
      <c r="H422">
        <v>0.95238100000000003</v>
      </c>
      <c r="I422">
        <v>4.7619003999999999E-2</v>
      </c>
      <c r="J422">
        <v>0.51219510000000001</v>
      </c>
    </row>
    <row r="423" spans="1:10" x14ac:dyDescent="0.3">
      <c r="A423">
        <v>421</v>
      </c>
      <c r="B423">
        <v>6694</v>
      </c>
      <c r="C423" t="b">
        <v>1</v>
      </c>
      <c r="D423">
        <v>8048</v>
      </c>
      <c r="E423">
        <v>8129</v>
      </c>
      <c r="F423">
        <v>8</v>
      </c>
      <c r="G423">
        <v>8</v>
      </c>
      <c r="H423">
        <v>1</v>
      </c>
      <c r="I423">
        <v>0</v>
      </c>
      <c r="J423">
        <v>0.5</v>
      </c>
    </row>
    <row r="424" spans="1:10" x14ac:dyDescent="0.3">
      <c r="A424">
        <v>422</v>
      </c>
      <c r="B424">
        <v>6710</v>
      </c>
      <c r="C424" t="b">
        <v>1</v>
      </c>
      <c r="D424">
        <v>8048</v>
      </c>
      <c r="E424">
        <v>8123</v>
      </c>
      <c r="F424">
        <v>8</v>
      </c>
      <c r="G424">
        <v>7.6</v>
      </c>
      <c r="H424">
        <v>1.0526316</v>
      </c>
      <c r="I424">
        <v>-5.2631589999999999E-2</v>
      </c>
      <c r="J424">
        <v>0.48717946000000001</v>
      </c>
    </row>
    <row r="425" spans="1:10" x14ac:dyDescent="0.3">
      <c r="A425">
        <v>423</v>
      </c>
      <c r="B425">
        <v>6726</v>
      </c>
      <c r="C425" t="b">
        <v>1</v>
      </c>
      <c r="D425">
        <v>8048</v>
      </c>
      <c r="E425">
        <v>8123</v>
      </c>
      <c r="F425">
        <v>8</v>
      </c>
      <c r="G425">
        <v>7.2</v>
      </c>
      <c r="H425">
        <v>1.1111112000000001</v>
      </c>
      <c r="I425">
        <v>-0.11111114</v>
      </c>
      <c r="J425">
        <v>0.4736842</v>
      </c>
    </row>
    <row r="426" spans="1:10" x14ac:dyDescent="0.3">
      <c r="A426">
        <v>424</v>
      </c>
      <c r="B426">
        <v>6742</v>
      </c>
      <c r="C426" t="b">
        <v>1</v>
      </c>
      <c r="D426">
        <v>8048</v>
      </c>
      <c r="E426">
        <v>8123</v>
      </c>
      <c r="F426">
        <v>8</v>
      </c>
      <c r="G426">
        <v>6.8</v>
      </c>
      <c r="H426">
        <v>1.1764705</v>
      </c>
      <c r="I426">
        <v>-0.17647055</v>
      </c>
      <c r="J426">
        <v>0.45945944999999999</v>
      </c>
    </row>
    <row r="427" spans="1:10" x14ac:dyDescent="0.3">
      <c r="A427">
        <v>425</v>
      </c>
      <c r="B427">
        <v>6758</v>
      </c>
      <c r="C427" t="b">
        <v>1</v>
      </c>
      <c r="D427">
        <v>8048</v>
      </c>
      <c r="E427">
        <v>8129</v>
      </c>
      <c r="F427">
        <v>8</v>
      </c>
      <c r="G427">
        <v>6.8</v>
      </c>
      <c r="H427">
        <v>1.1764705</v>
      </c>
      <c r="I427">
        <v>-0.17647055</v>
      </c>
      <c r="J427">
        <v>0.45945944999999999</v>
      </c>
    </row>
    <row r="428" spans="1:10" x14ac:dyDescent="0.3">
      <c r="A428">
        <v>426</v>
      </c>
      <c r="B428">
        <v>6774</v>
      </c>
      <c r="C428" t="b">
        <v>1</v>
      </c>
      <c r="D428">
        <v>8048</v>
      </c>
      <c r="E428">
        <v>8117</v>
      </c>
      <c r="F428">
        <v>8</v>
      </c>
      <c r="G428">
        <v>7.2</v>
      </c>
      <c r="H428">
        <v>1.1111112000000001</v>
      </c>
      <c r="I428">
        <v>-0.11111114</v>
      </c>
      <c r="J428">
        <v>0.4736842</v>
      </c>
    </row>
    <row r="429" spans="1:10" x14ac:dyDescent="0.3">
      <c r="A429">
        <v>427</v>
      </c>
      <c r="B429">
        <v>6790</v>
      </c>
      <c r="C429" t="b">
        <v>1</v>
      </c>
      <c r="D429">
        <v>8048</v>
      </c>
      <c r="E429">
        <v>8123</v>
      </c>
      <c r="F429">
        <v>8</v>
      </c>
      <c r="G429">
        <v>7.6</v>
      </c>
      <c r="H429">
        <v>1.0526316</v>
      </c>
      <c r="I429">
        <v>-5.2631589999999999E-2</v>
      </c>
      <c r="J429">
        <v>0.48717946000000001</v>
      </c>
    </row>
    <row r="430" spans="1:10" x14ac:dyDescent="0.3">
      <c r="A430">
        <v>428</v>
      </c>
      <c r="B430">
        <v>6805</v>
      </c>
      <c r="C430" t="b">
        <v>1</v>
      </c>
      <c r="D430">
        <v>8054</v>
      </c>
      <c r="E430">
        <v>8117</v>
      </c>
      <c r="F430">
        <v>8</v>
      </c>
      <c r="G430">
        <v>8</v>
      </c>
      <c r="H430">
        <v>1</v>
      </c>
      <c r="I430">
        <v>0</v>
      </c>
      <c r="J430">
        <v>0.5</v>
      </c>
    </row>
    <row r="431" spans="1:10" x14ac:dyDescent="0.3">
      <c r="A431">
        <v>429</v>
      </c>
      <c r="B431">
        <v>6821</v>
      </c>
      <c r="C431" t="b">
        <v>1</v>
      </c>
      <c r="D431">
        <v>8048</v>
      </c>
      <c r="E431">
        <v>8117</v>
      </c>
      <c r="F431">
        <v>8</v>
      </c>
      <c r="G431">
        <v>7.6</v>
      </c>
      <c r="H431">
        <v>1.0526316</v>
      </c>
      <c r="I431">
        <v>-5.2631589999999999E-2</v>
      </c>
      <c r="J431">
        <v>0.48717946000000001</v>
      </c>
    </row>
    <row r="432" spans="1:10" x14ac:dyDescent="0.3">
      <c r="A432">
        <v>430</v>
      </c>
      <c r="B432">
        <v>6836</v>
      </c>
      <c r="C432" t="b">
        <v>1</v>
      </c>
      <c r="D432">
        <v>8048</v>
      </c>
      <c r="E432">
        <v>8117</v>
      </c>
      <c r="F432">
        <v>8</v>
      </c>
      <c r="G432">
        <v>7.2</v>
      </c>
      <c r="H432">
        <v>1.1111112000000001</v>
      </c>
      <c r="I432">
        <v>-0.11111114</v>
      </c>
      <c r="J432">
        <v>0.4736842</v>
      </c>
    </row>
    <row r="433" spans="1:10" x14ac:dyDescent="0.3">
      <c r="A433">
        <v>431</v>
      </c>
      <c r="B433">
        <v>6853</v>
      </c>
      <c r="C433" t="b">
        <v>1</v>
      </c>
      <c r="D433">
        <v>8042</v>
      </c>
      <c r="E433">
        <v>8117</v>
      </c>
      <c r="F433">
        <v>8</v>
      </c>
      <c r="G433">
        <v>6.8</v>
      </c>
      <c r="H433">
        <v>1.1764705</v>
      </c>
      <c r="I433">
        <v>-0.17647055</v>
      </c>
      <c r="J433">
        <v>0.45945944999999999</v>
      </c>
    </row>
    <row r="434" spans="1:10" x14ac:dyDescent="0.3">
      <c r="A434">
        <v>432</v>
      </c>
      <c r="B434">
        <v>6868</v>
      </c>
      <c r="C434" t="b">
        <v>1</v>
      </c>
      <c r="D434">
        <v>8048</v>
      </c>
      <c r="E434">
        <v>8129</v>
      </c>
      <c r="F434">
        <v>8</v>
      </c>
      <c r="G434">
        <v>6.4</v>
      </c>
      <c r="H434">
        <v>1.25</v>
      </c>
      <c r="I434">
        <v>-0.24999999000000001</v>
      </c>
      <c r="J434">
        <v>0.44444447999999998</v>
      </c>
    </row>
    <row r="435" spans="1:10" x14ac:dyDescent="0.3">
      <c r="A435">
        <v>433</v>
      </c>
      <c r="B435">
        <v>6884</v>
      </c>
      <c r="C435" t="b">
        <v>1</v>
      </c>
      <c r="D435">
        <v>8048</v>
      </c>
      <c r="E435">
        <v>8129</v>
      </c>
      <c r="F435">
        <v>8</v>
      </c>
      <c r="G435">
        <v>6</v>
      </c>
      <c r="H435">
        <v>1.3333333999999999</v>
      </c>
      <c r="I435">
        <v>-0.33333333999999998</v>
      </c>
      <c r="J435">
        <v>0.42857142999999998</v>
      </c>
    </row>
    <row r="436" spans="1:10" x14ac:dyDescent="0.3">
      <c r="A436">
        <v>434</v>
      </c>
      <c r="B436">
        <v>6900</v>
      </c>
      <c r="C436" t="b">
        <v>1</v>
      </c>
      <c r="D436">
        <v>8048</v>
      </c>
      <c r="E436">
        <v>8129</v>
      </c>
      <c r="F436">
        <v>8</v>
      </c>
      <c r="G436">
        <v>6.4</v>
      </c>
      <c r="H436">
        <v>1.25</v>
      </c>
      <c r="I436">
        <v>-0.24999999000000001</v>
      </c>
      <c r="J436">
        <v>0.44444447999999998</v>
      </c>
    </row>
    <row r="437" spans="1:10" x14ac:dyDescent="0.3">
      <c r="A437">
        <v>435</v>
      </c>
      <c r="B437">
        <v>6916</v>
      </c>
      <c r="C437" t="b">
        <v>1</v>
      </c>
      <c r="D437">
        <v>8048</v>
      </c>
      <c r="E437">
        <v>8123</v>
      </c>
      <c r="F437">
        <v>8</v>
      </c>
      <c r="G437">
        <v>6.8</v>
      </c>
      <c r="H437">
        <v>1.1764705</v>
      </c>
      <c r="I437">
        <v>-0.17647055</v>
      </c>
      <c r="J437">
        <v>0.45945944999999999</v>
      </c>
    </row>
    <row r="438" spans="1:10" x14ac:dyDescent="0.3">
      <c r="A438">
        <v>436</v>
      </c>
      <c r="B438">
        <v>6932</v>
      </c>
      <c r="C438" t="b">
        <v>1</v>
      </c>
      <c r="D438">
        <v>8054</v>
      </c>
      <c r="E438">
        <v>8123</v>
      </c>
      <c r="F438">
        <v>8</v>
      </c>
      <c r="G438">
        <v>7.2</v>
      </c>
      <c r="H438">
        <v>1.1111112000000001</v>
      </c>
      <c r="I438">
        <v>-0.11111114</v>
      </c>
      <c r="J438">
        <v>0.4736842</v>
      </c>
    </row>
    <row r="439" spans="1:10" x14ac:dyDescent="0.3">
      <c r="A439">
        <v>437</v>
      </c>
      <c r="B439">
        <v>6951</v>
      </c>
      <c r="C439" t="b">
        <v>1</v>
      </c>
      <c r="D439">
        <v>8054</v>
      </c>
      <c r="E439">
        <v>8123</v>
      </c>
      <c r="F439">
        <v>8</v>
      </c>
      <c r="G439">
        <v>7.2</v>
      </c>
      <c r="H439">
        <v>1.1111112000000001</v>
      </c>
      <c r="I439">
        <v>-0.11111114</v>
      </c>
      <c r="J439">
        <v>0.4736842</v>
      </c>
    </row>
    <row r="440" spans="1:10" x14ac:dyDescent="0.3">
      <c r="A440">
        <v>438</v>
      </c>
      <c r="B440">
        <v>6967</v>
      </c>
      <c r="C440" t="b">
        <v>1</v>
      </c>
      <c r="D440">
        <v>8054</v>
      </c>
      <c r="E440">
        <v>8117</v>
      </c>
      <c r="F440">
        <v>8.4</v>
      </c>
      <c r="G440">
        <v>7.2</v>
      </c>
      <c r="H440">
        <v>1.1666666000000001</v>
      </c>
      <c r="I440">
        <v>-0.16666664</v>
      </c>
      <c r="J440">
        <v>0.46153845999999998</v>
      </c>
    </row>
    <row r="441" spans="1:10" x14ac:dyDescent="0.3">
      <c r="A441">
        <v>439</v>
      </c>
      <c r="B441">
        <v>6983</v>
      </c>
      <c r="C441" t="b">
        <v>1</v>
      </c>
      <c r="D441">
        <v>8054</v>
      </c>
      <c r="E441">
        <v>8123</v>
      </c>
      <c r="F441">
        <v>8.8000000000000007</v>
      </c>
      <c r="G441">
        <v>7.2</v>
      </c>
      <c r="H441">
        <v>1.2222223000000001</v>
      </c>
      <c r="I441">
        <v>-0.22222227999999999</v>
      </c>
      <c r="J441">
        <v>0.45</v>
      </c>
    </row>
    <row r="442" spans="1:10" x14ac:dyDescent="0.3">
      <c r="A442">
        <v>440</v>
      </c>
      <c r="B442">
        <v>6999</v>
      </c>
      <c r="C442" t="b">
        <v>1</v>
      </c>
      <c r="D442">
        <v>8054</v>
      </c>
      <c r="E442">
        <v>8123</v>
      </c>
      <c r="F442">
        <v>9.1999999999999993</v>
      </c>
      <c r="G442">
        <v>7.2</v>
      </c>
      <c r="H442">
        <v>1.2777778</v>
      </c>
      <c r="I442">
        <v>-0.27777780000000002</v>
      </c>
      <c r="J442">
        <v>0.43902439999999998</v>
      </c>
    </row>
    <row r="443" spans="1:10" x14ac:dyDescent="0.3">
      <c r="A443">
        <v>441</v>
      </c>
      <c r="B443">
        <v>7015</v>
      </c>
      <c r="C443" t="b">
        <v>1</v>
      </c>
      <c r="D443">
        <v>8054</v>
      </c>
      <c r="E443">
        <v>8123</v>
      </c>
      <c r="F443">
        <v>9.6</v>
      </c>
      <c r="G443">
        <v>7.2</v>
      </c>
      <c r="H443">
        <v>1.3333333999999999</v>
      </c>
      <c r="I443">
        <v>-0.33333342999999999</v>
      </c>
      <c r="J443">
        <v>0.42857142999999998</v>
      </c>
    </row>
    <row r="444" spans="1:10" x14ac:dyDescent="0.3">
      <c r="A444">
        <v>442</v>
      </c>
      <c r="B444">
        <v>7031</v>
      </c>
      <c r="C444" t="b">
        <v>1</v>
      </c>
      <c r="D444">
        <v>8042</v>
      </c>
      <c r="E444">
        <v>8123</v>
      </c>
      <c r="F444">
        <v>10</v>
      </c>
      <c r="G444">
        <v>7.2</v>
      </c>
      <c r="H444">
        <v>1.388889</v>
      </c>
      <c r="I444">
        <v>-0.38888893000000002</v>
      </c>
      <c r="J444">
        <v>0.41860459999999999</v>
      </c>
    </row>
    <row r="445" spans="1:10" x14ac:dyDescent="0.3">
      <c r="A445">
        <v>443</v>
      </c>
      <c r="B445">
        <v>7047</v>
      </c>
      <c r="C445" t="b">
        <v>1</v>
      </c>
      <c r="D445">
        <v>8042</v>
      </c>
      <c r="E445">
        <v>8123</v>
      </c>
      <c r="F445">
        <v>10.4</v>
      </c>
      <c r="G445">
        <v>7.2</v>
      </c>
      <c r="H445">
        <v>1.4444444000000001</v>
      </c>
      <c r="I445">
        <v>-0.44444442000000001</v>
      </c>
      <c r="J445">
        <v>0.40909094000000001</v>
      </c>
    </row>
    <row r="446" spans="1:10" x14ac:dyDescent="0.3">
      <c r="A446">
        <v>444</v>
      </c>
      <c r="B446">
        <v>7063</v>
      </c>
      <c r="C446" t="b">
        <v>1</v>
      </c>
      <c r="D446">
        <v>8048</v>
      </c>
      <c r="E446">
        <v>8123</v>
      </c>
      <c r="F446">
        <v>10.4</v>
      </c>
      <c r="G446">
        <v>7.6</v>
      </c>
      <c r="H446">
        <v>1.3684210999999999</v>
      </c>
      <c r="I446">
        <v>-0.36842101999999999</v>
      </c>
      <c r="J446">
        <v>0.42222222999999998</v>
      </c>
    </row>
    <row r="447" spans="1:10" x14ac:dyDescent="0.3">
      <c r="A447">
        <v>445</v>
      </c>
      <c r="B447">
        <v>7078</v>
      </c>
      <c r="C447" t="b">
        <v>1</v>
      </c>
      <c r="D447">
        <v>8042</v>
      </c>
      <c r="E447">
        <v>8123</v>
      </c>
      <c r="F447">
        <v>10</v>
      </c>
      <c r="G447">
        <v>8</v>
      </c>
      <c r="H447">
        <v>1.25</v>
      </c>
      <c r="I447">
        <v>-0.25</v>
      </c>
      <c r="J447">
        <v>0.44444444999999999</v>
      </c>
    </row>
    <row r="448" spans="1:10" x14ac:dyDescent="0.3">
      <c r="A448">
        <v>446</v>
      </c>
      <c r="B448">
        <v>7094</v>
      </c>
      <c r="C448" t="b">
        <v>1</v>
      </c>
      <c r="D448">
        <v>8042</v>
      </c>
      <c r="E448">
        <v>8123</v>
      </c>
      <c r="F448">
        <v>9.6</v>
      </c>
      <c r="G448">
        <v>8.4</v>
      </c>
      <c r="H448">
        <v>1.1428571999999999</v>
      </c>
      <c r="I448">
        <v>-0.14285724</v>
      </c>
      <c r="J448">
        <v>0.46666664000000002</v>
      </c>
    </row>
    <row r="449" spans="1:10" x14ac:dyDescent="0.3">
      <c r="A449">
        <v>447</v>
      </c>
      <c r="B449">
        <v>7110</v>
      </c>
      <c r="C449" t="b">
        <v>1</v>
      </c>
      <c r="D449">
        <v>8048</v>
      </c>
      <c r="E449">
        <v>8123</v>
      </c>
      <c r="F449">
        <v>9.1999999999999993</v>
      </c>
      <c r="G449">
        <v>8.8000000000000007</v>
      </c>
      <c r="H449">
        <v>1.0454545</v>
      </c>
      <c r="I449">
        <v>-4.5454502000000001E-2</v>
      </c>
      <c r="J449">
        <v>0.48888890000000002</v>
      </c>
    </row>
    <row r="450" spans="1:10" x14ac:dyDescent="0.3">
      <c r="A450">
        <v>448</v>
      </c>
      <c r="B450">
        <v>7126</v>
      </c>
      <c r="C450" t="b">
        <v>1</v>
      </c>
      <c r="D450">
        <v>8054</v>
      </c>
      <c r="E450">
        <v>8129</v>
      </c>
      <c r="F450">
        <v>9.1999999999999993</v>
      </c>
      <c r="G450">
        <v>9.1999999999999993</v>
      </c>
      <c r="H450">
        <v>1</v>
      </c>
      <c r="I450">
        <v>0</v>
      </c>
      <c r="J450">
        <v>0.5</v>
      </c>
    </row>
    <row r="451" spans="1:10" x14ac:dyDescent="0.3">
      <c r="A451">
        <v>449</v>
      </c>
      <c r="B451">
        <v>7142</v>
      </c>
      <c r="C451" t="b">
        <v>1</v>
      </c>
      <c r="D451">
        <v>8048</v>
      </c>
      <c r="E451">
        <v>8123</v>
      </c>
      <c r="F451">
        <v>9.1999999999999993</v>
      </c>
      <c r="G451">
        <v>8.8000000000000007</v>
      </c>
      <c r="H451">
        <v>1.0454545</v>
      </c>
      <c r="I451">
        <v>-4.5454502000000001E-2</v>
      </c>
      <c r="J451">
        <v>0.48888890000000002</v>
      </c>
    </row>
    <row r="452" spans="1:10" x14ac:dyDescent="0.3">
      <c r="A452">
        <v>450</v>
      </c>
      <c r="B452">
        <v>7158</v>
      </c>
      <c r="C452" t="b">
        <v>1</v>
      </c>
      <c r="D452">
        <v>8054</v>
      </c>
      <c r="E452">
        <v>8123</v>
      </c>
      <c r="F452">
        <v>9.1999999999999993</v>
      </c>
      <c r="G452">
        <v>8.4</v>
      </c>
      <c r="H452">
        <v>1.0952381</v>
      </c>
      <c r="I452">
        <v>-9.5238119999999996E-2</v>
      </c>
      <c r="J452">
        <v>0.47727275000000002</v>
      </c>
    </row>
    <row r="453" spans="1:10" x14ac:dyDescent="0.3">
      <c r="A453">
        <v>451</v>
      </c>
      <c r="B453">
        <v>7174</v>
      </c>
      <c r="C453" t="b">
        <v>1</v>
      </c>
      <c r="D453">
        <v>8054</v>
      </c>
      <c r="E453">
        <v>8123</v>
      </c>
      <c r="F453">
        <v>9.6</v>
      </c>
      <c r="G453">
        <v>8</v>
      </c>
      <c r="H453">
        <v>1.2</v>
      </c>
      <c r="I453">
        <v>-0.20000005000000001</v>
      </c>
      <c r="J453">
        <v>0.45454544000000002</v>
      </c>
    </row>
    <row r="454" spans="1:10" x14ac:dyDescent="0.3">
      <c r="A454">
        <v>452</v>
      </c>
      <c r="B454">
        <v>7190</v>
      </c>
      <c r="C454" t="b">
        <v>1</v>
      </c>
      <c r="D454">
        <v>8048</v>
      </c>
      <c r="E454">
        <v>8129</v>
      </c>
      <c r="F454">
        <v>10</v>
      </c>
      <c r="G454">
        <v>8</v>
      </c>
      <c r="H454">
        <v>1.25</v>
      </c>
      <c r="I454">
        <v>-0.25</v>
      </c>
      <c r="J454">
        <v>0.44444444999999999</v>
      </c>
    </row>
    <row r="455" spans="1:10" x14ac:dyDescent="0.3">
      <c r="A455">
        <v>453</v>
      </c>
      <c r="B455">
        <v>7205</v>
      </c>
      <c r="C455" t="b">
        <v>1</v>
      </c>
      <c r="D455">
        <v>8048</v>
      </c>
      <c r="E455">
        <v>8123</v>
      </c>
      <c r="F455">
        <v>9.6</v>
      </c>
      <c r="G455">
        <v>8</v>
      </c>
      <c r="H455">
        <v>1.2</v>
      </c>
      <c r="I455">
        <v>-0.20000005000000001</v>
      </c>
      <c r="J455">
        <v>0.45454544000000002</v>
      </c>
    </row>
    <row r="456" spans="1:10" x14ac:dyDescent="0.3">
      <c r="A456">
        <v>454</v>
      </c>
      <c r="B456">
        <v>7221</v>
      </c>
      <c r="C456" t="b">
        <v>1</v>
      </c>
      <c r="D456">
        <v>8048</v>
      </c>
      <c r="E456">
        <v>8123</v>
      </c>
      <c r="F456">
        <v>9.1999999999999993</v>
      </c>
      <c r="G456">
        <v>8</v>
      </c>
      <c r="H456">
        <v>1.1499999999999999</v>
      </c>
      <c r="I456">
        <v>-0.14999998</v>
      </c>
      <c r="J456">
        <v>0.46511626</v>
      </c>
    </row>
    <row r="457" spans="1:10" x14ac:dyDescent="0.3">
      <c r="A457">
        <v>455</v>
      </c>
      <c r="B457">
        <v>7237</v>
      </c>
      <c r="C457" t="b">
        <v>1</v>
      </c>
      <c r="D457">
        <v>8048</v>
      </c>
      <c r="E457">
        <v>8123</v>
      </c>
      <c r="F457">
        <v>8.8000000000000007</v>
      </c>
      <c r="G457">
        <v>8</v>
      </c>
      <c r="H457">
        <v>1.1000000000000001</v>
      </c>
      <c r="I457">
        <v>-0.10000002400000001</v>
      </c>
      <c r="J457">
        <v>0.47619050000000002</v>
      </c>
    </row>
    <row r="458" spans="1:10" x14ac:dyDescent="0.3">
      <c r="A458">
        <v>456</v>
      </c>
      <c r="B458">
        <v>7253</v>
      </c>
      <c r="C458" t="b">
        <v>1</v>
      </c>
      <c r="D458">
        <v>8048</v>
      </c>
      <c r="E458">
        <v>8123</v>
      </c>
      <c r="F458">
        <v>8.4</v>
      </c>
      <c r="G458">
        <v>8</v>
      </c>
      <c r="H458">
        <v>1.05</v>
      </c>
      <c r="I458">
        <v>-4.9999952E-2</v>
      </c>
      <c r="J458">
        <v>0.48780489999999999</v>
      </c>
    </row>
    <row r="459" spans="1:10" x14ac:dyDescent="0.3">
      <c r="A459">
        <v>457</v>
      </c>
      <c r="B459">
        <v>7268</v>
      </c>
      <c r="C459" t="b">
        <v>1</v>
      </c>
      <c r="D459">
        <v>8048</v>
      </c>
      <c r="E459">
        <v>8123</v>
      </c>
      <c r="F459">
        <v>8</v>
      </c>
      <c r="G459">
        <v>8</v>
      </c>
      <c r="H459">
        <v>1</v>
      </c>
      <c r="I459">
        <v>0</v>
      </c>
      <c r="J459">
        <v>0.5</v>
      </c>
    </row>
    <row r="460" spans="1:10" x14ac:dyDescent="0.3">
      <c r="A460">
        <v>458</v>
      </c>
      <c r="B460">
        <v>7284</v>
      </c>
      <c r="C460" t="b">
        <v>1</v>
      </c>
      <c r="D460">
        <v>8048</v>
      </c>
      <c r="E460">
        <v>8123</v>
      </c>
      <c r="F460">
        <v>7.6</v>
      </c>
      <c r="G460">
        <v>8</v>
      </c>
      <c r="H460">
        <v>0.95</v>
      </c>
      <c r="I460">
        <v>5.0000012000000003E-2</v>
      </c>
      <c r="J460">
        <v>0.51282050000000001</v>
      </c>
    </row>
    <row r="461" spans="1:10" x14ac:dyDescent="0.3">
      <c r="A461">
        <v>459</v>
      </c>
      <c r="B461">
        <v>7300</v>
      </c>
      <c r="C461" t="b">
        <v>1</v>
      </c>
      <c r="D461">
        <v>8048</v>
      </c>
      <c r="E461">
        <v>8123</v>
      </c>
      <c r="F461">
        <v>7.6</v>
      </c>
      <c r="G461">
        <v>8</v>
      </c>
      <c r="H461">
        <v>0.95</v>
      </c>
      <c r="I461">
        <v>5.0000012000000003E-2</v>
      </c>
      <c r="J461">
        <v>0.51282050000000001</v>
      </c>
    </row>
    <row r="462" spans="1:10" x14ac:dyDescent="0.3">
      <c r="A462">
        <v>460</v>
      </c>
      <c r="B462">
        <v>7316</v>
      </c>
      <c r="C462" t="b">
        <v>1</v>
      </c>
      <c r="D462">
        <v>8048</v>
      </c>
      <c r="E462">
        <v>8134</v>
      </c>
      <c r="F462">
        <v>8</v>
      </c>
      <c r="G462">
        <v>8</v>
      </c>
      <c r="H462">
        <v>1</v>
      </c>
      <c r="I462">
        <v>0</v>
      </c>
      <c r="J462">
        <v>0.5</v>
      </c>
    </row>
    <row r="463" spans="1:10" x14ac:dyDescent="0.3">
      <c r="A463">
        <v>461</v>
      </c>
      <c r="B463">
        <v>7332</v>
      </c>
      <c r="C463" t="b">
        <v>1</v>
      </c>
      <c r="D463">
        <v>8054</v>
      </c>
      <c r="E463">
        <v>8123</v>
      </c>
      <c r="F463">
        <v>8.4</v>
      </c>
      <c r="G463">
        <v>8</v>
      </c>
      <c r="H463">
        <v>1.05</v>
      </c>
      <c r="I463">
        <v>-4.9999952E-2</v>
      </c>
      <c r="J463">
        <v>0.48780489999999999</v>
      </c>
    </row>
    <row r="464" spans="1:10" x14ac:dyDescent="0.3">
      <c r="A464">
        <v>462</v>
      </c>
      <c r="B464">
        <v>7348</v>
      </c>
      <c r="C464" t="b">
        <v>1</v>
      </c>
      <c r="D464">
        <v>8048</v>
      </c>
      <c r="E464">
        <v>8123</v>
      </c>
      <c r="F464">
        <v>8.8000000000000007</v>
      </c>
      <c r="G464">
        <v>8</v>
      </c>
      <c r="H464">
        <v>1.1000000000000001</v>
      </c>
      <c r="I464">
        <v>-0.10000002400000001</v>
      </c>
      <c r="J464">
        <v>0.47619050000000002</v>
      </c>
    </row>
    <row r="465" spans="1:10" x14ac:dyDescent="0.3">
      <c r="A465">
        <v>463</v>
      </c>
      <c r="B465">
        <v>7364</v>
      </c>
      <c r="C465" t="b">
        <v>1</v>
      </c>
      <c r="D465">
        <v>8048</v>
      </c>
      <c r="E465">
        <v>8123</v>
      </c>
      <c r="F465">
        <v>8.8000000000000007</v>
      </c>
      <c r="G465">
        <v>8</v>
      </c>
      <c r="H465">
        <v>1.1000000000000001</v>
      </c>
      <c r="I465">
        <v>-0.10000002400000001</v>
      </c>
      <c r="J465">
        <v>0.47619050000000002</v>
      </c>
    </row>
    <row r="466" spans="1:10" x14ac:dyDescent="0.3">
      <c r="A466">
        <v>464</v>
      </c>
      <c r="B466">
        <v>7380</v>
      </c>
      <c r="C466" t="b">
        <v>1</v>
      </c>
      <c r="D466">
        <v>8048</v>
      </c>
      <c r="E466">
        <v>8129</v>
      </c>
      <c r="F466">
        <v>8.8000000000000007</v>
      </c>
      <c r="G466">
        <v>8</v>
      </c>
      <c r="H466">
        <v>1.1000000000000001</v>
      </c>
      <c r="I466">
        <v>-0.10000002400000001</v>
      </c>
      <c r="J466">
        <v>0.47619050000000002</v>
      </c>
    </row>
    <row r="467" spans="1:10" x14ac:dyDescent="0.3">
      <c r="A467">
        <v>465</v>
      </c>
      <c r="B467">
        <v>7396</v>
      </c>
      <c r="C467" t="b">
        <v>1</v>
      </c>
      <c r="D467">
        <v>8048</v>
      </c>
      <c r="E467">
        <v>8129</v>
      </c>
      <c r="F467">
        <v>8.8000000000000007</v>
      </c>
      <c r="G467">
        <v>8</v>
      </c>
      <c r="H467">
        <v>1.1000000000000001</v>
      </c>
      <c r="I467">
        <v>-0.10000002400000001</v>
      </c>
      <c r="J467">
        <v>0.47619050000000002</v>
      </c>
    </row>
    <row r="468" spans="1:10" x14ac:dyDescent="0.3">
      <c r="A468">
        <v>466</v>
      </c>
      <c r="B468">
        <v>7412</v>
      </c>
      <c r="C468" t="b">
        <v>1</v>
      </c>
      <c r="D468">
        <v>8048</v>
      </c>
      <c r="E468">
        <v>8123</v>
      </c>
      <c r="F468">
        <v>8.4</v>
      </c>
      <c r="G468">
        <v>8</v>
      </c>
      <c r="H468">
        <v>1.05</v>
      </c>
      <c r="I468">
        <v>-4.9999952E-2</v>
      </c>
      <c r="J468">
        <v>0.48780489999999999</v>
      </c>
    </row>
    <row r="469" spans="1:10" x14ac:dyDescent="0.3">
      <c r="A469">
        <v>467</v>
      </c>
      <c r="B469">
        <v>7428</v>
      </c>
      <c r="C469" t="b">
        <v>1</v>
      </c>
      <c r="D469">
        <v>8048</v>
      </c>
      <c r="E469">
        <v>8123</v>
      </c>
      <c r="F469">
        <v>8</v>
      </c>
      <c r="G469">
        <v>8</v>
      </c>
      <c r="H469">
        <v>1</v>
      </c>
      <c r="I469">
        <v>0</v>
      </c>
      <c r="J469">
        <v>0.5</v>
      </c>
    </row>
    <row r="470" spans="1:10" x14ac:dyDescent="0.3">
      <c r="A470">
        <v>468</v>
      </c>
      <c r="B470">
        <v>7444</v>
      </c>
      <c r="C470" t="b">
        <v>1</v>
      </c>
      <c r="D470">
        <v>8048</v>
      </c>
      <c r="E470">
        <v>8123</v>
      </c>
      <c r="F470">
        <v>8</v>
      </c>
      <c r="G470">
        <v>8</v>
      </c>
      <c r="H470">
        <v>1</v>
      </c>
      <c r="I470">
        <v>0</v>
      </c>
      <c r="J470">
        <v>0.5</v>
      </c>
    </row>
    <row r="471" spans="1:10" x14ac:dyDescent="0.3">
      <c r="A471">
        <v>469</v>
      </c>
      <c r="B471">
        <v>7459</v>
      </c>
      <c r="C471" t="b">
        <v>1</v>
      </c>
      <c r="D471">
        <v>8048</v>
      </c>
      <c r="E471">
        <v>8123</v>
      </c>
      <c r="F471">
        <v>8</v>
      </c>
      <c r="G471">
        <v>8</v>
      </c>
      <c r="H471">
        <v>1</v>
      </c>
      <c r="I471">
        <v>0</v>
      </c>
      <c r="J471">
        <v>0.5</v>
      </c>
    </row>
    <row r="472" spans="1:10" x14ac:dyDescent="0.3">
      <c r="A472">
        <v>470</v>
      </c>
      <c r="B472">
        <v>7475</v>
      </c>
      <c r="C472" t="b">
        <v>1</v>
      </c>
      <c r="D472">
        <v>8048</v>
      </c>
      <c r="E472">
        <v>8123</v>
      </c>
      <c r="F472">
        <v>8</v>
      </c>
      <c r="G472">
        <v>8</v>
      </c>
      <c r="H472">
        <v>1</v>
      </c>
      <c r="I472">
        <v>0</v>
      </c>
      <c r="J472">
        <v>0.5</v>
      </c>
    </row>
    <row r="473" spans="1:10" x14ac:dyDescent="0.3">
      <c r="A473">
        <v>471</v>
      </c>
      <c r="B473">
        <v>7491</v>
      </c>
      <c r="C473" t="b">
        <v>1</v>
      </c>
      <c r="D473">
        <v>8048</v>
      </c>
      <c r="E473">
        <v>8129</v>
      </c>
      <c r="F473">
        <v>8</v>
      </c>
      <c r="G473">
        <v>8</v>
      </c>
      <c r="H473">
        <v>1</v>
      </c>
      <c r="I473">
        <v>0</v>
      </c>
      <c r="J473">
        <v>0.5</v>
      </c>
    </row>
    <row r="474" spans="1:10" x14ac:dyDescent="0.3">
      <c r="A474">
        <v>472</v>
      </c>
      <c r="B474">
        <v>7507</v>
      </c>
      <c r="C474" t="b">
        <v>1</v>
      </c>
      <c r="D474">
        <v>8048</v>
      </c>
      <c r="E474">
        <v>8123</v>
      </c>
      <c r="F474">
        <v>8</v>
      </c>
      <c r="G474">
        <v>8</v>
      </c>
      <c r="H474">
        <v>1</v>
      </c>
      <c r="I474">
        <v>0</v>
      </c>
      <c r="J474">
        <v>0.5</v>
      </c>
    </row>
    <row r="475" spans="1:10" x14ac:dyDescent="0.3">
      <c r="A475">
        <v>473</v>
      </c>
      <c r="B475">
        <v>7523</v>
      </c>
      <c r="C475" t="b">
        <v>1</v>
      </c>
      <c r="D475">
        <v>8048</v>
      </c>
      <c r="E475">
        <v>8123</v>
      </c>
      <c r="F475">
        <v>8</v>
      </c>
      <c r="G475">
        <v>8</v>
      </c>
      <c r="H475">
        <v>1</v>
      </c>
      <c r="I475">
        <v>0</v>
      </c>
      <c r="J475">
        <v>0.5</v>
      </c>
    </row>
    <row r="476" spans="1:10" x14ac:dyDescent="0.3">
      <c r="A476">
        <v>474</v>
      </c>
      <c r="B476">
        <v>7539</v>
      </c>
      <c r="C476" t="b">
        <v>1</v>
      </c>
      <c r="D476">
        <v>8048</v>
      </c>
      <c r="E476">
        <v>8117</v>
      </c>
      <c r="F476">
        <v>8</v>
      </c>
      <c r="G476">
        <v>8</v>
      </c>
      <c r="H476">
        <v>1</v>
      </c>
      <c r="I476">
        <v>0</v>
      </c>
      <c r="J476">
        <v>0.5</v>
      </c>
    </row>
    <row r="477" spans="1:10" x14ac:dyDescent="0.3">
      <c r="A477">
        <v>475</v>
      </c>
      <c r="B477">
        <v>7555</v>
      </c>
      <c r="C477" t="b">
        <v>1</v>
      </c>
      <c r="D477">
        <v>8048</v>
      </c>
      <c r="E477">
        <v>8123</v>
      </c>
      <c r="F477">
        <v>8</v>
      </c>
      <c r="G477">
        <v>8</v>
      </c>
      <c r="H477">
        <v>1</v>
      </c>
      <c r="I477">
        <v>0</v>
      </c>
      <c r="J477">
        <v>0.5</v>
      </c>
    </row>
    <row r="478" spans="1:10" x14ac:dyDescent="0.3">
      <c r="A478">
        <v>476</v>
      </c>
      <c r="B478">
        <v>7570</v>
      </c>
      <c r="C478" t="b">
        <v>1</v>
      </c>
      <c r="D478">
        <v>8054</v>
      </c>
      <c r="E478">
        <v>8123</v>
      </c>
      <c r="F478">
        <v>8</v>
      </c>
      <c r="G478">
        <v>8</v>
      </c>
      <c r="H478">
        <v>1</v>
      </c>
      <c r="I478">
        <v>0</v>
      </c>
      <c r="J478">
        <v>0.5</v>
      </c>
    </row>
    <row r="479" spans="1:10" x14ac:dyDescent="0.3">
      <c r="A479">
        <v>477</v>
      </c>
      <c r="B479">
        <v>7586</v>
      </c>
      <c r="C479" t="b">
        <v>1</v>
      </c>
      <c r="D479">
        <v>8048</v>
      </c>
      <c r="E479">
        <v>8123</v>
      </c>
      <c r="F479">
        <v>8</v>
      </c>
      <c r="G479">
        <v>8</v>
      </c>
      <c r="H479">
        <v>1</v>
      </c>
      <c r="I479">
        <v>0</v>
      </c>
      <c r="J479">
        <v>0.5</v>
      </c>
    </row>
    <row r="480" spans="1:10" x14ac:dyDescent="0.3">
      <c r="A480">
        <v>478</v>
      </c>
      <c r="B480">
        <v>7602</v>
      </c>
      <c r="C480" t="b">
        <v>1</v>
      </c>
      <c r="D480">
        <v>8048</v>
      </c>
      <c r="E480">
        <v>8123</v>
      </c>
      <c r="F480">
        <v>8</v>
      </c>
      <c r="G480">
        <v>8</v>
      </c>
      <c r="H480">
        <v>1</v>
      </c>
      <c r="I480">
        <v>0</v>
      </c>
      <c r="J480">
        <v>0.5</v>
      </c>
    </row>
    <row r="481" spans="1:10" x14ac:dyDescent="0.3">
      <c r="A481">
        <v>479</v>
      </c>
      <c r="B481">
        <v>7618</v>
      </c>
      <c r="C481" t="b">
        <v>1</v>
      </c>
      <c r="D481">
        <v>8048</v>
      </c>
      <c r="E481">
        <v>8129</v>
      </c>
      <c r="F481">
        <v>8</v>
      </c>
      <c r="G481">
        <v>8</v>
      </c>
      <c r="H481">
        <v>1</v>
      </c>
      <c r="I481">
        <v>0</v>
      </c>
      <c r="J481">
        <v>0.5</v>
      </c>
    </row>
    <row r="482" spans="1:10" x14ac:dyDescent="0.3">
      <c r="A482">
        <v>480</v>
      </c>
      <c r="B482">
        <v>7634</v>
      </c>
      <c r="C482" t="b">
        <v>1</v>
      </c>
      <c r="D482">
        <v>8048</v>
      </c>
      <c r="E482">
        <v>8129</v>
      </c>
      <c r="F482">
        <v>8</v>
      </c>
      <c r="G482">
        <v>8</v>
      </c>
      <c r="H482">
        <v>1</v>
      </c>
      <c r="I482">
        <v>0</v>
      </c>
      <c r="J482">
        <v>0.5</v>
      </c>
    </row>
    <row r="483" spans="1:10" x14ac:dyDescent="0.3">
      <c r="A483">
        <v>481</v>
      </c>
      <c r="B483">
        <v>7650</v>
      </c>
      <c r="C483" t="b">
        <v>1</v>
      </c>
      <c r="D483">
        <v>8048</v>
      </c>
      <c r="E483">
        <v>8123</v>
      </c>
      <c r="F483">
        <v>8</v>
      </c>
      <c r="G483">
        <v>8</v>
      </c>
      <c r="H483">
        <v>1</v>
      </c>
      <c r="I483">
        <v>0</v>
      </c>
      <c r="J483">
        <v>0.5</v>
      </c>
    </row>
    <row r="484" spans="1:10" x14ac:dyDescent="0.3">
      <c r="A484">
        <v>482</v>
      </c>
      <c r="B484">
        <v>7666</v>
      </c>
      <c r="C484" t="b">
        <v>1</v>
      </c>
      <c r="D484">
        <v>8048</v>
      </c>
      <c r="E484">
        <v>8117</v>
      </c>
      <c r="F484">
        <v>8</v>
      </c>
      <c r="G484">
        <v>8</v>
      </c>
      <c r="H484">
        <v>1</v>
      </c>
      <c r="I484">
        <v>0</v>
      </c>
      <c r="J484">
        <v>0.5</v>
      </c>
    </row>
    <row r="485" spans="1:10" x14ac:dyDescent="0.3">
      <c r="A485">
        <v>483</v>
      </c>
      <c r="B485">
        <v>7682</v>
      </c>
      <c r="C485" t="b">
        <v>1</v>
      </c>
      <c r="D485">
        <v>8048</v>
      </c>
      <c r="E485">
        <v>8117</v>
      </c>
      <c r="F485">
        <v>8</v>
      </c>
      <c r="G485">
        <v>8</v>
      </c>
      <c r="H485">
        <v>1</v>
      </c>
      <c r="I485">
        <v>0</v>
      </c>
      <c r="J485">
        <v>0.5</v>
      </c>
    </row>
    <row r="486" spans="1:10" x14ac:dyDescent="0.3">
      <c r="A486">
        <v>484</v>
      </c>
      <c r="B486">
        <v>7698</v>
      </c>
      <c r="C486" t="b">
        <v>1</v>
      </c>
      <c r="D486">
        <v>8048</v>
      </c>
      <c r="E486">
        <v>8117</v>
      </c>
      <c r="F486">
        <v>8</v>
      </c>
      <c r="G486">
        <v>7.6</v>
      </c>
      <c r="H486">
        <v>1.0526316</v>
      </c>
      <c r="I486">
        <v>-5.2631589999999999E-2</v>
      </c>
      <c r="J486">
        <v>0.48717946000000001</v>
      </c>
    </row>
    <row r="487" spans="1:10" x14ac:dyDescent="0.3">
      <c r="A487">
        <v>485</v>
      </c>
      <c r="B487">
        <v>7714</v>
      </c>
      <c r="C487" t="b">
        <v>1</v>
      </c>
      <c r="D487">
        <v>8048</v>
      </c>
      <c r="E487">
        <v>8117</v>
      </c>
      <c r="F487">
        <v>8</v>
      </c>
      <c r="G487">
        <v>7.2</v>
      </c>
      <c r="H487">
        <v>1.1111112000000001</v>
      </c>
      <c r="I487">
        <v>-0.11111114</v>
      </c>
      <c r="J487">
        <v>0.4736842</v>
      </c>
    </row>
    <row r="488" spans="1:10" x14ac:dyDescent="0.3">
      <c r="A488">
        <v>486</v>
      </c>
      <c r="B488">
        <v>7730</v>
      </c>
      <c r="C488" t="b">
        <v>1</v>
      </c>
      <c r="D488">
        <v>8048</v>
      </c>
      <c r="E488">
        <v>8117</v>
      </c>
      <c r="F488">
        <v>8</v>
      </c>
      <c r="G488">
        <v>6.8</v>
      </c>
      <c r="H488">
        <v>1.1764705</v>
      </c>
      <c r="I488">
        <v>-0.17647055</v>
      </c>
      <c r="J488">
        <v>0.45945944999999999</v>
      </c>
    </row>
    <row r="489" spans="1:10" x14ac:dyDescent="0.3">
      <c r="A489">
        <v>487</v>
      </c>
      <c r="B489">
        <v>7746</v>
      </c>
      <c r="C489" t="b">
        <v>1</v>
      </c>
      <c r="D489">
        <v>8048</v>
      </c>
      <c r="E489">
        <v>8123</v>
      </c>
      <c r="F489">
        <v>8</v>
      </c>
      <c r="G489">
        <v>6.4</v>
      </c>
      <c r="H489">
        <v>1.25</v>
      </c>
      <c r="I489">
        <v>-0.24999999000000001</v>
      </c>
      <c r="J489">
        <v>0.44444447999999998</v>
      </c>
    </row>
    <row r="490" spans="1:10" x14ac:dyDescent="0.3">
      <c r="A490">
        <v>488</v>
      </c>
      <c r="B490">
        <v>7762</v>
      </c>
      <c r="C490" t="b">
        <v>1</v>
      </c>
      <c r="D490">
        <v>8048</v>
      </c>
      <c r="E490">
        <v>8117</v>
      </c>
      <c r="F490">
        <v>8</v>
      </c>
      <c r="G490">
        <v>6</v>
      </c>
      <c r="H490">
        <v>1.3333333999999999</v>
      </c>
      <c r="I490">
        <v>-0.33333333999999998</v>
      </c>
      <c r="J490">
        <v>0.42857142999999998</v>
      </c>
    </row>
    <row r="491" spans="1:10" x14ac:dyDescent="0.3">
      <c r="A491">
        <v>489</v>
      </c>
      <c r="B491">
        <v>7777</v>
      </c>
      <c r="C491" t="b">
        <v>1</v>
      </c>
      <c r="D491">
        <v>8048</v>
      </c>
      <c r="E491">
        <v>8129</v>
      </c>
      <c r="F491">
        <v>8</v>
      </c>
      <c r="G491">
        <v>5.6</v>
      </c>
      <c r="H491">
        <v>1.4285715000000001</v>
      </c>
      <c r="I491">
        <v>-0.42857146000000002</v>
      </c>
      <c r="J491">
        <v>0.41176467999999999</v>
      </c>
    </row>
    <row r="492" spans="1:10" x14ac:dyDescent="0.3">
      <c r="A492">
        <v>490</v>
      </c>
      <c r="B492">
        <v>7793</v>
      </c>
      <c r="C492" t="b">
        <v>1</v>
      </c>
      <c r="D492">
        <v>8048</v>
      </c>
      <c r="E492">
        <v>8123</v>
      </c>
      <c r="F492">
        <v>8</v>
      </c>
      <c r="G492">
        <v>5.6</v>
      </c>
      <c r="H492">
        <v>1.4285715000000001</v>
      </c>
      <c r="I492">
        <v>-0.42857146000000002</v>
      </c>
      <c r="J492">
        <v>0.41176467999999999</v>
      </c>
    </row>
    <row r="493" spans="1:10" x14ac:dyDescent="0.3">
      <c r="A493">
        <v>491</v>
      </c>
      <c r="B493">
        <v>7809</v>
      </c>
      <c r="C493" t="b">
        <v>1</v>
      </c>
      <c r="D493">
        <v>8054</v>
      </c>
      <c r="E493">
        <v>8117</v>
      </c>
      <c r="F493">
        <v>8</v>
      </c>
      <c r="G493">
        <v>5.6</v>
      </c>
      <c r="H493">
        <v>1.4285715000000001</v>
      </c>
      <c r="I493">
        <v>-0.42857146000000002</v>
      </c>
      <c r="J493">
        <v>0.41176467999999999</v>
      </c>
    </row>
    <row r="494" spans="1:10" x14ac:dyDescent="0.3">
      <c r="A494">
        <v>492</v>
      </c>
      <c r="B494">
        <v>7825</v>
      </c>
      <c r="C494" t="b">
        <v>1</v>
      </c>
      <c r="D494">
        <v>8048</v>
      </c>
      <c r="E494">
        <v>8117</v>
      </c>
      <c r="F494">
        <v>8</v>
      </c>
      <c r="G494">
        <v>5.2</v>
      </c>
      <c r="H494">
        <v>1.5384616</v>
      </c>
      <c r="I494">
        <v>-0.53846156999999994</v>
      </c>
      <c r="J494">
        <v>0.39393938000000001</v>
      </c>
    </row>
    <row r="495" spans="1:10" x14ac:dyDescent="0.3">
      <c r="A495">
        <v>493</v>
      </c>
      <c r="B495">
        <v>7841</v>
      </c>
      <c r="C495" t="b">
        <v>1</v>
      </c>
      <c r="D495">
        <v>8048</v>
      </c>
      <c r="E495">
        <v>8123</v>
      </c>
      <c r="F495">
        <v>8</v>
      </c>
      <c r="G495">
        <v>5.2</v>
      </c>
      <c r="H495">
        <v>1.5384616</v>
      </c>
      <c r="I495">
        <v>-0.53846156999999994</v>
      </c>
      <c r="J495">
        <v>0.39393938000000001</v>
      </c>
    </row>
    <row r="496" spans="1:10" x14ac:dyDescent="0.3">
      <c r="A496">
        <v>494</v>
      </c>
      <c r="B496">
        <v>7857</v>
      </c>
      <c r="C496" t="b">
        <v>1</v>
      </c>
      <c r="D496">
        <v>8048</v>
      </c>
      <c r="E496">
        <v>8123</v>
      </c>
      <c r="F496">
        <v>8</v>
      </c>
      <c r="G496">
        <v>5.2</v>
      </c>
      <c r="H496">
        <v>1.5384616</v>
      </c>
      <c r="I496">
        <v>-0.53846156999999994</v>
      </c>
      <c r="J496">
        <v>0.39393938000000001</v>
      </c>
    </row>
    <row r="497" spans="1:10" x14ac:dyDescent="0.3">
      <c r="A497">
        <v>495</v>
      </c>
      <c r="B497">
        <v>7873</v>
      </c>
      <c r="C497" t="b">
        <v>1</v>
      </c>
      <c r="D497">
        <v>8048</v>
      </c>
      <c r="E497">
        <v>8123</v>
      </c>
      <c r="F497">
        <v>8</v>
      </c>
      <c r="G497">
        <v>5.2</v>
      </c>
      <c r="H497">
        <v>1.5384616</v>
      </c>
      <c r="I497">
        <v>-0.53846156999999994</v>
      </c>
      <c r="J497">
        <v>0.39393938000000001</v>
      </c>
    </row>
    <row r="498" spans="1:10" x14ac:dyDescent="0.3">
      <c r="A498">
        <v>496</v>
      </c>
      <c r="B498">
        <v>7889</v>
      </c>
      <c r="C498" t="b">
        <v>1</v>
      </c>
      <c r="D498">
        <v>8048</v>
      </c>
      <c r="E498">
        <v>8123</v>
      </c>
      <c r="F498">
        <v>8</v>
      </c>
      <c r="G498">
        <v>5.2</v>
      </c>
      <c r="H498">
        <v>1.5384616</v>
      </c>
      <c r="I498">
        <v>-0.53846156999999994</v>
      </c>
      <c r="J498">
        <v>0.39393938000000001</v>
      </c>
    </row>
    <row r="499" spans="1:10" x14ac:dyDescent="0.3">
      <c r="A499">
        <v>497</v>
      </c>
      <c r="B499">
        <v>7904</v>
      </c>
      <c r="C499" t="b">
        <v>1</v>
      </c>
      <c r="D499">
        <v>8054</v>
      </c>
      <c r="E499">
        <v>8129</v>
      </c>
      <c r="F499">
        <v>8</v>
      </c>
      <c r="G499">
        <v>5.2</v>
      </c>
      <c r="H499">
        <v>1.5384616</v>
      </c>
      <c r="I499">
        <v>-0.53846156999999994</v>
      </c>
      <c r="J499">
        <v>0.39393938000000001</v>
      </c>
    </row>
    <row r="500" spans="1:10" x14ac:dyDescent="0.3">
      <c r="A500">
        <v>498</v>
      </c>
      <c r="B500">
        <v>7920</v>
      </c>
      <c r="C500" t="b">
        <v>1</v>
      </c>
      <c r="D500">
        <v>8048</v>
      </c>
      <c r="E500">
        <v>8134</v>
      </c>
      <c r="F500">
        <v>8</v>
      </c>
      <c r="G500">
        <v>5.2</v>
      </c>
      <c r="H500">
        <v>1.5384616</v>
      </c>
      <c r="I500">
        <v>-0.53846156999999994</v>
      </c>
      <c r="J500">
        <v>0.39393938000000001</v>
      </c>
    </row>
    <row r="501" spans="1:10" x14ac:dyDescent="0.3">
      <c r="A501">
        <v>499</v>
      </c>
      <c r="B501">
        <v>7936</v>
      </c>
      <c r="C501" t="b">
        <v>1</v>
      </c>
      <c r="D501">
        <v>8054</v>
      </c>
      <c r="E501">
        <v>8123</v>
      </c>
      <c r="F501">
        <v>8</v>
      </c>
      <c r="G501">
        <v>5.6</v>
      </c>
      <c r="H501">
        <v>1.4285715000000001</v>
      </c>
      <c r="I501">
        <v>-0.42857146000000002</v>
      </c>
      <c r="J501">
        <v>0.41176467999999999</v>
      </c>
    </row>
    <row r="502" spans="1:10" x14ac:dyDescent="0.3">
      <c r="A502">
        <v>500</v>
      </c>
      <c r="B502">
        <v>7952</v>
      </c>
      <c r="C502" t="b">
        <v>1</v>
      </c>
      <c r="D502">
        <v>8054</v>
      </c>
      <c r="E502">
        <v>8123</v>
      </c>
      <c r="F502">
        <v>8.4</v>
      </c>
      <c r="G502">
        <v>6</v>
      </c>
      <c r="H502">
        <v>1.4</v>
      </c>
      <c r="I502">
        <v>-0.39999994999999999</v>
      </c>
      <c r="J502">
        <v>0.4166667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964A-5D4A-4FE1-96DC-AF42D53F769B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8042</v>
      </c>
      <c r="E2">
        <v>8123</v>
      </c>
      <c r="F2">
        <v>2</v>
      </c>
      <c r="G2">
        <v>8</v>
      </c>
      <c r="H2">
        <v>0.25</v>
      </c>
      <c r="I2">
        <v>0.75</v>
      </c>
      <c r="J2">
        <v>0.8</v>
      </c>
    </row>
    <row r="3" spans="1:10" x14ac:dyDescent="0.3">
      <c r="A3">
        <v>1</v>
      </c>
      <c r="B3">
        <v>30</v>
      </c>
      <c r="C3" t="b">
        <v>1</v>
      </c>
      <c r="D3">
        <v>8042</v>
      </c>
      <c r="E3">
        <v>8123</v>
      </c>
      <c r="F3">
        <v>2</v>
      </c>
      <c r="G3">
        <v>8</v>
      </c>
      <c r="H3">
        <v>0.25</v>
      </c>
      <c r="I3">
        <v>0.75</v>
      </c>
      <c r="J3">
        <v>0.8</v>
      </c>
    </row>
    <row r="4" spans="1:10" x14ac:dyDescent="0.3">
      <c r="A4">
        <v>2</v>
      </c>
      <c r="B4">
        <v>46</v>
      </c>
      <c r="C4" t="b">
        <v>1</v>
      </c>
      <c r="D4">
        <v>8048</v>
      </c>
      <c r="E4">
        <v>8123</v>
      </c>
      <c r="F4">
        <v>2</v>
      </c>
      <c r="G4">
        <v>8</v>
      </c>
      <c r="H4">
        <v>0.25</v>
      </c>
      <c r="I4">
        <v>0.75</v>
      </c>
      <c r="J4">
        <v>0.8</v>
      </c>
    </row>
    <row r="5" spans="1:10" x14ac:dyDescent="0.3">
      <c r="A5">
        <v>3</v>
      </c>
      <c r="B5">
        <v>62</v>
      </c>
      <c r="C5" t="b">
        <v>1</v>
      </c>
      <c r="D5">
        <v>8042</v>
      </c>
      <c r="E5">
        <v>8123</v>
      </c>
      <c r="F5">
        <v>2</v>
      </c>
      <c r="G5">
        <v>8</v>
      </c>
      <c r="H5">
        <v>0.25</v>
      </c>
      <c r="I5">
        <v>0.75</v>
      </c>
      <c r="J5">
        <v>0.8</v>
      </c>
    </row>
    <row r="6" spans="1:10" x14ac:dyDescent="0.3">
      <c r="A6">
        <v>4</v>
      </c>
      <c r="B6">
        <v>77</v>
      </c>
      <c r="C6" t="b">
        <v>1</v>
      </c>
      <c r="D6">
        <v>8048</v>
      </c>
      <c r="E6">
        <v>8123</v>
      </c>
      <c r="F6">
        <v>2</v>
      </c>
      <c r="G6">
        <v>8</v>
      </c>
      <c r="H6">
        <v>0.25</v>
      </c>
      <c r="I6">
        <v>0.75</v>
      </c>
      <c r="J6">
        <v>0.8</v>
      </c>
    </row>
    <row r="7" spans="1:10" x14ac:dyDescent="0.3">
      <c r="A7">
        <v>5</v>
      </c>
      <c r="B7">
        <v>93</v>
      </c>
      <c r="C7" t="b">
        <v>1</v>
      </c>
      <c r="D7">
        <v>8048</v>
      </c>
      <c r="E7">
        <v>8123</v>
      </c>
      <c r="F7">
        <v>3</v>
      </c>
      <c r="G7">
        <v>8</v>
      </c>
      <c r="H7">
        <v>0.375</v>
      </c>
      <c r="I7">
        <v>0.625</v>
      </c>
      <c r="J7">
        <v>0.72727275000000002</v>
      </c>
    </row>
    <row r="8" spans="1:10" x14ac:dyDescent="0.3">
      <c r="A8">
        <v>6</v>
      </c>
      <c r="B8">
        <v>109</v>
      </c>
      <c r="C8" t="b">
        <v>1</v>
      </c>
      <c r="D8">
        <v>8048</v>
      </c>
      <c r="E8">
        <v>8123</v>
      </c>
      <c r="F8">
        <v>3.7142856000000002</v>
      </c>
      <c r="G8">
        <v>8</v>
      </c>
      <c r="H8">
        <v>0.46428570000000002</v>
      </c>
      <c r="I8">
        <v>0.53571427000000005</v>
      </c>
      <c r="J8">
        <v>0.68292682999999998</v>
      </c>
    </row>
    <row r="9" spans="1:10" x14ac:dyDescent="0.3">
      <c r="A9">
        <v>7</v>
      </c>
      <c r="B9">
        <v>125</v>
      </c>
      <c r="C9" t="b">
        <v>1</v>
      </c>
      <c r="D9">
        <v>8048</v>
      </c>
      <c r="E9">
        <v>8123</v>
      </c>
      <c r="F9">
        <v>4.25</v>
      </c>
      <c r="G9">
        <v>8</v>
      </c>
      <c r="H9">
        <v>0.53125</v>
      </c>
      <c r="I9">
        <v>0.46875</v>
      </c>
      <c r="J9">
        <v>0.65306120000000001</v>
      </c>
    </row>
    <row r="10" spans="1:10" x14ac:dyDescent="0.3">
      <c r="A10">
        <v>8</v>
      </c>
      <c r="B10">
        <v>141</v>
      </c>
      <c r="C10" t="b">
        <v>1</v>
      </c>
      <c r="D10">
        <v>8048</v>
      </c>
      <c r="E10">
        <v>8123</v>
      </c>
      <c r="F10">
        <v>4.6666664999999998</v>
      </c>
      <c r="G10">
        <v>8</v>
      </c>
      <c r="H10">
        <v>0.58333330000000005</v>
      </c>
      <c r="I10">
        <v>0.4166667</v>
      </c>
      <c r="J10">
        <v>0.631579</v>
      </c>
    </row>
    <row r="11" spans="1:10" x14ac:dyDescent="0.3">
      <c r="A11">
        <v>9</v>
      </c>
      <c r="B11">
        <v>157</v>
      </c>
      <c r="C11" t="b">
        <v>1</v>
      </c>
      <c r="D11">
        <v>8042</v>
      </c>
      <c r="E11">
        <v>8123</v>
      </c>
      <c r="F11">
        <v>5</v>
      </c>
      <c r="G11">
        <v>8</v>
      </c>
      <c r="H11">
        <v>0.625</v>
      </c>
      <c r="I11">
        <v>0.375</v>
      </c>
      <c r="J11">
        <v>0.61538464000000004</v>
      </c>
    </row>
    <row r="12" spans="1:10" x14ac:dyDescent="0.3">
      <c r="A12">
        <v>10</v>
      </c>
      <c r="B12">
        <v>173</v>
      </c>
      <c r="C12" t="b">
        <v>1</v>
      </c>
      <c r="D12">
        <v>8048</v>
      </c>
      <c r="E12">
        <v>8129</v>
      </c>
      <c r="F12">
        <v>5.2727275000000002</v>
      </c>
      <c r="G12">
        <v>8</v>
      </c>
      <c r="H12">
        <v>0.65909094000000001</v>
      </c>
      <c r="I12">
        <v>0.34090905999999999</v>
      </c>
      <c r="J12">
        <v>0.60273969999999999</v>
      </c>
    </row>
    <row r="13" spans="1:10" x14ac:dyDescent="0.3">
      <c r="A13">
        <v>11</v>
      </c>
      <c r="B13">
        <v>189</v>
      </c>
      <c r="C13" t="b">
        <v>1</v>
      </c>
      <c r="D13">
        <v>8048</v>
      </c>
      <c r="E13">
        <v>8117</v>
      </c>
      <c r="F13">
        <v>5.5</v>
      </c>
      <c r="G13">
        <v>8</v>
      </c>
      <c r="H13">
        <v>0.6875</v>
      </c>
      <c r="I13">
        <v>0.3125</v>
      </c>
      <c r="J13">
        <v>0.59259260000000002</v>
      </c>
    </row>
    <row r="14" spans="1:10" x14ac:dyDescent="0.3">
      <c r="A14">
        <v>12</v>
      </c>
      <c r="B14">
        <v>205</v>
      </c>
      <c r="C14" t="b">
        <v>1</v>
      </c>
      <c r="D14">
        <v>8048</v>
      </c>
      <c r="E14">
        <v>8117</v>
      </c>
      <c r="F14">
        <v>5.6923075000000001</v>
      </c>
      <c r="G14">
        <v>8</v>
      </c>
      <c r="H14">
        <v>0.71153843000000006</v>
      </c>
      <c r="I14">
        <v>0.28846157</v>
      </c>
      <c r="J14">
        <v>0.58426964000000003</v>
      </c>
    </row>
    <row r="15" spans="1:10" x14ac:dyDescent="0.3">
      <c r="A15">
        <v>13</v>
      </c>
      <c r="B15">
        <v>220</v>
      </c>
      <c r="C15" t="b">
        <v>1</v>
      </c>
      <c r="D15">
        <v>8048</v>
      </c>
      <c r="E15">
        <v>8117</v>
      </c>
      <c r="F15">
        <v>5.8571429999999998</v>
      </c>
      <c r="G15">
        <v>7.5714290000000002</v>
      </c>
      <c r="H15">
        <v>0.77358490000000002</v>
      </c>
      <c r="I15">
        <v>0.22641511</v>
      </c>
      <c r="J15">
        <v>0.56382980000000005</v>
      </c>
    </row>
    <row r="16" spans="1:10" x14ac:dyDescent="0.3">
      <c r="A16">
        <v>14</v>
      </c>
      <c r="B16">
        <v>236</v>
      </c>
      <c r="C16" t="b">
        <v>1</v>
      </c>
      <c r="D16">
        <v>8054</v>
      </c>
      <c r="E16">
        <v>8117</v>
      </c>
      <c r="F16">
        <v>6</v>
      </c>
      <c r="G16">
        <v>7.2</v>
      </c>
      <c r="H16">
        <v>0.8333334</v>
      </c>
      <c r="I16">
        <v>0.16666664</v>
      </c>
      <c r="J16">
        <v>0.54545456000000003</v>
      </c>
    </row>
    <row r="17" spans="1:10" x14ac:dyDescent="0.3">
      <c r="A17">
        <v>15</v>
      </c>
      <c r="B17">
        <v>252</v>
      </c>
      <c r="C17" t="b">
        <v>1</v>
      </c>
      <c r="D17">
        <v>8048</v>
      </c>
      <c r="E17">
        <v>8117</v>
      </c>
      <c r="F17">
        <v>6.4</v>
      </c>
      <c r="G17">
        <v>6.8</v>
      </c>
      <c r="H17">
        <v>0.94117649999999997</v>
      </c>
      <c r="I17">
        <v>5.8823540000000001E-2</v>
      </c>
      <c r="J17">
        <v>0.51515149999999998</v>
      </c>
    </row>
    <row r="18" spans="1:10" x14ac:dyDescent="0.3">
      <c r="A18">
        <v>16</v>
      </c>
      <c r="B18">
        <v>268</v>
      </c>
      <c r="C18" t="b">
        <v>1</v>
      </c>
      <c r="D18">
        <v>8048</v>
      </c>
      <c r="E18">
        <v>8117</v>
      </c>
      <c r="F18">
        <v>6.8</v>
      </c>
      <c r="G18">
        <v>6.4</v>
      </c>
      <c r="H18">
        <v>1.0625</v>
      </c>
      <c r="I18">
        <v>-6.2500015000000006E-2</v>
      </c>
      <c r="J18">
        <v>0.48484846999999998</v>
      </c>
    </row>
    <row r="19" spans="1:10" x14ac:dyDescent="0.3">
      <c r="A19">
        <v>17</v>
      </c>
      <c r="B19">
        <v>284</v>
      </c>
      <c r="C19" t="b">
        <v>1</v>
      </c>
      <c r="D19">
        <v>8048</v>
      </c>
      <c r="E19">
        <v>8123</v>
      </c>
      <c r="F19">
        <v>7.2</v>
      </c>
      <c r="G19">
        <v>6</v>
      </c>
      <c r="H19">
        <v>1.1999998999999999</v>
      </c>
      <c r="I19">
        <v>-0.19999997</v>
      </c>
      <c r="J19">
        <v>0.45454547000000001</v>
      </c>
    </row>
    <row r="20" spans="1:10" x14ac:dyDescent="0.3">
      <c r="A20">
        <v>18</v>
      </c>
      <c r="B20">
        <v>300</v>
      </c>
      <c r="C20" t="b">
        <v>1</v>
      </c>
      <c r="D20">
        <v>8048</v>
      </c>
      <c r="E20">
        <v>8129</v>
      </c>
      <c r="F20">
        <v>7.6</v>
      </c>
      <c r="G20">
        <v>5.6</v>
      </c>
      <c r="H20">
        <v>1.3571428000000001</v>
      </c>
      <c r="I20">
        <v>-0.35714287</v>
      </c>
      <c r="J20">
        <v>0.42424244</v>
      </c>
    </row>
    <row r="21" spans="1:10" x14ac:dyDescent="0.3">
      <c r="A21">
        <v>19</v>
      </c>
      <c r="B21">
        <v>315</v>
      </c>
      <c r="C21" t="b">
        <v>1</v>
      </c>
      <c r="D21">
        <v>8048</v>
      </c>
      <c r="E21">
        <v>8123</v>
      </c>
      <c r="F21">
        <v>8</v>
      </c>
      <c r="G21">
        <v>5.6</v>
      </c>
      <c r="H21">
        <v>1.4285715000000001</v>
      </c>
      <c r="I21">
        <v>-0.42857146000000002</v>
      </c>
      <c r="J21">
        <v>0.41176467999999999</v>
      </c>
    </row>
    <row r="22" spans="1:10" x14ac:dyDescent="0.3">
      <c r="A22">
        <v>20</v>
      </c>
      <c r="B22">
        <v>331</v>
      </c>
      <c r="C22" t="b">
        <v>1</v>
      </c>
      <c r="D22">
        <v>8048</v>
      </c>
      <c r="E22">
        <v>8129</v>
      </c>
      <c r="F22">
        <v>8</v>
      </c>
      <c r="G22">
        <v>5.6</v>
      </c>
      <c r="H22">
        <v>1.4285715000000001</v>
      </c>
      <c r="I22">
        <v>-0.42857146000000002</v>
      </c>
      <c r="J22">
        <v>0.41176467999999999</v>
      </c>
    </row>
    <row r="23" spans="1:10" x14ac:dyDescent="0.3">
      <c r="A23">
        <v>21</v>
      </c>
      <c r="B23">
        <v>347</v>
      </c>
      <c r="C23" t="b">
        <v>1</v>
      </c>
      <c r="D23">
        <v>8048</v>
      </c>
      <c r="E23">
        <v>8123</v>
      </c>
      <c r="F23">
        <v>8</v>
      </c>
      <c r="G23">
        <v>5.6</v>
      </c>
      <c r="H23">
        <v>1.4285715000000001</v>
      </c>
      <c r="I23">
        <v>-0.42857146000000002</v>
      </c>
      <c r="J23">
        <v>0.41176467999999999</v>
      </c>
    </row>
    <row r="24" spans="1:10" x14ac:dyDescent="0.3">
      <c r="A24">
        <v>22</v>
      </c>
      <c r="B24">
        <v>363</v>
      </c>
      <c r="C24" t="b">
        <v>1</v>
      </c>
      <c r="D24">
        <v>8048</v>
      </c>
      <c r="E24">
        <v>8123</v>
      </c>
      <c r="F24">
        <v>8</v>
      </c>
      <c r="G24">
        <v>5.6</v>
      </c>
      <c r="H24">
        <v>1.4285715000000001</v>
      </c>
      <c r="I24">
        <v>-0.42857146000000002</v>
      </c>
      <c r="J24">
        <v>0.41176467999999999</v>
      </c>
    </row>
    <row r="25" spans="1:10" x14ac:dyDescent="0.3">
      <c r="A25">
        <v>23</v>
      </c>
      <c r="B25">
        <v>379</v>
      </c>
      <c r="C25" t="b">
        <v>1</v>
      </c>
      <c r="D25">
        <v>8048</v>
      </c>
      <c r="E25">
        <v>8123</v>
      </c>
      <c r="F25">
        <v>8</v>
      </c>
      <c r="G25">
        <v>5.6</v>
      </c>
      <c r="H25">
        <v>1.4285715000000001</v>
      </c>
      <c r="I25">
        <v>-0.42857146000000002</v>
      </c>
      <c r="J25">
        <v>0.41176467999999999</v>
      </c>
    </row>
    <row r="26" spans="1:10" x14ac:dyDescent="0.3">
      <c r="A26">
        <v>24</v>
      </c>
      <c r="B26">
        <v>394</v>
      </c>
      <c r="C26" t="b">
        <v>1</v>
      </c>
      <c r="D26">
        <v>8042</v>
      </c>
      <c r="E26">
        <v>8117</v>
      </c>
      <c r="F26">
        <v>8</v>
      </c>
      <c r="G26">
        <v>5.6</v>
      </c>
      <c r="H26">
        <v>1.4285715000000001</v>
      </c>
      <c r="I26">
        <v>-0.42857146000000002</v>
      </c>
      <c r="J26">
        <v>0.41176467999999999</v>
      </c>
    </row>
    <row r="27" spans="1:10" x14ac:dyDescent="0.3">
      <c r="A27">
        <v>25</v>
      </c>
      <c r="B27">
        <v>410</v>
      </c>
      <c r="C27" t="b">
        <v>1</v>
      </c>
      <c r="D27">
        <v>8042</v>
      </c>
      <c r="E27">
        <v>8123</v>
      </c>
      <c r="F27">
        <v>8</v>
      </c>
      <c r="G27">
        <v>5.6</v>
      </c>
      <c r="H27">
        <v>1.4285715000000001</v>
      </c>
      <c r="I27">
        <v>-0.42857146000000002</v>
      </c>
      <c r="J27">
        <v>0.41176467999999999</v>
      </c>
    </row>
    <row r="28" spans="1:10" x14ac:dyDescent="0.3">
      <c r="A28">
        <v>26</v>
      </c>
      <c r="B28">
        <v>426</v>
      </c>
      <c r="C28" t="b">
        <v>1</v>
      </c>
      <c r="D28">
        <v>8048</v>
      </c>
      <c r="E28">
        <v>8123</v>
      </c>
      <c r="F28">
        <v>8</v>
      </c>
      <c r="G28">
        <v>5.6</v>
      </c>
      <c r="H28">
        <v>1.4285715000000001</v>
      </c>
      <c r="I28">
        <v>-0.42857146000000002</v>
      </c>
      <c r="J28">
        <v>0.41176467999999999</v>
      </c>
    </row>
    <row r="29" spans="1:10" x14ac:dyDescent="0.3">
      <c r="A29">
        <v>27</v>
      </c>
      <c r="B29">
        <v>442</v>
      </c>
      <c r="C29" t="b">
        <v>1</v>
      </c>
      <c r="D29">
        <v>8048</v>
      </c>
      <c r="E29">
        <v>8129</v>
      </c>
      <c r="F29">
        <v>8</v>
      </c>
      <c r="G29">
        <v>5.6</v>
      </c>
      <c r="H29">
        <v>1.4285715000000001</v>
      </c>
      <c r="I29">
        <v>-0.42857146000000002</v>
      </c>
      <c r="J29">
        <v>0.41176467999999999</v>
      </c>
    </row>
    <row r="30" spans="1:10" x14ac:dyDescent="0.3">
      <c r="A30">
        <v>28</v>
      </c>
      <c r="B30">
        <v>457</v>
      </c>
      <c r="C30" t="b">
        <v>1</v>
      </c>
      <c r="D30">
        <v>8048</v>
      </c>
      <c r="E30">
        <v>8123</v>
      </c>
      <c r="F30">
        <v>8</v>
      </c>
      <c r="G30">
        <v>6</v>
      </c>
      <c r="H30">
        <v>1.3333333999999999</v>
      </c>
      <c r="I30">
        <v>-0.33333333999999998</v>
      </c>
      <c r="J30">
        <v>0.42857142999999998</v>
      </c>
    </row>
    <row r="31" spans="1:10" x14ac:dyDescent="0.3">
      <c r="A31">
        <v>29</v>
      </c>
      <c r="B31">
        <v>473</v>
      </c>
      <c r="C31" t="b">
        <v>1</v>
      </c>
      <c r="D31">
        <v>8048</v>
      </c>
      <c r="E31">
        <v>8117</v>
      </c>
      <c r="F31">
        <v>8</v>
      </c>
      <c r="G31">
        <v>6.4</v>
      </c>
      <c r="H31">
        <v>1.25</v>
      </c>
      <c r="I31">
        <v>-0.24999999000000001</v>
      </c>
      <c r="J31">
        <v>0.44444447999999998</v>
      </c>
    </row>
    <row r="32" spans="1:10" x14ac:dyDescent="0.3">
      <c r="A32">
        <v>30</v>
      </c>
      <c r="B32">
        <v>489</v>
      </c>
      <c r="C32" t="b">
        <v>1</v>
      </c>
      <c r="D32">
        <v>8048</v>
      </c>
      <c r="E32">
        <v>8123</v>
      </c>
      <c r="F32">
        <v>8</v>
      </c>
      <c r="G32">
        <v>6.8</v>
      </c>
      <c r="H32">
        <v>1.1764705</v>
      </c>
      <c r="I32">
        <v>-0.17647055</v>
      </c>
      <c r="J32">
        <v>0.45945944999999999</v>
      </c>
    </row>
    <row r="33" spans="1:10" x14ac:dyDescent="0.3">
      <c r="A33">
        <v>31</v>
      </c>
      <c r="B33">
        <v>505</v>
      </c>
      <c r="C33" t="b">
        <v>1</v>
      </c>
      <c r="D33">
        <v>8048</v>
      </c>
      <c r="E33">
        <v>8129</v>
      </c>
      <c r="F33">
        <v>8</v>
      </c>
      <c r="G33">
        <v>7.2</v>
      </c>
      <c r="H33">
        <v>1.1111112000000001</v>
      </c>
      <c r="I33">
        <v>-0.11111114</v>
      </c>
      <c r="J33">
        <v>0.4736842</v>
      </c>
    </row>
    <row r="34" spans="1:10" x14ac:dyDescent="0.3">
      <c r="A34">
        <v>32</v>
      </c>
      <c r="B34">
        <v>521</v>
      </c>
      <c r="C34" t="b">
        <v>1</v>
      </c>
      <c r="D34">
        <v>8048</v>
      </c>
      <c r="E34">
        <v>8123</v>
      </c>
      <c r="F34">
        <v>8</v>
      </c>
      <c r="G34">
        <v>7.6</v>
      </c>
      <c r="H34">
        <v>1.0526316</v>
      </c>
      <c r="I34">
        <v>-5.2631589999999999E-2</v>
      </c>
      <c r="J34">
        <v>0.48717946000000001</v>
      </c>
    </row>
    <row r="35" spans="1:10" x14ac:dyDescent="0.3">
      <c r="A35">
        <v>33</v>
      </c>
      <c r="B35">
        <v>537</v>
      </c>
      <c r="C35" t="b">
        <v>1</v>
      </c>
      <c r="D35">
        <v>8048</v>
      </c>
      <c r="E35">
        <v>8129</v>
      </c>
      <c r="F35">
        <v>8</v>
      </c>
      <c r="G35">
        <v>8</v>
      </c>
      <c r="H35">
        <v>1</v>
      </c>
      <c r="I35">
        <v>0</v>
      </c>
      <c r="J35">
        <v>0.5</v>
      </c>
    </row>
    <row r="36" spans="1:10" x14ac:dyDescent="0.3">
      <c r="A36">
        <v>34</v>
      </c>
      <c r="B36">
        <v>553</v>
      </c>
      <c r="C36" t="b">
        <v>1</v>
      </c>
      <c r="D36">
        <v>8054</v>
      </c>
      <c r="E36">
        <v>8123</v>
      </c>
      <c r="F36">
        <v>8</v>
      </c>
      <c r="G36">
        <v>8</v>
      </c>
      <c r="H36">
        <v>1</v>
      </c>
      <c r="I36">
        <v>0</v>
      </c>
      <c r="J36">
        <v>0.5</v>
      </c>
    </row>
    <row r="37" spans="1:10" x14ac:dyDescent="0.3">
      <c r="A37">
        <v>35</v>
      </c>
      <c r="B37">
        <v>569</v>
      </c>
      <c r="C37" t="b">
        <v>1</v>
      </c>
      <c r="D37">
        <v>8048</v>
      </c>
      <c r="E37">
        <v>8123</v>
      </c>
      <c r="F37">
        <v>8</v>
      </c>
      <c r="G37">
        <v>8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585</v>
      </c>
      <c r="C38" t="b">
        <v>1</v>
      </c>
      <c r="D38">
        <v>8054</v>
      </c>
      <c r="E38">
        <v>8117</v>
      </c>
      <c r="F38">
        <v>8</v>
      </c>
      <c r="G38">
        <v>8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601</v>
      </c>
      <c r="C39" t="b">
        <v>1</v>
      </c>
      <c r="D39">
        <v>8054</v>
      </c>
      <c r="E39">
        <v>8123</v>
      </c>
      <c r="F39">
        <v>8.4</v>
      </c>
      <c r="G39">
        <v>8</v>
      </c>
      <c r="H39">
        <v>1.05</v>
      </c>
      <c r="I39">
        <v>-4.9999952E-2</v>
      </c>
      <c r="J39">
        <v>0.48780489999999999</v>
      </c>
    </row>
    <row r="40" spans="1:10" x14ac:dyDescent="0.3">
      <c r="A40">
        <v>38</v>
      </c>
      <c r="B40">
        <v>617</v>
      </c>
      <c r="C40" t="b">
        <v>1</v>
      </c>
      <c r="D40">
        <v>8054</v>
      </c>
      <c r="E40">
        <v>8117</v>
      </c>
      <c r="F40">
        <v>8.8000000000000007</v>
      </c>
      <c r="G40">
        <v>8</v>
      </c>
      <c r="H40">
        <v>1.1000000000000001</v>
      </c>
      <c r="I40">
        <v>-0.10000002400000001</v>
      </c>
      <c r="J40">
        <v>0.47619050000000002</v>
      </c>
    </row>
    <row r="41" spans="1:10" x14ac:dyDescent="0.3">
      <c r="A41">
        <v>39</v>
      </c>
      <c r="B41">
        <v>633</v>
      </c>
      <c r="C41" t="b">
        <v>1</v>
      </c>
      <c r="D41">
        <v>8048</v>
      </c>
      <c r="E41">
        <v>8123</v>
      </c>
      <c r="F41">
        <v>9.1999999999999993</v>
      </c>
      <c r="G41">
        <v>8</v>
      </c>
      <c r="H41">
        <v>1.1499999999999999</v>
      </c>
      <c r="I41">
        <v>-0.14999998</v>
      </c>
      <c r="J41">
        <v>0.46511626</v>
      </c>
    </row>
    <row r="42" spans="1:10" x14ac:dyDescent="0.3">
      <c r="A42">
        <v>40</v>
      </c>
      <c r="B42">
        <v>649</v>
      </c>
      <c r="C42" t="b">
        <v>1</v>
      </c>
      <c r="D42">
        <v>8054</v>
      </c>
      <c r="E42">
        <v>8117</v>
      </c>
      <c r="F42">
        <v>9.6</v>
      </c>
      <c r="G42">
        <v>7.6</v>
      </c>
      <c r="H42">
        <v>1.263158</v>
      </c>
      <c r="I42">
        <v>-0.26315796000000002</v>
      </c>
      <c r="J42">
        <v>0.44186044000000002</v>
      </c>
    </row>
    <row r="43" spans="1:10" x14ac:dyDescent="0.3">
      <c r="A43">
        <v>41</v>
      </c>
      <c r="B43">
        <v>664</v>
      </c>
      <c r="C43" t="b">
        <v>1</v>
      </c>
      <c r="D43">
        <v>8054</v>
      </c>
      <c r="E43">
        <v>8117</v>
      </c>
      <c r="F43">
        <v>10</v>
      </c>
      <c r="G43">
        <v>7.2</v>
      </c>
      <c r="H43">
        <v>1.388889</v>
      </c>
      <c r="I43">
        <v>-0.38888893000000002</v>
      </c>
      <c r="J43">
        <v>0.41860459999999999</v>
      </c>
    </row>
    <row r="44" spans="1:10" x14ac:dyDescent="0.3">
      <c r="A44">
        <v>42</v>
      </c>
      <c r="B44">
        <v>680</v>
      </c>
      <c r="C44" t="b">
        <v>1</v>
      </c>
      <c r="D44">
        <v>8048</v>
      </c>
      <c r="E44">
        <v>8123</v>
      </c>
      <c r="F44">
        <v>10.4</v>
      </c>
      <c r="G44">
        <v>6.8</v>
      </c>
      <c r="H44">
        <v>1.5294117</v>
      </c>
      <c r="I44">
        <v>-0.52941170000000004</v>
      </c>
      <c r="J44">
        <v>0.39534881999999999</v>
      </c>
    </row>
    <row r="45" spans="1:10" x14ac:dyDescent="0.3">
      <c r="A45">
        <v>43</v>
      </c>
      <c r="B45">
        <v>696</v>
      </c>
      <c r="C45" t="b">
        <v>1</v>
      </c>
      <c r="D45">
        <v>8048</v>
      </c>
      <c r="E45">
        <v>8123</v>
      </c>
      <c r="F45">
        <v>10.4</v>
      </c>
      <c r="G45">
        <v>6.8</v>
      </c>
      <c r="H45">
        <v>1.5294117</v>
      </c>
      <c r="I45">
        <v>-0.52941170000000004</v>
      </c>
      <c r="J45">
        <v>0.39534881999999999</v>
      </c>
    </row>
    <row r="46" spans="1:10" x14ac:dyDescent="0.3">
      <c r="A46">
        <v>44</v>
      </c>
      <c r="B46">
        <v>712</v>
      </c>
      <c r="C46" t="b">
        <v>1</v>
      </c>
      <c r="D46">
        <v>8048</v>
      </c>
      <c r="E46">
        <v>8129</v>
      </c>
      <c r="F46">
        <v>10.4</v>
      </c>
      <c r="G46">
        <v>6.8</v>
      </c>
      <c r="H46">
        <v>1.5294117</v>
      </c>
      <c r="I46">
        <v>-0.52941170000000004</v>
      </c>
      <c r="J46">
        <v>0.39534881999999999</v>
      </c>
    </row>
    <row r="47" spans="1:10" x14ac:dyDescent="0.3">
      <c r="A47">
        <v>45</v>
      </c>
      <c r="B47">
        <v>727</v>
      </c>
      <c r="C47" t="b">
        <v>1</v>
      </c>
      <c r="D47">
        <v>8042</v>
      </c>
      <c r="E47">
        <v>8123</v>
      </c>
      <c r="F47">
        <v>10.4</v>
      </c>
      <c r="G47">
        <v>6.8</v>
      </c>
      <c r="H47">
        <v>1.5294117</v>
      </c>
      <c r="I47">
        <v>-0.52941170000000004</v>
      </c>
      <c r="J47">
        <v>0.39534881999999999</v>
      </c>
    </row>
    <row r="48" spans="1:10" x14ac:dyDescent="0.3">
      <c r="A48">
        <v>46</v>
      </c>
      <c r="B48">
        <v>743</v>
      </c>
      <c r="C48" t="b">
        <v>1</v>
      </c>
      <c r="D48">
        <v>8048</v>
      </c>
      <c r="E48">
        <v>8129</v>
      </c>
      <c r="F48">
        <v>10.4</v>
      </c>
      <c r="G48">
        <v>6.8</v>
      </c>
      <c r="H48">
        <v>1.5294117</v>
      </c>
      <c r="I48">
        <v>-0.52941170000000004</v>
      </c>
      <c r="J48">
        <v>0.39534881999999999</v>
      </c>
    </row>
    <row r="49" spans="1:10" x14ac:dyDescent="0.3">
      <c r="A49">
        <v>47</v>
      </c>
      <c r="B49">
        <v>759</v>
      </c>
      <c r="C49" t="b">
        <v>1</v>
      </c>
      <c r="D49">
        <v>8042</v>
      </c>
      <c r="E49">
        <v>8123</v>
      </c>
      <c r="F49">
        <v>10.4</v>
      </c>
      <c r="G49">
        <v>6.8</v>
      </c>
      <c r="H49">
        <v>1.5294117</v>
      </c>
      <c r="I49">
        <v>-0.52941170000000004</v>
      </c>
      <c r="J49">
        <v>0.39534881999999999</v>
      </c>
    </row>
    <row r="50" spans="1:10" x14ac:dyDescent="0.3">
      <c r="A50">
        <v>48</v>
      </c>
      <c r="B50">
        <v>775</v>
      </c>
      <c r="C50" t="b">
        <v>1</v>
      </c>
      <c r="D50">
        <v>8048</v>
      </c>
      <c r="E50">
        <v>8123</v>
      </c>
      <c r="F50">
        <v>10.4</v>
      </c>
      <c r="G50">
        <v>6.8</v>
      </c>
      <c r="H50">
        <v>1.5294117</v>
      </c>
      <c r="I50">
        <v>-0.52941170000000004</v>
      </c>
      <c r="J50">
        <v>0.39534881999999999</v>
      </c>
    </row>
    <row r="51" spans="1:10" x14ac:dyDescent="0.3">
      <c r="A51">
        <v>49</v>
      </c>
      <c r="B51">
        <v>791</v>
      </c>
      <c r="C51" t="b">
        <v>1</v>
      </c>
      <c r="D51">
        <v>8048</v>
      </c>
      <c r="E51">
        <v>8123</v>
      </c>
      <c r="F51">
        <v>10.4</v>
      </c>
      <c r="G51">
        <v>6.8</v>
      </c>
      <c r="H51">
        <v>1.5294117</v>
      </c>
      <c r="I51">
        <v>-0.52941170000000004</v>
      </c>
      <c r="J51">
        <v>0.39534881999999999</v>
      </c>
    </row>
    <row r="52" spans="1:10" x14ac:dyDescent="0.3">
      <c r="A52">
        <v>50</v>
      </c>
      <c r="B52">
        <v>806</v>
      </c>
      <c r="C52" t="b">
        <v>1</v>
      </c>
      <c r="D52">
        <v>8048</v>
      </c>
      <c r="E52">
        <v>8123</v>
      </c>
      <c r="F52">
        <v>10.4</v>
      </c>
      <c r="G52">
        <v>6.8</v>
      </c>
      <c r="H52">
        <v>1.5294117</v>
      </c>
      <c r="I52">
        <v>-0.52941170000000004</v>
      </c>
      <c r="J52">
        <v>0.39534881999999999</v>
      </c>
    </row>
    <row r="53" spans="1:10" x14ac:dyDescent="0.3">
      <c r="A53">
        <v>51</v>
      </c>
      <c r="B53">
        <v>823</v>
      </c>
      <c r="C53" t="b">
        <v>1</v>
      </c>
      <c r="D53">
        <v>8042</v>
      </c>
      <c r="E53">
        <v>8117</v>
      </c>
      <c r="F53">
        <v>10.4</v>
      </c>
      <c r="G53">
        <v>6.8</v>
      </c>
      <c r="H53">
        <v>1.5294117</v>
      </c>
      <c r="I53">
        <v>-0.52941170000000004</v>
      </c>
      <c r="J53">
        <v>0.39534881999999999</v>
      </c>
    </row>
    <row r="54" spans="1:10" x14ac:dyDescent="0.3">
      <c r="A54">
        <v>52</v>
      </c>
      <c r="B54">
        <v>838</v>
      </c>
      <c r="C54" t="b">
        <v>1</v>
      </c>
      <c r="D54">
        <v>8042</v>
      </c>
      <c r="E54">
        <v>8123</v>
      </c>
      <c r="F54">
        <v>10</v>
      </c>
      <c r="G54">
        <v>6.8</v>
      </c>
      <c r="H54">
        <v>1.4705881999999999</v>
      </c>
      <c r="I54">
        <v>-0.47058820000000001</v>
      </c>
      <c r="J54">
        <v>0.40476193999999999</v>
      </c>
    </row>
    <row r="55" spans="1:10" x14ac:dyDescent="0.3">
      <c r="A55">
        <v>53</v>
      </c>
      <c r="B55">
        <v>854</v>
      </c>
      <c r="C55" t="b">
        <v>1</v>
      </c>
      <c r="D55">
        <v>8048</v>
      </c>
      <c r="E55">
        <v>8123</v>
      </c>
      <c r="F55">
        <v>9.6</v>
      </c>
      <c r="G55">
        <v>6.8</v>
      </c>
      <c r="H55">
        <v>1.4117647</v>
      </c>
      <c r="I55">
        <v>-0.41176469999999998</v>
      </c>
      <c r="J55">
        <v>0.41463410000000001</v>
      </c>
    </row>
    <row r="56" spans="1:10" x14ac:dyDescent="0.3">
      <c r="A56">
        <v>54</v>
      </c>
      <c r="B56">
        <v>870</v>
      </c>
      <c r="C56" t="b">
        <v>1</v>
      </c>
      <c r="D56">
        <v>8042</v>
      </c>
      <c r="E56">
        <v>8123</v>
      </c>
      <c r="F56">
        <v>8.8000000000000007</v>
      </c>
      <c r="G56">
        <v>6.8</v>
      </c>
      <c r="H56">
        <v>1.2941176999999999</v>
      </c>
      <c r="I56">
        <v>-0.29411763000000002</v>
      </c>
      <c r="J56">
        <v>0.43589744000000002</v>
      </c>
    </row>
    <row r="57" spans="1:10" x14ac:dyDescent="0.3">
      <c r="A57">
        <v>55</v>
      </c>
      <c r="B57">
        <v>886</v>
      </c>
      <c r="C57" t="b">
        <v>1</v>
      </c>
      <c r="D57">
        <v>8042</v>
      </c>
      <c r="E57">
        <v>8123</v>
      </c>
      <c r="F57">
        <v>8</v>
      </c>
      <c r="G57">
        <v>7.2</v>
      </c>
      <c r="H57">
        <v>1.1111112000000001</v>
      </c>
      <c r="I57">
        <v>-0.11111114</v>
      </c>
      <c r="J57">
        <v>0.4736842</v>
      </c>
    </row>
    <row r="58" spans="1:10" x14ac:dyDescent="0.3">
      <c r="A58">
        <v>56</v>
      </c>
      <c r="B58">
        <v>901</v>
      </c>
      <c r="C58" t="b">
        <v>1</v>
      </c>
      <c r="D58">
        <v>8042</v>
      </c>
      <c r="E58">
        <v>8123</v>
      </c>
      <c r="F58">
        <v>7.2</v>
      </c>
      <c r="G58">
        <v>7.6</v>
      </c>
      <c r="H58">
        <v>0.9473684</v>
      </c>
      <c r="I58">
        <v>5.2631589999999999E-2</v>
      </c>
      <c r="J58">
        <v>0.51351349999999996</v>
      </c>
    </row>
    <row r="59" spans="1:10" x14ac:dyDescent="0.3">
      <c r="A59">
        <v>57</v>
      </c>
      <c r="B59">
        <v>917</v>
      </c>
      <c r="C59" t="b">
        <v>1</v>
      </c>
      <c r="D59">
        <v>8042</v>
      </c>
      <c r="E59">
        <v>8123</v>
      </c>
      <c r="F59">
        <v>6.4</v>
      </c>
      <c r="G59">
        <v>8</v>
      </c>
      <c r="H59">
        <v>0.8</v>
      </c>
      <c r="I59">
        <v>0.19999998999999999</v>
      </c>
      <c r="J59">
        <v>0.55555560000000004</v>
      </c>
    </row>
    <row r="60" spans="1:10" x14ac:dyDescent="0.3">
      <c r="A60">
        <v>58</v>
      </c>
      <c r="B60">
        <v>933</v>
      </c>
      <c r="C60" t="b">
        <v>1</v>
      </c>
      <c r="D60">
        <v>8048</v>
      </c>
      <c r="E60">
        <v>8123</v>
      </c>
      <c r="F60">
        <v>6</v>
      </c>
      <c r="G60">
        <v>8</v>
      </c>
      <c r="H60">
        <v>0.75</v>
      </c>
      <c r="I60">
        <v>0.25</v>
      </c>
      <c r="J60">
        <v>0.57142859999999995</v>
      </c>
    </row>
    <row r="61" spans="1:10" x14ac:dyDescent="0.3">
      <c r="A61">
        <v>59</v>
      </c>
      <c r="B61">
        <v>949</v>
      </c>
      <c r="C61" t="b">
        <v>1</v>
      </c>
      <c r="D61">
        <v>8048</v>
      </c>
      <c r="E61">
        <v>8129</v>
      </c>
      <c r="F61">
        <v>5.6</v>
      </c>
      <c r="G61">
        <v>8</v>
      </c>
      <c r="H61">
        <v>0.7</v>
      </c>
      <c r="I61">
        <v>0.3</v>
      </c>
      <c r="J61">
        <v>0.58823526000000004</v>
      </c>
    </row>
    <row r="62" spans="1:10" x14ac:dyDescent="0.3">
      <c r="A62">
        <v>60</v>
      </c>
      <c r="B62">
        <v>965</v>
      </c>
      <c r="C62" t="b">
        <v>1</v>
      </c>
      <c r="D62">
        <v>8048</v>
      </c>
      <c r="E62">
        <v>8123</v>
      </c>
      <c r="F62">
        <v>5.6</v>
      </c>
      <c r="G62">
        <v>8</v>
      </c>
      <c r="H62">
        <v>0.7</v>
      </c>
      <c r="I62">
        <v>0.3</v>
      </c>
      <c r="J62">
        <v>0.58823526000000004</v>
      </c>
    </row>
    <row r="63" spans="1:10" x14ac:dyDescent="0.3">
      <c r="A63">
        <v>61</v>
      </c>
      <c r="B63">
        <v>981</v>
      </c>
      <c r="C63" t="b">
        <v>1</v>
      </c>
      <c r="D63">
        <v>8048</v>
      </c>
      <c r="E63">
        <v>8123</v>
      </c>
      <c r="F63">
        <v>5.6</v>
      </c>
      <c r="G63">
        <v>8</v>
      </c>
      <c r="H63">
        <v>0.7</v>
      </c>
      <c r="I63">
        <v>0.3</v>
      </c>
      <c r="J63">
        <v>0.58823526000000004</v>
      </c>
    </row>
    <row r="64" spans="1:10" x14ac:dyDescent="0.3">
      <c r="A64">
        <v>62</v>
      </c>
      <c r="B64">
        <v>997</v>
      </c>
      <c r="C64" t="b">
        <v>1</v>
      </c>
      <c r="D64">
        <v>8048</v>
      </c>
      <c r="E64">
        <v>8117</v>
      </c>
      <c r="F64">
        <v>5.6</v>
      </c>
      <c r="G64">
        <v>8</v>
      </c>
      <c r="H64">
        <v>0.7</v>
      </c>
      <c r="I64">
        <v>0.3</v>
      </c>
      <c r="J64">
        <v>0.58823526000000004</v>
      </c>
    </row>
    <row r="65" spans="1:10" x14ac:dyDescent="0.3">
      <c r="A65">
        <v>63</v>
      </c>
      <c r="B65">
        <v>1012</v>
      </c>
      <c r="C65" t="b">
        <v>1</v>
      </c>
      <c r="D65">
        <v>8048</v>
      </c>
      <c r="E65">
        <v>8123</v>
      </c>
      <c r="F65">
        <v>5.6</v>
      </c>
      <c r="G65">
        <v>8</v>
      </c>
      <c r="H65">
        <v>0.7</v>
      </c>
      <c r="I65">
        <v>0.3</v>
      </c>
      <c r="J65">
        <v>0.58823526000000004</v>
      </c>
    </row>
    <row r="66" spans="1:10" x14ac:dyDescent="0.3">
      <c r="A66">
        <v>64</v>
      </c>
      <c r="B66">
        <v>1028</v>
      </c>
      <c r="C66" t="b">
        <v>1</v>
      </c>
      <c r="D66">
        <v>8048</v>
      </c>
      <c r="E66">
        <v>8123</v>
      </c>
      <c r="F66">
        <v>5.6</v>
      </c>
      <c r="G66">
        <v>8</v>
      </c>
      <c r="H66">
        <v>0.7</v>
      </c>
      <c r="I66">
        <v>0.3</v>
      </c>
      <c r="J66">
        <v>0.58823526000000004</v>
      </c>
    </row>
    <row r="67" spans="1:10" x14ac:dyDescent="0.3">
      <c r="A67">
        <v>65</v>
      </c>
      <c r="B67">
        <v>1044</v>
      </c>
      <c r="C67" t="b">
        <v>1</v>
      </c>
      <c r="D67">
        <v>8048</v>
      </c>
      <c r="E67">
        <v>8123</v>
      </c>
      <c r="F67">
        <v>5.6</v>
      </c>
      <c r="G67">
        <v>8</v>
      </c>
      <c r="H67">
        <v>0.7</v>
      </c>
      <c r="I67">
        <v>0.3</v>
      </c>
      <c r="J67">
        <v>0.58823526000000004</v>
      </c>
    </row>
    <row r="68" spans="1:10" x14ac:dyDescent="0.3">
      <c r="A68">
        <v>66</v>
      </c>
      <c r="B68">
        <v>1060</v>
      </c>
      <c r="C68" t="b">
        <v>1</v>
      </c>
      <c r="D68">
        <v>8042</v>
      </c>
      <c r="E68">
        <v>8123</v>
      </c>
      <c r="F68">
        <v>5.6</v>
      </c>
      <c r="G68">
        <v>8</v>
      </c>
      <c r="H68">
        <v>0.7</v>
      </c>
      <c r="I68">
        <v>0.3</v>
      </c>
      <c r="J68">
        <v>0.58823526000000004</v>
      </c>
    </row>
    <row r="69" spans="1:10" x14ac:dyDescent="0.3">
      <c r="A69">
        <v>67</v>
      </c>
      <c r="B69">
        <v>1076</v>
      </c>
      <c r="C69" t="b">
        <v>1</v>
      </c>
      <c r="D69">
        <v>8048</v>
      </c>
      <c r="E69">
        <v>8123</v>
      </c>
      <c r="F69">
        <v>5.6</v>
      </c>
      <c r="G69">
        <v>8</v>
      </c>
      <c r="H69">
        <v>0.7</v>
      </c>
      <c r="I69">
        <v>0.3</v>
      </c>
      <c r="J69">
        <v>0.58823526000000004</v>
      </c>
    </row>
    <row r="70" spans="1:10" x14ac:dyDescent="0.3">
      <c r="A70">
        <v>68</v>
      </c>
      <c r="B70">
        <v>1091</v>
      </c>
      <c r="C70" t="b">
        <v>1</v>
      </c>
      <c r="D70">
        <v>8048</v>
      </c>
      <c r="E70">
        <v>8123</v>
      </c>
      <c r="F70">
        <v>5.6</v>
      </c>
      <c r="G70">
        <v>8</v>
      </c>
      <c r="H70">
        <v>0.7</v>
      </c>
      <c r="I70">
        <v>0.3</v>
      </c>
      <c r="J70">
        <v>0.58823526000000004</v>
      </c>
    </row>
    <row r="71" spans="1:10" x14ac:dyDescent="0.3">
      <c r="A71">
        <v>69</v>
      </c>
      <c r="B71">
        <v>1107</v>
      </c>
      <c r="C71" t="b">
        <v>1</v>
      </c>
      <c r="D71">
        <v>8048</v>
      </c>
      <c r="E71">
        <v>8123</v>
      </c>
      <c r="F71">
        <v>6</v>
      </c>
      <c r="G71">
        <v>8</v>
      </c>
      <c r="H71">
        <v>0.75</v>
      </c>
      <c r="I71">
        <v>0.25</v>
      </c>
      <c r="J71">
        <v>0.57142859999999995</v>
      </c>
    </row>
    <row r="72" spans="1:10" x14ac:dyDescent="0.3">
      <c r="A72">
        <v>70</v>
      </c>
      <c r="B72">
        <v>1123</v>
      </c>
      <c r="C72" t="b">
        <v>1</v>
      </c>
      <c r="D72">
        <v>8048</v>
      </c>
      <c r="E72">
        <v>8123</v>
      </c>
      <c r="F72">
        <v>6.4</v>
      </c>
      <c r="G72">
        <v>8</v>
      </c>
      <c r="H72">
        <v>0.8</v>
      </c>
      <c r="I72">
        <v>0.19999998999999999</v>
      </c>
      <c r="J72">
        <v>0.55555560000000004</v>
      </c>
    </row>
    <row r="73" spans="1:10" x14ac:dyDescent="0.3">
      <c r="A73">
        <v>71</v>
      </c>
      <c r="B73">
        <v>1139</v>
      </c>
      <c r="C73" t="b">
        <v>1</v>
      </c>
      <c r="D73">
        <v>8048</v>
      </c>
      <c r="E73">
        <v>8123</v>
      </c>
      <c r="F73">
        <v>6.8</v>
      </c>
      <c r="G73">
        <v>8</v>
      </c>
      <c r="H73">
        <v>0.85</v>
      </c>
      <c r="I73">
        <v>0.14999998</v>
      </c>
      <c r="J73">
        <v>0.54054049999999998</v>
      </c>
    </row>
    <row r="74" spans="1:10" x14ac:dyDescent="0.3">
      <c r="A74">
        <v>72</v>
      </c>
      <c r="B74">
        <v>1155</v>
      </c>
      <c r="C74" t="b">
        <v>1</v>
      </c>
      <c r="D74">
        <v>8048</v>
      </c>
      <c r="E74">
        <v>8123</v>
      </c>
      <c r="F74">
        <v>7.2</v>
      </c>
      <c r="G74">
        <v>8</v>
      </c>
      <c r="H74">
        <v>0.9</v>
      </c>
      <c r="I74">
        <v>0.10000002400000001</v>
      </c>
      <c r="J74">
        <v>0.5263158</v>
      </c>
    </row>
    <row r="75" spans="1:10" x14ac:dyDescent="0.3">
      <c r="A75">
        <v>73</v>
      </c>
      <c r="B75">
        <v>1171</v>
      </c>
      <c r="C75" t="b">
        <v>1</v>
      </c>
      <c r="D75">
        <v>8054</v>
      </c>
      <c r="E75">
        <v>8117</v>
      </c>
      <c r="F75">
        <v>7.6</v>
      </c>
      <c r="G75">
        <v>8</v>
      </c>
      <c r="H75">
        <v>0.95</v>
      </c>
      <c r="I75">
        <v>5.0000012000000003E-2</v>
      </c>
      <c r="J75">
        <v>0.51282050000000001</v>
      </c>
    </row>
    <row r="76" spans="1:10" x14ac:dyDescent="0.3">
      <c r="A76">
        <v>74</v>
      </c>
      <c r="B76">
        <v>1186</v>
      </c>
      <c r="C76" t="b">
        <v>1</v>
      </c>
      <c r="D76">
        <v>8048</v>
      </c>
      <c r="E76">
        <v>8117</v>
      </c>
      <c r="F76">
        <v>8</v>
      </c>
      <c r="G76">
        <v>8</v>
      </c>
      <c r="H76">
        <v>1</v>
      </c>
      <c r="I76">
        <v>0</v>
      </c>
      <c r="J76">
        <v>0.5</v>
      </c>
    </row>
    <row r="77" spans="1:10" x14ac:dyDescent="0.3">
      <c r="A77">
        <v>75</v>
      </c>
      <c r="B77">
        <v>1202</v>
      </c>
      <c r="C77" t="b">
        <v>1</v>
      </c>
      <c r="D77">
        <v>8048</v>
      </c>
      <c r="E77">
        <v>8117</v>
      </c>
      <c r="F77">
        <v>8</v>
      </c>
      <c r="G77">
        <v>7.6</v>
      </c>
      <c r="H77">
        <v>1.0526316</v>
      </c>
      <c r="I77">
        <v>-5.2631589999999999E-2</v>
      </c>
      <c r="J77">
        <v>0.48717946000000001</v>
      </c>
    </row>
    <row r="78" spans="1:10" x14ac:dyDescent="0.3">
      <c r="A78">
        <v>76</v>
      </c>
      <c r="B78">
        <v>1218</v>
      </c>
      <c r="C78" t="b">
        <v>1</v>
      </c>
      <c r="D78">
        <v>8048</v>
      </c>
      <c r="E78">
        <v>8117</v>
      </c>
      <c r="F78">
        <v>8</v>
      </c>
      <c r="G78">
        <v>7.2</v>
      </c>
      <c r="H78">
        <v>1.1111112000000001</v>
      </c>
      <c r="I78">
        <v>-0.11111114</v>
      </c>
      <c r="J78">
        <v>0.4736842</v>
      </c>
    </row>
    <row r="79" spans="1:10" x14ac:dyDescent="0.3">
      <c r="A79">
        <v>77</v>
      </c>
      <c r="B79">
        <v>1234</v>
      </c>
      <c r="C79" t="b">
        <v>1</v>
      </c>
      <c r="D79">
        <v>8048</v>
      </c>
      <c r="E79">
        <v>8117</v>
      </c>
      <c r="F79">
        <v>8</v>
      </c>
      <c r="G79">
        <v>6.8</v>
      </c>
      <c r="H79">
        <v>1.1764705</v>
      </c>
      <c r="I79">
        <v>-0.17647055</v>
      </c>
      <c r="J79">
        <v>0.45945944999999999</v>
      </c>
    </row>
    <row r="80" spans="1:10" x14ac:dyDescent="0.3">
      <c r="A80">
        <v>78</v>
      </c>
      <c r="B80">
        <v>1250</v>
      </c>
      <c r="C80" t="b">
        <v>1</v>
      </c>
      <c r="D80">
        <v>8048</v>
      </c>
      <c r="E80">
        <v>8123</v>
      </c>
      <c r="F80">
        <v>8</v>
      </c>
      <c r="G80">
        <v>6.4</v>
      </c>
      <c r="H80">
        <v>1.25</v>
      </c>
      <c r="I80">
        <v>-0.24999999000000001</v>
      </c>
      <c r="J80">
        <v>0.44444447999999998</v>
      </c>
    </row>
    <row r="81" spans="1:10" x14ac:dyDescent="0.3">
      <c r="A81">
        <v>79</v>
      </c>
      <c r="B81">
        <v>1266</v>
      </c>
      <c r="C81" t="b">
        <v>1</v>
      </c>
      <c r="D81">
        <v>8048</v>
      </c>
      <c r="E81">
        <v>8123</v>
      </c>
      <c r="F81">
        <v>8</v>
      </c>
      <c r="G81">
        <v>6</v>
      </c>
      <c r="H81">
        <v>1.3333333999999999</v>
      </c>
      <c r="I81">
        <v>-0.33333333999999998</v>
      </c>
      <c r="J81">
        <v>0.42857142999999998</v>
      </c>
    </row>
    <row r="82" spans="1:10" x14ac:dyDescent="0.3">
      <c r="A82">
        <v>80</v>
      </c>
      <c r="B82">
        <v>1281</v>
      </c>
      <c r="C82" t="b">
        <v>1</v>
      </c>
      <c r="D82">
        <v>8048</v>
      </c>
      <c r="E82">
        <v>8123</v>
      </c>
      <c r="F82">
        <v>8</v>
      </c>
      <c r="G82">
        <v>6</v>
      </c>
      <c r="H82">
        <v>1.3333333999999999</v>
      </c>
      <c r="I82">
        <v>-0.33333333999999998</v>
      </c>
      <c r="J82">
        <v>0.42857142999999998</v>
      </c>
    </row>
    <row r="83" spans="1:10" x14ac:dyDescent="0.3">
      <c r="A83">
        <v>81</v>
      </c>
      <c r="B83">
        <v>1297</v>
      </c>
      <c r="C83" t="b">
        <v>1</v>
      </c>
      <c r="D83">
        <v>8048</v>
      </c>
      <c r="E83">
        <v>8123</v>
      </c>
      <c r="F83">
        <v>8</v>
      </c>
      <c r="G83">
        <v>6</v>
      </c>
      <c r="H83">
        <v>1.3333333999999999</v>
      </c>
      <c r="I83">
        <v>-0.33333333999999998</v>
      </c>
      <c r="J83">
        <v>0.42857142999999998</v>
      </c>
    </row>
    <row r="84" spans="1:10" x14ac:dyDescent="0.3">
      <c r="A84">
        <v>82</v>
      </c>
      <c r="B84">
        <v>1313</v>
      </c>
      <c r="C84" t="b">
        <v>1</v>
      </c>
      <c r="D84">
        <v>8054</v>
      </c>
      <c r="E84">
        <v>8123</v>
      </c>
      <c r="F84">
        <v>8</v>
      </c>
      <c r="G84">
        <v>6</v>
      </c>
      <c r="H84">
        <v>1.3333333999999999</v>
      </c>
      <c r="I84">
        <v>-0.33333333999999998</v>
      </c>
      <c r="J84">
        <v>0.42857142999999998</v>
      </c>
    </row>
    <row r="85" spans="1:10" x14ac:dyDescent="0.3">
      <c r="A85">
        <v>83</v>
      </c>
      <c r="B85">
        <v>1329</v>
      </c>
      <c r="C85" t="b">
        <v>1</v>
      </c>
      <c r="D85">
        <v>8048</v>
      </c>
      <c r="E85">
        <v>8123</v>
      </c>
      <c r="F85">
        <v>8</v>
      </c>
      <c r="G85">
        <v>6</v>
      </c>
      <c r="H85">
        <v>1.3333333999999999</v>
      </c>
      <c r="I85">
        <v>-0.33333333999999998</v>
      </c>
      <c r="J85">
        <v>0.42857142999999998</v>
      </c>
    </row>
    <row r="86" spans="1:10" x14ac:dyDescent="0.3">
      <c r="A86">
        <v>84</v>
      </c>
      <c r="B86">
        <v>1345</v>
      </c>
      <c r="C86" t="b">
        <v>1</v>
      </c>
      <c r="D86">
        <v>8048</v>
      </c>
      <c r="E86">
        <v>8123</v>
      </c>
      <c r="F86">
        <v>8</v>
      </c>
      <c r="G86">
        <v>6</v>
      </c>
      <c r="H86">
        <v>1.3333333999999999</v>
      </c>
      <c r="I86">
        <v>-0.33333333999999998</v>
      </c>
      <c r="J86">
        <v>0.42857142999999998</v>
      </c>
    </row>
    <row r="87" spans="1:10" x14ac:dyDescent="0.3">
      <c r="A87">
        <v>85</v>
      </c>
      <c r="B87">
        <v>1361</v>
      </c>
      <c r="C87" t="b">
        <v>1</v>
      </c>
      <c r="D87">
        <v>8048</v>
      </c>
      <c r="E87">
        <v>8123</v>
      </c>
      <c r="F87">
        <v>8</v>
      </c>
      <c r="G87">
        <v>6</v>
      </c>
      <c r="H87">
        <v>1.3333333999999999</v>
      </c>
      <c r="I87">
        <v>-0.33333333999999998</v>
      </c>
      <c r="J87">
        <v>0.42857142999999998</v>
      </c>
    </row>
    <row r="88" spans="1:10" x14ac:dyDescent="0.3">
      <c r="A88">
        <v>86</v>
      </c>
      <c r="B88">
        <v>1377</v>
      </c>
      <c r="C88" t="b">
        <v>1</v>
      </c>
      <c r="D88">
        <v>8048</v>
      </c>
      <c r="E88">
        <v>8129</v>
      </c>
      <c r="F88">
        <v>8</v>
      </c>
      <c r="G88">
        <v>6</v>
      </c>
      <c r="H88">
        <v>1.3333333999999999</v>
      </c>
      <c r="I88">
        <v>-0.33333333999999998</v>
      </c>
      <c r="J88">
        <v>0.42857142999999998</v>
      </c>
    </row>
    <row r="89" spans="1:10" x14ac:dyDescent="0.3">
      <c r="A89">
        <v>87</v>
      </c>
      <c r="B89">
        <v>1393</v>
      </c>
      <c r="C89" t="b">
        <v>1</v>
      </c>
      <c r="D89">
        <v>8054</v>
      </c>
      <c r="E89">
        <v>8129</v>
      </c>
      <c r="F89">
        <v>8</v>
      </c>
      <c r="G89">
        <v>6</v>
      </c>
      <c r="H89">
        <v>1.3333333999999999</v>
      </c>
      <c r="I89">
        <v>-0.33333333999999998</v>
      </c>
      <c r="J89">
        <v>0.42857142999999998</v>
      </c>
    </row>
    <row r="90" spans="1:10" x14ac:dyDescent="0.3">
      <c r="A90">
        <v>88</v>
      </c>
      <c r="B90">
        <v>1409</v>
      </c>
      <c r="C90" t="b">
        <v>1</v>
      </c>
      <c r="D90">
        <v>8048</v>
      </c>
      <c r="E90">
        <v>8129</v>
      </c>
      <c r="F90">
        <v>8</v>
      </c>
      <c r="G90">
        <v>6.4</v>
      </c>
      <c r="H90">
        <v>1.25</v>
      </c>
      <c r="I90">
        <v>-0.24999999000000001</v>
      </c>
      <c r="J90">
        <v>0.44444447999999998</v>
      </c>
    </row>
    <row r="91" spans="1:10" x14ac:dyDescent="0.3">
      <c r="A91">
        <v>89</v>
      </c>
      <c r="B91">
        <v>1425</v>
      </c>
      <c r="C91" t="b">
        <v>1</v>
      </c>
      <c r="D91">
        <v>8048</v>
      </c>
      <c r="E91">
        <v>8123</v>
      </c>
      <c r="F91">
        <v>8</v>
      </c>
      <c r="G91">
        <v>6.8</v>
      </c>
      <c r="H91">
        <v>1.1764705</v>
      </c>
      <c r="I91">
        <v>-0.17647055</v>
      </c>
      <c r="J91">
        <v>0.45945944999999999</v>
      </c>
    </row>
    <row r="92" spans="1:10" x14ac:dyDescent="0.3">
      <c r="A92">
        <v>90</v>
      </c>
      <c r="B92">
        <v>1440</v>
      </c>
      <c r="C92" t="b">
        <v>1</v>
      </c>
      <c r="D92">
        <v>8054</v>
      </c>
      <c r="E92">
        <v>8123</v>
      </c>
      <c r="F92">
        <v>8</v>
      </c>
      <c r="G92">
        <v>7.6</v>
      </c>
      <c r="H92">
        <v>1.0526316</v>
      </c>
      <c r="I92">
        <v>-5.2631589999999999E-2</v>
      </c>
      <c r="J92">
        <v>0.48717946000000001</v>
      </c>
    </row>
    <row r="93" spans="1:10" x14ac:dyDescent="0.3">
      <c r="A93">
        <v>91</v>
      </c>
      <c r="B93">
        <v>1456</v>
      </c>
      <c r="C93" t="b">
        <v>1</v>
      </c>
      <c r="D93">
        <v>8042</v>
      </c>
      <c r="E93">
        <v>8123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1472</v>
      </c>
      <c r="C94" t="b">
        <v>1</v>
      </c>
      <c r="D94">
        <v>8048</v>
      </c>
      <c r="E94">
        <v>8117</v>
      </c>
      <c r="F94">
        <v>8</v>
      </c>
      <c r="G94">
        <v>8.4</v>
      </c>
      <c r="H94">
        <v>0.95238100000000003</v>
      </c>
      <c r="I94">
        <v>4.7619003999999999E-2</v>
      </c>
      <c r="J94">
        <v>0.51219510000000001</v>
      </c>
    </row>
    <row r="95" spans="1:10" x14ac:dyDescent="0.3">
      <c r="A95">
        <v>93</v>
      </c>
      <c r="B95">
        <v>1488</v>
      </c>
      <c r="C95" t="b">
        <v>1</v>
      </c>
      <c r="D95">
        <v>8048</v>
      </c>
      <c r="E95">
        <v>8117</v>
      </c>
      <c r="F95">
        <v>8</v>
      </c>
      <c r="G95">
        <v>8.8000000000000007</v>
      </c>
      <c r="H95">
        <v>0.90909090000000004</v>
      </c>
      <c r="I95">
        <v>9.0909110000000001E-2</v>
      </c>
      <c r="J95">
        <v>0.52380954999999996</v>
      </c>
    </row>
    <row r="96" spans="1:10" x14ac:dyDescent="0.3">
      <c r="A96">
        <v>94</v>
      </c>
      <c r="B96">
        <v>1504</v>
      </c>
      <c r="C96" t="b">
        <v>1</v>
      </c>
      <c r="D96">
        <v>8048</v>
      </c>
      <c r="E96">
        <v>8123</v>
      </c>
      <c r="F96">
        <v>8</v>
      </c>
      <c r="G96">
        <v>9.1999999999999993</v>
      </c>
      <c r="H96">
        <v>0.86956524999999996</v>
      </c>
      <c r="I96">
        <v>0.13043477000000001</v>
      </c>
      <c r="J96">
        <v>0.53488369999999996</v>
      </c>
    </row>
    <row r="97" spans="1:10" x14ac:dyDescent="0.3">
      <c r="A97">
        <v>95</v>
      </c>
      <c r="B97">
        <v>1520</v>
      </c>
      <c r="C97" t="b">
        <v>1</v>
      </c>
      <c r="D97">
        <v>8048</v>
      </c>
      <c r="E97">
        <v>8123</v>
      </c>
      <c r="F97">
        <v>8</v>
      </c>
      <c r="G97">
        <v>9.1999999999999993</v>
      </c>
      <c r="H97">
        <v>0.86956524999999996</v>
      </c>
      <c r="I97">
        <v>0.13043477000000001</v>
      </c>
      <c r="J97">
        <v>0.53488369999999996</v>
      </c>
    </row>
    <row r="98" spans="1:10" x14ac:dyDescent="0.3">
      <c r="A98">
        <v>96</v>
      </c>
      <c r="B98">
        <v>1536</v>
      </c>
      <c r="C98" t="b">
        <v>1</v>
      </c>
      <c r="D98">
        <v>8042</v>
      </c>
      <c r="E98">
        <v>8123</v>
      </c>
      <c r="F98">
        <v>8</v>
      </c>
      <c r="G98">
        <v>9.1999999999999993</v>
      </c>
      <c r="H98">
        <v>0.86956524999999996</v>
      </c>
      <c r="I98">
        <v>0.13043477000000001</v>
      </c>
      <c r="J98">
        <v>0.53488369999999996</v>
      </c>
    </row>
    <row r="99" spans="1:10" x14ac:dyDescent="0.3">
      <c r="A99">
        <v>97</v>
      </c>
      <c r="B99">
        <v>1552</v>
      </c>
      <c r="C99" t="b">
        <v>1</v>
      </c>
      <c r="D99">
        <v>8048</v>
      </c>
      <c r="E99">
        <v>8123</v>
      </c>
      <c r="F99">
        <v>8</v>
      </c>
      <c r="G99">
        <v>9.1999999999999993</v>
      </c>
      <c r="H99">
        <v>0.86956524999999996</v>
      </c>
      <c r="I99">
        <v>0.13043477000000001</v>
      </c>
      <c r="J99">
        <v>0.53488369999999996</v>
      </c>
    </row>
    <row r="100" spans="1:10" x14ac:dyDescent="0.3">
      <c r="A100">
        <v>98</v>
      </c>
      <c r="B100">
        <v>1568</v>
      </c>
      <c r="C100" t="b">
        <v>1</v>
      </c>
      <c r="D100">
        <v>8048</v>
      </c>
      <c r="E100">
        <v>8123</v>
      </c>
      <c r="F100">
        <v>8</v>
      </c>
      <c r="G100">
        <v>9.1999999999999993</v>
      </c>
      <c r="H100">
        <v>0.86956524999999996</v>
      </c>
      <c r="I100">
        <v>0.13043477000000001</v>
      </c>
      <c r="J100">
        <v>0.53488369999999996</v>
      </c>
    </row>
    <row r="101" spans="1:10" x14ac:dyDescent="0.3">
      <c r="A101">
        <v>99</v>
      </c>
      <c r="B101">
        <v>1584</v>
      </c>
      <c r="C101" t="b">
        <v>1</v>
      </c>
      <c r="D101">
        <v>8048</v>
      </c>
      <c r="E101">
        <v>8123</v>
      </c>
      <c r="F101">
        <v>8</v>
      </c>
      <c r="G101">
        <v>9.1999999999999993</v>
      </c>
      <c r="H101">
        <v>0.86956524999999996</v>
      </c>
      <c r="I101">
        <v>0.13043477000000001</v>
      </c>
      <c r="J101">
        <v>0.53488369999999996</v>
      </c>
    </row>
    <row r="102" spans="1:10" x14ac:dyDescent="0.3">
      <c r="A102">
        <v>100</v>
      </c>
      <c r="B102">
        <v>1600</v>
      </c>
      <c r="C102" t="b">
        <v>1</v>
      </c>
      <c r="D102">
        <v>8048</v>
      </c>
      <c r="E102">
        <v>8123</v>
      </c>
      <c r="F102">
        <v>8</v>
      </c>
      <c r="G102">
        <v>9.1999999999999993</v>
      </c>
      <c r="H102">
        <v>0.86956524999999996</v>
      </c>
      <c r="I102">
        <v>0.13043477000000001</v>
      </c>
      <c r="J102">
        <v>0.53488369999999996</v>
      </c>
    </row>
    <row r="103" spans="1:10" x14ac:dyDescent="0.3">
      <c r="A103">
        <v>101</v>
      </c>
      <c r="B103">
        <v>1615</v>
      </c>
      <c r="C103" t="b">
        <v>1</v>
      </c>
      <c r="D103">
        <v>8048</v>
      </c>
      <c r="E103">
        <v>8123</v>
      </c>
      <c r="F103">
        <v>8</v>
      </c>
      <c r="G103">
        <v>9.1999999999999993</v>
      </c>
      <c r="H103">
        <v>0.86956524999999996</v>
      </c>
      <c r="I103">
        <v>0.13043477000000001</v>
      </c>
      <c r="J103">
        <v>0.53488369999999996</v>
      </c>
    </row>
    <row r="104" spans="1:10" x14ac:dyDescent="0.3">
      <c r="A104">
        <v>102</v>
      </c>
      <c r="B104">
        <v>1631</v>
      </c>
      <c r="C104" t="b">
        <v>1</v>
      </c>
      <c r="D104">
        <v>8042</v>
      </c>
      <c r="E104">
        <v>8129</v>
      </c>
      <c r="F104">
        <v>8</v>
      </c>
      <c r="G104">
        <v>9.1999999999999993</v>
      </c>
      <c r="H104">
        <v>0.86956524999999996</v>
      </c>
      <c r="I104">
        <v>0.13043477000000001</v>
      </c>
      <c r="J104">
        <v>0.53488369999999996</v>
      </c>
    </row>
    <row r="105" spans="1:10" x14ac:dyDescent="0.3">
      <c r="A105">
        <v>103</v>
      </c>
      <c r="B105">
        <v>1647</v>
      </c>
      <c r="C105" t="b">
        <v>1</v>
      </c>
      <c r="D105">
        <v>8042</v>
      </c>
      <c r="E105">
        <v>8123</v>
      </c>
      <c r="F105">
        <v>8</v>
      </c>
      <c r="G105">
        <v>8.8000000000000007</v>
      </c>
      <c r="H105">
        <v>0.90909090000000004</v>
      </c>
      <c r="I105">
        <v>9.0909110000000001E-2</v>
      </c>
      <c r="J105">
        <v>0.52380954999999996</v>
      </c>
    </row>
    <row r="106" spans="1:10" x14ac:dyDescent="0.3">
      <c r="A106">
        <v>104</v>
      </c>
      <c r="B106">
        <v>1663</v>
      </c>
      <c r="C106" t="b">
        <v>1</v>
      </c>
      <c r="D106">
        <v>8042</v>
      </c>
      <c r="E106">
        <v>8117</v>
      </c>
      <c r="F106">
        <v>7.6</v>
      </c>
      <c r="G106">
        <v>8.4</v>
      </c>
      <c r="H106">
        <v>0.90476190000000001</v>
      </c>
      <c r="I106">
        <v>9.5238069999999994E-2</v>
      </c>
      <c r="J106">
        <v>0.52500000000000002</v>
      </c>
    </row>
    <row r="107" spans="1:10" x14ac:dyDescent="0.3">
      <c r="A107">
        <v>105</v>
      </c>
      <c r="B107">
        <v>1679</v>
      </c>
      <c r="C107" t="b">
        <v>1</v>
      </c>
      <c r="D107">
        <v>8042</v>
      </c>
      <c r="E107">
        <v>8117</v>
      </c>
      <c r="F107">
        <v>7.2</v>
      </c>
      <c r="G107">
        <v>8</v>
      </c>
      <c r="H107">
        <v>0.9</v>
      </c>
      <c r="I107">
        <v>0.10000002400000001</v>
      </c>
      <c r="J107">
        <v>0.5263158</v>
      </c>
    </row>
    <row r="108" spans="1:10" x14ac:dyDescent="0.3">
      <c r="A108">
        <v>106</v>
      </c>
      <c r="B108">
        <v>1695</v>
      </c>
      <c r="C108" t="b">
        <v>1</v>
      </c>
      <c r="D108">
        <v>8042</v>
      </c>
      <c r="E108">
        <v>8117</v>
      </c>
      <c r="F108">
        <v>6.8</v>
      </c>
      <c r="G108">
        <v>7.6</v>
      </c>
      <c r="H108">
        <v>0.89473689999999995</v>
      </c>
      <c r="I108">
        <v>0.10526312</v>
      </c>
      <c r="J108">
        <v>0.52777779999999996</v>
      </c>
    </row>
    <row r="109" spans="1:10" x14ac:dyDescent="0.3">
      <c r="A109">
        <v>107</v>
      </c>
      <c r="B109">
        <v>1711</v>
      </c>
      <c r="C109" t="b">
        <v>1</v>
      </c>
      <c r="D109">
        <v>8037</v>
      </c>
      <c r="E109">
        <v>8117</v>
      </c>
      <c r="F109">
        <v>6.4</v>
      </c>
      <c r="G109">
        <v>7.2</v>
      </c>
      <c r="H109">
        <v>0.88888895999999995</v>
      </c>
      <c r="I109">
        <v>0.111111075</v>
      </c>
      <c r="J109">
        <v>0.52941172999999997</v>
      </c>
    </row>
    <row r="110" spans="1:10" x14ac:dyDescent="0.3">
      <c r="A110">
        <v>108</v>
      </c>
      <c r="B110">
        <v>1727</v>
      </c>
      <c r="C110" t="b">
        <v>1</v>
      </c>
      <c r="D110">
        <v>8042</v>
      </c>
      <c r="E110">
        <v>8117</v>
      </c>
      <c r="F110">
        <v>6</v>
      </c>
      <c r="G110">
        <v>6.8</v>
      </c>
      <c r="H110">
        <v>0.8823529</v>
      </c>
      <c r="I110">
        <v>0.11764708</v>
      </c>
      <c r="J110">
        <v>0.53125</v>
      </c>
    </row>
    <row r="111" spans="1:10" x14ac:dyDescent="0.3">
      <c r="A111">
        <v>109</v>
      </c>
      <c r="B111">
        <v>1742</v>
      </c>
      <c r="C111" t="b">
        <v>1</v>
      </c>
      <c r="D111">
        <v>8048</v>
      </c>
      <c r="E111">
        <v>8117</v>
      </c>
      <c r="F111">
        <v>5.6</v>
      </c>
      <c r="G111">
        <v>6.4</v>
      </c>
      <c r="H111">
        <v>0.875</v>
      </c>
      <c r="I111">
        <v>0.12500003000000001</v>
      </c>
      <c r="J111">
        <v>0.53333335999999998</v>
      </c>
    </row>
    <row r="112" spans="1:10" x14ac:dyDescent="0.3">
      <c r="A112">
        <v>110</v>
      </c>
      <c r="B112">
        <v>1758</v>
      </c>
      <c r="C112" t="b">
        <v>1</v>
      </c>
      <c r="D112">
        <v>8042</v>
      </c>
      <c r="E112">
        <v>8123</v>
      </c>
      <c r="F112">
        <v>5.2</v>
      </c>
      <c r="G112">
        <v>6</v>
      </c>
      <c r="H112">
        <v>0.86666659999999995</v>
      </c>
      <c r="I112">
        <v>0.13333337000000001</v>
      </c>
      <c r="J112">
        <v>0.53571427000000005</v>
      </c>
    </row>
    <row r="113" spans="1:10" x14ac:dyDescent="0.3">
      <c r="A113">
        <v>111</v>
      </c>
      <c r="B113">
        <v>1774</v>
      </c>
      <c r="C113" t="b">
        <v>1</v>
      </c>
      <c r="D113">
        <v>8048</v>
      </c>
      <c r="E113">
        <v>8123</v>
      </c>
      <c r="F113">
        <v>4.8</v>
      </c>
      <c r="G113">
        <v>5.6</v>
      </c>
      <c r="H113">
        <v>0.85714290000000004</v>
      </c>
      <c r="I113">
        <v>0.14285708999999999</v>
      </c>
      <c r="J113">
        <v>0.53846156999999994</v>
      </c>
    </row>
    <row r="114" spans="1:10" x14ac:dyDescent="0.3">
      <c r="A114">
        <v>112</v>
      </c>
      <c r="B114">
        <v>1790</v>
      </c>
      <c r="C114" t="b">
        <v>1</v>
      </c>
      <c r="D114">
        <v>8048</v>
      </c>
      <c r="E114">
        <v>8123</v>
      </c>
      <c r="F114">
        <v>4.8</v>
      </c>
      <c r="G114">
        <v>5.6</v>
      </c>
      <c r="H114">
        <v>0.85714290000000004</v>
      </c>
      <c r="I114">
        <v>0.14285708999999999</v>
      </c>
      <c r="J114">
        <v>0.53846156999999994</v>
      </c>
    </row>
    <row r="115" spans="1:10" x14ac:dyDescent="0.3">
      <c r="A115">
        <v>113</v>
      </c>
      <c r="B115">
        <v>1806</v>
      </c>
      <c r="C115" t="b">
        <v>1</v>
      </c>
      <c r="D115">
        <v>8048</v>
      </c>
      <c r="E115">
        <v>8123</v>
      </c>
      <c r="F115">
        <v>4.8</v>
      </c>
      <c r="G115">
        <v>5.6</v>
      </c>
      <c r="H115">
        <v>0.85714290000000004</v>
      </c>
      <c r="I115">
        <v>0.14285708999999999</v>
      </c>
      <c r="J115">
        <v>0.53846156999999994</v>
      </c>
    </row>
    <row r="116" spans="1:10" x14ac:dyDescent="0.3">
      <c r="A116">
        <v>114</v>
      </c>
      <c r="B116">
        <v>1822</v>
      </c>
      <c r="C116" t="b">
        <v>1</v>
      </c>
      <c r="D116">
        <v>8048</v>
      </c>
      <c r="E116">
        <v>8129</v>
      </c>
      <c r="F116">
        <v>4.8</v>
      </c>
      <c r="G116">
        <v>5.6</v>
      </c>
      <c r="H116">
        <v>0.85714290000000004</v>
      </c>
      <c r="I116">
        <v>0.14285708999999999</v>
      </c>
      <c r="J116">
        <v>0.53846156999999994</v>
      </c>
    </row>
    <row r="117" spans="1:10" x14ac:dyDescent="0.3">
      <c r="A117">
        <v>115</v>
      </c>
      <c r="B117">
        <v>1838</v>
      </c>
      <c r="C117" t="b">
        <v>1</v>
      </c>
      <c r="D117">
        <v>8048</v>
      </c>
      <c r="E117">
        <v>8123</v>
      </c>
      <c r="F117">
        <v>4.8</v>
      </c>
      <c r="G117">
        <v>5.6</v>
      </c>
      <c r="H117">
        <v>0.85714290000000004</v>
      </c>
      <c r="I117">
        <v>0.14285708999999999</v>
      </c>
      <c r="J117">
        <v>0.53846156999999994</v>
      </c>
    </row>
    <row r="118" spans="1:10" x14ac:dyDescent="0.3">
      <c r="A118">
        <v>116</v>
      </c>
      <c r="B118">
        <v>1854</v>
      </c>
      <c r="C118" t="b">
        <v>1</v>
      </c>
      <c r="D118">
        <v>8048</v>
      </c>
      <c r="E118">
        <v>8123</v>
      </c>
      <c r="F118">
        <v>4.8</v>
      </c>
      <c r="G118">
        <v>5.6</v>
      </c>
      <c r="H118">
        <v>0.85714290000000004</v>
      </c>
      <c r="I118">
        <v>0.14285708999999999</v>
      </c>
      <c r="J118">
        <v>0.53846156999999994</v>
      </c>
    </row>
    <row r="119" spans="1:10" x14ac:dyDescent="0.3">
      <c r="A119">
        <v>117</v>
      </c>
      <c r="B119">
        <v>1870</v>
      </c>
      <c r="C119" t="b">
        <v>1</v>
      </c>
      <c r="D119">
        <v>8048</v>
      </c>
      <c r="E119">
        <v>8123</v>
      </c>
      <c r="F119">
        <v>4.8</v>
      </c>
      <c r="G119">
        <v>5.6</v>
      </c>
      <c r="H119">
        <v>0.85714290000000004</v>
      </c>
      <c r="I119">
        <v>0.14285708999999999</v>
      </c>
      <c r="J119">
        <v>0.53846156999999994</v>
      </c>
    </row>
    <row r="120" spans="1:10" x14ac:dyDescent="0.3">
      <c r="A120">
        <v>118</v>
      </c>
      <c r="B120">
        <v>1886</v>
      </c>
      <c r="C120" t="b">
        <v>1</v>
      </c>
      <c r="D120">
        <v>8048</v>
      </c>
      <c r="E120">
        <v>8123</v>
      </c>
      <c r="F120">
        <v>4.8</v>
      </c>
      <c r="G120">
        <v>5.6</v>
      </c>
      <c r="H120">
        <v>0.85714290000000004</v>
      </c>
      <c r="I120">
        <v>0.14285708999999999</v>
      </c>
      <c r="J120">
        <v>0.53846156999999994</v>
      </c>
    </row>
    <row r="121" spans="1:10" x14ac:dyDescent="0.3">
      <c r="A121">
        <v>119</v>
      </c>
      <c r="B121">
        <v>1902</v>
      </c>
      <c r="C121" t="b">
        <v>1</v>
      </c>
      <c r="D121">
        <v>8048</v>
      </c>
      <c r="E121">
        <v>8123</v>
      </c>
      <c r="F121">
        <v>5.2</v>
      </c>
      <c r="G121">
        <v>5.6</v>
      </c>
      <c r="H121">
        <v>0.92857140000000005</v>
      </c>
      <c r="I121">
        <v>7.142859E-2</v>
      </c>
      <c r="J121">
        <v>0.51851857000000001</v>
      </c>
    </row>
    <row r="122" spans="1:10" x14ac:dyDescent="0.3">
      <c r="A122">
        <v>120</v>
      </c>
      <c r="B122">
        <v>1918</v>
      </c>
      <c r="C122" t="b">
        <v>1</v>
      </c>
      <c r="D122">
        <v>8048</v>
      </c>
      <c r="E122">
        <v>8123</v>
      </c>
      <c r="F122">
        <v>5.6</v>
      </c>
      <c r="G122">
        <v>5.6</v>
      </c>
      <c r="H122">
        <v>1</v>
      </c>
      <c r="I122">
        <v>0</v>
      </c>
      <c r="J122">
        <v>0.5</v>
      </c>
    </row>
    <row r="123" spans="1:10" x14ac:dyDescent="0.3">
      <c r="A123">
        <v>121</v>
      </c>
      <c r="B123">
        <v>1934</v>
      </c>
      <c r="C123" t="b">
        <v>1</v>
      </c>
      <c r="D123">
        <v>8048</v>
      </c>
      <c r="E123">
        <v>8123</v>
      </c>
      <c r="F123">
        <v>6</v>
      </c>
      <c r="G123">
        <v>6</v>
      </c>
      <c r="H123">
        <v>1</v>
      </c>
      <c r="I123">
        <v>0</v>
      </c>
      <c r="J123">
        <v>0.5</v>
      </c>
    </row>
    <row r="124" spans="1:10" x14ac:dyDescent="0.3">
      <c r="A124">
        <v>122</v>
      </c>
      <c r="B124">
        <v>1950</v>
      </c>
      <c r="C124" t="b">
        <v>1</v>
      </c>
      <c r="D124">
        <v>8048</v>
      </c>
      <c r="E124">
        <v>8117</v>
      </c>
      <c r="F124">
        <v>6.4</v>
      </c>
      <c r="G124">
        <v>6.4</v>
      </c>
      <c r="H124">
        <v>1</v>
      </c>
      <c r="I124">
        <v>0</v>
      </c>
      <c r="J124">
        <v>0.5</v>
      </c>
    </row>
    <row r="125" spans="1:10" x14ac:dyDescent="0.3">
      <c r="A125">
        <v>123</v>
      </c>
      <c r="B125">
        <v>1965</v>
      </c>
      <c r="C125" t="b">
        <v>1</v>
      </c>
      <c r="D125">
        <v>8048</v>
      </c>
      <c r="E125">
        <v>8123</v>
      </c>
      <c r="F125">
        <v>6.8</v>
      </c>
      <c r="G125">
        <v>6.8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1981</v>
      </c>
      <c r="C126" t="b">
        <v>1</v>
      </c>
      <c r="D126">
        <v>8048</v>
      </c>
      <c r="E126">
        <v>8123</v>
      </c>
      <c r="F126">
        <v>7.2</v>
      </c>
      <c r="G126">
        <v>7.2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1997</v>
      </c>
      <c r="C127" t="b">
        <v>1</v>
      </c>
      <c r="D127">
        <v>8054</v>
      </c>
      <c r="E127">
        <v>8123</v>
      </c>
      <c r="F127">
        <v>7.6</v>
      </c>
      <c r="G127">
        <v>7.6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2013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2029</v>
      </c>
      <c r="C129" t="b">
        <v>1</v>
      </c>
      <c r="D129">
        <v>8048</v>
      </c>
      <c r="E129">
        <v>8134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2045</v>
      </c>
      <c r="C130" t="b">
        <v>1</v>
      </c>
      <c r="D130">
        <v>8048</v>
      </c>
      <c r="E130">
        <v>8134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2061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2076</v>
      </c>
      <c r="C132" t="b">
        <v>1</v>
      </c>
      <c r="D132">
        <v>8048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2092</v>
      </c>
      <c r="C133" t="b">
        <v>1</v>
      </c>
      <c r="D133">
        <v>8042</v>
      </c>
      <c r="E133">
        <v>8123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2108</v>
      </c>
      <c r="C134" t="b">
        <v>1</v>
      </c>
      <c r="D134">
        <v>8042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2123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2139</v>
      </c>
      <c r="C136" t="b">
        <v>1</v>
      </c>
      <c r="D136">
        <v>8054</v>
      </c>
      <c r="E136">
        <v>8117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2155</v>
      </c>
      <c r="C137" t="b">
        <v>1</v>
      </c>
      <c r="D137">
        <v>8054</v>
      </c>
      <c r="E137">
        <v>8129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2171</v>
      </c>
      <c r="C138" t="b">
        <v>1</v>
      </c>
      <c r="D138">
        <v>8060</v>
      </c>
      <c r="E138">
        <v>8123</v>
      </c>
      <c r="F138">
        <v>8.4</v>
      </c>
      <c r="G138">
        <v>8</v>
      </c>
      <c r="H138">
        <v>1.05</v>
      </c>
      <c r="I138">
        <v>-4.9999952E-2</v>
      </c>
      <c r="J138">
        <v>0.48780489999999999</v>
      </c>
    </row>
    <row r="139" spans="1:10" x14ac:dyDescent="0.3">
      <c r="A139">
        <v>137</v>
      </c>
      <c r="B139">
        <v>2187</v>
      </c>
      <c r="C139" t="b">
        <v>1</v>
      </c>
      <c r="D139">
        <v>8054</v>
      </c>
      <c r="E139">
        <v>8123</v>
      </c>
      <c r="F139">
        <v>8.8000000000000007</v>
      </c>
      <c r="G139">
        <v>8</v>
      </c>
      <c r="H139">
        <v>1.1000000000000001</v>
      </c>
      <c r="I139">
        <v>-0.10000002400000001</v>
      </c>
      <c r="J139">
        <v>0.47619050000000002</v>
      </c>
    </row>
    <row r="140" spans="1:10" x14ac:dyDescent="0.3">
      <c r="A140">
        <v>138</v>
      </c>
      <c r="B140">
        <v>2203</v>
      </c>
      <c r="C140" t="b">
        <v>1</v>
      </c>
      <c r="D140">
        <v>8054</v>
      </c>
      <c r="E140">
        <v>8123</v>
      </c>
      <c r="F140">
        <v>9.1999999999999993</v>
      </c>
      <c r="G140">
        <v>8</v>
      </c>
      <c r="H140">
        <v>1.1499999999999999</v>
      </c>
      <c r="I140">
        <v>-0.14999998</v>
      </c>
      <c r="J140">
        <v>0.46511626</v>
      </c>
    </row>
    <row r="141" spans="1:10" x14ac:dyDescent="0.3">
      <c r="A141">
        <v>139</v>
      </c>
      <c r="B141">
        <v>2219</v>
      </c>
      <c r="C141" t="b">
        <v>1</v>
      </c>
      <c r="D141">
        <v>8054</v>
      </c>
      <c r="E141">
        <v>8129</v>
      </c>
      <c r="F141">
        <v>9.6</v>
      </c>
      <c r="G141">
        <v>8</v>
      </c>
      <c r="H141">
        <v>1.2</v>
      </c>
      <c r="I141">
        <v>-0.20000005000000001</v>
      </c>
      <c r="J141">
        <v>0.45454544000000002</v>
      </c>
    </row>
    <row r="142" spans="1:10" x14ac:dyDescent="0.3">
      <c r="A142">
        <v>140</v>
      </c>
      <c r="B142">
        <v>2235</v>
      </c>
      <c r="C142" t="b">
        <v>1</v>
      </c>
      <c r="D142">
        <v>8054</v>
      </c>
      <c r="E142">
        <v>8129</v>
      </c>
      <c r="F142">
        <v>10</v>
      </c>
      <c r="G142">
        <v>8</v>
      </c>
      <c r="H142">
        <v>1.25</v>
      </c>
      <c r="I142">
        <v>-0.25</v>
      </c>
      <c r="J142">
        <v>0.44444444999999999</v>
      </c>
    </row>
    <row r="143" spans="1:10" x14ac:dyDescent="0.3">
      <c r="A143">
        <v>141</v>
      </c>
      <c r="B143">
        <v>2251</v>
      </c>
      <c r="C143" t="b">
        <v>1</v>
      </c>
      <c r="D143">
        <v>8048</v>
      </c>
      <c r="E143">
        <v>8123</v>
      </c>
      <c r="F143">
        <v>10.4</v>
      </c>
      <c r="G143">
        <v>8</v>
      </c>
      <c r="H143">
        <v>1.3</v>
      </c>
      <c r="I143">
        <v>-0.29999995000000002</v>
      </c>
      <c r="J143">
        <v>0.43478262000000001</v>
      </c>
    </row>
    <row r="144" spans="1:10" x14ac:dyDescent="0.3">
      <c r="A144">
        <v>142</v>
      </c>
      <c r="B144">
        <v>2267</v>
      </c>
      <c r="C144" t="b">
        <v>1</v>
      </c>
      <c r="D144">
        <v>8048</v>
      </c>
      <c r="E144">
        <v>8123</v>
      </c>
      <c r="F144">
        <v>10.8</v>
      </c>
      <c r="G144">
        <v>8</v>
      </c>
      <c r="H144">
        <v>1.35</v>
      </c>
      <c r="I144">
        <v>-0.35000002000000002</v>
      </c>
      <c r="J144">
        <v>0.42553192000000001</v>
      </c>
    </row>
    <row r="145" spans="1:10" x14ac:dyDescent="0.3">
      <c r="A145">
        <v>143</v>
      </c>
      <c r="B145">
        <v>2283</v>
      </c>
      <c r="C145" t="b">
        <v>1</v>
      </c>
      <c r="D145">
        <v>8048</v>
      </c>
      <c r="E145">
        <v>8123</v>
      </c>
      <c r="F145">
        <v>10.8</v>
      </c>
      <c r="G145">
        <v>8</v>
      </c>
      <c r="H145">
        <v>1.35</v>
      </c>
      <c r="I145">
        <v>-0.35000002000000002</v>
      </c>
      <c r="J145">
        <v>0.42553192000000001</v>
      </c>
    </row>
    <row r="146" spans="1:10" x14ac:dyDescent="0.3">
      <c r="A146">
        <v>144</v>
      </c>
      <c r="B146">
        <v>2299</v>
      </c>
      <c r="C146" t="b">
        <v>1</v>
      </c>
      <c r="D146">
        <v>8048</v>
      </c>
      <c r="E146">
        <v>8123</v>
      </c>
      <c r="F146">
        <v>10.8</v>
      </c>
      <c r="G146">
        <v>8</v>
      </c>
      <c r="H146">
        <v>1.35</v>
      </c>
      <c r="I146">
        <v>-0.35000002000000002</v>
      </c>
      <c r="J146">
        <v>0.42553192000000001</v>
      </c>
    </row>
    <row r="147" spans="1:10" x14ac:dyDescent="0.3">
      <c r="A147">
        <v>145</v>
      </c>
      <c r="B147">
        <v>2315</v>
      </c>
      <c r="C147" t="b">
        <v>1</v>
      </c>
      <c r="D147">
        <v>8048</v>
      </c>
      <c r="E147">
        <v>8123</v>
      </c>
      <c r="F147">
        <v>10.8</v>
      </c>
      <c r="G147">
        <v>8</v>
      </c>
      <c r="H147">
        <v>1.35</v>
      </c>
      <c r="I147">
        <v>-0.35000002000000002</v>
      </c>
      <c r="J147">
        <v>0.42553192000000001</v>
      </c>
    </row>
    <row r="148" spans="1:10" x14ac:dyDescent="0.3">
      <c r="A148">
        <v>146</v>
      </c>
      <c r="B148">
        <v>2330</v>
      </c>
      <c r="C148" t="b">
        <v>1</v>
      </c>
      <c r="D148">
        <v>8048</v>
      </c>
      <c r="E148">
        <v>8129</v>
      </c>
      <c r="F148">
        <v>10.8</v>
      </c>
      <c r="G148">
        <v>8</v>
      </c>
      <c r="H148">
        <v>1.35</v>
      </c>
      <c r="I148">
        <v>-0.35000002000000002</v>
      </c>
      <c r="J148">
        <v>0.42553192000000001</v>
      </c>
    </row>
    <row r="149" spans="1:10" x14ac:dyDescent="0.3">
      <c r="A149">
        <v>147</v>
      </c>
      <c r="B149">
        <v>2346</v>
      </c>
      <c r="C149" t="b">
        <v>1</v>
      </c>
      <c r="D149">
        <v>8048</v>
      </c>
      <c r="E149">
        <v>8123</v>
      </c>
      <c r="F149">
        <v>10.8</v>
      </c>
      <c r="G149">
        <v>8</v>
      </c>
      <c r="H149">
        <v>1.35</v>
      </c>
      <c r="I149">
        <v>-0.35000002000000002</v>
      </c>
      <c r="J149">
        <v>0.42553192000000001</v>
      </c>
    </row>
    <row r="150" spans="1:10" x14ac:dyDescent="0.3">
      <c r="A150">
        <v>148</v>
      </c>
      <c r="B150">
        <v>2362</v>
      </c>
      <c r="C150" t="b">
        <v>1</v>
      </c>
      <c r="D150">
        <v>8048</v>
      </c>
      <c r="E150">
        <v>8123</v>
      </c>
      <c r="F150">
        <v>10.8</v>
      </c>
      <c r="G150">
        <v>8</v>
      </c>
      <c r="H150">
        <v>1.35</v>
      </c>
      <c r="I150">
        <v>-0.35000002000000002</v>
      </c>
      <c r="J150">
        <v>0.42553192000000001</v>
      </c>
    </row>
    <row r="151" spans="1:10" x14ac:dyDescent="0.3">
      <c r="A151">
        <v>149</v>
      </c>
      <c r="B151">
        <v>2378</v>
      </c>
      <c r="C151" t="b">
        <v>1</v>
      </c>
      <c r="D151">
        <v>8048</v>
      </c>
      <c r="E151">
        <v>8129</v>
      </c>
      <c r="F151">
        <v>10.8</v>
      </c>
      <c r="G151">
        <v>8</v>
      </c>
      <c r="H151">
        <v>1.35</v>
      </c>
      <c r="I151">
        <v>-0.35000002000000002</v>
      </c>
      <c r="J151">
        <v>0.42553192000000001</v>
      </c>
    </row>
    <row r="152" spans="1:10" x14ac:dyDescent="0.3">
      <c r="A152">
        <v>150</v>
      </c>
      <c r="B152">
        <v>2393</v>
      </c>
      <c r="C152" t="b">
        <v>1</v>
      </c>
      <c r="D152">
        <v>8042</v>
      </c>
      <c r="E152">
        <v>8123</v>
      </c>
      <c r="F152">
        <v>10.8</v>
      </c>
      <c r="G152">
        <v>8</v>
      </c>
      <c r="H152">
        <v>1.35</v>
      </c>
      <c r="I152">
        <v>-0.35000002000000002</v>
      </c>
      <c r="J152">
        <v>0.42553192000000001</v>
      </c>
    </row>
    <row r="153" spans="1:10" x14ac:dyDescent="0.3">
      <c r="A153">
        <v>151</v>
      </c>
      <c r="B153">
        <v>2409</v>
      </c>
      <c r="C153" t="b">
        <v>1</v>
      </c>
      <c r="D153">
        <v>8048</v>
      </c>
      <c r="E153">
        <v>8123</v>
      </c>
      <c r="F153">
        <v>10.4</v>
      </c>
      <c r="G153">
        <v>8</v>
      </c>
      <c r="H153">
        <v>1.3</v>
      </c>
      <c r="I153">
        <v>-0.29999995000000002</v>
      </c>
      <c r="J153">
        <v>0.43478262000000001</v>
      </c>
    </row>
    <row r="154" spans="1:10" x14ac:dyDescent="0.3">
      <c r="A154">
        <v>152</v>
      </c>
      <c r="B154">
        <v>2425</v>
      </c>
      <c r="C154" t="b">
        <v>1</v>
      </c>
      <c r="D154">
        <v>8048</v>
      </c>
      <c r="E154">
        <v>8123</v>
      </c>
      <c r="F154">
        <v>10</v>
      </c>
      <c r="G154">
        <v>8</v>
      </c>
      <c r="H154">
        <v>1.25</v>
      </c>
      <c r="I154">
        <v>-0.25</v>
      </c>
      <c r="J154">
        <v>0.44444444999999999</v>
      </c>
    </row>
    <row r="155" spans="1:10" x14ac:dyDescent="0.3">
      <c r="A155">
        <v>153</v>
      </c>
      <c r="B155">
        <v>2440</v>
      </c>
      <c r="C155" t="b">
        <v>1</v>
      </c>
      <c r="D155">
        <v>8048</v>
      </c>
      <c r="E155">
        <v>8123</v>
      </c>
      <c r="F155">
        <v>9.6</v>
      </c>
      <c r="G155">
        <v>8</v>
      </c>
      <c r="H155">
        <v>1.2</v>
      </c>
      <c r="I155">
        <v>-0.20000005000000001</v>
      </c>
      <c r="J155">
        <v>0.45454544000000002</v>
      </c>
    </row>
    <row r="156" spans="1:10" x14ac:dyDescent="0.3">
      <c r="A156">
        <v>154</v>
      </c>
      <c r="B156">
        <v>2456</v>
      </c>
      <c r="C156" t="b">
        <v>1</v>
      </c>
      <c r="D156">
        <v>8048</v>
      </c>
      <c r="E156">
        <v>8123</v>
      </c>
      <c r="F156">
        <v>9.1999999999999993</v>
      </c>
      <c r="G156">
        <v>8</v>
      </c>
      <c r="H156">
        <v>1.1499999999999999</v>
      </c>
      <c r="I156">
        <v>-0.14999998</v>
      </c>
      <c r="J156">
        <v>0.46511626</v>
      </c>
    </row>
    <row r="157" spans="1:10" x14ac:dyDescent="0.3">
      <c r="A157">
        <v>155</v>
      </c>
      <c r="B157">
        <v>2472</v>
      </c>
      <c r="C157" t="b">
        <v>1</v>
      </c>
      <c r="D157">
        <v>8048</v>
      </c>
      <c r="E157">
        <v>8129</v>
      </c>
      <c r="F157">
        <v>8.8000000000000007</v>
      </c>
      <c r="G157">
        <v>8</v>
      </c>
      <c r="H157">
        <v>1.1000000000000001</v>
      </c>
      <c r="I157">
        <v>-0.10000002400000001</v>
      </c>
      <c r="J157">
        <v>0.47619050000000002</v>
      </c>
    </row>
    <row r="158" spans="1:10" x14ac:dyDescent="0.3">
      <c r="A158">
        <v>156</v>
      </c>
      <c r="B158">
        <v>2488</v>
      </c>
      <c r="C158" t="b">
        <v>1</v>
      </c>
      <c r="D158">
        <v>8048</v>
      </c>
      <c r="E158">
        <v>8123</v>
      </c>
      <c r="F158">
        <v>8.4</v>
      </c>
      <c r="G158">
        <v>8</v>
      </c>
      <c r="H158">
        <v>1.05</v>
      </c>
      <c r="I158">
        <v>-4.9999952E-2</v>
      </c>
      <c r="J158">
        <v>0.48780489999999999</v>
      </c>
    </row>
    <row r="159" spans="1:10" x14ac:dyDescent="0.3">
      <c r="A159">
        <v>157</v>
      </c>
      <c r="B159">
        <v>2504</v>
      </c>
      <c r="C159" t="b">
        <v>1</v>
      </c>
      <c r="D159">
        <v>8048</v>
      </c>
      <c r="E159">
        <v>8123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2520</v>
      </c>
      <c r="C160" t="b">
        <v>1</v>
      </c>
      <c r="D160">
        <v>8048</v>
      </c>
      <c r="E160">
        <v>8123</v>
      </c>
      <c r="F160">
        <v>8</v>
      </c>
      <c r="G160">
        <v>8</v>
      </c>
      <c r="H160">
        <v>1</v>
      </c>
      <c r="I160">
        <v>0</v>
      </c>
      <c r="J160">
        <v>0.5</v>
      </c>
    </row>
    <row r="161" spans="1:10" x14ac:dyDescent="0.3">
      <c r="A161">
        <v>159</v>
      </c>
      <c r="B161">
        <v>2536</v>
      </c>
      <c r="C161" t="b">
        <v>1</v>
      </c>
      <c r="D161">
        <v>8048</v>
      </c>
      <c r="E161">
        <v>8123</v>
      </c>
      <c r="F161">
        <v>8</v>
      </c>
      <c r="G161">
        <v>8</v>
      </c>
      <c r="H161">
        <v>1</v>
      </c>
      <c r="I161">
        <v>0</v>
      </c>
      <c r="J161">
        <v>0.5</v>
      </c>
    </row>
    <row r="162" spans="1:10" x14ac:dyDescent="0.3">
      <c r="A162">
        <v>160</v>
      </c>
      <c r="B162">
        <v>2551</v>
      </c>
      <c r="C162" t="b">
        <v>1</v>
      </c>
      <c r="D162">
        <v>8048</v>
      </c>
      <c r="E162">
        <v>8123</v>
      </c>
      <c r="F162">
        <v>8</v>
      </c>
      <c r="G162">
        <v>8</v>
      </c>
      <c r="H162">
        <v>1</v>
      </c>
      <c r="I162">
        <v>0</v>
      </c>
      <c r="J162">
        <v>0.5</v>
      </c>
    </row>
    <row r="163" spans="1:10" x14ac:dyDescent="0.3">
      <c r="A163">
        <v>161</v>
      </c>
      <c r="B163">
        <v>2567</v>
      </c>
      <c r="C163" t="b">
        <v>1</v>
      </c>
      <c r="D163">
        <v>8048</v>
      </c>
      <c r="E163">
        <v>8129</v>
      </c>
      <c r="F163">
        <v>8</v>
      </c>
      <c r="G163">
        <v>8</v>
      </c>
      <c r="H163">
        <v>1</v>
      </c>
      <c r="I163">
        <v>0</v>
      </c>
      <c r="J163">
        <v>0.5</v>
      </c>
    </row>
    <row r="164" spans="1:10" x14ac:dyDescent="0.3">
      <c r="A164">
        <v>162</v>
      </c>
      <c r="B164">
        <v>2582</v>
      </c>
      <c r="C164" t="b">
        <v>1</v>
      </c>
      <c r="D164">
        <v>8048</v>
      </c>
      <c r="E164">
        <v>8129</v>
      </c>
      <c r="F164">
        <v>8</v>
      </c>
      <c r="G164">
        <v>8</v>
      </c>
      <c r="H164">
        <v>1</v>
      </c>
      <c r="I164">
        <v>0</v>
      </c>
      <c r="J164">
        <v>0.5</v>
      </c>
    </row>
    <row r="165" spans="1:10" x14ac:dyDescent="0.3">
      <c r="A165">
        <v>163</v>
      </c>
      <c r="B165">
        <v>2598</v>
      </c>
      <c r="C165" t="b">
        <v>1</v>
      </c>
      <c r="D165">
        <v>8048</v>
      </c>
      <c r="E165">
        <v>8129</v>
      </c>
      <c r="F165">
        <v>8</v>
      </c>
      <c r="G165">
        <v>8.4</v>
      </c>
      <c r="H165">
        <v>0.95238100000000003</v>
      </c>
      <c r="I165">
        <v>4.7619003999999999E-2</v>
      </c>
      <c r="J165">
        <v>0.51219510000000001</v>
      </c>
    </row>
    <row r="166" spans="1:10" x14ac:dyDescent="0.3">
      <c r="A166">
        <v>164</v>
      </c>
      <c r="B166">
        <v>2614</v>
      </c>
      <c r="C166" t="b">
        <v>1</v>
      </c>
      <c r="D166">
        <v>8048</v>
      </c>
      <c r="E166">
        <v>8123</v>
      </c>
      <c r="F166">
        <v>8</v>
      </c>
      <c r="G166">
        <v>8.8000000000000007</v>
      </c>
      <c r="H166">
        <v>0.90909090000000004</v>
      </c>
      <c r="I166">
        <v>9.0909110000000001E-2</v>
      </c>
      <c r="J166">
        <v>0.52380954999999996</v>
      </c>
    </row>
    <row r="167" spans="1:10" x14ac:dyDescent="0.3">
      <c r="A167">
        <v>165</v>
      </c>
      <c r="B167">
        <v>2629</v>
      </c>
      <c r="C167" t="b">
        <v>1</v>
      </c>
      <c r="D167">
        <v>8048</v>
      </c>
      <c r="E167">
        <v>8123</v>
      </c>
      <c r="F167">
        <v>8</v>
      </c>
      <c r="G167">
        <v>9.1999999999999993</v>
      </c>
      <c r="H167">
        <v>0.86956524999999996</v>
      </c>
      <c r="I167">
        <v>0.13043477000000001</v>
      </c>
      <c r="J167">
        <v>0.53488369999999996</v>
      </c>
    </row>
    <row r="168" spans="1:10" x14ac:dyDescent="0.3">
      <c r="A168">
        <v>166</v>
      </c>
      <c r="B168">
        <v>2645</v>
      </c>
      <c r="C168" t="b">
        <v>1</v>
      </c>
      <c r="D168">
        <v>8048</v>
      </c>
      <c r="E168">
        <v>8129</v>
      </c>
      <c r="F168">
        <v>8</v>
      </c>
      <c r="G168">
        <v>9.6</v>
      </c>
      <c r="H168">
        <v>0.83333330000000005</v>
      </c>
      <c r="I168">
        <v>0.1666667</v>
      </c>
      <c r="J168">
        <v>0.54545456000000003</v>
      </c>
    </row>
    <row r="169" spans="1:10" x14ac:dyDescent="0.3">
      <c r="A169">
        <v>167</v>
      </c>
      <c r="B169">
        <v>2661</v>
      </c>
      <c r="C169" t="b">
        <v>1</v>
      </c>
      <c r="D169">
        <v>8048</v>
      </c>
      <c r="E169">
        <v>8129</v>
      </c>
      <c r="F169">
        <v>8</v>
      </c>
      <c r="G169">
        <v>10</v>
      </c>
      <c r="H169">
        <v>0.8</v>
      </c>
      <c r="I169">
        <v>0.2</v>
      </c>
      <c r="J169">
        <v>0.55555560000000004</v>
      </c>
    </row>
    <row r="170" spans="1:10" x14ac:dyDescent="0.3">
      <c r="A170">
        <v>168</v>
      </c>
      <c r="B170">
        <v>2677</v>
      </c>
      <c r="C170" t="b">
        <v>1</v>
      </c>
      <c r="D170">
        <v>8048</v>
      </c>
      <c r="E170">
        <v>8129</v>
      </c>
      <c r="F170">
        <v>8</v>
      </c>
      <c r="G170">
        <v>10.4</v>
      </c>
      <c r="H170">
        <v>0.76923079999999999</v>
      </c>
      <c r="I170">
        <v>0.23076920000000001</v>
      </c>
      <c r="J170">
        <v>0.56521739999999998</v>
      </c>
    </row>
    <row r="171" spans="1:10" x14ac:dyDescent="0.3">
      <c r="A171">
        <v>169</v>
      </c>
      <c r="B171">
        <v>2693</v>
      </c>
      <c r="C171" t="b">
        <v>1</v>
      </c>
      <c r="D171">
        <v>8048</v>
      </c>
      <c r="E171">
        <v>8129</v>
      </c>
      <c r="F171">
        <v>8</v>
      </c>
      <c r="G171">
        <v>10.8</v>
      </c>
      <c r="H171">
        <v>0.74074070000000003</v>
      </c>
      <c r="I171">
        <v>0.25925927999999998</v>
      </c>
      <c r="J171">
        <v>0.57446814000000002</v>
      </c>
    </row>
    <row r="172" spans="1:10" x14ac:dyDescent="0.3">
      <c r="A172">
        <v>170</v>
      </c>
      <c r="B172">
        <v>2709</v>
      </c>
      <c r="C172" t="b">
        <v>1</v>
      </c>
      <c r="D172">
        <v>8048</v>
      </c>
      <c r="E172">
        <v>8129</v>
      </c>
      <c r="F172">
        <v>8</v>
      </c>
      <c r="G172">
        <v>11.2</v>
      </c>
      <c r="H172">
        <v>0.71428572999999995</v>
      </c>
      <c r="I172">
        <v>0.28571426999999999</v>
      </c>
      <c r="J172">
        <v>0.58333330000000005</v>
      </c>
    </row>
    <row r="173" spans="1:10" x14ac:dyDescent="0.3">
      <c r="A173">
        <v>171</v>
      </c>
      <c r="B173">
        <v>2724</v>
      </c>
      <c r="C173" t="b">
        <v>1</v>
      </c>
      <c r="D173">
        <v>8048</v>
      </c>
      <c r="E173">
        <v>8129</v>
      </c>
      <c r="F173">
        <v>8</v>
      </c>
      <c r="G173">
        <v>11.6</v>
      </c>
      <c r="H173">
        <v>0.68965509999999997</v>
      </c>
      <c r="I173">
        <v>0.31034485000000001</v>
      </c>
      <c r="J173">
        <v>0.59183675000000002</v>
      </c>
    </row>
    <row r="174" spans="1:10" x14ac:dyDescent="0.3">
      <c r="A174">
        <v>172</v>
      </c>
      <c r="B174">
        <v>2740</v>
      </c>
      <c r="C174" t="b">
        <v>1</v>
      </c>
      <c r="D174">
        <v>8048</v>
      </c>
      <c r="E174">
        <v>8123</v>
      </c>
      <c r="F174">
        <v>8</v>
      </c>
      <c r="G174">
        <v>12</v>
      </c>
      <c r="H174">
        <v>0.66666669999999995</v>
      </c>
      <c r="I174">
        <v>0.33333333999999998</v>
      </c>
      <c r="J174">
        <v>0.6</v>
      </c>
    </row>
    <row r="175" spans="1:10" x14ac:dyDescent="0.3">
      <c r="A175">
        <v>173</v>
      </c>
      <c r="B175">
        <v>2756</v>
      </c>
      <c r="C175" t="b">
        <v>1</v>
      </c>
      <c r="D175">
        <v>8048</v>
      </c>
      <c r="E175">
        <v>8123</v>
      </c>
      <c r="F175">
        <v>8</v>
      </c>
      <c r="G175">
        <v>12.4</v>
      </c>
      <c r="H175">
        <v>0.64516132999999998</v>
      </c>
      <c r="I175">
        <v>0.35483870000000001</v>
      </c>
      <c r="J175">
        <v>0.60784309999999997</v>
      </c>
    </row>
    <row r="176" spans="1:10" x14ac:dyDescent="0.3">
      <c r="A176">
        <v>174</v>
      </c>
      <c r="B176">
        <v>2771</v>
      </c>
      <c r="C176" t="b">
        <v>1</v>
      </c>
      <c r="D176">
        <v>8048</v>
      </c>
      <c r="E176">
        <v>8123</v>
      </c>
      <c r="F176">
        <v>8</v>
      </c>
      <c r="G176">
        <v>12.4</v>
      </c>
      <c r="H176">
        <v>0.64516132999999998</v>
      </c>
      <c r="I176">
        <v>0.35483870000000001</v>
      </c>
      <c r="J176">
        <v>0.60784309999999997</v>
      </c>
    </row>
    <row r="177" spans="1:10" x14ac:dyDescent="0.3">
      <c r="A177">
        <v>175</v>
      </c>
      <c r="B177">
        <v>2787</v>
      </c>
      <c r="C177" t="b">
        <v>1</v>
      </c>
      <c r="D177">
        <v>8048</v>
      </c>
      <c r="E177">
        <v>8129</v>
      </c>
      <c r="F177">
        <v>8</v>
      </c>
      <c r="G177">
        <v>12.4</v>
      </c>
      <c r="H177">
        <v>0.64516132999999998</v>
      </c>
      <c r="I177">
        <v>0.35483870000000001</v>
      </c>
      <c r="J177">
        <v>0.60784309999999997</v>
      </c>
    </row>
    <row r="178" spans="1:10" x14ac:dyDescent="0.3">
      <c r="A178">
        <v>176</v>
      </c>
      <c r="B178">
        <v>2803</v>
      </c>
      <c r="C178" t="b">
        <v>1</v>
      </c>
      <c r="D178">
        <v>8048</v>
      </c>
      <c r="E178">
        <v>8123</v>
      </c>
      <c r="F178">
        <v>8</v>
      </c>
      <c r="G178">
        <v>12.4</v>
      </c>
      <c r="H178">
        <v>0.64516132999999998</v>
      </c>
      <c r="I178">
        <v>0.35483870000000001</v>
      </c>
      <c r="J178">
        <v>0.60784309999999997</v>
      </c>
    </row>
    <row r="179" spans="1:10" x14ac:dyDescent="0.3">
      <c r="A179">
        <v>177</v>
      </c>
      <c r="B179">
        <v>2819</v>
      </c>
      <c r="C179" t="b">
        <v>1</v>
      </c>
      <c r="D179">
        <v>8048</v>
      </c>
      <c r="E179">
        <v>8123</v>
      </c>
      <c r="F179">
        <v>8</v>
      </c>
      <c r="G179">
        <v>12.4</v>
      </c>
      <c r="H179">
        <v>0.64516132999999998</v>
      </c>
      <c r="I179">
        <v>0.35483870000000001</v>
      </c>
      <c r="J179">
        <v>0.60784309999999997</v>
      </c>
    </row>
    <row r="180" spans="1:10" x14ac:dyDescent="0.3">
      <c r="A180">
        <v>178</v>
      </c>
      <c r="B180">
        <v>2835</v>
      </c>
      <c r="C180" t="b">
        <v>1</v>
      </c>
      <c r="D180">
        <v>8048</v>
      </c>
      <c r="E180">
        <v>8117</v>
      </c>
      <c r="F180">
        <v>8</v>
      </c>
      <c r="G180">
        <v>12</v>
      </c>
      <c r="H180">
        <v>0.66666669999999995</v>
      </c>
      <c r="I180">
        <v>0.33333333999999998</v>
      </c>
      <c r="J180">
        <v>0.6</v>
      </c>
    </row>
    <row r="181" spans="1:10" x14ac:dyDescent="0.3">
      <c r="A181">
        <v>179</v>
      </c>
      <c r="B181">
        <v>2851</v>
      </c>
      <c r="C181" t="b">
        <v>1</v>
      </c>
      <c r="D181">
        <v>8042</v>
      </c>
      <c r="E181">
        <v>8123</v>
      </c>
      <c r="F181">
        <v>8</v>
      </c>
      <c r="G181">
        <v>11.6</v>
      </c>
      <c r="H181">
        <v>0.68965509999999997</v>
      </c>
      <c r="I181">
        <v>0.31034485000000001</v>
      </c>
      <c r="J181">
        <v>0.59183675000000002</v>
      </c>
    </row>
    <row r="182" spans="1:10" x14ac:dyDescent="0.3">
      <c r="A182">
        <v>180</v>
      </c>
      <c r="B182">
        <v>2867</v>
      </c>
      <c r="C182" t="b">
        <v>1</v>
      </c>
      <c r="D182">
        <v>8048</v>
      </c>
      <c r="E182">
        <v>8134</v>
      </c>
      <c r="F182">
        <v>8</v>
      </c>
      <c r="G182">
        <v>11.2</v>
      </c>
      <c r="H182">
        <v>0.71428572999999995</v>
      </c>
      <c r="I182">
        <v>0.28571426999999999</v>
      </c>
      <c r="J182">
        <v>0.58333330000000005</v>
      </c>
    </row>
    <row r="183" spans="1:10" x14ac:dyDescent="0.3">
      <c r="A183">
        <v>181</v>
      </c>
      <c r="B183">
        <v>2882</v>
      </c>
      <c r="C183" t="b">
        <v>1</v>
      </c>
      <c r="D183">
        <v>8048</v>
      </c>
      <c r="E183">
        <v>8123</v>
      </c>
      <c r="F183">
        <v>8</v>
      </c>
      <c r="G183">
        <v>10.8</v>
      </c>
      <c r="H183">
        <v>0.74074070000000003</v>
      </c>
      <c r="I183">
        <v>0.25925927999999998</v>
      </c>
      <c r="J183">
        <v>0.57446814000000002</v>
      </c>
    </row>
    <row r="184" spans="1:10" x14ac:dyDescent="0.3">
      <c r="A184">
        <v>182</v>
      </c>
      <c r="B184">
        <v>2898</v>
      </c>
      <c r="C184" t="b">
        <v>1</v>
      </c>
      <c r="D184">
        <v>8048</v>
      </c>
      <c r="E184">
        <v>8123</v>
      </c>
      <c r="F184">
        <v>8</v>
      </c>
      <c r="G184">
        <v>10.4</v>
      </c>
      <c r="H184">
        <v>0.76923079999999999</v>
      </c>
      <c r="I184">
        <v>0.23076920000000001</v>
      </c>
      <c r="J184">
        <v>0.56521739999999998</v>
      </c>
    </row>
    <row r="185" spans="1:10" x14ac:dyDescent="0.3">
      <c r="A185">
        <v>183</v>
      </c>
      <c r="B185">
        <v>2914</v>
      </c>
      <c r="C185" t="b">
        <v>1</v>
      </c>
      <c r="D185">
        <v>8048</v>
      </c>
      <c r="E185">
        <v>8129</v>
      </c>
      <c r="F185">
        <v>8</v>
      </c>
      <c r="G185">
        <v>10</v>
      </c>
      <c r="H185">
        <v>0.8</v>
      </c>
      <c r="I185">
        <v>0.2</v>
      </c>
      <c r="J185">
        <v>0.55555560000000004</v>
      </c>
    </row>
    <row r="186" spans="1:10" x14ac:dyDescent="0.3">
      <c r="A186">
        <v>184</v>
      </c>
      <c r="B186">
        <v>2930</v>
      </c>
      <c r="C186" t="b">
        <v>1</v>
      </c>
      <c r="D186">
        <v>8048</v>
      </c>
      <c r="E186">
        <v>8123</v>
      </c>
      <c r="F186">
        <v>8</v>
      </c>
      <c r="G186">
        <v>9.6</v>
      </c>
      <c r="H186">
        <v>0.83333330000000005</v>
      </c>
      <c r="I186">
        <v>0.1666667</v>
      </c>
      <c r="J186">
        <v>0.54545456000000003</v>
      </c>
    </row>
    <row r="187" spans="1:10" x14ac:dyDescent="0.3">
      <c r="A187">
        <v>185</v>
      </c>
      <c r="B187">
        <v>2945</v>
      </c>
      <c r="C187" t="b">
        <v>1</v>
      </c>
      <c r="D187">
        <v>8048</v>
      </c>
      <c r="E187">
        <v>8123</v>
      </c>
      <c r="F187">
        <v>8</v>
      </c>
      <c r="G187">
        <v>9.1999999999999993</v>
      </c>
      <c r="H187">
        <v>0.86956524999999996</v>
      </c>
      <c r="I187">
        <v>0.13043477000000001</v>
      </c>
      <c r="J187">
        <v>0.53488369999999996</v>
      </c>
    </row>
    <row r="188" spans="1:10" x14ac:dyDescent="0.3">
      <c r="A188">
        <v>186</v>
      </c>
      <c r="B188">
        <v>2961</v>
      </c>
      <c r="C188" t="b">
        <v>1</v>
      </c>
      <c r="D188">
        <v>8054</v>
      </c>
      <c r="E188">
        <v>8123</v>
      </c>
      <c r="F188">
        <v>8</v>
      </c>
      <c r="G188">
        <v>8.8000000000000007</v>
      </c>
      <c r="H188">
        <v>0.90909090000000004</v>
      </c>
      <c r="I188">
        <v>9.0909110000000001E-2</v>
      </c>
      <c r="J188">
        <v>0.52380954999999996</v>
      </c>
    </row>
    <row r="189" spans="1:10" x14ac:dyDescent="0.3">
      <c r="A189">
        <v>187</v>
      </c>
      <c r="B189">
        <v>2977</v>
      </c>
      <c r="C189" t="b">
        <v>1</v>
      </c>
      <c r="D189">
        <v>8048</v>
      </c>
      <c r="E189">
        <v>8123</v>
      </c>
      <c r="F189">
        <v>8</v>
      </c>
      <c r="G189">
        <v>8.4</v>
      </c>
      <c r="H189">
        <v>0.95238100000000003</v>
      </c>
      <c r="I189">
        <v>4.7619003999999999E-2</v>
      </c>
      <c r="J189">
        <v>0.51219510000000001</v>
      </c>
    </row>
    <row r="190" spans="1:10" x14ac:dyDescent="0.3">
      <c r="A190">
        <v>188</v>
      </c>
      <c r="B190">
        <v>2992</v>
      </c>
      <c r="C190" t="b">
        <v>1</v>
      </c>
      <c r="D190">
        <v>8054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3008</v>
      </c>
      <c r="C191" t="b">
        <v>1</v>
      </c>
      <c r="D191">
        <v>8048</v>
      </c>
      <c r="E191">
        <v>8123</v>
      </c>
      <c r="F191">
        <v>8</v>
      </c>
      <c r="G191">
        <v>8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3024</v>
      </c>
      <c r="C192" t="b">
        <v>1</v>
      </c>
      <c r="D192">
        <v>8048</v>
      </c>
      <c r="E192">
        <v>8129</v>
      </c>
      <c r="F192">
        <v>8</v>
      </c>
      <c r="G192">
        <v>8</v>
      </c>
      <c r="H192">
        <v>1</v>
      </c>
      <c r="I192">
        <v>0</v>
      </c>
      <c r="J192">
        <v>0.5</v>
      </c>
    </row>
    <row r="193" spans="1:10" x14ac:dyDescent="0.3">
      <c r="A193">
        <v>191</v>
      </c>
      <c r="B193">
        <v>3040</v>
      </c>
      <c r="C193" t="b">
        <v>1</v>
      </c>
      <c r="D193">
        <v>8048</v>
      </c>
      <c r="E193">
        <v>8123</v>
      </c>
      <c r="F193">
        <v>8</v>
      </c>
      <c r="G193">
        <v>8</v>
      </c>
      <c r="H193">
        <v>1</v>
      </c>
      <c r="I193">
        <v>0</v>
      </c>
      <c r="J193">
        <v>0.5</v>
      </c>
    </row>
    <row r="194" spans="1:10" x14ac:dyDescent="0.3">
      <c r="A194">
        <v>192</v>
      </c>
      <c r="B194">
        <v>3056</v>
      </c>
      <c r="C194" t="b">
        <v>1</v>
      </c>
      <c r="D194">
        <v>8048</v>
      </c>
      <c r="E194">
        <v>8129</v>
      </c>
      <c r="F194">
        <v>8</v>
      </c>
      <c r="G194">
        <v>8</v>
      </c>
      <c r="H194">
        <v>1</v>
      </c>
      <c r="I194">
        <v>0</v>
      </c>
      <c r="J194">
        <v>0.5</v>
      </c>
    </row>
    <row r="195" spans="1:10" x14ac:dyDescent="0.3">
      <c r="A195">
        <v>193</v>
      </c>
      <c r="B195">
        <v>3072</v>
      </c>
      <c r="C195" t="b">
        <v>1</v>
      </c>
      <c r="D195">
        <v>8054</v>
      </c>
      <c r="E195">
        <v>8129</v>
      </c>
      <c r="F195">
        <v>8</v>
      </c>
      <c r="G195">
        <v>8.4</v>
      </c>
      <c r="H195">
        <v>0.95238100000000003</v>
      </c>
      <c r="I195">
        <v>4.7619003999999999E-2</v>
      </c>
      <c r="J195">
        <v>0.51219510000000001</v>
      </c>
    </row>
    <row r="196" spans="1:10" x14ac:dyDescent="0.3">
      <c r="A196">
        <v>194</v>
      </c>
      <c r="B196">
        <v>3088</v>
      </c>
      <c r="C196" t="b">
        <v>1</v>
      </c>
      <c r="D196">
        <v>8048</v>
      </c>
      <c r="E196">
        <v>8123</v>
      </c>
      <c r="F196">
        <v>8</v>
      </c>
      <c r="G196">
        <v>8.8000000000000007</v>
      </c>
      <c r="H196">
        <v>0.90909090000000004</v>
      </c>
      <c r="I196">
        <v>9.0909110000000001E-2</v>
      </c>
      <c r="J196">
        <v>0.52380954999999996</v>
      </c>
    </row>
    <row r="197" spans="1:10" x14ac:dyDescent="0.3">
      <c r="A197">
        <v>195</v>
      </c>
      <c r="B197">
        <v>3104</v>
      </c>
      <c r="C197" t="b">
        <v>1</v>
      </c>
      <c r="D197">
        <v>8048</v>
      </c>
      <c r="E197">
        <v>8123</v>
      </c>
      <c r="F197">
        <v>8</v>
      </c>
      <c r="G197">
        <v>8.8000000000000007</v>
      </c>
      <c r="H197">
        <v>0.90909090000000004</v>
      </c>
      <c r="I197">
        <v>9.0909110000000001E-2</v>
      </c>
      <c r="J197">
        <v>0.52380954999999996</v>
      </c>
    </row>
    <row r="198" spans="1:10" x14ac:dyDescent="0.3">
      <c r="A198">
        <v>196</v>
      </c>
      <c r="B198">
        <v>3120</v>
      </c>
      <c r="C198" t="b">
        <v>1</v>
      </c>
      <c r="D198">
        <v>8048</v>
      </c>
      <c r="E198">
        <v>8129</v>
      </c>
      <c r="F198">
        <v>8</v>
      </c>
      <c r="G198">
        <v>9.1999999999999993</v>
      </c>
      <c r="H198">
        <v>0.86956524999999996</v>
      </c>
      <c r="I198">
        <v>0.13043477000000001</v>
      </c>
      <c r="J198">
        <v>0.53488369999999996</v>
      </c>
    </row>
    <row r="199" spans="1:10" x14ac:dyDescent="0.3">
      <c r="A199">
        <v>197</v>
      </c>
      <c r="B199">
        <v>3136</v>
      </c>
      <c r="C199" t="b">
        <v>1</v>
      </c>
      <c r="D199">
        <v>8048</v>
      </c>
      <c r="E199">
        <v>8123</v>
      </c>
      <c r="F199">
        <v>8</v>
      </c>
      <c r="G199">
        <v>9.1999999999999993</v>
      </c>
      <c r="H199">
        <v>0.86956524999999996</v>
      </c>
      <c r="I199">
        <v>0.13043477000000001</v>
      </c>
      <c r="J199">
        <v>0.53488369999999996</v>
      </c>
    </row>
    <row r="200" spans="1:10" x14ac:dyDescent="0.3">
      <c r="A200">
        <v>198</v>
      </c>
      <c r="B200">
        <v>3152</v>
      </c>
      <c r="C200" t="b">
        <v>1</v>
      </c>
      <c r="D200">
        <v>8048</v>
      </c>
      <c r="E200">
        <v>8123</v>
      </c>
      <c r="F200">
        <v>8</v>
      </c>
      <c r="G200">
        <v>9.1999999999999993</v>
      </c>
      <c r="H200">
        <v>0.86956524999999996</v>
      </c>
      <c r="I200">
        <v>0.13043477000000001</v>
      </c>
      <c r="J200">
        <v>0.53488369999999996</v>
      </c>
    </row>
    <row r="201" spans="1:10" x14ac:dyDescent="0.3">
      <c r="A201">
        <v>199</v>
      </c>
      <c r="B201">
        <v>3168</v>
      </c>
      <c r="C201" t="b">
        <v>1</v>
      </c>
      <c r="D201">
        <v>8054</v>
      </c>
      <c r="E201">
        <v>8123</v>
      </c>
      <c r="F201">
        <v>8</v>
      </c>
      <c r="G201">
        <v>9.1999999999999993</v>
      </c>
      <c r="H201">
        <v>0.86956524999999996</v>
      </c>
      <c r="I201">
        <v>0.13043477000000001</v>
      </c>
      <c r="J201">
        <v>0.53488369999999996</v>
      </c>
    </row>
    <row r="202" spans="1:10" x14ac:dyDescent="0.3">
      <c r="A202">
        <v>200</v>
      </c>
      <c r="B202">
        <v>3184</v>
      </c>
      <c r="C202" t="b">
        <v>1</v>
      </c>
      <c r="D202">
        <v>8054</v>
      </c>
      <c r="E202">
        <v>8123</v>
      </c>
      <c r="F202">
        <v>8</v>
      </c>
      <c r="G202">
        <v>9.1999999999999993</v>
      </c>
      <c r="H202">
        <v>0.86956524999999996</v>
      </c>
      <c r="I202">
        <v>0.13043477000000001</v>
      </c>
      <c r="J202">
        <v>0.53488369999999996</v>
      </c>
    </row>
    <row r="203" spans="1:10" x14ac:dyDescent="0.3">
      <c r="A203">
        <v>201</v>
      </c>
      <c r="B203">
        <v>3200</v>
      </c>
      <c r="C203" t="b">
        <v>1</v>
      </c>
      <c r="D203">
        <v>8048</v>
      </c>
      <c r="E203">
        <v>8123</v>
      </c>
      <c r="F203">
        <v>8</v>
      </c>
      <c r="G203">
        <v>9.1999999999999993</v>
      </c>
      <c r="H203">
        <v>0.86956524999999996</v>
      </c>
      <c r="I203">
        <v>0.13043477000000001</v>
      </c>
      <c r="J203">
        <v>0.53488369999999996</v>
      </c>
    </row>
    <row r="204" spans="1:10" x14ac:dyDescent="0.3">
      <c r="A204">
        <v>202</v>
      </c>
      <c r="B204">
        <v>3216</v>
      </c>
      <c r="C204" t="b">
        <v>1</v>
      </c>
      <c r="D204">
        <v>8054</v>
      </c>
      <c r="E204">
        <v>8123</v>
      </c>
      <c r="F204">
        <v>8.4</v>
      </c>
      <c r="G204">
        <v>9.1999999999999993</v>
      </c>
      <c r="H204">
        <v>0.91304344000000004</v>
      </c>
      <c r="I204">
        <v>8.6956545999999996E-2</v>
      </c>
      <c r="J204">
        <v>0.52272730000000001</v>
      </c>
    </row>
    <row r="205" spans="1:10" x14ac:dyDescent="0.3">
      <c r="A205">
        <v>203</v>
      </c>
      <c r="B205">
        <v>3232</v>
      </c>
      <c r="C205" t="b">
        <v>1</v>
      </c>
      <c r="D205">
        <v>8048</v>
      </c>
      <c r="E205">
        <v>8123</v>
      </c>
      <c r="F205">
        <v>8.8000000000000007</v>
      </c>
      <c r="G205">
        <v>9.1999999999999993</v>
      </c>
      <c r="H205">
        <v>0.95652179999999998</v>
      </c>
      <c r="I205">
        <v>4.3478219999999998E-2</v>
      </c>
      <c r="J205">
        <v>0.51111110000000004</v>
      </c>
    </row>
    <row r="206" spans="1:10" x14ac:dyDescent="0.3">
      <c r="A206">
        <v>204</v>
      </c>
      <c r="B206">
        <v>3247</v>
      </c>
      <c r="C206" t="b">
        <v>1</v>
      </c>
      <c r="D206">
        <v>8048</v>
      </c>
      <c r="E206">
        <v>8123</v>
      </c>
      <c r="F206">
        <v>8.8000000000000007</v>
      </c>
      <c r="G206">
        <v>9.1999999999999993</v>
      </c>
      <c r="H206">
        <v>0.95652179999999998</v>
      </c>
      <c r="I206">
        <v>4.3478219999999998E-2</v>
      </c>
      <c r="J206">
        <v>0.51111110000000004</v>
      </c>
    </row>
    <row r="207" spans="1:10" x14ac:dyDescent="0.3">
      <c r="A207">
        <v>205</v>
      </c>
      <c r="B207">
        <v>3263</v>
      </c>
      <c r="C207" t="b">
        <v>1</v>
      </c>
      <c r="D207">
        <v>8048</v>
      </c>
      <c r="E207">
        <v>8123</v>
      </c>
      <c r="F207">
        <v>8.8000000000000007</v>
      </c>
      <c r="G207">
        <v>9.1999999999999993</v>
      </c>
      <c r="H207">
        <v>0.95652179999999998</v>
      </c>
      <c r="I207">
        <v>4.3478219999999998E-2</v>
      </c>
      <c r="J207">
        <v>0.51111110000000004</v>
      </c>
    </row>
    <row r="208" spans="1:10" x14ac:dyDescent="0.3">
      <c r="A208">
        <v>206</v>
      </c>
      <c r="B208">
        <v>3279</v>
      </c>
      <c r="C208" t="b">
        <v>1</v>
      </c>
      <c r="D208">
        <v>8048</v>
      </c>
      <c r="E208">
        <v>8123</v>
      </c>
      <c r="F208">
        <v>8.8000000000000007</v>
      </c>
      <c r="G208">
        <v>9.1999999999999993</v>
      </c>
      <c r="H208">
        <v>0.95652179999999998</v>
      </c>
      <c r="I208">
        <v>4.3478219999999998E-2</v>
      </c>
      <c r="J208">
        <v>0.51111110000000004</v>
      </c>
    </row>
    <row r="209" spans="1:10" x14ac:dyDescent="0.3">
      <c r="A209">
        <v>207</v>
      </c>
      <c r="B209">
        <v>3295</v>
      </c>
      <c r="C209" t="b">
        <v>1</v>
      </c>
      <c r="D209">
        <v>8048</v>
      </c>
      <c r="E209">
        <v>8123</v>
      </c>
      <c r="F209">
        <v>8.8000000000000007</v>
      </c>
      <c r="G209">
        <v>9.1999999999999993</v>
      </c>
      <c r="H209">
        <v>0.95652179999999998</v>
      </c>
      <c r="I209">
        <v>4.3478219999999998E-2</v>
      </c>
      <c r="J209">
        <v>0.51111110000000004</v>
      </c>
    </row>
    <row r="210" spans="1:10" x14ac:dyDescent="0.3">
      <c r="A210">
        <v>208</v>
      </c>
      <c r="B210">
        <v>3311</v>
      </c>
      <c r="C210" t="b">
        <v>1</v>
      </c>
      <c r="D210">
        <v>8048</v>
      </c>
      <c r="E210">
        <v>8123</v>
      </c>
      <c r="F210">
        <v>8.8000000000000007</v>
      </c>
      <c r="G210">
        <v>8.8000000000000007</v>
      </c>
      <c r="H210">
        <v>1</v>
      </c>
      <c r="I210">
        <v>0</v>
      </c>
      <c r="J210">
        <v>0.5</v>
      </c>
    </row>
    <row r="211" spans="1:10" x14ac:dyDescent="0.3">
      <c r="A211">
        <v>209</v>
      </c>
      <c r="B211">
        <v>3327</v>
      </c>
      <c r="C211" t="b">
        <v>1</v>
      </c>
      <c r="D211">
        <v>8048</v>
      </c>
      <c r="E211">
        <v>8123</v>
      </c>
      <c r="F211">
        <v>8.8000000000000007</v>
      </c>
      <c r="G211">
        <v>8.4</v>
      </c>
      <c r="H211">
        <v>1.0476190999999999</v>
      </c>
      <c r="I211">
        <v>-4.7619120000000001E-2</v>
      </c>
      <c r="J211">
        <v>0.48837206</v>
      </c>
    </row>
    <row r="212" spans="1:10" x14ac:dyDescent="0.3">
      <c r="A212">
        <v>210</v>
      </c>
      <c r="B212">
        <v>3343</v>
      </c>
      <c r="C212" t="b">
        <v>1</v>
      </c>
      <c r="D212">
        <v>8048</v>
      </c>
      <c r="E212">
        <v>8123</v>
      </c>
      <c r="F212">
        <v>8.8000000000000007</v>
      </c>
      <c r="G212">
        <v>8.4</v>
      </c>
      <c r="H212">
        <v>1.0476190999999999</v>
      </c>
      <c r="I212">
        <v>-4.7619120000000001E-2</v>
      </c>
      <c r="J212">
        <v>0.48837206</v>
      </c>
    </row>
    <row r="213" spans="1:10" x14ac:dyDescent="0.3">
      <c r="A213">
        <v>211</v>
      </c>
      <c r="B213">
        <v>3359</v>
      </c>
      <c r="C213" t="b">
        <v>1</v>
      </c>
      <c r="D213">
        <v>8048</v>
      </c>
      <c r="E213">
        <v>8123</v>
      </c>
      <c r="F213">
        <v>8.8000000000000007</v>
      </c>
      <c r="G213">
        <v>8</v>
      </c>
      <c r="H213">
        <v>1.1000000000000001</v>
      </c>
      <c r="I213">
        <v>-0.10000002400000001</v>
      </c>
      <c r="J213">
        <v>0.47619050000000002</v>
      </c>
    </row>
    <row r="214" spans="1:10" x14ac:dyDescent="0.3">
      <c r="A214">
        <v>212</v>
      </c>
      <c r="B214">
        <v>3375</v>
      </c>
      <c r="C214" t="b">
        <v>1</v>
      </c>
      <c r="D214">
        <v>8048</v>
      </c>
      <c r="E214">
        <v>8123</v>
      </c>
      <c r="F214">
        <v>8.8000000000000007</v>
      </c>
      <c r="G214">
        <v>8</v>
      </c>
      <c r="H214">
        <v>1.1000000000000001</v>
      </c>
      <c r="I214">
        <v>-0.10000002400000001</v>
      </c>
      <c r="J214">
        <v>0.47619050000000002</v>
      </c>
    </row>
    <row r="215" spans="1:10" x14ac:dyDescent="0.3">
      <c r="A215">
        <v>213</v>
      </c>
      <c r="B215">
        <v>3391</v>
      </c>
      <c r="C215" t="b">
        <v>1</v>
      </c>
      <c r="D215">
        <v>8048</v>
      </c>
      <c r="E215">
        <v>8123</v>
      </c>
      <c r="F215">
        <v>8.8000000000000007</v>
      </c>
      <c r="G215">
        <v>8</v>
      </c>
      <c r="H215">
        <v>1.1000000000000001</v>
      </c>
      <c r="I215">
        <v>-0.10000002400000001</v>
      </c>
      <c r="J215">
        <v>0.47619050000000002</v>
      </c>
    </row>
    <row r="216" spans="1:10" x14ac:dyDescent="0.3">
      <c r="A216">
        <v>214</v>
      </c>
      <c r="B216">
        <v>3407</v>
      </c>
      <c r="C216" t="b">
        <v>1</v>
      </c>
      <c r="D216">
        <v>8048</v>
      </c>
      <c r="E216">
        <v>8123</v>
      </c>
      <c r="F216">
        <v>8.8000000000000007</v>
      </c>
      <c r="G216">
        <v>8</v>
      </c>
      <c r="H216">
        <v>1.1000000000000001</v>
      </c>
      <c r="I216">
        <v>-0.10000002400000001</v>
      </c>
      <c r="J216">
        <v>0.47619050000000002</v>
      </c>
    </row>
    <row r="217" spans="1:10" x14ac:dyDescent="0.3">
      <c r="A217">
        <v>215</v>
      </c>
      <c r="B217">
        <v>3423</v>
      </c>
      <c r="C217" t="b">
        <v>1</v>
      </c>
      <c r="D217">
        <v>8048</v>
      </c>
      <c r="E217">
        <v>8123</v>
      </c>
      <c r="F217">
        <v>8.8000000000000007</v>
      </c>
      <c r="G217">
        <v>8</v>
      </c>
      <c r="H217">
        <v>1.1000000000000001</v>
      </c>
      <c r="I217">
        <v>-0.10000002400000001</v>
      </c>
      <c r="J217">
        <v>0.47619050000000002</v>
      </c>
    </row>
    <row r="218" spans="1:10" x14ac:dyDescent="0.3">
      <c r="A218">
        <v>216</v>
      </c>
      <c r="B218">
        <v>3438</v>
      </c>
      <c r="C218" t="b">
        <v>1</v>
      </c>
      <c r="D218">
        <v>8048</v>
      </c>
      <c r="E218">
        <v>8123</v>
      </c>
      <c r="F218">
        <v>8.8000000000000007</v>
      </c>
      <c r="G218">
        <v>8</v>
      </c>
      <c r="H218">
        <v>1.1000000000000001</v>
      </c>
      <c r="I218">
        <v>-0.10000002400000001</v>
      </c>
      <c r="J218">
        <v>0.47619050000000002</v>
      </c>
    </row>
    <row r="219" spans="1:10" x14ac:dyDescent="0.3">
      <c r="A219">
        <v>217</v>
      </c>
      <c r="B219">
        <v>3454</v>
      </c>
      <c r="C219" t="b">
        <v>1</v>
      </c>
      <c r="D219">
        <v>8048</v>
      </c>
      <c r="E219">
        <v>8123</v>
      </c>
      <c r="F219">
        <v>8.4</v>
      </c>
      <c r="G219">
        <v>8</v>
      </c>
      <c r="H219">
        <v>1.05</v>
      </c>
      <c r="I219">
        <v>-4.9999952E-2</v>
      </c>
      <c r="J219">
        <v>0.48780489999999999</v>
      </c>
    </row>
    <row r="220" spans="1:10" x14ac:dyDescent="0.3">
      <c r="A220">
        <v>218</v>
      </c>
      <c r="B220">
        <v>3470</v>
      </c>
      <c r="C220" t="b">
        <v>1</v>
      </c>
      <c r="D220">
        <v>8042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3486</v>
      </c>
      <c r="C221" t="b">
        <v>1</v>
      </c>
      <c r="D221">
        <v>8048</v>
      </c>
      <c r="E221">
        <v>8123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3508</v>
      </c>
      <c r="C222" t="b">
        <v>1</v>
      </c>
      <c r="D222">
        <v>8048</v>
      </c>
      <c r="E222">
        <v>8123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3524</v>
      </c>
      <c r="C223" t="b">
        <v>1</v>
      </c>
      <c r="D223">
        <v>8048</v>
      </c>
      <c r="E223">
        <v>8123</v>
      </c>
      <c r="F223">
        <v>8</v>
      </c>
      <c r="G223">
        <v>8</v>
      </c>
      <c r="H223">
        <v>1</v>
      </c>
      <c r="I223">
        <v>0</v>
      </c>
      <c r="J223">
        <v>0.5</v>
      </c>
    </row>
    <row r="224" spans="1:10" x14ac:dyDescent="0.3">
      <c r="A224">
        <v>222</v>
      </c>
      <c r="B224">
        <v>3540</v>
      </c>
      <c r="C224" t="b">
        <v>1</v>
      </c>
      <c r="D224">
        <v>8048</v>
      </c>
      <c r="E224">
        <v>8123</v>
      </c>
      <c r="F224">
        <v>8</v>
      </c>
      <c r="G224">
        <v>8</v>
      </c>
      <c r="H224">
        <v>1</v>
      </c>
      <c r="I224">
        <v>0</v>
      </c>
      <c r="J224">
        <v>0.5</v>
      </c>
    </row>
    <row r="225" spans="1:10" x14ac:dyDescent="0.3">
      <c r="A225">
        <v>223</v>
      </c>
      <c r="B225">
        <v>3555</v>
      </c>
      <c r="C225" t="b">
        <v>1</v>
      </c>
      <c r="D225">
        <v>8048</v>
      </c>
      <c r="E225">
        <v>8123</v>
      </c>
      <c r="F225">
        <v>8</v>
      </c>
      <c r="G225">
        <v>8</v>
      </c>
      <c r="H225">
        <v>1</v>
      </c>
      <c r="I225">
        <v>0</v>
      </c>
      <c r="J225">
        <v>0.5</v>
      </c>
    </row>
    <row r="226" spans="1:10" x14ac:dyDescent="0.3">
      <c r="A226">
        <v>224</v>
      </c>
      <c r="B226">
        <v>3571</v>
      </c>
      <c r="C226" t="b">
        <v>1</v>
      </c>
      <c r="D226">
        <v>8048</v>
      </c>
      <c r="E226">
        <v>8123</v>
      </c>
      <c r="F226">
        <v>8</v>
      </c>
      <c r="G226">
        <v>8</v>
      </c>
      <c r="H226">
        <v>1</v>
      </c>
      <c r="I226">
        <v>0</v>
      </c>
      <c r="J226">
        <v>0.5</v>
      </c>
    </row>
    <row r="227" spans="1:10" x14ac:dyDescent="0.3">
      <c r="A227">
        <v>225</v>
      </c>
      <c r="B227">
        <v>3587</v>
      </c>
      <c r="C227" t="b">
        <v>1</v>
      </c>
      <c r="D227">
        <v>8048</v>
      </c>
      <c r="E227">
        <v>8123</v>
      </c>
      <c r="F227">
        <v>8</v>
      </c>
      <c r="G227">
        <v>8</v>
      </c>
      <c r="H227">
        <v>1</v>
      </c>
      <c r="I227">
        <v>0</v>
      </c>
      <c r="J227">
        <v>0.5</v>
      </c>
    </row>
    <row r="228" spans="1:10" x14ac:dyDescent="0.3">
      <c r="A228">
        <v>226</v>
      </c>
      <c r="B228">
        <v>3603</v>
      </c>
      <c r="C228" t="b">
        <v>1</v>
      </c>
      <c r="D228">
        <v>8048</v>
      </c>
      <c r="E228">
        <v>8123</v>
      </c>
      <c r="F228">
        <v>8</v>
      </c>
      <c r="G228">
        <v>8</v>
      </c>
      <c r="H228">
        <v>1</v>
      </c>
      <c r="I228">
        <v>0</v>
      </c>
      <c r="J228">
        <v>0.5</v>
      </c>
    </row>
    <row r="229" spans="1:10" x14ac:dyDescent="0.3">
      <c r="A229">
        <v>227</v>
      </c>
      <c r="B229">
        <v>3619</v>
      </c>
      <c r="C229" t="b">
        <v>1</v>
      </c>
      <c r="D229">
        <v>8048</v>
      </c>
      <c r="E229">
        <v>8123</v>
      </c>
      <c r="F229">
        <v>8</v>
      </c>
      <c r="G229">
        <v>8</v>
      </c>
      <c r="H229">
        <v>1</v>
      </c>
      <c r="I229">
        <v>0</v>
      </c>
      <c r="J229">
        <v>0.5</v>
      </c>
    </row>
    <row r="230" spans="1:10" x14ac:dyDescent="0.3">
      <c r="A230">
        <v>228</v>
      </c>
      <c r="B230">
        <v>3635</v>
      </c>
      <c r="C230" t="b">
        <v>1</v>
      </c>
      <c r="D230">
        <v>8048</v>
      </c>
      <c r="E230">
        <v>8117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3651</v>
      </c>
      <c r="C231" t="b">
        <v>1</v>
      </c>
      <c r="D231">
        <v>8048</v>
      </c>
      <c r="E231">
        <v>8117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3667</v>
      </c>
      <c r="C232" t="b">
        <v>1</v>
      </c>
      <c r="D232">
        <v>8048</v>
      </c>
      <c r="E232">
        <v>8117</v>
      </c>
      <c r="F232">
        <v>8</v>
      </c>
      <c r="G232">
        <v>7.6</v>
      </c>
      <c r="H232">
        <v>1.0526316</v>
      </c>
      <c r="I232">
        <v>-5.2631589999999999E-2</v>
      </c>
      <c r="J232">
        <v>0.48717946000000001</v>
      </c>
    </row>
    <row r="233" spans="1:10" x14ac:dyDescent="0.3">
      <c r="A233">
        <v>231</v>
      </c>
      <c r="B233">
        <v>3683</v>
      </c>
      <c r="C233" t="b">
        <v>1</v>
      </c>
      <c r="D233">
        <v>8048</v>
      </c>
      <c r="E233">
        <v>8117</v>
      </c>
      <c r="F233">
        <v>8</v>
      </c>
      <c r="G233">
        <v>7.2</v>
      </c>
      <c r="H233">
        <v>1.1111112000000001</v>
      </c>
      <c r="I233">
        <v>-0.11111114</v>
      </c>
      <c r="J233">
        <v>0.4736842</v>
      </c>
    </row>
    <row r="234" spans="1:10" x14ac:dyDescent="0.3">
      <c r="A234">
        <v>232</v>
      </c>
      <c r="B234">
        <v>3698</v>
      </c>
      <c r="C234" t="b">
        <v>1</v>
      </c>
      <c r="D234">
        <v>8048</v>
      </c>
      <c r="E234">
        <v>8117</v>
      </c>
      <c r="F234">
        <v>8</v>
      </c>
      <c r="G234">
        <v>6.8</v>
      </c>
      <c r="H234">
        <v>1.1764705</v>
      </c>
      <c r="I234">
        <v>-0.17647055</v>
      </c>
      <c r="J234">
        <v>0.45945944999999999</v>
      </c>
    </row>
    <row r="235" spans="1:10" x14ac:dyDescent="0.3">
      <c r="A235">
        <v>233</v>
      </c>
      <c r="B235">
        <v>3714</v>
      </c>
      <c r="C235" t="b">
        <v>1</v>
      </c>
      <c r="D235">
        <v>8048</v>
      </c>
      <c r="E235">
        <v>8117</v>
      </c>
      <c r="F235">
        <v>8</v>
      </c>
      <c r="G235">
        <v>6.4</v>
      </c>
      <c r="H235">
        <v>1.25</v>
      </c>
      <c r="I235">
        <v>-0.24999999000000001</v>
      </c>
      <c r="J235">
        <v>0.44444447999999998</v>
      </c>
    </row>
    <row r="236" spans="1:10" x14ac:dyDescent="0.3">
      <c r="A236">
        <v>234</v>
      </c>
      <c r="B236">
        <v>3730</v>
      </c>
      <c r="C236" t="b">
        <v>1</v>
      </c>
      <c r="D236">
        <v>8048</v>
      </c>
      <c r="E236">
        <v>8129</v>
      </c>
      <c r="F236">
        <v>8</v>
      </c>
      <c r="G236">
        <v>6</v>
      </c>
      <c r="H236">
        <v>1.3333333999999999</v>
      </c>
      <c r="I236">
        <v>-0.33333333999999998</v>
      </c>
      <c r="J236">
        <v>0.42857142999999998</v>
      </c>
    </row>
    <row r="237" spans="1:10" x14ac:dyDescent="0.3">
      <c r="A237">
        <v>235</v>
      </c>
      <c r="B237">
        <v>3746</v>
      </c>
      <c r="C237" t="b">
        <v>1</v>
      </c>
      <c r="D237">
        <v>8048</v>
      </c>
      <c r="E237">
        <v>8123</v>
      </c>
      <c r="F237">
        <v>8</v>
      </c>
      <c r="G237">
        <v>5.6</v>
      </c>
      <c r="H237">
        <v>1.4285715000000001</v>
      </c>
      <c r="I237">
        <v>-0.42857146000000002</v>
      </c>
      <c r="J237">
        <v>0.41176467999999999</v>
      </c>
    </row>
    <row r="238" spans="1:10" x14ac:dyDescent="0.3">
      <c r="A238">
        <v>236</v>
      </c>
      <c r="B238">
        <v>3761</v>
      </c>
      <c r="C238" t="b">
        <v>1</v>
      </c>
      <c r="D238">
        <v>8048</v>
      </c>
      <c r="E238">
        <v>8123</v>
      </c>
      <c r="F238">
        <v>8</v>
      </c>
      <c r="G238">
        <v>5.6</v>
      </c>
      <c r="H238">
        <v>1.4285715000000001</v>
      </c>
      <c r="I238">
        <v>-0.42857146000000002</v>
      </c>
      <c r="J238">
        <v>0.41176467999999999</v>
      </c>
    </row>
    <row r="239" spans="1:10" x14ac:dyDescent="0.3">
      <c r="A239">
        <v>237</v>
      </c>
      <c r="B239">
        <v>3777</v>
      </c>
      <c r="C239" t="b">
        <v>1</v>
      </c>
      <c r="D239">
        <v>8048</v>
      </c>
      <c r="E239">
        <v>8123</v>
      </c>
      <c r="F239">
        <v>8</v>
      </c>
      <c r="G239">
        <v>5.6</v>
      </c>
      <c r="H239">
        <v>1.4285715000000001</v>
      </c>
      <c r="I239">
        <v>-0.42857146000000002</v>
      </c>
      <c r="J239">
        <v>0.41176467999999999</v>
      </c>
    </row>
    <row r="240" spans="1:10" x14ac:dyDescent="0.3">
      <c r="A240">
        <v>238</v>
      </c>
      <c r="B240">
        <v>3793</v>
      </c>
      <c r="C240" t="b">
        <v>1</v>
      </c>
      <c r="D240">
        <v>8048</v>
      </c>
      <c r="E240">
        <v>8123</v>
      </c>
      <c r="F240">
        <v>8</v>
      </c>
      <c r="G240">
        <v>5.6</v>
      </c>
      <c r="H240">
        <v>1.4285715000000001</v>
      </c>
      <c r="I240">
        <v>-0.42857146000000002</v>
      </c>
      <c r="J240">
        <v>0.41176467999999999</v>
      </c>
    </row>
    <row r="241" spans="1:10" x14ac:dyDescent="0.3">
      <c r="A241">
        <v>239</v>
      </c>
      <c r="B241">
        <v>3809</v>
      </c>
      <c r="C241" t="b">
        <v>1</v>
      </c>
      <c r="D241">
        <v>8048</v>
      </c>
      <c r="E241">
        <v>8123</v>
      </c>
      <c r="F241">
        <v>8</v>
      </c>
      <c r="G241">
        <v>5.6</v>
      </c>
      <c r="H241">
        <v>1.4285715000000001</v>
      </c>
      <c r="I241">
        <v>-0.42857146000000002</v>
      </c>
      <c r="J241">
        <v>0.41176467999999999</v>
      </c>
    </row>
    <row r="242" spans="1:10" x14ac:dyDescent="0.3">
      <c r="A242">
        <v>240</v>
      </c>
      <c r="B242">
        <v>3825</v>
      </c>
      <c r="C242" t="b">
        <v>1</v>
      </c>
      <c r="D242">
        <v>8048</v>
      </c>
      <c r="E242">
        <v>8123</v>
      </c>
      <c r="F242">
        <v>8</v>
      </c>
      <c r="G242">
        <v>5.6</v>
      </c>
      <c r="H242">
        <v>1.4285715000000001</v>
      </c>
      <c r="I242">
        <v>-0.42857146000000002</v>
      </c>
      <c r="J242">
        <v>0.41176467999999999</v>
      </c>
    </row>
    <row r="243" spans="1:10" x14ac:dyDescent="0.3">
      <c r="A243">
        <v>241</v>
      </c>
      <c r="B243">
        <v>3841</v>
      </c>
      <c r="C243" t="b">
        <v>1</v>
      </c>
      <c r="D243">
        <v>8054</v>
      </c>
      <c r="E243">
        <v>8117</v>
      </c>
      <c r="F243">
        <v>8</v>
      </c>
      <c r="G243">
        <v>5.6</v>
      </c>
      <c r="H243">
        <v>1.4285715000000001</v>
      </c>
      <c r="I243">
        <v>-0.42857146000000002</v>
      </c>
      <c r="J243">
        <v>0.41176467999999999</v>
      </c>
    </row>
    <row r="244" spans="1:10" x14ac:dyDescent="0.3">
      <c r="A244">
        <v>242</v>
      </c>
      <c r="B244">
        <v>3857</v>
      </c>
      <c r="C244" t="b">
        <v>1</v>
      </c>
      <c r="D244">
        <v>8048</v>
      </c>
      <c r="E244">
        <v>8123</v>
      </c>
      <c r="F244">
        <v>8</v>
      </c>
      <c r="G244">
        <v>5.6</v>
      </c>
      <c r="H244">
        <v>1.4285715000000001</v>
      </c>
      <c r="I244">
        <v>-0.42857146000000002</v>
      </c>
      <c r="J244">
        <v>0.41176467999999999</v>
      </c>
    </row>
    <row r="245" spans="1:10" x14ac:dyDescent="0.3">
      <c r="A245">
        <v>243</v>
      </c>
      <c r="B245">
        <v>3873</v>
      </c>
      <c r="C245" t="b">
        <v>1</v>
      </c>
      <c r="D245">
        <v>8048</v>
      </c>
      <c r="E245">
        <v>8129</v>
      </c>
      <c r="F245">
        <v>8</v>
      </c>
      <c r="G245">
        <v>5.6</v>
      </c>
      <c r="H245">
        <v>1.4285715000000001</v>
      </c>
      <c r="I245">
        <v>-0.42857146000000002</v>
      </c>
      <c r="J245">
        <v>0.41176467999999999</v>
      </c>
    </row>
    <row r="246" spans="1:10" x14ac:dyDescent="0.3">
      <c r="A246">
        <v>244</v>
      </c>
      <c r="B246">
        <v>3889</v>
      </c>
      <c r="C246" t="b">
        <v>1</v>
      </c>
      <c r="D246">
        <v>8048</v>
      </c>
      <c r="E246">
        <v>8129</v>
      </c>
      <c r="F246">
        <v>8</v>
      </c>
      <c r="G246">
        <v>5.6</v>
      </c>
      <c r="H246">
        <v>1.4285715000000001</v>
      </c>
      <c r="I246">
        <v>-0.42857146000000002</v>
      </c>
      <c r="J246">
        <v>0.41176467999999999</v>
      </c>
    </row>
    <row r="247" spans="1:10" x14ac:dyDescent="0.3">
      <c r="A247">
        <v>245</v>
      </c>
      <c r="B247">
        <v>3905</v>
      </c>
      <c r="C247" t="b">
        <v>1</v>
      </c>
      <c r="D247">
        <v>8042</v>
      </c>
      <c r="E247">
        <v>8123</v>
      </c>
      <c r="F247">
        <v>8</v>
      </c>
      <c r="G247">
        <v>6</v>
      </c>
      <c r="H247">
        <v>1.3333333999999999</v>
      </c>
      <c r="I247">
        <v>-0.33333333999999998</v>
      </c>
      <c r="J247">
        <v>0.42857142999999998</v>
      </c>
    </row>
    <row r="248" spans="1:10" x14ac:dyDescent="0.3">
      <c r="A248">
        <v>246</v>
      </c>
      <c r="B248">
        <v>3921</v>
      </c>
      <c r="C248" t="b">
        <v>1</v>
      </c>
      <c r="D248">
        <v>8042</v>
      </c>
      <c r="E248">
        <v>8117</v>
      </c>
      <c r="F248">
        <v>8</v>
      </c>
      <c r="G248">
        <v>6.4</v>
      </c>
      <c r="H248">
        <v>1.25</v>
      </c>
      <c r="I248">
        <v>-0.24999999000000001</v>
      </c>
      <c r="J248">
        <v>0.44444447999999998</v>
      </c>
    </row>
    <row r="249" spans="1:10" x14ac:dyDescent="0.3">
      <c r="A249">
        <v>247</v>
      </c>
      <c r="B249">
        <v>3937</v>
      </c>
      <c r="C249" t="b">
        <v>1</v>
      </c>
      <c r="D249">
        <v>8054</v>
      </c>
      <c r="E249">
        <v>8123</v>
      </c>
      <c r="F249">
        <v>8</v>
      </c>
      <c r="G249">
        <v>6.8</v>
      </c>
      <c r="H249">
        <v>1.1764705</v>
      </c>
      <c r="I249">
        <v>-0.17647055</v>
      </c>
      <c r="J249">
        <v>0.45945944999999999</v>
      </c>
    </row>
    <row r="250" spans="1:10" x14ac:dyDescent="0.3">
      <c r="A250">
        <v>248</v>
      </c>
      <c r="B250">
        <v>3953</v>
      </c>
      <c r="C250" t="b">
        <v>1</v>
      </c>
      <c r="D250">
        <v>8048</v>
      </c>
      <c r="E250">
        <v>8123</v>
      </c>
      <c r="F250">
        <v>8</v>
      </c>
      <c r="G250">
        <v>7.2</v>
      </c>
      <c r="H250">
        <v>1.1111112000000001</v>
      </c>
      <c r="I250">
        <v>-0.11111114</v>
      </c>
      <c r="J250">
        <v>0.4736842</v>
      </c>
    </row>
    <row r="251" spans="1:10" x14ac:dyDescent="0.3">
      <c r="A251">
        <v>249</v>
      </c>
      <c r="B251">
        <v>3969</v>
      </c>
      <c r="C251" t="b">
        <v>1</v>
      </c>
      <c r="D251">
        <v>8048</v>
      </c>
      <c r="E251">
        <v>8123</v>
      </c>
      <c r="F251">
        <v>8</v>
      </c>
      <c r="G251">
        <v>7.6</v>
      </c>
      <c r="H251">
        <v>1.0526316</v>
      </c>
      <c r="I251">
        <v>-5.2631589999999999E-2</v>
      </c>
      <c r="J251">
        <v>0.48717946000000001</v>
      </c>
    </row>
    <row r="252" spans="1:10" x14ac:dyDescent="0.3">
      <c r="A252">
        <v>250</v>
      </c>
      <c r="B252">
        <v>3985</v>
      </c>
      <c r="C252" t="b">
        <v>1</v>
      </c>
      <c r="D252">
        <v>8054</v>
      </c>
      <c r="E252">
        <v>8123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4001</v>
      </c>
      <c r="C253" t="b">
        <v>1</v>
      </c>
      <c r="D253">
        <v>8048</v>
      </c>
      <c r="E253">
        <v>8123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4017</v>
      </c>
      <c r="C254" t="b">
        <v>1</v>
      </c>
      <c r="D254">
        <v>8042</v>
      </c>
      <c r="E254">
        <v>8123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4033</v>
      </c>
      <c r="C255" t="b">
        <v>1</v>
      </c>
      <c r="D255">
        <v>8048</v>
      </c>
      <c r="E255">
        <v>8123</v>
      </c>
      <c r="F255">
        <v>8</v>
      </c>
      <c r="G255">
        <v>8</v>
      </c>
      <c r="H255">
        <v>1</v>
      </c>
      <c r="I255">
        <v>0</v>
      </c>
      <c r="J255">
        <v>0.5</v>
      </c>
    </row>
    <row r="256" spans="1:10" x14ac:dyDescent="0.3">
      <c r="A256">
        <v>254</v>
      </c>
      <c r="B256">
        <v>4048</v>
      </c>
      <c r="C256" t="b">
        <v>1</v>
      </c>
      <c r="D256">
        <v>8048</v>
      </c>
      <c r="E256">
        <v>8117</v>
      </c>
      <c r="F256">
        <v>8</v>
      </c>
      <c r="G256">
        <v>8</v>
      </c>
      <c r="H256">
        <v>1</v>
      </c>
      <c r="I256">
        <v>0</v>
      </c>
      <c r="J256">
        <v>0.5</v>
      </c>
    </row>
    <row r="257" spans="1:10" x14ac:dyDescent="0.3">
      <c r="A257">
        <v>255</v>
      </c>
      <c r="B257">
        <v>4064</v>
      </c>
      <c r="C257" t="b">
        <v>1</v>
      </c>
      <c r="D257">
        <v>8042</v>
      </c>
      <c r="E257">
        <v>8129</v>
      </c>
      <c r="F257">
        <v>8</v>
      </c>
      <c r="G257">
        <v>8</v>
      </c>
      <c r="H257">
        <v>1</v>
      </c>
      <c r="I257">
        <v>0</v>
      </c>
      <c r="J257">
        <v>0.5</v>
      </c>
    </row>
    <row r="258" spans="1:10" x14ac:dyDescent="0.3">
      <c r="A258">
        <v>256</v>
      </c>
      <c r="B258">
        <v>4080</v>
      </c>
      <c r="C258" t="b">
        <v>1</v>
      </c>
      <c r="D258">
        <v>8042</v>
      </c>
      <c r="E258">
        <v>8123</v>
      </c>
      <c r="F258">
        <v>7.6</v>
      </c>
      <c r="G258">
        <v>8</v>
      </c>
      <c r="H258">
        <v>0.95</v>
      </c>
      <c r="I258">
        <v>5.0000012000000003E-2</v>
      </c>
      <c r="J258">
        <v>0.51282050000000001</v>
      </c>
    </row>
    <row r="259" spans="1:10" x14ac:dyDescent="0.3">
      <c r="A259">
        <v>257</v>
      </c>
      <c r="B259">
        <v>4096</v>
      </c>
      <c r="C259" t="b">
        <v>1</v>
      </c>
      <c r="D259">
        <v>8042</v>
      </c>
      <c r="E259">
        <v>8129</v>
      </c>
      <c r="F259">
        <v>7.2</v>
      </c>
      <c r="G259">
        <v>8</v>
      </c>
      <c r="H259">
        <v>0.9</v>
      </c>
      <c r="I259">
        <v>0.10000002400000001</v>
      </c>
      <c r="J259">
        <v>0.5263158</v>
      </c>
    </row>
    <row r="260" spans="1:10" x14ac:dyDescent="0.3">
      <c r="A260">
        <v>258</v>
      </c>
      <c r="B260">
        <v>4112</v>
      </c>
      <c r="C260" t="b">
        <v>1</v>
      </c>
      <c r="D260">
        <v>8042</v>
      </c>
      <c r="E260">
        <v>8123</v>
      </c>
      <c r="F260">
        <v>6.8</v>
      </c>
      <c r="G260">
        <v>8</v>
      </c>
      <c r="H260">
        <v>0.85</v>
      </c>
      <c r="I260">
        <v>0.14999998</v>
      </c>
      <c r="J260">
        <v>0.54054049999999998</v>
      </c>
    </row>
    <row r="261" spans="1:10" x14ac:dyDescent="0.3">
      <c r="A261">
        <v>259</v>
      </c>
      <c r="B261">
        <v>4128</v>
      </c>
      <c r="C261" t="b">
        <v>1</v>
      </c>
      <c r="D261">
        <v>8042</v>
      </c>
      <c r="E261">
        <v>8117</v>
      </c>
      <c r="F261">
        <v>6.4</v>
      </c>
      <c r="G261">
        <v>8</v>
      </c>
      <c r="H261">
        <v>0.8</v>
      </c>
      <c r="I261">
        <v>0.19999998999999999</v>
      </c>
      <c r="J261">
        <v>0.55555560000000004</v>
      </c>
    </row>
    <row r="262" spans="1:10" x14ac:dyDescent="0.3">
      <c r="A262">
        <v>260</v>
      </c>
      <c r="B262">
        <v>4143</v>
      </c>
      <c r="C262" t="b">
        <v>1</v>
      </c>
      <c r="D262">
        <v>8042</v>
      </c>
      <c r="E262">
        <v>8129</v>
      </c>
      <c r="F262">
        <v>6</v>
      </c>
      <c r="G262">
        <v>8</v>
      </c>
      <c r="H262">
        <v>0.75</v>
      </c>
      <c r="I262">
        <v>0.25</v>
      </c>
      <c r="J262">
        <v>0.57142859999999995</v>
      </c>
    </row>
    <row r="263" spans="1:10" x14ac:dyDescent="0.3">
      <c r="A263">
        <v>261</v>
      </c>
      <c r="B263">
        <v>4159</v>
      </c>
      <c r="C263" t="b">
        <v>1</v>
      </c>
      <c r="D263">
        <v>8042</v>
      </c>
      <c r="E263">
        <v>8123</v>
      </c>
      <c r="F263">
        <v>5.6</v>
      </c>
      <c r="G263">
        <v>8</v>
      </c>
      <c r="H263">
        <v>0.7</v>
      </c>
      <c r="I263">
        <v>0.3</v>
      </c>
      <c r="J263">
        <v>0.58823526000000004</v>
      </c>
    </row>
    <row r="264" spans="1:10" x14ac:dyDescent="0.3">
      <c r="A264">
        <v>262</v>
      </c>
      <c r="B264">
        <v>4175</v>
      </c>
      <c r="C264" t="b">
        <v>1</v>
      </c>
      <c r="D264">
        <v>8048</v>
      </c>
      <c r="E264">
        <v>8123</v>
      </c>
      <c r="F264">
        <v>5.2</v>
      </c>
      <c r="G264">
        <v>8</v>
      </c>
      <c r="H264">
        <v>0.65</v>
      </c>
      <c r="I264">
        <v>0.35000002000000002</v>
      </c>
      <c r="J264">
        <v>0.60606059999999995</v>
      </c>
    </row>
    <row r="265" spans="1:10" x14ac:dyDescent="0.3">
      <c r="A265">
        <v>263</v>
      </c>
      <c r="B265">
        <v>4191</v>
      </c>
      <c r="C265" t="b">
        <v>1</v>
      </c>
      <c r="D265">
        <v>8048</v>
      </c>
      <c r="E265">
        <v>8123</v>
      </c>
      <c r="F265">
        <v>4.8</v>
      </c>
      <c r="G265">
        <v>8</v>
      </c>
      <c r="H265">
        <v>0.6</v>
      </c>
      <c r="I265">
        <v>0.39999997999999998</v>
      </c>
      <c r="J265">
        <v>0.625</v>
      </c>
    </row>
    <row r="266" spans="1:10" x14ac:dyDescent="0.3">
      <c r="A266">
        <v>264</v>
      </c>
      <c r="B266">
        <v>4206</v>
      </c>
      <c r="C266" t="b">
        <v>1</v>
      </c>
      <c r="D266">
        <v>8048</v>
      </c>
      <c r="E266">
        <v>8123</v>
      </c>
      <c r="F266">
        <v>4.8</v>
      </c>
      <c r="G266">
        <v>8</v>
      </c>
      <c r="H266">
        <v>0.6</v>
      </c>
      <c r="I266">
        <v>0.39999997999999998</v>
      </c>
      <c r="J266">
        <v>0.625</v>
      </c>
    </row>
    <row r="267" spans="1:10" x14ac:dyDescent="0.3">
      <c r="A267">
        <v>265</v>
      </c>
      <c r="B267">
        <v>4222</v>
      </c>
      <c r="C267" t="b">
        <v>1</v>
      </c>
      <c r="D267">
        <v>8048</v>
      </c>
      <c r="E267">
        <v>8123</v>
      </c>
      <c r="F267">
        <v>4.8</v>
      </c>
      <c r="G267">
        <v>8</v>
      </c>
      <c r="H267">
        <v>0.6</v>
      </c>
      <c r="I267">
        <v>0.39999997999999998</v>
      </c>
      <c r="J267">
        <v>0.625</v>
      </c>
    </row>
    <row r="268" spans="1:10" x14ac:dyDescent="0.3">
      <c r="A268">
        <v>266</v>
      </c>
      <c r="B268">
        <v>4238</v>
      </c>
      <c r="C268" t="b">
        <v>1</v>
      </c>
      <c r="D268">
        <v>8048</v>
      </c>
      <c r="E268">
        <v>8123</v>
      </c>
      <c r="F268">
        <v>4.8</v>
      </c>
      <c r="G268">
        <v>8</v>
      </c>
      <c r="H268">
        <v>0.6</v>
      </c>
      <c r="I268">
        <v>0.39999997999999998</v>
      </c>
      <c r="J268">
        <v>0.625</v>
      </c>
    </row>
    <row r="269" spans="1:10" x14ac:dyDescent="0.3">
      <c r="A269">
        <v>267</v>
      </c>
      <c r="B269">
        <v>4254</v>
      </c>
      <c r="C269" t="b">
        <v>1</v>
      </c>
      <c r="D269">
        <v>8054</v>
      </c>
      <c r="E269">
        <v>8123</v>
      </c>
      <c r="F269">
        <v>4.8</v>
      </c>
      <c r="G269">
        <v>8</v>
      </c>
      <c r="H269">
        <v>0.6</v>
      </c>
      <c r="I269">
        <v>0.39999997999999998</v>
      </c>
      <c r="J269">
        <v>0.625</v>
      </c>
    </row>
    <row r="270" spans="1:10" x14ac:dyDescent="0.3">
      <c r="A270">
        <v>268</v>
      </c>
      <c r="B270">
        <v>4270</v>
      </c>
      <c r="C270" t="b">
        <v>1</v>
      </c>
      <c r="D270">
        <v>8042</v>
      </c>
      <c r="E270">
        <v>8123</v>
      </c>
      <c r="F270">
        <v>4.8</v>
      </c>
      <c r="G270">
        <v>8</v>
      </c>
      <c r="H270">
        <v>0.6</v>
      </c>
      <c r="I270">
        <v>0.39999997999999998</v>
      </c>
      <c r="J270">
        <v>0.625</v>
      </c>
    </row>
    <row r="271" spans="1:10" x14ac:dyDescent="0.3">
      <c r="A271">
        <v>269</v>
      </c>
      <c r="B271">
        <v>4286</v>
      </c>
      <c r="C271" t="b">
        <v>1</v>
      </c>
      <c r="D271">
        <v>8042</v>
      </c>
      <c r="E271">
        <v>8123</v>
      </c>
      <c r="F271">
        <v>4.8</v>
      </c>
      <c r="G271">
        <v>8</v>
      </c>
      <c r="H271">
        <v>0.6</v>
      </c>
      <c r="I271">
        <v>0.39999997999999998</v>
      </c>
      <c r="J271">
        <v>0.625</v>
      </c>
    </row>
    <row r="272" spans="1:10" x14ac:dyDescent="0.3">
      <c r="A272">
        <v>270</v>
      </c>
      <c r="B272">
        <v>4302</v>
      </c>
      <c r="C272" t="b">
        <v>1</v>
      </c>
      <c r="D272">
        <v>8042</v>
      </c>
      <c r="E272">
        <v>8123</v>
      </c>
      <c r="F272">
        <v>4.4000000000000004</v>
      </c>
      <c r="G272">
        <v>8</v>
      </c>
      <c r="H272">
        <v>0.55000000000000004</v>
      </c>
      <c r="I272">
        <v>0.45</v>
      </c>
      <c r="J272">
        <v>0.64516132999999998</v>
      </c>
    </row>
    <row r="273" spans="1:10" x14ac:dyDescent="0.3">
      <c r="A273">
        <v>271</v>
      </c>
      <c r="B273">
        <v>4318</v>
      </c>
      <c r="C273" t="b">
        <v>1</v>
      </c>
      <c r="D273">
        <v>8042</v>
      </c>
      <c r="E273">
        <v>8123</v>
      </c>
      <c r="F273">
        <v>4.4000000000000004</v>
      </c>
      <c r="G273">
        <v>8</v>
      </c>
      <c r="H273">
        <v>0.55000000000000004</v>
      </c>
      <c r="I273">
        <v>0.45</v>
      </c>
      <c r="J273">
        <v>0.64516132999999998</v>
      </c>
    </row>
    <row r="274" spans="1:10" x14ac:dyDescent="0.3">
      <c r="A274">
        <v>272</v>
      </c>
      <c r="B274">
        <v>4334</v>
      </c>
      <c r="C274" t="b">
        <v>1</v>
      </c>
      <c r="D274">
        <v>8042</v>
      </c>
      <c r="E274">
        <v>8123</v>
      </c>
      <c r="F274">
        <v>4.4000000000000004</v>
      </c>
      <c r="G274">
        <v>8</v>
      </c>
      <c r="H274">
        <v>0.55000000000000004</v>
      </c>
      <c r="I274">
        <v>0.45</v>
      </c>
      <c r="J274">
        <v>0.64516132999999998</v>
      </c>
    </row>
    <row r="275" spans="1:10" x14ac:dyDescent="0.3">
      <c r="A275">
        <v>273</v>
      </c>
      <c r="B275">
        <v>4350</v>
      </c>
      <c r="C275" t="b">
        <v>1</v>
      </c>
      <c r="D275">
        <v>8048</v>
      </c>
      <c r="E275">
        <v>8123</v>
      </c>
      <c r="F275">
        <v>4.4000000000000004</v>
      </c>
      <c r="G275">
        <v>8</v>
      </c>
      <c r="H275">
        <v>0.55000000000000004</v>
      </c>
      <c r="I275">
        <v>0.45</v>
      </c>
      <c r="J275">
        <v>0.64516132999999998</v>
      </c>
    </row>
    <row r="276" spans="1:10" x14ac:dyDescent="0.3">
      <c r="A276">
        <v>274</v>
      </c>
      <c r="B276">
        <v>4366</v>
      </c>
      <c r="C276" t="b">
        <v>1</v>
      </c>
      <c r="D276">
        <v>8042</v>
      </c>
      <c r="E276">
        <v>8123</v>
      </c>
      <c r="F276">
        <v>4.4000000000000004</v>
      </c>
      <c r="G276">
        <v>8</v>
      </c>
      <c r="H276">
        <v>0.55000000000000004</v>
      </c>
      <c r="I276">
        <v>0.45</v>
      </c>
      <c r="J276">
        <v>0.64516132999999998</v>
      </c>
    </row>
    <row r="277" spans="1:10" x14ac:dyDescent="0.3">
      <c r="A277">
        <v>275</v>
      </c>
      <c r="B277">
        <v>4382</v>
      </c>
      <c r="C277" t="b">
        <v>1</v>
      </c>
      <c r="D277">
        <v>8042</v>
      </c>
      <c r="E277">
        <v>8123</v>
      </c>
      <c r="F277">
        <v>4.4000000000000004</v>
      </c>
      <c r="G277">
        <v>8</v>
      </c>
      <c r="H277">
        <v>0.55000000000000004</v>
      </c>
      <c r="I277">
        <v>0.45</v>
      </c>
      <c r="J277">
        <v>0.64516132999999998</v>
      </c>
    </row>
    <row r="278" spans="1:10" x14ac:dyDescent="0.3">
      <c r="A278">
        <v>276</v>
      </c>
      <c r="B278">
        <v>4397</v>
      </c>
      <c r="C278" t="b">
        <v>1</v>
      </c>
      <c r="D278">
        <v>8042</v>
      </c>
      <c r="E278">
        <v>8123</v>
      </c>
      <c r="F278">
        <v>4.4000000000000004</v>
      </c>
      <c r="G278">
        <v>8</v>
      </c>
      <c r="H278">
        <v>0.55000000000000004</v>
      </c>
      <c r="I278">
        <v>0.45</v>
      </c>
      <c r="J278">
        <v>0.64516132999999998</v>
      </c>
    </row>
    <row r="279" spans="1:10" x14ac:dyDescent="0.3">
      <c r="A279">
        <v>277</v>
      </c>
      <c r="B279">
        <v>4413</v>
      </c>
      <c r="C279" t="b">
        <v>1</v>
      </c>
      <c r="D279">
        <v>8042</v>
      </c>
      <c r="E279">
        <v>8123</v>
      </c>
      <c r="F279">
        <v>4.4000000000000004</v>
      </c>
      <c r="G279">
        <v>8</v>
      </c>
      <c r="H279">
        <v>0.55000000000000004</v>
      </c>
      <c r="I279">
        <v>0.45</v>
      </c>
      <c r="J279">
        <v>0.64516132999999998</v>
      </c>
    </row>
    <row r="280" spans="1:10" x14ac:dyDescent="0.3">
      <c r="A280">
        <v>278</v>
      </c>
      <c r="B280">
        <v>4429</v>
      </c>
      <c r="C280" t="b">
        <v>1</v>
      </c>
      <c r="D280">
        <v>8042</v>
      </c>
      <c r="E280">
        <v>8123</v>
      </c>
      <c r="F280">
        <v>4.4000000000000004</v>
      </c>
      <c r="G280">
        <v>8</v>
      </c>
      <c r="H280">
        <v>0.55000000000000004</v>
      </c>
      <c r="I280">
        <v>0.45</v>
      </c>
      <c r="J280">
        <v>0.64516132999999998</v>
      </c>
    </row>
    <row r="281" spans="1:10" x14ac:dyDescent="0.3">
      <c r="A281">
        <v>279</v>
      </c>
      <c r="B281">
        <v>4445</v>
      </c>
      <c r="C281" t="b">
        <v>1</v>
      </c>
      <c r="D281">
        <v>8042</v>
      </c>
      <c r="E281">
        <v>8123</v>
      </c>
      <c r="F281">
        <v>4</v>
      </c>
      <c r="G281">
        <v>8</v>
      </c>
      <c r="H281">
        <v>0.5</v>
      </c>
      <c r="I281">
        <v>0.5</v>
      </c>
      <c r="J281">
        <v>0.66666669999999995</v>
      </c>
    </row>
    <row r="282" spans="1:10" x14ac:dyDescent="0.3">
      <c r="A282">
        <v>280</v>
      </c>
      <c r="B282">
        <v>4461</v>
      </c>
      <c r="C282" t="b">
        <v>1</v>
      </c>
      <c r="D282">
        <v>8042</v>
      </c>
      <c r="E282">
        <v>8129</v>
      </c>
      <c r="F282">
        <v>3.6</v>
      </c>
      <c r="G282">
        <v>8</v>
      </c>
      <c r="H282">
        <v>0.45</v>
      </c>
      <c r="I282">
        <v>0.55000000000000004</v>
      </c>
      <c r="J282">
        <v>0.68965509999999997</v>
      </c>
    </row>
    <row r="283" spans="1:10" x14ac:dyDescent="0.3">
      <c r="A283">
        <v>281</v>
      </c>
      <c r="B283">
        <v>4476</v>
      </c>
      <c r="C283" t="b">
        <v>1</v>
      </c>
      <c r="D283">
        <v>8042</v>
      </c>
      <c r="E283">
        <v>8123</v>
      </c>
      <c r="F283">
        <v>3.2</v>
      </c>
      <c r="G283">
        <v>8</v>
      </c>
      <c r="H283">
        <v>0.4</v>
      </c>
      <c r="I283">
        <v>0.6</v>
      </c>
      <c r="J283">
        <v>0.71428572999999995</v>
      </c>
    </row>
    <row r="284" spans="1:10" x14ac:dyDescent="0.3">
      <c r="A284">
        <v>282</v>
      </c>
      <c r="B284">
        <v>4492</v>
      </c>
      <c r="C284" t="b">
        <v>1</v>
      </c>
      <c r="D284">
        <v>8042</v>
      </c>
      <c r="E284">
        <v>8123</v>
      </c>
      <c r="F284">
        <v>2.8</v>
      </c>
      <c r="G284">
        <v>8</v>
      </c>
      <c r="H284">
        <v>0.35</v>
      </c>
      <c r="I284">
        <v>0.65</v>
      </c>
      <c r="J284">
        <v>0.74074070000000003</v>
      </c>
    </row>
    <row r="285" spans="1:10" x14ac:dyDescent="0.3">
      <c r="A285">
        <v>283</v>
      </c>
      <c r="B285">
        <v>4508</v>
      </c>
      <c r="C285" t="b">
        <v>1</v>
      </c>
      <c r="D285">
        <v>8042</v>
      </c>
      <c r="E285">
        <v>8123</v>
      </c>
      <c r="F285">
        <v>2.4</v>
      </c>
      <c r="G285">
        <v>8</v>
      </c>
      <c r="H285">
        <v>0.3</v>
      </c>
      <c r="I285">
        <v>0.7</v>
      </c>
      <c r="J285">
        <v>0.76923079999999999</v>
      </c>
    </row>
    <row r="286" spans="1:10" x14ac:dyDescent="0.3">
      <c r="A286">
        <v>284</v>
      </c>
      <c r="B286">
        <v>4524</v>
      </c>
      <c r="C286" t="b">
        <v>1</v>
      </c>
      <c r="D286">
        <v>8042</v>
      </c>
      <c r="E286">
        <v>8123</v>
      </c>
      <c r="F286">
        <v>2</v>
      </c>
      <c r="G286">
        <v>8</v>
      </c>
      <c r="H286">
        <v>0.25</v>
      </c>
      <c r="I286">
        <v>0.75</v>
      </c>
      <c r="J286">
        <v>0.8</v>
      </c>
    </row>
    <row r="287" spans="1:10" x14ac:dyDescent="0.3">
      <c r="A287">
        <v>285</v>
      </c>
      <c r="B287">
        <v>4540</v>
      </c>
      <c r="C287" t="b">
        <v>1</v>
      </c>
      <c r="D287">
        <v>8037</v>
      </c>
      <c r="E287">
        <v>8117</v>
      </c>
      <c r="F287">
        <v>2</v>
      </c>
      <c r="G287">
        <v>8</v>
      </c>
      <c r="H287">
        <v>0.25</v>
      </c>
      <c r="I287">
        <v>0.75</v>
      </c>
      <c r="J287">
        <v>0.8</v>
      </c>
    </row>
    <row r="288" spans="1:10" x14ac:dyDescent="0.3">
      <c r="A288">
        <v>286</v>
      </c>
      <c r="B288">
        <v>4555</v>
      </c>
      <c r="C288" t="b">
        <v>1</v>
      </c>
      <c r="D288">
        <v>8042</v>
      </c>
      <c r="E288">
        <v>8117</v>
      </c>
      <c r="F288">
        <v>2</v>
      </c>
      <c r="G288">
        <v>8</v>
      </c>
      <c r="H288">
        <v>0.25</v>
      </c>
      <c r="I288">
        <v>0.75</v>
      </c>
      <c r="J288">
        <v>0.8</v>
      </c>
    </row>
    <row r="289" spans="1:10" x14ac:dyDescent="0.3">
      <c r="A289">
        <v>287</v>
      </c>
      <c r="B289">
        <v>4571</v>
      </c>
      <c r="C289" t="b">
        <v>1</v>
      </c>
      <c r="D289">
        <v>8048</v>
      </c>
      <c r="E289">
        <v>8117</v>
      </c>
      <c r="F289">
        <v>2</v>
      </c>
      <c r="G289">
        <v>7.6</v>
      </c>
      <c r="H289">
        <v>0.2631579</v>
      </c>
      <c r="I289">
        <v>0.73684210000000006</v>
      </c>
      <c r="J289">
        <v>0.7916666</v>
      </c>
    </row>
    <row r="290" spans="1:10" x14ac:dyDescent="0.3">
      <c r="A290">
        <v>288</v>
      </c>
      <c r="B290">
        <v>4587</v>
      </c>
      <c r="C290" t="b">
        <v>1</v>
      </c>
      <c r="D290">
        <v>8048</v>
      </c>
      <c r="E290">
        <v>8117</v>
      </c>
      <c r="F290">
        <v>2</v>
      </c>
      <c r="G290">
        <v>7.2</v>
      </c>
      <c r="H290">
        <v>0.27777780000000002</v>
      </c>
      <c r="I290">
        <v>0.72222220000000004</v>
      </c>
      <c r="J290">
        <v>0.78260870000000005</v>
      </c>
    </row>
    <row r="291" spans="1:10" x14ac:dyDescent="0.3">
      <c r="A291">
        <v>289</v>
      </c>
      <c r="B291">
        <v>4603</v>
      </c>
      <c r="C291" t="b">
        <v>1</v>
      </c>
      <c r="D291">
        <v>8048</v>
      </c>
      <c r="E291">
        <v>8117</v>
      </c>
      <c r="F291">
        <v>2.4</v>
      </c>
      <c r="G291">
        <v>6.8</v>
      </c>
      <c r="H291">
        <v>0.35294120000000001</v>
      </c>
      <c r="I291">
        <v>0.64705884000000002</v>
      </c>
      <c r="J291">
        <v>0.73913039999999997</v>
      </c>
    </row>
    <row r="292" spans="1:10" x14ac:dyDescent="0.3">
      <c r="A292">
        <v>290</v>
      </c>
      <c r="B292">
        <v>4619</v>
      </c>
      <c r="C292" t="b">
        <v>1</v>
      </c>
      <c r="D292">
        <v>8054</v>
      </c>
      <c r="E292">
        <v>8129</v>
      </c>
      <c r="F292">
        <v>2.8</v>
      </c>
      <c r="G292">
        <v>6.4</v>
      </c>
      <c r="H292">
        <v>0.4375</v>
      </c>
      <c r="I292">
        <v>0.5625</v>
      </c>
      <c r="J292">
        <v>0.69565220000000005</v>
      </c>
    </row>
    <row r="293" spans="1:10" x14ac:dyDescent="0.3">
      <c r="A293">
        <v>291</v>
      </c>
      <c r="B293">
        <v>4635</v>
      </c>
      <c r="C293" t="b">
        <v>1</v>
      </c>
      <c r="D293">
        <v>8048</v>
      </c>
      <c r="E293">
        <v>8129</v>
      </c>
      <c r="F293">
        <v>3.2</v>
      </c>
      <c r="G293">
        <v>6</v>
      </c>
      <c r="H293">
        <v>0.53333335999999998</v>
      </c>
      <c r="I293">
        <v>0.46666667000000001</v>
      </c>
      <c r="J293">
        <v>0.65217393999999995</v>
      </c>
    </row>
    <row r="294" spans="1:10" x14ac:dyDescent="0.3">
      <c r="A294">
        <v>292</v>
      </c>
      <c r="B294">
        <v>4651</v>
      </c>
      <c r="C294" t="b">
        <v>1</v>
      </c>
      <c r="D294">
        <v>8048</v>
      </c>
      <c r="E294">
        <v>8134</v>
      </c>
      <c r="F294">
        <v>3.6</v>
      </c>
      <c r="G294">
        <v>6.4</v>
      </c>
      <c r="H294">
        <v>0.5625</v>
      </c>
      <c r="I294">
        <v>0.43750002999999998</v>
      </c>
      <c r="J294">
        <v>0.64</v>
      </c>
    </row>
    <row r="295" spans="1:10" x14ac:dyDescent="0.3">
      <c r="A295">
        <v>293</v>
      </c>
      <c r="B295">
        <v>4666</v>
      </c>
      <c r="C295" t="b">
        <v>1</v>
      </c>
      <c r="D295">
        <v>8048</v>
      </c>
      <c r="E295">
        <v>8129</v>
      </c>
      <c r="F295">
        <v>4</v>
      </c>
      <c r="G295">
        <v>6.8</v>
      </c>
      <c r="H295">
        <v>0.58823526000000004</v>
      </c>
      <c r="I295">
        <v>0.41176469999999998</v>
      </c>
      <c r="J295">
        <v>0.62962960000000001</v>
      </c>
    </row>
    <row r="296" spans="1:10" x14ac:dyDescent="0.3">
      <c r="A296">
        <v>294</v>
      </c>
      <c r="B296">
        <v>4683</v>
      </c>
      <c r="C296" t="b">
        <v>1</v>
      </c>
      <c r="D296">
        <v>8048</v>
      </c>
      <c r="E296">
        <v>8129</v>
      </c>
      <c r="F296">
        <v>4.4000000000000004</v>
      </c>
      <c r="G296">
        <v>7.2</v>
      </c>
      <c r="H296">
        <v>0.61111115999999999</v>
      </c>
      <c r="I296">
        <v>0.38888887</v>
      </c>
      <c r="J296">
        <v>0.62068962999999999</v>
      </c>
    </row>
    <row r="297" spans="1:10" x14ac:dyDescent="0.3">
      <c r="A297">
        <v>295</v>
      </c>
      <c r="B297">
        <v>4699</v>
      </c>
      <c r="C297" t="b">
        <v>1</v>
      </c>
      <c r="D297">
        <v>8048</v>
      </c>
      <c r="E297">
        <v>8129</v>
      </c>
      <c r="F297">
        <v>4.8</v>
      </c>
      <c r="G297">
        <v>7.6</v>
      </c>
      <c r="H297">
        <v>0.631579</v>
      </c>
      <c r="I297">
        <v>0.36842101999999999</v>
      </c>
      <c r="J297">
        <v>0.61290323999999996</v>
      </c>
    </row>
    <row r="298" spans="1:10" x14ac:dyDescent="0.3">
      <c r="A298">
        <v>296</v>
      </c>
      <c r="B298">
        <v>4714</v>
      </c>
      <c r="C298" t="b">
        <v>1</v>
      </c>
      <c r="D298">
        <v>8054</v>
      </c>
      <c r="E298">
        <v>8123</v>
      </c>
      <c r="F298">
        <v>5.2</v>
      </c>
      <c r="G298">
        <v>8</v>
      </c>
      <c r="H298">
        <v>0.65</v>
      </c>
      <c r="I298">
        <v>0.35000002000000002</v>
      </c>
      <c r="J298">
        <v>0.60606059999999995</v>
      </c>
    </row>
    <row r="299" spans="1:10" x14ac:dyDescent="0.3">
      <c r="A299">
        <v>297</v>
      </c>
      <c r="B299">
        <v>4730</v>
      </c>
      <c r="C299" t="b">
        <v>1</v>
      </c>
      <c r="D299">
        <v>8048</v>
      </c>
      <c r="E299">
        <v>8117</v>
      </c>
      <c r="F299">
        <v>5.6</v>
      </c>
      <c r="G299">
        <v>8.4</v>
      </c>
      <c r="H299">
        <v>0.66666669999999995</v>
      </c>
      <c r="I299">
        <v>0.3333333</v>
      </c>
      <c r="J299">
        <v>0.59999996</v>
      </c>
    </row>
    <row r="300" spans="1:10" x14ac:dyDescent="0.3">
      <c r="A300">
        <v>298</v>
      </c>
      <c r="B300">
        <v>4746</v>
      </c>
      <c r="C300" t="b">
        <v>1</v>
      </c>
      <c r="D300">
        <v>8048</v>
      </c>
      <c r="E300">
        <v>8117</v>
      </c>
      <c r="F300">
        <v>6</v>
      </c>
      <c r="G300">
        <v>8.4</v>
      </c>
      <c r="H300">
        <v>0.71428572999999995</v>
      </c>
      <c r="I300">
        <v>0.28571424000000001</v>
      </c>
      <c r="J300">
        <v>0.58333330000000005</v>
      </c>
    </row>
    <row r="301" spans="1:10" x14ac:dyDescent="0.3">
      <c r="A301">
        <v>299</v>
      </c>
      <c r="B301">
        <v>4762</v>
      </c>
      <c r="C301" t="b">
        <v>1</v>
      </c>
      <c r="D301">
        <v>8042</v>
      </c>
      <c r="E301">
        <v>8117</v>
      </c>
      <c r="F301">
        <v>6.4</v>
      </c>
      <c r="G301">
        <v>8</v>
      </c>
      <c r="H301">
        <v>0.8</v>
      </c>
      <c r="I301">
        <v>0.19999998999999999</v>
      </c>
      <c r="J301">
        <v>0.55555560000000004</v>
      </c>
    </row>
    <row r="302" spans="1:10" x14ac:dyDescent="0.3">
      <c r="A302">
        <v>300</v>
      </c>
      <c r="B302">
        <v>4778</v>
      </c>
      <c r="C302" t="b">
        <v>1</v>
      </c>
      <c r="D302">
        <v>8048</v>
      </c>
      <c r="E302">
        <v>8117</v>
      </c>
      <c r="F302">
        <v>6.8</v>
      </c>
      <c r="G302">
        <v>7.6</v>
      </c>
      <c r="H302">
        <v>0.89473689999999995</v>
      </c>
      <c r="I302">
        <v>0.10526312</v>
      </c>
      <c r="J302">
        <v>0.52777779999999996</v>
      </c>
    </row>
    <row r="303" spans="1:10" x14ac:dyDescent="0.3">
      <c r="A303">
        <v>301</v>
      </c>
      <c r="B303">
        <v>4794</v>
      </c>
      <c r="C303" t="b">
        <v>1</v>
      </c>
      <c r="D303">
        <v>8048</v>
      </c>
      <c r="E303">
        <v>8117</v>
      </c>
      <c r="F303">
        <v>7.2</v>
      </c>
      <c r="G303">
        <v>7.2</v>
      </c>
      <c r="H303">
        <v>1</v>
      </c>
      <c r="I303">
        <v>0</v>
      </c>
      <c r="J303">
        <v>0.5</v>
      </c>
    </row>
    <row r="304" spans="1:10" x14ac:dyDescent="0.3">
      <c r="A304">
        <v>302</v>
      </c>
      <c r="B304">
        <v>4810</v>
      </c>
      <c r="C304" t="b">
        <v>1</v>
      </c>
      <c r="D304">
        <v>8048</v>
      </c>
      <c r="E304">
        <v>8123</v>
      </c>
      <c r="F304">
        <v>7.6</v>
      </c>
      <c r="G304">
        <v>7.2</v>
      </c>
      <c r="H304">
        <v>1.0555555999999999</v>
      </c>
      <c r="I304">
        <v>-5.5555569999999999E-2</v>
      </c>
      <c r="J304">
        <v>0.48648649999999999</v>
      </c>
    </row>
    <row r="305" spans="1:10" x14ac:dyDescent="0.3">
      <c r="A305">
        <v>303</v>
      </c>
      <c r="B305">
        <v>4825</v>
      </c>
      <c r="C305" t="b">
        <v>1</v>
      </c>
      <c r="D305">
        <v>8048</v>
      </c>
      <c r="E305">
        <v>8129</v>
      </c>
      <c r="F305">
        <v>8</v>
      </c>
      <c r="G305">
        <v>7.2</v>
      </c>
      <c r="H305">
        <v>1.1111112000000001</v>
      </c>
      <c r="I305">
        <v>-0.11111114</v>
      </c>
      <c r="J305">
        <v>0.4736842</v>
      </c>
    </row>
    <row r="306" spans="1:10" x14ac:dyDescent="0.3">
      <c r="A306">
        <v>304</v>
      </c>
      <c r="B306">
        <v>4841</v>
      </c>
      <c r="C306" t="b">
        <v>1</v>
      </c>
      <c r="D306">
        <v>8054</v>
      </c>
      <c r="E306">
        <v>8129</v>
      </c>
      <c r="F306">
        <v>8</v>
      </c>
      <c r="G306">
        <v>7.6</v>
      </c>
      <c r="H306">
        <v>1.0526316</v>
      </c>
      <c r="I306">
        <v>-5.2631589999999999E-2</v>
      </c>
      <c r="J306">
        <v>0.48717946000000001</v>
      </c>
    </row>
    <row r="307" spans="1:10" x14ac:dyDescent="0.3">
      <c r="A307">
        <v>305</v>
      </c>
      <c r="B307">
        <v>4857</v>
      </c>
      <c r="C307" t="b">
        <v>1</v>
      </c>
      <c r="D307">
        <v>8048</v>
      </c>
      <c r="E307">
        <v>8117</v>
      </c>
      <c r="F307">
        <v>8</v>
      </c>
      <c r="G307">
        <v>8</v>
      </c>
      <c r="H307">
        <v>1</v>
      </c>
      <c r="I307">
        <v>0</v>
      </c>
      <c r="J307">
        <v>0.5</v>
      </c>
    </row>
    <row r="308" spans="1:10" x14ac:dyDescent="0.3">
      <c r="A308">
        <v>306</v>
      </c>
      <c r="B308">
        <v>4873</v>
      </c>
      <c r="C308" t="b">
        <v>1</v>
      </c>
      <c r="D308">
        <v>8037</v>
      </c>
      <c r="E308">
        <v>8123</v>
      </c>
      <c r="F308">
        <v>8</v>
      </c>
      <c r="G308">
        <v>8.4</v>
      </c>
      <c r="H308">
        <v>0.95238100000000003</v>
      </c>
      <c r="I308">
        <v>4.7619003999999999E-2</v>
      </c>
      <c r="J308">
        <v>0.51219510000000001</v>
      </c>
    </row>
    <row r="309" spans="1:10" x14ac:dyDescent="0.3">
      <c r="A309">
        <v>307</v>
      </c>
      <c r="B309">
        <v>4888</v>
      </c>
      <c r="C309" t="b">
        <v>1</v>
      </c>
      <c r="D309">
        <v>8042</v>
      </c>
      <c r="E309">
        <v>8123</v>
      </c>
      <c r="F309">
        <v>8</v>
      </c>
      <c r="G309">
        <v>8</v>
      </c>
      <c r="H309">
        <v>1</v>
      </c>
      <c r="I309">
        <v>0</v>
      </c>
      <c r="J309">
        <v>0.5</v>
      </c>
    </row>
    <row r="310" spans="1:10" x14ac:dyDescent="0.3">
      <c r="A310">
        <v>308</v>
      </c>
      <c r="B310">
        <v>4904</v>
      </c>
      <c r="C310" t="b">
        <v>1</v>
      </c>
      <c r="D310">
        <v>8042</v>
      </c>
      <c r="E310">
        <v>8123</v>
      </c>
      <c r="F310">
        <v>7.6</v>
      </c>
      <c r="G310">
        <v>7.6</v>
      </c>
      <c r="H310">
        <v>1</v>
      </c>
      <c r="I310">
        <v>0</v>
      </c>
      <c r="J310">
        <v>0.5</v>
      </c>
    </row>
    <row r="311" spans="1:10" x14ac:dyDescent="0.3">
      <c r="A311">
        <v>309</v>
      </c>
      <c r="B311">
        <v>4920</v>
      </c>
      <c r="C311" t="b">
        <v>1</v>
      </c>
      <c r="D311">
        <v>8037</v>
      </c>
      <c r="E311">
        <v>8123</v>
      </c>
      <c r="F311">
        <v>7.2</v>
      </c>
      <c r="G311">
        <v>7.2</v>
      </c>
      <c r="H311">
        <v>1</v>
      </c>
      <c r="I311">
        <v>0</v>
      </c>
      <c r="J311">
        <v>0.5</v>
      </c>
    </row>
    <row r="312" spans="1:10" x14ac:dyDescent="0.3">
      <c r="A312">
        <v>310</v>
      </c>
      <c r="B312">
        <v>4936</v>
      </c>
      <c r="C312" t="b">
        <v>1</v>
      </c>
      <c r="D312">
        <v>8042</v>
      </c>
      <c r="E312">
        <v>8123</v>
      </c>
      <c r="F312">
        <v>6.8</v>
      </c>
      <c r="G312">
        <v>6.8</v>
      </c>
      <c r="H312">
        <v>1</v>
      </c>
      <c r="I312">
        <v>0</v>
      </c>
      <c r="J312">
        <v>0.5</v>
      </c>
    </row>
    <row r="313" spans="1:10" x14ac:dyDescent="0.3">
      <c r="A313">
        <v>311</v>
      </c>
      <c r="B313">
        <v>4952</v>
      </c>
      <c r="C313" t="b">
        <v>1</v>
      </c>
      <c r="D313">
        <v>8042</v>
      </c>
      <c r="E313">
        <v>8129</v>
      </c>
      <c r="F313">
        <v>6.4</v>
      </c>
      <c r="G313">
        <v>6.4</v>
      </c>
      <c r="H313">
        <v>1</v>
      </c>
      <c r="I313">
        <v>0</v>
      </c>
      <c r="J313">
        <v>0.5</v>
      </c>
    </row>
    <row r="314" spans="1:10" x14ac:dyDescent="0.3">
      <c r="A314">
        <v>312</v>
      </c>
      <c r="B314">
        <v>4968</v>
      </c>
      <c r="C314" t="b">
        <v>1</v>
      </c>
      <c r="D314">
        <v>8042</v>
      </c>
      <c r="E314">
        <v>8123</v>
      </c>
      <c r="F314">
        <v>6</v>
      </c>
      <c r="G314">
        <v>6</v>
      </c>
      <c r="H314">
        <v>1</v>
      </c>
      <c r="I314">
        <v>0</v>
      </c>
      <c r="J314">
        <v>0.5</v>
      </c>
    </row>
    <row r="315" spans="1:10" x14ac:dyDescent="0.3">
      <c r="A315">
        <v>313</v>
      </c>
      <c r="B315">
        <v>4983</v>
      </c>
      <c r="C315" t="b">
        <v>1</v>
      </c>
      <c r="D315">
        <v>8048</v>
      </c>
      <c r="E315">
        <v>8129</v>
      </c>
      <c r="F315">
        <v>5.6</v>
      </c>
      <c r="G315">
        <v>6</v>
      </c>
      <c r="H315">
        <v>0.93333334000000001</v>
      </c>
      <c r="I315">
        <v>6.6666685000000003E-2</v>
      </c>
      <c r="J315">
        <v>0.51724135999999998</v>
      </c>
    </row>
    <row r="316" spans="1:10" x14ac:dyDescent="0.3">
      <c r="A316">
        <v>314</v>
      </c>
      <c r="B316">
        <v>5000</v>
      </c>
      <c r="C316" t="b">
        <v>1</v>
      </c>
      <c r="D316">
        <v>8048</v>
      </c>
      <c r="E316">
        <v>8123</v>
      </c>
      <c r="F316">
        <v>5.2</v>
      </c>
      <c r="G316">
        <v>6.4</v>
      </c>
      <c r="H316">
        <v>0.81249994000000003</v>
      </c>
      <c r="I316">
        <v>0.18750004000000001</v>
      </c>
      <c r="J316">
        <v>0.55172414000000003</v>
      </c>
    </row>
    <row r="317" spans="1:10" x14ac:dyDescent="0.3">
      <c r="A317">
        <v>315</v>
      </c>
      <c r="B317">
        <v>5016</v>
      </c>
      <c r="C317" t="b">
        <v>1</v>
      </c>
      <c r="D317">
        <v>8054</v>
      </c>
      <c r="E317">
        <v>8123</v>
      </c>
      <c r="F317">
        <v>5.2</v>
      </c>
      <c r="G317">
        <v>6.8</v>
      </c>
      <c r="H317">
        <v>0.76470583999999997</v>
      </c>
      <c r="I317">
        <v>0.23529416</v>
      </c>
      <c r="J317">
        <v>0.56666665999999999</v>
      </c>
    </row>
    <row r="318" spans="1:10" x14ac:dyDescent="0.3">
      <c r="A318">
        <v>316</v>
      </c>
      <c r="B318">
        <v>5031</v>
      </c>
      <c r="C318" t="b">
        <v>1</v>
      </c>
      <c r="D318">
        <v>8048</v>
      </c>
      <c r="E318">
        <v>8117</v>
      </c>
      <c r="F318">
        <v>5.2</v>
      </c>
      <c r="G318">
        <v>7.2</v>
      </c>
      <c r="H318">
        <v>0.72222220000000004</v>
      </c>
      <c r="I318">
        <v>0.27777780000000002</v>
      </c>
      <c r="J318">
        <v>0.58064514</v>
      </c>
    </row>
    <row r="319" spans="1:10" x14ac:dyDescent="0.3">
      <c r="A319">
        <v>317</v>
      </c>
      <c r="B319">
        <v>5047</v>
      </c>
      <c r="C319" t="b">
        <v>1</v>
      </c>
      <c r="D319">
        <v>8048</v>
      </c>
      <c r="E319">
        <v>8117</v>
      </c>
      <c r="F319">
        <v>5.2</v>
      </c>
      <c r="G319">
        <v>7.6</v>
      </c>
      <c r="H319">
        <v>0.68421054000000003</v>
      </c>
      <c r="I319">
        <v>0.3157895</v>
      </c>
      <c r="J319">
        <v>0.59375</v>
      </c>
    </row>
    <row r="320" spans="1:10" x14ac:dyDescent="0.3">
      <c r="A320">
        <v>318</v>
      </c>
      <c r="B320">
        <v>5063</v>
      </c>
      <c r="C320" t="b">
        <v>1</v>
      </c>
      <c r="D320">
        <v>8048</v>
      </c>
      <c r="E320">
        <v>8117</v>
      </c>
      <c r="F320">
        <v>5.2</v>
      </c>
      <c r="G320">
        <v>7.6</v>
      </c>
      <c r="H320">
        <v>0.68421054000000003</v>
      </c>
      <c r="I320">
        <v>0.3157895</v>
      </c>
      <c r="J320">
        <v>0.59375</v>
      </c>
    </row>
    <row r="321" spans="1:10" x14ac:dyDescent="0.3">
      <c r="A321">
        <v>319</v>
      </c>
      <c r="B321">
        <v>5079</v>
      </c>
      <c r="C321" t="b">
        <v>1</v>
      </c>
      <c r="D321">
        <v>8048</v>
      </c>
      <c r="E321">
        <v>8123</v>
      </c>
      <c r="F321">
        <v>5.2</v>
      </c>
      <c r="G321">
        <v>7.2</v>
      </c>
      <c r="H321">
        <v>0.72222220000000004</v>
      </c>
      <c r="I321">
        <v>0.27777780000000002</v>
      </c>
      <c r="J321">
        <v>0.58064514</v>
      </c>
    </row>
    <row r="322" spans="1:10" x14ac:dyDescent="0.3">
      <c r="A322">
        <v>320</v>
      </c>
      <c r="B322">
        <v>5095</v>
      </c>
      <c r="C322" t="b">
        <v>1</v>
      </c>
      <c r="D322">
        <v>8048</v>
      </c>
      <c r="E322">
        <v>8117</v>
      </c>
      <c r="F322">
        <v>5.2</v>
      </c>
      <c r="G322">
        <v>6.8</v>
      </c>
      <c r="H322">
        <v>0.76470583999999997</v>
      </c>
      <c r="I322">
        <v>0.23529416</v>
      </c>
      <c r="J322">
        <v>0.56666665999999999</v>
      </c>
    </row>
    <row r="323" spans="1:10" x14ac:dyDescent="0.3">
      <c r="A323">
        <v>321</v>
      </c>
      <c r="B323">
        <v>5110</v>
      </c>
      <c r="C323" t="b">
        <v>1</v>
      </c>
      <c r="D323">
        <v>8048</v>
      </c>
      <c r="E323">
        <v>8123</v>
      </c>
      <c r="F323">
        <v>5.2</v>
      </c>
      <c r="G323">
        <v>6.4</v>
      </c>
      <c r="H323">
        <v>0.81249994000000003</v>
      </c>
      <c r="I323">
        <v>0.18750004000000001</v>
      </c>
      <c r="J323">
        <v>0.55172414000000003</v>
      </c>
    </row>
    <row r="324" spans="1:10" x14ac:dyDescent="0.3">
      <c r="A324">
        <v>322</v>
      </c>
      <c r="B324">
        <v>5126</v>
      </c>
      <c r="C324" t="b">
        <v>1</v>
      </c>
      <c r="D324">
        <v>8048</v>
      </c>
      <c r="E324">
        <v>8123</v>
      </c>
      <c r="F324">
        <v>5.2</v>
      </c>
      <c r="G324">
        <v>6.4</v>
      </c>
      <c r="H324">
        <v>0.81249994000000003</v>
      </c>
      <c r="I324">
        <v>0.18750004000000001</v>
      </c>
      <c r="J324">
        <v>0.55172414000000003</v>
      </c>
    </row>
    <row r="325" spans="1:10" x14ac:dyDescent="0.3">
      <c r="A325">
        <v>323</v>
      </c>
      <c r="B325">
        <v>5142</v>
      </c>
      <c r="C325" t="b">
        <v>1</v>
      </c>
      <c r="D325">
        <v>8048</v>
      </c>
      <c r="E325">
        <v>8123</v>
      </c>
      <c r="F325">
        <v>5.6</v>
      </c>
      <c r="G325">
        <v>6.4</v>
      </c>
      <c r="H325">
        <v>0.875</v>
      </c>
      <c r="I325">
        <v>0.12500003000000001</v>
      </c>
      <c r="J325">
        <v>0.53333335999999998</v>
      </c>
    </row>
    <row r="326" spans="1:10" x14ac:dyDescent="0.3">
      <c r="A326">
        <v>324</v>
      </c>
      <c r="B326">
        <v>5157</v>
      </c>
      <c r="C326" t="b">
        <v>1</v>
      </c>
      <c r="D326">
        <v>8048</v>
      </c>
      <c r="E326">
        <v>8117</v>
      </c>
      <c r="F326">
        <v>6</v>
      </c>
      <c r="G326">
        <v>6.4</v>
      </c>
      <c r="H326">
        <v>0.9375</v>
      </c>
      <c r="I326">
        <v>6.2500015000000006E-2</v>
      </c>
      <c r="J326">
        <v>0.51612910000000001</v>
      </c>
    </row>
    <row r="327" spans="1:10" x14ac:dyDescent="0.3">
      <c r="A327">
        <v>325</v>
      </c>
      <c r="B327">
        <v>5173</v>
      </c>
      <c r="C327" t="b">
        <v>1</v>
      </c>
      <c r="D327">
        <v>8048</v>
      </c>
      <c r="E327">
        <v>8123</v>
      </c>
      <c r="F327">
        <v>6.4</v>
      </c>
      <c r="G327">
        <v>6.4</v>
      </c>
      <c r="H327">
        <v>1</v>
      </c>
      <c r="I327">
        <v>0</v>
      </c>
      <c r="J327">
        <v>0.5</v>
      </c>
    </row>
    <row r="328" spans="1:10" x14ac:dyDescent="0.3">
      <c r="A328">
        <v>326</v>
      </c>
      <c r="B328">
        <v>5190</v>
      </c>
      <c r="C328" t="b">
        <v>1</v>
      </c>
      <c r="D328">
        <v>8048</v>
      </c>
      <c r="E328">
        <v>8123</v>
      </c>
      <c r="F328">
        <v>6.8</v>
      </c>
      <c r="G328">
        <v>6.4</v>
      </c>
      <c r="H328">
        <v>1.0625</v>
      </c>
      <c r="I328">
        <v>-6.2500015000000006E-2</v>
      </c>
      <c r="J328">
        <v>0.48484846999999998</v>
      </c>
    </row>
    <row r="329" spans="1:10" x14ac:dyDescent="0.3">
      <c r="A329">
        <v>327</v>
      </c>
      <c r="B329">
        <v>5206</v>
      </c>
      <c r="C329" t="b">
        <v>1</v>
      </c>
      <c r="D329">
        <v>8054</v>
      </c>
      <c r="E329">
        <v>8123</v>
      </c>
      <c r="F329">
        <v>7.2</v>
      </c>
      <c r="G329">
        <v>6.4</v>
      </c>
      <c r="H329">
        <v>1.125</v>
      </c>
      <c r="I329">
        <v>-0.124999955</v>
      </c>
      <c r="J329">
        <v>0.47058823999999999</v>
      </c>
    </row>
    <row r="330" spans="1:10" x14ac:dyDescent="0.3">
      <c r="A330">
        <v>328</v>
      </c>
      <c r="B330">
        <v>5221</v>
      </c>
      <c r="C330" t="b">
        <v>1</v>
      </c>
      <c r="D330">
        <v>8048</v>
      </c>
      <c r="E330">
        <v>8123</v>
      </c>
      <c r="F330">
        <v>7.6</v>
      </c>
      <c r="G330">
        <v>6.4</v>
      </c>
      <c r="H330">
        <v>1.1875</v>
      </c>
      <c r="I330">
        <v>-0.18749996999999999</v>
      </c>
      <c r="J330">
        <v>0.45714285999999998</v>
      </c>
    </row>
    <row r="331" spans="1:10" x14ac:dyDescent="0.3">
      <c r="A331">
        <v>329</v>
      </c>
      <c r="B331">
        <v>5238</v>
      </c>
      <c r="C331" t="b">
        <v>1</v>
      </c>
      <c r="D331">
        <v>8048</v>
      </c>
      <c r="E331">
        <v>8123</v>
      </c>
      <c r="F331">
        <v>8</v>
      </c>
      <c r="G331">
        <v>6.4</v>
      </c>
      <c r="H331">
        <v>1.25</v>
      </c>
      <c r="I331">
        <v>-0.24999999000000001</v>
      </c>
      <c r="J331">
        <v>0.44444447999999998</v>
      </c>
    </row>
    <row r="332" spans="1:10" x14ac:dyDescent="0.3">
      <c r="A332">
        <v>330</v>
      </c>
      <c r="B332">
        <v>5254</v>
      </c>
      <c r="C332" t="b">
        <v>1</v>
      </c>
      <c r="D332">
        <v>8048</v>
      </c>
      <c r="E332">
        <v>8129</v>
      </c>
      <c r="F332">
        <v>8</v>
      </c>
      <c r="G332">
        <v>6.4</v>
      </c>
      <c r="H332">
        <v>1.25</v>
      </c>
      <c r="I332">
        <v>-0.24999999000000001</v>
      </c>
      <c r="J332">
        <v>0.44444447999999998</v>
      </c>
    </row>
    <row r="333" spans="1:10" x14ac:dyDescent="0.3">
      <c r="A333">
        <v>331</v>
      </c>
      <c r="B333">
        <v>5270</v>
      </c>
      <c r="C333" t="b">
        <v>1</v>
      </c>
      <c r="D333">
        <v>8048</v>
      </c>
      <c r="E333">
        <v>8123</v>
      </c>
      <c r="F333">
        <v>8</v>
      </c>
      <c r="G333">
        <v>6.4</v>
      </c>
      <c r="H333">
        <v>1.25</v>
      </c>
      <c r="I333">
        <v>-0.24999999000000001</v>
      </c>
      <c r="J333">
        <v>0.44444447999999998</v>
      </c>
    </row>
    <row r="334" spans="1:10" x14ac:dyDescent="0.3">
      <c r="A334">
        <v>332</v>
      </c>
      <c r="B334">
        <v>5285</v>
      </c>
      <c r="C334" t="b">
        <v>1</v>
      </c>
      <c r="D334">
        <v>8042</v>
      </c>
      <c r="E334">
        <v>8129</v>
      </c>
      <c r="F334">
        <v>8</v>
      </c>
      <c r="G334">
        <v>6.4</v>
      </c>
      <c r="H334">
        <v>1.25</v>
      </c>
      <c r="I334">
        <v>-0.24999999000000001</v>
      </c>
      <c r="J334">
        <v>0.44444447999999998</v>
      </c>
    </row>
    <row r="335" spans="1:10" x14ac:dyDescent="0.3">
      <c r="A335">
        <v>333</v>
      </c>
      <c r="B335">
        <v>5301</v>
      </c>
      <c r="C335" t="b">
        <v>1</v>
      </c>
      <c r="D335">
        <v>8042</v>
      </c>
      <c r="E335">
        <v>8123</v>
      </c>
      <c r="F335">
        <v>8</v>
      </c>
      <c r="G335">
        <v>6.8</v>
      </c>
      <c r="H335">
        <v>1.1764705</v>
      </c>
      <c r="I335">
        <v>-0.17647055</v>
      </c>
      <c r="J335">
        <v>0.45945944999999999</v>
      </c>
    </row>
    <row r="336" spans="1:10" x14ac:dyDescent="0.3">
      <c r="A336">
        <v>334</v>
      </c>
      <c r="B336">
        <v>5317</v>
      </c>
      <c r="C336" t="b">
        <v>1</v>
      </c>
      <c r="D336">
        <v>8042</v>
      </c>
      <c r="E336">
        <v>8123</v>
      </c>
      <c r="F336">
        <v>7.6</v>
      </c>
      <c r="G336">
        <v>7.2</v>
      </c>
      <c r="H336">
        <v>1.0555555999999999</v>
      </c>
      <c r="I336">
        <v>-5.5555569999999999E-2</v>
      </c>
      <c r="J336">
        <v>0.48648649999999999</v>
      </c>
    </row>
    <row r="337" spans="1:10" x14ac:dyDescent="0.3">
      <c r="A337">
        <v>335</v>
      </c>
      <c r="B337">
        <v>5333</v>
      </c>
      <c r="C337" t="b">
        <v>1</v>
      </c>
      <c r="D337">
        <v>8042</v>
      </c>
      <c r="E337">
        <v>8123</v>
      </c>
      <c r="F337">
        <v>7.2</v>
      </c>
      <c r="G337">
        <v>7.6</v>
      </c>
      <c r="H337">
        <v>0.9473684</v>
      </c>
      <c r="I337">
        <v>5.2631589999999999E-2</v>
      </c>
      <c r="J337">
        <v>0.51351349999999996</v>
      </c>
    </row>
    <row r="338" spans="1:10" x14ac:dyDescent="0.3">
      <c r="A338">
        <v>336</v>
      </c>
      <c r="B338">
        <v>5349</v>
      </c>
      <c r="C338" t="b">
        <v>1</v>
      </c>
      <c r="D338">
        <v>8042</v>
      </c>
      <c r="E338">
        <v>8123</v>
      </c>
      <c r="F338">
        <v>6.8</v>
      </c>
      <c r="G338">
        <v>8</v>
      </c>
      <c r="H338">
        <v>0.85</v>
      </c>
      <c r="I338">
        <v>0.14999998</v>
      </c>
      <c r="J338">
        <v>0.54054049999999998</v>
      </c>
    </row>
    <row r="339" spans="1:10" x14ac:dyDescent="0.3">
      <c r="A339">
        <v>337</v>
      </c>
      <c r="B339">
        <v>5365</v>
      </c>
      <c r="C339" t="b">
        <v>1</v>
      </c>
      <c r="D339">
        <v>8042</v>
      </c>
      <c r="E339">
        <v>8123</v>
      </c>
      <c r="F339">
        <v>6.4</v>
      </c>
      <c r="G339">
        <v>8</v>
      </c>
      <c r="H339">
        <v>0.8</v>
      </c>
      <c r="I339">
        <v>0.19999998999999999</v>
      </c>
      <c r="J339">
        <v>0.55555560000000004</v>
      </c>
    </row>
    <row r="340" spans="1:10" x14ac:dyDescent="0.3">
      <c r="A340">
        <v>338</v>
      </c>
      <c r="B340">
        <v>5381</v>
      </c>
      <c r="C340" t="b">
        <v>1</v>
      </c>
      <c r="D340">
        <v>8048</v>
      </c>
      <c r="E340">
        <v>8117</v>
      </c>
      <c r="F340">
        <v>6</v>
      </c>
      <c r="G340">
        <v>8</v>
      </c>
      <c r="H340">
        <v>0.75</v>
      </c>
      <c r="I340">
        <v>0.25</v>
      </c>
      <c r="J340">
        <v>0.57142859999999995</v>
      </c>
    </row>
    <row r="341" spans="1:10" x14ac:dyDescent="0.3">
      <c r="A341">
        <v>339</v>
      </c>
      <c r="B341">
        <v>5397</v>
      </c>
      <c r="C341" t="b">
        <v>1</v>
      </c>
      <c r="D341">
        <v>8048</v>
      </c>
      <c r="E341">
        <v>8117</v>
      </c>
      <c r="F341">
        <v>5.6</v>
      </c>
      <c r="G341">
        <v>8</v>
      </c>
      <c r="H341">
        <v>0.7</v>
      </c>
      <c r="I341">
        <v>0.3</v>
      </c>
      <c r="J341">
        <v>0.58823526000000004</v>
      </c>
    </row>
    <row r="342" spans="1:10" x14ac:dyDescent="0.3">
      <c r="A342">
        <v>340</v>
      </c>
      <c r="B342">
        <v>5413</v>
      </c>
      <c r="C342" t="b">
        <v>1</v>
      </c>
      <c r="D342">
        <v>8048</v>
      </c>
      <c r="E342">
        <v>8123</v>
      </c>
      <c r="F342">
        <v>5.6</v>
      </c>
      <c r="G342">
        <v>8</v>
      </c>
      <c r="H342">
        <v>0.7</v>
      </c>
      <c r="I342">
        <v>0.3</v>
      </c>
      <c r="J342">
        <v>0.58823526000000004</v>
      </c>
    </row>
    <row r="343" spans="1:10" x14ac:dyDescent="0.3">
      <c r="A343">
        <v>341</v>
      </c>
      <c r="B343">
        <v>5428</v>
      </c>
      <c r="C343" t="b">
        <v>1</v>
      </c>
      <c r="D343">
        <v>8048</v>
      </c>
      <c r="E343">
        <v>8117</v>
      </c>
      <c r="F343">
        <v>5.6</v>
      </c>
      <c r="G343">
        <v>7.6</v>
      </c>
      <c r="H343">
        <v>0.73684210000000006</v>
      </c>
      <c r="I343">
        <v>0.2631579</v>
      </c>
      <c r="J343">
        <v>0.57575756</v>
      </c>
    </row>
    <row r="344" spans="1:10" x14ac:dyDescent="0.3">
      <c r="A344">
        <v>342</v>
      </c>
      <c r="B344">
        <v>5444</v>
      </c>
      <c r="C344" t="b">
        <v>1</v>
      </c>
      <c r="D344">
        <v>8048</v>
      </c>
      <c r="E344">
        <v>8117</v>
      </c>
      <c r="F344">
        <v>5.6</v>
      </c>
      <c r="G344">
        <v>7.2</v>
      </c>
      <c r="H344">
        <v>0.77777779999999996</v>
      </c>
      <c r="I344">
        <v>0.22222221</v>
      </c>
      <c r="J344">
        <v>0.5625</v>
      </c>
    </row>
    <row r="345" spans="1:10" x14ac:dyDescent="0.3">
      <c r="A345">
        <v>343</v>
      </c>
      <c r="B345">
        <v>5460</v>
      </c>
      <c r="C345" t="b">
        <v>1</v>
      </c>
      <c r="D345">
        <v>8048</v>
      </c>
      <c r="E345">
        <v>8117</v>
      </c>
      <c r="F345">
        <v>5.6</v>
      </c>
      <c r="G345">
        <v>6.8</v>
      </c>
      <c r="H345">
        <v>0.82352935999999999</v>
      </c>
      <c r="I345">
        <v>0.17647061999999999</v>
      </c>
      <c r="J345">
        <v>0.54838710000000002</v>
      </c>
    </row>
    <row r="346" spans="1:10" x14ac:dyDescent="0.3">
      <c r="A346">
        <v>344</v>
      </c>
      <c r="B346">
        <v>5476</v>
      </c>
      <c r="C346" t="b">
        <v>1</v>
      </c>
      <c r="D346">
        <v>8048</v>
      </c>
      <c r="E346">
        <v>8117</v>
      </c>
      <c r="F346">
        <v>5.6</v>
      </c>
      <c r="G346">
        <v>6.4</v>
      </c>
      <c r="H346">
        <v>0.875</v>
      </c>
      <c r="I346">
        <v>0.12500003000000001</v>
      </c>
      <c r="J346">
        <v>0.53333335999999998</v>
      </c>
    </row>
    <row r="347" spans="1:10" x14ac:dyDescent="0.3">
      <c r="A347">
        <v>345</v>
      </c>
      <c r="B347">
        <v>5491</v>
      </c>
      <c r="C347" t="b">
        <v>1</v>
      </c>
      <c r="D347">
        <v>8048</v>
      </c>
      <c r="E347">
        <v>8117</v>
      </c>
      <c r="F347">
        <v>5.6</v>
      </c>
      <c r="G347">
        <v>6</v>
      </c>
      <c r="H347">
        <v>0.93333334000000001</v>
      </c>
      <c r="I347">
        <v>6.6666685000000003E-2</v>
      </c>
      <c r="J347">
        <v>0.51724135999999998</v>
      </c>
    </row>
    <row r="348" spans="1:10" x14ac:dyDescent="0.3">
      <c r="A348">
        <v>346</v>
      </c>
      <c r="B348">
        <v>5507</v>
      </c>
      <c r="C348" t="b">
        <v>1</v>
      </c>
      <c r="D348">
        <v>8048</v>
      </c>
      <c r="E348">
        <v>8123</v>
      </c>
      <c r="F348">
        <v>5.6</v>
      </c>
      <c r="G348">
        <v>5.6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5523</v>
      </c>
      <c r="C349" t="b">
        <v>1</v>
      </c>
      <c r="D349">
        <v>8048</v>
      </c>
      <c r="E349">
        <v>8129</v>
      </c>
      <c r="F349">
        <v>5.6</v>
      </c>
      <c r="G349">
        <v>5.2</v>
      </c>
      <c r="H349">
        <v>1.0769230999999999</v>
      </c>
      <c r="I349">
        <v>-7.6923094999999997E-2</v>
      </c>
      <c r="J349">
        <v>0.48148150000000001</v>
      </c>
    </row>
    <row r="350" spans="1:10" x14ac:dyDescent="0.3">
      <c r="A350">
        <v>348</v>
      </c>
      <c r="B350">
        <v>5539</v>
      </c>
      <c r="C350" t="b">
        <v>1</v>
      </c>
      <c r="D350">
        <v>8048</v>
      </c>
      <c r="E350">
        <v>8123</v>
      </c>
      <c r="F350">
        <v>5.6</v>
      </c>
      <c r="G350">
        <v>5.2</v>
      </c>
      <c r="H350">
        <v>1.0769230999999999</v>
      </c>
      <c r="I350">
        <v>-7.6923094999999997E-2</v>
      </c>
      <c r="J350">
        <v>0.48148150000000001</v>
      </c>
    </row>
    <row r="351" spans="1:10" x14ac:dyDescent="0.3">
      <c r="A351">
        <v>349</v>
      </c>
      <c r="B351">
        <v>5554</v>
      </c>
      <c r="C351" t="b">
        <v>1</v>
      </c>
      <c r="D351">
        <v>8048</v>
      </c>
      <c r="E351">
        <v>8123</v>
      </c>
      <c r="F351">
        <v>6</v>
      </c>
      <c r="G351">
        <v>5.2</v>
      </c>
      <c r="H351">
        <v>1.1538461</v>
      </c>
      <c r="I351">
        <v>-0.15384618999999999</v>
      </c>
      <c r="J351">
        <v>0.46428570000000002</v>
      </c>
    </row>
    <row r="352" spans="1:10" x14ac:dyDescent="0.3">
      <c r="A352">
        <v>350</v>
      </c>
      <c r="B352">
        <v>5570</v>
      </c>
      <c r="C352" t="b">
        <v>1</v>
      </c>
      <c r="D352">
        <v>8048</v>
      </c>
      <c r="E352">
        <v>8123</v>
      </c>
      <c r="F352">
        <v>6.4</v>
      </c>
      <c r="G352">
        <v>5.2</v>
      </c>
      <c r="H352">
        <v>1.2307693</v>
      </c>
      <c r="I352">
        <v>-0.23076928999999999</v>
      </c>
      <c r="J352">
        <v>0.44827582999999999</v>
      </c>
    </row>
    <row r="353" spans="1:10" x14ac:dyDescent="0.3">
      <c r="A353">
        <v>351</v>
      </c>
      <c r="B353">
        <v>5586</v>
      </c>
      <c r="C353" t="b">
        <v>1</v>
      </c>
      <c r="D353">
        <v>8048</v>
      </c>
      <c r="E353">
        <v>8129</v>
      </c>
      <c r="F353">
        <v>6.8</v>
      </c>
      <c r="G353">
        <v>5.2</v>
      </c>
      <c r="H353">
        <v>1.3076924000000001</v>
      </c>
      <c r="I353">
        <v>-0.30769237999999999</v>
      </c>
      <c r="J353">
        <v>0.43333329999999998</v>
      </c>
    </row>
    <row r="354" spans="1:10" x14ac:dyDescent="0.3">
      <c r="A354">
        <v>352</v>
      </c>
      <c r="B354">
        <v>5602</v>
      </c>
      <c r="C354" t="b">
        <v>1</v>
      </c>
      <c r="D354">
        <v>8048</v>
      </c>
      <c r="E354">
        <v>8117</v>
      </c>
      <c r="F354">
        <v>7.2</v>
      </c>
      <c r="G354">
        <v>5.2</v>
      </c>
      <c r="H354">
        <v>1.3846153999999999</v>
      </c>
      <c r="I354">
        <v>-0.3846154</v>
      </c>
      <c r="J354">
        <v>0.41935483000000001</v>
      </c>
    </row>
    <row r="355" spans="1:10" x14ac:dyDescent="0.3">
      <c r="A355">
        <v>353</v>
      </c>
      <c r="B355">
        <v>5618</v>
      </c>
      <c r="C355" t="b">
        <v>1</v>
      </c>
      <c r="D355">
        <v>8048</v>
      </c>
      <c r="E355">
        <v>8117</v>
      </c>
      <c r="F355">
        <v>7.6</v>
      </c>
      <c r="G355">
        <v>5.2</v>
      </c>
      <c r="H355">
        <v>1.4615385999999999</v>
      </c>
      <c r="I355">
        <v>-0.46153850000000002</v>
      </c>
      <c r="J355">
        <v>0.40625</v>
      </c>
    </row>
    <row r="356" spans="1:10" x14ac:dyDescent="0.3">
      <c r="A356">
        <v>354</v>
      </c>
      <c r="B356">
        <v>5634</v>
      </c>
      <c r="C356" t="b">
        <v>1</v>
      </c>
      <c r="D356">
        <v>8048</v>
      </c>
      <c r="E356">
        <v>8117</v>
      </c>
      <c r="F356">
        <v>8</v>
      </c>
      <c r="G356">
        <v>4.8</v>
      </c>
      <c r="H356">
        <v>1.6666666000000001</v>
      </c>
      <c r="I356">
        <v>-0.6666666</v>
      </c>
      <c r="J356">
        <v>0.375</v>
      </c>
    </row>
    <row r="357" spans="1:10" x14ac:dyDescent="0.3">
      <c r="A357">
        <v>355</v>
      </c>
      <c r="B357">
        <v>5650</v>
      </c>
      <c r="C357" t="b">
        <v>1</v>
      </c>
      <c r="D357">
        <v>8048</v>
      </c>
      <c r="E357">
        <v>8117</v>
      </c>
      <c r="F357">
        <v>8</v>
      </c>
      <c r="G357">
        <v>4.4000000000000004</v>
      </c>
      <c r="H357">
        <v>1.8181818000000001</v>
      </c>
      <c r="I357">
        <v>-0.81818175000000004</v>
      </c>
      <c r="J357">
        <v>0.35483872999999999</v>
      </c>
    </row>
    <row r="358" spans="1:10" x14ac:dyDescent="0.3">
      <c r="A358">
        <v>356</v>
      </c>
      <c r="B358">
        <v>5666</v>
      </c>
      <c r="C358" t="b">
        <v>1</v>
      </c>
      <c r="D358">
        <v>8048</v>
      </c>
      <c r="E358">
        <v>8117</v>
      </c>
      <c r="F358">
        <v>8</v>
      </c>
      <c r="G358">
        <v>4.4000000000000004</v>
      </c>
      <c r="H358">
        <v>1.8181818000000001</v>
      </c>
      <c r="I358">
        <v>-0.81818175000000004</v>
      </c>
      <c r="J358">
        <v>0.35483872999999999</v>
      </c>
    </row>
    <row r="359" spans="1:10" x14ac:dyDescent="0.3">
      <c r="A359">
        <v>357</v>
      </c>
      <c r="B359">
        <v>5682</v>
      </c>
      <c r="C359" t="b">
        <v>1</v>
      </c>
      <c r="D359">
        <v>8048</v>
      </c>
      <c r="E359">
        <v>8117</v>
      </c>
      <c r="F359">
        <v>8</v>
      </c>
      <c r="G359">
        <v>4.4000000000000004</v>
      </c>
      <c r="H359">
        <v>1.8181818000000001</v>
      </c>
      <c r="I359">
        <v>-0.81818175000000004</v>
      </c>
      <c r="J359">
        <v>0.35483872999999999</v>
      </c>
    </row>
    <row r="360" spans="1:10" x14ac:dyDescent="0.3">
      <c r="A360">
        <v>358</v>
      </c>
      <c r="B360">
        <v>5698</v>
      </c>
      <c r="C360" t="b">
        <v>1</v>
      </c>
      <c r="D360">
        <v>8042</v>
      </c>
      <c r="E360">
        <v>8123</v>
      </c>
      <c r="F360">
        <v>8</v>
      </c>
      <c r="G360">
        <v>4.4000000000000004</v>
      </c>
      <c r="H360">
        <v>1.8181818000000001</v>
      </c>
      <c r="I360">
        <v>-0.81818175000000004</v>
      </c>
      <c r="J360">
        <v>0.35483872999999999</v>
      </c>
    </row>
    <row r="361" spans="1:10" x14ac:dyDescent="0.3">
      <c r="A361">
        <v>359</v>
      </c>
      <c r="B361">
        <v>5714</v>
      </c>
      <c r="C361" t="b">
        <v>1</v>
      </c>
      <c r="D361">
        <v>8048</v>
      </c>
      <c r="E361">
        <v>8123</v>
      </c>
      <c r="F361">
        <v>8</v>
      </c>
      <c r="G361">
        <v>4.4000000000000004</v>
      </c>
      <c r="H361">
        <v>1.8181818000000001</v>
      </c>
      <c r="I361">
        <v>-0.81818175000000004</v>
      </c>
      <c r="J361">
        <v>0.35483872999999999</v>
      </c>
    </row>
    <row r="362" spans="1:10" x14ac:dyDescent="0.3">
      <c r="A362">
        <v>360</v>
      </c>
      <c r="B362">
        <v>5731</v>
      </c>
      <c r="C362" t="b">
        <v>1</v>
      </c>
      <c r="D362">
        <v>8048</v>
      </c>
      <c r="E362">
        <v>8129</v>
      </c>
      <c r="F362">
        <v>8</v>
      </c>
      <c r="G362">
        <v>4.8</v>
      </c>
      <c r="H362">
        <v>1.6666666000000001</v>
      </c>
      <c r="I362">
        <v>-0.6666666</v>
      </c>
      <c r="J362">
        <v>0.375</v>
      </c>
    </row>
    <row r="363" spans="1:10" x14ac:dyDescent="0.3">
      <c r="A363">
        <v>361</v>
      </c>
      <c r="B363">
        <v>5747</v>
      </c>
      <c r="C363" t="b">
        <v>1</v>
      </c>
      <c r="D363">
        <v>8048</v>
      </c>
      <c r="E363">
        <v>8123</v>
      </c>
      <c r="F363">
        <v>8</v>
      </c>
      <c r="G363">
        <v>5.2</v>
      </c>
      <c r="H363">
        <v>1.5384616</v>
      </c>
      <c r="I363">
        <v>-0.53846156999999994</v>
      </c>
      <c r="J363">
        <v>0.39393938000000001</v>
      </c>
    </row>
    <row r="364" spans="1:10" x14ac:dyDescent="0.3">
      <c r="A364">
        <v>362</v>
      </c>
      <c r="B364">
        <v>5763</v>
      </c>
      <c r="C364" t="b">
        <v>1</v>
      </c>
      <c r="D364">
        <v>8048</v>
      </c>
      <c r="E364">
        <v>8123</v>
      </c>
      <c r="F364">
        <v>8</v>
      </c>
      <c r="G364">
        <v>5.6</v>
      </c>
      <c r="H364">
        <v>1.4285715000000001</v>
      </c>
      <c r="I364">
        <v>-0.42857146000000002</v>
      </c>
      <c r="J364">
        <v>0.41176467999999999</v>
      </c>
    </row>
    <row r="365" spans="1:10" x14ac:dyDescent="0.3">
      <c r="A365">
        <v>363</v>
      </c>
      <c r="B365">
        <v>5779</v>
      </c>
      <c r="C365" t="b">
        <v>1</v>
      </c>
      <c r="D365">
        <v>8048</v>
      </c>
      <c r="E365">
        <v>8123</v>
      </c>
      <c r="F365">
        <v>8</v>
      </c>
      <c r="G365">
        <v>5.6</v>
      </c>
      <c r="H365">
        <v>1.4285715000000001</v>
      </c>
      <c r="I365">
        <v>-0.42857146000000002</v>
      </c>
      <c r="J365">
        <v>0.41176467999999999</v>
      </c>
    </row>
    <row r="366" spans="1:10" x14ac:dyDescent="0.3">
      <c r="A366">
        <v>364</v>
      </c>
      <c r="B366">
        <v>5795</v>
      </c>
      <c r="C366" t="b">
        <v>1</v>
      </c>
      <c r="D366">
        <v>8042</v>
      </c>
      <c r="E366">
        <v>8117</v>
      </c>
      <c r="F366">
        <v>8</v>
      </c>
      <c r="G366">
        <v>5.6</v>
      </c>
      <c r="H366">
        <v>1.4285715000000001</v>
      </c>
      <c r="I366">
        <v>-0.42857146000000002</v>
      </c>
      <c r="J366">
        <v>0.41176467999999999</v>
      </c>
    </row>
    <row r="367" spans="1:10" x14ac:dyDescent="0.3">
      <c r="A367">
        <v>365</v>
      </c>
      <c r="B367">
        <v>5810</v>
      </c>
      <c r="C367" t="b">
        <v>1</v>
      </c>
      <c r="D367">
        <v>8048</v>
      </c>
      <c r="E367">
        <v>8117</v>
      </c>
      <c r="F367">
        <v>8</v>
      </c>
      <c r="G367">
        <v>5.6</v>
      </c>
      <c r="H367">
        <v>1.4285715000000001</v>
      </c>
      <c r="I367">
        <v>-0.42857146000000002</v>
      </c>
      <c r="J367">
        <v>0.41176467999999999</v>
      </c>
    </row>
    <row r="368" spans="1:10" x14ac:dyDescent="0.3">
      <c r="A368">
        <v>366</v>
      </c>
      <c r="B368">
        <v>5826</v>
      </c>
      <c r="C368" t="b">
        <v>1</v>
      </c>
      <c r="D368">
        <v>8048</v>
      </c>
      <c r="E368">
        <v>8117</v>
      </c>
      <c r="F368">
        <v>8</v>
      </c>
      <c r="G368">
        <v>5.2</v>
      </c>
      <c r="H368">
        <v>1.5384616</v>
      </c>
      <c r="I368">
        <v>-0.53846156999999994</v>
      </c>
      <c r="J368">
        <v>0.39393938000000001</v>
      </c>
    </row>
    <row r="369" spans="1:10" x14ac:dyDescent="0.3">
      <c r="A369">
        <v>367</v>
      </c>
      <c r="B369">
        <v>5842</v>
      </c>
      <c r="C369" t="b">
        <v>1</v>
      </c>
      <c r="D369">
        <v>8048</v>
      </c>
      <c r="E369">
        <v>8117</v>
      </c>
      <c r="F369">
        <v>8</v>
      </c>
      <c r="G369">
        <v>4.8</v>
      </c>
      <c r="H369">
        <v>1.6666666000000001</v>
      </c>
      <c r="I369">
        <v>-0.6666666</v>
      </c>
      <c r="J369">
        <v>0.375</v>
      </c>
    </row>
    <row r="370" spans="1:10" x14ac:dyDescent="0.3">
      <c r="A370">
        <v>368</v>
      </c>
      <c r="B370">
        <v>5858</v>
      </c>
      <c r="C370" t="b">
        <v>1</v>
      </c>
      <c r="D370">
        <v>8054</v>
      </c>
      <c r="E370">
        <v>8117</v>
      </c>
      <c r="F370">
        <v>8</v>
      </c>
      <c r="G370">
        <v>4.4000000000000004</v>
      </c>
      <c r="H370">
        <v>1.8181818000000001</v>
      </c>
      <c r="I370">
        <v>-0.81818175000000004</v>
      </c>
      <c r="J370">
        <v>0.35483872999999999</v>
      </c>
    </row>
    <row r="371" spans="1:10" x14ac:dyDescent="0.3">
      <c r="A371">
        <v>369</v>
      </c>
      <c r="B371">
        <v>5874</v>
      </c>
      <c r="C371" t="b">
        <v>1</v>
      </c>
      <c r="D371">
        <v>8048</v>
      </c>
      <c r="E371">
        <v>8117</v>
      </c>
      <c r="F371">
        <v>8</v>
      </c>
      <c r="G371">
        <v>4.4000000000000004</v>
      </c>
      <c r="H371">
        <v>1.8181818000000001</v>
      </c>
      <c r="I371">
        <v>-0.81818175000000004</v>
      </c>
      <c r="J371">
        <v>0.35483872999999999</v>
      </c>
    </row>
    <row r="372" spans="1:10" x14ac:dyDescent="0.3">
      <c r="A372">
        <v>370</v>
      </c>
      <c r="B372">
        <v>5889</v>
      </c>
      <c r="C372" t="b">
        <v>1</v>
      </c>
      <c r="D372">
        <v>8048</v>
      </c>
      <c r="E372">
        <v>8123</v>
      </c>
      <c r="F372">
        <v>8</v>
      </c>
      <c r="G372">
        <v>4.4000000000000004</v>
      </c>
      <c r="H372">
        <v>1.8181818000000001</v>
      </c>
      <c r="I372">
        <v>-0.81818175000000004</v>
      </c>
      <c r="J372">
        <v>0.35483872999999999</v>
      </c>
    </row>
    <row r="373" spans="1:10" x14ac:dyDescent="0.3">
      <c r="A373">
        <v>371</v>
      </c>
      <c r="B373">
        <v>5905</v>
      </c>
      <c r="C373" t="b">
        <v>1</v>
      </c>
      <c r="D373">
        <v>8048</v>
      </c>
      <c r="E373">
        <v>8134</v>
      </c>
      <c r="F373">
        <v>8</v>
      </c>
      <c r="G373">
        <v>4.4000000000000004</v>
      </c>
      <c r="H373">
        <v>1.8181818000000001</v>
      </c>
      <c r="I373">
        <v>-0.81818175000000004</v>
      </c>
      <c r="J373">
        <v>0.35483872999999999</v>
      </c>
    </row>
    <row r="374" spans="1:10" x14ac:dyDescent="0.3">
      <c r="A374">
        <v>372</v>
      </c>
      <c r="B374">
        <v>5921</v>
      </c>
      <c r="C374" t="b">
        <v>1</v>
      </c>
      <c r="D374">
        <v>8048</v>
      </c>
      <c r="E374">
        <v>8123</v>
      </c>
      <c r="F374">
        <v>8</v>
      </c>
      <c r="G374">
        <v>4.8</v>
      </c>
      <c r="H374">
        <v>1.6666666000000001</v>
      </c>
      <c r="I374">
        <v>-0.6666666</v>
      </c>
      <c r="J374">
        <v>0.375</v>
      </c>
    </row>
    <row r="375" spans="1:10" x14ac:dyDescent="0.3">
      <c r="A375">
        <v>373</v>
      </c>
      <c r="B375">
        <v>5937</v>
      </c>
      <c r="C375" t="b">
        <v>1</v>
      </c>
      <c r="D375">
        <v>8048</v>
      </c>
      <c r="E375">
        <v>8123</v>
      </c>
      <c r="F375">
        <v>8</v>
      </c>
      <c r="G375">
        <v>5.2</v>
      </c>
      <c r="H375">
        <v>1.5384616</v>
      </c>
      <c r="I375">
        <v>-0.53846156999999994</v>
      </c>
      <c r="J375">
        <v>0.39393938000000001</v>
      </c>
    </row>
    <row r="376" spans="1:10" x14ac:dyDescent="0.3">
      <c r="A376">
        <v>374</v>
      </c>
      <c r="B376">
        <v>5953</v>
      </c>
      <c r="C376" t="b">
        <v>1</v>
      </c>
      <c r="D376">
        <v>8048</v>
      </c>
      <c r="E376">
        <v>8129</v>
      </c>
      <c r="F376">
        <v>8</v>
      </c>
      <c r="G376">
        <v>5.6</v>
      </c>
      <c r="H376">
        <v>1.4285715000000001</v>
      </c>
      <c r="I376">
        <v>-0.42857146000000002</v>
      </c>
      <c r="J376">
        <v>0.41176467999999999</v>
      </c>
    </row>
    <row r="377" spans="1:10" x14ac:dyDescent="0.3">
      <c r="A377">
        <v>375</v>
      </c>
      <c r="B377">
        <v>5969</v>
      </c>
      <c r="C377" t="b">
        <v>1</v>
      </c>
      <c r="D377">
        <v>8048</v>
      </c>
      <c r="E377">
        <v>8123</v>
      </c>
      <c r="F377">
        <v>8</v>
      </c>
      <c r="G377">
        <v>5.6</v>
      </c>
      <c r="H377">
        <v>1.4285715000000001</v>
      </c>
      <c r="I377">
        <v>-0.42857146000000002</v>
      </c>
      <c r="J377">
        <v>0.41176467999999999</v>
      </c>
    </row>
    <row r="378" spans="1:10" x14ac:dyDescent="0.3">
      <c r="A378">
        <v>376</v>
      </c>
      <c r="B378">
        <v>5985</v>
      </c>
      <c r="C378" t="b">
        <v>1</v>
      </c>
      <c r="D378">
        <v>8054</v>
      </c>
      <c r="E378">
        <v>8129</v>
      </c>
      <c r="F378">
        <v>8</v>
      </c>
      <c r="G378">
        <v>5.6</v>
      </c>
      <c r="H378">
        <v>1.4285715000000001</v>
      </c>
      <c r="I378">
        <v>-0.42857146000000002</v>
      </c>
      <c r="J378">
        <v>0.41176467999999999</v>
      </c>
    </row>
    <row r="379" spans="1:10" x14ac:dyDescent="0.3">
      <c r="A379">
        <v>377</v>
      </c>
      <c r="B379">
        <v>6001</v>
      </c>
      <c r="C379" t="b">
        <v>1</v>
      </c>
      <c r="D379">
        <v>8048</v>
      </c>
      <c r="E379">
        <v>8123</v>
      </c>
      <c r="F379">
        <v>8</v>
      </c>
      <c r="G379">
        <v>5.6</v>
      </c>
      <c r="H379">
        <v>1.4285715000000001</v>
      </c>
      <c r="I379">
        <v>-0.42857146000000002</v>
      </c>
      <c r="J379">
        <v>0.41176467999999999</v>
      </c>
    </row>
    <row r="380" spans="1:10" x14ac:dyDescent="0.3">
      <c r="A380">
        <v>378</v>
      </c>
      <c r="B380">
        <v>6017</v>
      </c>
      <c r="C380" t="b">
        <v>1</v>
      </c>
      <c r="D380">
        <v>8048</v>
      </c>
      <c r="E380">
        <v>8123</v>
      </c>
      <c r="F380">
        <v>8</v>
      </c>
      <c r="G380">
        <v>5.6</v>
      </c>
      <c r="H380">
        <v>1.4285715000000001</v>
      </c>
      <c r="I380">
        <v>-0.42857146000000002</v>
      </c>
      <c r="J380">
        <v>0.41176467999999999</v>
      </c>
    </row>
    <row r="381" spans="1:10" x14ac:dyDescent="0.3">
      <c r="A381">
        <v>379</v>
      </c>
      <c r="B381">
        <v>6033</v>
      </c>
      <c r="C381" t="b">
        <v>1</v>
      </c>
      <c r="D381">
        <v>8048</v>
      </c>
      <c r="E381">
        <v>8123</v>
      </c>
      <c r="F381">
        <v>8</v>
      </c>
      <c r="G381">
        <v>5.6</v>
      </c>
      <c r="H381">
        <v>1.4285715000000001</v>
      </c>
      <c r="I381">
        <v>-0.42857146000000002</v>
      </c>
      <c r="J381">
        <v>0.41176467999999999</v>
      </c>
    </row>
    <row r="382" spans="1:10" x14ac:dyDescent="0.3">
      <c r="A382">
        <v>380</v>
      </c>
      <c r="B382">
        <v>6049</v>
      </c>
      <c r="C382" t="b">
        <v>1</v>
      </c>
      <c r="D382">
        <v>8048</v>
      </c>
      <c r="E382">
        <v>8123</v>
      </c>
      <c r="F382">
        <v>8</v>
      </c>
      <c r="G382">
        <v>5.6</v>
      </c>
      <c r="H382">
        <v>1.4285715000000001</v>
      </c>
      <c r="I382">
        <v>-0.42857146000000002</v>
      </c>
      <c r="J382">
        <v>0.41176467999999999</v>
      </c>
    </row>
    <row r="383" spans="1:10" x14ac:dyDescent="0.3">
      <c r="A383">
        <v>381</v>
      </c>
      <c r="B383">
        <v>6065</v>
      </c>
      <c r="C383" t="b">
        <v>1</v>
      </c>
      <c r="D383">
        <v>8048</v>
      </c>
      <c r="E383">
        <v>8123</v>
      </c>
      <c r="F383">
        <v>8</v>
      </c>
      <c r="G383">
        <v>6</v>
      </c>
      <c r="H383">
        <v>1.3333333999999999</v>
      </c>
      <c r="I383">
        <v>-0.33333333999999998</v>
      </c>
      <c r="J383">
        <v>0.42857142999999998</v>
      </c>
    </row>
    <row r="384" spans="1:10" x14ac:dyDescent="0.3">
      <c r="A384">
        <v>382</v>
      </c>
      <c r="B384">
        <v>6080</v>
      </c>
      <c r="C384" t="b">
        <v>1</v>
      </c>
      <c r="D384">
        <v>8048</v>
      </c>
      <c r="E384">
        <v>8123</v>
      </c>
      <c r="F384">
        <v>8</v>
      </c>
      <c r="G384">
        <v>6.4</v>
      </c>
      <c r="H384">
        <v>1.25</v>
      </c>
      <c r="I384">
        <v>-0.24999999000000001</v>
      </c>
      <c r="J384">
        <v>0.44444447999999998</v>
      </c>
    </row>
    <row r="385" spans="1:10" x14ac:dyDescent="0.3">
      <c r="A385">
        <v>383</v>
      </c>
      <c r="B385">
        <v>6096</v>
      </c>
      <c r="C385" t="b">
        <v>1</v>
      </c>
      <c r="D385">
        <v>8048</v>
      </c>
      <c r="E385">
        <v>8129</v>
      </c>
      <c r="F385">
        <v>8</v>
      </c>
      <c r="G385">
        <v>6.8</v>
      </c>
      <c r="H385">
        <v>1.1764705</v>
      </c>
      <c r="I385">
        <v>-0.17647055</v>
      </c>
      <c r="J385">
        <v>0.45945944999999999</v>
      </c>
    </row>
    <row r="386" spans="1:10" x14ac:dyDescent="0.3">
      <c r="A386">
        <v>384</v>
      </c>
      <c r="B386">
        <v>6113</v>
      </c>
      <c r="C386" t="b">
        <v>1</v>
      </c>
      <c r="D386">
        <v>8054</v>
      </c>
      <c r="E386">
        <v>8123</v>
      </c>
      <c r="F386">
        <v>8</v>
      </c>
      <c r="G386">
        <v>7.2</v>
      </c>
      <c r="H386">
        <v>1.1111112000000001</v>
      </c>
      <c r="I386">
        <v>-0.11111114</v>
      </c>
      <c r="J386">
        <v>0.4736842</v>
      </c>
    </row>
    <row r="387" spans="1:10" x14ac:dyDescent="0.3">
      <c r="A387">
        <v>385</v>
      </c>
      <c r="B387">
        <v>6128</v>
      </c>
      <c r="C387" t="b">
        <v>1</v>
      </c>
      <c r="D387">
        <v>8048</v>
      </c>
      <c r="E387">
        <v>8123</v>
      </c>
      <c r="F387">
        <v>8</v>
      </c>
      <c r="G387">
        <v>7.6</v>
      </c>
      <c r="H387">
        <v>1.0526316</v>
      </c>
      <c r="I387">
        <v>-5.2631589999999999E-2</v>
      </c>
      <c r="J387">
        <v>0.48717946000000001</v>
      </c>
    </row>
    <row r="388" spans="1:10" x14ac:dyDescent="0.3">
      <c r="A388">
        <v>386</v>
      </c>
      <c r="B388">
        <v>6144</v>
      </c>
      <c r="C388" t="b">
        <v>1</v>
      </c>
      <c r="D388">
        <v>8048</v>
      </c>
      <c r="E388">
        <v>8129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6160</v>
      </c>
      <c r="C389" t="b">
        <v>1</v>
      </c>
      <c r="D389">
        <v>8048</v>
      </c>
      <c r="E389">
        <v>8123</v>
      </c>
      <c r="F389">
        <v>8</v>
      </c>
      <c r="G389">
        <v>8</v>
      </c>
      <c r="H389">
        <v>1</v>
      </c>
      <c r="I389">
        <v>0</v>
      </c>
      <c r="J389">
        <v>0.5</v>
      </c>
    </row>
    <row r="390" spans="1:10" x14ac:dyDescent="0.3">
      <c r="A390">
        <v>388</v>
      </c>
      <c r="B390">
        <v>6176</v>
      </c>
      <c r="C390" t="b">
        <v>1</v>
      </c>
      <c r="D390">
        <v>8048</v>
      </c>
      <c r="E390">
        <v>8129</v>
      </c>
      <c r="F390">
        <v>8</v>
      </c>
      <c r="G390">
        <v>8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6192</v>
      </c>
      <c r="C391" t="b">
        <v>1</v>
      </c>
      <c r="D391">
        <v>8042</v>
      </c>
      <c r="E391">
        <v>8123</v>
      </c>
      <c r="F391">
        <v>8</v>
      </c>
      <c r="G391">
        <v>8</v>
      </c>
      <c r="H391">
        <v>1</v>
      </c>
      <c r="I391">
        <v>0</v>
      </c>
      <c r="J391">
        <v>0.5</v>
      </c>
    </row>
    <row r="392" spans="1:10" x14ac:dyDescent="0.3">
      <c r="A392">
        <v>390</v>
      </c>
      <c r="B392">
        <v>6208</v>
      </c>
      <c r="C392" t="b">
        <v>1</v>
      </c>
      <c r="D392">
        <v>8048</v>
      </c>
      <c r="E392">
        <v>8123</v>
      </c>
      <c r="F392">
        <v>8</v>
      </c>
      <c r="G392">
        <v>8</v>
      </c>
      <c r="H392">
        <v>1</v>
      </c>
      <c r="I392">
        <v>0</v>
      </c>
      <c r="J392">
        <v>0.5</v>
      </c>
    </row>
    <row r="393" spans="1:10" x14ac:dyDescent="0.3">
      <c r="A393">
        <v>391</v>
      </c>
      <c r="B393">
        <v>6224</v>
      </c>
      <c r="C393" t="b">
        <v>1</v>
      </c>
      <c r="D393">
        <v>8048</v>
      </c>
      <c r="E393">
        <v>8123</v>
      </c>
      <c r="F393">
        <v>8</v>
      </c>
      <c r="G393">
        <v>8</v>
      </c>
      <c r="H393">
        <v>1</v>
      </c>
      <c r="I393">
        <v>0</v>
      </c>
      <c r="J393">
        <v>0.5</v>
      </c>
    </row>
    <row r="394" spans="1:10" x14ac:dyDescent="0.3">
      <c r="A394">
        <v>392</v>
      </c>
      <c r="B394">
        <v>6239</v>
      </c>
      <c r="C394" t="b">
        <v>1</v>
      </c>
      <c r="D394">
        <v>8048</v>
      </c>
      <c r="E394">
        <v>8123</v>
      </c>
      <c r="F394">
        <v>8</v>
      </c>
      <c r="G394">
        <v>8</v>
      </c>
      <c r="H394">
        <v>1</v>
      </c>
      <c r="I394">
        <v>0</v>
      </c>
      <c r="J394">
        <v>0.5</v>
      </c>
    </row>
    <row r="395" spans="1:10" x14ac:dyDescent="0.3">
      <c r="A395">
        <v>393</v>
      </c>
      <c r="B395">
        <v>6255</v>
      </c>
      <c r="C395" t="b">
        <v>1</v>
      </c>
      <c r="D395">
        <v>8048</v>
      </c>
      <c r="E395">
        <v>8129</v>
      </c>
      <c r="F395">
        <v>8</v>
      </c>
      <c r="G395">
        <v>8</v>
      </c>
      <c r="H395">
        <v>1</v>
      </c>
      <c r="I395">
        <v>0</v>
      </c>
      <c r="J395">
        <v>0.5</v>
      </c>
    </row>
    <row r="396" spans="1:10" x14ac:dyDescent="0.3">
      <c r="A396">
        <v>394</v>
      </c>
      <c r="B396">
        <v>6271</v>
      </c>
      <c r="C396" t="b">
        <v>1</v>
      </c>
      <c r="D396">
        <v>8048</v>
      </c>
      <c r="E396">
        <v>8134</v>
      </c>
      <c r="F396">
        <v>8</v>
      </c>
      <c r="G396">
        <v>8</v>
      </c>
      <c r="H396">
        <v>1</v>
      </c>
      <c r="I396">
        <v>0</v>
      </c>
      <c r="J396">
        <v>0.5</v>
      </c>
    </row>
    <row r="397" spans="1:10" x14ac:dyDescent="0.3">
      <c r="A397">
        <v>395</v>
      </c>
      <c r="B397">
        <v>6287</v>
      </c>
      <c r="C397" t="b">
        <v>1</v>
      </c>
      <c r="D397">
        <v>8048</v>
      </c>
      <c r="E397">
        <v>8129</v>
      </c>
      <c r="F397">
        <v>8</v>
      </c>
      <c r="G397">
        <v>8.4</v>
      </c>
      <c r="H397">
        <v>0.95238100000000003</v>
      </c>
      <c r="I397">
        <v>4.7619003999999999E-2</v>
      </c>
      <c r="J397">
        <v>0.51219510000000001</v>
      </c>
    </row>
    <row r="398" spans="1:10" x14ac:dyDescent="0.3">
      <c r="A398">
        <v>396</v>
      </c>
      <c r="B398">
        <v>6303</v>
      </c>
      <c r="C398" t="b">
        <v>1</v>
      </c>
      <c r="D398">
        <v>8048</v>
      </c>
      <c r="E398">
        <v>8123</v>
      </c>
      <c r="F398">
        <v>8</v>
      </c>
      <c r="G398">
        <v>8.8000000000000007</v>
      </c>
      <c r="H398">
        <v>0.90909090000000004</v>
      </c>
      <c r="I398">
        <v>9.0909110000000001E-2</v>
      </c>
      <c r="J398">
        <v>0.52380954999999996</v>
      </c>
    </row>
    <row r="399" spans="1:10" x14ac:dyDescent="0.3">
      <c r="A399">
        <v>397</v>
      </c>
      <c r="B399">
        <v>6319</v>
      </c>
      <c r="C399" t="b">
        <v>1</v>
      </c>
      <c r="D399">
        <v>8042</v>
      </c>
      <c r="E399">
        <v>8123</v>
      </c>
      <c r="F399">
        <v>8</v>
      </c>
      <c r="G399">
        <v>9.1999999999999993</v>
      </c>
      <c r="H399">
        <v>0.86956524999999996</v>
      </c>
      <c r="I399">
        <v>0.13043477000000001</v>
      </c>
      <c r="J399">
        <v>0.53488369999999996</v>
      </c>
    </row>
    <row r="400" spans="1:10" x14ac:dyDescent="0.3">
      <c r="A400">
        <v>398</v>
      </c>
      <c r="B400">
        <v>6335</v>
      </c>
      <c r="C400" t="b">
        <v>1</v>
      </c>
      <c r="D400">
        <v>8048</v>
      </c>
      <c r="E400">
        <v>8123</v>
      </c>
      <c r="F400">
        <v>8</v>
      </c>
      <c r="G400">
        <v>9.1999999999999993</v>
      </c>
      <c r="H400">
        <v>0.86956524999999996</v>
      </c>
      <c r="I400">
        <v>0.13043477000000001</v>
      </c>
      <c r="J400">
        <v>0.53488369999999996</v>
      </c>
    </row>
    <row r="401" spans="1:10" x14ac:dyDescent="0.3">
      <c r="A401">
        <v>399</v>
      </c>
      <c r="B401">
        <v>6351</v>
      </c>
      <c r="C401" t="b">
        <v>1</v>
      </c>
      <c r="D401">
        <v>8054</v>
      </c>
      <c r="E401">
        <v>8123</v>
      </c>
      <c r="F401">
        <v>8</v>
      </c>
      <c r="G401">
        <v>9.1999999999999993</v>
      </c>
      <c r="H401">
        <v>0.86956524999999996</v>
      </c>
      <c r="I401">
        <v>0.13043477000000001</v>
      </c>
      <c r="J401">
        <v>0.53488369999999996</v>
      </c>
    </row>
    <row r="402" spans="1:10" x14ac:dyDescent="0.3">
      <c r="A402">
        <v>400</v>
      </c>
      <c r="B402">
        <v>6367</v>
      </c>
      <c r="C402" t="b">
        <v>1</v>
      </c>
      <c r="D402">
        <v>8048</v>
      </c>
      <c r="E402">
        <v>8123</v>
      </c>
      <c r="F402">
        <v>8</v>
      </c>
      <c r="G402">
        <v>9.1999999999999993</v>
      </c>
      <c r="H402">
        <v>0.86956524999999996</v>
      </c>
      <c r="I402">
        <v>0.13043477000000001</v>
      </c>
      <c r="J402">
        <v>0.53488369999999996</v>
      </c>
    </row>
    <row r="403" spans="1:10" x14ac:dyDescent="0.3">
      <c r="A403">
        <v>401</v>
      </c>
      <c r="B403">
        <v>6383</v>
      </c>
      <c r="C403" t="b">
        <v>1</v>
      </c>
      <c r="D403">
        <v>8048</v>
      </c>
      <c r="E403">
        <v>8123</v>
      </c>
      <c r="F403">
        <v>8</v>
      </c>
      <c r="G403">
        <v>9.1999999999999993</v>
      </c>
      <c r="H403">
        <v>0.86956524999999996</v>
      </c>
      <c r="I403">
        <v>0.13043477000000001</v>
      </c>
      <c r="J403">
        <v>0.53488369999999996</v>
      </c>
    </row>
    <row r="404" spans="1:10" x14ac:dyDescent="0.3">
      <c r="A404">
        <v>402</v>
      </c>
      <c r="B404">
        <v>6399</v>
      </c>
      <c r="C404" t="b">
        <v>1</v>
      </c>
      <c r="D404">
        <v>8048</v>
      </c>
      <c r="E404">
        <v>8123</v>
      </c>
      <c r="F404">
        <v>8</v>
      </c>
      <c r="G404">
        <v>9.1999999999999993</v>
      </c>
      <c r="H404">
        <v>0.86956524999999996</v>
      </c>
      <c r="I404">
        <v>0.13043477000000001</v>
      </c>
      <c r="J404">
        <v>0.53488369999999996</v>
      </c>
    </row>
    <row r="405" spans="1:10" x14ac:dyDescent="0.3">
      <c r="A405">
        <v>403</v>
      </c>
      <c r="B405">
        <v>6415</v>
      </c>
      <c r="C405" t="b">
        <v>1</v>
      </c>
      <c r="D405">
        <v>8048</v>
      </c>
      <c r="E405">
        <v>8123</v>
      </c>
      <c r="F405">
        <v>8</v>
      </c>
      <c r="G405">
        <v>9.1999999999999993</v>
      </c>
      <c r="H405">
        <v>0.86956524999999996</v>
      </c>
      <c r="I405">
        <v>0.13043477000000001</v>
      </c>
      <c r="J405">
        <v>0.53488369999999996</v>
      </c>
    </row>
    <row r="406" spans="1:10" x14ac:dyDescent="0.3">
      <c r="A406">
        <v>404</v>
      </c>
      <c r="B406">
        <v>6431</v>
      </c>
      <c r="C406" t="b">
        <v>1</v>
      </c>
      <c r="D406">
        <v>8048</v>
      </c>
      <c r="E406">
        <v>8123</v>
      </c>
      <c r="F406">
        <v>8</v>
      </c>
      <c r="G406">
        <v>9.1999999999999993</v>
      </c>
      <c r="H406">
        <v>0.86956524999999996</v>
      </c>
      <c r="I406">
        <v>0.13043477000000001</v>
      </c>
      <c r="J406">
        <v>0.53488369999999996</v>
      </c>
    </row>
    <row r="407" spans="1:10" x14ac:dyDescent="0.3">
      <c r="A407">
        <v>405</v>
      </c>
      <c r="B407">
        <v>6446</v>
      </c>
      <c r="C407" t="b">
        <v>1</v>
      </c>
      <c r="D407">
        <v>8048</v>
      </c>
      <c r="E407">
        <v>8123</v>
      </c>
      <c r="F407">
        <v>8</v>
      </c>
      <c r="G407">
        <v>9.1999999999999993</v>
      </c>
      <c r="H407">
        <v>0.86956524999999996</v>
      </c>
      <c r="I407">
        <v>0.13043477000000001</v>
      </c>
      <c r="J407">
        <v>0.53488369999999996</v>
      </c>
    </row>
    <row r="408" spans="1:10" x14ac:dyDescent="0.3">
      <c r="A408">
        <v>406</v>
      </c>
      <c r="B408">
        <v>6462</v>
      </c>
      <c r="C408" t="b">
        <v>1</v>
      </c>
      <c r="D408">
        <v>8048</v>
      </c>
      <c r="E408">
        <v>8123</v>
      </c>
      <c r="F408">
        <v>8</v>
      </c>
      <c r="G408">
        <v>9.1999999999999993</v>
      </c>
      <c r="H408">
        <v>0.86956524999999996</v>
      </c>
      <c r="I408">
        <v>0.13043477000000001</v>
      </c>
      <c r="J408">
        <v>0.53488369999999996</v>
      </c>
    </row>
    <row r="409" spans="1:10" x14ac:dyDescent="0.3">
      <c r="A409">
        <v>407</v>
      </c>
      <c r="B409">
        <v>6478</v>
      </c>
      <c r="C409" t="b">
        <v>1</v>
      </c>
      <c r="D409">
        <v>8048</v>
      </c>
      <c r="E409">
        <v>8117</v>
      </c>
      <c r="F409">
        <v>8</v>
      </c>
      <c r="G409">
        <v>9.1999999999999993</v>
      </c>
      <c r="H409">
        <v>0.86956524999999996</v>
      </c>
      <c r="I409">
        <v>0.13043477000000001</v>
      </c>
      <c r="J409">
        <v>0.53488369999999996</v>
      </c>
    </row>
    <row r="410" spans="1:10" x14ac:dyDescent="0.3">
      <c r="A410">
        <v>408</v>
      </c>
      <c r="B410">
        <v>6494</v>
      </c>
      <c r="C410" t="b">
        <v>1</v>
      </c>
      <c r="D410">
        <v>8048</v>
      </c>
      <c r="E410">
        <v>8123</v>
      </c>
      <c r="F410">
        <v>8</v>
      </c>
      <c r="G410">
        <v>9.1999999999999993</v>
      </c>
      <c r="H410">
        <v>0.86956524999999996</v>
      </c>
      <c r="I410">
        <v>0.13043477000000001</v>
      </c>
      <c r="J410">
        <v>0.53488369999999996</v>
      </c>
    </row>
    <row r="411" spans="1:10" x14ac:dyDescent="0.3">
      <c r="A411">
        <v>409</v>
      </c>
      <c r="B411">
        <v>6509</v>
      </c>
      <c r="C411" t="b">
        <v>1</v>
      </c>
      <c r="D411">
        <v>8048</v>
      </c>
      <c r="E411">
        <v>8123</v>
      </c>
      <c r="F411">
        <v>8</v>
      </c>
      <c r="G411">
        <v>9.1999999999999993</v>
      </c>
      <c r="H411">
        <v>0.86956524999999996</v>
      </c>
      <c r="I411">
        <v>0.13043477000000001</v>
      </c>
      <c r="J411">
        <v>0.53488369999999996</v>
      </c>
    </row>
    <row r="412" spans="1:10" x14ac:dyDescent="0.3">
      <c r="A412">
        <v>410</v>
      </c>
      <c r="B412">
        <v>6525</v>
      </c>
      <c r="C412" t="b">
        <v>1</v>
      </c>
      <c r="D412">
        <v>8048</v>
      </c>
      <c r="E412">
        <v>8134</v>
      </c>
      <c r="F412">
        <v>8</v>
      </c>
      <c r="G412">
        <v>8.8000000000000007</v>
      </c>
      <c r="H412">
        <v>0.90909090000000004</v>
      </c>
      <c r="I412">
        <v>9.0909110000000001E-2</v>
      </c>
      <c r="J412">
        <v>0.52380954999999996</v>
      </c>
    </row>
    <row r="413" spans="1:10" x14ac:dyDescent="0.3">
      <c r="A413">
        <v>411</v>
      </c>
      <c r="B413">
        <v>6541</v>
      </c>
      <c r="C413" t="b">
        <v>1</v>
      </c>
      <c r="D413">
        <v>8054</v>
      </c>
      <c r="E413">
        <v>8129</v>
      </c>
      <c r="F413">
        <v>8</v>
      </c>
      <c r="G413">
        <v>8.4</v>
      </c>
      <c r="H413">
        <v>0.95238100000000003</v>
      </c>
      <c r="I413">
        <v>4.7619003999999999E-2</v>
      </c>
      <c r="J413">
        <v>0.51219510000000001</v>
      </c>
    </row>
    <row r="414" spans="1:10" x14ac:dyDescent="0.3">
      <c r="A414">
        <v>412</v>
      </c>
      <c r="B414">
        <v>6557</v>
      </c>
      <c r="C414" t="b">
        <v>1</v>
      </c>
      <c r="D414">
        <v>8048</v>
      </c>
      <c r="E414">
        <v>8123</v>
      </c>
      <c r="F414">
        <v>8</v>
      </c>
      <c r="G414">
        <v>8</v>
      </c>
      <c r="H414">
        <v>1</v>
      </c>
      <c r="I414">
        <v>0</v>
      </c>
      <c r="J414">
        <v>0.5</v>
      </c>
    </row>
    <row r="415" spans="1:10" x14ac:dyDescent="0.3">
      <c r="A415">
        <v>413</v>
      </c>
      <c r="B415">
        <v>6572</v>
      </c>
      <c r="C415" t="b">
        <v>1</v>
      </c>
      <c r="D415">
        <v>8048</v>
      </c>
      <c r="E415">
        <v>8123</v>
      </c>
      <c r="F415">
        <v>8</v>
      </c>
      <c r="G415">
        <v>8</v>
      </c>
      <c r="H415">
        <v>1</v>
      </c>
      <c r="I415">
        <v>0</v>
      </c>
      <c r="J415">
        <v>0.5</v>
      </c>
    </row>
    <row r="416" spans="1:10" x14ac:dyDescent="0.3">
      <c r="A416">
        <v>414</v>
      </c>
      <c r="B416">
        <v>6588</v>
      </c>
      <c r="C416" t="b">
        <v>1</v>
      </c>
      <c r="D416">
        <v>8054</v>
      </c>
      <c r="E416">
        <v>8117</v>
      </c>
      <c r="F416">
        <v>8</v>
      </c>
      <c r="G416">
        <v>8</v>
      </c>
      <c r="H416">
        <v>1</v>
      </c>
      <c r="I416">
        <v>0</v>
      </c>
      <c r="J416">
        <v>0.5</v>
      </c>
    </row>
    <row r="417" spans="1:10" x14ac:dyDescent="0.3">
      <c r="A417">
        <v>415</v>
      </c>
      <c r="B417">
        <v>6604</v>
      </c>
      <c r="C417" t="b">
        <v>1</v>
      </c>
      <c r="D417">
        <v>8048</v>
      </c>
      <c r="E417">
        <v>8117</v>
      </c>
      <c r="F417">
        <v>8</v>
      </c>
      <c r="G417">
        <v>8</v>
      </c>
      <c r="H417">
        <v>1</v>
      </c>
      <c r="I417">
        <v>0</v>
      </c>
      <c r="J417">
        <v>0.5</v>
      </c>
    </row>
    <row r="418" spans="1:10" x14ac:dyDescent="0.3">
      <c r="A418">
        <v>416</v>
      </c>
      <c r="B418">
        <v>6620</v>
      </c>
      <c r="C418" t="b">
        <v>1</v>
      </c>
      <c r="D418">
        <v>8048</v>
      </c>
      <c r="E418">
        <v>8117</v>
      </c>
      <c r="F418">
        <v>8</v>
      </c>
      <c r="G418">
        <v>7.6</v>
      </c>
      <c r="H418">
        <v>1.0526316</v>
      </c>
      <c r="I418">
        <v>-5.2631589999999999E-2</v>
      </c>
      <c r="J418">
        <v>0.48717946000000001</v>
      </c>
    </row>
    <row r="419" spans="1:10" x14ac:dyDescent="0.3">
      <c r="A419">
        <v>417</v>
      </c>
      <c r="B419">
        <v>6636</v>
      </c>
      <c r="C419" t="b">
        <v>1</v>
      </c>
      <c r="D419">
        <v>8048</v>
      </c>
      <c r="E419">
        <v>8117</v>
      </c>
      <c r="F419">
        <v>8</v>
      </c>
      <c r="G419">
        <v>7.2</v>
      </c>
      <c r="H419">
        <v>1.1111112000000001</v>
      </c>
      <c r="I419">
        <v>-0.11111114</v>
      </c>
      <c r="J419">
        <v>0.4736842</v>
      </c>
    </row>
    <row r="420" spans="1:10" x14ac:dyDescent="0.3">
      <c r="A420">
        <v>418</v>
      </c>
      <c r="B420">
        <v>6651</v>
      </c>
      <c r="C420" t="b">
        <v>1</v>
      </c>
      <c r="D420">
        <v>8048</v>
      </c>
      <c r="E420">
        <v>8117</v>
      </c>
      <c r="F420">
        <v>8</v>
      </c>
      <c r="G420">
        <v>6.8</v>
      </c>
      <c r="H420">
        <v>1.1764705</v>
      </c>
      <c r="I420">
        <v>-0.17647055</v>
      </c>
      <c r="J420">
        <v>0.45945944999999999</v>
      </c>
    </row>
    <row r="421" spans="1:10" x14ac:dyDescent="0.3">
      <c r="A421">
        <v>419</v>
      </c>
      <c r="B421">
        <v>6668</v>
      </c>
      <c r="C421" t="b">
        <v>1</v>
      </c>
      <c r="D421">
        <v>8048</v>
      </c>
      <c r="E421">
        <v>8117</v>
      </c>
      <c r="F421">
        <v>8</v>
      </c>
      <c r="G421">
        <v>6.4</v>
      </c>
      <c r="H421">
        <v>1.25</v>
      </c>
      <c r="I421">
        <v>-0.24999999000000001</v>
      </c>
      <c r="J421">
        <v>0.44444447999999998</v>
      </c>
    </row>
    <row r="422" spans="1:10" x14ac:dyDescent="0.3">
      <c r="A422">
        <v>420</v>
      </c>
      <c r="B422">
        <v>6683</v>
      </c>
      <c r="C422" t="b">
        <v>1</v>
      </c>
      <c r="D422">
        <v>8048</v>
      </c>
      <c r="E422">
        <v>8123</v>
      </c>
      <c r="F422">
        <v>8</v>
      </c>
      <c r="G422">
        <v>6</v>
      </c>
      <c r="H422">
        <v>1.3333333999999999</v>
      </c>
      <c r="I422">
        <v>-0.33333333999999998</v>
      </c>
      <c r="J422">
        <v>0.42857142999999998</v>
      </c>
    </row>
    <row r="423" spans="1:10" x14ac:dyDescent="0.3">
      <c r="A423">
        <v>421</v>
      </c>
      <c r="B423">
        <v>6699</v>
      </c>
      <c r="C423" t="b">
        <v>1</v>
      </c>
      <c r="D423">
        <v>8048</v>
      </c>
      <c r="E423">
        <v>8123</v>
      </c>
      <c r="F423">
        <v>8</v>
      </c>
      <c r="G423">
        <v>5.6</v>
      </c>
      <c r="H423">
        <v>1.4285715000000001</v>
      </c>
      <c r="I423">
        <v>-0.42857146000000002</v>
      </c>
      <c r="J423">
        <v>0.41176467999999999</v>
      </c>
    </row>
    <row r="424" spans="1:10" x14ac:dyDescent="0.3">
      <c r="A424">
        <v>422</v>
      </c>
      <c r="B424">
        <v>6715</v>
      </c>
      <c r="C424" t="b">
        <v>1</v>
      </c>
      <c r="D424">
        <v>8048</v>
      </c>
      <c r="E424">
        <v>8123</v>
      </c>
      <c r="F424">
        <v>8</v>
      </c>
      <c r="G424">
        <v>5.6</v>
      </c>
      <c r="H424">
        <v>1.4285715000000001</v>
      </c>
      <c r="I424">
        <v>-0.42857146000000002</v>
      </c>
      <c r="J424">
        <v>0.41176467999999999</v>
      </c>
    </row>
    <row r="425" spans="1:10" x14ac:dyDescent="0.3">
      <c r="A425">
        <v>423</v>
      </c>
      <c r="B425">
        <v>6731</v>
      </c>
      <c r="C425" t="b">
        <v>1</v>
      </c>
      <c r="D425">
        <v>8048</v>
      </c>
      <c r="E425">
        <v>8123</v>
      </c>
      <c r="F425">
        <v>8</v>
      </c>
      <c r="G425">
        <v>5.6</v>
      </c>
      <c r="H425">
        <v>1.4285715000000001</v>
      </c>
      <c r="I425">
        <v>-0.42857146000000002</v>
      </c>
      <c r="J425">
        <v>0.41176467999999999</v>
      </c>
    </row>
    <row r="426" spans="1:10" x14ac:dyDescent="0.3">
      <c r="A426">
        <v>424</v>
      </c>
      <c r="B426">
        <v>6747</v>
      </c>
      <c r="C426" t="b">
        <v>1</v>
      </c>
      <c r="D426">
        <v>8048</v>
      </c>
      <c r="E426">
        <v>8123</v>
      </c>
      <c r="F426">
        <v>8</v>
      </c>
      <c r="G426">
        <v>5.6</v>
      </c>
      <c r="H426">
        <v>1.4285715000000001</v>
      </c>
      <c r="I426">
        <v>-0.42857146000000002</v>
      </c>
      <c r="J426">
        <v>0.41176467999999999</v>
      </c>
    </row>
    <row r="427" spans="1:10" x14ac:dyDescent="0.3">
      <c r="A427">
        <v>425</v>
      </c>
      <c r="B427">
        <v>6763</v>
      </c>
      <c r="C427" t="b">
        <v>1</v>
      </c>
      <c r="D427">
        <v>8048</v>
      </c>
      <c r="E427">
        <v>8123</v>
      </c>
      <c r="F427">
        <v>8</v>
      </c>
      <c r="G427">
        <v>5.6</v>
      </c>
      <c r="H427">
        <v>1.4285715000000001</v>
      </c>
      <c r="I427">
        <v>-0.42857146000000002</v>
      </c>
      <c r="J427">
        <v>0.41176467999999999</v>
      </c>
    </row>
    <row r="428" spans="1:10" x14ac:dyDescent="0.3">
      <c r="A428">
        <v>426</v>
      </c>
      <c r="B428">
        <v>6779</v>
      </c>
      <c r="C428" t="b">
        <v>1</v>
      </c>
      <c r="D428">
        <v>8054</v>
      </c>
      <c r="E428">
        <v>8129</v>
      </c>
      <c r="F428">
        <v>8</v>
      </c>
      <c r="G428">
        <v>5.6</v>
      </c>
      <c r="H428">
        <v>1.4285715000000001</v>
      </c>
      <c r="I428">
        <v>-0.42857146000000002</v>
      </c>
      <c r="J428">
        <v>0.41176467999999999</v>
      </c>
    </row>
    <row r="429" spans="1:10" x14ac:dyDescent="0.3">
      <c r="A429">
        <v>427</v>
      </c>
      <c r="B429">
        <v>6795</v>
      </c>
      <c r="C429" t="b">
        <v>1</v>
      </c>
      <c r="D429">
        <v>8048</v>
      </c>
      <c r="E429">
        <v>8123</v>
      </c>
      <c r="F429">
        <v>8</v>
      </c>
      <c r="G429">
        <v>5.6</v>
      </c>
      <c r="H429">
        <v>1.4285715000000001</v>
      </c>
      <c r="I429">
        <v>-0.42857146000000002</v>
      </c>
      <c r="J429">
        <v>0.41176467999999999</v>
      </c>
    </row>
    <row r="430" spans="1:10" x14ac:dyDescent="0.3">
      <c r="A430">
        <v>428</v>
      </c>
      <c r="B430">
        <v>6811</v>
      </c>
      <c r="C430" t="b">
        <v>1</v>
      </c>
      <c r="D430">
        <v>8048</v>
      </c>
      <c r="E430">
        <v>8123</v>
      </c>
      <c r="F430">
        <v>8</v>
      </c>
      <c r="G430">
        <v>5.6</v>
      </c>
      <c r="H430">
        <v>1.4285715000000001</v>
      </c>
      <c r="I430">
        <v>-0.42857146000000002</v>
      </c>
      <c r="J430">
        <v>0.41176467999999999</v>
      </c>
    </row>
    <row r="431" spans="1:10" x14ac:dyDescent="0.3">
      <c r="A431">
        <v>429</v>
      </c>
      <c r="B431">
        <v>6827</v>
      </c>
      <c r="C431" t="b">
        <v>1</v>
      </c>
      <c r="D431">
        <v>8048</v>
      </c>
      <c r="E431">
        <v>8123</v>
      </c>
      <c r="F431">
        <v>8</v>
      </c>
      <c r="G431">
        <v>5.6</v>
      </c>
      <c r="H431">
        <v>1.4285715000000001</v>
      </c>
      <c r="I431">
        <v>-0.42857146000000002</v>
      </c>
      <c r="J431">
        <v>0.41176467999999999</v>
      </c>
    </row>
    <row r="432" spans="1:10" x14ac:dyDescent="0.3">
      <c r="A432">
        <v>430</v>
      </c>
      <c r="B432">
        <v>6843</v>
      </c>
      <c r="C432" t="b">
        <v>1</v>
      </c>
      <c r="D432">
        <v>8048</v>
      </c>
      <c r="E432">
        <v>8123</v>
      </c>
      <c r="F432">
        <v>8</v>
      </c>
      <c r="G432">
        <v>5.6</v>
      </c>
      <c r="H432">
        <v>1.4285715000000001</v>
      </c>
      <c r="I432">
        <v>-0.42857146000000002</v>
      </c>
      <c r="J432">
        <v>0.41176467999999999</v>
      </c>
    </row>
    <row r="433" spans="1:10" x14ac:dyDescent="0.3">
      <c r="A433">
        <v>431</v>
      </c>
      <c r="B433">
        <v>6858</v>
      </c>
      <c r="C433" t="b">
        <v>1</v>
      </c>
      <c r="D433">
        <v>8048</v>
      </c>
      <c r="E433">
        <v>8123</v>
      </c>
      <c r="F433">
        <v>8</v>
      </c>
      <c r="G433">
        <v>6</v>
      </c>
      <c r="H433">
        <v>1.3333333999999999</v>
      </c>
      <c r="I433">
        <v>-0.33333333999999998</v>
      </c>
      <c r="J433">
        <v>0.42857142999999998</v>
      </c>
    </row>
    <row r="434" spans="1:10" x14ac:dyDescent="0.3">
      <c r="A434">
        <v>432</v>
      </c>
      <c r="B434">
        <v>6874</v>
      </c>
      <c r="C434" t="b">
        <v>1</v>
      </c>
      <c r="D434">
        <v>8054</v>
      </c>
      <c r="E434">
        <v>8129</v>
      </c>
      <c r="F434">
        <v>8</v>
      </c>
      <c r="G434">
        <v>6.4</v>
      </c>
      <c r="H434">
        <v>1.25</v>
      </c>
      <c r="I434">
        <v>-0.24999999000000001</v>
      </c>
      <c r="J434">
        <v>0.44444447999999998</v>
      </c>
    </row>
    <row r="435" spans="1:10" x14ac:dyDescent="0.3">
      <c r="A435">
        <v>433</v>
      </c>
      <c r="B435">
        <v>6890</v>
      </c>
      <c r="C435" t="b">
        <v>1</v>
      </c>
      <c r="D435">
        <v>8048</v>
      </c>
      <c r="E435">
        <v>8123</v>
      </c>
      <c r="F435">
        <v>8</v>
      </c>
      <c r="G435">
        <v>6.8</v>
      </c>
      <c r="H435">
        <v>1.1764705</v>
      </c>
      <c r="I435">
        <v>-0.17647055</v>
      </c>
      <c r="J435">
        <v>0.45945944999999999</v>
      </c>
    </row>
    <row r="436" spans="1:10" x14ac:dyDescent="0.3">
      <c r="A436">
        <v>434</v>
      </c>
      <c r="B436">
        <v>6906</v>
      </c>
      <c r="C436" t="b">
        <v>1</v>
      </c>
      <c r="D436">
        <v>8042</v>
      </c>
      <c r="E436">
        <v>8123</v>
      </c>
      <c r="F436">
        <v>8</v>
      </c>
      <c r="G436">
        <v>7.2</v>
      </c>
      <c r="H436">
        <v>1.1111112000000001</v>
      </c>
      <c r="I436">
        <v>-0.11111114</v>
      </c>
      <c r="J436">
        <v>0.4736842</v>
      </c>
    </row>
    <row r="437" spans="1:10" x14ac:dyDescent="0.3">
      <c r="A437">
        <v>435</v>
      </c>
      <c r="B437">
        <v>6922</v>
      </c>
      <c r="C437" t="b">
        <v>1</v>
      </c>
      <c r="D437">
        <v>8048</v>
      </c>
      <c r="E437">
        <v>8129</v>
      </c>
      <c r="F437">
        <v>8</v>
      </c>
      <c r="G437">
        <v>7.6</v>
      </c>
      <c r="H437">
        <v>1.0526316</v>
      </c>
      <c r="I437">
        <v>-5.2631589999999999E-2</v>
      </c>
      <c r="J437">
        <v>0.48717946000000001</v>
      </c>
    </row>
    <row r="438" spans="1:10" x14ac:dyDescent="0.3">
      <c r="A438">
        <v>436</v>
      </c>
      <c r="B438">
        <v>6938</v>
      </c>
      <c r="C438" t="b">
        <v>1</v>
      </c>
      <c r="D438">
        <v>8048</v>
      </c>
      <c r="E438">
        <v>8129</v>
      </c>
      <c r="F438">
        <v>8</v>
      </c>
      <c r="G438">
        <v>8.4</v>
      </c>
      <c r="H438">
        <v>0.95238100000000003</v>
      </c>
      <c r="I438">
        <v>4.7619003999999999E-2</v>
      </c>
      <c r="J438">
        <v>0.51219510000000001</v>
      </c>
    </row>
    <row r="439" spans="1:10" x14ac:dyDescent="0.3">
      <c r="A439">
        <v>437</v>
      </c>
      <c r="B439">
        <v>6953</v>
      </c>
      <c r="C439" t="b">
        <v>1</v>
      </c>
      <c r="D439">
        <v>8048</v>
      </c>
      <c r="E439">
        <v>8129</v>
      </c>
      <c r="F439">
        <v>8</v>
      </c>
      <c r="G439">
        <v>8.8000000000000007</v>
      </c>
      <c r="H439">
        <v>0.90909090000000004</v>
      </c>
      <c r="I439">
        <v>9.0909110000000001E-2</v>
      </c>
      <c r="J439">
        <v>0.52380954999999996</v>
      </c>
    </row>
    <row r="440" spans="1:10" x14ac:dyDescent="0.3">
      <c r="A440">
        <v>438</v>
      </c>
      <c r="B440">
        <v>6969</v>
      </c>
      <c r="C440" t="b">
        <v>1</v>
      </c>
      <c r="D440">
        <v>8048</v>
      </c>
      <c r="E440">
        <v>8123</v>
      </c>
      <c r="F440">
        <v>8</v>
      </c>
      <c r="G440">
        <v>9.1999999999999993</v>
      </c>
      <c r="H440">
        <v>0.86956524999999996</v>
      </c>
      <c r="I440">
        <v>0.13043477000000001</v>
      </c>
      <c r="J440">
        <v>0.53488369999999996</v>
      </c>
    </row>
    <row r="441" spans="1:10" x14ac:dyDescent="0.3">
      <c r="A441">
        <v>439</v>
      </c>
      <c r="B441">
        <v>6985</v>
      </c>
      <c r="C441" t="b">
        <v>1</v>
      </c>
      <c r="D441">
        <v>8048</v>
      </c>
      <c r="E441">
        <v>8123</v>
      </c>
      <c r="F441">
        <v>8</v>
      </c>
      <c r="G441">
        <v>9.6</v>
      </c>
      <c r="H441">
        <v>0.83333330000000005</v>
      </c>
      <c r="I441">
        <v>0.1666667</v>
      </c>
      <c r="J441">
        <v>0.54545456000000003</v>
      </c>
    </row>
    <row r="442" spans="1:10" x14ac:dyDescent="0.3">
      <c r="A442">
        <v>440</v>
      </c>
      <c r="B442">
        <v>7001</v>
      </c>
      <c r="C442" t="b">
        <v>1</v>
      </c>
      <c r="D442">
        <v>8048</v>
      </c>
      <c r="E442">
        <v>8123</v>
      </c>
      <c r="F442">
        <v>8</v>
      </c>
      <c r="G442">
        <v>9.6</v>
      </c>
      <c r="H442">
        <v>0.83333330000000005</v>
      </c>
      <c r="I442">
        <v>0.1666667</v>
      </c>
      <c r="J442">
        <v>0.54545456000000003</v>
      </c>
    </row>
    <row r="443" spans="1:10" x14ac:dyDescent="0.3">
      <c r="A443">
        <v>441</v>
      </c>
      <c r="B443">
        <v>7016</v>
      </c>
      <c r="C443" t="b">
        <v>1</v>
      </c>
      <c r="D443">
        <v>8048</v>
      </c>
      <c r="E443">
        <v>8123</v>
      </c>
      <c r="F443">
        <v>8</v>
      </c>
      <c r="G443">
        <v>9.6</v>
      </c>
      <c r="H443">
        <v>0.83333330000000005</v>
      </c>
      <c r="I443">
        <v>0.1666667</v>
      </c>
      <c r="J443">
        <v>0.54545456000000003</v>
      </c>
    </row>
    <row r="444" spans="1:10" x14ac:dyDescent="0.3">
      <c r="A444">
        <v>442</v>
      </c>
      <c r="B444">
        <v>7032</v>
      </c>
      <c r="C444" t="b">
        <v>1</v>
      </c>
      <c r="D444">
        <v>8054</v>
      </c>
      <c r="E444">
        <v>8117</v>
      </c>
      <c r="F444">
        <v>8</v>
      </c>
      <c r="G444">
        <v>9.6</v>
      </c>
      <c r="H444">
        <v>0.83333330000000005</v>
      </c>
      <c r="I444">
        <v>0.1666667</v>
      </c>
      <c r="J444">
        <v>0.54545456000000003</v>
      </c>
    </row>
    <row r="445" spans="1:10" x14ac:dyDescent="0.3">
      <c r="A445">
        <v>443</v>
      </c>
      <c r="B445">
        <v>7048</v>
      </c>
      <c r="C445" t="b">
        <v>1</v>
      </c>
      <c r="D445">
        <v>8048</v>
      </c>
      <c r="E445">
        <v>8123</v>
      </c>
      <c r="F445">
        <v>8</v>
      </c>
      <c r="G445">
        <v>9.6</v>
      </c>
      <c r="H445">
        <v>0.83333330000000005</v>
      </c>
      <c r="I445">
        <v>0.1666667</v>
      </c>
      <c r="J445">
        <v>0.54545456000000003</v>
      </c>
    </row>
    <row r="446" spans="1:10" x14ac:dyDescent="0.3">
      <c r="A446">
        <v>444</v>
      </c>
      <c r="B446">
        <v>7064</v>
      </c>
      <c r="C446" t="b">
        <v>1</v>
      </c>
      <c r="D446">
        <v>8048</v>
      </c>
      <c r="E446">
        <v>8129</v>
      </c>
      <c r="F446">
        <v>8</v>
      </c>
      <c r="G446">
        <v>9.6</v>
      </c>
      <c r="H446">
        <v>0.83333330000000005</v>
      </c>
      <c r="I446">
        <v>0.1666667</v>
      </c>
      <c r="J446">
        <v>0.54545456000000003</v>
      </c>
    </row>
    <row r="447" spans="1:10" x14ac:dyDescent="0.3">
      <c r="A447">
        <v>445</v>
      </c>
      <c r="B447">
        <v>7080</v>
      </c>
      <c r="C447" t="b">
        <v>1</v>
      </c>
      <c r="D447">
        <v>8048</v>
      </c>
      <c r="E447">
        <v>8123</v>
      </c>
      <c r="F447">
        <v>8</v>
      </c>
      <c r="G447">
        <v>9.6</v>
      </c>
      <c r="H447">
        <v>0.83333330000000005</v>
      </c>
      <c r="I447">
        <v>0.1666667</v>
      </c>
      <c r="J447">
        <v>0.54545456000000003</v>
      </c>
    </row>
    <row r="448" spans="1:10" x14ac:dyDescent="0.3">
      <c r="A448">
        <v>446</v>
      </c>
      <c r="B448">
        <v>7096</v>
      </c>
      <c r="C448" t="b">
        <v>1</v>
      </c>
      <c r="D448">
        <v>8048</v>
      </c>
      <c r="E448">
        <v>8123</v>
      </c>
      <c r="F448">
        <v>8</v>
      </c>
      <c r="G448">
        <v>9.6</v>
      </c>
      <c r="H448">
        <v>0.83333330000000005</v>
      </c>
      <c r="I448">
        <v>0.1666667</v>
      </c>
      <c r="J448">
        <v>0.54545456000000003</v>
      </c>
    </row>
    <row r="449" spans="1:10" x14ac:dyDescent="0.3">
      <c r="A449">
        <v>447</v>
      </c>
      <c r="B449">
        <v>7112</v>
      </c>
      <c r="C449" t="b">
        <v>1</v>
      </c>
      <c r="D449">
        <v>8042</v>
      </c>
      <c r="E449">
        <v>8134</v>
      </c>
      <c r="F449">
        <v>8</v>
      </c>
      <c r="G449">
        <v>9.6</v>
      </c>
      <c r="H449">
        <v>0.83333330000000005</v>
      </c>
      <c r="I449">
        <v>0.1666667</v>
      </c>
      <c r="J449">
        <v>0.54545456000000003</v>
      </c>
    </row>
    <row r="450" spans="1:10" x14ac:dyDescent="0.3">
      <c r="A450">
        <v>448</v>
      </c>
      <c r="B450">
        <v>7128</v>
      </c>
      <c r="C450" t="b">
        <v>1</v>
      </c>
      <c r="D450">
        <v>8042</v>
      </c>
      <c r="E450">
        <v>8129</v>
      </c>
      <c r="F450">
        <v>8</v>
      </c>
      <c r="G450">
        <v>10</v>
      </c>
      <c r="H450">
        <v>0.8</v>
      </c>
      <c r="I450">
        <v>0.2</v>
      </c>
      <c r="J450">
        <v>0.55555560000000004</v>
      </c>
    </row>
    <row r="451" spans="1:10" x14ac:dyDescent="0.3">
      <c r="A451">
        <v>449</v>
      </c>
      <c r="B451">
        <v>7144</v>
      </c>
      <c r="C451" t="b">
        <v>1</v>
      </c>
      <c r="D451">
        <v>8042</v>
      </c>
      <c r="E451">
        <v>8123</v>
      </c>
      <c r="F451">
        <v>7.6</v>
      </c>
      <c r="G451">
        <v>10</v>
      </c>
      <c r="H451">
        <v>0.76</v>
      </c>
      <c r="I451">
        <v>0.24000001000000001</v>
      </c>
      <c r="J451">
        <v>0.56818179999999996</v>
      </c>
    </row>
    <row r="452" spans="1:10" x14ac:dyDescent="0.3">
      <c r="A452">
        <v>450</v>
      </c>
      <c r="B452">
        <v>7160</v>
      </c>
      <c r="C452" t="b">
        <v>1</v>
      </c>
      <c r="D452">
        <v>8042</v>
      </c>
      <c r="E452">
        <v>8123</v>
      </c>
      <c r="F452">
        <v>7.2</v>
      </c>
      <c r="G452">
        <v>10</v>
      </c>
      <c r="H452">
        <v>0.71999997000000004</v>
      </c>
      <c r="I452">
        <v>0.28000003000000001</v>
      </c>
      <c r="J452">
        <v>0.58139529999999995</v>
      </c>
    </row>
    <row r="453" spans="1:10" x14ac:dyDescent="0.3">
      <c r="A453">
        <v>451</v>
      </c>
      <c r="B453">
        <v>7176</v>
      </c>
      <c r="C453" t="b">
        <v>1</v>
      </c>
      <c r="D453">
        <v>8042</v>
      </c>
      <c r="E453">
        <v>8117</v>
      </c>
      <c r="F453">
        <v>6.8</v>
      </c>
      <c r="G453">
        <v>9.6</v>
      </c>
      <c r="H453">
        <v>0.70833330000000005</v>
      </c>
      <c r="I453">
        <v>0.2916667</v>
      </c>
      <c r="J453">
        <v>0.58536582999999998</v>
      </c>
    </row>
    <row r="454" spans="1:10" x14ac:dyDescent="0.3">
      <c r="A454">
        <v>452</v>
      </c>
      <c r="B454">
        <v>7192</v>
      </c>
      <c r="C454" t="b">
        <v>1</v>
      </c>
      <c r="D454">
        <v>8042</v>
      </c>
      <c r="E454">
        <v>8117</v>
      </c>
      <c r="F454">
        <v>6.4</v>
      </c>
      <c r="G454">
        <v>9.1999999999999993</v>
      </c>
      <c r="H454">
        <v>0.69565220000000005</v>
      </c>
      <c r="I454">
        <v>0.3043478</v>
      </c>
      <c r="J454">
        <v>0.58974355000000001</v>
      </c>
    </row>
    <row r="455" spans="1:10" x14ac:dyDescent="0.3">
      <c r="A455">
        <v>453</v>
      </c>
      <c r="B455">
        <v>7207</v>
      </c>
      <c r="C455" t="b">
        <v>1</v>
      </c>
      <c r="D455">
        <v>8042</v>
      </c>
      <c r="E455">
        <v>8123</v>
      </c>
      <c r="F455">
        <v>6</v>
      </c>
      <c r="G455">
        <v>8.8000000000000007</v>
      </c>
      <c r="H455">
        <v>0.68181820000000004</v>
      </c>
      <c r="I455">
        <v>0.31818183999999999</v>
      </c>
      <c r="J455">
        <v>0.59459459999999997</v>
      </c>
    </row>
    <row r="456" spans="1:10" x14ac:dyDescent="0.3">
      <c r="A456">
        <v>454</v>
      </c>
      <c r="B456">
        <v>7223</v>
      </c>
      <c r="C456" t="b">
        <v>1</v>
      </c>
      <c r="D456">
        <v>8042</v>
      </c>
      <c r="E456">
        <v>8117</v>
      </c>
      <c r="F456">
        <v>5.6</v>
      </c>
      <c r="G456">
        <v>8</v>
      </c>
      <c r="H456">
        <v>0.7</v>
      </c>
      <c r="I456">
        <v>0.3</v>
      </c>
      <c r="J456">
        <v>0.58823526000000004</v>
      </c>
    </row>
    <row r="457" spans="1:10" x14ac:dyDescent="0.3">
      <c r="A457">
        <v>455</v>
      </c>
      <c r="B457">
        <v>7239</v>
      </c>
      <c r="C457" t="b">
        <v>1</v>
      </c>
      <c r="D457">
        <v>8042</v>
      </c>
      <c r="E457">
        <v>8117</v>
      </c>
      <c r="F457">
        <v>5.2</v>
      </c>
      <c r="G457">
        <v>7.6</v>
      </c>
      <c r="H457">
        <v>0.68421054000000003</v>
      </c>
      <c r="I457">
        <v>0.3157895</v>
      </c>
      <c r="J457">
        <v>0.59375</v>
      </c>
    </row>
    <row r="458" spans="1:10" x14ac:dyDescent="0.3">
      <c r="A458">
        <v>456</v>
      </c>
      <c r="B458">
        <v>7255</v>
      </c>
      <c r="C458" t="b">
        <v>1</v>
      </c>
      <c r="D458">
        <v>8042</v>
      </c>
      <c r="E458">
        <v>8117</v>
      </c>
      <c r="F458">
        <v>4.8</v>
      </c>
      <c r="G458">
        <v>7.2</v>
      </c>
      <c r="H458">
        <v>0.66666669999999995</v>
      </c>
      <c r="I458">
        <v>0.33333328000000001</v>
      </c>
      <c r="J458">
        <v>0.59999996</v>
      </c>
    </row>
    <row r="459" spans="1:10" x14ac:dyDescent="0.3">
      <c r="A459">
        <v>457</v>
      </c>
      <c r="B459">
        <v>7271</v>
      </c>
      <c r="C459" t="b">
        <v>1</v>
      </c>
      <c r="D459">
        <v>8042</v>
      </c>
      <c r="E459">
        <v>8123</v>
      </c>
      <c r="F459">
        <v>4.4000000000000004</v>
      </c>
      <c r="G459">
        <v>6.8</v>
      </c>
      <c r="H459">
        <v>0.64705884000000002</v>
      </c>
      <c r="I459">
        <v>0.35294120000000001</v>
      </c>
      <c r="J459">
        <v>0.60714279999999998</v>
      </c>
    </row>
    <row r="460" spans="1:10" x14ac:dyDescent="0.3">
      <c r="A460">
        <v>458</v>
      </c>
      <c r="B460">
        <v>7287</v>
      </c>
      <c r="C460" t="b">
        <v>1</v>
      </c>
      <c r="D460">
        <v>8042</v>
      </c>
      <c r="E460">
        <v>8123</v>
      </c>
      <c r="F460">
        <v>4</v>
      </c>
      <c r="G460">
        <v>6.4</v>
      </c>
      <c r="H460">
        <v>0.625</v>
      </c>
      <c r="I460">
        <v>0.375</v>
      </c>
      <c r="J460">
        <v>0.61538464000000004</v>
      </c>
    </row>
    <row r="461" spans="1:10" x14ac:dyDescent="0.3">
      <c r="A461">
        <v>459</v>
      </c>
      <c r="B461">
        <v>7303</v>
      </c>
      <c r="C461" t="b">
        <v>1</v>
      </c>
      <c r="D461">
        <v>8048</v>
      </c>
      <c r="E461">
        <v>8123</v>
      </c>
      <c r="F461">
        <v>3.6</v>
      </c>
      <c r="G461">
        <v>6.4</v>
      </c>
      <c r="H461">
        <v>0.5625</v>
      </c>
      <c r="I461">
        <v>0.43750002999999998</v>
      </c>
      <c r="J461">
        <v>0.64</v>
      </c>
    </row>
    <row r="462" spans="1:10" x14ac:dyDescent="0.3">
      <c r="A462">
        <v>460</v>
      </c>
      <c r="B462">
        <v>7319</v>
      </c>
      <c r="C462" t="b">
        <v>1</v>
      </c>
      <c r="D462">
        <v>8048</v>
      </c>
      <c r="E462">
        <v>8123</v>
      </c>
      <c r="F462">
        <v>3.2</v>
      </c>
      <c r="G462">
        <v>6.4</v>
      </c>
      <c r="H462">
        <v>0.5</v>
      </c>
      <c r="I462">
        <v>0.5</v>
      </c>
      <c r="J462">
        <v>0.6666666</v>
      </c>
    </row>
    <row r="463" spans="1:10" x14ac:dyDescent="0.3">
      <c r="A463">
        <v>461</v>
      </c>
      <c r="B463">
        <v>7335</v>
      </c>
      <c r="C463" t="b">
        <v>1</v>
      </c>
      <c r="D463">
        <v>8048</v>
      </c>
      <c r="E463">
        <v>8123</v>
      </c>
      <c r="F463">
        <v>3.2</v>
      </c>
      <c r="G463">
        <v>6.4</v>
      </c>
      <c r="H463">
        <v>0.5</v>
      </c>
      <c r="I463">
        <v>0.5</v>
      </c>
      <c r="J463">
        <v>0.6666666</v>
      </c>
    </row>
    <row r="464" spans="1:10" x14ac:dyDescent="0.3">
      <c r="A464">
        <v>462</v>
      </c>
      <c r="B464">
        <v>7351</v>
      </c>
      <c r="C464" t="b">
        <v>1</v>
      </c>
      <c r="D464">
        <v>8054</v>
      </c>
      <c r="E464">
        <v>8123</v>
      </c>
      <c r="F464">
        <v>3.2</v>
      </c>
      <c r="G464">
        <v>6.4</v>
      </c>
      <c r="H464">
        <v>0.5</v>
      </c>
      <c r="I464">
        <v>0.5</v>
      </c>
      <c r="J464">
        <v>0.6666666</v>
      </c>
    </row>
    <row r="465" spans="1:10" x14ac:dyDescent="0.3">
      <c r="A465">
        <v>463</v>
      </c>
      <c r="B465">
        <v>7367</v>
      </c>
      <c r="C465" t="b">
        <v>1</v>
      </c>
      <c r="D465">
        <v>8048</v>
      </c>
      <c r="E465">
        <v>8117</v>
      </c>
      <c r="F465">
        <v>3.2</v>
      </c>
      <c r="G465">
        <v>6</v>
      </c>
      <c r="H465">
        <v>0.53333335999999998</v>
      </c>
      <c r="I465">
        <v>0.46666667000000001</v>
      </c>
      <c r="J465">
        <v>0.65217393999999995</v>
      </c>
    </row>
    <row r="466" spans="1:10" x14ac:dyDescent="0.3">
      <c r="A466">
        <v>464</v>
      </c>
      <c r="B466">
        <v>7383</v>
      </c>
      <c r="C466" t="b">
        <v>1</v>
      </c>
      <c r="D466">
        <v>8054</v>
      </c>
      <c r="E466">
        <v>8117</v>
      </c>
      <c r="F466">
        <v>3.6</v>
      </c>
      <c r="G466">
        <v>6</v>
      </c>
      <c r="H466">
        <v>0.59999996</v>
      </c>
      <c r="I466">
        <v>0.4</v>
      </c>
      <c r="J466">
        <v>0.625</v>
      </c>
    </row>
    <row r="467" spans="1:10" x14ac:dyDescent="0.3">
      <c r="A467">
        <v>465</v>
      </c>
      <c r="B467">
        <v>7399</v>
      </c>
      <c r="C467" t="b">
        <v>1</v>
      </c>
      <c r="D467">
        <v>8048</v>
      </c>
      <c r="E467">
        <v>8123</v>
      </c>
      <c r="F467">
        <v>4</v>
      </c>
      <c r="G467">
        <v>6</v>
      </c>
      <c r="H467">
        <v>0.66666669999999995</v>
      </c>
      <c r="I467">
        <v>0.33333333999999998</v>
      </c>
      <c r="J467">
        <v>0.6</v>
      </c>
    </row>
    <row r="468" spans="1:10" x14ac:dyDescent="0.3">
      <c r="A468">
        <v>466</v>
      </c>
      <c r="B468">
        <v>7415</v>
      </c>
      <c r="C468" t="b">
        <v>1</v>
      </c>
      <c r="D468">
        <v>8054</v>
      </c>
      <c r="E468">
        <v>8111</v>
      </c>
      <c r="F468">
        <v>4.8</v>
      </c>
      <c r="G468">
        <v>5.6</v>
      </c>
      <c r="H468">
        <v>0.85714290000000004</v>
      </c>
      <c r="I468">
        <v>0.14285708999999999</v>
      </c>
      <c r="J468">
        <v>0.53846156999999994</v>
      </c>
    </row>
    <row r="469" spans="1:10" x14ac:dyDescent="0.3">
      <c r="A469">
        <v>467</v>
      </c>
      <c r="B469">
        <v>7431</v>
      </c>
      <c r="C469" t="b">
        <v>1</v>
      </c>
      <c r="D469">
        <v>8048</v>
      </c>
      <c r="E469">
        <v>8117</v>
      </c>
      <c r="F469">
        <v>5.2</v>
      </c>
      <c r="G469">
        <v>5.2</v>
      </c>
      <c r="H469">
        <v>1</v>
      </c>
      <c r="I469">
        <v>0</v>
      </c>
      <c r="J469">
        <v>0.5</v>
      </c>
    </row>
    <row r="470" spans="1:10" x14ac:dyDescent="0.3">
      <c r="A470">
        <v>468</v>
      </c>
      <c r="B470">
        <v>7446</v>
      </c>
      <c r="C470" t="b">
        <v>1</v>
      </c>
      <c r="D470">
        <v>8048</v>
      </c>
      <c r="E470">
        <v>8117</v>
      </c>
      <c r="F470">
        <v>5.6</v>
      </c>
      <c r="G470">
        <v>4.8</v>
      </c>
      <c r="H470">
        <v>1.1666666000000001</v>
      </c>
      <c r="I470">
        <v>-0.1666666</v>
      </c>
      <c r="J470">
        <v>0.46153850000000002</v>
      </c>
    </row>
    <row r="471" spans="1:10" x14ac:dyDescent="0.3">
      <c r="A471">
        <v>469</v>
      </c>
      <c r="B471">
        <v>7462</v>
      </c>
      <c r="C471" t="b">
        <v>1</v>
      </c>
      <c r="D471">
        <v>8048</v>
      </c>
      <c r="E471">
        <v>8123</v>
      </c>
      <c r="F471">
        <v>6</v>
      </c>
      <c r="G471">
        <v>4.8</v>
      </c>
      <c r="H471">
        <v>1.25</v>
      </c>
      <c r="I471">
        <v>-0.24999995999999999</v>
      </c>
      <c r="J471">
        <v>0.44444444999999999</v>
      </c>
    </row>
    <row r="472" spans="1:10" x14ac:dyDescent="0.3">
      <c r="A472">
        <v>470</v>
      </c>
      <c r="B472">
        <v>7478</v>
      </c>
      <c r="C472" t="b">
        <v>1</v>
      </c>
      <c r="D472">
        <v>8048</v>
      </c>
      <c r="E472">
        <v>8123</v>
      </c>
      <c r="F472">
        <v>6.4</v>
      </c>
      <c r="G472">
        <v>4.8</v>
      </c>
      <c r="H472">
        <v>1.3333333000000001</v>
      </c>
      <c r="I472">
        <v>-0.3333333</v>
      </c>
      <c r="J472">
        <v>0.42857139999999999</v>
      </c>
    </row>
    <row r="473" spans="1:10" x14ac:dyDescent="0.3">
      <c r="A473">
        <v>471</v>
      </c>
      <c r="B473">
        <v>7494</v>
      </c>
      <c r="C473" t="b">
        <v>1</v>
      </c>
      <c r="D473">
        <v>8054</v>
      </c>
      <c r="E473">
        <v>8123</v>
      </c>
      <c r="F473">
        <v>6.8</v>
      </c>
      <c r="G473">
        <v>5.2</v>
      </c>
      <c r="H473">
        <v>1.3076924000000001</v>
      </c>
      <c r="I473">
        <v>-0.30769237999999999</v>
      </c>
      <c r="J473">
        <v>0.43333329999999998</v>
      </c>
    </row>
    <row r="474" spans="1:10" x14ac:dyDescent="0.3">
      <c r="A474">
        <v>472</v>
      </c>
      <c r="B474">
        <v>7510</v>
      </c>
      <c r="C474" t="b">
        <v>1</v>
      </c>
      <c r="D474">
        <v>8048</v>
      </c>
      <c r="E474">
        <v>8129</v>
      </c>
      <c r="F474">
        <v>7.2</v>
      </c>
      <c r="G474">
        <v>5.6</v>
      </c>
      <c r="H474">
        <v>1.2857143</v>
      </c>
      <c r="I474">
        <v>-0.28571426999999999</v>
      </c>
      <c r="J474">
        <v>0.43750002999999998</v>
      </c>
    </row>
    <row r="475" spans="1:10" x14ac:dyDescent="0.3">
      <c r="A475">
        <v>473</v>
      </c>
      <c r="B475">
        <v>7526</v>
      </c>
      <c r="C475" t="b">
        <v>1</v>
      </c>
      <c r="D475">
        <v>8054</v>
      </c>
      <c r="E475">
        <v>8123</v>
      </c>
      <c r="F475">
        <v>7.6</v>
      </c>
      <c r="G475">
        <v>6</v>
      </c>
      <c r="H475">
        <v>1.2666667</v>
      </c>
      <c r="I475">
        <v>-0.26666665000000001</v>
      </c>
      <c r="J475">
        <v>0.44117644</v>
      </c>
    </row>
    <row r="476" spans="1:10" x14ac:dyDescent="0.3">
      <c r="A476">
        <v>474</v>
      </c>
      <c r="B476">
        <v>7542</v>
      </c>
      <c r="C476" t="b">
        <v>1</v>
      </c>
      <c r="D476">
        <v>8048</v>
      </c>
      <c r="E476">
        <v>8129</v>
      </c>
      <c r="F476">
        <v>8</v>
      </c>
      <c r="G476">
        <v>6</v>
      </c>
      <c r="H476">
        <v>1.3333333999999999</v>
      </c>
      <c r="I476">
        <v>-0.33333333999999998</v>
      </c>
      <c r="J476">
        <v>0.42857142999999998</v>
      </c>
    </row>
    <row r="477" spans="1:10" x14ac:dyDescent="0.3">
      <c r="A477">
        <v>475</v>
      </c>
      <c r="B477">
        <v>7558</v>
      </c>
      <c r="C477" t="b">
        <v>1</v>
      </c>
      <c r="D477">
        <v>8048</v>
      </c>
      <c r="E477">
        <v>8123</v>
      </c>
      <c r="F477">
        <v>8.4</v>
      </c>
      <c r="G477">
        <v>6</v>
      </c>
      <c r="H477">
        <v>1.4</v>
      </c>
      <c r="I477">
        <v>-0.39999994999999999</v>
      </c>
      <c r="J477">
        <v>0.4166667</v>
      </c>
    </row>
    <row r="478" spans="1:10" x14ac:dyDescent="0.3">
      <c r="A478">
        <v>476</v>
      </c>
      <c r="B478">
        <v>7574</v>
      </c>
      <c r="C478" t="b">
        <v>1</v>
      </c>
      <c r="D478">
        <v>8048</v>
      </c>
      <c r="E478">
        <v>8123</v>
      </c>
      <c r="F478">
        <v>8.4</v>
      </c>
      <c r="G478">
        <v>6</v>
      </c>
      <c r="H478">
        <v>1.4</v>
      </c>
      <c r="I478">
        <v>-0.39999994999999999</v>
      </c>
      <c r="J478">
        <v>0.4166667</v>
      </c>
    </row>
    <row r="479" spans="1:10" x14ac:dyDescent="0.3">
      <c r="A479">
        <v>477</v>
      </c>
      <c r="B479">
        <v>7589</v>
      </c>
      <c r="C479" t="b">
        <v>1</v>
      </c>
      <c r="D479">
        <v>8048</v>
      </c>
      <c r="E479">
        <v>8123</v>
      </c>
      <c r="F479">
        <v>8.4</v>
      </c>
      <c r="G479">
        <v>6</v>
      </c>
      <c r="H479">
        <v>1.4</v>
      </c>
      <c r="I479">
        <v>-0.39999994999999999</v>
      </c>
      <c r="J479">
        <v>0.4166667</v>
      </c>
    </row>
    <row r="480" spans="1:10" x14ac:dyDescent="0.3">
      <c r="A480">
        <v>478</v>
      </c>
      <c r="B480">
        <v>7605</v>
      </c>
      <c r="C480" t="b">
        <v>1</v>
      </c>
      <c r="D480">
        <v>8054</v>
      </c>
      <c r="E480">
        <v>8123</v>
      </c>
      <c r="F480">
        <v>8.4</v>
      </c>
      <c r="G480">
        <v>6</v>
      </c>
      <c r="H480">
        <v>1.4</v>
      </c>
      <c r="I480">
        <v>-0.39999994999999999</v>
      </c>
      <c r="J480">
        <v>0.4166667</v>
      </c>
    </row>
    <row r="481" spans="1:10" x14ac:dyDescent="0.3">
      <c r="A481">
        <v>479</v>
      </c>
      <c r="B481">
        <v>7621</v>
      </c>
      <c r="C481" t="b">
        <v>1</v>
      </c>
      <c r="D481">
        <v>8054</v>
      </c>
      <c r="E481">
        <v>8123</v>
      </c>
      <c r="F481">
        <v>8.4</v>
      </c>
      <c r="G481">
        <v>6</v>
      </c>
      <c r="H481">
        <v>1.4</v>
      </c>
      <c r="I481">
        <v>-0.39999994999999999</v>
      </c>
      <c r="J481">
        <v>0.4166667</v>
      </c>
    </row>
    <row r="482" spans="1:10" x14ac:dyDescent="0.3">
      <c r="A482">
        <v>480</v>
      </c>
      <c r="B482">
        <v>7637</v>
      </c>
      <c r="C482" t="b">
        <v>1</v>
      </c>
      <c r="D482">
        <v>8048</v>
      </c>
      <c r="E482">
        <v>8123</v>
      </c>
      <c r="F482">
        <v>8.4</v>
      </c>
      <c r="G482">
        <v>6</v>
      </c>
      <c r="H482">
        <v>1.4</v>
      </c>
      <c r="I482">
        <v>-0.39999994999999999</v>
      </c>
      <c r="J482">
        <v>0.4166667</v>
      </c>
    </row>
    <row r="483" spans="1:10" x14ac:dyDescent="0.3">
      <c r="A483">
        <v>481</v>
      </c>
      <c r="B483">
        <v>7653</v>
      </c>
      <c r="C483" t="b">
        <v>1</v>
      </c>
      <c r="D483">
        <v>8048</v>
      </c>
      <c r="E483">
        <v>8123</v>
      </c>
      <c r="F483">
        <v>8</v>
      </c>
      <c r="G483">
        <v>6.4</v>
      </c>
      <c r="H483">
        <v>1.25</v>
      </c>
      <c r="I483">
        <v>-0.24999999000000001</v>
      </c>
      <c r="J483">
        <v>0.44444447999999998</v>
      </c>
    </row>
    <row r="484" spans="1:10" x14ac:dyDescent="0.3">
      <c r="A484">
        <v>482</v>
      </c>
      <c r="B484">
        <v>7669</v>
      </c>
      <c r="C484" t="b">
        <v>1</v>
      </c>
      <c r="D484">
        <v>8048</v>
      </c>
      <c r="E484">
        <v>8123</v>
      </c>
      <c r="F484">
        <v>8</v>
      </c>
      <c r="G484">
        <v>6.8</v>
      </c>
      <c r="H484">
        <v>1.1764705</v>
      </c>
      <c r="I484">
        <v>-0.17647055</v>
      </c>
      <c r="J484">
        <v>0.45945944999999999</v>
      </c>
    </row>
    <row r="485" spans="1:10" x14ac:dyDescent="0.3">
      <c r="A485">
        <v>483</v>
      </c>
      <c r="B485">
        <v>7685</v>
      </c>
      <c r="C485" t="b">
        <v>1</v>
      </c>
      <c r="D485">
        <v>8048</v>
      </c>
      <c r="E485">
        <v>8123</v>
      </c>
      <c r="F485">
        <v>8</v>
      </c>
      <c r="G485">
        <v>7.2</v>
      </c>
      <c r="H485">
        <v>1.1111112000000001</v>
      </c>
      <c r="I485">
        <v>-0.11111114</v>
      </c>
      <c r="J485">
        <v>0.4736842</v>
      </c>
    </row>
    <row r="486" spans="1:10" x14ac:dyDescent="0.3">
      <c r="A486">
        <v>484</v>
      </c>
      <c r="B486">
        <v>7701</v>
      </c>
      <c r="C486" t="b">
        <v>1</v>
      </c>
      <c r="D486">
        <v>8054</v>
      </c>
      <c r="E486">
        <v>8123</v>
      </c>
      <c r="F486">
        <v>8</v>
      </c>
      <c r="G486">
        <v>7.6</v>
      </c>
      <c r="H486">
        <v>1.0526316</v>
      </c>
      <c r="I486">
        <v>-5.2631589999999999E-2</v>
      </c>
      <c r="J486">
        <v>0.48717946000000001</v>
      </c>
    </row>
    <row r="487" spans="1:10" x14ac:dyDescent="0.3">
      <c r="A487">
        <v>485</v>
      </c>
      <c r="B487">
        <v>7717</v>
      </c>
      <c r="C487" t="b">
        <v>1</v>
      </c>
      <c r="D487">
        <v>8048</v>
      </c>
      <c r="E487">
        <v>8129</v>
      </c>
      <c r="F487">
        <v>8</v>
      </c>
      <c r="G487">
        <v>8</v>
      </c>
      <c r="H487">
        <v>1</v>
      </c>
      <c r="I487">
        <v>0</v>
      </c>
      <c r="J487">
        <v>0.5</v>
      </c>
    </row>
    <row r="488" spans="1:10" x14ac:dyDescent="0.3">
      <c r="A488">
        <v>486</v>
      </c>
      <c r="B488">
        <v>7733</v>
      </c>
      <c r="C488" t="b">
        <v>1</v>
      </c>
      <c r="D488">
        <v>8048</v>
      </c>
      <c r="E488">
        <v>8129</v>
      </c>
      <c r="F488">
        <v>8</v>
      </c>
      <c r="G488">
        <v>8</v>
      </c>
      <c r="H488">
        <v>1</v>
      </c>
      <c r="I488">
        <v>0</v>
      </c>
      <c r="J488">
        <v>0.5</v>
      </c>
    </row>
    <row r="489" spans="1:10" x14ac:dyDescent="0.3">
      <c r="A489">
        <v>487</v>
      </c>
      <c r="B489">
        <v>7749</v>
      </c>
      <c r="C489" t="b">
        <v>1</v>
      </c>
      <c r="D489">
        <v>8048</v>
      </c>
      <c r="E489">
        <v>8123</v>
      </c>
      <c r="F489">
        <v>8</v>
      </c>
      <c r="G489">
        <v>8</v>
      </c>
      <c r="H489">
        <v>1</v>
      </c>
      <c r="I489">
        <v>0</v>
      </c>
      <c r="J489">
        <v>0.5</v>
      </c>
    </row>
    <row r="490" spans="1:10" x14ac:dyDescent="0.3">
      <c r="A490">
        <v>488</v>
      </c>
      <c r="B490">
        <v>7764</v>
      </c>
      <c r="C490" t="b">
        <v>1</v>
      </c>
      <c r="D490">
        <v>8048</v>
      </c>
      <c r="E490">
        <v>8123</v>
      </c>
      <c r="F490">
        <v>8</v>
      </c>
      <c r="G490">
        <v>8</v>
      </c>
      <c r="H490">
        <v>1</v>
      </c>
      <c r="I490">
        <v>0</v>
      </c>
      <c r="J490">
        <v>0.5</v>
      </c>
    </row>
    <row r="491" spans="1:10" x14ac:dyDescent="0.3">
      <c r="A491">
        <v>489</v>
      </c>
      <c r="B491">
        <v>7780</v>
      </c>
      <c r="C491" t="b">
        <v>1</v>
      </c>
      <c r="D491">
        <v>8048</v>
      </c>
      <c r="E491">
        <v>8129</v>
      </c>
      <c r="F491">
        <v>8</v>
      </c>
      <c r="G491">
        <v>8.4</v>
      </c>
      <c r="H491">
        <v>0.95238100000000003</v>
      </c>
      <c r="I491">
        <v>4.7619003999999999E-2</v>
      </c>
      <c r="J491">
        <v>0.51219510000000001</v>
      </c>
    </row>
    <row r="492" spans="1:10" x14ac:dyDescent="0.3">
      <c r="A492">
        <v>490</v>
      </c>
      <c r="B492">
        <v>7796</v>
      </c>
      <c r="C492" t="b">
        <v>1</v>
      </c>
      <c r="D492">
        <v>8042</v>
      </c>
      <c r="E492">
        <v>8123</v>
      </c>
      <c r="F492">
        <v>8</v>
      </c>
      <c r="G492">
        <v>8.4</v>
      </c>
      <c r="H492">
        <v>0.95238100000000003</v>
      </c>
      <c r="I492">
        <v>4.7619003999999999E-2</v>
      </c>
      <c r="J492">
        <v>0.51219510000000001</v>
      </c>
    </row>
    <row r="493" spans="1:10" x14ac:dyDescent="0.3">
      <c r="A493">
        <v>491</v>
      </c>
      <c r="B493">
        <v>7812</v>
      </c>
      <c r="C493" t="b">
        <v>1</v>
      </c>
      <c r="D493">
        <v>8054</v>
      </c>
      <c r="E493">
        <v>8123</v>
      </c>
      <c r="F493">
        <v>8</v>
      </c>
      <c r="G493">
        <v>8.4</v>
      </c>
      <c r="H493">
        <v>0.95238100000000003</v>
      </c>
      <c r="I493">
        <v>4.7619003999999999E-2</v>
      </c>
      <c r="J493">
        <v>0.51219510000000001</v>
      </c>
    </row>
    <row r="494" spans="1:10" x14ac:dyDescent="0.3">
      <c r="A494">
        <v>492</v>
      </c>
      <c r="B494">
        <v>7827</v>
      </c>
      <c r="C494" t="b">
        <v>1</v>
      </c>
      <c r="D494">
        <v>8048</v>
      </c>
      <c r="E494">
        <v>8117</v>
      </c>
      <c r="F494">
        <v>8</v>
      </c>
      <c r="G494">
        <v>8.4</v>
      </c>
      <c r="H494">
        <v>0.95238100000000003</v>
      </c>
      <c r="I494">
        <v>4.7619003999999999E-2</v>
      </c>
      <c r="J494">
        <v>0.51219510000000001</v>
      </c>
    </row>
    <row r="495" spans="1:10" x14ac:dyDescent="0.3">
      <c r="A495">
        <v>493</v>
      </c>
      <c r="B495">
        <v>7843</v>
      </c>
      <c r="C495" t="b">
        <v>1</v>
      </c>
      <c r="D495">
        <v>8048</v>
      </c>
      <c r="E495">
        <v>8123</v>
      </c>
      <c r="F495">
        <v>8</v>
      </c>
      <c r="G495">
        <v>8.4</v>
      </c>
      <c r="H495">
        <v>0.95238100000000003</v>
      </c>
      <c r="I495">
        <v>4.7619003999999999E-2</v>
      </c>
      <c r="J495">
        <v>0.51219510000000001</v>
      </c>
    </row>
    <row r="496" spans="1:10" x14ac:dyDescent="0.3">
      <c r="A496">
        <v>494</v>
      </c>
      <c r="B496">
        <v>7859</v>
      </c>
      <c r="C496" t="b">
        <v>1</v>
      </c>
      <c r="D496">
        <v>8048</v>
      </c>
      <c r="E496">
        <v>8129</v>
      </c>
      <c r="F496">
        <v>8</v>
      </c>
      <c r="G496">
        <v>8.4</v>
      </c>
      <c r="H496">
        <v>0.95238100000000003</v>
      </c>
      <c r="I496">
        <v>4.7619003999999999E-2</v>
      </c>
      <c r="J496">
        <v>0.51219510000000001</v>
      </c>
    </row>
    <row r="497" spans="1:10" x14ac:dyDescent="0.3">
      <c r="A497">
        <v>495</v>
      </c>
      <c r="B497">
        <v>7875</v>
      </c>
      <c r="C497" t="b">
        <v>1</v>
      </c>
      <c r="D497">
        <v>8048</v>
      </c>
      <c r="E497">
        <v>8123</v>
      </c>
      <c r="F497">
        <v>8</v>
      </c>
      <c r="G497">
        <v>8.4</v>
      </c>
      <c r="H497">
        <v>0.95238100000000003</v>
      </c>
      <c r="I497">
        <v>4.7619003999999999E-2</v>
      </c>
      <c r="J497">
        <v>0.51219510000000001</v>
      </c>
    </row>
    <row r="498" spans="1:10" x14ac:dyDescent="0.3">
      <c r="A498">
        <v>496</v>
      </c>
      <c r="B498">
        <v>7891</v>
      </c>
      <c r="C498" t="b">
        <v>1</v>
      </c>
      <c r="D498">
        <v>8048</v>
      </c>
      <c r="E498">
        <v>8123</v>
      </c>
      <c r="F498">
        <v>8</v>
      </c>
      <c r="G498">
        <v>8.4</v>
      </c>
      <c r="H498">
        <v>0.95238100000000003</v>
      </c>
      <c r="I498">
        <v>4.7619003999999999E-2</v>
      </c>
      <c r="J498">
        <v>0.51219510000000001</v>
      </c>
    </row>
    <row r="499" spans="1:10" x14ac:dyDescent="0.3">
      <c r="A499">
        <v>497</v>
      </c>
      <c r="B499">
        <v>7907</v>
      </c>
      <c r="C499" t="b">
        <v>1</v>
      </c>
      <c r="D499">
        <v>8048</v>
      </c>
      <c r="E499">
        <v>8123</v>
      </c>
      <c r="F499">
        <v>8</v>
      </c>
      <c r="G499">
        <v>8.4</v>
      </c>
      <c r="H499">
        <v>0.95238100000000003</v>
      </c>
      <c r="I499">
        <v>4.7619003999999999E-2</v>
      </c>
      <c r="J499">
        <v>0.51219510000000001</v>
      </c>
    </row>
    <row r="500" spans="1:10" x14ac:dyDescent="0.3">
      <c r="A500">
        <v>498</v>
      </c>
      <c r="B500">
        <v>7922</v>
      </c>
      <c r="C500" t="b">
        <v>1</v>
      </c>
      <c r="D500">
        <v>8042</v>
      </c>
      <c r="E500">
        <v>8123</v>
      </c>
      <c r="F500">
        <v>8</v>
      </c>
      <c r="G500">
        <v>8.4</v>
      </c>
      <c r="H500">
        <v>0.95238100000000003</v>
      </c>
      <c r="I500">
        <v>4.7619003999999999E-2</v>
      </c>
      <c r="J500">
        <v>0.51219510000000001</v>
      </c>
    </row>
    <row r="501" spans="1:10" x14ac:dyDescent="0.3">
      <c r="A501">
        <v>499</v>
      </c>
      <c r="B501">
        <v>7938</v>
      </c>
      <c r="C501" t="b">
        <v>1</v>
      </c>
      <c r="D501">
        <v>8042</v>
      </c>
      <c r="E501">
        <v>8123</v>
      </c>
      <c r="F501">
        <v>8</v>
      </c>
      <c r="G501">
        <v>8.4</v>
      </c>
      <c r="H501">
        <v>0.95238100000000003</v>
      </c>
      <c r="I501">
        <v>4.7619003999999999E-2</v>
      </c>
      <c r="J501">
        <v>0.51219510000000001</v>
      </c>
    </row>
    <row r="502" spans="1:10" x14ac:dyDescent="0.3">
      <c r="A502">
        <v>500</v>
      </c>
      <c r="B502">
        <v>7954</v>
      </c>
      <c r="C502" t="b">
        <v>1</v>
      </c>
      <c r="D502">
        <v>8037</v>
      </c>
      <c r="E502">
        <v>8123</v>
      </c>
      <c r="F502">
        <v>7.6</v>
      </c>
      <c r="G502">
        <v>8.4</v>
      </c>
      <c r="H502">
        <v>0.90476190000000001</v>
      </c>
      <c r="I502">
        <v>9.5238069999999994E-2</v>
      </c>
      <c r="J502">
        <v>0.52500000000000002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ACE4-45E5-4342-B3D2-CF302266ED3C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8134</v>
      </c>
      <c r="F2">
        <v>8</v>
      </c>
      <c r="G2">
        <v>19</v>
      </c>
      <c r="H2">
        <v>0.42105262999999998</v>
      </c>
      <c r="I2">
        <v>0.57894736999999996</v>
      </c>
      <c r="J2">
        <v>0.70370370000000004</v>
      </c>
    </row>
    <row r="3" spans="1:10" x14ac:dyDescent="0.3">
      <c r="A3">
        <v>1</v>
      </c>
      <c r="B3">
        <v>24</v>
      </c>
      <c r="C3" t="b">
        <v>1</v>
      </c>
      <c r="D3">
        <v>8048</v>
      </c>
      <c r="E3">
        <v>8123</v>
      </c>
      <c r="F3">
        <v>8</v>
      </c>
      <c r="G3">
        <v>19</v>
      </c>
      <c r="H3">
        <v>0.42105262999999998</v>
      </c>
      <c r="I3">
        <v>0.57894736999999996</v>
      </c>
      <c r="J3">
        <v>0.70370370000000004</v>
      </c>
    </row>
    <row r="4" spans="1:10" x14ac:dyDescent="0.3">
      <c r="A4">
        <v>2</v>
      </c>
      <c r="B4">
        <v>55</v>
      </c>
      <c r="C4" t="b">
        <v>1</v>
      </c>
      <c r="D4">
        <v>8054</v>
      </c>
      <c r="E4">
        <v>8123</v>
      </c>
      <c r="F4">
        <v>8</v>
      </c>
      <c r="G4">
        <v>15.333333</v>
      </c>
      <c r="H4">
        <v>0.52173910000000001</v>
      </c>
      <c r="I4">
        <v>0.47826084000000002</v>
      </c>
      <c r="J4">
        <v>0.65714289999999997</v>
      </c>
    </row>
    <row r="5" spans="1:10" x14ac:dyDescent="0.3">
      <c r="A5">
        <v>3</v>
      </c>
      <c r="B5">
        <v>71</v>
      </c>
      <c r="C5" t="b">
        <v>1</v>
      </c>
      <c r="D5">
        <v>8048</v>
      </c>
      <c r="E5">
        <v>8123</v>
      </c>
      <c r="F5">
        <v>8</v>
      </c>
      <c r="G5">
        <v>13.5</v>
      </c>
      <c r="H5">
        <v>0.59259260000000002</v>
      </c>
      <c r="I5">
        <v>0.40740739999999998</v>
      </c>
      <c r="J5">
        <v>0.62790699999999999</v>
      </c>
    </row>
    <row r="6" spans="1:10" x14ac:dyDescent="0.3">
      <c r="A6">
        <v>4</v>
      </c>
      <c r="B6">
        <v>87</v>
      </c>
      <c r="C6" t="b">
        <v>1</v>
      </c>
      <c r="D6">
        <v>8048</v>
      </c>
      <c r="E6">
        <v>8123</v>
      </c>
      <c r="F6">
        <v>8</v>
      </c>
      <c r="G6">
        <v>12.4</v>
      </c>
      <c r="H6">
        <v>0.64516132999999998</v>
      </c>
      <c r="I6">
        <v>0.35483870000000001</v>
      </c>
      <c r="J6">
        <v>0.60784309999999997</v>
      </c>
    </row>
    <row r="7" spans="1:10" x14ac:dyDescent="0.3">
      <c r="A7">
        <v>5</v>
      </c>
      <c r="B7">
        <v>103</v>
      </c>
      <c r="C7" t="b">
        <v>1</v>
      </c>
      <c r="D7">
        <v>8048</v>
      </c>
      <c r="E7">
        <v>8123</v>
      </c>
      <c r="F7">
        <v>8</v>
      </c>
      <c r="G7">
        <v>11.666667</v>
      </c>
      <c r="H7">
        <v>0.68571424000000003</v>
      </c>
      <c r="I7">
        <v>0.31428572999999999</v>
      </c>
      <c r="J7">
        <v>0.59322030000000003</v>
      </c>
    </row>
    <row r="8" spans="1:10" x14ac:dyDescent="0.3">
      <c r="A8">
        <v>6</v>
      </c>
      <c r="B8">
        <v>119</v>
      </c>
      <c r="C8" t="b">
        <v>1</v>
      </c>
      <c r="D8">
        <v>8048</v>
      </c>
      <c r="E8">
        <v>8123</v>
      </c>
      <c r="F8">
        <v>8</v>
      </c>
      <c r="G8">
        <v>11.142858</v>
      </c>
      <c r="H8">
        <v>0.7179487</v>
      </c>
      <c r="I8">
        <v>0.2820513</v>
      </c>
      <c r="J8">
        <v>0.58208959999999998</v>
      </c>
    </row>
    <row r="9" spans="1:10" x14ac:dyDescent="0.3">
      <c r="A9">
        <v>7</v>
      </c>
      <c r="B9">
        <v>135</v>
      </c>
      <c r="C9" t="b">
        <v>1</v>
      </c>
      <c r="D9">
        <v>8048</v>
      </c>
      <c r="E9">
        <v>8123</v>
      </c>
      <c r="F9">
        <v>8</v>
      </c>
      <c r="G9">
        <v>10.75</v>
      </c>
      <c r="H9">
        <v>0.74418603999999999</v>
      </c>
      <c r="I9">
        <v>0.25581396000000001</v>
      </c>
      <c r="J9">
        <v>0.57333330000000005</v>
      </c>
    </row>
    <row r="10" spans="1:10" x14ac:dyDescent="0.3">
      <c r="A10">
        <v>8</v>
      </c>
      <c r="B10">
        <v>151</v>
      </c>
      <c r="C10" t="b">
        <v>1</v>
      </c>
      <c r="D10">
        <v>8042</v>
      </c>
      <c r="E10">
        <v>8129</v>
      </c>
      <c r="F10">
        <v>8</v>
      </c>
      <c r="G10">
        <v>10.444445</v>
      </c>
      <c r="H10">
        <v>0.76595740000000001</v>
      </c>
      <c r="I10">
        <v>0.23404257000000001</v>
      </c>
      <c r="J10">
        <v>0.56626505000000005</v>
      </c>
    </row>
    <row r="11" spans="1:10" x14ac:dyDescent="0.3">
      <c r="A11">
        <v>9</v>
      </c>
      <c r="B11">
        <v>167</v>
      </c>
      <c r="C11" t="b">
        <v>1</v>
      </c>
      <c r="D11">
        <v>8054</v>
      </c>
      <c r="E11">
        <v>8123</v>
      </c>
      <c r="F11">
        <v>8</v>
      </c>
      <c r="G11">
        <v>10.199999999999999</v>
      </c>
      <c r="H11">
        <v>0.78431373999999998</v>
      </c>
      <c r="I11">
        <v>0.21568625999999999</v>
      </c>
      <c r="J11">
        <v>0.56043949999999998</v>
      </c>
    </row>
    <row r="12" spans="1:10" x14ac:dyDescent="0.3">
      <c r="A12">
        <v>10</v>
      </c>
      <c r="B12">
        <v>183</v>
      </c>
      <c r="C12" t="b">
        <v>1</v>
      </c>
      <c r="D12">
        <v>8048</v>
      </c>
      <c r="E12">
        <v>8134</v>
      </c>
      <c r="F12">
        <v>8</v>
      </c>
      <c r="G12">
        <v>10</v>
      </c>
      <c r="H12">
        <v>0.8</v>
      </c>
      <c r="I12">
        <v>0.2</v>
      </c>
      <c r="J12">
        <v>0.55555560000000004</v>
      </c>
    </row>
    <row r="13" spans="1:10" x14ac:dyDescent="0.3">
      <c r="A13">
        <v>11</v>
      </c>
      <c r="B13">
        <v>199</v>
      </c>
      <c r="C13" t="b">
        <v>1</v>
      </c>
      <c r="D13">
        <v>8048</v>
      </c>
      <c r="E13">
        <v>8123</v>
      </c>
      <c r="F13">
        <v>8</v>
      </c>
      <c r="G13">
        <v>9.8333329999999997</v>
      </c>
      <c r="H13">
        <v>0.81355935000000001</v>
      </c>
      <c r="I13">
        <v>0.18644065000000001</v>
      </c>
      <c r="J13">
        <v>0.5514019</v>
      </c>
    </row>
    <row r="14" spans="1:10" x14ac:dyDescent="0.3">
      <c r="A14">
        <v>12</v>
      </c>
      <c r="B14">
        <v>215</v>
      </c>
      <c r="C14" t="b">
        <v>1</v>
      </c>
      <c r="D14">
        <v>8042</v>
      </c>
      <c r="E14">
        <v>8123</v>
      </c>
      <c r="F14">
        <v>8</v>
      </c>
      <c r="G14">
        <v>9.6923069999999996</v>
      </c>
      <c r="H14">
        <v>0.82539684000000002</v>
      </c>
      <c r="I14">
        <v>0.17460315000000001</v>
      </c>
      <c r="J14">
        <v>0.54782609999999998</v>
      </c>
    </row>
    <row r="15" spans="1:10" x14ac:dyDescent="0.3">
      <c r="A15">
        <v>13</v>
      </c>
      <c r="B15">
        <v>230</v>
      </c>
      <c r="C15" t="b">
        <v>1</v>
      </c>
      <c r="D15">
        <v>8048</v>
      </c>
      <c r="E15">
        <v>8117</v>
      </c>
      <c r="F15">
        <v>8</v>
      </c>
      <c r="G15">
        <v>9.5714279999999992</v>
      </c>
      <c r="H15">
        <v>0.83582089999999998</v>
      </c>
      <c r="I15">
        <v>0.16417909</v>
      </c>
      <c r="J15">
        <v>0.54471546000000004</v>
      </c>
    </row>
    <row r="16" spans="1:10" x14ac:dyDescent="0.3">
      <c r="A16">
        <v>14</v>
      </c>
      <c r="B16">
        <v>246</v>
      </c>
      <c r="C16" t="b">
        <v>1</v>
      </c>
      <c r="D16">
        <v>8048</v>
      </c>
      <c r="E16">
        <v>8123</v>
      </c>
      <c r="F16">
        <v>8</v>
      </c>
      <c r="G16">
        <v>9.466666</v>
      </c>
      <c r="H16">
        <v>0.84507049999999995</v>
      </c>
      <c r="I16">
        <v>0.15492953000000001</v>
      </c>
      <c r="J16">
        <v>0.54198469999999999</v>
      </c>
    </row>
    <row r="17" spans="1:10" x14ac:dyDescent="0.3">
      <c r="A17">
        <v>15</v>
      </c>
      <c r="B17">
        <v>262</v>
      </c>
      <c r="C17" t="b">
        <v>1</v>
      </c>
      <c r="D17">
        <v>8048</v>
      </c>
      <c r="E17">
        <v>8123</v>
      </c>
      <c r="F17">
        <v>8</v>
      </c>
      <c r="G17">
        <v>8.7333339999999993</v>
      </c>
      <c r="H17">
        <v>0.91603049999999997</v>
      </c>
      <c r="I17">
        <v>8.3969489999999994E-2</v>
      </c>
      <c r="J17">
        <v>0.52191233999999997</v>
      </c>
    </row>
    <row r="18" spans="1:10" x14ac:dyDescent="0.3">
      <c r="A18">
        <v>16</v>
      </c>
      <c r="B18">
        <v>278</v>
      </c>
      <c r="C18" t="b">
        <v>1</v>
      </c>
      <c r="D18">
        <v>8048</v>
      </c>
      <c r="E18">
        <v>8123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294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310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326</v>
      </c>
      <c r="C21" t="b">
        <v>1</v>
      </c>
      <c r="D21">
        <v>8048</v>
      </c>
      <c r="E21">
        <v>8129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341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358</v>
      </c>
      <c r="C23" t="b">
        <v>1</v>
      </c>
      <c r="D23">
        <v>8048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373</v>
      </c>
      <c r="C24" t="b">
        <v>1</v>
      </c>
      <c r="D24">
        <v>8048</v>
      </c>
      <c r="E24">
        <v>8123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389</v>
      </c>
      <c r="C25" t="b">
        <v>1</v>
      </c>
      <c r="D25">
        <v>8042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405</v>
      </c>
      <c r="C26" t="b">
        <v>1</v>
      </c>
      <c r="D26">
        <v>8042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421</v>
      </c>
      <c r="C27" t="b">
        <v>1</v>
      </c>
      <c r="D27">
        <v>8042</v>
      </c>
      <c r="E27">
        <v>8123</v>
      </c>
      <c r="F27">
        <v>7.6</v>
      </c>
      <c r="G27">
        <v>8</v>
      </c>
      <c r="H27">
        <v>0.95</v>
      </c>
      <c r="I27">
        <v>5.0000012000000003E-2</v>
      </c>
      <c r="J27">
        <v>0.51282050000000001</v>
      </c>
    </row>
    <row r="28" spans="1:10" x14ac:dyDescent="0.3">
      <c r="A28">
        <v>26</v>
      </c>
      <c r="B28">
        <v>437</v>
      </c>
      <c r="C28" t="b">
        <v>1</v>
      </c>
      <c r="D28">
        <v>8042</v>
      </c>
      <c r="E28">
        <v>8123</v>
      </c>
      <c r="F28">
        <v>7.2</v>
      </c>
      <c r="G28">
        <v>8</v>
      </c>
      <c r="H28">
        <v>0.9</v>
      </c>
      <c r="I28">
        <v>0.10000002400000001</v>
      </c>
      <c r="J28">
        <v>0.5263158</v>
      </c>
    </row>
    <row r="29" spans="1:10" x14ac:dyDescent="0.3">
      <c r="A29">
        <v>27</v>
      </c>
      <c r="B29">
        <v>454</v>
      </c>
      <c r="C29" t="b">
        <v>1</v>
      </c>
      <c r="D29">
        <v>8042</v>
      </c>
      <c r="E29">
        <v>8117</v>
      </c>
      <c r="F29">
        <v>6.8</v>
      </c>
      <c r="G29">
        <v>8</v>
      </c>
      <c r="H29">
        <v>0.85</v>
      </c>
      <c r="I29">
        <v>0.14999998</v>
      </c>
      <c r="J29">
        <v>0.54054049999999998</v>
      </c>
    </row>
    <row r="30" spans="1:10" x14ac:dyDescent="0.3">
      <c r="A30">
        <v>28</v>
      </c>
      <c r="B30">
        <v>469</v>
      </c>
      <c r="C30" t="b">
        <v>1</v>
      </c>
      <c r="D30">
        <v>8042</v>
      </c>
      <c r="E30">
        <v>8123</v>
      </c>
      <c r="F30">
        <v>6.4</v>
      </c>
      <c r="G30">
        <v>8</v>
      </c>
      <c r="H30">
        <v>0.8</v>
      </c>
      <c r="I30">
        <v>0.19999998999999999</v>
      </c>
      <c r="J30">
        <v>0.55555560000000004</v>
      </c>
    </row>
    <row r="31" spans="1:10" x14ac:dyDescent="0.3">
      <c r="A31">
        <v>29</v>
      </c>
      <c r="B31">
        <v>485</v>
      </c>
      <c r="C31" t="b">
        <v>1</v>
      </c>
      <c r="D31">
        <v>8048</v>
      </c>
      <c r="E31">
        <v>8123</v>
      </c>
      <c r="F31">
        <v>6</v>
      </c>
      <c r="G31">
        <v>8</v>
      </c>
      <c r="H31">
        <v>0.75</v>
      </c>
      <c r="I31">
        <v>0.25</v>
      </c>
      <c r="J31">
        <v>0.57142859999999995</v>
      </c>
    </row>
    <row r="32" spans="1:10" x14ac:dyDescent="0.3">
      <c r="A32">
        <v>30</v>
      </c>
      <c r="B32">
        <v>501</v>
      </c>
      <c r="C32" t="b">
        <v>1</v>
      </c>
      <c r="D32">
        <v>8048</v>
      </c>
      <c r="E32">
        <v>8123</v>
      </c>
      <c r="F32">
        <v>5.6</v>
      </c>
      <c r="G32">
        <v>8</v>
      </c>
      <c r="H32">
        <v>0.7</v>
      </c>
      <c r="I32">
        <v>0.3</v>
      </c>
      <c r="J32">
        <v>0.58823526000000004</v>
      </c>
    </row>
    <row r="33" spans="1:10" x14ac:dyDescent="0.3">
      <c r="A33">
        <v>31</v>
      </c>
      <c r="B33">
        <v>517</v>
      </c>
      <c r="C33" t="b">
        <v>1</v>
      </c>
      <c r="D33">
        <v>8048</v>
      </c>
      <c r="E33">
        <v>8123</v>
      </c>
      <c r="F33">
        <v>5.6</v>
      </c>
      <c r="G33">
        <v>8</v>
      </c>
      <c r="H33">
        <v>0.7</v>
      </c>
      <c r="I33">
        <v>0.3</v>
      </c>
      <c r="J33">
        <v>0.58823526000000004</v>
      </c>
    </row>
    <row r="34" spans="1:10" x14ac:dyDescent="0.3">
      <c r="A34">
        <v>32</v>
      </c>
      <c r="B34">
        <v>532</v>
      </c>
      <c r="C34" t="b">
        <v>1</v>
      </c>
      <c r="D34">
        <v>8048</v>
      </c>
      <c r="E34">
        <v>8129</v>
      </c>
      <c r="F34">
        <v>5.6</v>
      </c>
      <c r="G34">
        <v>8</v>
      </c>
      <c r="H34">
        <v>0.7</v>
      </c>
      <c r="I34">
        <v>0.3</v>
      </c>
      <c r="J34">
        <v>0.58823526000000004</v>
      </c>
    </row>
    <row r="35" spans="1:10" x14ac:dyDescent="0.3">
      <c r="A35">
        <v>33</v>
      </c>
      <c r="B35">
        <v>548</v>
      </c>
      <c r="C35" t="b">
        <v>1</v>
      </c>
      <c r="D35">
        <v>8048</v>
      </c>
      <c r="E35">
        <v>8123</v>
      </c>
      <c r="F35">
        <v>5.6</v>
      </c>
      <c r="G35">
        <v>8</v>
      </c>
      <c r="H35">
        <v>0.7</v>
      </c>
      <c r="I35">
        <v>0.3</v>
      </c>
      <c r="J35">
        <v>0.58823526000000004</v>
      </c>
    </row>
    <row r="36" spans="1:10" x14ac:dyDescent="0.3">
      <c r="A36">
        <v>34</v>
      </c>
      <c r="B36">
        <v>564</v>
      </c>
      <c r="C36" t="b">
        <v>1</v>
      </c>
      <c r="D36">
        <v>8042</v>
      </c>
      <c r="E36">
        <v>8123</v>
      </c>
      <c r="F36">
        <v>5.6</v>
      </c>
      <c r="G36">
        <v>8</v>
      </c>
      <c r="H36">
        <v>0.7</v>
      </c>
      <c r="I36">
        <v>0.3</v>
      </c>
      <c r="J36">
        <v>0.58823526000000004</v>
      </c>
    </row>
    <row r="37" spans="1:10" x14ac:dyDescent="0.3">
      <c r="A37">
        <v>35</v>
      </c>
      <c r="B37">
        <v>580</v>
      </c>
      <c r="C37" t="b">
        <v>1</v>
      </c>
      <c r="D37">
        <v>8048</v>
      </c>
      <c r="E37">
        <v>8123</v>
      </c>
      <c r="F37">
        <v>5.6</v>
      </c>
      <c r="G37">
        <v>8</v>
      </c>
      <c r="H37">
        <v>0.7</v>
      </c>
      <c r="I37">
        <v>0.3</v>
      </c>
      <c r="J37">
        <v>0.58823526000000004</v>
      </c>
    </row>
    <row r="38" spans="1:10" x14ac:dyDescent="0.3">
      <c r="A38">
        <v>36</v>
      </c>
      <c r="B38">
        <v>596</v>
      </c>
      <c r="C38" t="b">
        <v>1</v>
      </c>
      <c r="D38">
        <v>8048</v>
      </c>
      <c r="E38">
        <v>8123</v>
      </c>
      <c r="F38">
        <v>5.6</v>
      </c>
      <c r="G38">
        <v>8</v>
      </c>
      <c r="H38">
        <v>0.7</v>
      </c>
      <c r="I38">
        <v>0.3</v>
      </c>
      <c r="J38">
        <v>0.58823526000000004</v>
      </c>
    </row>
    <row r="39" spans="1:10" x14ac:dyDescent="0.3">
      <c r="A39">
        <v>37</v>
      </c>
      <c r="B39">
        <v>611</v>
      </c>
      <c r="C39" t="b">
        <v>1</v>
      </c>
      <c r="D39">
        <v>8048</v>
      </c>
      <c r="E39">
        <v>8123</v>
      </c>
      <c r="F39">
        <v>5.6</v>
      </c>
      <c r="G39">
        <v>8</v>
      </c>
      <c r="H39">
        <v>0.7</v>
      </c>
      <c r="I39">
        <v>0.3</v>
      </c>
      <c r="J39">
        <v>0.58823526000000004</v>
      </c>
    </row>
    <row r="40" spans="1:10" x14ac:dyDescent="0.3">
      <c r="A40">
        <v>38</v>
      </c>
      <c r="B40">
        <v>628</v>
      </c>
      <c r="C40" t="b">
        <v>1</v>
      </c>
      <c r="D40">
        <v>8054</v>
      </c>
      <c r="E40">
        <v>8117</v>
      </c>
      <c r="F40">
        <v>5.6</v>
      </c>
      <c r="G40">
        <v>8</v>
      </c>
      <c r="H40">
        <v>0.7</v>
      </c>
      <c r="I40">
        <v>0.3</v>
      </c>
      <c r="J40">
        <v>0.58823526000000004</v>
      </c>
    </row>
    <row r="41" spans="1:10" x14ac:dyDescent="0.3">
      <c r="A41">
        <v>39</v>
      </c>
      <c r="B41">
        <v>644</v>
      </c>
      <c r="C41" t="b">
        <v>1</v>
      </c>
      <c r="D41">
        <v>8054</v>
      </c>
      <c r="E41">
        <v>8123</v>
      </c>
      <c r="F41">
        <v>5.6</v>
      </c>
      <c r="G41">
        <v>8</v>
      </c>
      <c r="H41">
        <v>0.7</v>
      </c>
      <c r="I41">
        <v>0.3</v>
      </c>
      <c r="J41">
        <v>0.58823526000000004</v>
      </c>
    </row>
    <row r="42" spans="1:10" x14ac:dyDescent="0.3">
      <c r="A42">
        <v>40</v>
      </c>
      <c r="B42">
        <v>660</v>
      </c>
      <c r="C42" t="b">
        <v>1</v>
      </c>
      <c r="D42">
        <v>8048</v>
      </c>
      <c r="E42">
        <v>8123</v>
      </c>
      <c r="F42">
        <v>6</v>
      </c>
      <c r="G42">
        <v>8</v>
      </c>
      <c r="H42">
        <v>0.75</v>
      </c>
      <c r="I42">
        <v>0.25</v>
      </c>
      <c r="J42">
        <v>0.57142859999999995</v>
      </c>
    </row>
    <row r="43" spans="1:10" x14ac:dyDescent="0.3">
      <c r="A43">
        <v>41</v>
      </c>
      <c r="B43">
        <v>676</v>
      </c>
      <c r="C43" t="b">
        <v>1</v>
      </c>
      <c r="D43">
        <v>8054</v>
      </c>
      <c r="E43">
        <v>8117</v>
      </c>
      <c r="F43">
        <v>6.8</v>
      </c>
      <c r="G43">
        <v>8</v>
      </c>
      <c r="H43">
        <v>0.85</v>
      </c>
      <c r="I43">
        <v>0.14999998</v>
      </c>
      <c r="J43">
        <v>0.54054049999999998</v>
      </c>
    </row>
    <row r="44" spans="1:10" x14ac:dyDescent="0.3">
      <c r="A44">
        <v>42</v>
      </c>
      <c r="B44">
        <v>692</v>
      </c>
      <c r="C44" t="b">
        <v>1</v>
      </c>
      <c r="D44">
        <v>8042</v>
      </c>
      <c r="E44">
        <v>8117</v>
      </c>
      <c r="F44">
        <v>7.6</v>
      </c>
      <c r="G44">
        <v>7.6</v>
      </c>
      <c r="H44">
        <v>1</v>
      </c>
      <c r="I44">
        <v>0</v>
      </c>
      <c r="J44">
        <v>0.5</v>
      </c>
    </row>
    <row r="45" spans="1:10" x14ac:dyDescent="0.3">
      <c r="A45">
        <v>43</v>
      </c>
      <c r="B45">
        <v>708</v>
      </c>
      <c r="C45" t="b">
        <v>1</v>
      </c>
      <c r="D45">
        <v>8042</v>
      </c>
      <c r="E45">
        <v>8117</v>
      </c>
      <c r="F45">
        <v>8</v>
      </c>
      <c r="G45">
        <v>7.2</v>
      </c>
      <c r="H45">
        <v>1.1111112000000001</v>
      </c>
      <c r="I45">
        <v>-0.11111114</v>
      </c>
      <c r="J45">
        <v>0.4736842</v>
      </c>
    </row>
    <row r="46" spans="1:10" x14ac:dyDescent="0.3">
      <c r="A46">
        <v>44</v>
      </c>
      <c r="B46">
        <v>724</v>
      </c>
      <c r="C46" t="b">
        <v>1</v>
      </c>
      <c r="D46">
        <v>8048</v>
      </c>
      <c r="E46">
        <v>8134</v>
      </c>
      <c r="F46">
        <v>8.4</v>
      </c>
      <c r="G46">
        <v>6.8</v>
      </c>
      <c r="H46">
        <v>1.2352939999999999</v>
      </c>
      <c r="I46">
        <v>-0.23529402999999999</v>
      </c>
      <c r="J46">
        <v>0.44736843999999998</v>
      </c>
    </row>
    <row r="47" spans="1:10" x14ac:dyDescent="0.3">
      <c r="A47">
        <v>45</v>
      </c>
      <c r="B47">
        <v>740</v>
      </c>
      <c r="C47" t="b">
        <v>1</v>
      </c>
      <c r="D47">
        <v>8042</v>
      </c>
      <c r="E47">
        <v>8123</v>
      </c>
      <c r="F47">
        <v>8.4</v>
      </c>
      <c r="G47">
        <v>6.4</v>
      </c>
      <c r="H47">
        <v>1.3124998999999999</v>
      </c>
      <c r="I47">
        <v>-0.3124999</v>
      </c>
      <c r="J47">
        <v>0.43243247000000001</v>
      </c>
    </row>
    <row r="48" spans="1:10" x14ac:dyDescent="0.3">
      <c r="A48">
        <v>46</v>
      </c>
      <c r="B48">
        <v>756</v>
      </c>
      <c r="C48" t="b">
        <v>1</v>
      </c>
      <c r="D48">
        <v>8042</v>
      </c>
      <c r="E48">
        <v>8123</v>
      </c>
      <c r="F48">
        <v>8</v>
      </c>
      <c r="G48">
        <v>6.4</v>
      </c>
      <c r="H48">
        <v>1.25</v>
      </c>
      <c r="I48">
        <v>-0.24999999000000001</v>
      </c>
      <c r="J48">
        <v>0.44444447999999998</v>
      </c>
    </row>
    <row r="49" spans="1:10" x14ac:dyDescent="0.3">
      <c r="A49">
        <v>47</v>
      </c>
      <c r="B49">
        <v>772</v>
      </c>
      <c r="C49" t="b">
        <v>1</v>
      </c>
      <c r="D49">
        <v>8042</v>
      </c>
      <c r="E49">
        <v>8117</v>
      </c>
      <c r="F49">
        <v>7.6</v>
      </c>
      <c r="G49">
        <v>6.4</v>
      </c>
      <c r="H49">
        <v>1.1875</v>
      </c>
      <c r="I49">
        <v>-0.18749996999999999</v>
      </c>
      <c r="J49">
        <v>0.45714285999999998</v>
      </c>
    </row>
    <row r="50" spans="1:10" x14ac:dyDescent="0.3">
      <c r="A50">
        <v>48</v>
      </c>
      <c r="B50">
        <v>788</v>
      </c>
      <c r="C50" t="b">
        <v>1</v>
      </c>
      <c r="D50">
        <v>8048</v>
      </c>
      <c r="E50">
        <v>8123</v>
      </c>
      <c r="F50">
        <v>7.2</v>
      </c>
      <c r="G50">
        <v>6.4</v>
      </c>
      <c r="H50">
        <v>1.125</v>
      </c>
      <c r="I50">
        <v>-0.124999955</v>
      </c>
      <c r="J50">
        <v>0.47058823999999999</v>
      </c>
    </row>
    <row r="51" spans="1:10" x14ac:dyDescent="0.3">
      <c r="A51">
        <v>49</v>
      </c>
      <c r="B51">
        <v>804</v>
      </c>
      <c r="C51" t="b">
        <v>1</v>
      </c>
      <c r="D51">
        <v>8048</v>
      </c>
      <c r="E51">
        <v>8123</v>
      </c>
      <c r="F51">
        <v>6.8</v>
      </c>
      <c r="G51">
        <v>6.4</v>
      </c>
      <c r="H51">
        <v>1.0625</v>
      </c>
      <c r="I51">
        <v>-6.2500015000000006E-2</v>
      </c>
      <c r="J51">
        <v>0.48484846999999998</v>
      </c>
    </row>
    <row r="52" spans="1:10" x14ac:dyDescent="0.3">
      <c r="A52">
        <v>50</v>
      </c>
      <c r="B52">
        <v>820</v>
      </c>
      <c r="C52" t="b">
        <v>1</v>
      </c>
      <c r="D52">
        <v>8048</v>
      </c>
      <c r="E52">
        <v>8129</v>
      </c>
      <c r="F52">
        <v>6.8</v>
      </c>
      <c r="G52">
        <v>6.4</v>
      </c>
      <c r="H52">
        <v>1.0625</v>
      </c>
      <c r="I52">
        <v>-6.2500015000000006E-2</v>
      </c>
      <c r="J52">
        <v>0.48484846999999998</v>
      </c>
    </row>
    <row r="53" spans="1:10" x14ac:dyDescent="0.3">
      <c r="A53">
        <v>51</v>
      </c>
      <c r="B53">
        <v>835</v>
      </c>
      <c r="C53" t="b">
        <v>1</v>
      </c>
      <c r="D53">
        <v>8048</v>
      </c>
      <c r="E53">
        <v>8123</v>
      </c>
      <c r="F53">
        <v>6.8</v>
      </c>
      <c r="G53">
        <v>6.4</v>
      </c>
      <c r="H53">
        <v>1.0625</v>
      </c>
      <c r="I53">
        <v>-6.2500015000000006E-2</v>
      </c>
      <c r="J53">
        <v>0.48484846999999998</v>
      </c>
    </row>
    <row r="54" spans="1:10" x14ac:dyDescent="0.3">
      <c r="A54">
        <v>52</v>
      </c>
      <c r="B54">
        <v>851</v>
      </c>
      <c r="C54" t="b">
        <v>1</v>
      </c>
      <c r="D54">
        <v>8054</v>
      </c>
      <c r="E54">
        <v>8123</v>
      </c>
      <c r="F54">
        <v>6.8</v>
      </c>
      <c r="G54">
        <v>6.4</v>
      </c>
      <c r="H54">
        <v>1.0625</v>
      </c>
      <c r="I54">
        <v>-6.2500015000000006E-2</v>
      </c>
      <c r="J54">
        <v>0.48484846999999998</v>
      </c>
    </row>
    <row r="55" spans="1:10" x14ac:dyDescent="0.3">
      <c r="A55">
        <v>53</v>
      </c>
      <c r="B55">
        <v>867</v>
      </c>
      <c r="C55" t="b">
        <v>1</v>
      </c>
      <c r="D55">
        <v>8048</v>
      </c>
      <c r="E55">
        <v>8123</v>
      </c>
      <c r="F55">
        <v>6.8</v>
      </c>
      <c r="G55">
        <v>6.4</v>
      </c>
      <c r="H55">
        <v>1.0625</v>
      </c>
      <c r="I55">
        <v>-6.2500015000000006E-2</v>
      </c>
      <c r="J55">
        <v>0.48484846999999998</v>
      </c>
    </row>
    <row r="56" spans="1:10" x14ac:dyDescent="0.3">
      <c r="A56">
        <v>54</v>
      </c>
      <c r="B56">
        <v>883</v>
      </c>
      <c r="C56" t="b">
        <v>1</v>
      </c>
      <c r="D56">
        <v>8054</v>
      </c>
      <c r="E56">
        <v>8123</v>
      </c>
      <c r="F56">
        <v>6.8</v>
      </c>
      <c r="G56">
        <v>6.4</v>
      </c>
      <c r="H56">
        <v>1.0625</v>
      </c>
      <c r="I56">
        <v>-6.2500015000000006E-2</v>
      </c>
      <c r="J56">
        <v>0.48484846999999998</v>
      </c>
    </row>
    <row r="57" spans="1:10" x14ac:dyDescent="0.3">
      <c r="A57">
        <v>55</v>
      </c>
      <c r="B57">
        <v>899</v>
      </c>
      <c r="C57" t="b">
        <v>1</v>
      </c>
      <c r="D57">
        <v>8048</v>
      </c>
      <c r="E57">
        <v>8123</v>
      </c>
      <c r="F57">
        <v>6.8</v>
      </c>
      <c r="G57">
        <v>6.4</v>
      </c>
      <c r="H57">
        <v>1.0625</v>
      </c>
      <c r="I57">
        <v>-6.2500015000000006E-2</v>
      </c>
      <c r="J57">
        <v>0.48484846999999998</v>
      </c>
    </row>
    <row r="58" spans="1:10" x14ac:dyDescent="0.3">
      <c r="A58">
        <v>56</v>
      </c>
      <c r="B58">
        <v>915</v>
      </c>
      <c r="C58" t="b">
        <v>1</v>
      </c>
      <c r="D58">
        <v>8042</v>
      </c>
      <c r="E58">
        <v>8123</v>
      </c>
      <c r="F58">
        <v>6.4</v>
      </c>
      <c r="G58">
        <v>6.4</v>
      </c>
      <c r="H58">
        <v>1</v>
      </c>
      <c r="I58">
        <v>0</v>
      </c>
      <c r="J58">
        <v>0.5</v>
      </c>
    </row>
    <row r="59" spans="1:10" x14ac:dyDescent="0.3">
      <c r="A59">
        <v>57</v>
      </c>
      <c r="B59">
        <v>930</v>
      </c>
      <c r="C59" t="b">
        <v>1</v>
      </c>
      <c r="D59">
        <v>8042</v>
      </c>
      <c r="E59">
        <v>8123</v>
      </c>
      <c r="F59">
        <v>6</v>
      </c>
      <c r="G59">
        <v>6.8</v>
      </c>
      <c r="H59">
        <v>0.8823529</v>
      </c>
      <c r="I59">
        <v>0.11764708</v>
      </c>
      <c r="J59">
        <v>0.53125</v>
      </c>
    </row>
    <row r="60" spans="1:10" x14ac:dyDescent="0.3">
      <c r="A60">
        <v>58</v>
      </c>
      <c r="B60">
        <v>946</v>
      </c>
      <c r="C60" t="b">
        <v>1</v>
      </c>
      <c r="D60">
        <v>8042</v>
      </c>
      <c r="E60">
        <v>8123</v>
      </c>
      <c r="F60">
        <v>5.6</v>
      </c>
      <c r="G60">
        <v>7.2</v>
      </c>
      <c r="H60">
        <v>0.77777779999999996</v>
      </c>
      <c r="I60">
        <v>0.22222221</v>
      </c>
      <c r="J60">
        <v>0.5625</v>
      </c>
    </row>
    <row r="61" spans="1:10" x14ac:dyDescent="0.3">
      <c r="A61">
        <v>59</v>
      </c>
      <c r="B61">
        <v>962</v>
      </c>
      <c r="C61" t="b">
        <v>1</v>
      </c>
      <c r="D61">
        <v>8048</v>
      </c>
      <c r="E61">
        <v>8129</v>
      </c>
      <c r="F61">
        <v>5.2</v>
      </c>
      <c r="G61">
        <v>7.6</v>
      </c>
      <c r="H61">
        <v>0.68421054000000003</v>
      </c>
      <c r="I61">
        <v>0.3157895</v>
      </c>
      <c r="J61">
        <v>0.59375</v>
      </c>
    </row>
    <row r="62" spans="1:10" x14ac:dyDescent="0.3">
      <c r="A62">
        <v>60</v>
      </c>
      <c r="B62">
        <v>978</v>
      </c>
      <c r="C62" t="b">
        <v>1</v>
      </c>
      <c r="D62">
        <v>8048</v>
      </c>
      <c r="E62">
        <v>8123</v>
      </c>
      <c r="F62">
        <v>5.2</v>
      </c>
      <c r="G62">
        <v>8</v>
      </c>
      <c r="H62">
        <v>0.65</v>
      </c>
      <c r="I62">
        <v>0.35000002000000002</v>
      </c>
      <c r="J62">
        <v>0.60606059999999995</v>
      </c>
    </row>
    <row r="63" spans="1:10" x14ac:dyDescent="0.3">
      <c r="A63">
        <v>61</v>
      </c>
      <c r="B63">
        <v>994</v>
      </c>
      <c r="C63" t="b">
        <v>1</v>
      </c>
      <c r="D63">
        <v>8048</v>
      </c>
      <c r="E63">
        <v>8123</v>
      </c>
      <c r="F63">
        <v>5.6</v>
      </c>
      <c r="G63">
        <v>8</v>
      </c>
      <c r="H63">
        <v>0.7</v>
      </c>
      <c r="I63">
        <v>0.3</v>
      </c>
      <c r="J63">
        <v>0.58823526000000004</v>
      </c>
    </row>
    <row r="64" spans="1:10" x14ac:dyDescent="0.3">
      <c r="A64">
        <v>62</v>
      </c>
      <c r="B64">
        <v>1010</v>
      </c>
      <c r="C64" t="b">
        <v>1</v>
      </c>
      <c r="D64">
        <v>8048</v>
      </c>
      <c r="E64">
        <v>8123</v>
      </c>
      <c r="F64">
        <v>6</v>
      </c>
      <c r="G64">
        <v>8</v>
      </c>
      <c r="H64">
        <v>0.75</v>
      </c>
      <c r="I64">
        <v>0.25</v>
      </c>
      <c r="J64">
        <v>0.57142859999999995</v>
      </c>
    </row>
    <row r="65" spans="1:10" x14ac:dyDescent="0.3">
      <c r="A65">
        <v>63</v>
      </c>
      <c r="B65">
        <v>1026</v>
      </c>
      <c r="C65" t="b">
        <v>1</v>
      </c>
      <c r="D65">
        <v>8054</v>
      </c>
      <c r="E65">
        <v>8123</v>
      </c>
      <c r="F65">
        <v>6.4</v>
      </c>
      <c r="G65">
        <v>8</v>
      </c>
      <c r="H65">
        <v>0.8</v>
      </c>
      <c r="I65">
        <v>0.19999998999999999</v>
      </c>
      <c r="J65">
        <v>0.55555560000000004</v>
      </c>
    </row>
    <row r="66" spans="1:10" x14ac:dyDescent="0.3">
      <c r="A66">
        <v>64</v>
      </c>
      <c r="B66">
        <v>1042</v>
      </c>
      <c r="C66" t="b">
        <v>1</v>
      </c>
      <c r="D66">
        <v>8048</v>
      </c>
      <c r="E66">
        <v>8129</v>
      </c>
      <c r="F66">
        <v>6.8</v>
      </c>
      <c r="G66">
        <v>8</v>
      </c>
      <c r="H66">
        <v>0.85</v>
      </c>
      <c r="I66">
        <v>0.14999998</v>
      </c>
      <c r="J66">
        <v>0.54054049999999998</v>
      </c>
    </row>
    <row r="67" spans="1:10" x14ac:dyDescent="0.3">
      <c r="A67">
        <v>65</v>
      </c>
      <c r="B67">
        <v>1058</v>
      </c>
      <c r="C67" t="b">
        <v>1</v>
      </c>
      <c r="D67">
        <v>8054</v>
      </c>
      <c r="E67">
        <v>8123</v>
      </c>
      <c r="F67">
        <v>6.8</v>
      </c>
      <c r="G67">
        <v>8</v>
      </c>
      <c r="H67">
        <v>0.85</v>
      </c>
      <c r="I67">
        <v>0.14999998</v>
      </c>
      <c r="J67">
        <v>0.54054049999999998</v>
      </c>
    </row>
    <row r="68" spans="1:10" x14ac:dyDescent="0.3">
      <c r="A68">
        <v>66</v>
      </c>
      <c r="B68">
        <v>1074</v>
      </c>
      <c r="C68" t="b">
        <v>1</v>
      </c>
      <c r="D68">
        <v>8048</v>
      </c>
      <c r="E68">
        <v>8123</v>
      </c>
      <c r="F68">
        <v>6.8</v>
      </c>
      <c r="G68">
        <v>8</v>
      </c>
      <c r="H68">
        <v>0.85</v>
      </c>
      <c r="I68">
        <v>0.14999998</v>
      </c>
      <c r="J68">
        <v>0.54054049999999998</v>
      </c>
    </row>
    <row r="69" spans="1:10" x14ac:dyDescent="0.3">
      <c r="A69">
        <v>67</v>
      </c>
      <c r="B69">
        <v>1090</v>
      </c>
      <c r="C69" t="b">
        <v>1</v>
      </c>
      <c r="D69">
        <v>8048</v>
      </c>
      <c r="E69">
        <v>8134</v>
      </c>
      <c r="F69">
        <v>6.8</v>
      </c>
      <c r="G69">
        <v>8</v>
      </c>
      <c r="H69">
        <v>0.85</v>
      </c>
      <c r="I69">
        <v>0.14999998</v>
      </c>
      <c r="J69">
        <v>0.54054049999999998</v>
      </c>
    </row>
    <row r="70" spans="1:10" x14ac:dyDescent="0.3">
      <c r="A70">
        <v>68</v>
      </c>
      <c r="B70">
        <v>1106</v>
      </c>
      <c r="C70" t="b">
        <v>1</v>
      </c>
      <c r="D70">
        <v>8048</v>
      </c>
      <c r="E70">
        <v>8123</v>
      </c>
      <c r="F70">
        <v>6.8</v>
      </c>
      <c r="G70">
        <v>8</v>
      </c>
      <c r="H70">
        <v>0.85</v>
      </c>
      <c r="I70">
        <v>0.14999998</v>
      </c>
      <c r="J70">
        <v>0.54054049999999998</v>
      </c>
    </row>
    <row r="71" spans="1:10" x14ac:dyDescent="0.3">
      <c r="A71">
        <v>69</v>
      </c>
      <c r="B71">
        <v>1122</v>
      </c>
      <c r="C71" t="b">
        <v>1</v>
      </c>
      <c r="D71">
        <v>8048</v>
      </c>
      <c r="E71">
        <v>8123</v>
      </c>
      <c r="F71">
        <v>6.8</v>
      </c>
      <c r="G71">
        <v>8</v>
      </c>
      <c r="H71">
        <v>0.85</v>
      </c>
      <c r="I71">
        <v>0.14999998</v>
      </c>
      <c r="J71">
        <v>0.54054049999999998</v>
      </c>
    </row>
    <row r="72" spans="1:10" x14ac:dyDescent="0.3">
      <c r="A72">
        <v>70</v>
      </c>
      <c r="B72">
        <v>1138</v>
      </c>
      <c r="C72" t="b">
        <v>1</v>
      </c>
      <c r="D72">
        <v>8048</v>
      </c>
      <c r="E72">
        <v>8123</v>
      </c>
      <c r="F72">
        <v>6.8</v>
      </c>
      <c r="G72">
        <v>8</v>
      </c>
      <c r="H72">
        <v>0.85</v>
      </c>
      <c r="I72">
        <v>0.14999998</v>
      </c>
      <c r="J72">
        <v>0.54054049999999998</v>
      </c>
    </row>
    <row r="73" spans="1:10" x14ac:dyDescent="0.3">
      <c r="A73">
        <v>71</v>
      </c>
      <c r="B73">
        <v>1154</v>
      </c>
      <c r="C73" t="b">
        <v>1</v>
      </c>
      <c r="D73">
        <v>8048</v>
      </c>
      <c r="E73">
        <v>8123</v>
      </c>
      <c r="F73">
        <v>6.8</v>
      </c>
      <c r="G73">
        <v>8</v>
      </c>
      <c r="H73">
        <v>0.85</v>
      </c>
      <c r="I73">
        <v>0.14999998</v>
      </c>
      <c r="J73">
        <v>0.54054049999999998</v>
      </c>
    </row>
    <row r="74" spans="1:10" x14ac:dyDescent="0.3">
      <c r="A74">
        <v>72</v>
      </c>
      <c r="B74">
        <v>1169</v>
      </c>
      <c r="C74" t="b">
        <v>1</v>
      </c>
      <c r="D74">
        <v>8048</v>
      </c>
      <c r="E74">
        <v>8123</v>
      </c>
      <c r="F74">
        <v>6.8</v>
      </c>
      <c r="G74">
        <v>8</v>
      </c>
      <c r="H74">
        <v>0.85</v>
      </c>
      <c r="I74">
        <v>0.14999998</v>
      </c>
      <c r="J74">
        <v>0.54054049999999998</v>
      </c>
    </row>
    <row r="75" spans="1:10" x14ac:dyDescent="0.3">
      <c r="A75">
        <v>73</v>
      </c>
      <c r="B75">
        <v>1185</v>
      </c>
      <c r="C75" t="b">
        <v>1</v>
      </c>
      <c r="D75">
        <v>8048</v>
      </c>
      <c r="E75">
        <v>8117</v>
      </c>
      <c r="F75">
        <v>7.2</v>
      </c>
      <c r="G75">
        <v>8</v>
      </c>
      <c r="H75">
        <v>0.9</v>
      </c>
      <c r="I75">
        <v>0.10000002400000001</v>
      </c>
      <c r="J75">
        <v>0.5263158</v>
      </c>
    </row>
    <row r="76" spans="1:10" x14ac:dyDescent="0.3">
      <c r="A76">
        <v>74</v>
      </c>
      <c r="B76">
        <v>1201</v>
      </c>
      <c r="C76" t="b">
        <v>1</v>
      </c>
      <c r="D76">
        <v>8048</v>
      </c>
      <c r="E76">
        <v>8123</v>
      </c>
      <c r="F76">
        <v>7.6</v>
      </c>
      <c r="G76">
        <v>8</v>
      </c>
      <c r="H76">
        <v>0.95</v>
      </c>
      <c r="I76">
        <v>5.0000012000000003E-2</v>
      </c>
      <c r="J76">
        <v>0.51282050000000001</v>
      </c>
    </row>
    <row r="77" spans="1:10" x14ac:dyDescent="0.3">
      <c r="A77">
        <v>75</v>
      </c>
      <c r="B77">
        <v>1217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1233</v>
      </c>
      <c r="C78" t="b">
        <v>1</v>
      </c>
      <c r="D78">
        <v>8048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1248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1265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1280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1296</v>
      </c>
      <c r="C82" t="b">
        <v>1</v>
      </c>
      <c r="D82">
        <v>8048</v>
      </c>
      <c r="E82">
        <v>8129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1311</v>
      </c>
      <c r="C83" t="b">
        <v>1</v>
      </c>
      <c r="D83">
        <v>8048</v>
      </c>
      <c r="E83">
        <v>8117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1327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1343</v>
      </c>
      <c r="C85" t="b">
        <v>1</v>
      </c>
      <c r="D85">
        <v>8048</v>
      </c>
      <c r="E85">
        <v>8117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1359</v>
      </c>
      <c r="C86" t="b">
        <v>1</v>
      </c>
      <c r="D86">
        <v>8048</v>
      </c>
      <c r="E86">
        <v>8117</v>
      </c>
      <c r="F86">
        <v>8</v>
      </c>
      <c r="G86">
        <v>7.6</v>
      </c>
      <c r="H86">
        <v>1.0526316</v>
      </c>
      <c r="I86">
        <v>-5.2631589999999999E-2</v>
      </c>
      <c r="J86">
        <v>0.48717946000000001</v>
      </c>
    </row>
    <row r="87" spans="1:10" x14ac:dyDescent="0.3">
      <c r="A87">
        <v>85</v>
      </c>
      <c r="B87">
        <v>1375</v>
      </c>
      <c r="C87" t="b">
        <v>1</v>
      </c>
      <c r="D87">
        <v>8048</v>
      </c>
      <c r="E87">
        <v>8117</v>
      </c>
      <c r="F87">
        <v>8</v>
      </c>
      <c r="G87">
        <v>7.2</v>
      </c>
      <c r="H87">
        <v>1.1111112000000001</v>
      </c>
      <c r="I87">
        <v>-0.11111114</v>
      </c>
      <c r="J87">
        <v>0.4736842</v>
      </c>
    </row>
    <row r="88" spans="1:10" x14ac:dyDescent="0.3">
      <c r="A88">
        <v>86</v>
      </c>
      <c r="B88">
        <v>1391</v>
      </c>
      <c r="C88" t="b">
        <v>1</v>
      </c>
      <c r="D88">
        <v>8048</v>
      </c>
      <c r="E88">
        <v>8117</v>
      </c>
      <c r="F88">
        <v>8</v>
      </c>
      <c r="G88">
        <v>6.8</v>
      </c>
      <c r="H88">
        <v>1.1764705</v>
      </c>
      <c r="I88">
        <v>-0.17647055</v>
      </c>
      <c r="J88">
        <v>0.45945944999999999</v>
      </c>
    </row>
    <row r="89" spans="1:10" x14ac:dyDescent="0.3">
      <c r="A89">
        <v>87</v>
      </c>
      <c r="B89">
        <v>1407</v>
      </c>
      <c r="C89" t="b">
        <v>1</v>
      </c>
      <c r="D89">
        <v>8054</v>
      </c>
      <c r="E89">
        <v>8134</v>
      </c>
      <c r="F89">
        <v>8</v>
      </c>
      <c r="G89">
        <v>6.4</v>
      </c>
      <c r="H89">
        <v>1.25</v>
      </c>
      <c r="I89">
        <v>-0.24999999000000001</v>
      </c>
      <c r="J89">
        <v>0.44444447999999998</v>
      </c>
    </row>
    <row r="90" spans="1:10" x14ac:dyDescent="0.3">
      <c r="A90">
        <v>88</v>
      </c>
      <c r="B90">
        <v>1423</v>
      </c>
      <c r="C90" t="b">
        <v>1</v>
      </c>
      <c r="D90">
        <v>8048</v>
      </c>
      <c r="E90">
        <v>8123</v>
      </c>
      <c r="F90">
        <v>8</v>
      </c>
      <c r="G90">
        <v>6</v>
      </c>
      <c r="H90">
        <v>1.3333333999999999</v>
      </c>
      <c r="I90">
        <v>-0.33333333999999998</v>
      </c>
      <c r="J90">
        <v>0.42857142999999998</v>
      </c>
    </row>
    <row r="91" spans="1:10" x14ac:dyDescent="0.3">
      <c r="A91">
        <v>89</v>
      </c>
      <c r="B91">
        <v>1439</v>
      </c>
      <c r="C91" t="b">
        <v>1</v>
      </c>
      <c r="D91">
        <v>8048</v>
      </c>
      <c r="E91">
        <v>8123</v>
      </c>
      <c r="F91">
        <v>8</v>
      </c>
      <c r="G91">
        <v>6</v>
      </c>
      <c r="H91">
        <v>1.3333333999999999</v>
      </c>
      <c r="I91">
        <v>-0.33333333999999998</v>
      </c>
      <c r="J91">
        <v>0.42857142999999998</v>
      </c>
    </row>
    <row r="92" spans="1:10" x14ac:dyDescent="0.3">
      <c r="A92">
        <v>90</v>
      </c>
      <c r="B92">
        <v>1455</v>
      </c>
      <c r="C92" t="b">
        <v>1</v>
      </c>
      <c r="D92">
        <v>8048</v>
      </c>
      <c r="E92">
        <v>8117</v>
      </c>
      <c r="F92">
        <v>8</v>
      </c>
      <c r="G92">
        <v>6</v>
      </c>
      <c r="H92">
        <v>1.3333333999999999</v>
      </c>
      <c r="I92">
        <v>-0.33333333999999998</v>
      </c>
      <c r="J92">
        <v>0.42857142999999998</v>
      </c>
    </row>
    <row r="93" spans="1:10" x14ac:dyDescent="0.3">
      <c r="A93">
        <v>91</v>
      </c>
      <c r="B93">
        <v>1471</v>
      </c>
      <c r="C93" t="b">
        <v>1</v>
      </c>
      <c r="D93">
        <v>8048</v>
      </c>
      <c r="E93">
        <v>8123</v>
      </c>
      <c r="F93">
        <v>8</v>
      </c>
      <c r="G93">
        <v>6</v>
      </c>
      <c r="H93">
        <v>1.3333333999999999</v>
      </c>
      <c r="I93">
        <v>-0.33333333999999998</v>
      </c>
      <c r="J93">
        <v>0.42857142999999998</v>
      </c>
    </row>
    <row r="94" spans="1:10" x14ac:dyDescent="0.3">
      <c r="A94">
        <v>92</v>
      </c>
      <c r="B94">
        <v>1487</v>
      </c>
      <c r="C94" t="b">
        <v>1</v>
      </c>
      <c r="D94">
        <v>8048</v>
      </c>
      <c r="E94">
        <v>8123</v>
      </c>
      <c r="F94">
        <v>8</v>
      </c>
      <c r="G94">
        <v>6</v>
      </c>
      <c r="H94">
        <v>1.3333333999999999</v>
      </c>
      <c r="I94">
        <v>-0.33333333999999998</v>
      </c>
      <c r="J94">
        <v>0.42857142999999998</v>
      </c>
    </row>
    <row r="95" spans="1:10" x14ac:dyDescent="0.3">
      <c r="A95">
        <v>93</v>
      </c>
      <c r="B95">
        <v>1503</v>
      </c>
      <c r="C95" t="b">
        <v>1</v>
      </c>
      <c r="D95">
        <v>8042</v>
      </c>
      <c r="E95">
        <v>8123</v>
      </c>
      <c r="F95">
        <v>8</v>
      </c>
      <c r="G95">
        <v>6</v>
      </c>
      <c r="H95">
        <v>1.3333333999999999</v>
      </c>
      <c r="I95">
        <v>-0.33333333999999998</v>
      </c>
      <c r="J95">
        <v>0.42857142999999998</v>
      </c>
    </row>
    <row r="96" spans="1:10" x14ac:dyDescent="0.3">
      <c r="A96">
        <v>94</v>
      </c>
      <c r="B96">
        <v>1519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1535</v>
      </c>
      <c r="C97" t="b">
        <v>1</v>
      </c>
      <c r="D97">
        <v>8048</v>
      </c>
      <c r="E97">
        <v>8123</v>
      </c>
      <c r="F97">
        <v>8</v>
      </c>
      <c r="G97">
        <v>6</v>
      </c>
      <c r="H97">
        <v>1.3333333999999999</v>
      </c>
      <c r="I97">
        <v>-0.33333333999999998</v>
      </c>
      <c r="J97">
        <v>0.42857142999999998</v>
      </c>
    </row>
    <row r="98" spans="1:10" x14ac:dyDescent="0.3">
      <c r="A98">
        <v>96</v>
      </c>
      <c r="B98">
        <v>1550</v>
      </c>
      <c r="C98" t="b">
        <v>1</v>
      </c>
      <c r="D98">
        <v>8042</v>
      </c>
      <c r="E98">
        <v>8129</v>
      </c>
      <c r="F98">
        <v>8</v>
      </c>
      <c r="G98">
        <v>6</v>
      </c>
      <c r="H98">
        <v>1.3333333999999999</v>
      </c>
      <c r="I98">
        <v>-0.33333333999999998</v>
      </c>
      <c r="J98">
        <v>0.42857142999999998</v>
      </c>
    </row>
    <row r="99" spans="1:10" x14ac:dyDescent="0.3">
      <c r="A99">
        <v>97</v>
      </c>
      <c r="B99">
        <v>1566</v>
      </c>
      <c r="C99" t="b">
        <v>1</v>
      </c>
      <c r="D99">
        <v>8042</v>
      </c>
      <c r="E99">
        <v>8129</v>
      </c>
      <c r="F99">
        <v>7.6</v>
      </c>
      <c r="G99">
        <v>6</v>
      </c>
      <c r="H99">
        <v>1.2666667</v>
      </c>
      <c r="I99">
        <v>-0.26666665000000001</v>
      </c>
      <c r="J99">
        <v>0.44117644</v>
      </c>
    </row>
    <row r="100" spans="1:10" x14ac:dyDescent="0.3">
      <c r="A100">
        <v>98</v>
      </c>
      <c r="B100">
        <v>1582</v>
      </c>
      <c r="C100" t="b">
        <v>1</v>
      </c>
      <c r="D100">
        <v>8042</v>
      </c>
      <c r="E100">
        <v>8123</v>
      </c>
      <c r="F100">
        <v>7.2</v>
      </c>
      <c r="G100">
        <v>6</v>
      </c>
      <c r="H100">
        <v>1.1999998999999999</v>
      </c>
      <c r="I100">
        <v>-0.19999997</v>
      </c>
      <c r="J100">
        <v>0.45454547000000001</v>
      </c>
    </row>
    <row r="101" spans="1:10" x14ac:dyDescent="0.3">
      <c r="A101">
        <v>99</v>
      </c>
      <c r="B101">
        <v>1598</v>
      </c>
      <c r="C101" t="b">
        <v>1</v>
      </c>
      <c r="D101">
        <v>8048</v>
      </c>
      <c r="E101">
        <v>8123</v>
      </c>
      <c r="F101">
        <v>6.8</v>
      </c>
      <c r="G101">
        <v>6.4</v>
      </c>
      <c r="H101">
        <v>1.0625</v>
      </c>
      <c r="I101">
        <v>-6.2500015000000006E-2</v>
      </c>
      <c r="J101">
        <v>0.48484846999999998</v>
      </c>
    </row>
    <row r="102" spans="1:10" x14ac:dyDescent="0.3">
      <c r="A102">
        <v>100</v>
      </c>
      <c r="B102">
        <v>1614</v>
      </c>
      <c r="C102" t="b">
        <v>1</v>
      </c>
      <c r="D102">
        <v>8048</v>
      </c>
      <c r="E102">
        <v>8123</v>
      </c>
      <c r="F102">
        <v>6.4</v>
      </c>
      <c r="G102">
        <v>6.8</v>
      </c>
      <c r="H102">
        <v>0.94117649999999997</v>
      </c>
      <c r="I102">
        <v>5.8823540000000001E-2</v>
      </c>
      <c r="J102">
        <v>0.51515149999999998</v>
      </c>
    </row>
    <row r="103" spans="1:10" x14ac:dyDescent="0.3">
      <c r="A103">
        <v>101</v>
      </c>
      <c r="B103">
        <v>1630</v>
      </c>
      <c r="C103" t="b">
        <v>1</v>
      </c>
      <c r="D103">
        <v>8054</v>
      </c>
      <c r="E103">
        <v>8123</v>
      </c>
      <c r="F103">
        <v>6.4</v>
      </c>
      <c r="G103">
        <v>7.2</v>
      </c>
      <c r="H103">
        <v>0.88888895999999995</v>
      </c>
      <c r="I103">
        <v>0.111111075</v>
      </c>
      <c r="J103">
        <v>0.52941172999999997</v>
      </c>
    </row>
    <row r="104" spans="1:10" x14ac:dyDescent="0.3">
      <c r="A104">
        <v>102</v>
      </c>
      <c r="B104">
        <v>1646</v>
      </c>
      <c r="C104" t="b">
        <v>1</v>
      </c>
      <c r="D104">
        <v>8048</v>
      </c>
      <c r="E104">
        <v>8123</v>
      </c>
      <c r="F104">
        <v>6.4</v>
      </c>
      <c r="G104">
        <v>7.6</v>
      </c>
      <c r="H104">
        <v>0.84210527000000002</v>
      </c>
      <c r="I104">
        <v>0.15789471999999999</v>
      </c>
      <c r="J104">
        <v>0.54285709999999998</v>
      </c>
    </row>
    <row r="105" spans="1:10" x14ac:dyDescent="0.3">
      <c r="A105">
        <v>103</v>
      </c>
      <c r="B105">
        <v>1662</v>
      </c>
      <c r="C105" t="b">
        <v>1</v>
      </c>
      <c r="D105">
        <v>8048</v>
      </c>
      <c r="E105">
        <v>8123</v>
      </c>
      <c r="F105">
        <v>6.4</v>
      </c>
      <c r="G105">
        <v>8</v>
      </c>
      <c r="H105">
        <v>0.8</v>
      </c>
      <c r="I105">
        <v>0.19999998999999999</v>
      </c>
      <c r="J105">
        <v>0.55555560000000004</v>
      </c>
    </row>
    <row r="106" spans="1:10" x14ac:dyDescent="0.3">
      <c r="A106">
        <v>104</v>
      </c>
      <c r="B106">
        <v>1678</v>
      </c>
      <c r="C106" t="b">
        <v>1</v>
      </c>
      <c r="D106">
        <v>8048</v>
      </c>
      <c r="E106">
        <v>8123</v>
      </c>
      <c r="F106">
        <v>6.4</v>
      </c>
      <c r="G106">
        <v>8</v>
      </c>
      <c r="H106">
        <v>0.8</v>
      </c>
      <c r="I106">
        <v>0.19999998999999999</v>
      </c>
      <c r="J106">
        <v>0.55555560000000004</v>
      </c>
    </row>
    <row r="107" spans="1:10" x14ac:dyDescent="0.3">
      <c r="A107">
        <v>105</v>
      </c>
      <c r="B107">
        <v>1693</v>
      </c>
      <c r="C107" t="b">
        <v>1</v>
      </c>
      <c r="D107">
        <v>8048</v>
      </c>
      <c r="E107">
        <v>8123</v>
      </c>
      <c r="F107">
        <v>6.4</v>
      </c>
      <c r="G107">
        <v>8</v>
      </c>
      <c r="H107">
        <v>0.8</v>
      </c>
      <c r="I107">
        <v>0.19999998999999999</v>
      </c>
      <c r="J107">
        <v>0.55555560000000004</v>
      </c>
    </row>
    <row r="108" spans="1:10" x14ac:dyDescent="0.3">
      <c r="A108">
        <v>106</v>
      </c>
      <c r="B108">
        <v>1709</v>
      </c>
      <c r="C108" t="b">
        <v>1</v>
      </c>
      <c r="D108">
        <v>8048</v>
      </c>
      <c r="E108">
        <v>8123</v>
      </c>
      <c r="F108">
        <v>6.4</v>
      </c>
      <c r="G108">
        <v>8</v>
      </c>
      <c r="H108">
        <v>0.8</v>
      </c>
      <c r="I108">
        <v>0.19999998999999999</v>
      </c>
      <c r="J108">
        <v>0.55555560000000004</v>
      </c>
    </row>
    <row r="109" spans="1:10" x14ac:dyDescent="0.3">
      <c r="A109">
        <v>107</v>
      </c>
      <c r="B109">
        <v>1725</v>
      </c>
      <c r="C109" t="b">
        <v>1</v>
      </c>
      <c r="D109">
        <v>8048</v>
      </c>
      <c r="E109">
        <v>8129</v>
      </c>
      <c r="F109">
        <v>6.4</v>
      </c>
      <c r="G109">
        <v>8</v>
      </c>
      <c r="H109">
        <v>0.8</v>
      </c>
      <c r="I109">
        <v>0.19999998999999999</v>
      </c>
      <c r="J109">
        <v>0.55555560000000004</v>
      </c>
    </row>
    <row r="110" spans="1:10" x14ac:dyDescent="0.3">
      <c r="A110">
        <v>108</v>
      </c>
      <c r="B110">
        <v>1741</v>
      </c>
      <c r="C110" t="b">
        <v>1</v>
      </c>
      <c r="D110">
        <v>8048</v>
      </c>
      <c r="E110">
        <v>8123</v>
      </c>
      <c r="F110">
        <v>6.4</v>
      </c>
      <c r="G110">
        <v>8</v>
      </c>
      <c r="H110">
        <v>0.8</v>
      </c>
      <c r="I110">
        <v>0.19999998999999999</v>
      </c>
      <c r="J110">
        <v>0.55555560000000004</v>
      </c>
    </row>
    <row r="111" spans="1:10" x14ac:dyDescent="0.3">
      <c r="A111">
        <v>109</v>
      </c>
      <c r="B111">
        <v>1757</v>
      </c>
      <c r="C111" t="b">
        <v>1</v>
      </c>
      <c r="D111">
        <v>8048</v>
      </c>
      <c r="E111">
        <v>8123</v>
      </c>
      <c r="F111">
        <v>6.4</v>
      </c>
      <c r="G111">
        <v>8</v>
      </c>
      <c r="H111">
        <v>0.8</v>
      </c>
      <c r="I111">
        <v>0.19999998999999999</v>
      </c>
      <c r="J111">
        <v>0.55555560000000004</v>
      </c>
    </row>
    <row r="112" spans="1:10" x14ac:dyDescent="0.3">
      <c r="A112">
        <v>110</v>
      </c>
      <c r="B112">
        <v>1773</v>
      </c>
      <c r="C112" t="b">
        <v>1</v>
      </c>
      <c r="D112">
        <v>8042</v>
      </c>
      <c r="E112">
        <v>8123</v>
      </c>
      <c r="F112">
        <v>6.4</v>
      </c>
      <c r="G112">
        <v>8</v>
      </c>
      <c r="H112">
        <v>0.8</v>
      </c>
      <c r="I112">
        <v>0.19999998999999999</v>
      </c>
      <c r="J112">
        <v>0.55555560000000004</v>
      </c>
    </row>
    <row r="113" spans="1:10" x14ac:dyDescent="0.3">
      <c r="A113">
        <v>111</v>
      </c>
      <c r="B113">
        <v>1789</v>
      </c>
      <c r="C113" t="b">
        <v>1</v>
      </c>
      <c r="D113">
        <v>8048</v>
      </c>
      <c r="E113">
        <v>8123</v>
      </c>
      <c r="F113">
        <v>6.4</v>
      </c>
      <c r="G113">
        <v>8</v>
      </c>
      <c r="H113">
        <v>0.8</v>
      </c>
      <c r="I113">
        <v>0.19999998999999999</v>
      </c>
      <c r="J113">
        <v>0.55555560000000004</v>
      </c>
    </row>
    <row r="114" spans="1:10" x14ac:dyDescent="0.3">
      <c r="A114">
        <v>112</v>
      </c>
      <c r="B114">
        <v>1805</v>
      </c>
      <c r="C114" t="b">
        <v>1</v>
      </c>
      <c r="D114">
        <v>8048</v>
      </c>
      <c r="E114">
        <v>8123</v>
      </c>
      <c r="F114">
        <v>6.8</v>
      </c>
      <c r="G114">
        <v>8</v>
      </c>
      <c r="H114">
        <v>0.85</v>
      </c>
      <c r="I114">
        <v>0.14999998</v>
      </c>
      <c r="J114">
        <v>0.54054049999999998</v>
      </c>
    </row>
    <row r="115" spans="1:10" x14ac:dyDescent="0.3">
      <c r="A115">
        <v>113</v>
      </c>
      <c r="B115">
        <v>1820</v>
      </c>
      <c r="C115" t="b">
        <v>1</v>
      </c>
      <c r="D115">
        <v>8048</v>
      </c>
      <c r="E115">
        <v>8123</v>
      </c>
      <c r="F115">
        <v>7.2</v>
      </c>
      <c r="G115">
        <v>8</v>
      </c>
      <c r="H115">
        <v>0.9</v>
      </c>
      <c r="I115">
        <v>0.10000002400000001</v>
      </c>
      <c r="J115">
        <v>0.5263158</v>
      </c>
    </row>
    <row r="116" spans="1:10" x14ac:dyDescent="0.3">
      <c r="A116">
        <v>114</v>
      </c>
      <c r="B116">
        <v>1836</v>
      </c>
      <c r="C116" t="b">
        <v>1</v>
      </c>
      <c r="D116">
        <v>8048</v>
      </c>
      <c r="E116">
        <v>8123</v>
      </c>
      <c r="F116">
        <v>7.6</v>
      </c>
      <c r="G116">
        <v>8</v>
      </c>
      <c r="H116">
        <v>0.95</v>
      </c>
      <c r="I116">
        <v>5.0000012000000003E-2</v>
      </c>
      <c r="J116">
        <v>0.51282050000000001</v>
      </c>
    </row>
    <row r="117" spans="1:10" x14ac:dyDescent="0.3">
      <c r="A117">
        <v>115</v>
      </c>
      <c r="B117">
        <v>1852</v>
      </c>
      <c r="C117" t="b">
        <v>1</v>
      </c>
      <c r="D117">
        <v>8048</v>
      </c>
      <c r="E117">
        <v>8123</v>
      </c>
      <c r="F117">
        <v>8</v>
      </c>
      <c r="G117">
        <v>8</v>
      </c>
      <c r="H117">
        <v>1</v>
      </c>
      <c r="I117">
        <v>0</v>
      </c>
      <c r="J117">
        <v>0.5</v>
      </c>
    </row>
    <row r="118" spans="1:10" x14ac:dyDescent="0.3">
      <c r="A118">
        <v>116</v>
      </c>
      <c r="B118">
        <v>1868</v>
      </c>
      <c r="C118" t="b">
        <v>1</v>
      </c>
      <c r="D118">
        <v>8048</v>
      </c>
      <c r="E118">
        <v>8123</v>
      </c>
      <c r="F118">
        <v>8</v>
      </c>
      <c r="G118">
        <v>8</v>
      </c>
      <c r="H118">
        <v>1</v>
      </c>
      <c r="I118">
        <v>0</v>
      </c>
      <c r="J118">
        <v>0.5</v>
      </c>
    </row>
    <row r="119" spans="1:10" x14ac:dyDescent="0.3">
      <c r="A119">
        <v>117</v>
      </c>
      <c r="B119">
        <v>1883</v>
      </c>
      <c r="C119" t="b">
        <v>1</v>
      </c>
      <c r="D119">
        <v>8048</v>
      </c>
      <c r="E119">
        <v>8123</v>
      </c>
      <c r="F119">
        <v>8</v>
      </c>
      <c r="G119">
        <v>8</v>
      </c>
      <c r="H119">
        <v>1</v>
      </c>
      <c r="I119">
        <v>0</v>
      </c>
      <c r="J119">
        <v>0.5</v>
      </c>
    </row>
    <row r="120" spans="1:10" x14ac:dyDescent="0.3">
      <c r="A120">
        <v>118</v>
      </c>
      <c r="B120">
        <v>1899</v>
      </c>
      <c r="C120" t="b">
        <v>1</v>
      </c>
      <c r="D120">
        <v>8048</v>
      </c>
      <c r="E120">
        <v>8129</v>
      </c>
      <c r="F120">
        <v>8</v>
      </c>
      <c r="G120">
        <v>8</v>
      </c>
      <c r="H120">
        <v>1</v>
      </c>
      <c r="I120">
        <v>0</v>
      </c>
      <c r="J120">
        <v>0.5</v>
      </c>
    </row>
    <row r="121" spans="1:10" x14ac:dyDescent="0.3">
      <c r="A121">
        <v>119</v>
      </c>
      <c r="B121">
        <v>1915</v>
      </c>
      <c r="C121" t="b">
        <v>1</v>
      </c>
      <c r="D121">
        <v>8048</v>
      </c>
      <c r="E121">
        <v>8123</v>
      </c>
      <c r="F121">
        <v>8</v>
      </c>
      <c r="G121">
        <v>8</v>
      </c>
      <c r="H121">
        <v>1</v>
      </c>
      <c r="I121">
        <v>0</v>
      </c>
      <c r="J121">
        <v>0.5</v>
      </c>
    </row>
    <row r="122" spans="1:10" x14ac:dyDescent="0.3">
      <c r="A122">
        <v>120</v>
      </c>
      <c r="B122">
        <v>1931</v>
      </c>
      <c r="C122" t="b">
        <v>1</v>
      </c>
      <c r="D122">
        <v>8048</v>
      </c>
      <c r="E122">
        <v>8123</v>
      </c>
      <c r="F122">
        <v>8</v>
      </c>
      <c r="G122">
        <v>8</v>
      </c>
      <c r="H122">
        <v>1</v>
      </c>
      <c r="I122">
        <v>0</v>
      </c>
      <c r="J122">
        <v>0.5</v>
      </c>
    </row>
    <row r="123" spans="1:10" x14ac:dyDescent="0.3">
      <c r="A123">
        <v>121</v>
      </c>
      <c r="B123">
        <v>1947</v>
      </c>
      <c r="C123" t="b">
        <v>1</v>
      </c>
      <c r="D123">
        <v>8048</v>
      </c>
      <c r="E123">
        <v>8123</v>
      </c>
      <c r="F123">
        <v>8</v>
      </c>
      <c r="G123">
        <v>8</v>
      </c>
      <c r="H123">
        <v>1</v>
      </c>
      <c r="I123">
        <v>0</v>
      </c>
      <c r="J123">
        <v>0.5</v>
      </c>
    </row>
    <row r="124" spans="1:10" x14ac:dyDescent="0.3">
      <c r="A124">
        <v>122</v>
      </c>
      <c r="B124">
        <v>1963</v>
      </c>
      <c r="C124" t="b">
        <v>1</v>
      </c>
      <c r="D124">
        <v>8048</v>
      </c>
      <c r="E124">
        <v>8123</v>
      </c>
      <c r="F124">
        <v>8</v>
      </c>
      <c r="G124">
        <v>8</v>
      </c>
      <c r="H124">
        <v>1</v>
      </c>
      <c r="I124">
        <v>0</v>
      </c>
      <c r="J124">
        <v>0.5</v>
      </c>
    </row>
    <row r="125" spans="1:10" x14ac:dyDescent="0.3">
      <c r="A125">
        <v>123</v>
      </c>
      <c r="B125">
        <v>1979</v>
      </c>
      <c r="C125" t="b">
        <v>1</v>
      </c>
      <c r="D125">
        <v>8048</v>
      </c>
      <c r="E125">
        <v>8123</v>
      </c>
      <c r="F125">
        <v>8</v>
      </c>
      <c r="G125">
        <v>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1995</v>
      </c>
      <c r="C126" t="b">
        <v>1</v>
      </c>
      <c r="D126">
        <v>8048</v>
      </c>
      <c r="E126">
        <v>8129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2011</v>
      </c>
      <c r="C127" t="b">
        <v>1</v>
      </c>
      <c r="D127">
        <v>8048</v>
      </c>
      <c r="E127">
        <v>8129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2027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2043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2059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2075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2091</v>
      </c>
      <c r="C132" t="b">
        <v>1</v>
      </c>
      <c r="D132">
        <v>8042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2106</v>
      </c>
      <c r="C133" t="b">
        <v>1</v>
      </c>
      <c r="D133">
        <v>8048</v>
      </c>
      <c r="E133">
        <v>8123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2122</v>
      </c>
      <c r="C134" t="b">
        <v>1</v>
      </c>
      <c r="D134">
        <v>8048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2138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2154</v>
      </c>
      <c r="C136" t="b">
        <v>1</v>
      </c>
      <c r="D136">
        <v>8048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2170</v>
      </c>
      <c r="C137" t="b">
        <v>1</v>
      </c>
      <c r="D137">
        <v>8048</v>
      </c>
      <c r="E137">
        <v>8123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2186</v>
      </c>
      <c r="C138" t="b">
        <v>1</v>
      </c>
      <c r="D138">
        <v>8048</v>
      </c>
      <c r="E138">
        <v>8123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2202</v>
      </c>
      <c r="C139" t="b">
        <v>1</v>
      </c>
      <c r="D139">
        <v>8048</v>
      </c>
      <c r="E139">
        <v>8123</v>
      </c>
      <c r="F139">
        <v>8</v>
      </c>
      <c r="G139">
        <v>8</v>
      </c>
      <c r="H139">
        <v>1</v>
      </c>
      <c r="I139">
        <v>0</v>
      </c>
      <c r="J139">
        <v>0.5</v>
      </c>
    </row>
    <row r="140" spans="1:10" x14ac:dyDescent="0.3">
      <c r="A140">
        <v>138</v>
      </c>
      <c r="B140">
        <v>2218</v>
      </c>
      <c r="C140" t="b">
        <v>1</v>
      </c>
      <c r="D140">
        <v>8048</v>
      </c>
      <c r="E140">
        <v>8123</v>
      </c>
      <c r="F140">
        <v>8</v>
      </c>
      <c r="G140">
        <v>8</v>
      </c>
      <c r="H140">
        <v>1</v>
      </c>
      <c r="I140">
        <v>0</v>
      </c>
      <c r="J140">
        <v>0.5</v>
      </c>
    </row>
    <row r="141" spans="1:10" x14ac:dyDescent="0.3">
      <c r="A141">
        <v>139</v>
      </c>
      <c r="B141">
        <v>2234</v>
      </c>
      <c r="C141" t="b">
        <v>1</v>
      </c>
      <c r="D141">
        <v>8048</v>
      </c>
      <c r="E141">
        <v>8123</v>
      </c>
      <c r="F141">
        <v>8</v>
      </c>
      <c r="G141">
        <v>8</v>
      </c>
      <c r="H141">
        <v>1</v>
      </c>
      <c r="I141">
        <v>0</v>
      </c>
      <c r="J141">
        <v>0.5</v>
      </c>
    </row>
    <row r="142" spans="1:10" x14ac:dyDescent="0.3">
      <c r="A142">
        <v>140</v>
      </c>
      <c r="B142">
        <v>2250</v>
      </c>
      <c r="C142" t="b">
        <v>1</v>
      </c>
      <c r="D142">
        <v>8048</v>
      </c>
      <c r="E142">
        <v>8123</v>
      </c>
      <c r="F142">
        <v>8</v>
      </c>
      <c r="G142">
        <v>8</v>
      </c>
      <c r="H142">
        <v>1</v>
      </c>
      <c r="I142">
        <v>0</v>
      </c>
      <c r="J142">
        <v>0.5</v>
      </c>
    </row>
    <row r="143" spans="1:10" x14ac:dyDescent="0.3">
      <c r="A143">
        <v>141</v>
      </c>
      <c r="B143">
        <v>2266</v>
      </c>
      <c r="C143" t="b">
        <v>1</v>
      </c>
      <c r="D143">
        <v>8048</v>
      </c>
      <c r="E143">
        <v>8123</v>
      </c>
      <c r="F143">
        <v>8</v>
      </c>
      <c r="G143">
        <v>8</v>
      </c>
      <c r="H143">
        <v>1</v>
      </c>
      <c r="I143">
        <v>0</v>
      </c>
      <c r="J143">
        <v>0.5</v>
      </c>
    </row>
    <row r="144" spans="1:10" x14ac:dyDescent="0.3">
      <c r="A144">
        <v>142</v>
      </c>
      <c r="B144">
        <v>2281</v>
      </c>
      <c r="C144" t="b">
        <v>1</v>
      </c>
      <c r="D144">
        <v>8048</v>
      </c>
      <c r="E144">
        <v>8123</v>
      </c>
      <c r="F144">
        <v>8</v>
      </c>
      <c r="G144">
        <v>8</v>
      </c>
      <c r="H144">
        <v>1</v>
      </c>
      <c r="I144">
        <v>0</v>
      </c>
      <c r="J144">
        <v>0.5</v>
      </c>
    </row>
    <row r="145" spans="1:10" x14ac:dyDescent="0.3">
      <c r="A145">
        <v>143</v>
      </c>
      <c r="B145">
        <v>2297</v>
      </c>
      <c r="C145" t="b">
        <v>1</v>
      </c>
      <c r="D145">
        <v>8048</v>
      </c>
      <c r="E145">
        <v>8123</v>
      </c>
      <c r="F145">
        <v>8</v>
      </c>
      <c r="G145">
        <v>8</v>
      </c>
      <c r="H145">
        <v>1</v>
      </c>
      <c r="I145">
        <v>0</v>
      </c>
      <c r="J145">
        <v>0.5</v>
      </c>
    </row>
    <row r="146" spans="1:10" x14ac:dyDescent="0.3">
      <c r="A146">
        <v>144</v>
      </c>
      <c r="B146">
        <v>2313</v>
      </c>
      <c r="C146" t="b">
        <v>1</v>
      </c>
      <c r="D146">
        <v>8054</v>
      </c>
      <c r="E146">
        <v>8123</v>
      </c>
      <c r="F146">
        <v>8</v>
      </c>
      <c r="G146">
        <v>8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2329</v>
      </c>
      <c r="C147" t="b">
        <v>1</v>
      </c>
      <c r="D147">
        <v>8054</v>
      </c>
      <c r="E147">
        <v>8123</v>
      </c>
      <c r="F147">
        <v>8</v>
      </c>
      <c r="G147">
        <v>8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2345</v>
      </c>
      <c r="C148" t="b">
        <v>1</v>
      </c>
      <c r="D148">
        <v>8054</v>
      </c>
      <c r="E148">
        <v>8129</v>
      </c>
      <c r="F148">
        <v>8.4</v>
      </c>
      <c r="G148">
        <v>8</v>
      </c>
      <c r="H148">
        <v>1.05</v>
      </c>
      <c r="I148">
        <v>-4.9999952E-2</v>
      </c>
      <c r="J148">
        <v>0.48780489999999999</v>
      </c>
    </row>
    <row r="149" spans="1:10" x14ac:dyDescent="0.3">
      <c r="A149">
        <v>147</v>
      </c>
      <c r="B149">
        <v>2361</v>
      </c>
      <c r="C149" t="b">
        <v>1</v>
      </c>
      <c r="D149">
        <v>8054</v>
      </c>
      <c r="E149">
        <v>8129</v>
      </c>
      <c r="F149">
        <v>8.8000000000000007</v>
      </c>
      <c r="G149">
        <v>8</v>
      </c>
      <c r="H149">
        <v>1.1000000000000001</v>
      </c>
      <c r="I149">
        <v>-0.10000002400000001</v>
      </c>
      <c r="J149">
        <v>0.47619050000000002</v>
      </c>
    </row>
    <row r="150" spans="1:10" x14ac:dyDescent="0.3">
      <c r="A150">
        <v>148</v>
      </c>
      <c r="B150">
        <v>2377</v>
      </c>
      <c r="C150" t="b">
        <v>1</v>
      </c>
      <c r="D150">
        <v>8054</v>
      </c>
      <c r="E150">
        <v>8123</v>
      </c>
      <c r="F150">
        <v>9.1999999999999993</v>
      </c>
      <c r="G150">
        <v>8</v>
      </c>
      <c r="H150">
        <v>1.1499999999999999</v>
      </c>
      <c r="I150">
        <v>-0.14999998</v>
      </c>
      <c r="J150">
        <v>0.46511626</v>
      </c>
    </row>
    <row r="151" spans="1:10" x14ac:dyDescent="0.3">
      <c r="A151">
        <v>149</v>
      </c>
      <c r="B151">
        <v>2393</v>
      </c>
      <c r="C151" t="b">
        <v>1</v>
      </c>
      <c r="D151">
        <v>8060</v>
      </c>
      <c r="E151">
        <v>8123</v>
      </c>
      <c r="F151">
        <v>9.6</v>
      </c>
      <c r="G151">
        <v>8</v>
      </c>
      <c r="H151">
        <v>1.2</v>
      </c>
      <c r="I151">
        <v>-0.20000005000000001</v>
      </c>
      <c r="J151">
        <v>0.45454544000000002</v>
      </c>
    </row>
    <row r="152" spans="1:10" x14ac:dyDescent="0.3">
      <c r="A152">
        <v>150</v>
      </c>
      <c r="B152">
        <v>2409</v>
      </c>
      <c r="C152" t="b">
        <v>1</v>
      </c>
      <c r="D152">
        <v>8042</v>
      </c>
      <c r="E152">
        <v>8123</v>
      </c>
      <c r="F152">
        <v>10</v>
      </c>
      <c r="G152">
        <v>8</v>
      </c>
      <c r="H152">
        <v>1.25</v>
      </c>
      <c r="I152">
        <v>-0.25</v>
      </c>
      <c r="J152">
        <v>0.44444444999999999</v>
      </c>
    </row>
    <row r="153" spans="1:10" x14ac:dyDescent="0.3">
      <c r="A153">
        <v>151</v>
      </c>
      <c r="B153">
        <v>2426</v>
      </c>
      <c r="C153" t="b">
        <v>1</v>
      </c>
      <c r="D153">
        <v>8042</v>
      </c>
      <c r="E153">
        <v>8123</v>
      </c>
      <c r="F153">
        <v>10.4</v>
      </c>
      <c r="G153">
        <v>8</v>
      </c>
      <c r="H153">
        <v>1.3</v>
      </c>
      <c r="I153">
        <v>-0.29999995000000002</v>
      </c>
      <c r="J153">
        <v>0.43478262000000001</v>
      </c>
    </row>
    <row r="154" spans="1:10" x14ac:dyDescent="0.3">
      <c r="A154">
        <v>152</v>
      </c>
      <c r="B154">
        <v>2441</v>
      </c>
      <c r="C154" t="b">
        <v>1</v>
      </c>
      <c r="D154">
        <v>8042</v>
      </c>
      <c r="E154">
        <v>8123</v>
      </c>
      <c r="F154">
        <v>10</v>
      </c>
      <c r="G154">
        <v>8</v>
      </c>
      <c r="H154">
        <v>1.25</v>
      </c>
      <c r="I154">
        <v>-0.25</v>
      </c>
      <c r="J154">
        <v>0.44444444999999999</v>
      </c>
    </row>
    <row r="155" spans="1:10" x14ac:dyDescent="0.3">
      <c r="A155">
        <v>153</v>
      </c>
      <c r="B155">
        <v>2457</v>
      </c>
      <c r="C155" t="b">
        <v>1</v>
      </c>
      <c r="D155">
        <v>8042</v>
      </c>
      <c r="E155">
        <v>8123</v>
      </c>
      <c r="F155">
        <v>9.6</v>
      </c>
      <c r="G155">
        <v>8</v>
      </c>
      <c r="H155">
        <v>1.2</v>
      </c>
      <c r="I155">
        <v>-0.20000005000000001</v>
      </c>
      <c r="J155">
        <v>0.45454544000000002</v>
      </c>
    </row>
    <row r="156" spans="1:10" x14ac:dyDescent="0.3">
      <c r="A156">
        <v>154</v>
      </c>
      <c r="B156">
        <v>2473</v>
      </c>
      <c r="C156" t="b">
        <v>1</v>
      </c>
      <c r="D156">
        <v>8042</v>
      </c>
      <c r="E156">
        <v>8123</v>
      </c>
      <c r="F156">
        <v>9.1999999999999993</v>
      </c>
      <c r="G156">
        <v>8</v>
      </c>
      <c r="H156">
        <v>1.1499999999999999</v>
      </c>
      <c r="I156">
        <v>-0.14999998</v>
      </c>
      <c r="J156">
        <v>0.46511626</v>
      </c>
    </row>
    <row r="157" spans="1:10" x14ac:dyDescent="0.3">
      <c r="A157">
        <v>155</v>
      </c>
      <c r="B157">
        <v>2489</v>
      </c>
      <c r="C157" t="b">
        <v>1</v>
      </c>
      <c r="D157">
        <v>8042</v>
      </c>
      <c r="E157">
        <v>8123</v>
      </c>
      <c r="F157">
        <v>8.8000000000000007</v>
      </c>
      <c r="G157">
        <v>8</v>
      </c>
      <c r="H157">
        <v>1.1000000000000001</v>
      </c>
      <c r="I157">
        <v>-0.10000002400000001</v>
      </c>
      <c r="J157">
        <v>0.47619050000000002</v>
      </c>
    </row>
    <row r="158" spans="1:10" x14ac:dyDescent="0.3">
      <c r="A158">
        <v>156</v>
      </c>
      <c r="B158">
        <v>2505</v>
      </c>
      <c r="C158" t="b">
        <v>1</v>
      </c>
      <c r="D158">
        <v>8042</v>
      </c>
      <c r="E158">
        <v>8123</v>
      </c>
      <c r="F158">
        <v>8.4</v>
      </c>
      <c r="G158">
        <v>8</v>
      </c>
      <c r="H158">
        <v>1.05</v>
      </c>
      <c r="I158">
        <v>-4.9999952E-2</v>
      </c>
      <c r="J158">
        <v>0.48780489999999999</v>
      </c>
    </row>
    <row r="159" spans="1:10" x14ac:dyDescent="0.3">
      <c r="A159">
        <v>157</v>
      </c>
      <c r="B159">
        <v>2521</v>
      </c>
      <c r="C159" t="b">
        <v>1</v>
      </c>
      <c r="D159">
        <v>8048</v>
      </c>
      <c r="E159">
        <v>8129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2537</v>
      </c>
      <c r="C160" t="b">
        <v>1</v>
      </c>
      <c r="D160">
        <v>8048</v>
      </c>
      <c r="E160">
        <v>8129</v>
      </c>
      <c r="F160">
        <v>7.6</v>
      </c>
      <c r="G160">
        <v>8</v>
      </c>
      <c r="H160">
        <v>0.95</v>
      </c>
      <c r="I160">
        <v>5.0000012000000003E-2</v>
      </c>
      <c r="J160">
        <v>0.51282050000000001</v>
      </c>
    </row>
    <row r="161" spans="1:10" x14ac:dyDescent="0.3">
      <c r="A161">
        <v>159</v>
      </c>
      <c r="B161">
        <v>2552</v>
      </c>
      <c r="C161" t="b">
        <v>1</v>
      </c>
      <c r="D161">
        <v>8048</v>
      </c>
      <c r="E161">
        <v>8123</v>
      </c>
      <c r="F161">
        <v>7.6</v>
      </c>
      <c r="G161">
        <v>8</v>
      </c>
      <c r="H161">
        <v>0.95</v>
      </c>
      <c r="I161">
        <v>5.0000012000000003E-2</v>
      </c>
      <c r="J161">
        <v>0.51282050000000001</v>
      </c>
    </row>
    <row r="162" spans="1:10" x14ac:dyDescent="0.3">
      <c r="A162">
        <v>160</v>
      </c>
      <c r="B162">
        <v>2568</v>
      </c>
      <c r="C162" t="b">
        <v>1</v>
      </c>
      <c r="D162">
        <v>8048</v>
      </c>
      <c r="E162">
        <v>8123</v>
      </c>
      <c r="F162">
        <v>7.6</v>
      </c>
      <c r="G162">
        <v>8</v>
      </c>
      <c r="H162">
        <v>0.95</v>
      </c>
      <c r="I162">
        <v>5.0000012000000003E-2</v>
      </c>
      <c r="J162">
        <v>0.51282050000000001</v>
      </c>
    </row>
    <row r="163" spans="1:10" x14ac:dyDescent="0.3">
      <c r="A163">
        <v>161</v>
      </c>
      <c r="B163">
        <v>2584</v>
      </c>
      <c r="C163" t="b">
        <v>1</v>
      </c>
      <c r="D163">
        <v>8048</v>
      </c>
      <c r="E163">
        <v>8129</v>
      </c>
      <c r="F163">
        <v>7.2</v>
      </c>
      <c r="G163">
        <v>8.4</v>
      </c>
      <c r="H163">
        <v>0.85714287</v>
      </c>
      <c r="I163">
        <v>0.14285712</v>
      </c>
      <c r="J163">
        <v>0.53846150000000004</v>
      </c>
    </row>
    <row r="164" spans="1:10" x14ac:dyDescent="0.3">
      <c r="A164">
        <v>162</v>
      </c>
      <c r="B164">
        <v>2600</v>
      </c>
      <c r="C164" t="b">
        <v>1</v>
      </c>
      <c r="D164">
        <v>8048</v>
      </c>
      <c r="E164">
        <v>8123</v>
      </c>
      <c r="F164">
        <v>6.8</v>
      </c>
      <c r="G164">
        <v>8.4</v>
      </c>
      <c r="H164">
        <v>0.80952389999999996</v>
      </c>
      <c r="I164">
        <v>0.19047612999999999</v>
      </c>
      <c r="J164">
        <v>0.55263156000000002</v>
      </c>
    </row>
    <row r="165" spans="1:10" x14ac:dyDescent="0.3">
      <c r="A165">
        <v>163</v>
      </c>
      <c r="B165">
        <v>2616</v>
      </c>
      <c r="C165" t="b">
        <v>1</v>
      </c>
      <c r="D165">
        <v>8048</v>
      </c>
      <c r="E165">
        <v>8123</v>
      </c>
      <c r="F165">
        <v>6.4</v>
      </c>
      <c r="G165">
        <v>8.4</v>
      </c>
      <c r="H165">
        <v>0.76190484000000003</v>
      </c>
      <c r="I165">
        <v>0.23809520000000001</v>
      </c>
      <c r="J165">
        <v>0.56756759999999995</v>
      </c>
    </row>
    <row r="166" spans="1:10" x14ac:dyDescent="0.3">
      <c r="A166">
        <v>164</v>
      </c>
      <c r="B166">
        <v>2632</v>
      </c>
      <c r="C166" t="b">
        <v>1</v>
      </c>
      <c r="D166">
        <v>8048</v>
      </c>
      <c r="E166">
        <v>8123</v>
      </c>
      <c r="F166">
        <v>6</v>
      </c>
      <c r="G166">
        <v>8.4</v>
      </c>
      <c r="H166">
        <v>0.71428572999999995</v>
      </c>
      <c r="I166">
        <v>0.28571424000000001</v>
      </c>
      <c r="J166">
        <v>0.58333330000000005</v>
      </c>
    </row>
    <row r="167" spans="1:10" x14ac:dyDescent="0.3">
      <c r="A167">
        <v>165</v>
      </c>
      <c r="B167">
        <v>2648</v>
      </c>
      <c r="C167" t="b">
        <v>1</v>
      </c>
      <c r="D167">
        <v>8048</v>
      </c>
      <c r="E167">
        <v>8129</v>
      </c>
      <c r="F167">
        <v>5.6</v>
      </c>
      <c r="G167">
        <v>8.4</v>
      </c>
      <c r="H167">
        <v>0.66666669999999995</v>
      </c>
      <c r="I167">
        <v>0.3333333</v>
      </c>
      <c r="J167">
        <v>0.59999996</v>
      </c>
    </row>
    <row r="168" spans="1:10" x14ac:dyDescent="0.3">
      <c r="A168">
        <v>166</v>
      </c>
      <c r="B168">
        <v>2664</v>
      </c>
      <c r="C168" t="b">
        <v>1</v>
      </c>
      <c r="D168">
        <v>8048</v>
      </c>
      <c r="E168">
        <v>8123</v>
      </c>
      <c r="F168">
        <v>5.2</v>
      </c>
      <c r="G168">
        <v>8.4</v>
      </c>
      <c r="H168">
        <v>0.61904764000000001</v>
      </c>
      <c r="I168">
        <v>0.38095240000000002</v>
      </c>
      <c r="J168">
        <v>0.61764704999999998</v>
      </c>
    </row>
    <row r="169" spans="1:10" x14ac:dyDescent="0.3">
      <c r="A169">
        <v>167</v>
      </c>
      <c r="B169">
        <v>2680</v>
      </c>
      <c r="C169" t="b">
        <v>1</v>
      </c>
      <c r="D169">
        <v>8048</v>
      </c>
      <c r="E169">
        <v>8123</v>
      </c>
      <c r="F169">
        <v>5.6</v>
      </c>
      <c r="G169">
        <v>8.4</v>
      </c>
      <c r="H169">
        <v>0.66666669999999995</v>
      </c>
      <c r="I169">
        <v>0.3333333</v>
      </c>
      <c r="J169">
        <v>0.59999996</v>
      </c>
    </row>
    <row r="170" spans="1:10" x14ac:dyDescent="0.3">
      <c r="A170">
        <v>168</v>
      </c>
      <c r="B170">
        <v>2696</v>
      </c>
      <c r="C170" t="b">
        <v>1</v>
      </c>
      <c r="D170">
        <v>8048</v>
      </c>
      <c r="E170">
        <v>8123</v>
      </c>
      <c r="F170">
        <v>6</v>
      </c>
      <c r="G170">
        <v>8.4</v>
      </c>
      <c r="H170">
        <v>0.71428572999999995</v>
      </c>
      <c r="I170">
        <v>0.28571424000000001</v>
      </c>
      <c r="J170">
        <v>0.58333330000000005</v>
      </c>
    </row>
    <row r="171" spans="1:10" x14ac:dyDescent="0.3">
      <c r="A171">
        <v>169</v>
      </c>
      <c r="B171">
        <v>2712</v>
      </c>
      <c r="C171" t="b">
        <v>1</v>
      </c>
      <c r="D171">
        <v>8048</v>
      </c>
      <c r="E171">
        <v>8129</v>
      </c>
      <c r="F171">
        <v>6.4</v>
      </c>
      <c r="G171">
        <v>8.4</v>
      </c>
      <c r="H171">
        <v>0.76190484000000003</v>
      </c>
      <c r="I171">
        <v>0.23809520000000001</v>
      </c>
      <c r="J171">
        <v>0.56756759999999995</v>
      </c>
    </row>
    <row r="172" spans="1:10" x14ac:dyDescent="0.3">
      <c r="A172">
        <v>170</v>
      </c>
      <c r="B172">
        <v>2728</v>
      </c>
      <c r="C172" t="b">
        <v>1</v>
      </c>
      <c r="D172">
        <v>8048</v>
      </c>
      <c r="E172">
        <v>8129</v>
      </c>
      <c r="F172">
        <v>6.8</v>
      </c>
      <c r="G172">
        <v>8.4</v>
      </c>
      <c r="H172">
        <v>0.80952389999999996</v>
      </c>
      <c r="I172">
        <v>0.19047612999999999</v>
      </c>
      <c r="J172">
        <v>0.55263156000000002</v>
      </c>
    </row>
    <row r="173" spans="1:10" x14ac:dyDescent="0.3">
      <c r="A173">
        <v>171</v>
      </c>
      <c r="B173">
        <v>2744</v>
      </c>
      <c r="C173" t="b">
        <v>1</v>
      </c>
      <c r="D173">
        <v>8048</v>
      </c>
      <c r="E173">
        <v>8123</v>
      </c>
      <c r="F173">
        <v>7.2</v>
      </c>
      <c r="G173">
        <v>8.4</v>
      </c>
      <c r="H173">
        <v>0.85714287</v>
      </c>
      <c r="I173">
        <v>0.14285712</v>
      </c>
      <c r="J173">
        <v>0.53846150000000004</v>
      </c>
    </row>
    <row r="174" spans="1:10" x14ac:dyDescent="0.3">
      <c r="A174">
        <v>172</v>
      </c>
      <c r="B174">
        <v>2759</v>
      </c>
      <c r="C174" t="b">
        <v>1</v>
      </c>
      <c r="D174">
        <v>8048</v>
      </c>
      <c r="E174">
        <v>8123</v>
      </c>
      <c r="F174">
        <v>7.6</v>
      </c>
      <c r="G174">
        <v>8.4</v>
      </c>
      <c r="H174">
        <v>0.90476190000000001</v>
      </c>
      <c r="I174">
        <v>9.5238069999999994E-2</v>
      </c>
      <c r="J174">
        <v>0.52500000000000002</v>
      </c>
    </row>
    <row r="175" spans="1:10" x14ac:dyDescent="0.3">
      <c r="A175">
        <v>173</v>
      </c>
      <c r="B175">
        <v>2775</v>
      </c>
      <c r="C175" t="b">
        <v>1</v>
      </c>
      <c r="D175">
        <v>8048</v>
      </c>
      <c r="E175">
        <v>8123</v>
      </c>
      <c r="F175">
        <v>8</v>
      </c>
      <c r="G175">
        <v>8.4</v>
      </c>
      <c r="H175">
        <v>0.95238100000000003</v>
      </c>
      <c r="I175">
        <v>4.7619003999999999E-2</v>
      </c>
      <c r="J175">
        <v>0.51219510000000001</v>
      </c>
    </row>
    <row r="176" spans="1:10" x14ac:dyDescent="0.3">
      <c r="A176">
        <v>174</v>
      </c>
      <c r="B176">
        <v>2791</v>
      </c>
      <c r="C176" t="b">
        <v>1</v>
      </c>
      <c r="D176">
        <v>8048</v>
      </c>
      <c r="E176">
        <v>8123</v>
      </c>
      <c r="F176">
        <v>8</v>
      </c>
      <c r="G176">
        <v>8.4</v>
      </c>
      <c r="H176">
        <v>0.95238100000000003</v>
      </c>
      <c r="I176">
        <v>4.7619003999999999E-2</v>
      </c>
      <c r="J176">
        <v>0.51219510000000001</v>
      </c>
    </row>
    <row r="177" spans="1:10" x14ac:dyDescent="0.3">
      <c r="A177">
        <v>175</v>
      </c>
      <c r="B177">
        <v>2807</v>
      </c>
      <c r="C177" t="b">
        <v>1</v>
      </c>
      <c r="D177">
        <v>8048</v>
      </c>
      <c r="E177">
        <v>8123</v>
      </c>
      <c r="F177">
        <v>8</v>
      </c>
      <c r="G177">
        <v>8.4</v>
      </c>
      <c r="H177">
        <v>0.95238100000000003</v>
      </c>
      <c r="I177">
        <v>4.7619003999999999E-2</v>
      </c>
      <c r="J177">
        <v>0.51219510000000001</v>
      </c>
    </row>
    <row r="178" spans="1:10" x14ac:dyDescent="0.3">
      <c r="A178">
        <v>176</v>
      </c>
      <c r="B178">
        <v>2822</v>
      </c>
      <c r="C178" t="b">
        <v>1</v>
      </c>
      <c r="D178">
        <v>8042</v>
      </c>
      <c r="E178">
        <v>8123</v>
      </c>
      <c r="F178">
        <v>8</v>
      </c>
      <c r="G178">
        <v>8</v>
      </c>
      <c r="H178">
        <v>1</v>
      </c>
      <c r="I178">
        <v>0</v>
      </c>
      <c r="J178">
        <v>0.5</v>
      </c>
    </row>
    <row r="179" spans="1:10" x14ac:dyDescent="0.3">
      <c r="A179">
        <v>177</v>
      </c>
      <c r="B179">
        <v>2838</v>
      </c>
      <c r="C179" t="b">
        <v>1</v>
      </c>
      <c r="D179">
        <v>8042</v>
      </c>
      <c r="E179">
        <v>8123</v>
      </c>
      <c r="F179">
        <v>8</v>
      </c>
      <c r="G179">
        <v>8</v>
      </c>
      <c r="H179">
        <v>1</v>
      </c>
      <c r="I179">
        <v>0</v>
      </c>
      <c r="J179">
        <v>0.5</v>
      </c>
    </row>
    <row r="180" spans="1:10" x14ac:dyDescent="0.3">
      <c r="A180">
        <v>178</v>
      </c>
      <c r="B180">
        <v>2855</v>
      </c>
      <c r="C180" t="b">
        <v>1</v>
      </c>
      <c r="D180">
        <v>8042</v>
      </c>
      <c r="E180">
        <v>8123</v>
      </c>
      <c r="F180">
        <v>7.6</v>
      </c>
      <c r="G180">
        <v>8</v>
      </c>
      <c r="H180">
        <v>0.95</v>
      </c>
      <c r="I180">
        <v>5.0000012000000003E-2</v>
      </c>
      <c r="J180">
        <v>0.51282050000000001</v>
      </c>
    </row>
    <row r="181" spans="1:10" x14ac:dyDescent="0.3">
      <c r="A181">
        <v>179</v>
      </c>
      <c r="B181">
        <v>2871</v>
      </c>
      <c r="C181" t="b">
        <v>1</v>
      </c>
      <c r="D181">
        <v>8042</v>
      </c>
      <c r="E181">
        <v>8123</v>
      </c>
      <c r="F181">
        <v>7.2</v>
      </c>
      <c r="G181">
        <v>8</v>
      </c>
      <c r="H181">
        <v>0.9</v>
      </c>
      <c r="I181">
        <v>0.10000002400000001</v>
      </c>
      <c r="J181">
        <v>0.5263158</v>
      </c>
    </row>
    <row r="182" spans="1:10" x14ac:dyDescent="0.3">
      <c r="A182">
        <v>180</v>
      </c>
      <c r="B182">
        <v>2886</v>
      </c>
      <c r="C182" t="b">
        <v>1</v>
      </c>
      <c r="D182">
        <v>8042</v>
      </c>
      <c r="E182">
        <v>8117</v>
      </c>
      <c r="F182">
        <v>6.8</v>
      </c>
      <c r="G182">
        <v>8</v>
      </c>
      <c r="H182">
        <v>0.85</v>
      </c>
      <c r="I182">
        <v>0.14999998</v>
      </c>
      <c r="J182">
        <v>0.54054049999999998</v>
      </c>
    </row>
    <row r="183" spans="1:10" x14ac:dyDescent="0.3">
      <c r="A183">
        <v>181</v>
      </c>
      <c r="B183">
        <v>2902</v>
      </c>
      <c r="C183" t="b">
        <v>1</v>
      </c>
      <c r="D183">
        <v>8042</v>
      </c>
      <c r="E183">
        <v>8123</v>
      </c>
      <c r="F183">
        <v>6.4</v>
      </c>
      <c r="G183">
        <v>8</v>
      </c>
      <c r="H183">
        <v>0.8</v>
      </c>
      <c r="I183">
        <v>0.19999998999999999</v>
      </c>
      <c r="J183">
        <v>0.55555560000000004</v>
      </c>
    </row>
    <row r="184" spans="1:10" x14ac:dyDescent="0.3">
      <c r="A184">
        <v>182</v>
      </c>
      <c r="B184">
        <v>2918</v>
      </c>
      <c r="C184" t="b">
        <v>1</v>
      </c>
      <c r="D184">
        <v>8048</v>
      </c>
      <c r="E184">
        <v>8117</v>
      </c>
      <c r="F184">
        <v>6</v>
      </c>
      <c r="G184">
        <v>8</v>
      </c>
      <c r="H184">
        <v>0.75</v>
      </c>
      <c r="I184">
        <v>0.25</v>
      </c>
      <c r="J184">
        <v>0.57142859999999995</v>
      </c>
    </row>
    <row r="185" spans="1:10" x14ac:dyDescent="0.3">
      <c r="A185">
        <v>183</v>
      </c>
      <c r="B185">
        <v>2934</v>
      </c>
      <c r="C185" t="b">
        <v>1</v>
      </c>
      <c r="D185">
        <v>8048</v>
      </c>
      <c r="E185">
        <v>8123</v>
      </c>
      <c r="F185">
        <v>5.6</v>
      </c>
      <c r="G185">
        <v>8</v>
      </c>
      <c r="H185">
        <v>0.7</v>
      </c>
      <c r="I185">
        <v>0.3</v>
      </c>
      <c r="J185">
        <v>0.58823526000000004</v>
      </c>
    </row>
    <row r="186" spans="1:10" x14ac:dyDescent="0.3">
      <c r="A186">
        <v>184</v>
      </c>
      <c r="B186">
        <v>2949</v>
      </c>
      <c r="C186" t="b">
        <v>1</v>
      </c>
      <c r="D186">
        <v>8048</v>
      </c>
      <c r="E186">
        <v>8111</v>
      </c>
      <c r="F186">
        <v>5.6</v>
      </c>
      <c r="G186">
        <v>7.6</v>
      </c>
      <c r="H186">
        <v>0.73684210000000006</v>
      </c>
      <c r="I186">
        <v>0.2631579</v>
      </c>
      <c r="J186">
        <v>0.57575756</v>
      </c>
    </row>
    <row r="187" spans="1:10" x14ac:dyDescent="0.3">
      <c r="A187">
        <v>185</v>
      </c>
      <c r="B187">
        <v>2965</v>
      </c>
      <c r="C187" t="b">
        <v>1</v>
      </c>
      <c r="D187">
        <v>8048</v>
      </c>
      <c r="E187">
        <v>8117</v>
      </c>
      <c r="F187">
        <v>5.6</v>
      </c>
      <c r="G187">
        <v>7.2</v>
      </c>
      <c r="H187">
        <v>0.77777779999999996</v>
      </c>
      <c r="I187">
        <v>0.22222221</v>
      </c>
      <c r="J187">
        <v>0.5625</v>
      </c>
    </row>
    <row r="188" spans="1:10" x14ac:dyDescent="0.3">
      <c r="A188">
        <v>186</v>
      </c>
      <c r="B188">
        <v>2981</v>
      </c>
      <c r="C188" t="b">
        <v>1</v>
      </c>
      <c r="D188">
        <v>8048</v>
      </c>
      <c r="E188">
        <v>8117</v>
      </c>
      <c r="F188">
        <v>5.6</v>
      </c>
      <c r="G188">
        <v>6.8</v>
      </c>
      <c r="H188">
        <v>0.82352935999999999</v>
      </c>
      <c r="I188">
        <v>0.17647061999999999</v>
      </c>
      <c r="J188">
        <v>0.54838710000000002</v>
      </c>
    </row>
    <row r="189" spans="1:10" x14ac:dyDescent="0.3">
      <c r="A189">
        <v>187</v>
      </c>
      <c r="B189">
        <v>2997</v>
      </c>
      <c r="C189" t="b">
        <v>1</v>
      </c>
      <c r="D189">
        <v>8048</v>
      </c>
      <c r="E189">
        <v>8123</v>
      </c>
      <c r="F189">
        <v>5.6</v>
      </c>
      <c r="G189">
        <v>6.4</v>
      </c>
      <c r="H189">
        <v>0.875</v>
      </c>
      <c r="I189">
        <v>0.12500003000000001</v>
      </c>
      <c r="J189">
        <v>0.53333335999999998</v>
      </c>
    </row>
    <row r="190" spans="1:10" x14ac:dyDescent="0.3">
      <c r="A190">
        <v>188</v>
      </c>
      <c r="B190">
        <v>3012</v>
      </c>
      <c r="C190" t="b">
        <v>1</v>
      </c>
      <c r="D190">
        <v>8048</v>
      </c>
      <c r="E190">
        <v>8117</v>
      </c>
      <c r="F190">
        <v>5.6</v>
      </c>
      <c r="G190">
        <v>6</v>
      </c>
      <c r="H190">
        <v>0.93333334000000001</v>
      </c>
      <c r="I190">
        <v>6.6666685000000003E-2</v>
      </c>
      <c r="J190">
        <v>0.51724135999999998</v>
      </c>
    </row>
    <row r="191" spans="1:10" x14ac:dyDescent="0.3">
      <c r="A191">
        <v>189</v>
      </c>
      <c r="B191">
        <v>3028</v>
      </c>
      <c r="C191" t="b">
        <v>1</v>
      </c>
      <c r="D191">
        <v>8048</v>
      </c>
      <c r="E191">
        <v>8117</v>
      </c>
      <c r="F191">
        <v>5.6</v>
      </c>
      <c r="G191">
        <v>5.6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3044</v>
      </c>
      <c r="C192" t="b">
        <v>1</v>
      </c>
      <c r="D192">
        <v>8054</v>
      </c>
      <c r="E192">
        <v>8117</v>
      </c>
      <c r="F192">
        <v>5.6</v>
      </c>
      <c r="G192">
        <v>5.2</v>
      </c>
      <c r="H192">
        <v>1.0769230999999999</v>
      </c>
      <c r="I192">
        <v>-7.6923094999999997E-2</v>
      </c>
      <c r="J192">
        <v>0.48148150000000001</v>
      </c>
    </row>
    <row r="193" spans="1:10" x14ac:dyDescent="0.3">
      <c r="A193">
        <v>191</v>
      </c>
      <c r="B193">
        <v>3060</v>
      </c>
      <c r="C193" t="b">
        <v>1</v>
      </c>
      <c r="D193">
        <v>8054</v>
      </c>
      <c r="E193">
        <v>8123</v>
      </c>
      <c r="F193">
        <v>5.6</v>
      </c>
      <c r="G193">
        <v>4.8</v>
      </c>
      <c r="H193">
        <v>1.1666666000000001</v>
      </c>
      <c r="I193">
        <v>-0.1666666</v>
      </c>
      <c r="J193">
        <v>0.46153850000000002</v>
      </c>
    </row>
    <row r="194" spans="1:10" x14ac:dyDescent="0.3">
      <c r="A194">
        <v>192</v>
      </c>
      <c r="B194">
        <v>3076</v>
      </c>
      <c r="C194" t="b">
        <v>1</v>
      </c>
      <c r="D194">
        <v>8054</v>
      </c>
      <c r="E194">
        <v>8129</v>
      </c>
      <c r="F194">
        <v>6</v>
      </c>
      <c r="G194">
        <v>4.4000000000000004</v>
      </c>
      <c r="H194">
        <v>1.3636364000000001</v>
      </c>
      <c r="I194">
        <v>-0.36363634</v>
      </c>
      <c r="J194">
        <v>0.42307696</v>
      </c>
    </row>
    <row r="195" spans="1:10" x14ac:dyDescent="0.3">
      <c r="A195">
        <v>193</v>
      </c>
      <c r="B195">
        <v>3091</v>
      </c>
      <c r="C195" t="b">
        <v>1</v>
      </c>
      <c r="D195">
        <v>8054</v>
      </c>
      <c r="E195">
        <v>8123</v>
      </c>
      <c r="F195">
        <v>6.8</v>
      </c>
      <c r="G195">
        <v>4.4000000000000004</v>
      </c>
      <c r="H195">
        <v>1.5454545</v>
      </c>
      <c r="I195">
        <v>-0.54545456000000003</v>
      </c>
      <c r="J195">
        <v>0.39285713</v>
      </c>
    </row>
    <row r="196" spans="1:10" x14ac:dyDescent="0.3">
      <c r="A196">
        <v>194</v>
      </c>
      <c r="B196">
        <v>3107</v>
      </c>
      <c r="C196" t="b">
        <v>1</v>
      </c>
      <c r="D196">
        <v>8054</v>
      </c>
      <c r="E196">
        <v>8123</v>
      </c>
      <c r="F196">
        <v>7.6</v>
      </c>
      <c r="G196">
        <v>4.4000000000000004</v>
      </c>
      <c r="H196">
        <v>1.7272726</v>
      </c>
      <c r="I196">
        <v>-0.72727269999999999</v>
      </c>
      <c r="J196">
        <v>0.36666666999999997</v>
      </c>
    </row>
    <row r="197" spans="1:10" x14ac:dyDescent="0.3">
      <c r="A197">
        <v>195</v>
      </c>
      <c r="B197">
        <v>3123</v>
      </c>
      <c r="C197" t="b">
        <v>1</v>
      </c>
      <c r="D197">
        <v>8048</v>
      </c>
      <c r="E197">
        <v>8129</v>
      </c>
      <c r="F197">
        <v>8.4</v>
      </c>
      <c r="G197">
        <v>4.4000000000000004</v>
      </c>
      <c r="H197">
        <v>1.9090908</v>
      </c>
      <c r="I197">
        <v>-0.90909076</v>
      </c>
      <c r="J197">
        <v>0.34375002999999998</v>
      </c>
    </row>
    <row r="198" spans="1:10" x14ac:dyDescent="0.3">
      <c r="A198">
        <v>196</v>
      </c>
      <c r="B198">
        <v>3139</v>
      </c>
      <c r="C198" t="b">
        <v>1</v>
      </c>
      <c r="D198">
        <v>8048</v>
      </c>
      <c r="E198">
        <v>8129</v>
      </c>
      <c r="F198">
        <v>9.1999999999999993</v>
      </c>
      <c r="G198">
        <v>4.8</v>
      </c>
      <c r="H198">
        <v>1.9166665000000001</v>
      </c>
      <c r="I198">
        <v>-0.91666656999999996</v>
      </c>
      <c r="J198">
        <v>0.34285715</v>
      </c>
    </row>
    <row r="199" spans="1:10" x14ac:dyDescent="0.3">
      <c r="A199">
        <v>197</v>
      </c>
      <c r="B199">
        <v>3155</v>
      </c>
      <c r="C199" t="b">
        <v>1</v>
      </c>
      <c r="D199">
        <v>8048</v>
      </c>
      <c r="E199">
        <v>8123</v>
      </c>
      <c r="F199">
        <v>9.6</v>
      </c>
      <c r="G199">
        <v>4.8</v>
      </c>
      <c r="H199">
        <v>2</v>
      </c>
      <c r="I199">
        <v>-1</v>
      </c>
      <c r="J199">
        <v>0.33333333999999998</v>
      </c>
    </row>
    <row r="200" spans="1:10" x14ac:dyDescent="0.3">
      <c r="A200">
        <v>198</v>
      </c>
      <c r="B200">
        <v>3170</v>
      </c>
      <c r="C200" t="b">
        <v>1</v>
      </c>
      <c r="D200">
        <v>8048</v>
      </c>
      <c r="E200">
        <v>8123</v>
      </c>
      <c r="F200">
        <v>10</v>
      </c>
      <c r="G200">
        <v>4.8</v>
      </c>
      <c r="H200">
        <v>2.0833333000000001</v>
      </c>
      <c r="I200">
        <v>-1.0833333000000001</v>
      </c>
      <c r="J200">
        <v>0.32432433999999999</v>
      </c>
    </row>
    <row r="201" spans="1:10" x14ac:dyDescent="0.3">
      <c r="A201">
        <v>199</v>
      </c>
      <c r="B201">
        <v>3186</v>
      </c>
      <c r="C201" t="b">
        <v>1</v>
      </c>
      <c r="D201">
        <v>8048</v>
      </c>
      <c r="E201">
        <v>8123</v>
      </c>
      <c r="F201">
        <v>10</v>
      </c>
      <c r="G201">
        <v>5.2</v>
      </c>
      <c r="H201">
        <v>1.9230769999999999</v>
      </c>
      <c r="I201">
        <v>-0.92307700000000004</v>
      </c>
      <c r="J201">
        <v>0.34210527000000002</v>
      </c>
    </row>
    <row r="202" spans="1:10" x14ac:dyDescent="0.3">
      <c r="A202">
        <v>200</v>
      </c>
      <c r="B202">
        <v>3202</v>
      </c>
      <c r="C202" t="b">
        <v>1</v>
      </c>
      <c r="D202">
        <v>8054</v>
      </c>
      <c r="E202">
        <v>8123</v>
      </c>
      <c r="F202">
        <v>10</v>
      </c>
      <c r="G202">
        <v>5.6</v>
      </c>
      <c r="H202">
        <v>1.7857143</v>
      </c>
      <c r="I202">
        <v>-0.78571429999999998</v>
      </c>
      <c r="J202">
        <v>0.35897434</v>
      </c>
    </row>
    <row r="203" spans="1:10" x14ac:dyDescent="0.3">
      <c r="A203">
        <v>201</v>
      </c>
      <c r="B203">
        <v>3218</v>
      </c>
      <c r="C203" t="b">
        <v>1</v>
      </c>
      <c r="D203">
        <v>8048</v>
      </c>
      <c r="E203">
        <v>8123</v>
      </c>
      <c r="F203">
        <v>10</v>
      </c>
      <c r="G203">
        <v>6</v>
      </c>
      <c r="H203">
        <v>1.6666666000000001</v>
      </c>
      <c r="I203">
        <v>-0.66666669999999995</v>
      </c>
      <c r="J203">
        <v>0.375</v>
      </c>
    </row>
    <row r="204" spans="1:10" x14ac:dyDescent="0.3">
      <c r="A204">
        <v>202</v>
      </c>
      <c r="B204">
        <v>3234</v>
      </c>
      <c r="C204" t="b">
        <v>1</v>
      </c>
      <c r="D204">
        <v>8048</v>
      </c>
      <c r="E204">
        <v>8123</v>
      </c>
      <c r="F204">
        <v>10</v>
      </c>
      <c r="G204">
        <v>6.4</v>
      </c>
      <c r="H204">
        <v>1.5625</v>
      </c>
      <c r="I204">
        <v>-0.5625</v>
      </c>
      <c r="J204">
        <v>0.39024392000000002</v>
      </c>
    </row>
    <row r="205" spans="1:10" x14ac:dyDescent="0.3">
      <c r="A205">
        <v>203</v>
      </c>
      <c r="B205">
        <v>3250</v>
      </c>
      <c r="C205" t="b">
        <v>1</v>
      </c>
      <c r="D205">
        <v>8048</v>
      </c>
      <c r="E205">
        <v>8123</v>
      </c>
      <c r="F205">
        <v>10</v>
      </c>
      <c r="G205">
        <v>6.8</v>
      </c>
      <c r="H205">
        <v>1.4705881999999999</v>
      </c>
      <c r="I205">
        <v>-0.47058820000000001</v>
      </c>
      <c r="J205">
        <v>0.40476193999999999</v>
      </c>
    </row>
    <row r="206" spans="1:10" x14ac:dyDescent="0.3">
      <c r="A206">
        <v>204</v>
      </c>
      <c r="B206">
        <v>3266</v>
      </c>
      <c r="C206" t="b">
        <v>1</v>
      </c>
      <c r="D206">
        <v>8048</v>
      </c>
      <c r="E206">
        <v>8123</v>
      </c>
      <c r="F206">
        <v>10</v>
      </c>
      <c r="G206">
        <v>7.2</v>
      </c>
      <c r="H206">
        <v>1.388889</v>
      </c>
      <c r="I206">
        <v>-0.38888893000000002</v>
      </c>
      <c r="J206">
        <v>0.41860459999999999</v>
      </c>
    </row>
    <row r="207" spans="1:10" x14ac:dyDescent="0.3">
      <c r="A207">
        <v>205</v>
      </c>
      <c r="B207">
        <v>3282</v>
      </c>
      <c r="C207" t="b">
        <v>1</v>
      </c>
      <c r="D207">
        <v>8048</v>
      </c>
      <c r="E207">
        <v>8134</v>
      </c>
      <c r="F207">
        <v>10</v>
      </c>
      <c r="G207">
        <v>7.6</v>
      </c>
      <c r="H207">
        <v>1.3157894999999999</v>
      </c>
      <c r="I207">
        <v>-0.3157895</v>
      </c>
      <c r="J207">
        <v>0.43181816000000001</v>
      </c>
    </row>
    <row r="208" spans="1:10" x14ac:dyDescent="0.3">
      <c r="A208">
        <v>206</v>
      </c>
      <c r="B208">
        <v>3297</v>
      </c>
      <c r="C208" t="b">
        <v>1</v>
      </c>
      <c r="D208">
        <v>8048</v>
      </c>
      <c r="E208">
        <v>8123</v>
      </c>
      <c r="F208">
        <v>10</v>
      </c>
      <c r="G208">
        <v>8</v>
      </c>
      <c r="H208">
        <v>1.25</v>
      </c>
      <c r="I208">
        <v>-0.25</v>
      </c>
      <c r="J208">
        <v>0.44444444999999999</v>
      </c>
    </row>
    <row r="209" spans="1:10" x14ac:dyDescent="0.3">
      <c r="A209">
        <v>207</v>
      </c>
      <c r="B209">
        <v>3313</v>
      </c>
      <c r="C209" t="b">
        <v>1</v>
      </c>
      <c r="D209">
        <v>8048</v>
      </c>
      <c r="E209">
        <v>8123</v>
      </c>
      <c r="F209">
        <v>9.6</v>
      </c>
      <c r="G209">
        <v>8.4</v>
      </c>
      <c r="H209">
        <v>1.1428571999999999</v>
      </c>
      <c r="I209">
        <v>-0.14285724</v>
      </c>
      <c r="J209">
        <v>0.46666664000000002</v>
      </c>
    </row>
    <row r="210" spans="1:10" x14ac:dyDescent="0.3">
      <c r="A210">
        <v>208</v>
      </c>
      <c r="B210">
        <v>3329</v>
      </c>
      <c r="C210" t="b">
        <v>1</v>
      </c>
      <c r="D210">
        <v>8048</v>
      </c>
      <c r="E210">
        <v>8123</v>
      </c>
      <c r="F210">
        <v>9.1999999999999993</v>
      </c>
      <c r="G210">
        <v>8.4</v>
      </c>
      <c r="H210">
        <v>1.0952381</v>
      </c>
      <c r="I210">
        <v>-9.5238119999999996E-2</v>
      </c>
      <c r="J210">
        <v>0.47727275000000002</v>
      </c>
    </row>
    <row r="211" spans="1:10" x14ac:dyDescent="0.3">
      <c r="A211">
        <v>209</v>
      </c>
      <c r="B211">
        <v>3344</v>
      </c>
      <c r="C211" t="b">
        <v>1</v>
      </c>
      <c r="D211">
        <v>8048</v>
      </c>
      <c r="E211">
        <v>8123</v>
      </c>
      <c r="F211">
        <v>8.8000000000000007</v>
      </c>
      <c r="G211">
        <v>8.4</v>
      </c>
      <c r="H211">
        <v>1.0476190999999999</v>
      </c>
      <c r="I211">
        <v>-4.7619120000000001E-2</v>
      </c>
      <c r="J211">
        <v>0.48837206</v>
      </c>
    </row>
    <row r="212" spans="1:10" x14ac:dyDescent="0.3">
      <c r="A212">
        <v>210</v>
      </c>
      <c r="B212">
        <v>3360</v>
      </c>
      <c r="C212" t="b">
        <v>1</v>
      </c>
      <c r="D212">
        <v>8048</v>
      </c>
      <c r="E212">
        <v>8123</v>
      </c>
      <c r="F212">
        <v>8.4</v>
      </c>
      <c r="G212">
        <v>8.4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3376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3392</v>
      </c>
      <c r="C214" t="b">
        <v>1</v>
      </c>
      <c r="D214">
        <v>8048</v>
      </c>
      <c r="E214">
        <v>8123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3408</v>
      </c>
      <c r="C215" t="b">
        <v>1</v>
      </c>
      <c r="D215">
        <v>8048</v>
      </c>
      <c r="E215">
        <v>8123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3424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3440</v>
      </c>
      <c r="C217" t="b">
        <v>1</v>
      </c>
      <c r="D217">
        <v>8048</v>
      </c>
      <c r="E217">
        <v>8129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3456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3472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3487</v>
      </c>
      <c r="C220" t="b">
        <v>1</v>
      </c>
      <c r="D220">
        <v>8054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3504</v>
      </c>
      <c r="C221" t="b">
        <v>1</v>
      </c>
      <c r="D221">
        <v>8048</v>
      </c>
      <c r="E221">
        <v>8123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3519</v>
      </c>
      <c r="C222" t="b">
        <v>1</v>
      </c>
      <c r="D222">
        <v>8048</v>
      </c>
      <c r="E222">
        <v>8123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3535</v>
      </c>
      <c r="C223" t="b">
        <v>1</v>
      </c>
      <c r="D223">
        <v>8048</v>
      </c>
      <c r="E223">
        <v>8123</v>
      </c>
      <c r="F223">
        <v>8</v>
      </c>
      <c r="G223">
        <v>8</v>
      </c>
      <c r="H223">
        <v>1</v>
      </c>
      <c r="I223">
        <v>0</v>
      </c>
      <c r="J223">
        <v>0.5</v>
      </c>
    </row>
    <row r="224" spans="1:10" x14ac:dyDescent="0.3">
      <c r="A224">
        <v>222</v>
      </c>
      <c r="B224">
        <v>3551</v>
      </c>
      <c r="C224" t="b">
        <v>1</v>
      </c>
      <c r="D224">
        <v>8048</v>
      </c>
      <c r="E224">
        <v>8123</v>
      </c>
      <c r="F224">
        <v>8</v>
      </c>
      <c r="G224">
        <v>8</v>
      </c>
      <c r="H224">
        <v>1</v>
      </c>
      <c r="I224">
        <v>0</v>
      </c>
      <c r="J224">
        <v>0.5</v>
      </c>
    </row>
    <row r="225" spans="1:10" x14ac:dyDescent="0.3">
      <c r="A225">
        <v>223</v>
      </c>
      <c r="B225">
        <v>3567</v>
      </c>
      <c r="C225" t="b">
        <v>1</v>
      </c>
      <c r="D225">
        <v>8048</v>
      </c>
      <c r="E225">
        <v>8123</v>
      </c>
      <c r="F225">
        <v>8</v>
      </c>
      <c r="G225">
        <v>8</v>
      </c>
      <c r="H225">
        <v>1</v>
      </c>
      <c r="I225">
        <v>0</v>
      </c>
      <c r="J225">
        <v>0.5</v>
      </c>
    </row>
    <row r="226" spans="1:10" x14ac:dyDescent="0.3">
      <c r="A226">
        <v>224</v>
      </c>
      <c r="B226">
        <v>3583</v>
      </c>
      <c r="C226" t="b">
        <v>1</v>
      </c>
      <c r="D226">
        <v>8048</v>
      </c>
      <c r="E226">
        <v>8123</v>
      </c>
      <c r="F226">
        <v>8</v>
      </c>
      <c r="G226">
        <v>8</v>
      </c>
      <c r="H226">
        <v>1</v>
      </c>
      <c r="I226">
        <v>0</v>
      </c>
      <c r="J226">
        <v>0.5</v>
      </c>
    </row>
    <row r="227" spans="1:10" x14ac:dyDescent="0.3">
      <c r="A227">
        <v>225</v>
      </c>
      <c r="B227">
        <v>3599</v>
      </c>
      <c r="C227" t="b">
        <v>1</v>
      </c>
      <c r="D227">
        <v>8048</v>
      </c>
      <c r="E227">
        <v>8123</v>
      </c>
      <c r="F227">
        <v>8</v>
      </c>
      <c r="G227">
        <v>8</v>
      </c>
      <c r="H227">
        <v>1</v>
      </c>
      <c r="I227">
        <v>0</v>
      </c>
      <c r="J227">
        <v>0.5</v>
      </c>
    </row>
    <row r="228" spans="1:10" x14ac:dyDescent="0.3">
      <c r="A228">
        <v>226</v>
      </c>
      <c r="B228">
        <v>3615</v>
      </c>
      <c r="C228" t="b">
        <v>1</v>
      </c>
      <c r="D228">
        <v>8054</v>
      </c>
      <c r="E228">
        <v>8123</v>
      </c>
      <c r="F228">
        <v>8</v>
      </c>
      <c r="G228">
        <v>8</v>
      </c>
      <c r="H228">
        <v>1</v>
      </c>
      <c r="I228">
        <v>0</v>
      </c>
      <c r="J228">
        <v>0.5</v>
      </c>
    </row>
    <row r="229" spans="1:10" x14ac:dyDescent="0.3">
      <c r="A229">
        <v>227</v>
      </c>
      <c r="B229">
        <v>3631</v>
      </c>
      <c r="C229" t="b">
        <v>1</v>
      </c>
      <c r="D229">
        <v>8042</v>
      </c>
      <c r="E229">
        <v>8123</v>
      </c>
      <c r="F229">
        <v>8</v>
      </c>
      <c r="G229">
        <v>8</v>
      </c>
      <c r="H229">
        <v>1</v>
      </c>
      <c r="I229">
        <v>0</v>
      </c>
      <c r="J229">
        <v>0.5</v>
      </c>
    </row>
    <row r="230" spans="1:10" x14ac:dyDescent="0.3">
      <c r="A230">
        <v>228</v>
      </c>
      <c r="B230">
        <v>3647</v>
      </c>
      <c r="C230" t="b">
        <v>1</v>
      </c>
      <c r="D230">
        <v>8048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3663</v>
      </c>
      <c r="C231" t="b">
        <v>1</v>
      </c>
      <c r="D231">
        <v>8048</v>
      </c>
      <c r="E231">
        <v>8129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3679</v>
      </c>
      <c r="C232" t="b">
        <v>1</v>
      </c>
      <c r="D232">
        <v>8042</v>
      </c>
      <c r="E232">
        <v>8123</v>
      </c>
      <c r="F232">
        <v>8</v>
      </c>
      <c r="G232">
        <v>8</v>
      </c>
      <c r="H232">
        <v>1</v>
      </c>
      <c r="I232">
        <v>0</v>
      </c>
      <c r="J232">
        <v>0.5</v>
      </c>
    </row>
    <row r="233" spans="1:10" x14ac:dyDescent="0.3">
      <c r="A233">
        <v>231</v>
      </c>
      <c r="B233">
        <v>3694</v>
      </c>
      <c r="C233" t="b">
        <v>1</v>
      </c>
      <c r="D233">
        <v>8048</v>
      </c>
      <c r="E233">
        <v>8129</v>
      </c>
      <c r="F233">
        <v>8</v>
      </c>
      <c r="G233">
        <v>8</v>
      </c>
      <c r="H233">
        <v>1</v>
      </c>
      <c r="I233">
        <v>0</v>
      </c>
      <c r="J233">
        <v>0.5</v>
      </c>
    </row>
    <row r="234" spans="1:10" x14ac:dyDescent="0.3">
      <c r="A234">
        <v>232</v>
      </c>
      <c r="B234">
        <v>3710</v>
      </c>
      <c r="C234" t="b">
        <v>1</v>
      </c>
      <c r="D234">
        <v>8048</v>
      </c>
      <c r="E234">
        <v>8129</v>
      </c>
      <c r="F234">
        <v>8</v>
      </c>
      <c r="G234">
        <v>8.4</v>
      </c>
      <c r="H234">
        <v>0.95238100000000003</v>
      </c>
      <c r="I234">
        <v>4.7619003999999999E-2</v>
      </c>
      <c r="J234">
        <v>0.51219510000000001</v>
      </c>
    </row>
    <row r="235" spans="1:10" x14ac:dyDescent="0.3">
      <c r="A235">
        <v>233</v>
      </c>
      <c r="B235">
        <v>3726</v>
      </c>
      <c r="C235" t="b">
        <v>1</v>
      </c>
      <c r="D235">
        <v>8048</v>
      </c>
      <c r="E235">
        <v>8123</v>
      </c>
      <c r="F235">
        <v>8</v>
      </c>
      <c r="G235">
        <v>8.8000000000000007</v>
      </c>
      <c r="H235">
        <v>0.90909090000000004</v>
      </c>
      <c r="I235">
        <v>9.0909110000000001E-2</v>
      </c>
      <c r="J235">
        <v>0.52380954999999996</v>
      </c>
    </row>
    <row r="236" spans="1:10" x14ac:dyDescent="0.3">
      <c r="A236">
        <v>234</v>
      </c>
      <c r="B236">
        <v>3742</v>
      </c>
      <c r="C236" t="b">
        <v>1</v>
      </c>
      <c r="D236">
        <v>8048</v>
      </c>
      <c r="E236">
        <v>8129</v>
      </c>
      <c r="F236">
        <v>8</v>
      </c>
      <c r="G236">
        <v>9.1999999999999993</v>
      </c>
      <c r="H236">
        <v>0.86956524999999996</v>
      </c>
      <c r="I236">
        <v>0.13043477000000001</v>
      </c>
      <c r="J236">
        <v>0.53488369999999996</v>
      </c>
    </row>
    <row r="237" spans="1:10" x14ac:dyDescent="0.3">
      <c r="A237">
        <v>235</v>
      </c>
      <c r="B237">
        <v>3758</v>
      </c>
      <c r="C237" t="b">
        <v>1</v>
      </c>
      <c r="D237">
        <v>8048</v>
      </c>
      <c r="E237">
        <v>8123</v>
      </c>
      <c r="F237">
        <v>8</v>
      </c>
      <c r="G237">
        <v>9.6</v>
      </c>
      <c r="H237">
        <v>0.83333330000000005</v>
      </c>
      <c r="I237">
        <v>0.1666667</v>
      </c>
      <c r="J237">
        <v>0.54545456000000003</v>
      </c>
    </row>
    <row r="238" spans="1:10" x14ac:dyDescent="0.3">
      <c r="A238">
        <v>236</v>
      </c>
      <c r="B238">
        <v>3774</v>
      </c>
      <c r="C238" t="b">
        <v>1</v>
      </c>
      <c r="D238">
        <v>8048</v>
      </c>
      <c r="E238">
        <v>8123</v>
      </c>
      <c r="F238">
        <v>8</v>
      </c>
      <c r="G238">
        <v>9.6</v>
      </c>
      <c r="H238">
        <v>0.83333330000000005</v>
      </c>
      <c r="I238">
        <v>0.1666667</v>
      </c>
      <c r="J238">
        <v>0.54545456000000003</v>
      </c>
    </row>
    <row r="239" spans="1:10" x14ac:dyDescent="0.3">
      <c r="A239">
        <v>237</v>
      </c>
      <c r="B239">
        <v>3790</v>
      </c>
      <c r="C239" t="b">
        <v>1</v>
      </c>
      <c r="D239">
        <v>8048</v>
      </c>
      <c r="E239">
        <v>8123</v>
      </c>
      <c r="F239">
        <v>8</v>
      </c>
      <c r="G239">
        <v>9.6</v>
      </c>
      <c r="H239">
        <v>0.83333330000000005</v>
      </c>
      <c r="I239">
        <v>0.1666667</v>
      </c>
      <c r="J239">
        <v>0.54545456000000003</v>
      </c>
    </row>
    <row r="240" spans="1:10" x14ac:dyDescent="0.3">
      <c r="A240">
        <v>238</v>
      </c>
      <c r="B240">
        <v>3806</v>
      </c>
      <c r="C240" t="b">
        <v>1</v>
      </c>
      <c r="D240">
        <v>8054</v>
      </c>
      <c r="E240">
        <v>8123</v>
      </c>
      <c r="F240">
        <v>8</v>
      </c>
      <c r="G240">
        <v>9.6</v>
      </c>
      <c r="H240">
        <v>0.83333330000000005</v>
      </c>
      <c r="I240">
        <v>0.1666667</v>
      </c>
      <c r="J240">
        <v>0.54545456000000003</v>
      </c>
    </row>
    <row r="241" spans="1:10" x14ac:dyDescent="0.3">
      <c r="A241">
        <v>239</v>
      </c>
      <c r="B241">
        <v>3822</v>
      </c>
      <c r="C241" t="b">
        <v>1</v>
      </c>
      <c r="D241">
        <v>8048</v>
      </c>
      <c r="E241">
        <v>8123</v>
      </c>
      <c r="F241">
        <v>8</v>
      </c>
      <c r="G241">
        <v>9.6</v>
      </c>
      <c r="H241">
        <v>0.83333330000000005</v>
      </c>
      <c r="I241">
        <v>0.1666667</v>
      </c>
      <c r="J241">
        <v>0.54545456000000003</v>
      </c>
    </row>
    <row r="242" spans="1:10" x14ac:dyDescent="0.3">
      <c r="A242">
        <v>240</v>
      </c>
      <c r="B242">
        <v>3837</v>
      </c>
      <c r="C242" t="b">
        <v>1</v>
      </c>
      <c r="D242">
        <v>8048</v>
      </c>
      <c r="E242">
        <v>8129</v>
      </c>
      <c r="F242">
        <v>8</v>
      </c>
      <c r="G242">
        <v>9.6</v>
      </c>
      <c r="H242">
        <v>0.83333330000000005</v>
      </c>
      <c r="I242">
        <v>0.1666667</v>
      </c>
      <c r="J242">
        <v>0.54545456000000003</v>
      </c>
    </row>
    <row r="243" spans="1:10" x14ac:dyDescent="0.3">
      <c r="A243">
        <v>241</v>
      </c>
      <c r="B243">
        <v>3853</v>
      </c>
      <c r="C243" t="b">
        <v>1</v>
      </c>
      <c r="D243">
        <v>8048</v>
      </c>
      <c r="E243">
        <v>8123</v>
      </c>
      <c r="F243">
        <v>8</v>
      </c>
      <c r="G243">
        <v>9.6</v>
      </c>
      <c r="H243">
        <v>0.83333330000000005</v>
      </c>
      <c r="I243">
        <v>0.1666667</v>
      </c>
      <c r="J243">
        <v>0.54545456000000003</v>
      </c>
    </row>
    <row r="244" spans="1:10" x14ac:dyDescent="0.3">
      <c r="A244">
        <v>242</v>
      </c>
      <c r="B244">
        <v>3869</v>
      </c>
      <c r="C244" t="b">
        <v>1</v>
      </c>
      <c r="D244">
        <v>8048</v>
      </c>
      <c r="E244">
        <v>8117</v>
      </c>
      <c r="F244">
        <v>8</v>
      </c>
      <c r="G244">
        <v>9.6</v>
      </c>
      <c r="H244">
        <v>0.83333330000000005</v>
      </c>
      <c r="I244">
        <v>0.1666667</v>
      </c>
      <c r="J244">
        <v>0.54545456000000003</v>
      </c>
    </row>
    <row r="245" spans="1:10" x14ac:dyDescent="0.3">
      <c r="A245">
        <v>243</v>
      </c>
      <c r="B245">
        <v>3885</v>
      </c>
      <c r="C245" t="b">
        <v>1</v>
      </c>
      <c r="D245">
        <v>8048</v>
      </c>
      <c r="E245">
        <v>8123</v>
      </c>
      <c r="F245">
        <v>8</v>
      </c>
      <c r="G245">
        <v>9.6</v>
      </c>
      <c r="H245">
        <v>0.83333330000000005</v>
      </c>
      <c r="I245">
        <v>0.1666667</v>
      </c>
      <c r="J245">
        <v>0.54545456000000003</v>
      </c>
    </row>
    <row r="246" spans="1:10" x14ac:dyDescent="0.3">
      <c r="A246">
        <v>244</v>
      </c>
      <c r="B246">
        <v>3900</v>
      </c>
      <c r="C246" t="b">
        <v>1</v>
      </c>
      <c r="D246">
        <v>8048</v>
      </c>
      <c r="E246">
        <v>8117</v>
      </c>
      <c r="F246">
        <v>8</v>
      </c>
      <c r="G246">
        <v>9.6</v>
      </c>
      <c r="H246">
        <v>0.83333330000000005</v>
      </c>
      <c r="I246">
        <v>0.1666667</v>
      </c>
      <c r="J246">
        <v>0.54545456000000003</v>
      </c>
    </row>
    <row r="247" spans="1:10" x14ac:dyDescent="0.3">
      <c r="A247">
        <v>245</v>
      </c>
      <c r="B247">
        <v>3916</v>
      </c>
      <c r="C247" t="b">
        <v>1</v>
      </c>
      <c r="D247">
        <v>8048</v>
      </c>
      <c r="E247">
        <v>8117</v>
      </c>
      <c r="F247">
        <v>8</v>
      </c>
      <c r="G247">
        <v>9.1999999999999993</v>
      </c>
      <c r="H247">
        <v>0.86956524999999996</v>
      </c>
      <c r="I247">
        <v>0.13043477000000001</v>
      </c>
      <c r="J247">
        <v>0.53488369999999996</v>
      </c>
    </row>
    <row r="248" spans="1:10" x14ac:dyDescent="0.3">
      <c r="A248">
        <v>246</v>
      </c>
      <c r="B248">
        <v>3932</v>
      </c>
      <c r="C248" t="b">
        <v>1</v>
      </c>
      <c r="D248">
        <v>8054</v>
      </c>
      <c r="E248">
        <v>8117</v>
      </c>
      <c r="F248">
        <v>8</v>
      </c>
      <c r="G248">
        <v>8.8000000000000007</v>
      </c>
      <c r="H248">
        <v>0.90909090000000004</v>
      </c>
      <c r="I248">
        <v>9.0909110000000001E-2</v>
      </c>
      <c r="J248">
        <v>0.52380954999999996</v>
      </c>
    </row>
    <row r="249" spans="1:10" x14ac:dyDescent="0.3">
      <c r="A249">
        <v>247</v>
      </c>
      <c r="B249">
        <v>3948</v>
      </c>
      <c r="C249" t="b">
        <v>1</v>
      </c>
      <c r="D249">
        <v>8054</v>
      </c>
      <c r="E249">
        <v>8117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3964</v>
      </c>
      <c r="C250" t="b">
        <v>1</v>
      </c>
      <c r="D250">
        <v>8054</v>
      </c>
      <c r="E250">
        <v>8117</v>
      </c>
      <c r="F250">
        <v>8.4</v>
      </c>
      <c r="G250">
        <v>7.2</v>
      </c>
      <c r="H250">
        <v>1.1666666000000001</v>
      </c>
      <c r="I250">
        <v>-0.16666664</v>
      </c>
      <c r="J250">
        <v>0.46153845999999998</v>
      </c>
    </row>
    <row r="251" spans="1:10" x14ac:dyDescent="0.3">
      <c r="A251">
        <v>249</v>
      </c>
      <c r="B251">
        <v>3980</v>
      </c>
      <c r="C251" t="b">
        <v>1</v>
      </c>
      <c r="D251">
        <v>8054</v>
      </c>
      <c r="E251">
        <v>8123</v>
      </c>
      <c r="F251">
        <v>8.8000000000000007</v>
      </c>
      <c r="G251">
        <v>6.4</v>
      </c>
      <c r="H251">
        <v>1.375</v>
      </c>
      <c r="I251">
        <v>-0.375</v>
      </c>
      <c r="J251">
        <v>0.4210526</v>
      </c>
    </row>
    <row r="252" spans="1:10" x14ac:dyDescent="0.3">
      <c r="A252">
        <v>250</v>
      </c>
      <c r="B252">
        <v>3996</v>
      </c>
      <c r="C252" t="b">
        <v>1</v>
      </c>
      <c r="D252">
        <v>8054</v>
      </c>
      <c r="E252">
        <v>8117</v>
      </c>
      <c r="F252">
        <v>9.1999999999999993</v>
      </c>
      <c r="G252">
        <v>5.6</v>
      </c>
      <c r="H252">
        <v>1.6428571999999999</v>
      </c>
      <c r="I252">
        <v>-0.64285713</v>
      </c>
      <c r="J252">
        <v>0.3783784</v>
      </c>
    </row>
    <row r="253" spans="1:10" x14ac:dyDescent="0.3">
      <c r="A253">
        <v>251</v>
      </c>
      <c r="B253">
        <v>4012</v>
      </c>
      <c r="C253" t="b">
        <v>1</v>
      </c>
      <c r="D253">
        <v>8054</v>
      </c>
      <c r="E253">
        <v>8123</v>
      </c>
      <c r="F253">
        <v>9.6</v>
      </c>
      <c r="G253">
        <v>5.2</v>
      </c>
      <c r="H253">
        <v>1.8461540000000001</v>
      </c>
      <c r="I253">
        <v>-0.84615399999999996</v>
      </c>
      <c r="J253">
        <v>0.35135132000000002</v>
      </c>
    </row>
    <row r="254" spans="1:10" x14ac:dyDescent="0.3">
      <c r="A254">
        <v>252</v>
      </c>
      <c r="B254">
        <v>4027</v>
      </c>
      <c r="C254" t="b">
        <v>1</v>
      </c>
      <c r="D254">
        <v>8048</v>
      </c>
      <c r="E254">
        <v>8117</v>
      </c>
      <c r="F254">
        <v>10</v>
      </c>
      <c r="G254">
        <v>4.8</v>
      </c>
      <c r="H254">
        <v>2.0833333000000001</v>
      </c>
      <c r="I254">
        <v>-1.0833333000000001</v>
      </c>
      <c r="J254">
        <v>0.32432433999999999</v>
      </c>
    </row>
    <row r="255" spans="1:10" x14ac:dyDescent="0.3">
      <c r="A255">
        <v>253</v>
      </c>
      <c r="B255">
        <v>4043</v>
      </c>
      <c r="C255" t="b">
        <v>1</v>
      </c>
      <c r="D255">
        <v>8048</v>
      </c>
      <c r="E255">
        <v>8117</v>
      </c>
      <c r="F255">
        <v>10.4</v>
      </c>
      <c r="G255">
        <v>4.4000000000000004</v>
      </c>
      <c r="H255">
        <v>2.3636363</v>
      </c>
      <c r="I255">
        <v>-1.3636363</v>
      </c>
      <c r="J255">
        <v>0.29729733000000003</v>
      </c>
    </row>
    <row r="256" spans="1:10" x14ac:dyDescent="0.3">
      <c r="A256">
        <v>254</v>
      </c>
      <c r="B256">
        <v>4059</v>
      </c>
      <c r="C256" t="b">
        <v>1</v>
      </c>
      <c r="D256">
        <v>8054</v>
      </c>
      <c r="E256">
        <v>8117</v>
      </c>
      <c r="F256">
        <v>10.8</v>
      </c>
      <c r="G256">
        <v>4</v>
      </c>
      <c r="H256">
        <v>2.7</v>
      </c>
      <c r="I256">
        <v>-1.7</v>
      </c>
      <c r="J256">
        <v>0.27027025999999998</v>
      </c>
    </row>
    <row r="257" spans="1:10" x14ac:dyDescent="0.3">
      <c r="A257">
        <v>255</v>
      </c>
      <c r="B257">
        <v>4075</v>
      </c>
      <c r="C257" t="b">
        <v>1</v>
      </c>
      <c r="D257">
        <v>8048</v>
      </c>
      <c r="E257">
        <v>8123</v>
      </c>
      <c r="F257">
        <v>10.8</v>
      </c>
      <c r="G257">
        <v>3.6</v>
      </c>
      <c r="H257">
        <v>3.0000002000000001</v>
      </c>
      <c r="I257">
        <v>-2.0000002000000001</v>
      </c>
      <c r="J257">
        <v>0.25</v>
      </c>
    </row>
    <row r="258" spans="1:10" x14ac:dyDescent="0.3">
      <c r="A258">
        <v>256</v>
      </c>
      <c r="B258">
        <v>4091</v>
      </c>
      <c r="C258" t="b">
        <v>1</v>
      </c>
      <c r="D258">
        <v>8048</v>
      </c>
      <c r="E258">
        <v>8123</v>
      </c>
      <c r="F258">
        <v>10.8</v>
      </c>
      <c r="G258">
        <v>3.2</v>
      </c>
      <c r="H258">
        <v>3.375</v>
      </c>
      <c r="I258">
        <v>-2.375</v>
      </c>
      <c r="J258">
        <v>0.22857142999999999</v>
      </c>
    </row>
    <row r="259" spans="1:10" x14ac:dyDescent="0.3">
      <c r="A259">
        <v>257</v>
      </c>
      <c r="B259">
        <v>4107</v>
      </c>
      <c r="C259" t="b">
        <v>1</v>
      </c>
      <c r="D259">
        <v>8048</v>
      </c>
      <c r="E259">
        <v>8123</v>
      </c>
      <c r="F259">
        <v>10.8</v>
      </c>
      <c r="G259">
        <v>3.2</v>
      </c>
      <c r="H259">
        <v>3.375</v>
      </c>
      <c r="I259">
        <v>-2.375</v>
      </c>
      <c r="J259">
        <v>0.22857142999999999</v>
      </c>
    </row>
    <row r="260" spans="1:10" x14ac:dyDescent="0.3">
      <c r="A260">
        <v>258</v>
      </c>
      <c r="B260">
        <v>4122</v>
      </c>
      <c r="C260" t="b">
        <v>1</v>
      </c>
      <c r="D260">
        <v>8048</v>
      </c>
      <c r="E260">
        <v>8123</v>
      </c>
      <c r="F260">
        <v>10.8</v>
      </c>
      <c r="G260">
        <v>3.2</v>
      </c>
      <c r="H260">
        <v>3.375</v>
      </c>
      <c r="I260">
        <v>-2.375</v>
      </c>
      <c r="J260">
        <v>0.22857142999999999</v>
      </c>
    </row>
    <row r="261" spans="1:10" x14ac:dyDescent="0.3">
      <c r="A261">
        <v>259</v>
      </c>
      <c r="B261">
        <v>4138</v>
      </c>
      <c r="C261" t="b">
        <v>1</v>
      </c>
      <c r="D261">
        <v>8054</v>
      </c>
      <c r="E261">
        <v>8123</v>
      </c>
      <c r="F261">
        <v>10.8</v>
      </c>
      <c r="G261">
        <v>3.2</v>
      </c>
      <c r="H261">
        <v>3.375</v>
      </c>
      <c r="I261">
        <v>-2.375</v>
      </c>
      <c r="J261">
        <v>0.22857142999999999</v>
      </c>
    </row>
    <row r="262" spans="1:10" x14ac:dyDescent="0.3">
      <c r="A262">
        <v>260</v>
      </c>
      <c r="B262">
        <v>4154</v>
      </c>
      <c r="C262" t="b">
        <v>1</v>
      </c>
      <c r="D262">
        <v>8048</v>
      </c>
      <c r="E262">
        <v>8123</v>
      </c>
      <c r="F262">
        <v>10.8</v>
      </c>
      <c r="G262">
        <v>3.6</v>
      </c>
      <c r="H262">
        <v>3.0000002000000001</v>
      </c>
      <c r="I262">
        <v>-2.0000002000000001</v>
      </c>
      <c r="J262">
        <v>0.25</v>
      </c>
    </row>
    <row r="263" spans="1:10" x14ac:dyDescent="0.3">
      <c r="A263">
        <v>261</v>
      </c>
      <c r="B263">
        <v>4170</v>
      </c>
      <c r="C263" t="b">
        <v>1</v>
      </c>
      <c r="D263">
        <v>8048</v>
      </c>
      <c r="E263">
        <v>8129</v>
      </c>
      <c r="F263">
        <v>10.8</v>
      </c>
      <c r="G263">
        <v>4</v>
      </c>
      <c r="H263">
        <v>2.7</v>
      </c>
      <c r="I263">
        <v>-1.7</v>
      </c>
      <c r="J263">
        <v>0.27027025999999998</v>
      </c>
    </row>
    <row r="264" spans="1:10" x14ac:dyDescent="0.3">
      <c r="A264">
        <v>262</v>
      </c>
      <c r="B264">
        <v>4186</v>
      </c>
      <c r="C264" t="b">
        <v>1</v>
      </c>
      <c r="D264">
        <v>8048</v>
      </c>
      <c r="E264">
        <v>8129</v>
      </c>
      <c r="F264">
        <v>10.8</v>
      </c>
      <c r="G264">
        <v>4.4000000000000004</v>
      </c>
      <c r="H264">
        <v>2.4545455</v>
      </c>
      <c r="I264">
        <v>-1.4545455</v>
      </c>
      <c r="J264">
        <v>0.28947368000000001</v>
      </c>
    </row>
    <row r="265" spans="1:10" x14ac:dyDescent="0.3">
      <c r="A265">
        <v>263</v>
      </c>
      <c r="B265">
        <v>4202</v>
      </c>
      <c r="C265" t="b">
        <v>1</v>
      </c>
      <c r="D265">
        <v>8048</v>
      </c>
      <c r="E265">
        <v>8123</v>
      </c>
      <c r="F265">
        <v>10.4</v>
      </c>
      <c r="G265">
        <v>4.8</v>
      </c>
      <c r="H265">
        <v>2.1666664999999998</v>
      </c>
      <c r="I265">
        <v>-1.1666665000000001</v>
      </c>
      <c r="J265">
        <v>0.3157895</v>
      </c>
    </row>
    <row r="266" spans="1:10" x14ac:dyDescent="0.3">
      <c r="A266">
        <v>264</v>
      </c>
      <c r="B266">
        <v>4217</v>
      </c>
      <c r="C266" t="b">
        <v>1</v>
      </c>
      <c r="D266">
        <v>8048</v>
      </c>
      <c r="E266">
        <v>8123</v>
      </c>
      <c r="F266">
        <v>10</v>
      </c>
      <c r="G266">
        <v>5.2</v>
      </c>
      <c r="H266">
        <v>1.9230769999999999</v>
      </c>
      <c r="I266">
        <v>-0.92307700000000004</v>
      </c>
      <c r="J266">
        <v>0.34210527000000002</v>
      </c>
    </row>
    <row r="267" spans="1:10" x14ac:dyDescent="0.3">
      <c r="A267">
        <v>265</v>
      </c>
      <c r="B267">
        <v>4233</v>
      </c>
      <c r="C267" t="b">
        <v>1</v>
      </c>
      <c r="D267">
        <v>8042</v>
      </c>
      <c r="E267">
        <v>8129</v>
      </c>
      <c r="F267">
        <v>9.6</v>
      </c>
      <c r="G267">
        <v>6</v>
      </c>
      <c r="H267">
        <v>1.6</v>
      </c>
      <c r="I267">
        <v>-0.60000010000000004</v>
      </c>
      <c r="J267">
        <v>0.38461536000000002</v>
      </c>
    </row>
    <row r="268" spans="1:10" x14ac:dyDescent="0.3">
      <c r="A268">
        <v>266</v>
      </c>
      <c r="B268">
        <v>4250</v>
      </c>
      <c r="C268" t="b">
        <v>1</v>
      </c>
      <c r="D268">
        <v>8048</v>
      </c>
      <c r="E268">
        <v>8123</v>
      </c>
      <c r="F268">
        <v>9.1999999999999993</v>
      </c>
      <c r="G268">
        <v>6.4</v>
      </c>
      <c r="H268">
        <v>1.4375</v>
      </c>
      <c r="I268">
        <v>-0.43749993999999998</v>
      </c>
      <c r="J268">
        <v>0.41025642000000001</v>
      </c>
    </row>
    <row r="269" spans="1:10" x14ac:dyDescent="0.3">
      <c r="A269">
        <v>267</v>
      </c>
      <c r="B269">
        <v>4265</v>
      </c>
      <c r="C269" t="b">
        <v>1</v>
      </c>
      <c r="D269">
        <v>8042</v>
      </c>
      <c r="E269">
        <v>8123</v>
      </c>
      <c r="F269">
        <v>8.8000000000000007</v>
      </c>
      <c r="G269">
        <v>6.8</v>
      </c>
      <c r="H269">
        <v>1.2941176999999999</v>
      </c>
      <c r="I269">
        <v>-0.29411763000000002</v>
      </c>
      <c r="J269">
        <v>0.43589744000000002</v>
      </c>
    </row>
    <row r="270" spans="1:10" x14ac:dyDescent="0.3">
      <c r="A270">
        <v>268</v>
      </c>
      <c r="B270">
        <v>4281</v>
      </c>
      <c r="C270" t="b">
        <v>1</v>
      </c>
      <c r="D270">
        <v>8042</v>
      </c>
      <c r="E270">
        <v>8129</v>
      </c>
      <c r="F270">
        <v>8</v>
      </c>
      <c r="G270">
        <v>7.2</v>
      </c>
      <c r="H270">
        <v>1.1111112000000001</v>
      </c>
      <c r="I270">
        <v>-0.11111114</v>
      </c>
      <c r="J270">
        <v>0.4736842</v>
      </c>
    </row>
    <row r="271" spans="1:10" x14ac:dyDescent="0.3">
      <c r="A271">
        <v>269</v>
      </c>
      <c r="B271">
        <v>4297</v>
      </c>
      <c r="C271" t="b">
        <v>1</v>
      </c>
      <c r="D271">
        <v>8042</v>
      </c>
      <c r="E271">
        <v>8123</v>
      </c>
      <c r="F271">
        <v>7.2</v>
      </c>
      <c r="G271">
        <v>7.6</v>
      </c>
      <c r="H271">
        <v>0.9473684</v>
      </c>
      <c r="I271">
        <v>5.2631589999999999E-2</v>
      </c>
      <c r="J271">
        <v>0.51351349999999996</v>
      </c>
    </row>
    <row r="272" spans="1:10" x14ac:dyDescent="0.3">
      <c r="A272">
        <v>270</v>
      </c>
      <c r="B272">
        <v>4313</v>
      </c>
      <c r="C272" t="b">
        <v>1</v>
      </c>
      <c r="D272">
        <v>8042</v>
      </c>
      <c r="E272">
        <v>8129</v>
      </c>
      <c r="F272">
        <v>6.8</v>
      </c>
      <c r="G272">
        <v>8</v>
      </c>
      <c r="H272">
        <v>0.85</v>
      </c>
      <c r="I272">
        <v>0.14999998</v>
      </c>
      <c r="J272">
        <v>0.54054049999999998</v>
      </c>
    </row>
    <row r="273" spans="1:10" x14ac:dyDescent="0.3">
      <c r="A273">
        <v>271</v>
      </c>
      <c r="B273">
        <v>4329</v>
      </c>
      <c r="C273" t="b">
        <v>1</v>
      </c>
      <c r="D273">
        <v>8042</v>
      </c>
      <c r="E273">
        <v>8123</v>
      </c>
      <c r="F273">
        <v>6.4</v>
      </c>
      <c r="G273">
        <v>8.4</v>
      </c>
      <c r="H273">
        <v>0.76190484000000003</v>
      </c>
      <c r="I273">
        <v>0.23809520000000001</v>
      </c>
      <c r="J273">
        <v>0.56756759999999995</v>
      </c>
    </row>
    <row r="274" spans="1:10" x14ac:dyDescent="0.3">
      <c r="A274">
        <v>272</v>
      </c>
      <c r="B274">
        <v>4344</v>
      </c>
      <c r="C274" t="b">
        <v>1</v>
      </c>
      <c r="D274">
        <v>8048</v>
      </c>
      <c r="E274">
        <v>8123</v>
      </c>
      <c r="F274">
        <v>6</v>
      </c>
      <c r="G274">
        <v>8.4</v>
      </c>
      <c r="H274">
        <v>0.71428572999999995</v>
      </c>
      <c r="I274">
        <v>0.28571424000000001</v>
      </c>
      <c r="J274">
        <v>0.58333330000000005</v>
      </c>
    </row>
    <row r="275" spans="1:10" x14ac:dyDescent="0.3">
      <c r="A275">
        <v>273</v>
      </c>
      <c r="B275">
        <v>4361</v>
      </c>
      <c r="C275" t="b">
        <v>1</v>
      </c>
      <c r="D275">
        <v>8048</v>
      </c>
      <c r="E275">
        <v>8123</v>
      </c>
      <c r="F275">
        <v>5.6</v>
      </c>
      <c r="G275">
        <v>8.4</v>
      </c>
      <c r="H275">
        <v>0.66666669999999995</v>
      </c>
      <c r="I275">
        <v>0.3333333</v>
      </c>
      <c r="J275">
        <v>0.59999996</v>
      </c>
    </row>
    <row r="276" spans="1:10" x14ac:dyDescent="0.3">
      <c r="A276">
        <v>274</v>
      </c>
      <c r="B276">
        <v>4376</v>
      </c>
      <c r="C276" t="b">
        <v>1</v>
      </c>
      <c r="D276">
        <v>8048</v>
      </c>
      <c r="E276">
        <v>8123</v>
      </c>
      <c r="F276">
        <v>5.6</v>
      </c>
      <c r="G276">
        <v>8.4</v>
      </c>
      <c r="H276">
        <v>0.66666669999999995</v>
      </c>
      <c r="I276">
        <v>0.3333333</v>
      </c>
      <c r="J276">
        <v>0.59999996</v>
      </c>
    </row>
    <row r="277" spans="1:10" x14ac:dyDescent="0.3">
      <c r="A277">
        <v>275</v>
      </c>
      <c r="B277">
        <v>4393</v>
      </c>
      <c r="C277" t="b">
        <v>1</v>
      </c>
      <c r="D277">
        <v>8048</v>
      </c>
      <c r="E277">
        <v>8123</v>
      </c>
      <c r="F277">
        <v>5.6</v>
      </c>
      <c r="G277">
        <v>8.4</v>
      </c>
      <c r="H277">
        <v>0.66666669999999995</v>
      </c>
      <c r="I277">
        <v>0.3333333</v>
      </c>
      <c r="J277">
        <v>0.59999996</v>
      </c>
    </row>
    <row r="278" spans="1:10" x14ac:dyDescent="0.3">
      <c r="A278">
        <v>276</v>
      </c>
      <c r="B278">
        <v>4409</v>
      </c>
      <c r="C278" t="b">
        <v>1</v>
      </c>
      <c r="D278">
        <v>8048</v>
      </c>
      <c r="E278">
        <v>8123</v>
      </c>
      <c r="F278">
        <v>5.6</v>
      </c>
      <c r="G278">
        <v>8.4</v>
      </c>
      <c r="H278">
        <v>0.66666669999999995</v>
      </c>
      <c r="I278">
        <v>0.3333333</v>
      </c>
      <c r="J278">
        <v>0.59999996</v>
      </c>
    </row>
    <row r="279" spans="1:10" x14ac:dyDescent="0.3">
      <c r="A279">
        <v>277</v>
      </c>
      <c r="B279">
        <v>4424</v>
      </c>
      <c r="C279" t="b">
        <v>1</v>
      </c>
      <c r="D279">
        <v>8054</v>
      </c>
      <c r="E279">
        <v>8123</v>
      </c>
      <c r="F279">
        <v>5.6</v>
      </c>
      <c r="G279">
        <v>8.4</v>
      </c>
      <c r="H279">
        <v>0.66666669999999995</v>
      </c>
      <c r="I279">
        <v>0.3333333</v>
      </c>
      <c r="J279">
        <v>0.59999996</v>
      </c>
    </row>
    <row r="280" spans="1:10" x14ac:dyDescent="0.3">
      <c r="A280">
        <v>278</v>
      </c>
      <c r="B280">
        <v>4440</v>
      </c>
      <c r="C280" t="b">
        <v>1</v>
      </c>
      <c r="D280">
        <v>8048</v>
      </c>
      <c r="E280">
        <v>8123</v>
      </c>
      <c r="F280">
        <v>5.6</v>
      </c>
      <c r="G280">
        <v>8.4</v>
      </c>
      <c r="H280">
        <v>0.66666669999999995</v>
      </c>
      <c r="I280">
        <v>0.3333333</v>
      </c>
      <c r="J280">
        <v>0.59999996</v>
      </c>
    </row>
    <row r="281" spans="1:10" x14ac:dyDescent="0.3">
      <c r="A281">
        <v>279</v>
      </c>
      <c r="B281">
        <v>4456</v>
      </c>
      <c r="C281" t="b">
        <v>1</v>
      </c>
      <c r="D281">
        <v>8048</v>
      </c>
      <c r="E281">
        <v>8129</v>
      </c>
      <c r="F281">
        <v>5.6</v>
      </c>
      <c r="G281">
        <v>8.4</v>
      </c>
      <c r="H281">
        <v>0.66666669999999995</v>
      </c>
      <c r="I281">
        <v>0.3333333</v>
      </c>
      <c r="J281">
        <v>0.59999996</v>
      </c>
    </row>
    <row r="282" spans="1:10" x14ac:dyDescent="0.3">
      <c r="A282">
        <v>280</v>
      </c>
      <c r="B282">
        <v>4472</v>
      </c>
      <c r="C282" t="b">
        <v>1</v>
      </c>
      <c r="D282">
        <v>8048</v>
      </c>
      <c r="E282">
        <v>8117</v>
      </c>
      <c r="F282">
        <v>5.6</v>
      </c>
      <c r="G282">
        <v>8</v>
      </c>
      <c r="H282">
        <v>0.7</v>
      </c>
      <c r="I282">
        <v>0.3</v>
      </c>
      <c r="J282">
        <v>0.58823526000000004</v>
      </c>
    </row>
    <row r="283" spans="1:10" x14ac:dyDescent="0.3">
      <c r="A283">
        <v>281</v>
      </c>
      <c r="B283">
        <v>4488</v>
      </c>
      <c r="C283" t="b">
        <v>1</v>
      </c>
      <c r="D283">
        <v>8048</v>
      </c>
      <c r="E283">
        <v>8117</v>
      </c>
      <c r="F283">
        <v>5.6</v>
      </c>
      <c r="G283">
        <v>8</v>
      </c>
      <c r="H283">
        <v>0.7</v>
      </c>
      <c r="I283">
        <v>0.3</v>
      </c>
      <c r="J283">
        <v>0.58823526000000004</v>
      </c>
    </row>
    <row r="284" spans="1:10" x14ac:dyDescent="0.3">
      <c r="A284">
        <v>282</v>
      </c>
      <c r="B284">
        <v>4504</v>
      </c>
      <c r="C284" t="b">
        <v>1</v>
      </c>
      <c r="D284">
        <v>8048</v>
      </c>
      <c r="E284">
        <v>8123</v>
      </c>
      <c r="F284">
        <v>5.6</v>
      </c>
      <c r="G284">
        <v>8</v>
      </c>
      <c r="H284">
        <v>0.7</v>
      </c>
      <c r="I284">
        <v>0.3</v>
      </c>
      <c r="J284">
        <v>0.58823526000000004</v>
      </c>
    </row>
    <row r="285" spans="1:10" x14ac:dyDescent="0.3">
      <c r="A285">
        <v>283</v>
      </c>
      <c r="B285">
        <v>4519</v>
      </c>
      <c r="C285" t="b">
        <v>1</v>
      </c>
      <c r="D285">
        <v>8048</v>
      </c>
      <c r="E285">
        <v>8123</v>
      </c>
      <c r="F285">
        <v>6</v>
      </c>
      <c r="G285">
        <v>8</v>
      </c>
      <c r="H285">
        <v>0.75</v>
      </c>
      <c r="I285">
        <v>0.25</v>
      </c>
      <c r="J285">
        <v>0.57142859999999995</v>
      </c>
    </row>
    <row r="286" spans="1:10" x14ac:dyDescent="0.3">
      <c r="A286">
        <v>284</v>
      </c>
      <c r="B286">
        <v>4535</v>
      </c>
      <c r="C286" t="b">
        <v>1</v>
      </c>
      <c r="D286">
        <v>8042</v>
      </c>
      <c r="E286">
        <v>8117</v>
      </c>
      <c r="F286">
        <v>6.4</v>
      </c>
      <c r="G286">
        <v>7.6</v>
      </c>
      <c r="H286">
        <v>0.84210527000000002</v>
      </c>
      <c r="I286">
        <v>0.15789471999999999</v>
      </c>
      <c r="J286">
        <v>0.54285709999999998</v>
      </c>
    </row>
    <row r="287" spans="1:10" x14ac:dyDescent="0.3">
      <c r="A287">
        <v>285</v>
      </c>
      <c r="B287">
        <v>4551</v>
      </c>
      <c r="C287" t="b">
        <v>1</v>
      </c>
      <c r="D287">
        <v>8048</v>
      </c>
      <c r="E287">
        <v>8123</v>
      </c>
      <c r="F287">
        <v>6.8</v>
      </c>
      <c r="G287">
        <v>7.6</v>
      </c>
      <c r="H287">
        <v>0.89473689999999995</v>
      </c>
      <c r="I287">
        <v>0.10526312</v>
      </c>
      <c r="J287">
        <v>0.52777779999999996</v>
      </c>
    </row>
    <row r="288" spans="1:10" x14ac:dyDescent="0.3">
      <c r="A288">
        <v>286</v>
      </c>
      <c r="B288">
        <v>4567</v>
      </c>
      <c r="C288" t="b">
        <v>1</v>
      </c>
      <c r="D288">
        <v>8048</v>
      </c>
      <c r="E288">
        <v>8123</v>
      </c>
      <c r="F288">
        <v>7.2</v>
      </c>
      <c r="G288">
        <v>7.6</v>
      </c>
      <c r="H288">
        <v>0.9473684</v>
      </c>
      <c r="I288">
        <v>5.2631589999999999E-2</v>
      </c>
      <c r="J288">
        <v>0.51351349999999996</v>
      </c>
    </row>
    <row r="289" spans="1:10" x14ac:dyDescent="0.3">
      <c r="A289">
        <v>287</v>
      </c>
      <c r="B289">
        <v>4583</v>
      </c>
      <c r="C289" t="b">
        <v>1</v>
      </c>
      <c r="D289">
        <v>8048</v>
      </c>
      <c r="E289">
        <v>8123</v>
      </c>
      <c r="F289">
        <v>7.6</v>
      </c>
      <c r="G289">
        <v>7.6</v>
      </c>
      <c r="H289">
        <v>1</v>
      </c>
      <c r="I289">
        <v>0</v>
      </c>
      <c r="J289">
        <v>0.5</v>
      </c>
    </row>
    <row r="290" spans="1:10" x14ac:dyDescent="0.3">
      <c r="A290">
        <v>288</v>
      </c>
      <c r="B290">
        <v>4599</v>
      </c>
      <c r="C290" t="b">
        <v>1</v>
      </c>
      <c r="D290">
        <v>8048</v>
      </c>
      <c r="E290">
        <v>8123</v>
      </c>
      <c r="F290">
        <v>8</v>
      </c>
      <c r="G290">
        <v>7.6</v>
      </c>
      <c r="H290">
        <v>1.0526316</v>
      </c>
      <c r="I290">
        <v>-5.2631589999999999E-2</v>
      </c>
      <c r="J290">
        <v>0.48717946000000001</v>
      </c>
    </row>
    <row r="291" spans="1:10" x14ac:dyDescent="0.3">
      <c r="A291">
        <v>289</v>
      </c>
      <c r="B291">
        <v>4615</v>
      </c>
      <c r="C291" t="b">
        <v>1</v>
      </c>
      <c r="D291">
        <v>8048</v>
      </c>
      <c r="E291">
        <v>8123</v>
      </c>
      <c r="F291">
        <v>8</v>
      </c>
      <c r="G291">
        <v>7.6</v>
      </c>
      <c r="H291">
        <v>1.0526316</v>
      </c>
      <c r="I291">
        <v>-5.2631589999999999E-2</v>
      </c>
      <c r="J291">
        <v>0.48717946000000001</v>
      </c>
    </row>
    <row r="292" spans="1:10" x14ac:dyDescent="0.3">
      <c r="A292">
        <v>290</v>
      </c>
      <c r="B292">
        <v>4630</v>
      </c>
      <c r="C292" t="b">
        <v>1</v>
      </c>
      <c r="D292">
        <v>8048</v>
      </c>
      <c r="E292">
        <v>8123</v>
      </c>
      <c r="F292">
        <v>8</v>
      </c>
      <c r="G292">
        <v>7.6</v>
      </c>
      <c r="H292">
        <v>1.0526316</v>
      </c>
      <c r="I292">
        <v>-5.2631589999999999E-2</v>
      </c>
      <c r="J292">
        <v>0.48717946000000001</v>
      </c>
    </row>
    <row r="293" spans="1:10" x14ac:dyDescent="0.3">
      <c r="A293">
        <v>291</v>
      </c>
      <c r="B293">
        <v>4646</v>
      </c>
      <c r="C293" t="b">
        <v>1</v>
      </c>
      <c r="D293">
        <v>8048</v>
      </c>
      <c r="E293">
        <v>8123</v>
      </c>
      <c r="F293">
        <v>8</v>
      </c>
      <c r="G293">
        <v>7.6</v>
      </c>
      <c r="H293">
        <v>1.0526316</v>
      </c>
      <c r="I293">
        <v>-5.2631589999999999E-2</v>
      </c>
      <c r="J293">
        <v>0.48717946000000001</v>
      </c>
    </row>
    <row r="294" spans="1:10" x14ac:dyDescent="0.3">
      <c r="A294">
        <v>292</v>
      </c>
      <c r="B294">
        <v>4662</v>
      </c>
      <c r="C294" t="b">
        <v>1</v>
      </c>
      <c r="D294">
        <v>8048</v>
      </c>
      <c r="E294">
        <v>8123</v>
      </c>
      <c r="F294">
        <v>8</v>
      </c>
      <c r="G294">
        <v>7.6</v>
      </c>
      <c r="H294">
        <v>1.0526316</v>
      </c>
      <c r="I294">
        <v>-5.2631589999999999E-2</v>
      </c>
      <c r="J294">
        <v>0.48717946000000001</v>
      </c>
    </row>
    <row r="295" spans="1:10" x14ac:dyDescent="0.3">
      <c r="A295">
        <v>293</v>
      </c>
      <c r="B295">
        <v>4677</v>
      </c>
      <c r="C295" t="b">
        <v>1</v>
      </c>
      <c r="D295">
        <v>8048</v>
      </c>
      <c r="E295">
        <v>8123</v>
      </c>
      <c r="F295">
        <v>8</v>
      </c>
      <c r="G295">
        <v>7.6</v>
      </c>
      <c r="H295">
        <v>1.0526316</v>
      </c>
      <c r="I295">
        <v>-5.2631589999999999E-2</v>
      </c>
      <c r="J295">
        <v>0.48717946000000001</v>
      </c>
    </row>
    <row r="296" spans="1:10" x14ac:dyDescent="0.3">
      <c r="A296">
        <v>294</v>
      </c>
      <c r="B296">
        <v>4693</v>
      </c>
      <c r="C296" t="b">
        <v>1</v>
      </c>
      <c r="D296">
        <v>8048</v>
      </c>
      <c r="E296">
        <v>8129</v>
      </c>
      <c r="F296">
        <v>8</v>
      </c>
      <c r="G296">
        <v>7.6</v>
      </c>
      <c r="H296">
        <v>1.0526316</v>
      </c>
      <c r="I296">
        <v>-5.2631589999999999E-2</v>
      </c>
      <c r="J296">
        <v>0.48717946000000001</v>
      </c>
    </row>
    <row r="297" spans="1:10" x14ac:dyDescent="0.3">
      <c r="A297">
        <v>295</v>
      </c>
      <c r="B297">
        <v>4709</v>
      </c>
      <c r="C297" t="b">
        <v>1</v>
      </c>
      <c r="D297">
        <v>8048</v>
      </c>
      <c r="E297">
        <v>8123</v>
      </c>
      <c r="F297">
        <v>8</v>
      </c>
      <c r="G297">
        <v>7.6</v>
      </c>
      <c r="H297">
        <v>1.0526316</v>
      </c>
      <c r="I297">
        <v>-5.2631589999999999E-2</v>
      </c>
      <c r="J297">
        <v>0.48717946000000001</v>
      </c>
    </row>
    <row r="298" spans="1:10" x14ac:dyDescent="0.3">
      <c r="A298">
        <v>296</v>
      </c>
      <c r="B298">
        <v>4725</v>
      </c>
      <c r="C298" t="b">
        <v>1</v>
      </c>
      <c r="D298">
        <v>8048</v>
      </c>
      <c r="E298">
        <v>8129</v>
      </c>
      <c r="F298">
        <v>8</v>
      </c>
      <c r="G298">
        <v>7.6</v>
      </c>
      <c r="H298">
        <v>1.0526316</v>
      </c>
      <c r="I298">
        <v>-5.2631589999999999E-2</v>
      </c>
      <c r="J298">
        <v>0.48717946000000001</v>
      </c>
    </row>
    <row r="299" spans="1:10" x14ac:dyDescent="0.3">
      <c r="A299">
        <v>297</v>
      </c>
      <c r="B299">
        <v>4741</v>
      </c>
      <c r="C299" t="b">
        <v>1</v>
      </c>
      <c r="D299">
        <v>8042</v>
      </c>
      <c r="E299">
        <v>8123</v>
      </c>
      <c r="F299">
        <v>8</v>
      </c>
      <c r="G299">
        <v>7.6</v>
      </c>
      <c r="H299">
        <v>1.0526316</v>
      </c>
      <c r="I299">
        <v>-5.2631589999999999E-2</v>
      </c>
      <c r="J299">
        <v>0.48717946000000001</v>
      </c>
    </row>
    <row r="300" spans="1:10" x14ac:dyDescent="0.3">
      <c r="A300">
        <v>298</v>
      </c>
      <c r="B300">
        <v>4757</v>
      </c>
      <c r="C300" t="b">
        <v>1</v>
      </c>
      <c r="D300">
        <v>8042</v>
      </c>
      <c r="E300">
        <v>8123</v>
      </c>
      <c r="F300">
        <v>8</v>
      </c>
      <c r="G300">
        <v>7.6</v>
      </c>
      <c r="H300">
        <v>1.0526316</v>
      </c>
      <c r="I300">
        <v>-5.2631589999999999E-2</v>
      </c>
      <c r="J300">
        <v>0.48717946000000001</v>
      </c>
    </row>
    <row r="301" spans="1:10" x14ac:dyDescent="0.3">
      <c r="A301">
        <v>299</v>
      </c>
      <c r="B301">
        <v>4773</v>
      </c>
      <c r="C301" t="b">
        <v>1</v>
      </c>
      <c r="D301">
        <v>8042</v>
      </c>
      <c r="E301">
        <v>8123</v>
      </c>
      <c r="F301">
        <v>7.6</v>
      </c>
      <c r="G301">
        <v>8</v>
      </c>
      <c r="H301">
        <v>0.95</v>
      </c>
      <c r="I301">
        <v>5.0000012000000003E-2</v>
      </c>
      <c r="J301">
        <v>0.51282050000000001</v>
      </c>
    </row>
    <row r="302" spans="1:10" x14ac:dyDescent="0.3">
      <c r="A302">
        <v>300</v>
      </c>
      <c r="B302">
        <v>4789</v>
      </c>
      <c r="C302" t="b">
        <v>1</v>
      </c>
      <c r="D302">
        <v>8042</v>
      </c>
      <c r="E302">
        <v>8117</v>
      </c>
      <c r="F302">
        <v>7.2</v>
      </c>
      <c r="G302">
        <v>8</v>
      </c>
      <c r="H302">
        <v>0.9</v>
      </c>
      <c r="I302">
        <v>0.10000002400000001</v>
      </c>
      <c r="J302">
        <v>0.5263158</v>
      </c>
    </row>
    <row r="303" spans="1:10" x14ac:dyDescent="0.3">
      <c r="A303">
        <v>301</v>
      </c>
      <c r="B303">
        <v>4805</v>
      </c>
      <c r="C303" t="b">
        <v>1</v>
      </c>
      <c r="D303">
        <v>8042</v>
      </c>
      <c r="E303">
        <v>8123</v>
      </c>
      <c r="F303">
        <v>6.8</v>
      </c>
      <c r="G303">
        <v>8</v>
      </c>
      <c r="H303">
        <v>0.85</v>
      </c>
      <c r="I303">
        <v>0.14999998</v>
      </c>
      <c r="J303">
        <v>0.54054049999999998</v>
      </c>
    </row>
    <row r="304" spans="1:10" x14ac:dyDescent="0.3">
      <c r="A304">
        <v>302</v>
      </c>
      <c r="B304">
        <v>4822</v>
      </c>
      <c r="C304" t="b">
        <v>1</v>
      </c>
      <c r="D304">
        <v>8042</v>
      </c>
      <c r="E304">
        <v>8117</v>
      </c>
      <c r="F304">
        <v>6.4</v>
      </c>
      <c r="G304">
        <v>8</v>
      </c>
      <c r="H304">
        <v>0.8</v>
      </c>
      <c r="I304">
        <v>0.19999998999999999</v>
      </c>
      <c r="J304">
        <v>0.55555560000000004</v>
      </c>
    </row>
    <row r="305" spans="1:10" x14ac:dyDescent="0.3">
      <c r="A305">
        <v>303</v>
      </c>
      <c r="B305">
        <v>4837</v>
      </c>
      <c r="C305" t="b">
        <v>1</v>
      </c>
      <c r="D305">
        <v>8048</v>
      </c>
      <c r="E305">
        <v>8129</v>
      </c>
      <c r="F305">
        <v>6</v>
      </c>
      <c r="G305">
        <v>8</v>
      </c>
      <c r="H305">
        <v>0.75</v>
      </c>
      <c r="I305">
        <v>0.25</v>
      </c>
      <c r="J305">
        <v>0.57142859999999995</v>
      </c>
    </row>
    <row r="306" spans="1:10" x14ac:dyDescent="0.3">
      <c r="A306">
        <v>304</v>
      </c>
      <c r="B306">
        <v>4868</v>
      </c>
      <c r="C306" t="b">
        <v>1</v>
      </c>
      <c r="D306">
        <v>8048</v>
      </c>
      <c r="E306">
        <v>8117</v>
      </c>
      <c r="F306">
        <v>5.6</v>
      </c>
      <c r="G306">
        <v>7.6</v>
      </c>
      <c r="H306">
        <v>0.73684210000000006</v>
      </c>
      <c r="I306">
        <v>0.2631579</v>
      </c>
      <c r="J306">
        <v>0.57575756</v>
      </c>
    </row>
    <row r="307" spans="1:10" x14ac:dyDescent="0.3">
      <c r="A307">
        <v>305</v>
      </c>
      <c r="B307">
        <v>4885</v>
      </c>
      <c r="C307" t="b">
        <v>1</v>
      </c>
      <c r="D307">
        <v>8054</v>
      </c>
      <c r="E307">
        <v>8117</v>
      </c>
      <c r="F307">
        <v>5.6</v>
      </c>
      <c r="G307">
        <v>7.2</v>
      </c>
      <c r="H307">
        <v>0.77777779999999996</v>
      </c>
      <c r="I307">
        <v>0.22222221</v>
      </c>
      <c r="J307">
        <v>0.5625</v>
      </c>
    </row>
    <row r="308" spans="1:10" x14ac:dyDescent="0.3">
      <c r="A308">
        <v>306</v>
      </c>
      <c r="B308">
        <v>4900</v>
      </c>
      <c r="C308" t="b">
        <v>1</v>
      </c>
      <c r="D308">
        <v>8048</v>
      </c>
      <c r="E308">
        <v>8117</v>
      </c>
      <c r="F308">
        <v>5.6</v>
      </c>
      <c r="G308">
        <v>6.8</v>
      </c>
      <c r="H308">
        <v>0.82352935999999999</v>
      </c>
      <c r="I308">
        <v>0.17647061999999999</v>
      </c>
      <c r="J308">
        <v>0.54838710000000002</v>
      </c>
    </row>
    <row r="309" spans="1:10" x14ac:dyDescent="0.3">
      <c r="A309">
        <v>307</v>
      </c>
      <c r="B309">
        <v>4916</v>
      </c>
      <c r="C309" t="b">
        <v>1</v>
      </c>
      <c r="D309">
        <v>8048</v>
      </c>
      <c r="E309">
        <v>8117</v>
      </c>
      <c r="F309">
        <v>5.6</v>
      </c>
      <c r="G309">
        <v>6.4</v>
      </c>
      <c r="H309">
        <v>0.875</v>
      </c>
      <c r="I309">
        <v>0.12500003000000001</v>
      </c>
      <c r="J309">
        <v>0.53333335999999998</v>
      </c>
    </row>
    <row r="310" spans="1:10" x14ac:dyDescent="0.3">
      <c r="A310">
        <v>308</v>
      </c>
      <c r="B310">
        <v>4932</v>
      </c>
      <c r="C310" t="b">
        <v>1</v>
      </c>
      <c r="D310">
        <v>8048</v>
      </c>
      <c r="E310">
        <v>8117</v>
      </c>
      <c r="F310">
        <v>5.6</v>
      </c>
      <c r="G310">
        <v>6</v>
      </c>
      <c r="H310">
        <v>0.93333334000000001</v>
      </c>
      <c r="I310">
        <v>6.6666685000000003E-2</v>
      </c>
      <c r="J310">
        <v>0.51724135999999998</v>
      </c>
    </row>
    <row r="311" spans="1:10" x14ac:dyDescent="0.3">
      <c r="A311">
        <v>309</v>
      </c>
      <c r="B311">
        <v>4948</v>
      </c>
      <c r="C311" t="b">
        <v>1</v>
      </c>
      <c r="D311">
        <v>8048</v>
      </c>
      <c r="E311">
        <v>8117</v>
      </c>
      <c r="F311">
        <v>5.6</v>
      </c>
      <c r="G311">
        <v>5.6</v>
      </c>
      <c r="H311">
        <v>1</v>
      </c>
      <c r="I311">
        <v>0</v>
      </c>
      <c r="J311">
        <v>0.5</v>
      </c>
    </row>
    <row r="312" spans="1:10" x14ac:dyDescent="0.3">
      <c r="A312">
        <v>310</v>
      </c>
      <c r="B312">
        <v>4964</v>
      </c>
      <c r="C312" t="b">
        <v>1</v>
      </c>
      <c r="D312">
        <v>8054</v>
      </c>
      <c r="E312">
        <v>8134</v>
      </c>
      <c r="F312">
        <v>5.6</v>
      </c>
      <c r="G312">
        <v>5.2</v>
      </c>
      <c r="H312">
        <v>1.0769230999999999</v>
      </c>
      <c r="I312">
        <v>-7.6923094999999997E-2</v>
      </c>
      <c r="J312">
        <v>0.48148150000000001</v>
      </c>
    </row>
    <row r="313" spans="1:10" x14ac:dyDescent="0.3">
      <c r="A313">
        <v>311</v>
      </c>
      <c r="B313">
        <v>4980</v>
      </c>
      <c r="C313" t="b">
        <v>1</v>
      </c>
      <c r="D313">
        <v>8048</v>
      </c>
      <c r="E313">
        <v>8129</v>
      </c>
      <c r="F313">
        <v>5.6</v>
      </c>
      <c r="G313">
        <v>4.8</v>
      </c>
      <c r="H313">
        <v>1.1666666000000001</v>
      </c>
      <c r="I313">
        <v>-0.1666666</v>
      </c>
      <c r="J313">
        <v>0.46153850000000002</v>
      </c>
    </row>
    <row r="314" spans="1:10" x14ac:dyDescent="0.3">
      <c r="A314">
        <v>312</v>
      </c>
      <c r="B314">
        <v>4995</v>
      </c>
      <c r="C314" t="b">
        <v>1</v>
      </c>
      <c r="D314">
        <v>8048</v>
      </c>
      <c r="E314">
        <v>8123</v>
      </c>
      <c r="F314">
        <v>5.6</v>
      </c>
      <c r="G314">
        <v>4.8</v>
      </c>
      <c r="H314">
        <v>1.1666666000000001</v>
      </c>
      <c r="I314">
        <v>-0.1666666</v>
      </c>
      <c r="J314">
        <v>0.46153850000000002</v>
      </c>
    </row>
    <row r="315" spans="1:10" x14ac:dyDescent="0.3">
      <c r="A315">
        <v>313</v>
      </c>
      <c r="B315">
        <v>5011</v>
      </c>
      <c r="C315" t="b">
        <v>1</v>
      </c>
      <c r="D315">
        <v>8042</v>
      </c>
      <c r="E315">
        <v>8134</v>
      </c>
      <c r="F315">
        <v>5.6</v>
      </c>
      <c r="G315">
        <v>5.2</v>
      </c>
      <c r="H315">
        <v>1.0769230999999999</v>
      </c>
      <c r="I315">
        <v>-7.6923094999999997E-2</v>
      </c>
      <c r="J315">
        <v>0.48148150000000001</v>
      </c>
    </row>
    <row r="316" spans="1:10" x14ac:dyDescent="0.3">
      <c r="A316">
        <v>314</v>
      </c>
      <c r="B316">
        <v>5028</v>
      </c>
      <c r="C316" t="b">
        <v>1</v>
      </c>
      <c r="D316">
        <v>8048</v>
      </c>
      <c r="E316">
        <v>8129</v>
      </c>
      <c r="F316">
        <v>6</v>
      </c>
      <c r="G316">
        <v>5.6</v>
      </c>
      <c r="H316">
        <v>1.0714284999999999</v>
      </c>
      <c r="I316">
        <v>-7.142859E-2</v>
      </c>
      <c r="J316">
        <v>0.48275859999999998</v>
      </c>
    </row>
    <row r="317" spans="1:10" x14ac:dyDescent="0.3">
      <c r="A317">
        <v>315</v>
      </c>
      <c r="B317">
        <v>5044</v>
      </c>
      <c r="C317" t="b">
        <v>1</v>
      </c>
      <c r="D317">
        <v>8048</v>
      </c>
      <c r="E317">
        <v>8123</v>
      </c>
      <c r="F317">
        <v>6.4</v>
      </c>
      <c r="G317">
        <v>6</v>
      </c>
      <c r="H317">
        <v>1.0666667000000001</v>
      </c>
      <c r="I317">
        <v>-6.6666685000000003E-2</v>
      </c>
      <c r="J317">
        <v>0.48387098000000001</v>
      </c>
    </row>
    <row r="318" spans="1:10" x14ac:dyDescent="0.3">
      <c r="A318">
        <v>316</v>
      </c>
      <c r="B318">
        <v>5060</v>
      </c>
      <c r="C318" t="b">
        <v>1</v>
      </c>
      <c r="D318">
        <v>8048</v>
      </c>
      <c r="E318">
        <v>8123</v>
      </c>
      <c r="F318">
        <v>6.8</v>
      </c>
      <c r="G318">
        <v>6</v>
      </c>
      <c r="H318">
        <v>1.1333333000000001</v>
      </c>
      <c r="I318">
        <v>-0.13333337000000001</v>
      </c>
      <c r="J318">
        <v>0.46875</v>
      </c>
    </row>
    <row r="319" spans="1:10" x14ac:dyDescent="0.3">
      <c r="A319">
        <v>317</v>
      </c>
      <c r="B319">
        <v>5075</v>
      </c>
      <c r="C319" t="b">
        <v>1</v>
      </c>
      <c r="D319">
        <v>8048</v>
      </c>
      <c r="E319">
        <v>8123</v>
      </c>
      <c r="F319">
        <v>7.2</v>
      </c>
      <c r="G319">
        <v>6</v>
      </c>
      <c r="H319">
        <v>1.1999998999999999</v>
      </c>
      <c r="I319">
        <v>-0.19999997</v>
      </c>
      <c r="J319">
        <v>0.45454547000000001</v>
      </c>
    </row>
    <row r="320" spans="1:10" x14ac:dyDescent="0.3">
      <c r="A320">
        <v>318</v>
      </c>
      <c r="B320">
        <v>5092</v>
      </c>
      <c r="C320" t="b">
        <v>1</v>
      </c>
      <c r="D320">
        <v>8048</v>
      </c>
      <c r="E320">
        <v>8123</v>
      </c>
      <c r="F320">
        <v>7.6</v>
      </c>
      <c r="G320">
        <v>6</v>
      </c>
      <c r="H320">
        <v>1.2666667</v>
      </c>
      <c r="I320">
        <v>-0.26666665000000001</v>
      </c>
      <c r="J320">
        <v>0.44117644</v>
      </c>
    </row>
    <row r="321" spans="1:10" x14ac:dyDescent="0.3">
      <c r="A321">
        <v>319</v>
      </c>
      <c r="B321">
        <v>5107</v>
      </c>
      <c r="C321" t="b">
        <v>1</v>
      </c>
      <c r="D321">
        <v>8048</v>
      </c>
      <c r="E321">
        <v>8123</v>
      </c>
      <c r="F321">
        <v>8</v>
      </c>
      <c r="G321">
        <v>6.4</v>
      </c>
      <c r="H321">
        <v>1.25</v>
      </c>
      <c r="I321">
        <v>-0.24999999000000001</v>
      </c>
      <c r="J321">
        <v>0.44444447999999998</v>
      </c>
    </row>
    <row r="322" spans="1:10" x14ac:dyDescent="0.3">
      <c r="A322">
        <v>320</v>
      </c>
      <c r="B322">
        <v>5124</v>
      </c>
      <c r="C322" t="b">
        <v>1</v>
      </c>
      <c r="D322">
        <v>8048</v>
      </c>
      <c r="E322">
        <v>8123</v>
      </c>
      <c r="F322">
        <v>8</v>
      </c>
      <c r="G322">
        <v>6.8</v>
      </c>
      <c r="H322">
        <v>1.1764705</v>
      </c>
      <c r="I322">
        <v>-0.17647055</v>
      </c>
      <c r="J322">
        <v>0.45945944999999999</v>
      </c>
    </row>
    <row r="323" spans="1:10" x14ac:dyDescent="0.3">
      <c r="A323">
        <v>321</v>
      </c>
      <c r="B323">
        <v>5140</v>
      </c>
      <c r="C323" t="b">
        <v>1</v>
      </c>
      <c r="D323">
        <v>8042</v>
      </c>
      <c r="E323">
        <v>8123</v>
      </c>
      <c r="F323">
        <v>8</v>
      </c>
      <c r="G323">
        <v>7.2</v>
      </c>
      <c r="H323">
        <v>1.1111112000000001</v>
      </c>
      <c r="I323">
        <v>-0.11111114</v>
      </c>
      <c r="J323">
        <v>0.4736842</v>
      </c>
    </row>
    <row r="324" spans="1:10" x14ac:dyDescent="0.3">
      <c r="A324">
        <v>322</v>
      </c>
      <c r="B324">
        <v>5155</v>
      </c>
      <c r="C324" t="b">
        <v>1</v>
      </c>
      <c r="D324">
        <v>8048</v>
      </c>
      <c r="E324">
        <v>8123</v>
      </c>
      <c r="F324">
        <v>8</v>
      </c>
      <c r="G324">
        <v>7.6</v>
      </c>
      <c r="H324">
        <v>1.0526316</v>
      </c>
      <c r="I324">
        <v>-5.2631589999999999E-2</v>
      </c>
      <c r="J324">
        <v>0.48717946000000001</v>
      </c>
    </row>
    <row r="325" spans="1:10" x14ac:dyDescent="0.3">
      <c r="A325">
        <v>323</v>
      </c>
      <c r="B325">
        <v>5171</v>
      </c>
      <c r="C325" t="b">
        <v>1</v>
      </c>
      <c r="D325">
        <v>8048</v>
      </c>
      <c r="E325">
        <v>8129</v>
      </c>
      <c r="F325">
        <v>8</v>
      </c>
      <c r="G325">
        <v>8</v>
      </c>
      <c r="H325">
        <v>1</v>
      </c>
      <c r="I325">
        <v>0</v>
      </c>
      <c r="J325">
        <v>0.5</v>
      </c>
    </row>
    <row r="326" spans="1:10" x14ac:dyDescent="0.3">
      <c r="A326">
        <v>324</v>
      </c>
      <c r="B326">
        <v>5187</v>
      </c>
      <c r="C326" t="b">
        <v>1</v>
      </c>
      <c r="D326">
        <v>8048</v>
      </c>
      <c r="E326">
        <v>8117</v>
      </c>
      <c r="F326">
        <v>8</v>
      </c>
      <c r="G326">
        <v>8.4</v>
      </c>
      <c r="H326">
        <v>0.95238100000000003</v>
      </c>
      <c r="I326">
        <v>4.7619003999999999E-2</v>
      </c>
      <c r="J326">
        <v>0.51219510000000001</v>
      </c>
    </row>
    <row r="327" spans="1:10" x14ac:dyDescent="0.3">
      <c r="A327">
        <v>325</v>
      </c>
      <c r="B327">
        <v>5203</v>
      </c>
      <c r="C327" t="b">
        <v>1</v>
      </c>
      <c r="D327">
        <v>8048</v>
      </c>
      <c r="E327">
        <v>8117</v>
      </c>
      <c r="F327">
        <v>8</v>
      </c>
      <c r="G327">
        <v>8.8000000000000007</v>
      </c>
      <c r="H327">
        <v>0.90909090000000004</v>
      </c>
      <c r="I327">
        <v>9.0909110000000001E-2</v>
      </c>
      <c r="J327">
        <v>0.52380954999999996</v>
      </c>
    </row>
    <row r="328" spans="1:10" x14ac:dyDescent="0.3">
      <c r="A328">
        <v>326</v>
      </c>
      <c r="B328">
        <v>5219</v>
      </c>
      <c r="C328" t="b">
        <v>1</v>
      </c>
      <c r="D328">
        <v>8054</v>
      </c>
      <c r="E328">
        <v>8117</v>
      </c>
      <c r="F328">
        <v>8</v>
      </c>
      <c r="G328">
        <v>8.8000000000000007</v>
      </c>
      <c r="H328">
        <v>0.90909090000000004</v>
      </c>
      <c r="I328">
        <v>9.0909110000000001E-2</v>
      </c>
      <c r="J328">
        <v>0.52380954999999996</v>
      </c>
    </row>
    <row r="329" spans="1:10" x14ac:dyDescent="0.3">
      <c r="A329">
        <v>327</v>
      </c>
      <c r="B329">
        <v>5235</v>
      </c>
      <c r="C329" t="b">
        <v>1</v>
      </c>
      <c r="D329">
        <v>8048</v>
      </c>
      <c r="E329">
        <v>8123</v>
      </c>
      <c r="F329">
        <v>8</v>
      </c>
      <c r="G329">
        <v>8.4</v>
      </c>
      <c r="H329">
        <v>0.95238100000000003</v>
      </c>
      <c r="I329">
        <v>4.7619003999999999E-2</v>
      </c>
      <c r="J329">
        <v>0.51219510000000001</v>
      </c>
    </row>
    <row r="330" spans="1:10" x14ac:dyDescent="0.3">
      <c r="A330">
        <v>328</v>
      </c>
      <c r="B330">
        <v>5250</v>
      </c>
      <c r="C330" t="b">
        <v>1</v>
      </c>
      <c r="D330">
        <v>8048</v>
      </c>
      <c r="E330">
        <v>8123</v>
      </c>
      <c r="F330">
        <v>8</v>
      </c>
      <c r="G330">
        <v>7.6</v>
      </c>
      <c r="H330">
        <v>1.0526316</v>
      </c>
      <c r="I330">
        <v>-5.2631589999999999E-2</v>
      </c>
      <c r="J330">
        <v>0.48717946000000001</v>
      </c>
    </row>
    <row r="331" spans="1:10" x14ac:dyDescent="0.3">
      <c r="A331">
        <v>329</v>
      </c>
      <c r="B331">
        <v>5267</v>
      </c>
      <c r="C331" t="b">
        <v>1</v>
      </c>
      <c r="D331">
        <v>8048</v>
      </c>
      <c r="E331">
        <v>8123</v>
      </c>
      <c r="F331">
        <v>8</v>
      </c>
      <c r="G331">
        <v>7.2</v>
      </c>
      <c r="H331">
        <v>1.1111112000000001</v>
      </c>
      <c r="I331">
        <v>-0.11111114</v>
      </c>
      <c r="J331">
        <v>0.4736842</v>
      </c>
    </row>
    <row r="332" spans="1:10" x14ac:dyDescent="0.3">
      <c r="A332">
        <v>330</v>
      </c>
      <c r="B332">
        <v>5283</v>
      </c>
      <c r="C332" t="b">
        <v>1</v>
      </c>
      <c r="D332">
        <v>8048</v>
      </c>
      <c r="E332">
        <v>8123</v>
      </c>
      <c r="F332">
        <v>8</v>
      </c>
      <c r="G332">
        <v>6.8</v>
      </c>
      <c r="H332">
        <v>1.1764705</v>
      </c>
      <c r="I332">
        <v>-0.17647055</v>
      </c>
      <c r="J332">
        <v>0.45945944999999999</v>
      </c>
    </row>
    <row r="333" spans="1:10" x14ac:dyDescent="0.3">
      <c r="A333">
        <v>331</v>
      </c>
      <c r="B333">
        <v>5298</v>
      </c>
      <c r="C333" t="b">
        <v>1</v>
      </c>
      <c r="D333">
        <v>8048</v>
      </c>
      <c r="E333">
        <v>8123</v>
      </c>
      <c r="F333">
        <v>8</v>
      </c>
      <c r="G333">
        <v>6.8</v>
      </c>
      <c r="H333">
        <v>1.1764705</v>
      </c>
      <c r="I333">
        <v>-0.17647055</v>
      </c>
      <c r="J333">
        <v>0.45945944999999999</v>
      </c>
    </row>
    <row r="334" spans="1:10" x14ac:dyDescent="0.3">
      <c r="A334">
        <v>332</v>
      </c>
      <c r="B334">
        <v>5314</v>
      </c>
      <c r="C334" t="b">
        <v>1</v>
      </c>
      <c r="D334">
        <v>8048</v>
      </c>
      <c r="E334">
        <v>8123</v>
      </c>
      <c r="F334">
        <v>8</v>
      </c>
      <c r="G334">
        <v>6.8</v>
      </c>
      <c r="H334">
        <v>1.1764705</v>
      </c>
      <c r="I334">
        <v>-0.17647055</v>
      </c>
      <c r="J334">
        <v>0.45945944999999999</v>
      </c>
    </row>
    <row r="335" spans="1:10" x14ac:dyDescent="0.3">
      <c r="A335">
        <v>333</v>
      </c>
      <c r="B335">
        <v>5330</v>
      </c>
      <c r="C335" t="b">
        <v>1</v>
      </c>
      <c r="D335">
        <v>8042</v>
      </c>
      <c r="E335">
        <v>8123</v>
      </c>
      <c r="F335">
        <v>8</v>
      </c>
      <c r="G335">
        <v>6.8</v>
      </c>
      <c r="H335">
        <v>1.1764705</v>
      </c>
      <c r="I335">
        <v>-0.17647055</v>
      </c>
      <c r="J335">
        <v>0.45945944999999999</v>
      </c>
    </row>
    <row r="336" spans="1:10" x14ac:dyDescent="0.3">
      <c r="A336">
        <v>334</v>
      </c>
      <c r="B336">
        <v>5346</v>
      </c>
      <c r="C336" t="b">
        <v>1</v>
      </c>
      <c r="D336">
        <v>8054</v>
      </c>
      <c r="E336">
        <v>8129</v>
      </c>
      <c r="F336">
        <v>8</v>
      </c>
      <c r="G336">
        <v>6.8</v>
      </c>
      <c r="H336">
        <v>1.1764705</v>
      </c>
      <c r="I336">
        <v>-0.17647055</v>
      </c>
      <c r="J336">
        <v>0.45945944999999999</v>
      </c>
    </row>
    <row r="337" spans="1:10" x14ac:dyDescent="0.3">
      <c r="A337">
        <v>335</v>
      </c>
      <c r="B337">
        <v>5362</v>
      </c>
      <c r="C337" t="b">
        <v>1</v>
      </c>
      <c r="D337">
        <v>8054</v>
      </c>
      <c r="E337">
        <v>8123</v>
      </c>
      <c r="F337">
        <v>8</v>
      </c>
      <c r="G337">
        <v>6.8</v>
      </c>
      <c r="H337">
        <v>1.1764705</v>
      </c>
      <c r="I337">
        <v>-0.17647055</v>
      </c>
      <c r="J337">
        <v>0.45945944999999999</v>
      </c>
    </row>
    <row r="338" spans="1:10" x14ac:dyDescent="0.3">
      <c r="A338">
        <v>336</v>
      </c>
      <c r="B338">
        <v>5378</v>
      </c>
      <c r="C338" t="b">
        <v>1</v>
      </c>
      <c r="D338">
        <v>8060</v>
      </c>
      <c r="E338">
        <v>8134</v>
      </c>
      <c r="F338">
        <v>8.4</v>
      </c>
      <c r="G338">
        <v>6.8</v>
      </c>
      <c r="H338">
        <v>1.2352939999999999</v>
      </c>
      <c r="I338">
        <v>-0.23529402999999999</v>
      </c>
      <c r="J338">
        <v>0.44736843999999998</v>
      </c>
    </row>
    <row r="339" spans="1:10" x14ac:dyDescent="0.3">
      <c r="A339">
        <v>337</v>
      </c>
      <c r="B339">
        <v>5393</v>
      </c>
      <c r="C339" t="b">
        <v>1</v>
      </c>
      <c r="D339">
        <v>8060</v>
      </c>
      <c r="E339">
        <v>8123</v>
      </c>
      <c r="F339">
        <v>8.8000000000000007</v>
      </c>
      <c r="G339">
        <v>6.8</v>
      </c>
      <c r="H339">
        <v>1.2941176999999999</v>
      </c>
      <c r="I339">
        <v>-0.29411763000000002</v>
      </c>
      <c r="J339">
        <v>0.43589744000000002</v>
      </c>
    </row>
    <row r="340" spans="1:10" x14ac:dyDescent="0.3">
      <c r="A340">
        <v>338</v>
      </c>
      <c r="B340">
        <v>5409</v>
      </c>
      <c r="C340" t="b">
        <v>1</v>
      </c>
      <c r="D340">
        <v>8054</v>
      </c>
      <c r="E340">
        <v>8129</v>
      </c>
      <c r="F340">
        <v>9.1999999999999993</v>
      </c>
      <c r="G340">
        <v>7.2</v>
      </c>
      <c r="H340">
        <v>1.2777778</v>
      </c>
      <c r="I340">
        <v>-0.27777780000000002</v>
      </c>
      <c r="J340">
        <v>0.43902439999999998</v>
      </c>
    </row>
    <row r="341" spans="1:10" x14ac:dyDescent="0.3">
      <c r="A341">
        <v>339</v>
      </c>
      <c r="B341">
        <v>5425</v>
      </c>
      <c r="C341" t="b">
        <v>1</v>
      </c>
      <c r="D341">
        <v>8054</v>
      </c>
      <c r="E341">
        <v>8123</v>
      </c>
      <c r="F341">
        <v>9.6</v>
      </c>
      <c r="G341">
        <v>7.2</v>
      </c>
      <c r="H341">
        <v>1.3333333999999999</v>
      </c>
      <c r="I341">
        <v>-0.33333342999999999</v>
      </c>
      <c r="J341">
        <v>0.42857142999999998</v>
      </c>
    </row>
    <row r="342" spans="1:10" x14ac:dyDescent="0.3">
      <c r="A342">
        <v>340</v>
      </c>
      <c r="B342">
        <v>5441</v>
      </c>
      <c r="C342" t="b">
        <v>1</v>
      </c>
      <c r="D342">
        <v>8054</v>
      </c>
      <c r="E342">
        <v>8123</v>
      </c>
      <c r="F342">
        <v>10</v>
      </c>
      <c r="G342">
        <v>7.2</v>
      </c>
      <c r="H342">
        <v>1.388889</v>
      </c>
      <c r="I342">
        <v>-0.38888893000000002</v>
      </c>
      <c r="J342">
        <v>0.41860459999999999</v>
      </c>
    </row>
    <row r="343" spans="1:10" x14ac:dyDescent="0.3">
      <c r="A343">
        <v>341</v>
      </c>
      <c r="B343">
        <v>5457</v>
      </c>
      <c r="C343" t="b">
        <v>1</v>
      </c>
      <c r="D343">
        <v>8042</v>
      </c>
      <c r="E343">
        <v>8123</v>
      </c>
      <c r="F343">
        <v>10.4</v>
      </c>
      <c r="G343">
        <v>7.6</v>
      </c>
      <c r="H343">
        <v>1.3684210999999999</v>
      </c>
      <c r="I343">
        <v>-0.36842101999999999</v>
      </c>
      <c r="J343">
        <v>0.42222222999999998</v>
      </c>
    </row>
    <row r="344" spans="1:10" x14ac:dyDescent="0.3">
      <c r="A344">
        <v>342</v>
      </c>
      <c r="B344">
        <v>5473</v>
      </c>
      <c r="C344" t="b">
        <v>1</v>
      </c>
      <c r="D344">
        <v>8042</v>
      </c>
      <c r="E344">
        <v>8123</v>
      </c>
      <c r="F344">
        <v>10.8</v>
      </c>
      <c r="G344">
        <v>8</v>
      </c>
      <c r="H344">
        <v>1.35</v>
      </c>
      <c r="I344">
        <v>-0.35000002000000002</v>
      </c>
      <c r="J344">
        <v>0.42553192000000001</v>
      </c>
    </row>
    <row r="345" spans="1:10" x14ac:dyDescent="0.3">
      <c r="A345">
        <v>343</v>
      </c>
      <c r="B345">
        <v>5489</v>
      </c>
      <c r="C345" t="b">
        <v>1</v>
      </c>
      <c r="D345">
        <v>8042</v>
      </c>
      <c r="E345">
        <v>8123</v>
      </c>
      <c r="F345">
        <v>10.4</v>
      </c>
      <c r="G345">
        <v>8.4</v>
      </c>
      <c r="H345">
        <v>1.2380952999999999</v>
      </c>
      <c r="I345">
        <v>-0.23809525000000001</v>
      </c>
      <c r="J345">
        <v>0.44680851999999999</v>
      </c>
    </row>
    <row r="346" spans="1:10" x14ac:dyDescent="0.3">
      <c r="A346">
        <v>344</v>
      </c>
      <c r="B346">
        <v>5505</v>
      </c>
      <c r="C346" t="b">
        <v>1</v>
      </c>
      <c r="D346">
        <v>8037</v>
      </c>
      <c r="E346">
        <v>8129</v>
      </c>
      <c r="F346">
        <v>10</v>
      </c>
      <c r="G346">
        <v>8.4</v>
      </c>
      <c r="H346">
        <v>1.1904763</v>
      </c>
      <c r="I346">
        <v>-0.19047623999999999</v>
      </c>
      <c r="J346">
        <v>0.45652172000000002</v>
      </c>
    </row>
    <row r="347" spans="1:10" x14ac:dyDescent="0.3">
      <c r="A347">
        <v>345</v>
      </c>
      <c r="B347">
        <v>5521</v>
      </c>
      <c r="C347" t="b">
        <v>1</v>
      </c>
      <c r="D347">
        <v>8042</v>
      </c>
      <c r="E347">
        <v>8123</v>
      </c>
      <c r="F347">
        <v>9.6</v>
      </c>
      <c r="G347">
        <v>8.4</v>
      </c>
      <c r="H347">
        <v>1.1428571999999999</v>
      </c>
      <c r="I347">
        <v>-0.14285724</v>
      </c>
      <c r="J347">
        <v>0.46666664000000002</v>
      </c>
    </row>
    <row r="348" spans="1:10" x14ac:dyDescent="0.3">
      <c r="A348">
        <v>346</v>
      </c>
      <c r="B348">
        <v>5537</v>
      </c>
      <c r="C348" t="b">
        <v>1</v>
      </c>
      <c r="D348">
        <v>8042</v>
      </c>
      <c r="E348">
        <v>8117</v>
      </c>
      <c r="F348">
        <v>9.1999999999999993</v>
      </c>
      <c r="G348">
        <v>8.4</v>
      </c>
      <c r="H348">
        <v>1.0952381</v>
      </c>
      <c r="I348">
        <v>-9.5238119999999996E-2</v>
      </c>
      <c r="J348">
        <v>0.47727275000000002</v>
      </c>
    </row>
    <row r="349" spans="1:10" x14ac:dyDescent="0.3">
      <c r="A349">
        <v>347</v>
      </c>
      <c r="B349">
        <v>5552</v>
      </c>
      <c r="C349" t="b">
        <v>1</v>
      </c>
      <c r="D349">
        <v>8048</v>
      </c>
      <c r="E349">
        <v>8123</v>
      </c>
      <c r="F349">
        <v>8.8000000000000007</v>
      </c>
      <c r="G349">
        <v>8.4</v>
      </c>
      <c r="H349">
        <v>1.0476190999999999</v>
      </c>
      <c r="I349">
        <v>-4.7619120000000001E-2</v>
      </c>
      <c r="J349">
        <v>0.48837206</v>
      </c>
    </row>
    <row r="350" spans="1:10" x14ac:dyDescent="0.3">
      <c r="A350">
        <v>348</v>
      </c>
      <c r="B350">
        <v>5568</v>
      </c>
      <c r="C350" t="b">
        <v>1</v>
      </c>
      <c r="D350">
        <v>8048</v>
      </c>
      <c r="E350">
        <v>8123</v>
      </c>
      <c r="F350">
        <v>8.4</v>
      </c>
      <c r="G350">
        <v>8.4</v>
      </c>
      <c r="H350">
        <v>1</v>
      </c>
      <c r="I350">
        <v>0</v>
      </c>
      <c r="J350">
        <v>0.5</v>
      </c>
    </row>
    <row r="351" spans="1:10" x14ac:dyDescent="0.3">
      <c r="A351">
        <v>349</v>
      </c>
      <c r="B351">
        <v>5584</v>
      </c>
      <c r="C351" t="b">
        <v>1</v>
      </c>
      <c r="D351">
        <v>8054</v>
      </c>
      <c r="E351">
        <v>8123</v>
      </c>
      <c r="F351">
        <v>8.4</v>
      </c>
      <c r="G351">
        <v>8.4</v>
      </c>
      <c r="H351">
        <v>1</v>
      </c>
      <c r="I351">
        <v>0</v>
      </c>
      <c r="J351">
        <v>0.5</v>
      </c>
    </row>
    <row r="352" spans="1:10" x14ac:dyDescent="0.3">
      <c r="A352">
        <v>350</v>
      </c>
      <c r="B352">
        <v>5600</v>
      </c>
      <c r="C352" t="b">
        <v>1</v>
      </c>
      <c r="D352">
        <v>8048</v>
      </c>
      <c r="E352">
        <v>8123</v>
      </c>
      <c r="F352">
        <v>8.4</v>
      </c>
      <c r="G352">
        <v>8.4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5615</v>
      </c>
      <c r="C353" t="b">
        <v>1</v>
      </c>
      <c r="D353">
        <v>8048</v>
      </c>
      <c r="E353">
        <v>8129</v>
      </c>
      <c r="F353">
        <v>8</v>
      </c>
      <c r="G353">
        <v>8.4</v>
      </c>
      <c r="H353">
        <v>0.95238100000000003</v>
      </c>
      <c r="I353">
        <v>4.7619003999999999E-2</v>
      </c>
      <c r="J353">
        <v>0.51219510000000001</v>
      </c>
    </row>
    <row r="354" spans="1:10" x14ac:dyDescent="0.3">
      <c r="A354">
        <v>352</v>
      </c>
      <c r="B354">
        <v>5631</v>
      </c>
      <c r="C354" t="b">
        <v>1</v>
      </c>
      <c r="D354">
        <v>8048</v>
      </c>
      <c r="E354">
        <v>8129</v>
      </c>
      <c r="F354">
        <v>7.6</v>
      </c>
      <c r="G354">
        <v>8.4</v>
      </c>
      <c r="H354">
        <v>0.90476190000000001</v>
      </c>
      <c r="I354">
        <v>9.5238069999999994E-2</v>
      </c>
      <c r="J354">
        <v>0.52500000000000002</v>
      </c>
    </row>
    <row r="355" spans="1:10" x14ac:dyDescent="0.3">
      <c r="A355">
        <v>353</v>
      </c>
      <c r="B355">
        <v>5647</v>
      </c>
      <c r="C355" t="b">
        <v>1</v>
      </c>
      <c r="D355">
        <v>8048</v>
      </c>
      <c r="E355">
        <v>8123</v>
      </c>
      <c r="F355">
        <v>7.2</v>
      </c>
      <c r="G355">
        <v>8</v>
      </c>
      <c r="H355">
        <v>0.9</v>
      </c>
      <c r="I355">
        <v>0.10000002400000001</v>
      </c>
      <c r="J355">
        <v>0.5263158</v>
      </c>
    </row>
    <row r="356" spans="1:10" x14ac:dyDescent="0.3">
      <c r="A356">
        <v>354</v>
      </c>
      <c r="B356">
        <v>5663</v>
      </c>
      <c r="C356" t="b">
        <v>1</v>
      </c>
      <c r="D356">
        <v>8048</v>
      </c>
      <c r="E356">
        <v>8123</v>
      </c>
      <c r="F356">
        <v>6.8</v>
      </c>
      <c r="G356">
        <v>8</v>
      </c>
      <c r="H356">
        <v>0.85</v>
      </c>
      <c r="I356">
        <v>0.14999998</v>
      </c>
      <c r="J356">
        <v>0.54054049999999998</v>
      </c>
    </row>
    <row r="357" spans="1:10" x14ac:dyDescent="0.3">
      <c r="A357">
        <v>355</v>
      </c>
      <c r="B357">
        <v>5679</v>
      </c>
      <c r="C357" t="b">
        <v>1</v>
      </c>
      <c r="D357">
        <v>8048</v>
      </c>
      <c r="E357">
        <v>8134</v>
      </c>
      <c r="F357">
        <v>6.4</v>
      </c>
      <c r="G357">
        <v>8.4</v>
      </c>
      <c r="H357">
        <v>0.76190484000000003</v>
      </c>
      <c r="I357">
        <v>0.23809520000000001</v>
      </c>
      <c r="J357">
        <v>0.56756759999999995</v>
      </c>
    </row>
    <row r="358" spans="1:10" x14ac:dyDescent="0.3">
      <c r="A358">
        <v>356</v>
      </c>
      <c r="B358">
        <v>5695</v>
      </c>
      <c r="C358" t="b">
        <v>1</v>
      </c>
      <c r="D358">
        <v>8048</v>
      </c>
      <c r="E358">
        <v>8123</v>
      </c>
      <c r="F358">
        <v>6</v>
      </c>
      <c r="G358">
        <v>8.4</v>
      </c>
      <c r="H358">
        <v>0.71428572999999995</v>
      </c>
      <c r="I358">
        <v>0.28571424000000001</v>
      </c>
      <c r="J358">
        <v>0.58333330000000005</v>
      </c>
    </row>
    <row r="359" spans="1:10" x14ac:dyDescent="0.3">
      <c r="A359">
        <v>357</v>
      </c>
      <c r="B359">
        <v>5711</v>
      </c>
      <c r="C359" t="b">
        <v>1</v>
      </c>
      <c r="D359">
        <v>8048</v>
      </c>
      <c r="E359">
        <v>8123</v>
      </c>
      <c r="F359">
        <v>5.6</v>
      </c>
      <c r="G359">
        <v>8.4</v>
      </c>
      <c r="H359">
        <v>0.66666669999999995</v>
      </c>
      <c r="I359">
        <v>0.3333333</v>
      </c>
      <c r="J359">
        <v>0.59999996</v>
      </c>
    </row>
    <row r="360" spans="1:10" x14ac:dyDescent="0.3">
      <c r="A360">
        <v>358</v>
      </c>
      <c r="B360">
        <v>5727</v>
      </c>
      <c r="C360" t="b">
        <v>1</v>
      </c>
      <c r="D360">
        <v>8048</v>
      </c>
      <c r="E360">
        <v>8123</v>
      </c>
      <c r="F360">
        <v>6</v>
      </c>
      <c r="G360">
        <v>8.4</v>
      </c>
      <c r="H360">
        <v>0.71428572999999995</v>
      </c>
      <c r="I360">
        <v>0.28571424000000001</v>
      </c>
      <c r="J360">
        <v>0.58333330000000005</v>
      </c>
    </row>
    <row r="361" spans="1:10" x14ac:dyDescent="0.3">
      <c r="A361">
        <v>359</v>
      </c>
      <c r="B361">
        <v>5743</v>
      </c>
      <c r="C361" t="b">
        <v>1</v>
      </c>
      <c r="D361">
        <v>8048</v>
      </c>
      <c r="E361">
        <v>8129</v>
      </c>
      <c r="F361">
        <v>6.4</v>
      </c>
      <c r="G361">
        <v>8.4</v>
      </c>
      <c r="H361">
        <v>0.76190484000000003</v>
      </c>
      <c r="I361">
        <v>0.23809520000000001</v>
      </c>
      <c r="J361">
        <v>0.56756759999999995</v>
      </c>
    </row>
    <row r="362" spans="1:10" x14ac:dyDescent="0.3">
      <c r="A362">
        <v>360</v>
      </c>
      <c r="B362">
        <v>5759</v>
      </c>
      <c r="C362" t="b">
        <v>1</v>
      </c>
      <c r="D362">
        <v>8048</v>
      </c>
      <c r="E362">
        <v>8129</v>
      </c>
      <c r="F362">
        <v>6.8</v>
      </c>
      <c r="G362">
        <v>8.4</v>
      </c>
      <c r="H362">
        <v>0.80952389999999996</v>
      </c>
      <c r="I362">
        <v>0.19047612999999999</v>
      </c>
      <c r="J362">
        <v>0.55263156000000002</v>
      </c>
    </row>
    <row r="363" spans="1:10" x14ac:dyDescent="0.3">
      <c r="A363">
        <v>361</v>
      </c>
      <c r="B363">
        <v>5775</v>
      </c>
      <c r="C363" t="b">
        <v>1</v>
      </c>
      <c r="D363">
        <v>8048</v>
      </c>
      <c r="E363">
        <v>8123</v>
      </c>
      <c r="F363">
        <v>7.2</v>
      </c>
      <c r="G363">
        <v>8.4</v>
      </c>
      <c r="H363">
        <v>0.85714287</v>
      </c>
      <c r="I363">
        <v>0.14285712</v>
      </c>
      <c r="J363">
        <v>0.53846150000000004</v>
      </c>
    </row>
    <row r="364" spans="1:10" x14ac:dyDescent="0.3">
      <c r="A364">
        <v>362</v>
      </c>
      <c r="B364">
        <v>5791</v>
      </c>
      <c r="C364" t="b">
        <v>1</v>
      </c>
      <c r="D364">
        <v>8048</v>
      </c>
      <c r="E364">
        <v>8129</v>
      </c>
      <c r="F364">
        <v>7.6</v>
      </c>
      <c r="G364">
        <v>8.8000000000000007</v>
      </c>
      <c r="H364">
        <v>0.86363630000000002</v>
      </c>
      <c r="I364">
        <v>0.13636366999999999</v>
      </c>
      <c r="J364">
        <v>0.53658539999999999</v>
      </c>
    </row>
    <row r="365" spans="1:10" x14ac:dyDescent="0.3">
      <c r="A365">
        <v>363</v>
      </c>
      <c r="B365">
        <v>5806</v>
      </c>
      <c r="C365" t="b">
        <v>1</v>
      </c>
      <c r="D365">
        <v>8048</v>
      </c>
      <c r="E365">
        <v>8129</v>
      </c>
      <c r="F365">
        <v>8</v>
      </c>
      <c r="G365">
        <v>9.1999999999999993</v>
      </c>
      <c r="H365">
        <v>0.86956524999999996</v>
      </c>
      <c r="I365">
        <v>0.13043477000000001</v>
      </c>
      <c r="J365">
        <v>0.53488369999999996</v>
      </c>
    </row>
    <row r="366" spans="1:10" x14ac:dyDescent="0.3">
      <c r="A366">
        <v>364</v>
      </c>
      <c r="B366">
        <v>5821</v>
      </c>
      <c r="C366" t="b">
        <v>1</v>
      </c>
      <c r="D366">
        <v>8048</v>
      </c>
      <c r="E366">
        <v>8123</v>
      </c>
      <c r="F366">
        <v>8</v>
      </c>
      <c r="G366">
        <v>9.6</v>
      </c>
      <c r="H366">
        <v>0.83333330000000005</v>
      </c>
      <c r="I366">
        <v>0.1666667</v>
      </c>
      <c r="J366">
        <v>0.54545456000000003</v>
      </c>
    </row>
    <row r="367" spans="1:10" x14ac:dyDescent="0.3">
      <c r="A367">
        <v>365</v>
      </c>
      <c r="B367">
        <v>5837</v>
      </c>
      <c r="C367" t="b">
        <v>1</v>
      </c>
      <c r="D367">
        <v>8048</v>
      </c>
      <c r="E367">
        <v>8129</v>
      </c>
      <c r="F367">
        <v>8</v>
      </c>
      <c r="G367">
        <v>10</v>
      </c>
      <c r="H367">
        <v>0.8</v>
      </c>
      <c r="I367">
        <v>0.2</v>
      </c>
      <c r="J367">
        <v>0.55555560000000004</v>
      </c>
    </row>
    <row r="368" spans="1:10" x14ac:dyDescent="0.3">
      <c r="A368">
        <v>366</v>
      </c>
      <c r="B368">
        <v>5853</v>
      </c>
      <c r="C368" t="b">
        <v>1</v>
      </c>
      <c r="D368">
        <v>8054</v>
      </c>
      <c r="E368">
        <v>8123</v>
      </c>
      <c r="F368">
        <v>8</v>
      </c>
      <c r="G368">
        <v>10.4</v>
      </c>
      <c r="H368">
        <v>0.76923079999999999</v>
      </c>
      <c r="I368">
        <v>0.23076920000000001</v>
      </c>
      <c r="J368">
        <v>0.56521739999999998</v>
      </c>
    </row>
    <row r="369" spans="1:10" x14ac:dyDescent="0.3">
      <c r="A369">
        <v>367</v>
      </c>
      <c r="B369">
        <v>5868</v>
      </c>
      <c r="C369" t="b">
        <v>1</v>
      </c>
      <c r="D369">
        <v>8048</v>
      </c>
      <c r="E369">
        <v>8123</v>
      </c>
      <c r="F369">
        <v>8</v>
      </c>
      <c r="G369">
        <v>10.4</v>
      </c>
      <c r="H369">
        <v>0.76923079999999999</v>
      </c>
      <c r="I369">
        <v>0.23076920000000001</v>
      </c>
      <c r="J369">
        <v>0.56521739999999998</v>
      </c>
    </row>
    <row r="370" spans="1:10" x14ac:dyDescent="0.3">
      <c r="A370">
        <v>368</v>
      </c>
      <c r="B370">
        <v>5884</v>
      </c>
      <c r="C370" t="b">
        <v>1</v>
      </c>
      <c r="D370">
        <v>8048</v>
      </c>
      <c r="E370">
        <v>8123</v>
      </c>
      <c r="F370">
        <v>8</v>
      </c>
      <c r="G370">
        <v>10.4</v>
      </c>
      <c r="H370">
        <v>0.76923079999999999</v>
      </c>
      <c r="I370">
        <v>0.23076920000000001</v>
      </c>
      <c r="J370">
        <v>0.56521739999999998</v>
      </c>
    </row>
    <row r="371" spans="1:10" x14ac:dyDescent="0.3">
      <c r="A371">
        <v>369</v>
      </c>
      <c r="B371">
        <v>5901</v>
      </c>
      <c r="C371" t="b">
        <v>1</v>
      </c>
      <c r="D371">
        <v>8048</v>
      </c>
      <c r="E371">
        <v>8129</v>
      </c>
      <c r="F371">
        <v>8</v>
      </c>
      <c r="G371">
        <v>10.4</v>
      </c>
      <c r="H371">
        <v>0.76923079999999999</v>
      </c>
      <c r="I371">
        <v>0.23076920000000001</v>
      </c>
      <c r="J371">
        <v>0.56521739999999998</v>
      </c>
    </row>
    <row r="372" spans="1:10" x14ac:dyDescent="0.3">
      <c r="A372">
        <v>370</v>
      </c>
      <c r="B372">
        <v>5916</v>
      </c>
      <c r="C372" t="b">
        <v>1</v>
      </c>
      <c r="D372">
        <v>8048</v>
      </c>
      <c r="E372">
        <v>8123</v>
      </c>
      <c r="F372">
        <v>8</v>
      </c>
      <c r="G372">
        <v>10</v>
      </c>
      <c r="H372">
        <v>0.8</v>
      </c>
      <c r="I372">
        <v>0.2</v>
      </c>
      <c r="J372">
        <v>0.55555560000000004</v>
      </c>
    </row>
    <row r="373" spans="1:10" x14ac:dyDescent="0.3">
      <c r="A373">
        <v>371</v>
      </c>
      <c r="B373">
        <v>5932</v>
      </c>
      <c r="C373" t="b">
        <v>1</v>
      </c>
      <c r="D373">
        <v>8048</v>
      </c>
      <c r="E373">
        <v>8123</v>
      </c>
      <c r="F373">
        <v>8</v>
      </c>
      <c r="G373">
        <v>10</v>
      </c>
      <c r="H373">
        <v>0.8</v>
      </c>
      <c r="I373">
        <v>0.2</v>
      </c>
      <c r="J373">
        <v>0.55555560000000004</v>
      </c>
    </row>
    <row r="374" spans="1:10" x14ac:dyDescent="0.3">
      <c r="A374">
        <v>372</v>
      </c>
      <c r="B374">
        <v>5948</v>
      </c>
      <c r="C374" t="b">
        <v>1</v>
      </c>
      <c r="D374">
        <v>8048</v>
      </c>
      <c r="E374">
        <v>8123</v>
      </c>
      <c r="F374">
        <v>8</v>
      </c>
      <c r="G374">
        <v>10</v>
      </c>
      <c r="H374">
        <v>0.8</v>
      </c>
      <c r="I374">
        <v>0.2</v>
      </c>
      <c r="J374">
        <v>0.55555560000000004</v>
      </c>
    </row>
    <row r="375" spans="1:10" x14ac:dyDescent="0.3">
      <c r="A375">
        <v>373</v>
      </c>
      <c r="B375">
        <v>5963</v>
      </c>
      <c r="C375" t="b">
        <v>1</v>
      </c>
      <c r="D375">
        <v>8048</v>
      </c>
      <c r="E375">
        <v>8123</v>
      </c>
      <c r="F375">
        <v>8</v>
      </c>
      <c r="G375">
        <v>10</v>
      </c>
      <c r="H375">
        <v>0.8</v>
      </c>
      <c r="I375">
        <v>0.2</v>
      </c>
      <c r="J375">
        <v>0.55555560000000004</v>
      </c>
    </row>
    <row r="376" spans="1:10" x14ac:dyDescent="0.3">
      <c r="A376">
        <v>374</v>
      </c>
      <c r="B376">
        <v>5979</v>
      </c>
      <c r="C376" t="b">
        <v>1</v>
      </c>
      <c r="D376">
        <v>8048</v>
      </c>
      <c r="E376">
        <v>8123</v>
      </c>
      <c r="F376">
        <v>8</v>
      </c>
      <c r="G376">
        <v>10</v>
      </c>
      <c r="H376">
        <v>0.8</v>
      </c>
      <c r="I376">
        <v>0.2</v>
      </c>
      <c r="J376">
        <v>0.55555560000000004</v>
      </c>
    </row>
    <row r="377" spans="1:10" x14ac:dyDescent="0.3">
      <c r="A377">
        <v>375</v>
      </c>
      <c r="B377">
        <v>5995</v>
      </c>
      <c r="C377" t="b">
        <v>1</v>
      </c>
      <c r="D377">
        <v>8048</v>
      </c>
      <c r="E377">
        <v>8123</v>
      </c>
      <c r="F377">
        <v>8</v>
      </c>
      <c r="G377">
        <v>10</v>
      </c>
      <c r="H377">
        <v>0.8</v>
      </c>
      <c r="I377">
        <v>0.2</v>
      </c>
      <c r="J377">
        <v>0.55555560000000004</v>
      </c>
    </row>
    <row r="378" spans="1:10" x14ac:dyDescent="0.3">
      <c r="A378">
        <v>376</v>
      </c>
      <c r="B378">
        <v>6011</v>
      </c>
      <c r="C378" t="b">
        <v>1</v>
      </c>
      <c r="D378">
        <v>8048</v>
      </c>
      <c r="E378">
        <v>8123</v>
      </c>
      <c r="F378">
        <v>8</v>
      </c>
      <c r="G378">
        <v>10</v>
      </c>
      <c r="H378">
        <v>0.8</v>
      </c>
      <c r="I378">
        <v>0.2</v>
      </c>
      <c r="J378">
        <v>0.55555560000000004</v>
      </c>
    </row>
    <row r="379" spans="1:10" x14ac:dyDescent="0.3">
      <c r="A379">
        <v>377</v>
      </c>
      <c r="B379">
        <v>6027</v>
      </c>
      <c r="C379" t="b">
        <v>1</v>
      </c>
      <c r="D379">
        <v>8048</v>
      </c>
      <c r="E379">
        <v>8123</v>
      </c>
      <c r="F379">
        <v>8</v>
      </c>
      <c r="G379">
        <v>9.6</v>
      </c>
      <c r="H379">
        <v>0.83333330000000005</v>
      </c>
      <c r="I379">
        <v>0.1666667</v>
      </c>
      <c r="J379">
        <v>0.54545456000000003</v>
      </c>
    </row>
    <row r="380" spans="1:10" x14ac:dyDescent="0.3">
      <c r="A380">
        <v>378</v>
      </c>
      <c r="B380">
        <v>6043</v>
      </c>
      <c r="C380" t="b">
        <v>1</v>
      </c>
      <c r="D380">
        <v>8048</v>
      </c>
      <c r="E380">
        <v>8123</v>
      </c>
      <c r="F380">
        <v>8</v>
      </c>
      <c r="G380">
        <v>9.1999999999999993</v>
      </c>
      <c r="H380">
        <v>0.86956524999999996</v>
      </c>
      <c r="I380">
        <v>0.13043477000000001</v>
      </c>
      <c r="J380">
        <v>0.53488369999999996</v>
      </c>
    </row>
    <row r="381" spans="1:10" x14ac:dyDescent="0.3">
      <c r="A381">
        <v>379</v>
      </c>
      <c r="B381">
        <v>6059</v>
      </c>
      <c r="C381" t="b">
        <v>1</v>
      </c>
      <c r="D381">
        <v>8048</v>
      </c>
      <c r="E381">
        <v>8123</v>
      </c>
      <c r="F381">
        <v>8</v>
      </c>
      <c r="G381">
        <v>8.8000000000000007</v>
      </c>
      <c r="H381">
        <v>0.90909090000000004</v>
      </c>
      <c r="I381">
        <v>9.0909110000000001E-2</v>
      </c>
      <c r="J381">
        <v>0.52380954999999996</v>
      </c>
    </row>
    <row r="382" spans="1:10" x14ac:dyDescent="0.3">
      <c r="A382">
        <v>380</v>
      </c>
      <c r="B382">
        <v>6075</v>
      </c>
      <c r="C382" t="b">
        <v>1</v>
      </c>
      <c r="D382">
        <v>8048</v>
      </c>
      <c r="E382">
        <v>8123</v>
      </c>
      <c r="F382">
        <v>8</v>
      </c>
      <c r="G382">
        <v>8.4</v>
      </c>
      <c r="H382">
        <v>0.95238100000000003</v>
      </c>
      <c r="I382">
        <v>4.7619003999999999E-2</v>
      </c>
      <c r="J382">
        <v>0.51219510000000001</v>
      </c>
    </row>
    <row r="383" spans="1:10" x14ac:dyDescent="0.3">
      <c r="A383">
        <v>381</v>
      </c>
      <c r="B383">
        <v>6090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6106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6122</v>
      </c>
      <c r="C385" t="b">
        <v>1</v>
      </c>
      <c r="D385">
        <v>8048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6138</v>
      </c>
      <c r="C386" t="b">
        <v>1</v>
      </c>
      <c r="D386">
        <v>8048</v>
      </c>
      <c r="E386">
        <v>8129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6154</v>
      </c>
      <c r="C387" t="b">
        <v>1</v>
      </c>
      <c r="D387">
        <v>8054</v>
      </c>
      <c r="E387">
        <v>8129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6169</v>
      </c>
      <c r="C388" t="b">
        <v>1</v>
      </c>
      <c r="D388">
        <v>8048</v>
      </c>
      <c r="E388">
        <v>8123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6185</v>
      </c>
      <c r="C389" t="b">
        <v>1</v>
      </c>
      <c r="D389">
        <v>8048</v>
      </c>
      <c r="E389">
        <v>8129</v>
      </c>
      <c r="F389">
        <v>8</v>
      </c>
      <c r="G389">
        <v>8.4</v>
      </c>
      <c r="H389">
        <v>0.95238100000000003</v>
      </c>
      <c r="I389">
        <v>4.7619003999999999E-2</v>
      </c>
      <c r="J389">
        <v>0.51219510000000001</v>
      </c>
    </row>
    <row r="390" spans="1:10" x14ac:dyDescent="0.3">
      <c r="A390">
        <v>388</v>
      </c>
      <c r="B390">
        <v>6201</v>
      </c>
      <c r="C390" t="b">
        <v>1</v>
      </c>
      <c r="D390">
        <v>8048</v>
      </c>
      <c r="E390">
        <v>8123</v>
      </c>
      <c r="F390">
        <v>8</v>
      </c>
      <c r="G390">
        <v>8.8000000000000007</v>
      </c>
      <c r="H390">
        <v>0.90909090000000004</v>
      </c>
      <c r="I390">
        <v>9.0909110000000001E-2</v>
      </c>
      <c r="J390">
        <v>0.52380954999999996</v>
      </c>
    </row>
    <row r="391" spans="1:10" x14ac:dyDescent="0.3">
      <c r="A391">
        <v>389</v>
      </c>
      <c r="B391">
        <v>6217</v>
      </c>
      <c r="C391" t="b">
        <v>1</v>
      </c>
      <c r="D391">
        <v>8048</v>
      </c>
      <c r="E391">
        <v>8117</v>
      </c>
      <c r="F391">
        <v>8</v>
      </c>
      <c r="G391">
        <v>8.8000000000000007</v>
      </c>
      <c r="H391">
        <v>0.90909090000000004</v>
      </c>
      <c r="I391">
        <v>9.0909110000000001E-2</v>
      </c>
      <c r="J391">
        <v>0.52380954999999996</v>
      </c>
    </row>
    <row r="392" spans="1:10" x14ac:dyDescent="0.3">
      <c r="A392">
        <v>390</v>
      </c>
      <c r="B392">
        <v>6233</v>
      </c>
      <c r="C392" t="b">
        <v>1</v>
      </c>
      <c r="D392">
        <v>8048</v>
      </c>
      <c r="E392">
        <v>8129</v>
      </c>
      <c r="F392">
        <v>8</v>
      </c>
      <c r="G392">
        <v>8.8000000000000007</v>
      </c>
      <c r="H392">
        <v>0.90909090000000004</v>
      </c>
      <c r="I392">
        <v>9.0909110000000001E-2</v>
      </c>
      <c r="J392">
        <v>0.52380954999999996</v>
      </c>
    </row>
    <row r="393" spans="1:10" x14ac:dyDescent="0.3">
      <c r="A393">
        <v>391</v>
      </c>
      <c r="B393">
        <v>6249</v>
      </c>
      <c r="C393" t="b">
        <v>1</v>
      </c>
      <c r="D393">
        <v>8048</v>
      </c>
      <c r="E393">
        <v>8123</v>
      </c>
      <c r="F393">
        <v>8</v>
      </c>
      <c r="G393">
        <v>8.8000000000000007</v>
      </c>
      <c r="H393">
        <v>0.90909090000000004</v>
      </c>
      <c r="I393">
        <v>9.0909110000000001E-2</v>
      </c>
      <c r="J393">
        <v>0.52380954999999996</v>
      </c>
    </row>
    <row r="394" spans="1:10" x14ac:dyDescent="0.3">
      <c r="A394">
        <v>392</v>
      </c>
      <c r="B394">
        <v>6264</v>
      </c>
      <c r="C394" t="b">
        <v>1</v>
      </c>
      <c r="D394">
        <v>8042</v>
      </c>
      <c r="E394">
        <v>8129</v>
      </c>
      <c r="F394">
        <v>8</v>
      </c>
      <c r="G394">
        <v>8.8000000000000007</v>
      </c>
      <c r="H394">
        <v>0.90909090000000004</v>
      </c>
      <c r="I394">
        <v>9.0909110000000001E-2</v>
      </c>
      <c r="J394">
        <v>0.52380954999999996</v>
      </c>
    </row>
    <row r="395" spans="1:10" x14ac:dyDescent="0.3">
      <c r="A395">
        <v>393</v>
      </c>
      <c r="B395">
        <v>6280</v>
      </c>
      <c r="C395" t="b">
        <v>1</v>
      </c>
      <c r="D395">
        <v>8048</v>
      </c>
      <c r="E395">
        <v>8123</v>
      </c>
      <c r="F395">
        <v>8</v>
      </c>
      <c r="G395">
        <v>8.8000000000000007</v>
      </c>
      <c r="H395">
        <v>0.90909090000000004</v>
      </c>
      <c r="I395">
        <v>9.0909110000000001E-2</v>
      </c>
      <c r="J395">
        <v>0.52380954999999996</v>
      </c>
    </row>
    <row r="396" spans="1:10" x14ac:dyDescent="0.3">
      <c r="A396">
        <v>394</v>
      </c>
      <c r="B396">
        <v>6296</v>
      </c>
      <c r="C396" t="b">
        <v>1</v>
      </c>
      <c r="D396">
        <v>8048</v>
      </c>
      <c r="E396">
        <v>8123</v>
      </c>
      <c r="F396">
        <v>8</v>
      </c>
      <c r="G396">
        <v>8.8000000000000007</v>
      </c>
      <c r="H396">
        <v>0.90909090000000004</v>
      </c>
      <c r="I396">
        <v>9.0909110000000001E-2</v>
      </c>
      <c r="J396">
        <v>0.52380954999999996</v>
      </c>
    </row>
    <row r="397" spans="1:10" x14ac:dyDescent="0.3">
      <c r="A397">
        <v>395</v>
      </c>
      <c r="B397">
        <v>6312</v>
      </c>
      <c r="C397" t="b">
        <v>1</v>
      </c>
      <c r="D397">
        <v>8054</v>
      </c>
      <c r="E397">
        <v>8129</v>
      </c>
      <c r="F397">
        <v>8</v>
      </c>
      <c r="G397">
        <v>8.8000000000000007</v>
      </c>
      <c r="H397">
        <v>0.90909090000000004</v>
      </c>
      <c r="I397">
        <v>9.0909110000000001E-2</v>
      </c>
      <c r="J397">
        <v>0.52380954999999996</v>
      </c>
    </row>
    <row r="398" spans="1:10" x14ac:dyDescent="0.3">
      <c r="A398">
        <v>396</v>
      </c>
      <c r="B398">
        <v>6328</v>
      </c>
      <c r="C398" t="b">
        <v>1</v>
      </c>
      <c r="D398">
        <v>8048</v>
      </c>
      <c r="E398">
        <v>8117</v>
      </c>
      <c r="F398">
        <v>8</v>
      </c>
      <c r="G398">
        <v>8.8000000000000007</v>
      </c>
      <c r="H398">
        <v>0.90909090000000004</v>
      </c>
      <c r="I398">
        <v>9.0909110000000001E-2</v>
      </c>
      <c r="J398">
        <v>0.52380954999999996</v>
      </c>
    </row>
    <row r="399" spans="1:10" x14ac:dyDescent="0.3">
      <c r="A399">
        <v>397</v>
      </c>
      <c r="B399">
        <v>6344</v>
      </c>
      <c r="C399" t="b">
        <v>1</v>
      </c>
      <c r="D399">
        <v>8048</v>
      </c>
      <c r="E399">
        <v>8117</v>
      </c>
      <c r="F399">
        <v>8</v>
      </c>
      <c r="G399">
        <v>8.8000000000000007</v>
      </c>
      <c r="H399">
        <v>0.90909090000000004</v>
      </c>
      <c r="I399">
        <v>9.0909110000000001E-2</v>
      </c>
      <c r="J399">
        <v>0.52380954999999996</v>
      </c>
    </row>
    <row r="400" spans="1:10" x14ac:dyDescent="0.3">
      <c r="A400">
        <v>398</v>
      </c>
      <c r="B400">
        <v>6360</v>
      </c>
      <c r="C400" t="b">
        <v>1</v>
      </c>
      <c r="D400">
        <v>8048</v>
      </c>
      <c r="E400">
        <v>8117</v>
      </c>
      <c r="F400">
        <v>8</v>
      </c>
      <c r="G400">
        <v>8.4</v>
      </c>
      <c r="H400">
        <v>0.95238100000000003</v>
      </c>
      <c r="I400">
        <v>4.7619003999999999E-2</v>
      </c>
      <c r="J400">
        <v>0.51219510000000001</v>
      </c>
    </row>
    <row r="401" spans="1:10" x14ac:dyDescent="0.3">
      <c r="A401">
        <v>399</v>
      </c>
      <c r="B401">
        <v>6376</v>
      </c>
      <c r="C401" t="b">
        <v>1</v>
      </c>
      <c r="D401">
        <v>8048</v>
      </c>
      <c r="E401">
        <v>8111</v>
      </c>
      <c r="F401">
        <v>8</v>
      </c>
      <c r="G401">
        <v>8</v>
      </c>
      <c r="H401">
        <v>1</v>
      </c>
      <c r="I401">
        <v>0</v>
      </c>
      <c r="J401">
        <v>0.5</v>
      </c>
    </row>
    <row r="402" spans="1:10" x14ac:dyDescent="0.3">
      <c r="A402">
        <v>400</v>
      </c>
      <c r="B402">
        <v>6392</v>
      </c>
      <c r="C402" t="b">
        <v>1</v>
      </c>
      <c r="D402">
        <v>8048</v>
      </c>
      <c r="E402">
        <v>8117</v>
      </c>
      <c r="F402">
        <v>8</v>
      </c>
      <c r="G402">
        <v>7.6</v>
      </c>
      <c r="H402">
        <v>1.0526316</v>
      </c>
      <c r="I402">
        <v>-5.2631589999999999E-2</v>
      </c>
      <c r="J402">
        <v>0.48717946000000001</v>
      </c>
    </row>
    <row r="403" spans="1:10" x14ac:dyDescent="0.3">
      <c r="A403">
        <v>401</v>
      </c>
      <c r="B403">
        <v>6408</v>
      </c>
      <c r="C403" t="b">
        <v>1</v>
      </c>
      <c r="D403">
        <v>8048</v>
      </c>
      <c r="E403">
        <v>8117</v>
      </c>
      <c r="F403">
        <v>8</v>
      </c>
      <c r="G403">
        <v>7.2</v>
      </c>
      <c r="H403">
        <v>1.1111112000000001</v>
      </c>
      <c r="I403">
        <v>-0.11111114</v>
      </c>
      <c r="J403">
        <v>0.4736842</v>
      </c>
    </row>
    <row r="404" spans="1:10" x14ac:dyDescent="0.3">
      <c r="A404">
        <v>402</v>
      </c>
      <c r="B404">
        <v>6424</v>
      </c>
      <c r="C404" t="b">
        <v>1</v>
      </c>
      <c r="D404">
        <v>8048</v>
      </c>
      <c r="E404">
        <v>8111</v>
      </c>
      <c r="F404">
        <v>8</v>
      </c>
      <c r="G404">
        <v>6.4</v>
      </c>
      <c r="H404">
        <v>1.25</v>
      </c>
      <c r="I404">
        <v>-0.24999999000000001</v>
      </c>
      <c r="J404">
        <v>0.44444447999999998</v>
      </c>
    </row>
    <row r="405" spans="1:10" x14ac:dyDescent="0.3">
      <c r="A405">
        <v>403</v>
      </c>
      <c r="B405">
        <v>6440</v>
      </c>
      <c r="C405" t="b">
        <v>1</v>
      </c>
      <c r="D405">
        <v>8048</v>
      </c>
      <c r="E405">
        <v>8129</v>
      </c>
      <c r="F405">
        <v>8</v>
      </c>
      <c r="G405">
        <v>5.6</v>
      </c>
      <c r="H405">
        <v>1.4285715000000001</v>
      </c>
      <c r="I405">
        <v>-0.42857146000000002</v>
      </c>
      <c r="J405">
        <v>0.41176467999999999</v>
      </c>
    </row>
    <row r="406" spans="1:10" x14ac:dyDescent="0.3">
      <c r="A406">
        <v>404</v>
      </c>
      <c r="B406">
        <v>6456</v>
      </c>
      <c r="C406" t="b">
        <v>1</v>
      </c>
      <c r="D406">
        <v>8042</v>
      </c>
      <c r="E406">
        <v>8123</v>
      </c>
      <c r="F406">
        <v>8</v>
      </c>
      <c r="G406">
        <v>5.2</v>
      </c>
      <c r="H406">
        <v>1.5384616</v>
      </c>
      <c r="I406">
        <v>-0.53846156999999994</v>
      </c>
      <c r="J406">
        <v>0.39393938000000001</v>
      </c>
    </row>
    <row r="407" spans="1:10" x14ac:dyDescent="0.3">
      <c r="A407">
        <v>405</v>
      </c>
      <c r="B407">
        <v>6472</v>
      </c>
      <c r="C407" t="b">
        <v>1</v>
      </c>
      <c r="D407">
        <v>8048</v>
      </c>
      <c r="E407">
        <v>8123</v>
      </c>
      <c r="F407">
        <v>8</v>
      </c>
      <c r="G407">
        <v>5.2</v>
      </c>
      <c r="H407">
        <v>1.5384616</v>
      </c>
      <c r="I407">
        <v>-0.53846156999999994</v>
      </c>
      <c r="J407">
        <v>0.39393938000000001</v>
      </c>
    </row>
    <row r="408" spans="1:10" x14ac:dyDescent="0.3">
      <c r="A408">
        <v>406</v>
      </c>
      <c r="B408">
        <v>6487</v>
      </c>
      <c r="C408" t="b">
        <v>1</v>
      </c>
      <c r="D408">
        <v>8048</v>
      </c>
      <c r="E408">
        <v>8123</v>
      </c>
      <c r="F408">
        <v>8</v>
      </c>
      <c r="G408">
        <v>5.2</v>
      </c>
      <c r="H408">
        <v>1.5384616</v>
      </c>
      <c r="I408">
        <v>-0.53846156999999994</v>
      </c>
      <c r="J408">
        <v>0.39393938000000001</v>
      </c>
    </row>
    <row r="409" spans="1:10" x14ac:dyDescent="0.3">
      <c r="A409">
        <v>407</v>
      </c>
      <c r="B409">
        <v>6503</v>
      </c>
      <c r="C409" t="b">
        <v>1</v>
      </c>
      <c r="D409">
        <v>8048</v>
      </c>
      <c r="E409">
        <v>8123</v>
      </c>
      <c r="F409">
        <v>8</v>
      </c>
      <c r="G409">
        <v>5.2</v>
      </c>
      <c r="H409">
        <v>1.5384616</v>
      </c>
      <c r="I409">
        <v>-0.53846156999999994</v>
      </c>
      <c r="J409">
        <v>0.39393938000000001</v>
      </c>
    </row>
    <row r="410" spans="1:10" x14ac:dyDescent="0.3">
      <c r="A410">
        <v>408</v>
      </c>
      <c r="B410">
        <v>6519</v>
      </c>
      <c r="C410" t="b">
        <v>1</v>
      </c>
      <c r="D410">
        <v>8048</v>
      </c>
      <c r="E410">
        <v>8123</v>
      </c>
      <c r="F410">
        <v>8</v>
      </c>
      <c r="G410">
        <v>5.2</v>
      </c>
      <c r="H410">
        <v>1.5384616</v>
      </c>
      <c r="I410">
        <v>-0.53846156999999994</v>
      </c>
      <c r="J410">
        <v>0.39393938000000001</v>
      </c>
    </row>
    <row r="411" spans="1:10" x14ac:dyDescent="0.3">
      <c r="A411">
        <v>409</v>
      </c>
      <c r="B411">
        <v>6535</v>
      </c>
      <c r="C411" t="b">
        <v>1</v>
      </c>
      <c r="D411">
        <v>8048</v>
      </c>
      <c r="E411">
        <v>8123</v>
      </c>
      <c r="F411">
        <v>8</v>
      </c>
      <c r="G411">
        <v>5.2</v>
      </c>
      <c r="H411">
        <v>1.5384616</v>
      </c>
      <c r="I411">
        <v>-0.53846156999999994</v>
      </c>
      <c r="J411">
        <v>0.39393938000000001</v>
      </c>
    </row>
    <row r="412" spans="1:10" x14ac:dyDescent="0.3">
      <c r="A412">
        <v>410</v>
      </c>
      <c r="B412">
        <v>6551</v>
      </c>
      <c r="C412" t="b">
        <v>1</v>
      </c>
      <c r="D412">
        <v>8048</v>
      </c>
      <c r="E412">
        <v>8123</v>
      </c>
      <c r="F412">
        <v>8</v>
      </c>
      <c r="G412">
        <v>5.2</v>
      </c>
      <c r="H412">
        <v>1.5384616</v>
      </c>
      <c r="I412">
        <v>-0.53846156999999994</v>
      </c>
      <c r="J412">
        <v>0.39393938000000001</v>
      </c>
    </row>
    <row r="413" spans="1:10" x14ac:dyDescent="0.3">
      <c r="A413">
        <v>411</v>
      </c>
      <c r="B413">
        <v>6566</v>
      </c>
      <c r="C413" t="b">
        <v>1</v>
      </c>
      <c r="D413">
        <v>8048</v>
      </c>
      <c r="E413">
        <v>8123</v>
      </c>
      <c r="F413">
        <v>8</v>
      </c>
      <c r="G413">
        <v>5.2</v>
      </c>
      <c r="H413">
        <v>1.5384616</v>
      </c>
      <c r="I413">
        <v>-0.53846156999999994</v>
      </c>
      <c r="J413">
        <v>0.39393938000000001</v>
      </c>
    </row>
    <row r="414" spans="1:10" x14ac:dyDescent="0.3">
      <c r="A414">
        <v>412</v>
      </c>
      <c r="B414">
        <v>6582</v>
      </c>
      <c r="C414" t="b">
        <v>1</v>
      </c>
      <c r="D414">
        <v>8048</v>
      </c>
      <c r="E414">
        <v>8123</v>
      </c>
      <c r="F414">
        <v>8</v>
      </c>
      <c r="G414">
        <v>5.2</v>
      </c>
      <c r="H414">
        <v>1.5384616</v>
      </c>
      <c r="I414">
        <v>-0.53846156999999994</v>
      </c>
      <c r="J414">
        <v>0.39393938000000001</v>
      </c>
    </row>
    <row r="415" spans="1:10" x14ac:dyDescent="0.3">
      <c r="A415">
        <v>413</v>
      </c>
      <c r="B415">
        <v>6598</v>
      </c>
      <c r="C415" t="b">
        <v>1</v>
      </c>
      <c r="D415">
        <v>8048</v>
      </c>
      <c r="E415">
        <v>8123</v>
      </c>
      <c r="F415">
        <v>8</v>
      </c>
      <c r="G415">
        <v>5.6</v>
      </c>
      <c r="H415">
        <v>1.4285715000000001</v>
      </c>
      <c r="I415">
        <v>-0.42857146000000002</v>
      </c>
      <c r="J415">
        <v>0.41176467999999999</v>
      </c>
    </row>
    <row r="416" spans="1:10" x14ac:dyDescent="0.3">
      <c r="A416">
        <v>414</v>
      </c>
      <c r="B416">
        <v>6614</v>
      </c>
      <c r="C416" t="b">
        <v>1</v>
      </c>
      <c r="D416">
        <v>8048</v>
      </c>
      <c r="E416">
        <v>8123</v>
      </c>
      <c r="F416">
        <v>8</v>
      </c>
      <c r="G416">
        <v>6</v>
      </c>
      <c r="H416">
        <v>1.3333333999999999</v>
      </c>
      <c r="I416">
        <v>-0.33333333999999998</v>
      </c>
      <c r="J416">
        <v>0.42857142999999998</v>
      </c>
    </row>
    <row r="417" spans="1:10" x14ac:dyDescent="0.3">
      <c r="A417">
        <v>415</v>
      </c>
      <c r="B417">
        <v>6629</v>
      </c>
      <c r="C417" t="b">
        <v>1</v>
      </c>
      <c r="D417">
        <v>8048</v>
      </c>
      <c r="E417">
        <v>8123</v>
      </c>
      <c r="F417">
        <v>8</v>
      </c>
      <c r="G417">
        <v>6.4</v>
      </c>
      <c r="H417">
        <v>1.25</v>
      </c>
      <c r="I417">
        <v>-0.24999999000000001</v>
      </c>
      <c r="J417">
        <v>0.44444447999999998</v>
      </c>
    </row>
    <row r="418" spans="1:10" x14ac:dyDescent="0.3">
      <c r="A418">
        <v>416</v>
      </c>
      <c r="B418">
        <v>6646</v>
      </c>
      <c r="C418" t="b">
        <v>1</v>
      </c>
      <c r="D418">
        <v>8048</v>
      </c>
      <c r="E418">
        <v>8123</v>
      </c>
      <c r="F418">
        <v>8</v>
      </c>
      <c r="G418">
        <v>6.8</v>
      </c>
      <c r="H418">
        <v>1.1764705</v>
      </c>
      <c r="I418">
        <v>-0.17647055</v>
      </c>
      <c r="J418">
        <v>0.45945944999999999</v>
      </c>
    </row>
    <row r="419" spans="1:10" x14ac:dyDescent="0.3">
      <c r="A419">
        <v>417</v>
      </c>
      <c r="B419">
        <v>6661</v>
      </c>
      <c r="C419" t="b">
        <v>1</v>
      </c>
      <c r="D419">
        <v>8048</v>
      </c>
      <c r="E419">
        <v>8134</v>
      </c>
      <c r="F419">
        <v>8</v>
      </c>
      <c r="G419">
        <v>7.2</v>
      </c>
      <c r="H419">
        <v>1.1111112000000001</v>
      </c>
      <c r="I419">
        <v>-0.11111114</v>
      </c>
      <c r="J419">
        <v>0.4736842</v>
      </c>
    </row>
    <row r="420" spans="1:10" x14ac:dyDescent="0.3">
      <c r="A420">
        <v>418</v>
      </c>
      <c r="B420">
        <v>6677</v>
      </c>
      <c r="C420" t="b">
        <v>1</v>
      </c>
      <c r="D420">
        <v>8048</v>
      </c>
      <c r="E420">
        <v>8123</v>
      </c>
      <c r="F420">
        <v>8</v>
      </c>
      <c r="G420">
        <v>7.6</v>
      </c>
      <c r="H420">
        <v>1.0526316</v>
      </c>
      <c r="I420">
        <v>-5.2631589999999999E-2</v>
      </c>
      <c r="J420">
        <v>0.48717946000000001</v>
      </c>
    </row>
    <row r="421" spans="1:10" x14ac:dyDescent="0.3">
      <c r="A421">
        <v>419</v>
      </c>
      <c r="B421">
        <v>6693</v>
      </c>
      <c r="C421" t="b">
        <v>1</v>
      </c>
      <c r="D421">
        <v>8048</v>
      </c>
      <c r="E421">
        <v>8123</v>
      </c>
      <c r="F421">
        <v>8</v>
      </c>
      <c r="G421">
        <v>8</v>
      </c>
      <c r="H421">
        <v>1</v>
      </c>
      <c r="I421">
        <v>0</v>
      </c>
      <c r="J421">
        <v>0.5</v>
      </c>
    </row>
    <row r="422" spans="1:10" x14ac:dyDescent="0.3">
      <c r="A422">
        <v>420</v>
      </c>
      <c r="B422">
        <v>6709</v>
      </c>
      <c r="C422" t="b">
        <v>1</v>
      </c>
      <c r="D422">
        <v>8048</v>
      </c>
      <c r="E422">
        <v>8134</v>
      </c>
      <c r="F422">
        <v>8</v>
      </c>
      <c r="G422">
        <v>8</v>
      </c>
      <c r="H422">
        <v>1</v>
      </c>
      <c r="I422">
        <v>0</v>
      </c>
      <c r="J422">
        <v>0.5</v>
      </c>
    </row>
    <row r="423" spans="1:10" x14ac:dyDescent="0.3">
      <c r="A423">
        <v>421</v>
      </c>
      <c r="B423">
        <v>6725</v>
      </c>
      <c r="C423" t="b">
        <v>1</v>
      </c>
      <c r="D423">
        <v>8048</v>
      </c>
      <c r="E423">
        <v>8123</v>
      </c>
      <c r="F423">
        <v>8</v>
      </c>
      <c r="G423">
        <v>8</v>
      </c>
      <c r="H423">
        <v>1</v>
      </c>
      <c r="I423">
        <v>0</v>
      </c>
      <c r="J423">
        <v>0.5</v>
      </c>
    </row>
    <row r="424" spans="1:10" x14ac:dyDescent="0.3">
      <c r="A424">
        <v>422</v>
      </c>
      <c r="B424">
        <v>6741</v>
      </c>
      <c r="C424" t="b">
        <v>1</v>
      </c>
      <c r="D424">
        <v>8048</v>
      </c>
      <c r="E424">
        <v>8117</v>
      </c>
      <c r="F424">
        <v>8</v>
      </c>
      <c r="G424">
        <v>8</v>
      </c>
      <c r="H424">
        <v>1</v>
      </c>
      <c r="I424">
        <v>0</v>
      </c>
      <c r="J424">
        <v>0.5</v>
      </c>
    </row>
    <row r="425" spans="1:10" x14ac:dyDescent="0.3">
      <c r="A425">
        <v>423</v>
      </c>
      <c r="B425">
        <v>6757</v>
      </c>
      <c r="C425" t="b">
        <v>1</v>
      </c>
      <c r="D425">
        <v>8048</v>
      </c>
      <c r="E425">
        <v>8117</v>
      </c>
      <c r="F425">
        <v>8</v>
      </c>
      <c r="G425">
        <v>8</v>
      </c>
      <c r="H425">
        <v>1</v>
      </c>
      <c r="I425">
        <v>0</v>
      </c>
      <c r="J425">
        <v>0.5</v>
      </c>
    </row>
    <row r="426" spans="1:10" x14ac:dyDescent="0.3">
      <c r="A426">
        <v>424</v>
      </c>
      <c r="B426">
        <v>6773</v>
      </c>
      <c r="C426" t="b">
        <v>1</v>
      </c>
      <c r="D426">
        <v>8048</v>
      </c>
      <c r="E426">
        <v>8123</v>
      </c>
      <c r="F426">
        <v>8</v>
      </c>
      <c r="G426">
        <v>8</v>
      </c>
      <c r="H426">
        <v>1</v>
      </c>
      <c r="I426">
        <v>0</v>
      </c>
      <c r="J426">
        <v>0.5</v>
      </c>
    </row>
    <row r="427" spans="1:10" x14ac:dyDescent="0.3">
      <c r="A427">
        <v>425</v>
      </c>
      <c r="B427">
        <v>6789</v>
      </c>
      <c r="C427" t="b">
        <v>1</v>
      </c>
      <c r="D427">
        <v>8048</v>
      </c>
      <c r="E427">
        <v>8117</v>
      </c>
      <c r="F427">
        <v>8</v>
      </c>
      <c r="G427">
        <v>7.6</v>
      </c>
      <c r="H427">
        <v>1.0526316</v>
      </c>
      <c r="I427">
        <v>-5.2631589999999999E-2</v>
      </c>
      <c r="J427">
        <v>0.48717946000000001</v>
      </c>
    </row>
    <row r="428" spans="1:10" x14ac:dyDescent="0.3">
      <c r="A428">
        <v>426</v>
      </c>
      <c r="B428">
        <v>6805</v>
      </c>
      <c r="C428" t="b">
        <v>1</v>
      </c>
      <c r="D428">
        <v>8048</v>
      </c>
      <c r="E428">
        <v>8117</v>
      </c>
      <c r="F428">
        <v>8</v>
      </c>
      <c r="G428">
        <v>7.2</v>
      </c>
      <c r="H428">
        <v>1.1111112000000001</v>
      </c>
      <c r="I428">
        <v>-0.11111114</v>
      </c>
      <c r="J428">
        <v>0.4736842</v>
      </c>
    </row>
    <row r="429" spans="1:10" x14ac:dyDescent="0.3">
      <c r="A429">
        <v>427</v>
      </c>
      <c r="B429">
        <v>6821</v>
      </c>
      <c r="C429" t="b">
        <v>1</v>
      </c>
      <c r="D429">
        <v>8042</v>
      </c>
      <c r="E429">
        <v>8123</v>
      </c>
      <c r="F429">
        <v>8</v>
      </c>
      <c r="G429">
        <v>6.8</v>
      </c>
      <c r="H429">
        <v>1.1764705</v>
      </c>
      <c r="I429">
        <v>-0.17647055</v>
      </c>
      <c r="J429">
        <v>0.45945944999999999</v>
      </c>
    </row>
    <row r="430" spans="1:10" x14ac:dyDescent="0.3">
      <c r="A430">
        <v>428</v>
      </c>
      <c r="B430">
        <v>6837</v>
      </c>
      <c r="C430" t="b">
        <v>1</v>
      </c>
      <c r="D430">
        <v>8042</v>
      </c>
      <c r="E430">
        <v>8123</v>
      </c>
      <c r="F430">
        <v>8</v>
      </c>
      <c r="G430">
        <v>6.8</v>
      </c>
      <c r="H430">
        <v>1.1764705</v>
      </c>
      <c r="I430">
        <v>-0.17647055</v>
      </c>
      <c r="J430">
        <v>0.45945944999999999</v>
      </c>
    </row>
    <row r="431" spans="1:10" x14ac:dyDescent="0.3">
      <c r="A431">
        <v>429</v>
      </c>
      <c r="B431">
        <v>6853</v>
      </c>
      <c r="C431" t="b">
        <v>1</v>
      </c>
      <c r="D431">
        <v>8042</v>
      </c>
      <c r="E431">
        <v>8123</v>
      </c>
      <c r="F431">
        <v>7.6</v>
      </c>
      <c r="G431">
        <v>6.8</v>
      </c>
      <c r="H431">
        <v>1.1176470000000001</v>
      </c>
      <c r="I431">
        <v>-0.11764701499999999</v>
      </c>
      <c r="J431">
        <v>0.47222224000000002</v>
      </c>
    </row>
    <row r="432" spans="1:10" x14ac:dyDescent="0.3">
      <c r="A432">
        <v>430</v>
      </c>
      <c r="B432">
        <v>6868</v>
      </c>
      <c r="C432" t="b">
        <v>1</v>
      </c>
      <c r="D432">
        <v>8042</v>
      </c>
      <c r="E432">
        <v>8123</v>
      </c>
      <c r="F432">
        <v>7.2</v>
      </c>
      <c r="G432">
        <v>6.8</v>
      </c>
      <c r="H432">
        <v>1.0588234999999999</v>
      </c>
      <c r="I432">
        <v>-5.8823470000000003E-2</v>
      </c>
      <c r="J432">
        <v>0.48571429999999999</v>
      </c>
    </row>
    <row r="433" spans="1:10" x14ac:dyDescent="0.3">
      <c r="A433">
        <v>431</v>
      </c>
      <c r="B433">
        <v>6884</v>
      </c>
      <c r="C433" t="b">
        <v>1</v>
      </c>
      <c r="D433">
        <v>8042</v>
      </c>
      <c r="E433">
        <v>8123</v>
      </c>
      <c r="F433">
        <v>6.8</v>
      </c>
      <c r="G433">
        <v>6.8</v>
      </c>
      <c r="H433">
        <v>1</v>
      </c>
      <c r="I433">
        <v>0</v>
      </c>
      <c r="J433">
        <v>0.5</v>
      </c>
    </row>
    <row r="434" spans="1:10" x14ac:dyDescent="0.3">
      <c r="A434">
        <v>432</v>
      </c>
      <c r="B434">
        <v>6900</v>
      </c>
      <c r="C434" t="b">
        <v>1</v>
      </c>
      <c r="D434">
        <v>8042</v>
      </c>
      <c r="E434">
        <v>8123</v>
      </c>
      <c r="F434">
        <v>6.4</v>
      </c>
      <c r="G434">
        <v>6.8</v>
      </c>
      <c r="H434">
        <v>0.94117649999999997</v>
      </c>
      <c r="I434">
        <v>5.8823540000000001E-2</v>
      </c>
      <c r="J434">
        <v>0.51515149999999998</v>
      </c>
    </row>
    <row r="435" spans="1:10" x14ac:dyDescent="0.3">
      <c r="A435">
        <v>433</v>
      </c>
      <c r="B435">
        <v>6916</v>
      </c>
      <c r="C435" t="b">
        <v>1</v>
      </c>
      <c r="D435">
        <v>8042</v>
      </c>
      <c r="E435">
        <v>8123</v>
      </c>
      <c r="F435">
        <v>6</v>
      </c>
      <c r="G435">
        <v>6.8</v>
      </c>
      <c r="H435">
        <v>0.8823529</v>
      </c>
      <c r="I435">
        <v>0.11764708</v>
      </c>
      <c r="J435">
        <v>0.53125</v>
      </c>
    </row>
    <row r="436" spans="1:10" x14ac:dyDescent="0.3">
      <c r="A436">
        <v>434</v>
      </c>
      <c r="B436">
        <v>6932</v>
      </c>
      <c r="C436" t="b">
        <v>1</v>
      </c>
      <c r="D436">
        <v>8037</v>
      </c>
      <c r="E436">
        <v>8123</v>
      </c>
      <c r="F436">
        <v>5.6</v>
      </c>
      <c r="G436">
        <v>6.8</v>
      </c>
      <c r="H436">
        <v>0.82352935999999999</v>
      </c>
      <c r="I436">
        <v>0.17647061999999999</v>
      </c>
      <c r="J436">
        <v>0.54838710000000002</v>
      </c>
    </row>
    <row r="437" spans="1:10" x14ac:dyDescent="0.3">
      <c r="A437">
        <v>435</v>
      </c>
      <c r="B437">
        <v>6948</v>
      </c>
      <c r="C437" t="b">
        <v>1</v>
      </c>
      <c r="D437">
        <v>8042</v>
      </c>
      <c r="E437">
        <v>8123</v>
      </c>
      <c r="F437">
        <v>5.2</v>
      </c>
      <c r="G437">
        <v>6.8</v>
      </c>
      <c r="H437">
        <v>0.76470583999999997</v>
      </c>
      <c r="I437">
        <v>0.23529416</v>
      </c>
      <c r="J437">
        <v>0.56666665999999999</v>
      </c>
    </row>
    <row r="438" spans="1:10" x14ac:dyDescent="0.3">
      <c r="A438">
        <v>436</v>
      </c>
      <c r="B438">
        <v>6963</v>
      </c>
      <c r="C438" t="b">
        <v>1</v>
      </c>
      <c r="D438">
        <v>8048</v>
      </c>
      <c r="E438">
        <v>8134</v>
      </c>
      <c r="F438">
        <v>4.8</v>
      </c>
      <c r="G438">
        <v>6.8</v>
      </c>
      <c r="H438">
        <v>0.70588240000000002</v>
      </c>
      <c r="I438">
        <v>0.29411763000000002</v>
      </c>
      <c r="J438">
        <v>0.58620689999999998</v>
      </c>
    </row>
    <row r="439" spans="1:10" x14ac:dyDescent="0.3">
      <c r="A439">
        <v>437</v>
      </c>
      <c r="B439">
        <v>6979</v>
      </c>
      <c r="C439" t="b">
        <v>1</v>
      </c>
      <c r="D439">
        <v>8048</v>
      </c>
      <c r="E439">
        <v>8123</v>
      </c>
      <c r="F439">
        <v>4.4000000000000004</v>
      </c>
      <c r="G439">
        <v>6.8</v>
      </c>
      <c r="H439">
        <v>0.64705884000000002</v>
      </c>
      <c r="I439">
        <v>0.35294120000000001</v>
      </c>
      <c r="J439">
        <v>0.60714279999999998</v>
      </c>
    </row>
    <row r="440" spans="1:10" x14ac:dyDescent="0.3">
      <c r="A440">
        <v>438</v>
      </c>
      <c r="B440">
        <v>6995</v>
      </c>
      <c r="C440" t="b">
        <v>1</v>
      </c>
      <c r="D440">
        <v>8048</v>
      </c>
      <c r="E440">
        <v>8123</v>
      </c>
      <c r="F440">
        <v>4.4000000000000004</v>
      </c>
      <c r="G440">
        <v>6.8</v>
      </c>
      <c r="H440">
        <v>0.64705884000000002</v>
      </c>
      <c r="I440">
        <v>0.35294120000000001</v>
      </c>
      <c r="J440">
        <v>0.60714279999999998</v>
      </c>
    </row>
    <row r="441" spans="1:10" x14ac:dyDescent="0.3">
      <c r="A441">
        <v>439</v>
      </c>
      <c r="B441">
        <v>7011</v>
      </c>
      <c r="C441" t="b">
        <v>1</v>
      </c>
      <c r="D441">
        <v>8048</v>
      </c>
      <c r="E441">
        <v>8123</v>
      </c>
      <c r="F441">
        <v>4.4000000000000004</v>
      </c>
      <c r="G441">
        <v>6.8</v>
      </c>
      <c r="H441">
        <v>0.64705884000000002</v>
      </c>
      <c r="I441">
        <v>0.35294120000000001</v>
      </c>
      <c r="J441">
        <v>0.60714279999999998</v>
      </c>
    </row>
    <row r="442" spans="1:10" x14ac:dyDescent="0.3">
      <c r="A442">
        <v>440</v>
      </c>
      <c r="B442">
        <v>7026</v>
      </c>
      <c r="C442" t="b">
        <v>1</v>
      </c>
      <c r="D442">
        <v>8048</v>
      </c>
      <c r="E442">
        <v>8123</v>
      </c>
      <c r="F442">
        <v>4.4000000000000004</v>
      </c>
      <c r="G442">
        <v>7.2</v>
      </c>
      <c r="H442">
        <v>0.61111115999999999</v>
      </c>
      <c r="I442">
        <v>0.38888887</v>
      </c>
      <c r="J442">
        <v>0.62068962999999999</v>
      </c>
    </row>
    <row r="443" spans="1:10" x14ac:dyDescent="0.3">
      <c r="A443">
        <v>441</v>
      </c>
      <c r="B443">
        <v>7042</v>
      </c>
      <c r="C443" t="b">
        <v>1</v>
      </c>
      <c r="D443">
        <v>8048</v>
      </c>
      <c r="E443">
        <v>8123</v>
      </c>
      <c r="F443">
        <v>4.4000000000000004</v>
      </c>
      <c r="G443">
        <v>7.6</v>
      </c>
      <c r="H443">
        <v>0.57894736999999996</v>
      </c>
      <c r="I443">
        <v>0.4210526</v>
      </c>
      <c r="J443">
        <v>0.63333329999999999</v>
      </c>
    </row>
    <row r="444" spans="1:10" x14ac:dyDescent="0.3">
      <c r="A444">
        <v>442</v>
      </c>
      <c r="B444">
        <v>7058</v>
      </c>
      <c r="C444" t="b">
        <v>1</v>
      </c>
      <c r="D444">
        <v>8048</v>
      </c>
      <c r="E444">
        <v>8123</v>
      </c>
      <c r="F444">
        <v>4.4000000000000004</v>
      </c>
      <c r="G444">
        <v>8</v>
      </c>
      <c r="H444">
        <v>0.55000000000000004</v>
      </c>
      <c r="I444">
        <v>0.45</v>
      </c>
      <c r="J444">
        <v>0.64516132999999998</v>
      </c>
    </row>
    <row r="445" spans="1:10" x14ac:dyDescent="0.3">
      <c r="A445">
        <v>443</v>
      </c>
      <c r="B445">
        <v>7074</v>
      </c>
      <c r="C445" t="b">
        <v>1</v>
      </c>
      <c r="D445">
        <v>8048</v>
      </c>
      <c r="E445">
        <v>8129</v>
      </c>
      <c r="F445">
        <v>4.4000000000000004</v>
      </c>
      <c r="G445">
        <v>8</v>
      </c>
      <c r="H445">
        <v>0.55000000000000004</v>
      </c>
      <c r="I445">
        <v>0.45</v>
      </c>
      <c r="J445">
        <v>0.64516132999999998</v>
      </c>
    </row>
    <row r="446" spans="1:10" x14ac:dyDescent="0.3">
      <c r="A446">
        <v>444</v>
      </c>
      <c r="B446">
        <v>7090</v>
      </c>
      <c r="C446" t="b">
        <v>1</v>
      </c>
      <c r="D446">
        <v>8048</v>
      </c>
      <c r="E446">
        <v>8123</v>
      </c>
      <c r="F446">
        <v>4.8</v>
      </c>
      <c r="G446">
        <v>8</v>
      </c>
      <c r="H446">
        <v>0.6</v>
      </c>
      <c r="I446">
        <v>0.39999997999999998</v>
      </c>
      <c r="J446">
        <v>0.625</v>
      </c>
    </row>
    <row r="447" spans="1:10" x14ac:dyDescent="0.3">
      <c r="A447">
        <v>445</v>
      </c>
      <c r="B447">
        <v>7106</v>
      </c>
      <c r="C447" t="b">
        <v>1</v>
      </c>
      <c r="D447">
        <v>8048</v>
      </c>
      <c r="E447">
        <v>8129</v>
      </c>
      <c r="F447">
        <v>5.2</v>
      </c>
      <c r="G447">
        <v>8</v>
      </c>
      <c r="H447">
        <v>0.65</v>
      </c>
      <c r="I447">
        <v>0.35000002000000002</v>
      </c>
      <c r="J447">
        <v>0.60606059999999995</v>
      </c>
    </row>
    <row r="448" spans="1:10" x14ac:dyDescent="0.3">
      <c r="A448">
        <v>446</v>
      </c>
      <c r="B448">
        <v>7121</v>
      </c>
      <c r="C448" t="b">
        <v>1</v>
      </c>
      <c r="D448">
        <v>8048</v>
      </c>
      <c r="E448">
        <v>8123</v>
      </c>
      <c r="F448">
        <v>5.6</v>
      </c>
      <c r="G448">
        <v>8</v>
      </c>
      <c r="H448">
        <v>0.7</v>
      </c>
      <c r="I448">
        <v>0.3</v>
      </c>
      <c r="J448">
        <v>0.58823526000000004</v>
      </c>
    </row>
    <row r="449" spans="1:10" x14ac:dyDescent="0.3">
      <c r="A449">
        <v>447</v>
      </c>
      <c r="B449">
        <v>7138</v>
      </c>
      <c r="C449" t="b">
        <v>1</v>
      </c>
      <c r="D449">
        <v>8048</v>
      </c>
      <c r="E449">
        <v>8134</v>
      </c>
      <c r="F449">
        <v>6</v>
      </c>
      <c r="G449">
        <v>8.4</v>
      </c>
      <c r="H449">
        <v>0.71428572999999995</v>
      </c>
      <c r="I449">
        <v>0.28571424000000001</v>
      </c>
      <c r="J449">
        <v>0.58333330000000005</v>
      </c>
    </row>
    <row r="450" spans="1:10" x14ac:dyDescent="0.3">
      <c r="A450">
        <v>448</v>
      </c>
      <c r="B450">
        <v>7154</v>
      </c>
      <c r="C450" t="b">
        <v>1</v>
      </c>
      <c r="D450">
        <v>8048</v>
      </c>
      <c r="E450">
        <v>8123</v>
      </c>
      <c r="F450">
        <v>6.4</v>
      </c>
      <c r="G450">
        <v>8.4</v>
      </c>
      <c r="H450">
        <v>0.76190484000000003</v>
      </c>
      <c r="I450">
        <v>0.23809520000000001</v>
      </c>
      <c r="J450">
        <v>0.56756759999999995</v>
      </c>
    </row>
    <row r="451" spans="1:10" x14ac:dyDescent="0.3">
      <c r="A451">
        <v>449</v>
      </c>
      <c r="B451">
        <v>7170</v>
      </c>
      <c r="C451" t="b">
        <v>1</v>
      </c>
      <c r="D451">
        <v>8042</v>
      </c>
      <c r="E451">
        <v>8123</v>
      </c>
      <c r="F451">
        <v>6.8</v>
      </c>
      <c r="G451">
        <v>8.4</v>
      </c>
      <c r="H451">
        <v>0.80952389999999996</v>
      </c>
      <c r="I451">
        <v>0.19047612999999999</v>
      </c>
      <c r="J451">
        <v>0.55263156000000002</v>
      </c>
    </row>
    <row r="452" spans="1:10" x14ac:dyDescent="0.3">
      <c r="A452">
        <v>450</v>
      </c>
      <c r="B452">
        <v>7186</v>
      </c>
      <c r="C452" t="b">
        <v>1</v>
      </c>
      <c r="D452">
        <v>8042</v>
      </c>
      <c r="E452">
        <v>8129</v>
      </c>
      <c r="F452">
        <v>7.2</v>
      </c>
      <c r="G452">
        <v>8.4</v>
      </c>
      <c r="H452">
        <v>0.85714287</v>
      </c>
      <c r="I452">
        <v>0.14285712</v>
      </c>
      <c r="J452">
        <v>0.53846150000000004</v>
      </c>
    </row>
    <row r="453" spans="1:10" x14ac:dyDescent="0.3">
      <c r="A453">
        <v>451</v>
      </c>
      <c r="B453">
        <v>7202</v>
      </c>
      <c r="C453" t="b">
        <v>1</v>
      </c>
      <c r="D453">
        <v>8048</v>
      </c>
      <c r="E453">
        <v>8134</v>
      </c>
      <c r="F453">
        <v>7.6</v>
      </c>
      <c r="G453">
        <v>8.8000000000000007</v>
      </c>
      <c r="H453">
        <v>0.86363630000000002</v>
      </c>
      <c r="I453">
        <v>0.13636366999999999</v>
      </c>
      <c r="J453">
        <v>0.53658539999999999</v>
      </c>
    </row>
    <row r="454" spans="1:10" x14ac:dyDescent="0.3">
      <c r="A454">
        <v>452</v>
      </c>
      <c r="B454">
        <v>7217</v>
      </c>
      <c r="C454" t="b">
        <v>1</v>
      </c>
      <c r="D454">
        <v>8042</v>
      </c>
      <c r="E454">
        <v>8123</v>
      </c>
      <c r="F454">
        <v>7.6</v>
      </c>
      <c r="G454">
        <v>8.8000000000000007</v>
      </c>
      <c r="H454">
        <v>0.86363630000000002</v>
      </c>
      <c r="I454">
        <v>0.13636366999999999</v>
      </c>
      <c r="J454">
        <v>0.53658539999999999</v>
      </c>
    </row>
    <row r="455" spans="1:10" x14ac:dyDescent="0.3">
      <c r="A455">
        <v>453</v>
      </c>
      <c r="B455">
        <v>7232</v>
      </c>
      <c r="C455" t="b">
        <v>1</v>
      </c>
      <c r="D455">
        <v>8042</v>
      </c>
      <c r="E455">
        <v>8123</v>
      </c>
      <c r="F455">
        <v>7.2</v>
      </c>
      <c r="G455">
        <v>8.8000000000000007</v>
      </c>
      <c r="H455">
        <v>0.81818175000000004</v>
      </c>
      <c r="I455">
        <v>0.18181822</v>
      </c>
      <c r="J455">
        <v>0.55000000000000004</v>
      </c>
    </row>
    <row r="456" spans="1:10" x14ac:dyDescent="0.3">
      <c r="A456">
        <v>454</v>
      </c>
      <c r="B456">
        <v>7249</v>
      </c>
      <c r="C456" t="b">
        <v>1</v>
      </c>
      <c r="D456">
        <v>8042</v>
      </c>
      <c r="E456">
        <v>8123</v>
      </c>
      <c r="F456">
        <v>6.8</v>
      </c>
      <c r="G456">
        <v>8.8000000000000007</v>
      </c>
      <c r="H456">
        <v>0.77272724999999998</v>
      </c>
      <c r="I456">
        <v>0.22727272000000001</v>
      </c>
      <c r="J456">
        <v>0.56410260000000001</v>
      </c>
    </row>
    <row r="457" spans="1:10" x14ac:dyDescent="0.3">
      <c r="A457">
        <v>455</v>
      </c>
      <c r="B457">
        <v>7265</v>
      </c>
      <c r="C457" t="b">
        <v>1</v>
      </c>
      <c r="D457">
        <v>8048</v>
      </c>
      <c r="E457">
        <v>8123</v>
      </c>
      <c r="F457">
        <v>6.4</v>
      </c>
      <c r="G457">
        <v>8.8000000000000007</v>
      </c>
      <c r="H457">
        <v>0.72727275000000002</v>
      </c>
      <c r="I457">
        <v>0.27272728000000002</v>
      </c>
      <c r="J457">
        <v>0.57894736999999996</v>
      </c>
    </row>
    <row r="458" spans="1:10" x14ac:dyDescent="0.3">
      <c r="A458">
        <v>456</v>
      </c>
      <c r="B458">
        <v>7280</v>
      </c>
      <c r="C458" t="b">
        <v>1</v>
      </c>
      <c r="D458">
        <v>8042</v>
      </c>
      <c r="E458">
        <v>8123</v>
      </c>
      <c r="F458">
        <v>6</v>
      </c>
      <c r="G458">
        <v>8.8000000000000007</v>
      </c>
      <c r="H458">
        <v>0.68181820000000004</v>
      </c>
      <c r="I458">
        <v>0.31818183999999999</v>
      </c>
      <c r="J458">
        <v>0.59459459999999997</v>
      </c>
    </row>
    <row r="459" spans="1:10" x14ac:dyDescent="0.3">
      <c r="A459">
        <v>457</v>
      </c>
      <c r="B459">
        <v>7296</v>
      </c>
      <c r="C459" t="b">
        <v>1</v>
      </c>
      <c r="D459">
        <v>8048</v>
      </c>
      <c r="E459">
        <v>8123</v>
      </c>
      <c r="F459">
        <v>5.6</v>
      </c>
      <c r="G459">
        <v>8.8000000000000007</v>
      </c>
      <c r="H459">
        <v>0.63636360000000003</v>
      </c>
      <c r="I459">
        <v>0.36363636999999999</v>
      </c>
      <c r="J459">
        <v>0.61111115999999999</v>
      </c>
    </row>
    <row r="460" spans="1:10" x14ac:dyDescent="0.3">
      <c r="A460">
        <v>458</v>
      </c>
      <c r="B460">
        <v>7312</v>
      </c>
      <c r="C460" t="b">
        <v>1</v>
      </c>
      <c r="D460">
        <v>8048</v>
      </c>
      <c r="E460">
        <v>8129</v>
      </c>
      <c r="F460">
        <v>5.6</v>
      </c>
      <c r="G460">
        <v>8.8000000000000007</v>
      </c>
      <c r="H460">
        <v>0.63636360000000003</v>
      </c>
      <c r="I460">
        <v>0.36363636999999999</v>
      </c>
      <c r="J460">
        <v>0.61111115999999999</v>
      </c>
    </row>
    <row r="461" spans="1:10" x14ac:dyDescent="0.3">
      <c r="A461">
        <v>459</v>
      </c>
      <c r="B461">
        <v>7328</v>
      </c>
      <c r="C461" t="b">
        <v>1</v>
      </c>
      <c r="D461">
        <v>8048</v>
      </c>
      <c r="E461">
        <v>8129</v>
      </c>
      <c r="F461">
        <v>5.6</v>
      </c>
      <c r="G461">
        <v>8.8000000000000007</v>
      </c>
      <c r="H461">
        <v>0.63636360000000003</v>
      </c>
      <c r="I461">
        <v>0.36363636999999999</v>
      </c>
      <c r="J461">
        <v>0.61111115999999999</v>
      </c>
    </row>
    <row r="462" spans="1:10" x14ac:dyDescent="0.3">
      <c r="A462">
        <v>460</v>
      </c>
      <c r="B462">
        <v>7344</v>
      </c>
      <c r="C462" t="b">
        <v>1</v>
      </c>
      <c r="D462">
        <v>8048</v>
      </c>
      <c r="E462">
        <v>8129</v>
      </c>
      <c r="F462">
        <v>5.6</v>
      </c>
      <c r="G462">
        <v>9.1999999999999993</v>
      </c>
      <c r="H462">
        <v>0.6086956</v>
      </c>
      <c r="I462">
        <v>0.39130433999999997</v>
      </c>
      <c r="J462">
        <v>0.62162167000000002</v>
      </c>
    </row>
    <row r="463" spans="1:10" x14ac:dyDescent="0.3">
      <c r="A463">
        <v>461</v>
      </c>
      <c r="B463">
        <v>7359</v>
      </c>
      <c r="C463" t="b">
        <v>1</v>
      </c>
      <c r="D463">
        <v>8048</v>
      </c>
      <c r="E463">
        <v>8123</v>
      </c>
      <c r="F463">
        <v>5.6</v>
      </c>
      <c r="G463">
        <v>9.6</v>
      </c>
      <c r="H463">
        <v>0.58333330000000005</v>
      </c>
      <c r="I463">
        <v>0.4166667</v>
      </c>
      <c r="J463">
        <v>0.63157890000000005</v>
      </c>
    </row>
    <row r="464" spans="1:10" x14ac:dyDescent="0.3">
      <c r="A464">
        <v>462</v>
      </c>
      <c r="B464">
        <v>7375</v>
      </c>
      <c r="C464" t="b">
        <v>1</v>
      </c>
      <c r="D464">
        <v>8048</v>
      </c>
      <c r="E464">
        <v>8123</v>
      </c>
      <c r="F464">
        <v>5.6</v>
      </c>
      <c r="G464">
        <v>9.6</v>
      </c>
      <c r="H464">
        <v>0.58333330000000005</v>
      </c>
      <c r="I464">
        <v>0.4166667</v>
      </c>
      <c r="J464">
        <v>0.63157890000000005</v>
      </c>
    </row>
    <row r="465" spans="1:10" x14ac:dyDescent="0.3">
      <c r="A465">
        <v>463</v>
      </c>
      <c r="B465">
        <v>7391</v>
      </c>
      <c r="C465" t="b">
        <v>1</v>
      </c>
      <c r="D465">
        <v>8048</v>
      </c>
      <c r="E465">
        <v>8123</v>
      </c>
      <c r="F465">
        <v>5.6</v>
      </c>
      <c r="G465">
        <v>9.6</v>
      </c>
      <c r="H465">
        <v>0.58333330000000005</v>
      </c>
      <c r="I465">
        <v>0.4166667</v>
      </c>
      <c r="J465">
        <v>0.63157890000000005</v>
      </c>
    </row>
    <row r="466" spans="1:10" x14ac:dyDescent="0.3">
      <c r="A466">
        <v>464</v>
      </c>
      <c r="B466">
        <v>7406</v>
      </c>
      <c r="C466" t="b">
        <v>1</v>
      </c>
      <c r="D466">
        <v>8048</v>
      </c>
      <c r="E466">
        <v>8129</v>
      </c>
      <c r="F466">
        <v>5.6</v>
      </c>
      <c r="G466">
        <v>9.6</v>
      </c>
      <c r="H466">
        <v>0.58333330000000005</v>
      </c>
      <c r="I466">
        <v>0.4166667</v>
      </c>
      <c r="J466">
        <v>0.63157890000000005</v>
      </c>
    </row>
    <row r="467" spans="1:10" x14ac:dyDescent="0.3">
      <c r="A467">
        <v>465</v>
      </c>
      <c r="B467">
        <v>7422</v>
      </c>
      <c r="C467" t="b">
        <v>1</v>
      </c>
      <c r="D467">
        <v>8048</v>
      </c>
      <c r="E467">
        <v>8123</v>
      </c>
      <c r="F467">
        <v>5.6</v>
      </c>
      <c r="G467">
        <v>9.6</v>
      </c>
      <c r="H467">
        <v>0.58333330000000005</v>
      </c>
      <c r="I467">
        <v>0.4166667</v>
      </c>
      <c r="J467">
        <v>0.63157890000000005</v>
      </c>
    </row>
    <row r="468" spans="1:10" x14ac:dyDescent="0.3">
      <c r="A468">
        <v>466</v>
      </c>
      <c r="B468">
        <v>7438</v>
      </c>
      <c r="C468" t="b">
        <v>1</v>
      </c>
      <c r="D468">
        <v>8048</v>
      </c>
      <c r="E468">
        <v>8129</v>
      </c>
      <c r="F468">
        <v>5.6</v>
      </c>
      <c r="G468">
        <v>9.1999999999999993</v>
      </c>
      <c r="H468">
        <v>0.6086956</v>
      </c>
      <c r="I468">
        <v>0.39130433999999997</v>
      </c>
      <c r="J468">
        <v>0.62162167000000002</v>
      </c>
    </row>
    <row r="469" spans="1:10" x14ac:dyDescent="0.3">
      <c r="A469">
        <v>467</v>
      </c>
      <c r="B469">
        <v>7454</v>
      </c>
      <c r="C469" t="b">
        <v>1</v>
      </c>
      <c r="D469">
        <v>8048</v>
      </c>
      <c r="E469">
        <v>8129</v>
      </c>
      <c r="F469">
        <v>6</v>
      </c>
      <c r="G469">
        <v>9.6</v>
      </c>
      <c r="H469">
        <v>0.625</v>
      </c>
      <c r="I469">
        <v>0.37500002999999998</v>
      </c>
      <c r="J469">
        <v>0.61538464000000004</v>
      </c>
    </row>
    <row r="470" spans="1:10" x14ac:dyDescent="0.3">
      <c r="A470">
        <v>468</v>
      </c>
      <c r="B470">
        <v>7470</v>
      </c>
      <c r="C470" t="b">
        <v>1</v>
      </c>
      <c r="D470">
        <v>8042</v>
      </c>
      <c r="E470">
        <v>8123</v>
      </c>
      <c r="F470">
        <v>6.4</v>
      </c>
      <c r="G470">
        <v>10</v>
      </c>
      <c r="H470">
        <v>0.64</v>
      </c>
      <c r="I470">
        <v>0.35999998</v>
      </c>
      <c r="J470">
        <v>0.60975610000000002</v>
      </c>
    </row>
    <row r="471" spans="1:10" x14ac:dyDescent="0.3">
      <c r="A471">
        <v>469</v>
      </c>
      <c r="B471">
        <v>7485</v>
      </c>
      <c r="C471" t="b">
        <v>1</v>
      </c>
      <c r="D471">
        <v>8048</v>
      </c>
      <c r="E471">
        <v>8123</v>
      </c>
      <c r="F471">
        <v>6.8</v>
      </c>
      <c r="G471">
        <v>10</v>
      </c>
      <c r="H471">
        <v>0.68</v>
      </c>
      <c r="I471">
        <v>0.32</v>
      </c>
      <c r="J471">
        <v>0.59523815000000002</v>
      </c>
    </row>
    <row r="472" spans="1:10" x14ac:dyDescent="0.3">
      <c r="A472">
        <v>470</v>
      </c>
      <c r="B472">
        <v>7501</v>
      </c>
      <c r="C472" t="b">
        <v>1</v>
      </c>
      <c r="D472">
        <v>8042</v>
      </c>
      <c r="E472">
        <v>8123</v>
      </c>
      <c r="F472">
        <v>7.2</v>
      </c>
      <c r="G472">
        <v>10</v>
      </c>
      <c r="H472">
        <v>0.71999997000000004</v>
      </c>
      <c r="I472">
        <v>0.28000003000000001</v>
      </c>
      <c r="J472">
        <v>0.58139529999999995</v>
      </c>
    </row>
    <row r="473" spans="1:10" x14ac:dyDescent="0.3">
      <c r="A473">
        <v>471</v>
      </c>
      <c r="B473">
        <v>7516</v>
      </c>
      <c r="C473" t="b">
        <v>1</v>
      </c>
      <c r="D473">
        <v>8042</v>
      </c>
      <c r="E473">
        <v>8123</v>
      </c>
      <c r="F473">
        <v>7.2</v>
      </c>
      <c r="G473">
        <v>10</v>
      </c>
      <c r="H473">
        <v>0.71999997000000004</v>
      </c>
      <c r="I473">
        <v>0.28000003000000001</v>
      </c>
      <c r="J473">
        <v>0.58139529999999995</v>
      </c>
    </row>
    <row r="474" spans="1:10" x14ac:dyDescent="0.3">
      <c r="A474">
        <v>472</v>
      </c>
      <c r="B474">
        <v>7532</v>
      </c>
      <c r="C474" t="b">
        <v>1</v>
      </c>
      <c r="D474">
        <v>8042</v>
      </c>
      <c r="E474">
        <v>8123</v>
      </c>
      <c r="F474">
        <v>7.2</v>
      </c>
      <c r="G474">
        <v>10</v>
      </c>
      <c r="H474">
        <v>0.71999997000000004</v>
      </c>
      <c r="I474">
        <v>0.28000003000000001</v>
      </c>
      <c r="J474">
        <v>0.58139529999999995</v>
      </c>
    </row>
    <row r="475" spans="1:10" x14ac:dyDescent="0.3">
      <c r="A475">
        <v>473</v>
      </c>
      <c r="B475">
        <v>7547</v>
      </c>
      <c r="C475" t="b">
        <v>1</v>
      </c>
      <c r="D475">
        <v>8042</v>
      </c>
      <c r="E475">
        <v>8123</v>
      </c>
      <c r="F475">
        <v>6.8</v>
      </c>
      <c r="G475">
        <v>10</v>
      </c>
      <c r="H475">
        <v>0.68</v>
      </c>
      <c r="I475">
        <v>0.32</v>
      </c>
      <c r="J475">
        <v>0.59523815000000002</v>
      </c>
    </row>
    <row r="476" spans="1:10" x14ac:dyDescent="0.3">
      <c r="A476">
        <v>474</v>
      </c>
      <c r="B476">
        <v>7563</v>
      </c>
      <c r="C476" t="b">
        <v>1</v>
      </c>
      <c r="D476">
        <v>8048</v>
      </c>
      <c r="E476">
        <v>8123</v>
      </c>
      <c r="F476">
        <v>6.4</v>
      </c>
      <c r="G476">
        <v>10</v>
      </c>
      <c r="H476">
        <v>0.64</v>
      </c>
      <c r="I476">
        <v>0.35999998</v>
      </c>
      <c r="J476">
        <v>0.60975610000000002</v>
      </c>
    </row>
    <row r="477" spans="1:10" x14ac:dyDescent="0.3">
      <c r="A477">
        <v>475</v>
      </c>
      <c r="B477">
        <v>7579</v>
      </c>
      <c r="C477" t="b">
        <v>1</v>
      </c>
      <c r="D477">
        <v>8042</v>
      </c>
      <c r="E477">
        <v>8123</v>
      </c>
      <c r="F477">
        <v>6</v>
      </c>
      <c r="G477">
        <v>9.6</v>
      </c>
      <c r="H477">
        <v>0.625</v>
      </c>
      <c r="I477">
        <v>0.37500002999999998</v>
      </c>
      <c r="J477">
        <v>0.61538464000000004</v>
      </c>
    </row>
    <row r="478" spans="1:10" x14ac:dyDescent="0.3">
      <c r="A478">
        <v>476</v>
      </c>
      <c r="B478">
        <v>7595</v>
      </c>
      <c r="C478" t="b">
        <v>1</v>
      </c>
      <c r="D478">
        <v>8048</v>
      </c>
      <c r="E478">
        <v>8123</v>
      </c>
      <c r="F478">
        <v>5.6</v>
      </c>
      <c r="G478">
        <v>9.1999999999999993</v>
      </c>
      <c r="H478">
        <v>0.6086956</v>
      </c>
      <c r="I478">
        <v>0.39130433999999997</v>
      </c>
      <c r="J478">
        <v>0.62162167000000002</v>
      </c>
    </row>
    <row r="479" spans="1:10" x14ac:dyDescent="0.3">
      <c r="A479">
        <v>477</v>
      </c>
      <c r="B479">
        <v>7610</v>
      </c>
      <c r="C479" t="b">
        <v>1</v>
      </c>
      <c r="D479">
        <v>8048</v>
      </c>
      <c r="E479">
        <v>8123</v>
      </c>
      <c r="F479">
        <v>5.6</v>
      </c>
      <c r="G479">
        <v>8.8000000000000007</v>
      </c>
      <c r="H479">
        <v>0.63636360000000003</v>
      </c>
      <c r="I479">
        <v>0.36363636999999999</v>
      </c>
      <c r="J479">
        <v>0.61111115999999999</v>
      </c>
    </row>
    <row r="480" spans="1:10" x14ac:dyDescent="0.3">
      <c r="A480">
        <v>478</v>
      </c>
      <c r="B480">
        <v>7626</v>
      </c>
      <c r="C480" t="b">
        <v>1</v>
      </c>
      <c r="D480">
        <v>8048</v>
      </c>
      <c r="E480">
        <v>8123</v>
      </c>
      <c r="F480">
        <v>5.6</v>
      </c>
      <c r="G480">
        <v>8.8000000000000007</v>
      </c>
      <c r="H480">
        <v>0.63636360000000003</v>
      </c>
      <c r="I480">
        <v>0.36363636999999999</v>
      </c>
      <c r="J480">
        <v>0.61111115999999999</v>
      </c>
    </row>
    <row r="481" spans="1:10" x14ac:dyDescent="0.3">
      <c r="A481">
        <v>479</v>
      </c>
      <c r="B481">
        <v>7642</v>
      </c>
      <c r="C481" t="b">
        <v>1</v>
      </c>
      <c r="D481">
        <v>8048</v>
      </c>
      <c r="E481">
        <v>8123</v>
      </c>
      <c r="F481">
        <v>5.6</v>
      </c>
      <c r="G481">
        <v>8.8000000000000007</v>
      </c>
      <c r="H481">
        <v>0.63636360000000003</v>
      </c>
      <c r="I481">
        <v>0.36363636999999999</v>
      </c>
      <c r="J481">
        <v>0.61111115999999999</v>
      </c>
    </row>
    <row r="482" spans="1:10" x14ac:dyDescent="0.3">
      <c r="A482">
        <v>480</v>
      </c>
      <c r="B482">
        <v>7658</v>
      </c>
      <c r="C482" t="b">
        <v>1</v>
      </c>
      <c r="D482">
        <v>8048</v>
      </c>
      <c r="E482">
        <v>8123</v>
      </c>
      <c r="F482">
        <v>5.6</v>
      </c>
      <c r="G482">
        <v>8.8000000000000007</v>
      </c>
      <c r="H482">
        <v>0.63636360000000003</v>
      </c>
      <c r="I482">
        <v>0.36363636999999999</v>
      </c>
      <c r="J482">
        <v>0.61111115999999999</v>
      </c>
    </row>
    <row r="483" spans="1:10" x14ac:dyDescent="0.3">
      <c r="A483">
        <v>481</v>
      </c>
      <c r="B483">
        <v>7673</v>
      </c>
      <c r="C483" t="b">
        <v>1</v>
      </c>
      <c r="D483">
        <v>8048</v>
      </c>
      <c r="E483">
        <v>8123</v>
      </c>
      <c r="F483">
        <v>5.6</v>
      </c>
      <c r="G483">
        <v>8.8000000000000007</v>
      </c>
      <c r="H483">
        <v>0.63636360000000003</v>
      </c>
      <c r="I483">
        <v>0.36363636999999999</v>
      </c>
      <c r="J483">
        <v>0.61111115999999999</v>
      </c>
    </row>
    <row r="484" spans="1:10" x14ac:dyDescent="0.3">
      <c r="A484">
        <v>482</v>
      </c>
      <c r="B484">
        <v>7689</v>
      </c>
      <c r="C484" t="b">
        <v>1</v>
      </c>
      <c r="D484">
        <v>8048</v>
      </c>
      <c r="E484">
        <v>8123</v>
      </c>
      <c r="F484">
        <v>5.6</v>
      </c>
      <c r="G484">
        <v>8.4</v>
      </c>
      <c r="H484">
        <v>0.66666669999999995</v>
      </c>
      <c r="I484">
        <v>0.3333333</v>
      </c>
      <c r="J484">
        <v>0.59999996</v>
      </c>
    </row>
    <row r="485" spans="1:10" x14ac:dyDescent="0.3">
      <c r="A485">
        <v>483</v>
      </c>
      <c r="B485">
        <v>7705</v>
      </c>
      <c r="C485" t="b">
        <v>1</v>
      </c>
      <c r="D485">
        <v>8048</v>
      </c>
      <c r="E485">
        <v>8123</v>
      </c>
      <c r="F485">
        <v>5.6</v>
      </c>
      <c r="G485">
        <v>8</v>
      </c>
      <c r="H485">
        <v>0.7</v>
      </c>
      <c r="I485">
        <v>0.3</v>
      </c>
      <c r="J485">
        <v>0.58823526000000004</v>
      </c>
    </row>
    <row r="486" spans="1:10" x14ac:dyDescent="0.3">
      <c r="A486">
        <v>484</v>
      </c>
      <c r="B486">
        <v>7721</v>
      </c>
      <c r="C486" t="b">
        <v>1</v>
      </c>
      <c r="D486">
        <v>8048</v>
      </c>
      <c r="E486">
        <v>8134</v>
      </c>
      <c r="F486">
        <v>5.6</v>
      </c>
      <c r="G486">
        <v>8</v>
      </c>
      <c r="H486">
        <v>0.7</v>
      </c>
      <c r="I486">
        <v>0.3</v>
      </c>
      <c r="J486">
        <v>0.58823526000000004</v>
      </c>
    </row>
    <row r="487" spans="1:10" x14ac:dyDescent="0.3">
      <c r="A487">
        <v>485</v>
      </c>
      <c r="B487">
        <v>7737</v>
      </c>
      <c r="C487" t="b">
        <v>1</v>
      </c>
      <c r="D487">
        <v>8048</v>
      </c>
      <c r="E487">
        <v>8129</v>
      </c>
      <c r="F487">
        <v>5.6</v>
      </c>
      <c r="G487">
        <v>8</v>
      </c>
      <c r="H487">
        <v>0.7</v>
      </c>
      <c r="I487">
        <v>0.3</v>
      </c>
      <c r="J487">
        <v>0.58823526000000004</v>
      </c>
    </row>
    <row r="488" spans="1:10" x14ac:dyDescent="0.3">
      <c r="A488">
        <v>486</v>
      </c>
      <c r="B488">
        <v>7753</v>
      </c>
      <c r="C488" t="b">
        <v>1</v>
      </c>
      <c r="D488">
        <v>8048</v>
      </c>
      <c r="E488">
        <v>8123</v>
      </c>
      <c r="F488">
        <v>6</v>
      </c>
      <c r="G488">
        <v>8</v>
      </c>
      <c r="H488">
        <v>0.75</v>
      </c>
      <c r="I488">
        <v>0.25</v>
      </c>
      <c r="J488">
        <v>0.57142859999999995</v>
      </c>
    </row>
    <row r="489" spans="1:10" x14ac:dyDescent="0.3">
      <c r="A489">
        <v>487</v>
      </c>
      <c r="B489">
        <v>7768</v>
      </c>
      <c r="C489" t="b">
        <v>1</v>
      </c>
      <c r="D489">
        <v>8048</v>
      </c>
      <c r="E489">
        <v>8129</v>
      </c>
      <c r="F489">
        <v>6.4</v>
      </c>
      <c r="G489">
        <v>8.4</v>
      </c>
      <c r="H489">
        <v>0.76190484000000003</v>
      </c>
      <c r="I489">
        <v>0.23809520000000001</v>
      </c>
      <c r="J489">
        <v>0.56756759999999995</v>
      </c>
    </row>
    <row r="490" spans="1:10" x14ac:dyDescent="0.3">
      <c r="A490">
        <v>488</v>
      </c>
      <c r="B490">
        <v>7784</v>
      </c>
      <c r="C490" t="b">
        <v>1</v>
      </c>
      <c r="D490">
        <v>8042</v>
      </c>
      <c r="E490">
        <v>8129</v>
      </c>
      <c r="F490">
        <v>6.8</v>
      </c>
      <c r="G490">
        <v>8.8000000000000007</v>
      </c>
      <c r="H490">
        <v>0.77272724999999998</v>
      </c>
      <c r="I490">
        <v>0.22727272000000001</v>
      </c>
      <c r="J490">
        <v>0.56410260000000001</v>
      </c>
    </row>
    <row r="491" spans="1:10" x14ac:dyDescent="0.3">
      <c r="A491">
        <v>489</v>
      </c>
      <c r="B491">
        <v>7800</v>
      </c>
      <c r="C491" t="b">
        <v>1</v>
      </c>
      <c r="D491">
        <v>8042</v>
      </c>
      <c r="E491">
        <v>8129</v>
      </c>
      <c r="F491">
        <v>7.2</v>
      </c>
      <c r="G491">
        <v>9.1999999999999993</v>
      </c>
      <c r="H491">
        <v>0.78260870000000005</v>
      </c>
      <c r="I491">
        <v>0.21739131</v>
      </c>
      <c r="J491">
        <v>0.56097560000000002</v>
      </c>
    </row>
    <row r="492" spans="1:10" x14ac:dyDescent="0.3">
      <c r="A492">
        <v>490</v>
      </c>
      <c r="B492">
        <v>7816</v>
      </c>
      <c r="C492" t="b">
        <v>1</v>
      </c>
      <c r="D492">
        <v>8048</v>
      </c>
      <c r="E492">
        <v>8117</v>
      </c>
      <c r="F492">
        <v>7.6</v>
      </c>
      <c r="G492">
        <v>9.6</v>
      </c>
      <c r="H492">
        <v>0.7916666</v>
      </c>
      <c r="I492">
        <v>0.20833336999999999</v>
      </c>
      <c r="J492">
        <v>0.55813950000000001</v>
      </c>
    </row>
    <row r="493" spans="1:10" x14ac:dyDescent="0.3">
      <c r="A493">
        <v>491</v>
      </c>
      <c r="B493">
        <v>7831</v>
      </c>
      <c r="C493" t="b">
        <v>1</v>
      </c>
      <c r="D493">
        <v>8048</v>
      </c>
      <c r="E493">
        <v>8117</v>
      </c>
      <c r="F493">
        <v>8</v>
      </c>
      <c r="G493">
        <v>10</v>
      </c>
      <c r="H493">
        <v>0.8</v>
      </c>
      <c r="I493">
        <v>0.2</v>
      </c>
      <c r="J493">
        <v>0.55555560000000004</v>
      </c>
    </row>
    <row r="494" spans="1:10" x14ac:dyDescent="0.3">
      <c r="A494">
        <v>492</v>
      </c>
      <c r="B494">
        <v>7847</v>
      </c>
      <c r="C494" t="b">
        <v>1</v>
      </c>
      <c r="D494">
        <v>8048</v>
      </c>
      <c r="E494">
        <v>8111</v>
      </c>
      <c r="F494">
        <v>8</v>
      </c>
      <c r="G494">
        <v>9.6</v>
      </c>
      <c r="H494">
        <v>0.83333330000000005</v>
      </c>
      <c r="I494">
        <v>0.1666667</v>
      </c>
      <c r="J494">
        <v>0.54545456000000003</v>
      </c>
    </row>
    <row r="495" spans="1:10" x14ac:dyDescent="0.3">
      <c r="A495">
        <v>493</v>
      </c>
      <c r="B495">
        <v>7863</v>
      </c>
      <c r="C495" t="b">
        <v>1</v>
      </c>
      <c r="D495">
        <v>8042</v>
      </c>
      <c r="E495">
        <v>8117</v>
      </c>
      <c r="F495">
        <v>8</v>
      </c>
      <c r="G495">
        <v>9.1999999999999993</v>
      </c>
      <c r="H495">
        <v>0.86956524999999996</v>
      </c>
      <c r="I495">
        <v>0.13043477000000001</v>
      </c>
      <c r="J495">
        <v>0.53488369999999996</v>
      </c>
    </row>
    <row r="496" spans="1:10" x14ac:dyDescent="0.3">
      <c r="A496">
        <v>494</v>
      </c>
      <c r="B496">
        <v>7879</v>
      </c>
      <c r="C496" t="b">
        <v>1</v>
      </c>
      <c r="D496">
        <v>8048</v>
      </c>
      <c r="E496">
        <v>8117</v>
      </c>
      <c r="F496">
        <v>8</v>
      </c>
      <c r="G496">
        <v>8.8000000000000007</v>
      </c>
      <c r="H496">
        <v>0.90909090000000004</v>
      </c>
      <c r="I496">
        <v>9.0909110000000001E-2</v>
      </c>
      <c r="J496">
        <v>0.52380954999999996</v>
      </c>
    </row>
    <row r="497" spans="1:10" x14ac:dyDescent="0.3">
      <c r="A497">
        <v>495</v>
      </c>
      <c r="B497">
        <v>7894</v>
      </c>
      <c r="C497" t="b">
        <v>1</v>
      </c>
      <c r="D497">
        <v>8054</v>
      </c>
      <c r="E497">
        <v>8117</v>
      </c>
      <c r="F497">
        <v>8</v>
      </c>
      <c r="G497">
        <v>8.4</v>
      </c>
      <c r="H497">
        <v>0.95238100000000003</v>
      </c>
      <c r="I497">
        <v>4.7619003999999999E-2</v>
      </c>
      <c r="J497">
        <v>0.51219510000000001</v>
      </c>
    </row>
    <row r="498" spans="1:10" x14ac:dyDescent="0.3">
      <c r="A498">
        <v>496</v>
      </c>
      <c r="B498">
        <v>7910</v>
      </c>
      <c r="C498" t="b">
        <v>1</v>
      </c>
      <c r="D498">
        <v>8054</v>
      </c>
      <c r="E498">
        <v>8129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7926</v>
      </c>
      <c r="C499" t="b">
        <v>1</v>
      </c>
      <c r="D499">
        <v>8048</v>
      </c>
      <c r="E499">
        <v>8123</v>
      </c>
      <c r="F499">
        <v>8</v>
      </c>
      <c r="G499">
        <v>7.6</v>
      </c>
      <c r="H499">
        <v>1.0526316</v>
      </c>
      <c r="I499">
        <v>-5.2631589999999999E-2</v>
      </c>
      <c r="J499">
        <v>0.48717946000000001</v>
      </c>
    </row>
    <row r="500" spans="1:10" x14ac:dyDescent="0.3">
      <c r="A500">
        <v>498</v>
      </c>
      <c r="B500">
        <v>7942</v>
      </c>
      <c r="C500" t="b">
        <v>1</v>
      </c>
      <c r="D500">
        <v>8048</v>
      </c>
      <c r="E500">
        <v>8123</v>
      </c>
      <c r="F500">
        <v>8</v>
      </c>
      <c r="G500">
        <v>7.6</v>
      </c>
      <c r="H500">
        <v>1.0526316</v>
      </c>
      <c r="I500">
        <v>-5.2631589999999999E-2</v>
      </c>
      <c r="J500">
        <v>0.48717946000000001</v>
      </c>
    </row>
    <row r="501" spans="1:10" x14ac:dyDescent="0.3">
      <c r="A501">
        <v>499</v>
      </c>
      <c r="B501">
        <v>7958</v>
      </c>
      <c r="C501" t="b">
        <v>1</v>
      </c>
      <c r="D501">
        <v>8042</v>
      </c>
      <c r="E501">
        <v>8123</v>
      </c>
      <c r="F501">
        <v>8</v>
      </c>
      <c r="G501">
        <v>7.6</v>
      </c>
      <c r="H501">
        <v>1.0526316</v>
      </c>
      <c r="I501">
        <v>-5.2631589999999999E-2</v>
      </c>
      <c r="J501">
        <v>0.48717946000000001</v>
      </c>
    </row>
    <row r="502" spans="1:10" x14ac:dyDescent="0.3">
      <c r="A502">
        <v>500</v>
      </c>
      <c r="B502">
        <v>7973</v>
      </c>
      <c r="C502" t="b">
        <v>1</v>
      </c>
      <c r="D502">
        <v>8048</v>
      </c>
      <c r="E502">
        <v>8134</v>
      </c>
      <c r="F502">
        <v>8</v>
      </c>
      <c r="G502">
        <v>7.6</v>
      </c>
      <c r="H502">
        <v>1.0526316</v>
      </c>
      <c r="I502">
        <v>-5.2631589999999999E-2</v>
      </c>
      <c r="J502">
        <v>0.48717946000000001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9D0E-EE3D-4568-97C4-6F0C981B1DAB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8054</v>
      </c>
      <c r="E2">
        <v>8123</v>
      </c>
      <c r="F2">
        <v>14</v>
      </c>
      <c r="G2">
        <v>8</v>
      </c>
      <c r="H2">
        <v>1.75</v>
      </c>
      <c r="I2">
        <v>-0.75</v>
      </c>
      <c r="J2">
        <v>0.36363636999999999</v>
      </c>
    </row>
    <row r="3" spans="1:10" x14ac:dyDescent="0.3">
      <c r="A3">
        <v>1</v>
      </c>
      <c r="B3">
        <v>18</v>
      </c>
      <c r="C3" t="b">
        <v>1</v>
      </c>
      <c r="D3">
        <v>8048</v>
      </c>
      <c r="E3">
        <v>8123</v>
      </c>
      <c r="F3">
        <v>14</v>
      </c>
      <c r="G3">
        <v>8</v>
      </c>
      <c r="H3">
        <v>1.75</v>
      </c>
      <c r="I3">
        <v>-0.75</v>
      </c>
      <c r="J3">
        <v>0.36363636999999999</v>
      </c>
    </row>
    <row r="4" spans="1:10" x14ac:dyDescent="0.3">
      <c r="A4">
        <v>2</v>
      </c>
      <c r="B4">
        <v>34</v>
      </c>
      <c r="C4" t="b">
        <v>1</v>
      </c>
      <c r="D4">
        <v>8042</v>
      </c>
      <c r="E4">
        <v>8134</v>
      </c>
      <c r="F4">
        <v>12</v>
      </c>
      <c r="G4">
        <v>8</v>
      </c>
      <c r="H4">
        <v>1.5</v>
      </c>
      <c r="I4">
        <v>-0.5</v>
      </c>
      <c r="J4">
        <v>0.4</v>
      </c>
    </row>
    <row r="5" spans="1:10" x14ac:dyDescent="0.3">
      <c r="A5">
        <v>3</v>
      </c>
      <c r="B5">
        <v>50</v>
      </c>
      <c r="C5" t="b">
        <v>1</v>
      </c>
      <c r="D5">
        <v>8048</v>
      </c>
      <c r="E5">
        <v>8123</v>
      </c>
      <c r="F5">
        <v>11</v>
      </c>
      <c r="G5">
        <v>8</v>
      </c>
      <c r="H5">
        <v>1.375</v>
      </c>
      <c r="I5">
        <v>-0.375</v>
      </c>
      <c r="J5">
        <v>0.42105262999999998</v>
      </c>
    </row>
    <row r="6" spans="1:10" x14ac:dyDescent="0.3">
      <c r="A6">
        <v>4</v>
      </c>
      <c r="B6">
        <v>66</v>
      </c>
      <c r="C6" t="b">
        <v>1</v>
      </c>
      <c r="D6">
        <v>8048</v>
      </c>
      <c r="E6">
        <v>8123</v>
      </c>
      <c r="F6">
        <v>10.4</v>
      </c>
      <c r="G6">
        <v>8</v>
      </c>
      <c r="H6">
        <v>1.3</v>
      </c>
      <c r="I6">
        <v>-0.29999995000000002</v>
      </c>
      <c r="J6">
        <v>0.43478262000000001</v>
      </c>
    </row>
    <row r="7" spans="1:10" x14ac:dyDescent="0.3">
      <c r="A7">
        <v>5</v>
      </c>
      <c r="B7">
        <v>82</v>
      </c>
      <c r="C7" t="b">
        <v>1</v>
      </c>
      <c r="D7">
        <v>8048</v>
      </c>
      <c r="E7">
        <v>8123</v>
      </c>
      <c r="F7">
        <v>10</v>
      </c>
      <c r="G7">
        <v>8</v>
      </c>
      <c r="H7">
        <v>1.25</v>
      </c>
      <c r="I7">
        <v>-0.25</v>
      </c>
      <c r="J7">
        <v>0.44444444999999999</v>
      </c>
    </row>
    <row r="8" spans="1:10" x14ac:dyDescent="0.3">
      <c r="A8">
        <v>6</v>
      </c>
      <c r="B8">
        <v>97</v>
      </c>
      <c r="C8" t="b">
        <v>1</v>
      </c>
      <c r="D8">
        <v>8048</v>
      </c>
      <c r="E8">
        <v>8123</v>
      </c>
      <c r="F8">
        <v>9.7142859999999995</v>
      </c>
      <c r="G8">
        <v>8</v>
      </c>
      <c r="H8">
        <v>1.2142857</v>
      </c>
      <c r="I8">
        <v>-0.21428573000000001</v>
      </c>
      <c r="J8">
        <v>0.45161289999999998</v>
      </c>
    </row>
    <row r="9" spans="1:10" x14ac:dyDescent="0.3">
      <c r="A9">
        <v>7</v>
      </c>
      <c r="B9">
        <v>113</v>
      </c>
      <c r="C9" t="b">
        <v>1</v>
      </c>
      <c r="D9">
        <v>8048</v>
      </c>
      <c r="E9">
        <v>8123</v>
      </c>
      <c r="F9">
        <v>9.5</v>
      </c>
      <c r="G9">
        <v>8</v>
      </c>
      <c r="H9">
        <v>1.1875</v>
      </c>
      <c r="I9">
        <v>-0.1875</v>
      </c>
      <c r="J9">
        <v>0.45714285999999998</v>
      </c>
    </row>
    <row r="10" spans="1:10" x14ac:dyDescent="0.3">
      <c r="A10">
        <v>8</v>
      </c>
      <c r="B10">
        <v>129</v>
      </c>
      <c r="C10" t="b">
        <v>1</v>
      </c>
      <c r="D10">
        <v>8048</v>
      </c>
      <c r="E10">
        <v>8123</v>
      </c>
      <c r="F10">
        <v>9.3333329999999997</v>
      </c>
      <c r="G10">
        <v>8</v>
      </c>
      <c r="H10">
        <v>1.1666666000000001</v>
      </c>
      <c r="I10">
        <v>-0.16666663000000001</v>
      </c>
      <c r="J10">
        <v>0.46153850000000002</v>
      </c>
    </row>
    <row r="11" spans="1:10" x14ac:dyDescent="0.3">
      <c r="A11">
        <v>9</v>
      </c>
      <c r="B11">
        <v>145</v>
      </c>
      <c r="C11" t="b">
        <v>1</v>
      </c>
      <c r="D11">
        <v>8048</v>
      </c>
      <c r="E11">
        <v>8117</v>
      </c>
      <c r="F11">
        <v>9.1999999999999993</v>
      </c>
      <c r="G11">
        <v>8</v>
      </c>
      <c r="H11">
        <v>1.1499999999999999</v>
      </c>
      <c r="I11">
        <v>-0.14999998</v>
      </c>
      <c r="J11">
        <v>0.46511626</v>
      </c>
    </row>
    <row r="12" spans="1:10" x14ac:dyDescent="0.3">
      <c r="A12">
        <v>10</v>
      </c>
      <c r="B12">
        <v>161</v>
      </c>
      <c r="C12" t="b">
        <v>1</v>
      </c>
      <c r="D12">
        <v>8048</v>
      </c>
      <c r="E12">
        <v>8123</v>
      </c>
      <c r="F12">
        <v>9.0909089999999999</v>
      </c>
      <c r="G12">
        <v>8</v>
      </c>
      <c r="H12">
        <v>1.1363635999999999</v>
      </c>
      <c r="I12">
        <v>-0.13636363000000001</v>
      </c>
      <c r="J12">
        <v>0.46808514000000001</v>
      </c>
    </row>
    <row r="13" spans="1:10" x14ac:dyDescent="0.3">
      <c r="A13">
        <v>11</v>
      </c>
      <c r="B13">
        <v>177</v>
      </c>
      <c r="C13" t="b">
        <v>1</v>
      </c>
      <c r="D13">
        <v>8048</v>
      </c>
      <c r="E13">
        <v>8117</v>
      </c>
      <c r="F13">
        <v>9</v>
      </c>
      <c r="G13">
        <v>8</v>
      </c>
      <c r="H13">
        <v>1.125</v>
      </c>
      <c r="I13">
        <v>-0.125</v>
      </c>
      <c r="J13">
        <v>0.47058823999999999</v>
      </c>
    </row>
    <row r="14" spans="1:10" x14ac:dyDescent="0.3">
      <c r="A14">
        <v>12</v>
      </c>
      <c r="B14">
        <v>192</v>
      </c>
      <c r="C14" t="b">
        <v>1</v>
      </c>
      <c r="D14">
        <v>8054</v>
      </c>
      <c r="E14">
        <v>8117</v>
      </c>
      <c r="F14">
        <v>8.9230769999999993</v>
      </c>
      <c r="G14">
        <v>7.5384617</v>
      </c>
      <c r="H14">
        <v>1.1836734</v>
      </c>
      <c r="I14">
        <v>-0.18367341000000001</v>
      </c>
      <c r="J14">
        <v>0.45794394999999999</v>
      </c>
    </row>
    <row r="15" spans="1:10" x14ac:dyDescent="0.3">
      <c r="A15">
        <v>13</v>
      </c>
      <c r="B15">
        <v>208</v>
      </c>
      <c r="C15" t="b">
        <v>1</v>
      </c>
      <c r="D15">
        <v>8048</v>
      </c>
      <c r="E15">
        <v>8117</v>
      </c>
      <c r="F15">
        <v>8.8571419999999996</v>
      </c>
      <c r="G15">
        <v>7.1428570000000002</v>
      </c>
      <c r="H15">
        <v>1.24</v>
      </c>
      <c r="I15">
        <v>-0.23999994999999999</v>
      </c>
      <c r="J15">
        <v>0.44642857000000002</v>
      </c>
    </row>
    <row r="16" spans="1:10" x14ac:dyDescent="0.3">
      <c r="A16">
        <v>14</v>
      </c>
      <c r="B16">
        <v>224</v>
      </c>
      <c r="C16" t="b">
        <v>1</v>
      </c>
      <c r="D16">
        <v>8048</v>
      </c>
      <c r="E16">
        <v>8117</v>
      </c>
      <c r="F16">
        <v>8.8000000000000007</v>
      </c>
      <c r="G16">
        <v>6.8</v>
      </c>
      <c r="H16">
        <v>1.2941176999999999</v>
      </c>
      <c r="I16">
        <v>-0.29411763000000002</v>
      </c>
      <c r="J16">
        <v>0.43589744000000002</v>
      </c>
    </row>
    <row r="17" spans="1:10" x14ac:dyDescent="0.3">
      <c r="A17">
        <v>15</v>
      </c>
      <c r="B17">
        <v>240</v>
      </c>
      <c r="C17" t="b">
        <v>1</v>
      </c>
      <c r="D17">
        <v>8048</v>
      </c>
      <c r="E17">
        <v>8117</v>
      </c>
      <c r="F17">
        <v>8.4</v>
      </c>
      <c r="G17">
        <v>6.4</v>
      </c>
      <c r="H17">
        <v>1.3124998999999999</v>
      </c>
      <c r="I17">
        <v>-0.3124999</v>
      </c>
      <c r="J17">
        <v>0.43243247000000001</v>
      </c>
    </row>
    <row r="18" spans="1:10" x14ac:dyDescent="0.3">
      <c r="A18">
        <v>16</v>
      </c>
      <c r="B18">
        <v>256</v>
      </c>
      <c r="C18" t="b">
        <v>1</v>
      </c>
      <c r="D18">
        <v>8048</v>
      </c>
      <c r="E18">
        <v>8117</v>
      </c>
      <c r="F18">
        <v>8</v>
      </c>
      <c r="G18">
        <v>6</v>
      </c>
      <c r="H18">
        <v>1.3333333999999999</v>
      </c>
      <c r="I18">
        <v>-0.33333333999999998</v>
      </c>
      <c r="J18">
        <v>0.42857142999999998</v>
      </c>
    </row>
    <row r="19" spans="1:10" x14ac:dyDescent="0.3">
      <c r="A19">
        <v>17</v>
      </c>
      <c r="B19">
        <v>272</v>
      </c>
      <c r="C19" t="b">
        <v>1</v>
      </c>
      <c r="D19">
        <v>8048</v>
      </c>
      <c r="E19">
        <v>8117</v>
      </c>
      <c r="F19">
        <v>8</v>
      </c>
      <c r="G19">
        <v>5.6</v>
      </c>
      <c r="H19">
        <v>1.4285715000000001</v>
      </c>
      <c r="I19">
        <v>-0.42857146000000002</v>
      </c>
      <c r="J19">
        <v>0.41176467999999999</v>
      </c>
    </row>
    <row r="20" spans="1:10" x14ac:dyDescent="0.3">
      <c r="A20">
        <v>18</v>
      </c>
      <c r="B20">
        <v>288</v>
      </c>
      <c r="C20" t="b">
        <v>1</v>
      </c>
      <c r="D20">
        <v>8054</v>
      </c>
      <c r="E20">
        <v>8117</v>
      </c>
      <c r="F20">
        <v>8</v>
      </c>
      <c r="G20">
        <v>5.2</v>
      </c>
      <c r="H20">
        <v>1.5384616</v>
      </c>
      <c r="I20">
        <v>-0.53846156999999994</v>
      </c>
      <c r="J20">
        <v>0.39393938000000001</v>
      </c>
    </row>
    <row r="21" spans="1:10" x14ac:dyDescent="0.3">
      <c r="A21">
        <v>19</v>
      </c>
      <c r="B21">
        <v>304</v>
      </c>
      <c r="C21" t="b">
        <v>1</v>
      </c>
      <c r="D21">
        <v>8048</v>
      </c>
      <c r="E21">
        <v>8123</v>
      </c>
      <c r="F21">
        <v>8</v>
      </c>
      <c r="G21">
        <v>4.8</v>
      </c>
      <c r="H21">
        <v>1.6666666000000001</v>
      </c>
      <c r="I21">
        <v>-0.6666666</v>
      </c>
      <c r="J21">
        <v>0.375</v>
      </c>
    </row>
    <row r="22" spans="1:10" x14ac:dyDescent="0.3">
      <c r="A22">
        <v>20</v>
      </c>
      <c r="B22">
        <v>320</v>
      </c>
      <c r="C22" t="b">
        <v>1</v>
      </c>
      <c r="D22">
        <v>8054</v>
      </c>
      <c r="E22">
        <v>8117</v>
      </c>
      <c r="F22">
        <v>8</v>
      </c>
      <c r="G22">
        <v>4.4000000000000004</v>
      </c>
      <c r="H22">
        <v>1.8181818000000001</v>
      </c>
      <c r="I22">
        <v>-0.81818175000000004</v>
      </c>
      <c r="J22">
        <v>0.35483872999999999</v>
      </c>
    </row>
    <row r="23" spans="1:10" x14ac:dyDescent="0.3">
      <c r="A23">
        <v>21</v>
      </c>
      <c r="B23">
        <v>336</v>
      </c>
      <c r="C23" t="b">
        <v>1</v>
      </c>
      <c r="D23">
        <v>8048</v>
      </c>
      <c r="E23">
        <v>8129</v>
      </c>
      <c r="F23">
        <v>8</v>
      </c>
      <c r="G23">
        <v>4</v>
      </c>
      <c r="H23">
        <v>2</v>
      </c>
      <c r="I23">
        <v>-1</v>
      </c>
      <c r="J23">
        <v>0.33333333999999998</v>
      </c>
    </row>
    <row r="24" spans="1:10" x14ac:dyDescent="0.3">
      <c r="A24">
        <v>22</v>
      </c>
      <c r="B24">
        <v>352</v>
      </c>
      <c r="C24" t="b">
        <v>1</v>
      </c>
      <c r="D24">
        <v>8048</v>
      </c>
      <c r="E24">
        <v>8129</v>
      </c>
      <c r="F24">
        <v>8</v>
      </c>
      <c r="G24">
        <v>4</v>
      </c>
      <c r="H24">
        <v>2</v>
      </c>
      <c r="I24">
        <v>-1</v>
      </c>
      <c r="J24">
        <v>0.33333333999999998</v>
      </c>
    </row>
    <row r="25" spans="1:10" x14ac:dyDescent="0.3">
      <c r="A25">
        <v>23</v>
      </c>
      <c r="B25">
        <v>368</v>
      </c>
      <c r="C25" t="b">
        <v>1</v>
      </c>
      <c r="D25">
        <v>8048</v>
      </c>
      <c r="E25">
        <v>8123</v>
      </c>
      <c r="F25">
        <v>8</v>
      </c>
      <c r="G25">
        <v>4</v>
      </c>
      <c r="H25">
        <v>2</v>
      </c>
      <c r="I25">
        <v>-1</v>
      </c>
      <c r="J25">
        <v>0.33333333999999998</v>
      </c>
    </row>
    <row r="26" spans="1:10" x14ac:dyDescent="0.3">
      <c r="A26">
        <v>24</v>
      </c>
      <c r="B26">
        <v>384</v>
      </c>
      <c r="C26" t="b">
        <v>1</v>
      </c>
      <c r="D26">
        <v>8054</v>
      </c>
      <c r="E26">
        <v>8129</v>
      </c>
      <c r="F26">
        <v>8</v>
      </c>
      <c r="G26">
        <v>4.4000000000000004</v>
      </c>
      <c r="H26">
        <v>1.8181818000000001</v>
      </c>
      <c r="I26">
        <v>-0.81818175000000004</v>
      </c>
      <c r="J26">
        <v>0.35483872999999999</v>
      </c>
    </row>
    <row r="27" spans="1:10" x14ac:dyDescent="0.3">
      <c r="A27">
        <v>25</v>
      </c>
      <c r="B27">
        <v>400</v>
      </c>
      <c r="C27" t="b">
        <v>1</v>
      </c>
      <c r="D27">
        <v>8054</v>
      </c>
      <c r="E27">
        <v>8129</v>
      </c>
      <c r="F27">
        <v>8</v>
      </c>
      <c r="G27">
        <v>4.8</v>
      </c>
      <c r="H27">
        <v>1.6666666000000001</v>
      </c>
      <c r="I27">
        <v>-0.6666666</v>
      </c>
      <c r="J27">
        <v>0.375</v>
      </c>
    </row>
    <row r="28" spans="1:10" x14ac:dyDescent="0.3">
      <c r="A28">
        <v>26</v>
      </c>
      <c r="B28">
        <v>416</v>
      </c>
      <c r="C28" t="b">
        <v>1</v>
      </c>
      <c r="D28">
        <v>8054</v>
      </c>
      <c r="E28">
        <v>8129</v>
      </c>
      <c r="F28">
        <v>8.4</v>
      </c>
      <c r="G28">
        <v>5.2</v>
      </c>
      <c r="H28">
        <v>1.6153846000000001</v>
      </c>
      <c r="I28">
        <v>-0.61538459999999995</v>
      </c>
      <c r="J28">
        <v>0.38235295000000002</v>
      </c>
    </row>
    <row r="29" spans="1:10" x14ac:dyDescent="0.3">
      <c r="A29">
        <v>27</v>
      </c>
      <c r="B29">
        <v>432</v>
      </c>
      <c r="C29" t="b">
        <v>1</v>
      </c>
      <c r="D29">
        <v>8048</v>
      </c>
      <c r="E29">
        <v>8117</v>
      </c>
      <c r="F29">
        <v>8.8000000000000007</v>
      </c>
      <c r="G29">
        <v>6</v>
      </c>
      <c r="H29">
        <v>1.4666667</v>
      </c>
      <c r="I29">
        <v>-0.46666669999999999</v>
      </c>
      <c r="J29">
        <v>0.40540540000000003</v>
      </c>
    </row>
    <row r="30" spans="1:10" x14ac:dyDescent="0.3">
      <c r="A30">
        <v>28</v>
      </c>
      <c r="B30">
        <v>448</v>
      </c>
      <c r="C30" t="b">
        <v>1</v>
      </c>
      <c r="D30">
        <v>8048</v>
      </c>
      <c r="E30">
        <v>8117</v>
      </c>
      <c r="F30">
        <v>9.1999999999999993</v>
      </c>
      <c r="G30">
        <v>6.8</v>
      </c>
      <c r="H30">
        <v>1.3529412000000001</v>
      </c>
      <c r="I30">
        <v>-0.35294110000000001</v>
      </c>
      <c r="J30">
        <v>0.42499999999999999</v>
      </c>
    </row>
    <row r="31" spans="1:10" x14ac:dyDescent="0.3">
      <c r="A31">
        <v>29</v>
      </c>
      <c r="B31">
        <v>464</v>
      </c>
      <c r="C31" t="b">
        <v>1</v>
      </c>
      <c r="D31">
        <v>8042</v>
      </c>
      <c r="E31">
        <v>8117</v>
      </c>
      <c r="F31">
        <v>9.1999999999999993</v>
      </c>
      <c r="G31">
        <v>6.8</v>
      </c>
      <c r="H31">
        <v>1.3529412000000001</v>
      </c>
      <c r="I31">
        <v>-0.35294110000000001</v>
      </c>
      <c r="J31">
        <v>0.42499999999999999</v>
      </c>
    </row>
    <row r="32" spans="1:10" x14ac:dyDescent="0.3">
      <c r="A32">
        <v>30</v>
      </c>
      <c r="B32">
        <v>480</v>
      </c>
      <c r="C32" t="b">
        <v>1</v>
      </c>
      <c r="D32">
        <v>8048</v>
      </c>
      <c r="E32">
        <v>8117</v>
      </c>
      <c r="F32">
        <v>9.1999999999999993</v>
      </c>
      <c r="G32">
        <v>6.8</v>
      </c>
      <c r="H32">
        <v>1.3529412000000001</v>
      </c>
      <c r="I32">
        <v>-0.35294110000000001</v>
      </c>
      <c r="J32">
        <v>0.42499999999999999</v>
      </c>
    </row>
    <row r="33" spans="1:10" x14ac:dyDescent="0.3">
      <c r="A33">
        <v>31</v>
      </c>
      <c r="B33">
        <v>496</v>
      </c>
      <c r="C33" t="b">
        <v>1</v>
      </c>
      <c r="D33">
        <v>8048</v>
      </c>
      <c r="E33">
        <v>8123</v>
      </c>
      <c r="F33">
        <v>9.1999999999999993</v>
      </c>
      <c r="G33">
        <v>6.8</v>
      </c>
      <c r="H33">
        <v>1.3529412000000001</v>
      </c>
      <c r="I33">
        <v>-0.35294110000000001</v>
      </c>
      <c r="J33">
        <v>0.42499999999999999</v>
      </c>
    </row>
    <row r="34" spans="1:10" x14ac:dyDescent="0.3">
      <c r="A34">
        <v>32</v>
      </c>
      <c r="B34">
        <v>511</v>
      </c>
      <c r="C34" t="b">
        <v>1</v>
      </c>
      <c r="D34">
        <v>8048</v>
      </c>
      <c r="E34">
        <v>8117</v>
      </c>
      <c r="F34">
        <v>9.1999999999999993</v>
      </c>
      <c r="G34">
        <v>6.8</v>
      </c>
      <c r="H34">
        <v>1.3529412000000001</v>
      </c>
      <c r="I34">
        <v>-0.35294110000000001</v>
      </c>
      <c r="J34">
        <v>0.42499999999999999</v>
      </c>
    </row>
    <row r="35" spans="1:10" x14ac:dyDescent="0.3">
      <c r="A35">
        <v>33</v>
      </c>
      <c r="B35">
        <v>527</v>
      </c>
      <c r="C35" t="b">
        <v>1</v>
      </c>
      <c r="D35">
        <v>8048</v>
      </c>
      <c r="E35">
        <v>8129</v>
      </c>
      <c r="F35">
        <v>9.1999999999999993</v>
      </c>
      <c r="G35">
        <v>6.8</v>
      </c>
      <c r="H35">
        <v>1.3529412000000001</v>
      </c>
      <c r="I35">
        <v>-0.35294110000000001</v>
      </c>
      <c r="J35">
        <v>0.42499999999999999</v>
      </c>
    </row>
    <row r="36" spans="1:10" x14ac:dyDescent="0.3">
      <c r="A36">
        <v>34</v>
      </c>
      <c r="B36">
        <v>543</v>
      </c>
      <c r="C36" t="b">
        <v>1</v>
      </c>
      <c r="D36">
        <v>8048</v>
      </c>
      <c r="E36">
        <v>8123</v>
      </c>
      <c r="F36">
        <v>9.1999999999999993</v>
      </c>
      <c r="G36">
        <v>7.2</v>
      </c>
      <c r="H36">
        <v>1.2777778</v>
      </c>
      <c r="I36">
        <v>-0.27777780000000002</v>
      </c>
      <c r="J36">
        <v>0.43902439999999998</v>
      </c>
    </row>
    <row r="37" spans="1:10" x14ac:dyDescent="0.3">
      <c r="A37">
        <v>35</v>
      </c>
      <c r="B37">
        <v>559</v>
      </c>
      <c r="C37" t="b">
        <v>1</v>
      </c>
      <c r="D37">
        <v>8054</v>
      </c>
      <c r="E37">
        <v>8129</v>
      </c>
      <c r="F37">
        <v>9.1999999999999993</v>
      </c>
      <c r="G37">
        <v>7.6</v>
      </c>
      <c r="H37">
        <v>1.2105262999999999</v>
      </c>
      <c r="I37">
        <v>-0.2105263</v>
      </c>
      <c r="J37">
        <v>0.45238096</v>
      </c>
    </row>
    <row r="38" spans="1:10" x14ac:dyDescent="0.3">
      <c r="A38">
        <v>36</v>
      </c>
      <c r="B38">
        <v>575</v>
      </c>
      <c r="C38" t="b">
        <v>1</v>
      </c>
      <c r="D38">
        <v>8048</v>
      </c>
      <c r="E38">
        <v>8129</v>
      </c>
      <c r="F38">
        <v>9.1999999999999993</v>
      </c>
      <c r="G38">
        <v>8.4</v>
      </c>
      <c r="H38">
        <v>1.0952381</v>
      </c>
      <c r="I38">
        <v>-9.5238119999999996E-2</v>
      </c>
      <c r="J38">
        <v>0.47727275000000002</v>
      </c>
    </row>
    <row r="39" spans="1:10" x14ac:dyDescent="0.3">
      <c r="A39">
        <v>37</v>
      </c>
      <c r="B39">
        <v>591</v>
      </c>
      <c r="C39" t="b">
        <v>1</v>
      </c>
      <c r="D39">
        <v>8048</v>
      </c>
      <c r="E39">
        <v>8123</v>
      </c>
      <c r="F39">
        <v>9.1999999999999993</v>
      </c>
      <c r="G39">
        <v>8.8000000000000007</v>
      </c>
      <c r="H39">
        <v>1.0454545</v>
      </c>
      <c r="I39">
        <v>-4.5454502000000001E-2</v>
      </c>
      <c r="J39">
        <v>0.48888890000000002</v>
      </c>
    </row>
    <row r="40" spans="1:10" x14ac:dyDescent="0.3">
      <c r="A40">
        <v>38</v>
      </c>
      <c r="B40">
        <v>607</v>
      </c>
      <c r="C40" t="b">
        <v>1</v>
      </c>
      <c r="D40">
        <v>8048</v>
      </c>
      <c r="E40">
        <v>8123</v>
      </c>
      <c r="F40">
        <v>9.1999999999999993</v>
      </c>
      <c r="G40">
        <v>8.8000000000000007</v>
      </c>
      <c r="H40">
        <v>1.0454545</v>
      </c>
      <c r="I40">
        <v>-4.5454502000000001E-2</v>
      </c>
      <c r="J40">
        <v>0.48888890000000002</v>
      </c>
    </row>
    <row r="41" spans="1:10" x14ac:dyDescent="0.3">
      <c r="A41">
        <v>39</v>
      </c>
      <c r="B41">
        <v>623</v>
      </c>
      <c r="C41" t="b">
        <v>1</v>
      </c>
      <c r="D41">
        <v>8048</v>
      </c>
      <c r="E41">
        <v>8123</v>
      </c>
      <c r="F41">
        <v>9.1999999999999993</v>
      </c>
      <c r="G41">
        <v>8.4</v>
      </c>
      <c r="H41">
        <v>1.0952381</v>
      </c>
      <c r="I41">
        <v>-9.5238119999999996E-2</v>
      </c>
      <c r="J41">
        <v>0.47727275000000002</v>
      </c>
    </row>
    <row r="42" spans="1:10" x14ac:dyDescent="0.3">
      <c r="A42">
        <v>40</v>
      </c>
      <c r="B42">
        <v>639</v>
      </c>
      <c r="C42" t="b">
        <v>1</v>
      </c>
      <c r="D42">
        <v>8048</v>
      </c>
      <c r="E42">
        <v>8123</v>
      </c>
      <c r="F42">
        <v>9.1999999999999993</v>
      </c>
      <c r="G42">
        <v>8</v>
      </c>
      <c r="H42">
        <v>1.1499999999999999</v>
      </c>
      <c r="I42">
        <v>-0.14999998</v>
      </c>
      <c r="J42">
        <v>0.46511626</v>
      </c>
    </row>
    <row r="43" spans="1:10" x14ac:dyDescent="0.3">
      <c r="A43">
        <v>41</v>
      </c>
      <c r="B43">
        <v>655</v>
      </c>
      <c r="C43" t="b">
        <v>1</v>
      </c>
      <c r="D43">
        <v>8048</v>
      </c>
      <c r="E43">
        <v>8129</v>
      </c>
      <c r="F43">
        <v>8.8000000000000007</v>
      </c>
      <c r="G43">
        <v>7.6</v>
      </c>
      <c r="H43">
        <v>1.1578946999999999</v>
      </c>
      <c r="I43">
        <v>-0.15789478000000001</v>
      </c>
      <c r="J43">
        <v>0.46341463999999999</v>
      </c>
    </row>
    <row r="44" spans="1:10" x14ac:dyDescent="0.3">
      <c r="A44">
        <v>42</v>
      </c>
      <c r="B44">
        <v>671</v>
      </c>
      <c r="C44" t="b">
        <v>1</v>
      </c>
      <c r="D44">
        <v>8048</v>
      </c>
      <c r="E44">
        <v>8123</v>
      </c>
      <c r="F44">
        <v>8.4</v>
      </c>
      <c r="G44">
        <v>7.2</v>
      </c>
      <c r="H44">
        <v>1.1666666000000001</v>
      </c>
      <c r="I44">
        <v>-0.16666664</v>
      </c>
      <c r="J44">
        <v>0.46153845999999998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8123</v>
      </c>
      <c r="F45">
        <v>8</v>
      </c>
      <c r="G45">
        <v>6.8</v>
      </c>
      <c r="H45">
        <v>1.1764705</v>
      </c>
      <c r="I45">
        <v>-0.17647055</v>
      </c>
      <c r="J45">
        <v>0.45945944999999999</v>
      </c>
    </row>
    <row r="46" spans="1:10" x14ac:dyDescent="0.3">
      <c r="A46">
        <v>44</v>
      </c>
      <c r="B46">
        <v>702</v>
      </c>
      <c r="C46" t="b">
        <v>1</v>
      </c>
      <c r="D46">
        <v>8048</v>
      </c>
      <c r="E46">
        <v>8134</v>
      </c>
      <c r="F46">
        <v>8</v>
      </c>
      <c r="G46">
        <v>7.2</v>
      </c>
      <c r="H46">
        <v>1.1111112000000001</v>
      </c>
      <c r="I46">
        <v>-0.11111114</v>
      </c>
      <c r="J46">
        <v>0.4736842</v>
      </c>
    </row>
    <row r="47" spans="1:10" x14ac:dyDescent="0.3">
      <c r="A47">
        <v>45</v>
      </c>
      <c r="B47">
        <v>718</v>
      </c>
      <c r="C47" t="b">
        <v>1</v>
      </c>
      <c r="D47">
        <v>8048</v>
      </c>
      <c r="E47">
        <v>8123</v>
      </c>
      <c r="F47">
        <v>8</v>
      </c>
      <c r="G47">
        <v>7.6</v>
      </c>
      <c r="H47">
        <v>1.0526316</v>
      </c>
      <c r="I47">
        <v>-5.2631589999999999E-2</v>
      </c>
      <c r="J47">
        <v>0.48717946000000001</v>
      </c>
    </row>
    <row r="48" spans="1:10" x14ac:dyDescent="0.3">
      <c r="A48">
        <v>46</v>
      </c>
      <c r="B48">
        <v>734</v>
      </c>
      <c r="C48" t="b">
        <v>1</v>
      </c>
      <c r="D48">
        <v>8048</v>
      </c>
      <c r="E48">
        <v>8123</v>
      </c>
      <c r="F48">
        <v>8</v>
      </c>
      <c r="G48">
        <v>8</v>
      </c>
      <c r="H48">
        <v>1</v>
      </c>
      <c r="I48">
        <v>0</v>
      </c>
      <c r="J48">
        <v>0.5</v>
      </c>
    </row>
    <row r="49" spans="1:10" x14ac:dyDescent="0.3">
      <c r="A49">
        <v>47</v>
      </c>
      <c r="B49">
        <v>750</v>
      </c>
      <c r="C49" t="b">
        <v>1</v>
      </c>
      <c r="D49">
        <v>8048</v>
      </c>
      <c r="E49">
        <v>8123</v>
      </c>
      <c r="F49">
        <v>8</v>
      </c>
      <c r="G49">
        <v>8.4</v>
      </c>
      <c r="H49">
        <v>0.95238100000000003</v>
      </c>
      <c r="I49">
        <v>4.7619003999999999E-2</v>
      </c>
      <c r="J49">
        <v>0.51219510000000001</v>
      </c>
    </row>
    <row r="50" spans="1:10" x14ac:dyDescent="0.3">
      <c r="A50">
        <v>48</v>
      </c>
      <c r="B50">
        <v>766</v>
      </c>
      <c r="C50" t="b">
        <v>1</v>
      </c>
      <c r="D50">
        <v>8048</v>
      </c>
      <c r="E50">
        <v>8129</v>
      </c>
      <c r="F50">
        <v>8</v>
      </c>
      <c r="G50">
        <v>8.8000000000000007</v>
      </c>
      <c r="H50">
        <v>0.90909090000000004</v>
      </c>
      <c r="I50">
        <v>9.0909110000000001E-2</v>
      </c>
      <c r="J50">
        <v>0.52380954999999996</v>
      </c>
    </row>
    <row r="51" spans="1:10" x14ac:dyDescent="0.3">
      <c r="A51">
        <v>49</v>
      </c>
      <c r="B51">
        <v>782</v>
      </c>
      <c r="C51" t="b">
        <v>1</v>
      </c>
      <c r="D51">
        <v>8048</v>
      </c>
      <c r="E51">
        <v>8123</v>
      </c>
      <c r="F51">
        <v>8</v>
      </c>
      <c r="G51">
        <v>8.8000000000000007</v>
      </c>
      <c r="H51">
        <v>0.90909090000000004</v>
      </c>
      <c r="I51">
        <v>9.0909110000000001E-2</v>
      </c>
      <c r="J51">
        <v>0.52380954999999996</v>
      </c>
    </row>
    <row r="52" spans="1:10" x14ac:dyDescent="0.3">
      <c r="A52">
        <v>50</v>
      </c>
      <c r="B52">
        <v>798</v>
      </c>
      <c r="C52" t="b">
        <v>1</v>
      </c>
      <c r="D52">
        <v>8054</v>
      </c>
      <c r="E52">
        <v>8123</v>
      </c>
      <c r="F52">
        <v>8</v>
      </c>
      <c r="G52">
        <v>8.8000000000000007</v>
      </c>
      <c r="H52">
        <v>0.90909090000000004</v>
      </c>
      <c r="I52">
        <v>9.0909110000000001E-2</v>
      </c>
      <c r="J52">
        <v>0.52380954999999996</v>
      </c>
    </row>
    <row r="53" spans="1:10" x14ac:dyDescent="0.3">
      <c r="A53">
        <v>51</v>
      </c>
      <c r="B53">
        <v>813</v>
      </c>
      <c r="C53" t="b">
        <v>1</v>
      </c>
      <c r="D53">
        <v>8048</v>
      </c>
      <c r="E53">
        <v>8129</v>
      </c>
      <c r="F53">
        <v>8</v>
      </c>
      <c r="G53">
        <v>8.4</v>
      </c>
      <c r="H53">
        <v>0.95238100000000003</v>
      </c>
      <c r="I53">
        <v>4.7619003999999999E-2</v>
      </c>
      <c r="J53">
        <v>0.51219510000000001</v>
      </c>
    </row>
    <row r="54" spans="1:10" x14ac:dyDescent="0.3">
      <c r="A54">
        <v>52</v>
      </c>
      <c r="B54">
        <v>830</v>
      </c>
      <c r="C54" t="b">
        <v>1</v>
      </c>
      <c r="D54">
        <v>8054</v>
      </c>
      <c r="E54">
        <v>8123</v>
      </c>
      <c r="F54">
        <v>8</v>
      </c>
      <c r="G54">
        <v>8</v>
      </c>
      <c r="H54">
        <v>1</v>
      </c>
      <c r="I54">
        <v>0</v>
      </c>
      <c r="J54">
        <v>0.5</v>
      </c>
    </row>
    <row r="55" spans="1:10" x14ac:dyDescent="0.3">
      <c r="A55">
        <v>53</v>
      </c>
      <c r="B55">
        <v>846</v>
      </c>
      <c r="C55" t="b">
        <v>1</v>
      </c>
      <c r="D55">
        <v>8048</v>
      </c>
      <c r="E55">
        <v>8129</v>
      </c>
      <c r="F55">
        <v>8</v>
      </c>
      <c r="G55">
        <v>8</v>
      </c>
      <c r="H55">
        <v>1</v>
      </c>
      <c r="I55">
        <v>0</v>
      </c>
      <c r="J55">
        <v>0.5</v>
      </c>
    </row>
    <row r="56" spans="1:10" x14ac:dyDescent="0.3">
      <c r="A56">
        <v>54</v>
      </c>
      <c r="B56">
        <v>861</v>
      </c>
      <c r="C56" t="b">
        <v>1</v>
      </c>
      <c r="D56">
        <v>8048</v>
      </c>
      <c r="E56">
        <v>8129</v>
      </c>
      <c r="F56">
        <v>8</v>
      </c>
      <c r="G56">
        <v>8.4</v>
      </c>
      <c r="H56">
        <v>0.95238100000000003</v>
      </c>
      <c r="I56">
        <v>4.7619003999999999E-2</v>
      </c>
      <c r="J56">
        <v>0.51219510000000001</v>
      </c>
    </row>
    <row r="57" spans="1:10" x14ac:dyDescent="0.3">
      <c r="A57">
        <v>55</v>
      </c>
      <c r="B57">
        <v>877</v>
      </c>
      <c r="C57" t="b">
        <v>1</v>
      </c>
      <c r="D57">
        <v>8048</v>
      </c>
      <c r="E57">
        <v>8134</v>
      </c>
      <c r="F57">
        <v>8</v>
      </c>
      <c r="G57">
        <v>8.8000000000000007</v>
      </c>
      <c r="H57">
        <v>0.90909090000000004</v>
      </c>
      <c r="I57">
        <v>9.0909110000000001E-2</v>
      </c>
      <c r="J57">
        <v>0.52380954999999996</v>
      </c>
    </row>
    <row r="58" spans="1:10" x14ac:dyDescent="0.3">
      <c r="A58">
        <v>56</v>
      </c>
      <c r="B58">
        <v>893</v>
      </c>
      <c r="C58" t="b">
        <v>1</v>
      </c>
      <c r="D58">
        <v>8042</v>
      </c>
      <c r="E58">
        <v>8123</v>
      </c>
      <c r="F58">
        <v>8</v>
      </c>
      <c r="G58">
        <v>9.1999999999999993</v>
      </c>
      <c r="H58">
        <v>0.86956524999999996</v>
      </c>
      <c r="I58">
        <v>0.13043477000000001</v>
      </c>
      <c r="J58">
        <v>0.53488369999999996</v>
      </c>
    </row>
    <row r="59" spans="1:10" x14ac:dyDescent="0.3">
      <c r="A59">
        <v>57</v>
      </c>
      <c r="B59">
        <v>909</v>
      </c>
      <c r="C59" t="b">
        <v>1</v>
      </c>
      <c r="D59">
        <v>8048</v>
      </c>
      <c r="E59">
        <v>8129</v>
      </c>
      <c r="F59">
        <v>8</v>
      </c>
      <c r="G59">
        <v>9.6</v>
      </c>
      <c r="H59">
        <v>0.83333330000000005</v>
      </c>
      <c r="I59">
        <v>0.1666667</v>
      </c>
      <c r="J59">
        <v>0.54545456000000003</v>
      </c>
    </row>
    <row r="60" spans="1:10" x14ac:dyDescent="0.3">
      <c r="A60">
        <v>58</v>
      </c>
      <c r="B60">
        <v>925</v>
      </c>
      <c r="C60" t="b">
        <v>1</v>
      </c>
      <c r="D60">
        <v>8048</v>
      </c>
      <c r="E60">
        <v>8117</v>
      </c>
      <c r="F60">
        <v>8</v>
      </c>
      <c r="G60">
        <v>10</v>
      </c>
      <c r="H60">
        <v>0.8</v>
      </c>
      <c r="I60">
        <v>0.2</v>
      </c>
      <c r="J60">
        <v>0.55555560000000004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8117</v>
      </c>
      <c r="F61">
        <v>8</v>
      </c>
      <c r="G61">
        <v>10</v>
      </c>
      <c r="H61">
        <v>0.8</v>
      </c>
      <c r="I61">
        <v>0.2</v>
      </c>
      <c r="J61">
        <v>0.55555560000000004</v>
      </c>
    </row>
    <row r="62" spans="1:10" x14ac:dyDescent="0.3">
      <c r="A62">
        <v>60</v>
      </c>
      <c r="B62">
        <v>956</v>
      </c>
      <c r="C62" t="b">
        <v>1</v>
      </c>
      <c r="D62">
        <v>8048</v>
      </c>
      <c r="E62">
        <v>8117</v>
      </c>
      <c r="F62">
        <v>8</v>
      </c>
      <c r="G62">
        <v>9.6</v>
      </c>
      <c r="H62">
        <v>0.83333330000000005</v>
      </c>
      <c r="I62">
        <v>0.1666667</v>
      </c>
      <c r="J62">
        <v>0.54545456000000003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9.1999999999999993</v>
      </c>
      <c r="H63">
        <v>0.86956524999999996</v>
      </c>
      <c r="I63">
        <v>0.13043477000000001</v>
      </c>
      <c r="J63">
        <v>0.53488369999999996</v>
      </c>
    </row>
    <row r="64" spans="1:10" x14ac:dyDescent="0.3">
      <c r="A64">
        <v>62</v>
      </c>
      <c r="B64">
        <v>988</v>
      </c>
      <c r="C64" t="b">
        <v>1</v>
      </c>
      <c r="D64">
        <v>8048</v>
      </c>
      <c r="E64">
        <v>8123</v>
      </c>
      <c r="F64">
        <v>8</v>
      </c>
      <c r="G64">
        <v>8.8000000000000007</v>
      </c>
      <c r="H64">
        <v>0.90909090000000004</v>
      </c>
      <c r="I64">
        <v>9.0909110000000001E-2</v>
      </c>
      <c r="J64">
        <v>0.52380954999999996</v>
      </c>
    </row>
    <row r="65" spans="1:10" x14ac:dyDescent="0.3">
      <c r="A65">
        <v>63</v>
      </c>
      <c r="B65">
        <v>1004</v>
      </c>
      <c r="C65" t="b">
        <v>1</v>
      </c>
      <c r="D65">
        <v>8048</v>
      </c>
      <c r="E65">
        <v>8123</v>
      </c>
      <c r="F65">
        <v>8</v>
      </c>
      <c r="G65">
        <v>8.8000000000000007</v>
      </c>
      <c r="H65">
        <v>0.90909090000000004</v>
      </c>
      <c r="I65">
        <v>9.0909110000000001E-2</v>
      </c>
      <c r="J65">
        <v>0.52380954999999996</v>
      </c>
    </row>
    <row r="66" spans="1:10" x14ac:dyDescent="0.3">
      <c r="A66">
        <v>64</v>
      </c>
      <c r="B66">
        <v>1020</v>
      </c>
      <c r="C66" t="b">
        <v>1</v>
      </c>
      <c r="D66">
        <v>8048</v>
      </c>
      <c r="E66">
        <v>8123</v>
      </c>
      <c r="F66">
        <v>8</v>
      </c>
      <c r="G66">
        <v>8.8000000000000007</v>
      </c>
      <c r="H66">
        <v>0.90909090000000004</v>
      </c>
      <c r="I66">
        <v>9.0909110000000001E-2</v>
      </c>
      <c r="J66">
        <v>0.52380954999999996</v>
      </c>
    </row>
    <row r="67" spans="1:10" x14ac:dyDescent="0.3">
      <c r="A67">
        <v>65</v>
      </c>
      <c r="B67">
        <v>1036</v>
      </c>
      <c r="C67" t="b">
        <v>1</v>
      </c>
      <c r="D67">
        <v>8048</v>
      </c>
      <c r="E67">
        <v>8123</v>
      </c>
      <c r="F67">
        <v>8</v>
      </c>
      <c r="G67">
        <v>8.8000000000000007</v>
      </c>
      <c r="H67">
        <v>0.90909090000000004</v>
      </c>
      <c r="I67">
        <v>9.0909110000000001E-2</v>
      </c>
      <c r="J67">
        <v>0.52380954999999996</v>
      </c>
    </row>
    <row r="68" spans="1:10" x14ac:dyDescent="0.3">
      <c r="A68">
        <v>66</v>
      </c>
      <c r="B68">
        <v>1052</v>
      </c>
      <c r="C68" t="b">
        <v>1</v>
      </c>
      <c r="D68">
        <v>8048</v>
      </c>
      <c r="E68">
        <v>8129</v>
      </c>
      <c r="F68">
        <v>8</v>
      </c>
      <c r="G68">
        <v>8.8000000000000007</v>
      </c>
      <c r="H68">
        <v>0.90909090000000004</v>
      </c>
      <c r="I68">
        <v>9.0909110000000001E-2</v>
      </c>
      <c r="J68">
        <v>0.52380954999999996</v>
      </c>
    </row>
    <row r="69" spans="1:10" x14ac:dyDescent="0.3">
      <c r="A69">
        <v>67</v>
      </c>
      <c r="B69">
        <v>1068</v>
      </c>
      <c r="C69" t="b">
        <v>1</v>
      </c>
      <c r="D69">
        <v>8048</v>
      </c>
      <c r="E69">
        <v>8123</v>
      </c>
      <c r="F69">
        <v>8</v>
      </c>
      <c r="G69">
        <v>8.8000000000000007</v>
      </c>
      <c r="H69">
        <v>0.90909090000000004</v>
      </c>
      <c r="I69">
        <v>9.0909110000000001E-2</v>
      </c>
      <c r="J69">
        <v>0.52380954999999996</v>
      </c>
    </row>
    <row r="70" spans="1:10" x14ac:dyDescent="0.3">
      <c r="A70">
        <v>68</v>
      </c>
      <c r="B70">
        <v>1084</v>
      </c>
      <c r="C70" t="b">
        <v>1</v>
      </c>
      <c r="D70">
        <v>8048</v>
      </c>
      <c r="E70">
        <v>8123</v>
      </c>
      <c r="F70">
        <v>8</v>
      </c>
      <c r="G70">
        <v>8.8000000000000007</v>
      </c>
      <c r="H70">
        <v>0.90909090000000004</v>
      </c>
      <c r="I70">
        <v>9.0909110000000001E-2</v>
      </c>
      <c r="J70">
        <v>0.52380954999999996</v>
      </c>
    </row>
    <row r="71" spans="1:10" x14ac:dyDescent="0.3">
      <c r="A71">
        <v>69</v>
      </c>
      <c r="B71">
        <v>1100</v>
      </c>
      <c r="C71" t="b">
        <v>1</v>
      </c>
      <c r="D71">
        <v>8048</v>
      </c>
      <c r="E71">
        <v>8129</v>
      </c>
      <c r="F71">
        <v>8</v>
      </c>
      <c r="G71">
        <v>8.4</v>
      </c>
      <c r="H71">
        <v>0.95238100000000003</v>
      </c>
      <c r="I71">
        <v>4.7619003999999999E-2</v>
      </c>
      <c r="J71">
        <v>0.51219510000000001</v>
      </c>
    </row>
    <row r="72" spans="1:10" x14ac:dyDescent="0.3">
      <c r="A72">
        <v>70</v>
      </c>
      <c r="B72">
        <v>1115</v>
      </c>
      <c r="C72" t="b">
        <v>1</v>
      </c>
      <c r="D72">
        <v>8048</v>
      </c>
      <c r="E72">
        <v>8117</v>
      </c>
      <c r="F72">
        <v>8</v>
      </c>
      <c r="G72">
        <v>8</v>
      </c>
      <c r="H72">
        <v>1</v>
      </c>
      <c r="I72">
        <v>0</v>
      </c>
      <c r="J72">
        <v>0.5</v>
      </c>
    </row>
    <row r="73" spans="1:10" x14ac:dyDescent="0.3">
      <c r="A73">
        <v>71</v>
      </c>
      <c r="B73">
        <v>1131</v>
      </c>
      <c r="C73" t="b">
        <v>1</v>
      </c>
      <c r="D73">
        <v>8048</v>
      </c>
      <c r="E73">
        <v>8117</v>
      </c>
      <c r="F73">
        <v>8</v>
      </c>
      <c r="G73">
        <v>7.6</v>
      </c>
      <c r="H73">
        <v>1.0526316</v>
      </c>
      <c r="I73">
        <v>-5.2631589999999999E-2</v>
      </c>
      <c r="J73">
        <v>0.48717946000000001</v>
      </c>
    </row>
    <row r="74" spans="1:10" x14ac:dyDescent="0.3">
      <c r="A74">
        <v>72</v>
      </c>
      <c r="B74">
        <v>1147</v>
      </c>
      <c r="C74" t="b">
        <v>1</v>
      </c>
      <c r="D74">
        <v>8048</v>
      </c>
      <c r="E74">
        <v>8123</v>
      </c>
      <c r="F74">
        <v>8</v>
      </c>
      <c r="G74">
        <v>7.2</v>
      </c>
      <c r="H74">
        <v>1.1111112000000001</v>
      </c>
      <c r="I74">
        <v>-0.11111114</v>
      </c>
      <c r="J74">
        <v>0.4736842</v>
      </c>
    </row>
    <row r="75" spans="1:10" x14ac:dyDescent="0.3">
      <c r="A75">
        <v>73</v>
      </c>
      <c r="B75">
        <v>1163</v>
      </c>
      <c r="C75" t="b">
        <v>1</v>
      </c>
      <c r="D75">
        <v>8048</v>
      </c>
      <c r="E75">
        <v>8117</v>
      </c>
      <c r="F75">
        <v>8</v>
      </c>
      <c r="G75">
        <v>6.4</v>
      </c>
      <c r="H75">
        <v>1.25</v>
      </c>
      <c r="I75">
        <v>-0.24999999000000001</v>
      </c>
      <c r="J75">
        <v>0.44444447999999998</v>
      </c>
    </row>
    <row r="76" spans="1:10" x14ac:dyDescent="0.3">
      <c r="A76">
        <v>74</v>
      </c>
      <c r="B76">
        <v>1178</v>
      </c>
      <c r="C76" t="b">
        <v>1</v>
      </c>
      <c r="D76">
        <v>8048</v>
      </c>
      <c r="E76">
        <v>8117</v>
      </c>
      <c r="F76">
        <v>8</v>
      </c>
      <c r="G76">
        <v>6</v>
      </c>
      <c r="H76">
        <v>1.3333333999999999</v>
      </c>
      <c r="I76">
        <v>-0.33333333999999998</v>
      </c>
      <c r="J76">
        <v>0.42857142999999998</v>
      </c>
    </row>
    <row r="77" spans="1:10" x14ac:dyDescent="0.3">
      <c r="A77">
        <v>75</v>
      </c>
      <c r="B77">
        <v>1194</v>
      </c>
      <c r="C77" t="b">
        <v>1</v>
      </c>
      <c r="D77">
        <v>8048</v>
      </c>
      <c r="E77">
        <v>8117</v>
      </c>
      <c r="F77">
        <v>8</v>
      </c>
      <c r="G77">
        <v>6</v>
      </c>
      <c r="H77">
        <v>1.3333333999999999</v>
      </c>
      <c r="I77">
        <v>-0.33333333999999998</v>
      </c>
      <c r="J77">
        <v>0.42857142999999998</v>
      </c>
    </row>
    <row r="78" spans="1:10" x14ac:dyDescent="0.3">
      <c r="A78">
        <v>76</v>
      </c>
      <c r="B78">
        <v>1210</v>
      </c>
      <c r="C78" t="b">
        <v>1</v>
      </c>
      <c r="D78">
        <v>8054</v>
      </c>
      <c r="E78">
        <v>8129</v>
      </c>
      <c r="F78">
        <v>8</v>
      </c>
      <c r="G78">
        <v>6</v>
      </c>
      <c r="H78">
        <v>1.3333333999999999</v>
      </c>
      <c r="I78">
        <v>-0.33333333999999998</v>
      </c>
      <c r="J78">
        <v>0.42857142999999998</v>
      </c>
    </row>
    <row r="79" spans="1:10" x14ac:dyDescent="0.3">
      <c r="A79">
        <v>77</v>
      </c>
      <c r="B79">
        <v>1226</v>
      </c>
      <c r="C79" t="b">
        <v>1</v>
      </c>
      <c r="D79">
        <v>8048</v>
      </c>
      <c r="E79">
        <v>8134</v>
      </c>
      <c r="F79">
        <v>8</v>
      </c>
      <c r="G79">
        <v>6</v>
      </c>
      <c r="H79">
        <v>1.3333333999999999</v>
      </c>
      <c r="I79">
        <v>-0.33333333999999998</v>
      </c>
      <c r="J79">
        <v>0.42857142999999998</v>
      </c>
    </row>
    <row r="80" spans="1:10" x14ac:dyDescent="0.3">
      <c r="A80">
        <v>78</v>
      </c>
      <c r="B80">
        <v>1242</v>
      </c>
      <c r="C80" t="b">
        <v>1</v>
      </c>
      <c r="D80">
        <v>8042</v>
      </c>
      <c r="E80">
        <v>8129</v>
      </c>
      <c r="F80">
        <v>8</v>
      </c>
      <c r="G80">
        <v>6.4</v>
      </c>
      <c r="H80">
        <v>1.25</v>
      </c>
      <c r="I80">
        <v>-0.24999999000000001</v>
      </c>
      <c r="J80">
        <v>0.44444447999999998</v>
      </c>
    </row>
    <row r="81" spans="1:10" x14ac:dyDescent="0.3">
      <c r="A81">
        <v>79</v>
      </c>
      <c r="B81">
        <v>1257</v>
      </c>
      <c r="C81" t="b">
        <v>1</v>
      </c>
      <c r="D81">
        <v>8048</v>
      </c>
      <c r="E81">
        <v>8129</v>
      </c>
      <c r="F81">
        <v>8</v>
      </c>
      <c r="G81">
        <v>6.8</v>
      </c>
      <c r="H81">
        <v>1.1764705</v>
      </c>
      <c r="I81">
        <v>-0.17647055</v>
      </c>
      <c r="J81">
        <v>0.45945944999999999</v>
      </c>
    </row>
    <row r="82" spans="1:10" x14ac:dyDescent="0.3">
      <c r="A82">
        <v>80</v>
      </c>
      <c r="B82">
        <v>1274</v>
      </c>
      <c r="C82" t="b">
        <v>1</v>
      </c>
      <c r="D82">
        <v>8048</v>
      </c>
      <c r="E82">
        <v>8123</v>
      </c>
      <c r="F82">
        <v>8</v>
      </c>
      <c r="G82">
        <v>7.2</v>
      </c>
      <c r="H82">
        <v>1.1111112000000001</v>
      </c>
      <c r="I82">
        <v>-0.11111114</v>
      </c>
      <c r="J82">
        <v>0.4736842</v>
      </c>
    </row>
    <row r="83" spans="1:10" x14ac:dyDescent="0.3">
      <c r="A83">
        <v>81</v>
      </c>
      <c r="B83">
        <v>1290</v>
      </c>
      <c r="C83" t="b">
        <v>1</v>
      </c>
      <c r="D83">
        <v>8054</v>
      </c>
      <c r="E83">
        <v>8129</v>
      </c>
      <c r="F83">
        <v>8</v>
      </c>
      <c r="G83">
        <v>7.6</v>
      </c>
      <c r="H83">
        <v>1.0526316</v>
      </c>
      <c r="I83">
        <v>-5.2631589999999999E-2</v>
      </c>
      <c r="J83">
        <v>0.48717946000000001</v>
      </c>
    </row>
    <row r="84" spans="1:10" x14ac:dyDescent="0.3">
      <c r="A84">
        <v>82</v>
      </c>
      <c r="B84">
        <v>1306</v>
      </c>
      <c r="C84" t="b">
        <v>1</v>
      </c>
      <c r="D84">
        <v>8048</v>
      </c>
      <c r="E84">
        <v>8129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1322</v>
      </c>
      <c r="C85" t="b">
        <v>1</v>
      </c>
      <c r="D85">
        <v>8048</v>
      </c>
      <c r="E85">
        <v>8117</v>
      </c>
      <c r="F85">
        <v>8</v>
      </c>
      <c r="G85">
        <v>8.4</v>
      </c>
      <c r="H85">
        <v>0.95238100000000003</v>
      </c>
      <c r="I85">
        <v>4.7619003999999999E-2</v>
      </c>
      <c r="J85">
        <v>0.51219510000000001</v>
      </c>
    </row>
    <row r="86" spans="1:10" x14ac:dyDescent="0.3">
      <c r="A86">
        <v>84</v>
      </c>
      <c r="B86">
        <v>1338</v>
      </c>
      <c r="C86" t="b">
        <v>1</v>
      </c>
      <c r="D86">
        <v>8048</v>
      </c>
      <c r="E86">
        <v>8117</v>
      </c>
      <c r="F86">
        <v>8</v>
      </c>
      <c r="G86">
        <v>8.4</v>
      </c>
      <c r="H86">
        <v>0.95238100000000003</v>
      </c>
      <c r="I86">
        <v>4.7619003999999999E-2</v>
      </c>
      <c r="J86">
        <v>0.51219510000000001</v>
      </c>
    </row>
    <row r="87" spans="1:10" x14ac:dyDescent="0.3">
      <c r="A87">
        <v>85</v>
      </c>
      <c r="B87">
        <v>1354</v>
      </c>
      <c r="C87" t="b">
        <v>1</v>
      </c>
      <c r="D87">
        <v>8042</v>
      </c>
      <c r="E87">
        <v>8123</v>
      </c>
      <c r="F87">
        <v>8</v>
      </c>
      <c r="G87">
        <v>8.4</v>
      </c>
      <c r="H87">
        <v>0.95238100000000003</v>
      </c>
      <c r="I87">
        <v>4.7619003999999999E-2</v>
      </c>
      <c r="J87">
        <v>0.51219510000000001</v>
      </c>
    </row>
    <row r="88" spans="1:10" x14ac:dyDescent="0.3">
      <c r="A88">
        <v>86</v>
      </c>
      <c r="B88">
        <v>1370</v>
      </c>
      <c r="C88" t="b">
        <v>1</v>
      </c>
      <c r="D88">
        <v>8048</v>
      </c>
      <c r="E88">
        <v>8117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1386</v>
      </c>
      <c r="C89" t="b">
        <v>1</v>
      </c>
      <c r="D89">
        <v>8048</v>
      </c>
      <c r="E89">
        <v>8123</v>
      </c>
      <c r="F89">
        <v>8</v>
      </c>
      <c r="G89">
        <v>7.6</v>
      </c>
      <c r="H89">
        <v>1.0526316</v>
      </c>
      <c r="I89">
        <v>-5.2631589999999999E-2</v>
      </c>
      <c r="J89">
        <v>0.48717946000000001</v>
      </c>
    </row>
    <row r="90" spans="1:10" x14ac:dyDescent="0.3">
      <c r="A90">
        <v>88</v>
      </c>
      <c r="B90">
        <v>1401</v>
      </c>
      <c r="C90" t="b">
        <v>1</v>
      </c>
      <c r="D90">
        <v>8048</v>
      </c>
      <c r="E90">
        <v>8129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1417</v>
      </c>
      <c r="C91" t="b">
        <v>1</v>
      </c>
      <c r="D91">
        <v>8048</v>
      </c>
      <c r="E91">
        <v>8123</v>
      </c>
      <c r="F91">
        <v>8</v>
      </c>
      <c r="G91">
        <v>8.4</v>
      </c>
      <c r="H91">
        <v>0.95238100000000003</v>
      </c>
      <c r="I91">
        <v>4.7619003999999999E-2</v>
      </c>
      <c r="J91">
        <v>0.51219510000000001</v>
      </c>
    </row>
    <row r="92" spans="1:10" x14ac:dyDescent="0.3">
      <c r="A92">
        <v>90</v>
      </c>
      <c r="B92">
        <v>1433</v>
      </c>
      <c r="C92" t="b">
        <v>1</v>
      </c>
      <c r="D92">
        <v>8048</v>
      </c>
      <c r="E92">
        <v>8129</v>
      </c>
      <c r="F92">
        <v>8</v>
      </c>
      <c r="G92">
        <v>8.8000000000000007</v>
      </c>
      <c r="H92">
        <v>0.90909090000000004</v>
      </c>
      <c r="I92">
        <v>9.0909110000000001E-2</v>
      </c>
      <c r="J92">
        <v>0.52380954999999996</v>
      </c>
    </row>
    <row r="93" spans="1:10" x14ac:dyDescent="0.3">
      <c r="A93">
        <v>91</v>
      </c>
      <c r="B93">
        <v>1449</v>
      </c>
      <c r="C93" t="b">
        <v>1</v>
      </c>
      <c r="D93">
        <v>8048</v>
      </c>
      <c r="E93">
        <v>8129</v>
      </c>
      <c r="F93">
        <v>8</v>
      </c>
      <c r="G93">
        <v>9.6</v>
      </c>
      <c r="H93">
        <v>0.83333330000000005</v>
      </c>
      <c r="I93">
        <v>0.1666667</v>
      </c>
      <c r="J93">
        <v>0.54545456000000003</v>
      </c>
    </row>
    <row r="94" spans="1:10" x14ac:dyDescent="0.3">
      <c r="A94">
        <v>92</v>
      </c>
      <c r="B94">
        <v>1465</v>
      </c>
      <c r="C94" t="b">
        <v>1</v>
      </c>
      <c r="D94">
        <v>8048</v>
      </c>
      <c r="E94">
        <v>8129</v>
      </c>
      <c r="F94">
        <v>8</v>
      </c>
      <c r="G94">
        <v>10.4</v>
      </c>
      <c r="H94">
        <v>0.76923079999999999</v>
      </c>
      <c r="I94">
        <v>0.23076920000000001</v>
      </c>
      <c r="J94">
        <v>0.56521739999999998</v>
      </c>
    </row>
    <row r="95" spans="1:10" x14ac:dyDescent="0.3">
      <c r="A95">
        <v>93</v>
      </c>
      <c r="B95">
        <v>1481</v>
      </c>
      <c r="C95" t="b">
        <v>1</v>
      </c>
      <c r="D95">
        <v>8048</v>
      </c>
      <c r="E95">
        <v>8134</v>
      </c>
      <c r="F95">
        <v>8</v>
      </c>
      <c r="G95">
        <v>10.4</v>
      </c>
      <c r="H95">
        <v>0.76923079999999999</v>
      </c>
      <c r="I95">
        <v>0.23076920000000001</v>
      </c>
      <c r="J95">
        <v>0.56521739999999998</v>
      </c>
    </row>
    <row r="96" spans="1:10" x14ac:dyDescent="0.3">
      <c r="A96">
        <v>94</v>
      </c>
      <c r="B96">
        <v>1497</v>
      </c>
      <c r="C96" t="b">
        <v>1</v>
      </c>
      <c r="D96">
        <v>8042</v>
      </c>
      <c r="E96">
        <v>8123</v>
      </c>
      <c r="F96">
        <v>8</v>
      </c>
      <c r="G96">
        <v>10.4</v>
      </c>
      <c r="H96">
        <v>0.76923079999999999</v>
      </c>
      <c r="I96">
        <v>0.23076920000000001</v>
      </c>
      <c r="J96">
        <v>0.56521739999999998</v>
      </c>
    </row>
    <row r="97" spans="1:10" x14ac:dyDescent="0.3">
      <c r="A97">
        <v>95</v>
      </c>
      <c r="B97">
        <v>1513</v>
      </c>
      <c r="C97" t="b">
        <v>1</v>
      </c>
      <c r="D97">
        <v>8048</v>
      </c>
      <c r="E97">
        <v>8117</v>
      </c>
      <c r="F97">
        <v>8</v>
      </c>
      <c r="G97">
        <v>10.4</v>
      </c>
      <c r="H97">
        <v>0.76923079999999999</v>
      </c>
      <c r="I97">
        <v>0.23076920000000001</v>
      </c>
      <c r="J97">
        <v>0.56521739999999998</v>
      </c>
    </row>
    <row r="98" spans="1:10" x14ac:dyDescent="0.3">
      <c r="A98">
        <v>96</v>
      </c>
      <c r="B98">
        <v>1529</v>
      </c>
      <c r="C98" t="b">
        <v>1</v>
      </c>
      <c r="D98">
        <v>8048</v>
      </c>
      <c r="E98">
        <v>8117</v>
      </c>
      <c r="F98">
        <v>8</v>
      </c>
      <c r="G98">
        <v>10</v>
      </c>
      <c r="H98">
        <v>0.8</v>
      </c>
      <c r="I98">
        <v>0.2</v>
      </c>
      <c r="J98">
        <v>0.55555560000000004</v>
      </c>
    </row>
    <row r="99" spans="1:10" x14ac:dyDescent="0.3">
      <c r="A99">
        <v>97</v>
      </c>
      <c r="B99">
        <v>1545</v>
      </c>
      <c r="C99" t="b">
        <v>1</v>
      </c>
      <c r="D99">
        <v>8054</v>
      </c>
      <c r="E99">
        <v>8117</v>
      </c>
      <c r="F99">
        <v>8</v>
      </c>
      <c r="G99">
        <v>9.1999999999999993</v>
      </c>
      <c r="H99">
        <v>0.86956524999999996</v>
      </c>
      <c r="I99">
        <v>0.13043477000000001</v>
      </c>
      <c r="J99">
        <v>0.53488369999999996</v>
      </c>
    </row>
    <row r="100" spans="1:10" x14ac:dyDescent="0.3">
      <c r="A100">
        <v>98</v>
      </c>
      <c r="B100">
        <v>1561</v>
      </c>
      <c r="C100" t="b">
        <v>1</v>
      </c>
      <c r="D100">
        <v>8048</v>
      </c>
      <c r="E100">
        <v>8117</v>
      </c>
      <c r="F100">
        <v>8</v>
      </c>
      <c r="G100">
        <v>8.4</v>
      </c>
      <c r="H100">
        <v>0.95238100000000003</v>
      </c>
      <c r="I100">
        <v>4.7619003999999999E-2</v>
      </c>
      <c r="J100">
        <v>0.51219510000000001</v>
      </c>
    </row>
    <row r="101" spans="1:10" x14ac:dyDescent="0.3">
      <c r="A101">
        <v>99</v>
      </c>
      <c r="B101">
        <v>1577</v>
      </c>
      <c r="C101" t="b">
        <v>1</v>
      </c>
      <c r="D101">
        <v>8048</v>
      </c>
      <c r="E101">
        <v>8117</v>
      </c>
      <c r="F101">
        <v>8</v>
      </c>
      <c r="G101">
        <v>8</v>
      </c>
      <c r="H101">
        <v>1</v>
      </c>
      <c r="I101">
        <v>0</v>
      </c>
      <c r="J101">
        <v>0.5</v>
      </c>
    </row>
    <row r="102" spans="1:10" x14ac:dyDescent="0.3">
      <c r="A102">
        <v>100</v>
      </c>
      <c r="B102">
        <v>1592</v>
      </c>
      <c r="C102" t="b">
        <v>1</v>
      </c>
      <c r="D102">
        <v>8048</v>
      </c>
      <c r="E102">
        <v>8117</v>
      </c>
      <c r="F102">
        <v>8</v>
      </c>
      <c r="G102">
        <v>7.6</v>
      </c>
      <c r="H102">
        <v>1.0526316</v>
      </c>
      <c r="I102">
        <v>-5.2631589999999999E-2</v>
      </c>
      <c r="J102">
        <v>0.48717946000000001</v>
      </c>
    </row>
    <row r="103" spans="1:10" x14ac:dyDescent="0.3">
      <c r="A103">
        <v>101</v>
      </c>
      <c r="B103">
        <v>1608</v>
      </c>
      <c r="C103" t="b">
        <v>1</v>
      </c>
      <c r="D103">
        <v>8048</v>
      </c>
      <c r="E103">
        <v>8129</v>
      </c>
      <c r="F103">
        <v>8</v>
      </c>
      <c r="G103">
        <v>7.6</v>
      </c>
      <c r="H103">
        <v>1.0526316</v>
      </c>
      <c r="I103">
        <v>-5.2631589999999999E-2</v>
      </c>
      <c r="J103">
        <v>0.48717946000000001</v>
      </c>
    </row>
    <row r="104" spans="1:10" x14ac:dyDescent="0.3">
      <c r="A104">
        <v>102</v>
      </c>
      <c r="B104">
        <v>1624</v>
      </c>
      <c r="C104" t="b">
        <v>1</v>
      </c>
      <c r="D104">
        <v>8048</v>
      </c>
      <c r="E104">
        <v>8129</v>
      </c>
      <c r="F104">
        <v>8</v>
      </c>
      <c r="G104">
        <v>7.6</v>
      </c>
      <c r="H104">
        <v>1.0526316</v>
      </c>
      <c r="I104">
        <v>-5.2631589999999999E-2</v>
      </c>
      <c r="J104">
        <v>0.48717946000000001</v>
      </c>
    </row>
    <row r="105" spans="1:10" x14ac:dyDescent="0.3">
      <c r="A105">
        <v>103</v>
      </c>
      <c r="B105">
        <v>1640</v>
      </c>
      <c r="C105" t="b">
        <v>1</v>
      </c>
      <c r="D105">
        <v>8048</v>
      </c>
      <c r="E105">
        <v>8123</v>
      </c>
      <c r="F105">
        <v>8</v>
      </c>
      <c r="G105">
        <v>7.6</v>
      </c>
      <c r="H105">
        <v>1.0526316</v>
      </c>
      <c r="I105">
        <v>-5.2631589999999999E-2</v>
      </c>
      <c r="J105">
        <v>0.48717946000000001</v>
      </c>
    </row>
    <row r="106" spans="1:10" x14ac:dyDescent="0.3">
      <c r="A106">
        <v>104</v>
      </c>
      <c r="B106">
        <v>1656</v>
      </c>
      <c r="C106" t="b">
        <v>1</v>
      </c>
      <c r="D106">
        <v>8054</v>
      </c>
      <c r="E106">
        <v>8129</v>
      </c>
      <c r="F106">
        <v>8</v>
      </c>
      <c r="G106">
        <v>8</v>
      </c>
      <c r="H106">
        <v>1</v>
      </c>
      <c r="I106">
        <v>0</v>
      </c>
      <c r="J106">
        <v>0.5</v>
      </c>
    </row>
    <row r="107" spans="1:10" x14ac:dyDescent="0.3">
      <c r="A107">
        <v>105</v>
      </c>
      <c r="B107">
        <v>1672</v>
      </c>
      <c r="C107" t="b">
        <v>1</v>
      </c>
      <c r="D107">
        <v>8054</v>
      </c>
      <c r="E107">
        <v>8129</v>
      </c>
      <c r="F107">
        <v>8</v>
      </c>
      <c r="G107">
        <v>8.4</v>
      </c>
      <c r="H107">
        <v>0.95238100000000003</v>
      </c>
      <c r="I107">
        <v>4.7619003999999999E-2</v>
      </c>
      <c r="J107">
        <v>0.51219510000000001</v>
      </c>
    </row>
    <row r="108" spans="1:10" x14ac:dyDescent="0.3">
      <c r="A108">
        <v>106</v>
      </c>
      <c r="B108">
        <v>1687</v>
      </c>
      <c r="C108" t="b">
        <v>1</v>
      </c>
      <c r="D108">
        <v>8054</v>
      </c>
      <c r="E108">
        <v>8123</v>
      </c>
      <c r="F108">
        <v>8.4</v>
      </c>
      <c r="G108">
        <v>8.4</v>
      </c>
      <c r="H108">
        <v>1</v>
      </c>
      <c r="I108">
        <v>0</v>
      </c>
      <c r="J108">
        <v>0.5</v>
      </c>
    </row>
    <row r="109" spans="1:10" x14ac:dyDescent="0.3">
      <c r="A109">
        <v>107</v>
      </c>
      <c r="B109">
        <v>1703</v>
      </c>
      <c r="C109" t="b">
        <v>1</v>
      </c>
      <c r="D109">
        <v>8054</v>
      </c>
      <c r="E109">
        <v>8117</v>
      </c>
      <c r="F109">
        <v>8.8000000000000007</v>
      </c>
      <c r="G109">
        <v>8</v>
      </c>
      <c r="H109">
        <v>1.1000000000000001</v>
      </c>
      <c r="I109">
        <v>-0.10000002400000001</v>
      </c>
      <c r="J109">
        <v>0.47619050000000002</v>
      </c>
    </row>
    <row r="110" spans="1:10" x14ac:dyDescent="0.3">
      <c r="A110">
        <v>108</v>
      </c>
      <c r="B110">
        <v>1720</v>
      </c>
      <c r="C110" t="b">
        <v>1</v>
      </c>
      <c r="D110">
        <v>8054</v>
      </c>
      <c r="E110">
        <v>8123</v>
      </c>
      <c r="F110">
        <v>9.1999999999999993</v>
      </c>
      <c r="G110">
        <v>7.6</v>
      </c>
      <c r="H110">
        <v>1.2105262999999999</v>
      </c>
      <c r="I110">
        <v>-0.2105263</v>
      </c>
      <c r="J110">
        <v>0.45238096</v>
      </c>
    </row>
    <row r="111" spans="1:10" x14ac:dyDescent="0.3">
      <c r="A111">
        <v>109</v>
      </c>
      <c r="B111">
        <v>1735</v>
      </c>
      <c r="C111" t="b">
        <v>1</v>
      </c>
      <c r="D111">
        <v>8054</v>
      </c>
      <c r="E111">
        <v>8123</v>
      </c>
      <c r="F111">
        <v>9.6</v>
      </c>
      <c r="G111">
        <v>7.2</v>
      </c>
      <c r="H111">
        <v>1.3333333999999999</v>
      </c>
      <c r="I111">
        <v>-0.33333342999999999</v>
      </c>
      <c r="J111">
        <v>0.42857142999999998</v>
      </c>
    </row>
    <row r="112" spans="1:10" x14ac:dyDescent="0.3">
      <c r="A112">
        <v>110</v>
      </c>
      <c r="B112">
        <v>1751</v>
      </c>
      <c r="C112" t="b">
        <v>1</v>
      </c>
      <c r="D112">
        <v>8048</v>
      </c>
      <c r="E112">
        <v>8123</v>
      </c>
      <c r="F112">
        <v>10</v>
      </c>
      <c r="G112">
        <v>6.8</v>
      </c>
      <c r="H112">
        <v>1.4705881999999999</v>
      </c>
      <c r="I112">
        <v>-0.47058820000000001</v>
      </c>
      <c r="J112">
        <v>0.40476193999999999</v>
      </c>
    </row>
    <row r="113" spans="1:10" x14ac:dyDescent="0.3">
      <c r="A113">
        <v>111</v>
      </c>
      <c r="B113">
        <v>1767</v>
      </c>
      <c r="C113" t="b">
        <v>1</v>
      </c>
      <c r="D113">
        <v>8048</v>
      </c>
      <c r="E113">
        <v>8117</v>
      </c>
      <c r="F113">
        <v>10.4</v>
      </c>
      <c r="G113">
        <v>6.8</v>
      </c>
      <c r="H113">
        <v>1.5294117</v>
      </c>
      <c r="I113">
        <v>-0.52941170000000004</v>
      </c>
      <c r="J113">
        <v>0.39534881999999999</v>
      </c>
    </row>
    <row r="114" spans="1:10" x14ac:dyDescent="0.3">
      <c r="A114">
        <v>112</v>
      </c>
      <c r="B114">
        <v>1783</v>
      </c>
      <c r="C114" t="b">
        <v>1</v>
      </c>
      <c r="D114">
        <v>8048</v>
      </c>
      <c r="E114">
        <v>8129</v>
      </c>
      <c r="F114">
        <v>10.4</v>
      </c>
      <c r="G114">
        <v>7.2</v>
      </c>
      <c r="H114">
        <v>1.4444444000000001</v>
      </c>
      <c r="I114">
        <v>-0.44444442000000001</v>
      </c>
      <c r="J114">
        <v>0.40909094000000001</v>
      </c>
    </row>
    <row r="115" spans="1:10" x14ac:dyDescent="0.3">
      <c r="A115">
        <v>113</v>
      </c>
      <c r="B115">
        <v>1799</v>
      </c>
      <c r="C115" t="b">
        <v>1</v>
      </c>
      <c r="D115">
        <v>8048</v>
      </c>
      <c r="E115">
        <v>8129</v>
      </c>
      <c r="F115">
        <v>10.4</v>
      </c>
      <c r="G115">
        <v>7.6</v>
      </c>
      <c r="H115">
        <v>1.3684210999999999</v>
      </c>
      <c r="I115">
        <v>-0.36842101999999999</v>
      </c>
      <c r="J115">
        <v>0.42222222999999998</v>
      </c>
    </row>
    <row r="116" spans="1:10" x14ac:dyDescent="0.3">
      <c r="A116">
        <v>114</v>
      </c>
      <c r="B116">
        <v>1815</v>
      </c>
      <c r="C116" t="b">
        <v>1</v>
      </c>
      <c r="D116">
        <v>8048</v>
      </c>
      <c r="E116">
        <v>8129</v>
      </c>
      <c r="F116">
        <v>10.4</v>
      </c>
      <c r="G116">
        <v>8.4</v>
      </c>
      <c r="H116">
        <v>1.2380952999999999</v>
      </c>
      <c r="I116">
        <v>-0.23809525000000001</v>
      </c>
      <c r="J116">
        <v>0.44680851999999999</v>
      </c>
    </row>
    <row r="117" spans="1:10" x14ac:dyDescent="0.3">
      <c r="A117">
        <v>115</v>
      </c>
      <c r="B117">
        <v>1831</v>
      </c>
      <c r="C117" t="b">
        <v>1</v>
      </c>
      <c r="D117">
        <v>8048</v>
      </c>
      <c r="E117">
        <v>8117</v>
      </c>
      <c r="F117">
        <v>10.4</v>
      </c>
      <c r="G117">
        <v>9.1999999999999993</v>
      </c>
      <c r="H117">
        <v>1.1304348</v>
      </c>
      <c r="I117">
        <v>-0.13043477000000001</v>
      </c>
      <c r="J117">
        <v>0.46938776999999998</v>
      </c>
    </row>
    <row r="118" spans="1:10" x14ac:dyDescent="0.3">
      <c r="A118">
        <v>116</v>
      </c>
      <c r="B118">
        <v>1847</v>
      </c>
      <c r="C118" t="b">
        <v>1</v>
      </c>
      <c r="D118">
        <v>8048</v>
      </c>
      <c r="E118">
        <v>8117</v>
      </c>
      <c r="F118">
        <v>10.4</v>
      </c>
      <c r="G118">
        <v>10</v>
      </c>
      <c r="H118">
        <v>1.04</v>
      </c>
      <c r="I118">
        <v>-3.9999960000000001E-2</v>
      </c>
      <c r="J118">
        <v>0.49019607999999998</v>
      </c>
    </row>
    <row r="119" spans="1:10" x14ac:dyDescent="0.3">
      <c r="A119">
        <v>117</v>
      </c>
      <c r="B119">
        <v>1863</v>
      </c>
      <c r="C119" t="b">
        <v>1</v>
      </c>
      <c r="D119">
        <v>8048</v>
      </c>
      <c r="E119">
        <v>8129</v>
      </c>
      <c r="F119">
        <v>10.4</v>
      </c>
      <c r="G119">
        <v>10.8</v>
      </c>
      <c r="H119">
        <v>0.96296289999999996</v>
      </c>
      <c r="I119">
        <v>3.7037090000000002E-2</v>
      </c>
      <c r="J119">
        <v>0.5094339</v>
      </c>
    </row>
    <row r="120" spans="1:10" x14ac:dyDescent="0.3">
      <c r="A120">
        <v>118</v>
      </c>
      <c r="B120">
        <v>1879</v>
      </c>
      <c r="C120" t="b">
        <v>1</v>
      </c>
      <c r="D120">
        <v>8048</v>
      </c>
      <c r="E120">
        <v>8117</v>
      </c>
      <c r="F120">
        <v>10.4</v>
      </c>
      <c r="G120">
        <v>10.4</v>
      </c>
      <c r="H120">
        <v>1</v>
      </c>
      <c r="I120">
        <v>0</v>
      </c>
      <c r="J120">
        <v>0.5</v>
      </c>
    </row>
    <row r="121" spans="1:10" x14ac:dyDescent="0.3">
      <c r="A121">
        <v>119</v>
      </c>
      <c r="B121">
        <v>1894</v>
      </c>
      <c r="C121" t="b">
        <v>1</v>
      </c>
      <c r="D121">
        <v>8048</v>
      </c>
      <c r="E121">
        <v>8123</v>
      </c>
      <c r="F121">
        <v>10.4</v>
      </c>
      <c r="G121">
        <v>9.6</v>
      </c>
      <c r="H121">
        <v>1.0833333000000001</v>
      </c>
      <c r="I121">
        <v>-8.3333253999999995E-2</v>
      </c>
      <c r="J121">
        <v>0.48000002000000003</v>
      </c>
    </row>
    <row r="122" spans="1:10" x14ac:dyDescent="0.3">
      <c r="A122">
        <v>120</v>
      </c>
      <c r="B122">
        <v>1910</v>
      </c>
      <c r="C122" t="b">
        <v>1</v>
      </c>
      <c r="D122">
        <v>8048</v>
      </c>
      <c r="E122">
        <v>8123</v>
      </c>
      <c r="F122">
        <v>10.4</v>
      </c>
      <c r="G122">
        <v>9.1999999999999993</v>
      </c>
      <c r="H122">
        <v>1.1304348</v>
      </c>
      <c r="I122">
        <v>-0.13043477000000001</v>
      </c>
      <c r="J122">
        <v>0.46938776999999998</v>
      </c>
    </row>
    <row r="123" spans="1:10" x14ac:dyDescent="0.3">
      <c r="A123">
        <v>121</v>
      </c>
      <c r="B123">
        <v>1926</v>
      </c>
      <c r="C123" t="b">
        <v>1</v>
      </c>
      <c r="D123">
        <v>8054</v>
      </c>
      <c r="E123">
        <v>8123</v>
      </c>
      <c r="F123">
        <v>10</v>
      </c>
      <c r="G123">
        <v>8.8000000000000007</v>
      </c>
      <c r="H123">
        <v>1.1363635999999999</v>
      </c>
      <c r="I123">
        <v>-0.13636361</v>
      </c>
      <c r="J123">
        <v>0.46808514000000001</v>
      </c>
    </row>
    <row r="124" spans="1:10" x14ac:dyDescent="0.3">
      <c r="A124">
        <v>122</v>
      </c>
      <c r="B124">
        <v>1942</v>
      </c>
      <c r="C124" t="b">
        <v>1</v>
      </c>
      <c r="D124">
        <v>8054</v>
      </c>
      <c r="E124">
        <v>8117</v>
      </c>
      <c r="F124">
        <v>9.6</v>
      </c>
      <c r="G124">
        <v>8.8000000000000007</v>
      </c>
      <c r="H124">
        <v>1.0909091</v>
      </c>
      <c r="I124">
        <v>-9.0909110000000001E-2</v>
      </c>
      <c r="J124">
        <v>0.47826084000000002</v>
      </c>
    </row>
    <row r="125" spans="1:10" x14ac:dyDescent="0.3">
      <c r="A125">
        <v>123</v>
      </c>
      <c r="B125">
        <v>1958</v>
      </c>
      <c r="C125" t="b">
        <v>1</v>
      </c>
      <c r="D125">
        <v>8048</v>
      </c>
      <c r="E125">
        <v>8123</v>
      </c>
      <c r="F125">
        <v>9.1999999999999993</v>
      </c>
      <c r="G125">
        <v>8.8000000000000007</v>
      </c>
      <c r="H125">
        <v>1.0454545</v>
      </c>
      <c r="I125">
        <v>-4.5454502000000001E-2</v>
      </c>
      <c r="J125">
        <v>0.48888890000000002</v>
      </c>
    </row>
    <row r="126" spans="1:10" x14ac:dyDescent="0.3">
      <c r="A126">
        <v>124</v>
      </c>
      <c r="B126">
        <v>1974</v>
      </c>
      <c r="C126" t="b">
        <v>1</v>
      </c>
      <c r="D126">
        <v>8048</v>
      </c>
      <c r="E126">
        <v>8129</v>
      </c>
      <c r="F126">
        <v>8.8000000000000007</v>
      </c>
      <c r="G126">
        <v>8.8000000000000007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1990</v>
      </c>
      <c r="C127" t="b">
        <v>1</v>
      </c>
      <c r="D127">
        <v>8048</v>
      </c>
      <c r="E127">
        <v>8117</v>
      </c>
      <c r="F127">
        <v>8.4</v>
      </c>
      <c r="G127">
        <v>8.8000000000000007</v>
      </c>
      <c r="H127">
        <v>0.95454539999999999</v>
      </c>
      <c r="I127">
        <v>4.5454609999999999E-2</v>
      </c>
      <c r="J127">
        <v>0.51162790000000002</v>
      </c>
    </row>
    <row r="128" spans="1:10" x14ac:dyDescent="0.3">
      <c r="A128">
        <v>126</v>
      </c>
      <c r="B128">
        <v>2006</v>
      </c>
      <c r="C128" t="b">
        <v>1</v>
      </c>
      <c r="D128">
        <v>8048</v>
      </c>
      <c r="E128">
        <v>8129</v>
      </c>
      <c r="F128">
        <v>8</v>
      </c>
      <c r="G128">
        <v>8.8000000000000007</v>
      </c>
      <c r="H128">
        <v>0.90909090000000004</v>
      </c>
      <c r="I128">
        <v>9.0909110000000001E-2</v>
      </c>
      <c r="J128">
        <v>0.52380954999999996</v>
      </c>
    </row>
    <row r="129" spans="1:10" x14ac:dyDescent="0.3">
      <c r="A129">
        <v>127</v>
      </c>
      <c r="B129">
        <v>2022</v>
      </c>
      <c r="C129" t="b">
        <v>1</v>
      </c>
      <c r="D129">
        <v>8054</v>
      </c>
      <c r="E129">
        <v>8129</v>
      </c>
      <c r="F129">
        <v>8</v>
      </c>
      <c r="G129">
        <v>9.1999999999999993</v>
      </c>
      <c r="H129">
        <v>0.86956524999999996</v>
      </c>
      <c r="I129">
        <v>0.13043477000000001</v>
      </c>
      <c r="J129">
        <v>0.53488369999999996</v>
      </c>
    </row>
    <row r="130" spans="1:10" x14ac:dyDescent="0.3">
      <c r="A130">
        <v>128</v>
      </c>
      <c r="B130">
        <v>2038</v>
      </c>
      <c r="C130" t="b">
        <v>1</v>
      </c>
      <c r="D130">
        <v>8054</v>
      </c>
      <c r="E130">
        <v>8123</v>
      </c>
      <c r="F130">
        <v>8</v>
      </c>
      <c r="G130">
        <v>9.6</v>
      </c>
      <c r="H130">
        <v>0.83333330000000005</v>
      </c>
      <c r="I130">
        <v>0.1666667</v>
      </c>
      <c r="J130">
        <v>0.54545456000000003</v>
      </c>
    </row>
    <row r="131" spans="1:10" x14ac:dyDescent="0.3">
      <c r="A131">
        <v>129</v>
      </c>
      <c r="B131">
        <v>2053</v>
      </c>
      <c r="C131" t="b">
        <v>1</v>
      </c>
      <c r="D131">
        <v>8042</v>
      </c>
      <c r="E131">
        <v>8123</v>
      </c>
      <c r="F131">
        <v>8</v>
      </c>
      <c r="G131">
        <v>9.1999999999999993</v>
      </c>
      <c r="H131">
        <v>0.86956524999999996</v>
      </c>
      <c r="I131">
        <v>0.13043477000000001</v>
      </c>
      <c r="J131">
        <v>0.53488369999999996</v>
      </c>
    </row>
    <row r="132" spans="1:10" x14ac:dyDescent="0.3">
      <c r="A132">
        <v>130</v>
      </c>
      <c r="B132">
        <v>2069</v>
      </c>
      <c r="C132" t="b">
        <v>1</v>
      </c>
      <c r="D132">
        <v>8042</v>
      </c>
      <c r="E132">
        <v>8123</v>
      </c>
      <c r="F132">
        <v>8</v>
      </c>
      <c r="G132">
        <v>8.8000000000000007</v>
      </c>
      <c r="H132">
        <v>0.90909090000000004</v>
      </c>
      <c r="I132">
        <v>9.0909110000000001E-2</v>
      </c>
      <c r="J132">
        <v>0.52380954999999996</v>
      </c>
    </row>
    <row r="133" spans="1:10" x14ac:dyDescent="0.3">
      <c r="A133">
        <v>131</v>
      </c>
      <c r="B133">
        <v>2085</v>
      </c>
      <c r="C133" t="b">
        <v>1</v>
      </c>
      <c r="D133">
        <v>8042</v>
      </c>
      <c r="E133">
        <v>8123</v>
      </c>
      <c r="F133">
        <v>7.6</v>
      </c>
      <c r="G133">
        <v>8.4</v>
      </c>
      <c r="H133">
        <v>0.90476190000000001</v>
      </c>
      <c r="I133">
        <v>9.5238069999999994E-2</v>
      </c>
      <c r="J133">
        <v>0.52500000000000002</v>
      </c>
    </row>
    <row r="134" spans="1:10" x14ac:dyDescent="0.3">
      <c r="A134">
        <v>132</v>
      </c>
      <c r="B134">
        <v>2101</v>
      </c>
      <c r="C134" t="b">
        <v>1</v>
      </c>
      <c r="D134">
        <v>8042</v>
      </c>
      <c r="E134">
        <v>8123</v>
      </c>
      <c r="F134">
        <v>7.2</v>
      </c>
      <c r="G134">
        <v>8</v>
      </c>
      <c r="H134">
        <v>0.9</v>
      </c>
      <c r="I134">
        <v>0.10000002400000001</v>
      </c>
      <c r="J134">
        <v>0.5263158</v>
      </c>
    </row>
    <row r="135" spans="1:10" x14ac:dyDescent="0.3">
      <c r="A135">
        <v>133</v>
      </c>
      <c r="B135">
        <v>2117</v>
      </c>
      <c r="C135" t="b">
        <v>1</v>
      </c>
      <c r="D135">
        <v>8042</v>
      </c>
      <c r="E135">
        <v>8129</v>
      </c>
      <c r="F135">
        <v>6.8</v>
      </c>
      <c r="G135">
        <v>8.4</v>
      </c>
      <c r="H135">
        <v>0.80952389999999996</v>
      </c>
      <c r="I135">
        <v>0.19047612999999999</v>
      </c>
      <c r="J135">
        <v>0.55263156000000002</v>
      </c>
    </row>
    <row r="136" spans="1:10" x14ac:dyDescent="0.3">
      <c r="A136">
        <v>134</v>
      </c>
      <c r="B136">
        <v>2133</v>
      </c>
      <c r="C136" t="b">
        <v>1</v>
      </c>
      <c r="D136">
        <v>8037</v>
      </c>
      <c r="E136">
        <v>8129</v>
      </c>
      <c r="F136">
        <v>6.4</v>
      </c>
      <c r="G136">
        <v>8.8000000000000007</v>
      </c>
      <c r="H136">
        <v>0.72727275000000002</v>
      </c>
      <c r="I136">
        <v>0.27272728000000002</v>
      </c>
      <c r="J136">
        <v>0.57894736999999996</v>
      </c>
    </row>
    <row r="137" spans="1:10" x14ac:dyDescent="0.3">
      <c r="A137">
        <v>135</v>
      </c>
      <c r="B137">
        <v>2150</v>
      </c>
      <c r="C137" t="b">
        <v>1</v>
      </c>
      <c r="D137">
        <v>8042</v>
      </c>
      <c r="E137">
        <v>8134</v>
      </c>
      <c r="F137">
        <v>6</v>
      </c>
      <c r="G137">
        <v>9.1999999999999993</v>
      </c>
      <c r="H137">
        <v>0.65217393999999995</v>
      </c>
      <c r="I137">
        <v>0.34782605999999999</v>
      </c>
      <c r="J137">
        <v>0.6052632</v>
      </c>
    </row>
    <row r="138" spans="1:10" x14ac:dyDescent="0.3">
      <c r="A138">
        <v>136</v>
      </c>
      <c r="B138">
        <v>2165</v>
      </c>
      <c r="C138" t="b">
        <v>1</v>
      </c>
      <c r="D138">
        <v>8048</v>
      </c>
      <c r="E138">
        <v>8134</v>
      </c>
      <c r="F138">
        <v>5.6</v>
      </c>
      <c r="G138">
        <v>9.6</v>
      </c>
      <c r="H138">
        <v>0.58333330000000005</v>
      </c>
      <c r="I138">
        <v>0.4166667</v>
      </c>
      <c r="J138">
        <v>0.63157890000000005</v>
      </c>
    </row>
    <row r="139" spans="1:10" x14ac:dyDescent="0.3">
      <c r="A139">
        <v>137</v>
      </c>
      <c r="B139">
        <v>2181</v>
      </c>
      <c r="C139" t="b">
        <v>1</v>
      </c>
      <c r="D139">
        <v>8048</v>
      </c>
      <c r="E139">
        <v>8123</v>
      </c>
      <c r="F139">
        <v>5.2</v>
      </c>
      <c r="G139">
        <v>10</v>
      </c>
      <c r="H139">
        <v>0.52</v>
      </c>
      <c r="I139">
        <v>0.48000002000000003</v>
      </c>
      <c r="J139">
        <v>0.65789472999999998</v>
      </c>
    </row>
    <row r="140" spans="1:10" x14ac:dyDescent="0.3">
      <c r="A140">
        <v>138</v>
      </c>
      <c r="B140">
        <v>2197</v>
      </c>
      <c r="C140" t="b">
        <v>1</v>
      </c>
      <c r="D140">
        <v>8048</v>
      </c>
      <c r="E140">
        <v>8117</v>
      </c>
      <c r="F140">
        <v>5.2</v>
      </c>
      <c r="G140">
        <v>10.4</v>
      </c>
      <c r="H140">
        <v>0.5</v>
      </c>
      <c r="I140">
        <v>0.5</v>
      </c>
      <c r="J140">
        <v>0.66666669999999995</v>
      </c>
    </row>
    <row r="141" spans="1:10" x14ac:dyDescent="0.3">
      <c r="A141">
        <v>139</v>
      </c>
      <c r="B141">
        <v>2213</v>
      </c>
      <c r="C141" t="b">
        <v>1</v>
      </c>
      <c r="D141">
        <v>8048</v>
      </c>
      <c r="E141">
        <v>8117</v>
      </c>
      <c r="F141">
        <v>5.2</v>
      </c>
      <c r="G141">
        <v>10.4</v>
      </c>
      <c r="H141">
        <v>0.5</v>
      </c>
      <c r="I141">
        <v>0.5</v>
      </c>
      <c r="J141">
        <v>0.66666669999999995</v>
      </c>
    </row>
    <row r="142" spans="1:10" x14ac:dyDescent="0.3">
      <c r="A142">
        <v>140</v>
      </c>
      <c r="B142">
        <v>2229</v>
      </c>
      <c r="C142" t="b">
        <v>1</v>
      </c>
      <c r="D142">
        <v>8048</v>
      </c>
      <c r="E142">
        <v>8123</v>
      </c>
      <c r="F142">
        <v>5.2</v>
      </c>
      <c r="G142">
        <v>10.4</v>
      </c>
      <c r="H142">
        <v>0.5</v>
      </c>
      <c r="I142">
        <v>0.5</v>
      </c>
      <c r="J142">
        <v>0.66666669999999995</v>
      </c>
    </row>
    <row r="143" spans="1:10" x14ac:dyDescent="0.3">
      <c r="A143">
        <v>141</v>
      </c>
      <c r="B143">
        <v>2245</v>
      </c>
      <c r="C143" t="b">
        <v>1</v>
      </c>
      <c r="D143">
        <v>8054</v>
      </c>
      <c r="E143">
        <v>8123</v>
      </c>
      <c r="F143">
        <v>5.2</v>
      </c>
      <c r="G143">
        <v>10.4</v>
      </c>
      <c r="H143">
        <v>0.5</v>
      </c>
      <c r="I143">
        <v>0.5</v>
      </c>
      <c r="J143">
        <v>0.66666669999999995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8117</v>
      </c>
      <c r="F144">
        <v>5.2</v>
      </c>
      <c r="G144">
        <v>9.6</v>
      </c>
      <c r="H144">
        <v>0.5416666</v>
      </c>
      <c r="I144">
        <v>0.45833337000000002</v>
      </c>
      <c r="J144">
        <v>0.64864869999999997</v>
      </c>
    </row>
    <row r="145" spans="1:10" x14ac:dyDescent="0.3">
      <c r="A145">
        <v>143</v>
      </c>
      <c r="B145">
        <v>2276</v>
      </c>
      <c r="C145" t="b">
        <v>1</v>
      </c>
      <c r="D145">
        <v>8048</v>
      </c>
      <c r="E145">
        <v>8117</v>
      </c>
      <c r="F145">
        <v>5.2</v>
      </c>
      <c r="G145">
        <v>8.8000000000000007</v>
      </c>
      <c r="H145">
        <v>0.59090905999999999</v>
      </c>
      <c r="I145">
        <v>0.40909094000000001</v>
      </c>
      <c r="J145">
        <v>0.62857145000000003</v>
      </c>
    </row>
    <row r="146" spans="1:10" x14ac:dyDescent="0.3">
      <c r="A146">
        <v>144</v>
      </c>
      <c r="B146">
        <v>2292</v>
      </c>
      <c r="C146" t="b">
        <v>1</v>
      </c>
      <c r="D146">
        <v>8048</v>
      </c>
      <c r="E146">
        <v>8129</v>
      </c>
      <c r="F146">
        <v>5.2</v>
      </c>
      <c r="G146">
        <v>8.8000000000000007</v>
      </c>
      <c r="H146">
        <v>0.59090905999999999</v>
      </c>
      <c r="I146">
        <v>0.40909094000000001</v>
      </c>
      <c r="J146">
        <v>0.62857145000000003</v>
      </c>
    </row>
    <row r="147" spans="1:10" x14ac:dyDescent="0.3">
      <c r="A147">
        <v>145</v>
      </c>
      <c r="B147">
        <v>2308</v>
      </c>
      <c r="C147" t="b">
        <v>1</v>
      </c>
      <c r="D147">
        <v>8048</v>
      </c>
      <c r="E147">
        <v>8129</v>
      </c>
      <c r="F147">
        <v>5.2</v>
      </c>
      <c r="G147">
        <v>8.8000000000000007</v>
      </c>
      <c r="H147">
        <v>0.59090905999999999</v>
      </c>
      <c r="I147">
        <v>0.40909094000000001</v>
      </c>
      <c r="J147">
        <v>0.62857145000000003</v>
      </c>
    </row>
    <row r="148" spans="1:10" x14ac:dyDescent="0.3">
      <c r="A148">
        <v>146</v>
      </c>
      <c r="B148">
        <v>2324</v>
      </c>
      <c r="C148" t="b">
        <v>1</v>
      </c>
      <c r="D148">
        <v>8048</v>
      </c>
      <c r="E148">
        <v>8117</v>
      </c>
      <c r="F148">
        <v>5.6</v>
      </c>
      <c r="G148">
        <v>8.4</v>
      </c>
      <c r="H148">
        <v>0.66666669999999995</v>
      </c>
      <c r="I148">
        <v>0.3333333</v>
      </c>
      <c r="J148">
        <v>0.59999996</v>
      </c>
    </row>
    <row r="149" spans="1:10" x14ac:dyDescent="0.3">
      <c r="A149">
        <v>147</v>
      </c>
      <c r="B149">
        <v>2340</v>
      </c>
      <c r="C149" t="b">
        <v>1</v>
      </c>
      <c r="D149">
        <v>8042</v>
      </c>
      <c r="E149">
        <v>8123</v>
      </c>
      <c r="F149">
        <v>6</v>
      </c>
      <c r="G149">
        <v>8.4</v>
      </c>
      <c r="H149">
        <v>0.71428572999999995</v>
      </c>
      <c r="I149">
        <v>0.28571424000000001</v>
      </c>
      <c r="J149">
        <v>0.58333330000000005</v>
      </c>
    </row>
    <row r="150" spans="1:10" x14ac:dyDescent="0.3">
      <c r="A150">
        <v>148</v>
      </c>
      <c r="B150">
        <v>2356</v>
      </c>
      <c r="C150" t="b">
        <v>1</v>
      </c>
      <c r="D150">
        <v>8048</v>
      </c>
      <c r="E150">
        <v>8117</v>
      </c>
      <c r="F150">
        <v>6.4</v>
      </c>
      <c r="G150">
        <v>8.4</v>
      </c>
      <c r="H150">
        <v>0.76190484000000003</v>
      </c>
      <c r="I150">
        <v>0.23809520000000001</v>
      </c>
      <c r="J150">
        <v>0.56756759999999995</v>
      </c>
    </row>
    <row r="151" spans="1:10" x14ac:dyDescent="0.3">
      <c r="A151">
        <v>149</v>
      </c>
      <c r="B151">
        <v>2372</v>
      </c>
      <c r="C151" t="b">
        <v>1</v>
      </c>
      <c r="D151">
        <v>8042</v>
      </c>
      <c r="E151">
        <v>8117</v>
      </c>
      <c r="F151">
        <v>6.8</v>
      </c>
      <c r="G151">
        <v>8</v>
      </c>
      <c r="H151">
        <v>0.85</v>
      </c>
      <c r="I151">
        <v>0.14999998</v>
      </c>
      <c r="J151">
        <v>0.54054049999999998</v>
      </c>
    </row>
    <row r="152" spans="1:10" x14ac:dyDescent="0.3">
      <c r="A152">
        <v>150</v>
      </c>
      <c r="B152">
        <v>2388</v>
      </c>
      <c r="C152" t="b">
        <v>1</v>
      </c>
      <c r="D152">
        <v>8042</v>
      </c>
      <c r="E152">
        <v>8123</v>
      </c>
      <c r="F152">
        <v>6.8</v>
      </c>
      <c r="G152">
        <v>7.2</v>
      </c>
      <c r="H152">
        <v>0.94444450000000002</v>
      </c>
      <c r="I152">
        <v>5.5555503999999999E-2</v>
      </c>
      <c r="J152">
        <v>0.51428569999999996</v>
      </c>
    </row>
    <row r="153" spans="1:10" x14ac:dyDescent="0.3">
      <c r="A153">
        <v>151</v>
      </c>
      <c r="B153">
        <v>2404</v>
      </c>
      <c r="C153" t="b">
        <v>1</v>
      </c>
      <c r="D153">
        <v>8042</v>
      </c>
      <c r="E153">
        <v>8123</v>
      </c>
      <c r="F153">
        <v>6.8</v>
      </c>
      <c r="G153">
        <v>6.8</v>
      </c>
      <c r="H153">
        <v>1</v>
      </c>
      <c r="I153">
        <v>0</v>
      </c>
      <c r="J153">
        <v>0.5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8123</v>
      </c>
      <c r="F154">
        <v>6.8</v>
      </c>
      <c r="G154">
        <v>6.4</v>
      </c>
      <c r="H154">
        <v>1.0625</v>
      </c>
      <c r="I154">
        <v>-6.2500015000000006E-2</v>
      </c>
      <c r="J154">
        <v>0.48484846999999998</v>
      </c>
    </row>
    <row r="155" spans="1:10" x14ac:dyDescent="0.3">
      <c r="A155">
        <v>153</v>
      </c>
      <c r="B155">
        <v>2435</v>
      </c>
      <c r="C155" t="b">
        <v>1</v>
      </c>
      <c r="D155">
        <v>8042</v>
      </c>
      <c r="E155">
        <v>8123</v>
      </c>
      <c r="F155">
        <v>6.4</v>
      </c>
      <c r="G155">
        <v>6</v>
      </c>
      <c r="H155">
        <v>1.0666667000000001</v>
      </c>
      <c r="I155">
        <v>-6.6666685000000003E-2</v>
      </c>
      <c r="J155">
        <v>0.48387098000000001</v>
      </c>
    </row>
    <row r="156" spans="1:10" x14ac:dyDescent="0.3">
      <c r="A156">
        <v>154</v>
      </c>
      <c r="B156">
        <v>2451</v>
      </c>
      <c r="C156" t="b">
        <v>1</v>
      </c>
      <c r="D156">
        <v>8042</v>
      </c>
      <c r="E156">
        <v>8117</v>
      </c>
      <c r="F156">
        <v>6</v>
      </c>
      <c r="G156">
        <v>6</v>
      </c>
      <c r="H156">
        <v>1</v>
      </c>
      <c r="I156">
        <v>0</v>
      </c>
      <c r="J156">
        <v>0.5</v>
      </c>
    </row>
    <row r="157" spans="1:10" x14ac:dyDescent="0.3">
      <c r="A157">
        <v>155</v>
      </c>
      <c r="B157">
        <v>2467</v>
      </c>
      <c r="C157" t="b">
        <v>1</v>
      </c>
      <c r="D157">
        <v>8048</v>
      </c>
      <c r="E157">
        <v>8129</v>
      </c>
      <c r="F157">
        <v>5.6</v>
      </c>
      <c r="G157">
        <v>6</v>
      </c>
      <c r="H157">
        <v>0.93333334000000001</v>
      </c>
      <c r="I157">
        <v>6.6666685000000003E-2</v>
      </c>
      <c r="J157">
        <v>0.51724135999999998</v>
      </c>
    </row>
    <row r="158" spans="1:10" x14ac:dyDescent="0.3">
      <c r="A158">
        <v>156</v>
      </c>
      <c r="B158">
        <v>2483</v>
      </c>
      <c r="C158" t="b">
        <v>1</v>
      </c>
      <c r="D158">
        <v>8048</v>
      </c>
      <c r="E158">
        <v>8123</v>
      </c>
      <c r="F158">
        <v>5.6</v>
      </c>
      <c r="G158">
        <v>6</v>
      </c>
      <c r="H158">
        <v>0.93333334000000001</v>
      </c>
      <c r="I158">
        <v>6.6666685000000003E-2</v>
      </c>
      <c r="J158">
        <v>0.51724135999999998</v>
      </c>
    </row>
    <row r="159" spans="1:10" x14ac:dyDescent="0.3">
      <c r="A159">
        <v>157</v>
      </c>
      <c r="B159">
        <v>2499</v>
      </c>
      <c r="C159" t="b">
        <v>1</v>
      </c>
      <c r="D159">
        <v>8048</v>
      </c>
      <c r="E159">
        <v>8123</v>
      </c>
      <c r="F159">
        <v>5.6</v>
      </c>
      <c r="G159">
        <v>6.4</v>
      </c>
      <c r="H159">
        <v>0.875</v>
      </c>
      <c r="I159">
        <v>0.12500003000000001</v>
      </c>
      <c r="J159">
        <v>0.53333335999999998</v>
      </c>
    </row>
    <row r="160" spans="1:10" x14ac:dyDescent="0.3">
      <c r="A160">
        <v>158</v>
      </c>
      <c r="B160">
        <v>2515</v>
      </c>
      <c r="C160" t="b">
        <v>1</v>
      </c>
      <c r="D160">
        <v>8048</v>
      </c>
      <c r="E160">
        <v>8117</v>
      </c>
      <c r="F160">
        <v>5.6</v>
      </c>
      <c r="G160">
        <v>6.8</v>
      </c>
      <c r="H160">
        <v>0.82352935999999999</v>
      </c>
      <c r="I160">
        <v>0.17647061999999999</v>
      </c>
      <c r="J160">
        <v>0.54838710000000002</v>
      </c>
    </row>
    <row r="161" spans="1:10" x14ac:dyDescent="0.3">
      <c r="A161">
        <v>159</v>
      </c>
      <c r="B161">
        <v>2531</v>
      </c>
      <c r="C161" t="b">
        <v>1</v>
      </c>
      <c r="D161">
        <v>8048</v>
      </c>
      <c r="E161">
        <v>8123</v>
      </c>
      <c r="F161">
        <v>5.6</v>
      </c>
      <c r="G161">
        <v>6.8</v>
      </c>
      <c r="H161">
        <v>0.82352935999999999</v>
      </c>
      <c r="I161">
        <v>0.17647061999999999</v>
      </c>
      <c r="J161">
        <v>0.54838710000000002</v>
      </c>
    </row>
    <row r="162" spans="1:10" x14ac:dyDescent="0.3">
      <c r="A162">
        <v>160</v>
      </c>
      <c r="B162">
        <v>2547</v>
      </c>
      <c r="C162" t="b">
        <v>1</v>
      </c>
      <c r="D162">
        <v>8048</v>
      </c>
      <c r="E162">
        <v>8117</v>
      </c>
      <c r="F162">
        <v>5.6</v>
      </c>
      <c r="G162">
        <v>6.8</v>
      </c>
      <c r="H162">
        <v>0.82352935999999999</v>
      </c>
      <c r="I162">
        <v>0.17647061999999999</v>
      </c>
      <c r="J162">
        <v>0.54838710000000002</v>
      </c>
    </row>
    <row r="163" spans="1:10" x14ac:dyDescent="0.3">
      <c r="A163">
        <v>161</v>
      </c>
      <c r="B163">
        <v>2563</v>
      </c>
      <c r="C163" t="b">
        <v>1</v>
      </c>
      <c r="D163">
        <v>8054</v>
      </c>
      <c r="E163">
        <v>8129</v>
      </c>
      <c r="F163">
        <v>5.6</v>
      </c>
      <c r="G163">
        <v>7.2</v>
      </c>
      <c r="H163">
        <v>0.77777779999999996</v>
      </c>
      <c r="I163">
        <v>0.22222221</v>
      </c>
      <c r="J163">
        <v>0.5625</v>
      </c>
    </row>
    <row r="164" spans="1:10" x14ac:dyDescent="0.3">
      <c r="A164">
        <v>162</v>
      </c>
      <c r="B164">
        <v>2579</v>
      </c>
      <c r="C164" t="b">
        <v>1</v>
      </c>
      <c r="D164">
        <v>8054</v>
      </c>
      <c r="E164">
        <v>8129</v>
      </c>
      <c r="F164">
        <v>5.6</v>
      </c>
      <c r="G164">
        <v>7.2</v>
      </c>
      <c r="H164">
        <v>0.77777779999999996</v>
      </c>
      <c r="I164">
        <v>0.22222221</v>
      </c>
      <c r="J164">
        <v>0.5625</v>
      </c>
    </row>
    <row r="165" spans="1:10" x14ac:dyDescent="0.3">
      <c r="A165">
        <v>163</v>
      </c>
      <c r="B165">
        <v>2595</v>
      </c>
      <c r="C165" t="b">
        <v>1</v>
      </c>
      <c r="D165">
        <v>8054</v>
      </c>
      <c r="E165">
        <v>8123</v>
      </c>
      <c r="F165">
        <v>6</v>
      </c>
      <c r="G165">
        <v>7.2</v>
      </c>
      <c r="H165">
        <v>0.8333334</v>
      </c>
      <c r="I165">
        <v>0.16666664</v>
      </c>
      <c r="J165">
        <v>0.54545456000000003</v>
      </c>
    </row>
    <row r="166" spans="1:10" x14ac:dyDescent="0.3">
      <c r="A166">
        <v>164</v>
      </c>
      <c r="B166">
        <v>2610</v>
      </c>
      <c r="C166" t="b">
        <v>1</v>
      </c>
      <c r="D166">
        <v>8060</v>
      </c>
      <c r="E166">
        <v>8123</v>
      </c>
      <c r="F166">
        <v>6.4</v>
      </c>
      <c r="G166">
        <v>7.6</v>
      </c>
      <c r="H166">
        <v>0.84210527000000002</v>
      </c>
      <c r="I166">
        <v>0.15789471999999999</v>
      </c>
      <c r="J166">
        <v>0.54285709999999998</v>
      </c>
    </row>
    <row r="167" spans="1:10" x14ac:dyDescent="0.3">
      <c r="A167">
        <v>165</v>
      </c>
      <c r="B167">
        <v>2626</v>
      </c>
      <c r="C167" t="b">
        <v>1</v>
      </c>
      <c r="D167">
        <v>8054</v>
      </c>
      <c r="E167">
        <v>8123</v>
      </c>
      <c r="F167">
        <v>7.2</v>
      </c>
      <c r="G167">
        <v>8</v>
      </c>
      <c r="H167">
        <v>0.9</v>
      </c>
      <c r="I167">
        <v>0.10000002400000001</v>
      </c>
      <c r="J167">
        <v>0.5263158</v>
      </c>
    </row>
    <row r="168" spans="1:10" x14ac:dyDescent="0.3">
      <c r="A168">
        <v>166</v>
      </c>
      <c r="B168">
        <v>2642</v>
      </c>
      <c r="C168" t="b">
        <v>1</v>
      </c>
      <c r="D168">
        <v>8054</v>
      </c>
      <c r="E168">
        <v>8123</v>
      </c>
      <c r="F168">
        <v>8</v>
      </c>
      <c r="G168">
        <v>8</v>
      </c>
      <c r="H168">
        <v>1</v>
      </c>
      <c r="I168">
        <v>0</v>
      </c>
      <c r="J168">
        <v>0.5</v>
      </c>
    </row>
    <row r="169" spans="1:10" x14ac:dyDescent="0.3">
      <c r="A169">
        <v>167</v>
      </c>
      <c r="B169">
        <v>2658</v>
      </c>
      <c r="C169" t="b">
        <v>1</v>
      </c>
      <c r="D169">
        <v>8048</v>
      </c>
      <c r="E169">
        <v>8134</v>
      </c>
      <c r="F169">
        <v>8.8000000000000007</v>
      </c>
      <c r="G169">
        <v>8</v>
      </c>
      <c r="H169">
        <v>1.1000000000000001</v>
      </c>
      <c r="I169">
        <v>-0.10000002400000001</v>
      </c>
      <c r="J169">
        <v>0.47619050000000002</v>
      </c>
    </row>
    <row r="170" spans="1:10" x14ac:dyDescent="0.3">
      <c r="A170">
        <v>168</v>
      </c>
      <c r="B170">
        <v>2674</v>
      </c>
      <c r="C170" t="b">
        <v>1</v>
      </c>
      <c r="D170">
        <v>8042</v>
      </c>
      <c r="E170">
        <v>8123</v>
      </c>
      <c r="F170">
        <v>9.6</v>
      </c>
      <c r="G170">
        <v>8</v>
      </c>
      <c r="H170">
        <v>1.2</v>
      </c>
      <c r="I170">
        <v>-0.20000005000000001</v>
      </c>
      <c r="J170">
        <v>0.45454544000000002</v>
      </c>
    </row>
    <row r="171" spans="1:10" x14ac:dyDescent="0.3">
      <c r="A171">
        <v>169</v>
      </c>
      <c r="B171">
        <v>2690</v>
      </c>
      <c r="C171" t="b">
        <v>1</v>
      </c>
      <c r="D171">
        <v>8048</v>
      </c>
      <c r="E171">
        <v>8123</v>
      </c>
      <c r="F171">
        <v>10</v>
      </c>
      <c r="G171">
        <v>8</v>
      </c>
      <c r="H171">
        <v>1.25</v>
      </c>
      <c r="I171">
        <v>-0.25</v>
      </c>
      <c r="J171">
        <v>0.44444444999999999</v>
      </c>
    </row>
    <row r="172" spans="1:10" x14ac:dyDescent="0.3">
      <c r="A172">
        <v>170</v>
      </c>
      <c r="B172">
        <v>2706</v>
      </c>
      <c r="C172" t="b">
        <v>1</v>
      </c>
      <c r="D172">
        <v>8042</v>
      </c>
      <c r="E172">
        <v>8123</v>
      </c>
      <c r="F172">
        <v>10.4</v>
      </c>
      <c r="G172">
        <v>8</v>
      </c>
      <c r="H172">
        <v>1.3</v>
      </c>
      <c r="I172">
        <v>-0.29999995000000002</v>
      </c>
      <c r="J172">
        <v>0.43478262000000001</v>
      </c>
    </row>
    <row r="173" spans="1:10" x14ac:dyDescent="0.3">
      <c r="A173">
        <v>171</v>
      </c>
      <c r="B173">
        <v>2722</v>
      </c>
      <c r="C173" t="b">
        <v>1</v>
      </c>
      <c r="D173">
        <v>8042</v>
      </c>
      <c r="E173">
        <v>8123</v>
      </c>
      <c r="F173">
        <v>10</v>
      </c>
      <c r="G173">
        <v>8</v>
      </c>
      <c r="H173">
        <v>1.25</v>
      </c>
      <c r="I173">
        <v>-0.25</v>
      </c>
      <c r="J173">
        <v>0.44444444999999999</v>
      </c>
    </row>
    <row r="174" spans="1:10" x14ac:dyDescent="0.3">
      <c r="A174">
        <v>172</v>
      </c>
      <c r="B174">
        <v>2738</v>
      </c>
      <c r="C174" t="b">
        <v>1</v>
      </c>
      <c r="D174">
        <v>8048</v>
      </c>
      <c r="E174">
        <v>8123</v>
      </c>
      <c r="F174">
        <v>9.6</v>
      </c>
      <c r="G174">
        <v>8</v>
      </c>
      <c r="H174">
        <v>1.2</v>
      </c>
      <c r="I174">
        <v>-0.20000005000000001</v>
      </c>
      <c r="J174">
        <v>0.45454544000000002</v>
      </c>
    </row>
    <row r="175" spans="1:10" x14ac:dyDescent="0.3">
      <c r="A175">
        <v>173</v>
      </c>
      <c r="B175">
        <v>2754</v>
      </c>
      <c r="C175" t="b">
        <v>1</v>
      </c>
      <c r="D175">
        <v>8048</v>
      </c>
      <c r="E175">
        <v>8129</v>
      </c>
      <c r="F175">
        <v>9.6</v>
      </c>
      <c r="G175">
        <v>8</v>
      </c>
      <c r="H175">
        <v>1.2</v>
      </c>
      <c r="I175">
        <v>-0.20000005000000001</v>
      </c>
      <c r="J175">
        <v>0.45454544000000002</v>
      </c>
    </row>
    <row r="176" spans="1:10" x14ac:dyDescent="0.3">
      <c r="A176">
        <v>174</v>
      </c>
      <c r="B176">
        <v>2770</v>
      </c>
      <c r="C176" t="b">
        <v>1</v>
      </c>
      <c r="D176">
        <v>8054</v>
      </c>
      <c r="E176">
        <v>8123</v>
      </c>
      <c r="F176">
        <v>9.6</v>
      </c>
      <c r="G176">
        <v>8</v>
      </c>
      <c r="H176">
        <v>1.2</v>
      </c>
      <c r="I176">
        <v>-0.20000005000000001</v>
      </c>
      <c r="J176">
        <v>0.45454544000000002</v>
      </c>
    </row>
    <row r="177" spans="1:10" x14ac:dyDescent="0.3">
      <c r="A177">
        <v>175</v>
      </c>
      <c r="B177">
        <v>2785</v>
      </c>
      <c r="C177" t="b">
        <v>1</v>
      </c>
      <c r="D177">
        <v>8048</v>
      </c>
      <c r="E177">
        <v>8129</v>
      </c>
      <c r="F177">
        <v>9.6</v>
      </c>
      <c r="G177">
        <v>8</v>
      </c>
      <c r="H177">
        <v>1.2</v>
      </c>
      <c r="I177">
        <v>-0.20000005000000001</v>
      </c>
      <c r="J177">
        <v>0.45454544000000002</v>
      </c>
    </row>
    <row r="178" spans="1:10" x14ac:dyDescent="0.3">
      <c r="A178">
        <v>176</v>
      </c>
      <c r="B178">
        <v>2801</v>
      </c>
      <c r="C178" t="b">
        <v>1</v>
      </c>
      <c r="D178">
        <v>8048</v>
      </c>
      <c r="E178">
        <v>8123</v>
      </c>
      <c r="F178">
        <v>9.6</v>
      </c>
      <c r="G178">
        <v>8</v>
      </c>
      <c r="H178">
        <v>1.2</v>
      </c>
      <c r="I178">
        <v>-0.20000005000000001</v>
      </c>
      <c r="J178">
        <v>0.45454544000000002</v>
      </c>
    </row>
    <row r="179" spans="1:10" x14ac:dyDescent="0.3">
      <c r="A179">
        <v>177</v>
      </c>
      <c r="B179">
        <v>2817</v>
      </c>
      <c r="C179" t="b">
        <v>1</v>
      </c>
      <c r="D179">
        <v>8048</v>
      </c>
      <c r="E179">
        <v>8123</v>
      </c>
      <c r="F179">
        <v>9.6</v>
      </c>
      <c r="G179">
        <v>8</v>
      </c>
      <c r="H179">
        <v>1.2</v>
      </c>
      <c r="I179">
        <v>-0.20000005000000001</v>
      </c>
      <c r="J179">
        <v>0.45454544000000002</v>
      </c>
    </row>
    <row r="180" spans="1:10" x14ac:dyDescent="0.3">
      <c r="A180">
        <v>178</v>
      </c>
      <c r="B180">
        <v>2833</v>
      </c>
      <c r="C180" t="b">
        <v>1</v>
      </c>
      <c r="D180">
        <v>8048</v>
      </c>
      <c r="E180">
        <v>8123</v>
      </c>
      <c r="F180">
        <v>9.1999999999999993</v>
      </c>
      <c r="G180">
        <v>8</v>
      </c>
      <c r="H180">
        <v>1.1499999999999999</v>
      </c>
      <c r="I180">
        <v>-0.14999998</v>
      </c>
      <c r="J180">
        <v>0.46511626</v>
      </c>
    </row>
    <row r="181" spans="1:10" x14ac:dyDescent="0.3">
      <c r="A181">
        <v>179</v>
      </c>
      <c r="B181">
        <v>2849</v>
      </c>
      <c r="C181" t="b">
        <v>1</v>
      </c>
      <c r="D181">
        <v>8048</v>
      </c>
      <c r="E181">
        <v>8134</v>
      </c>
      <c r="F181">
        <v>8.8000000000000007</v>
      </c>
      <c r="G181">
        <v>8</v>
      </c>
      <c r="H181">
        <v>1.1000000000000001</v>
      </c>
      <c r="I181">
        <v>-0.10000002400000001</v>
      </c>
      <c r="J181">
        <v>0.47619050000000002</v>
      </c>
    </row>
    <row r="182" spans="1:10" x14ac:dyDescent="0.3">
      <c r="A182">
        <v>180</v>
      </c>
      <c r="B182">
        <v>2865</v>
      </c>
      <c r="C182" t="b">
        <v>1</v>
      </c>
      <c r="D182">
        <v>8048</v>
      </c>
      <c r="E182">
        <v>8123</v>
      </c>
      <c r="F182">
        <v>8.4</v>
      </c>
      <c r="G182">
        <v>8</v>
      </c>
      <c r="H182">
        <v>1.05</v>
      </c>
      <c r="I182">
        <v>-4.9999952E-2</v>
      </c>
      <c r="J182">
        <v>0.48780489999999999</v>
      </c>
    </row>
    <row r="183" spans="1:10" x14ac:dyDescent="0.3">
      <c r="A183">
        <v>181</v>
      </c>
      <c r="B183">
        <v>2881</v>
      </c>
      <c r="C183" t="b">
        <v>1</v>
      </c>
      <c r="D183">
        <v>8048</v>
      </c>
      <c r="E183">
        <v>8123</v>
      </c>
      <c r="F183">
        <v>8</v>
      </c>
      <c r="G183">
        <v>8</v>
      </c>
      <c r="H183">
        <v>1</v>
      </c>
      <c r="I183">
        <v>0</v>
      </c>
      <c r="J183">
        <v>0.5</v>
      </c>
    </row>
    <row r="184" spans="1:10" x14ac:dyDescent="0.3">
      <c r="A184">
        <v>182</v>
      </c>
      <c r="B184">
        <v>2896</v>
      </c>
      <c r="C184" t="b">
        <v>1</v>
      </c>
      <c r="D184">
        <v>8048</v>
      </c>
      <c r="E184">
        <v>8123</v>
      </c>
      <c r="F184">
        <v>7.6</v>
      </c>
      <c r="G184">
        <v>8</v>
      </c>
      <c r="H184">
        <v>0.95</v>
      </c>
      <c r="I184">
        <v>5.0000012000000003E-2</v>
      </c>
      <c r="J184">
        <v>0.51282050000000001</v>
      </c>
    </row>
    <row r="185" spans="1:10" x14ac:dyDescent="0.3">
      <c r="A185">
        <v>183</v>
      </c>
      <c r="B185">
        <v>2912</v>
      </c>
      <c r="C185" t="b">
        <v>1</v>
      </c>
      <c r="D185">
        <v>8048</v>
      </c>
      <c r="E185">
        <v>8123</v>
      </c>
      <c r="F185">
        <v>7.2</v>
      </c>
      <c r="G185">
        <v>8</v>
      </c>
      <c r="H185">
        <v>0.9</v>
      </c>
      <c r="I185">
        <v>0.10000002400000001</v>
      </c>
      <c r="J185">
        <v>0.5263158</v>
      </c>
    </row>
    <row r="186" spans="1:10" x14ac:dyDescent="0.3">
      <c r="A186">
        <v>184</v>
      </c>
      <c r="B186">
        <v>2928</v>
      </c>
      <c r="C186" t="b">
        <v>1</v>
      </c>
      <c r="D186">
        <v>8048</v>
      </c>
      <c r="E186">
        <v>8129</v>
      </c>
      <c r="F186">
        <v>7.2</v>
      </c>
      <c r="G186">
        <v>8</v>
      </c>
      <c r="H186">
        <v>0.9</v>
      </c>
      <c r="I186">
        <v>0.10000002400000001</v>
      </c>
      <c r="J186">
        <v>0.5263158</v>
      </c>
    </row>
    <row r="187" spans="1:10" x14ac:dyDescent="0.3">
      <c r="A187">
        <v>185</v>
      </c>
      <c r="B187">
        <v>2943</v>
      </c>
      <c r="C187" t="b">
        <v>1</v>
      </c>
      <c r="D187">
        <v>8048</v>
      </c>
      <c r="E187">
        <v>8129</v>
      </c>
      <c r="F187">
        <v>7.2</v>
      </c>
      <c r="G187">
        <v>8</v>
      </c>
      <c r="H187">
        <v>0.9</v>
      </c>
      <c r="I187">
        <v>0.10000002400000001</v>
      </c>
      <c r="J187">
        <v>0.5263158</v>
      </c>
    </row>
    <row r="188" spans="1:10" x14ac:dyDescent="0.3">
      <c r="A188">
        <v>186</v>
      </c>
      <c r="B188">
        <v>2960</v>
      </c>
      <c r="C188" t="b">
        <v>1</v>
      </c>
      <c r="D188">
        <v>8042</v>
      </c>
      <c r="E188">
        <v>8123</v>
      </c>
      <c r="F188">
        <v>7.6</v>
      </c>
      <c r="G188">
        <v>8</v>
      </c>
      <c r="H188">
        <v>0.95</v>
      </c>
      <c r="I188">
        <v>5.0000012000000003E-2</v>
      </c>
      <c r="J188">
        <v>0.51282050000000001</v>
      </c>
    </row>
    <row r="189" spans="1:10" x14ac:dyDescent="0.3">
      <c r="A189">
        <v>187</v>
      </c>
      <c r="B189">
        <v>2976</v>
      </c>
      <c r="C189" t="b">
        <v>1</v>
      </c>
      <c r="D189">
        <v>8048</v>
      </c>
      <c r="E189">
        <v>8123</v>
      </c>
      <c r="F189">
        <v>8</v>
      </c>
      <c r="G189">
        <v>8</v>
      </c>
      <c r="H189">
        <v>1</v>
      </c>
      <c r="I189">
        <v>0</v>
      </c>
      <c r="J189">
        <v>0.5</v>
      </c>
    </row>
    <row r="190" spans="1:10" x14ac:dyDescent="0.3">
      <c r="A190">
        <v>188</v>
      </c>
      <c r="B190">
        <v>2991</v>
      </c>
      <c r="C190" t="b">
        <v>1</v>
      </c>
      <c r="D190">
        <v>8054</v>
      </c>
      <c r="E190">
        <v>8129</v>
      </c>
      <c r="F190">
        <v>8</v>
      </c>
      <c r="G190">
        <v>8.4</v>
      </c>
      <c r="H190">
        <v>0.95238100000000003</v>
      </c>
      <c r="I190">
        <v>4.7619003999999999E-2</v>
      </c>
      <c r="J190">
        <v>0.51219510000000001</v>
      </c>
    </row>
    <row r="191" spans="1:10" x14ac:dyDescent="0.3">
      <c r="A191">
        <v>189</v>
      </c>
      <c r="B191">
        <v>3007</v>
      </c>
      <c r="C191" t="b">
        <v>1</v>
      </c>
      <c r="D191">
        <v>8048</v>
      </c>
      <c r="E191">
        <v>8123</v>
      </c>
      <c r="F191">
        <v>8</v>
      </c>
      <c r="G191">
        <v>8.4</v>
      </c>
      <c r="H191">
        <v>0.95238100000000003</v>
      </c>
      <c r="I191">
        <v>4.7619003999999999E-2</v>
      </c>
      <c r="J191">
        <v>0.51219510000000001</v>
      </c>
    </row>
    <row r="192" spans="1:10" x14ac:dyDescent="0.3">
      <c r="A192">
        <v>190</v>
      </c>
      <c r="B192">
        <v>3023</v>
      </c>
      <c r="C192" t="b">
        <v>1</v>
      </c>
      <c r="D192">
        <v>8048</v>
      </c>
      <c r="E192">
        <v>8123</v>
      </c>
      <c r="F192">
        <v>8</v>
      </c>
      <c r="G192">
        <v>8.4</v>
      </c>
      <c r="H192">
        <v>0.95238100000000003</v>
      </c>
      <c r="I192">
        <v>4.7619003999999999E-2</v>
      </c>
      <c r="J192">
        <v>0.51219510000000001</v>
      </c>
    </row>
    <row r="193" spans="1:10" x14ac:dyDescent="0.3">
      <c r="A193">
        <v>191</v>
      </c>
      <c r="B193">
        <v>3039</v>
      </c>
      <c r="C193" t="b">
        <v>1</v>
      </c>
      <c r="D193">
        <v>8054</v>
      </c>
      <c r="E193">
        <v>8129</v>
      </c>
      <c r="F193">
        <v>8</v>
      </c>
      <c r="G193">
        <v>8.4</v>
      </c>
      <c r="H193">
        <v>0.95238100000000003</v>
      </c>
      <c r="I193">
        <v>4.7619003999999999E-2</v>
      </c>
      <c r="J193">
        <v>0.51219510000000001</v>
      </c>
    </row>
    <row r="194" spans="1:10" x14ac:dyDescent="0.3">
      <c r="A194">
        <v>192</v>
      </c>
      <c r="B194">
        <v>3054</v>
      </c>
      <c r="C194" t="b">
        <v>1</v>
      </c>
      <c r="D194">
        <v>8048</v>
      </c>
      <c r="E194">
        <v>8129</v>
      </c>
      <c r="F194">
        <v>8</v>
      </c>
      <c r="G194">
        <v>8.8000000000000007</v>
      </c>
      <c r="H194">
        <v>0.90909090000000004</v>
      </c>
      <c r="I194">
        <v>9.0909110000000001E-2</v>
      </c>
      <c r="J194">
        <v>0.52380954999999996</v>
      </c>
    </row>
    <row r="195" spans="1:10" x14ac:dyDescent="0.3">
      <c r="A195">
        <v>193</v>
      </c>
      <c r="B195">
        <v>3070</v>
      </c>
      <c r="C195" t="b">
        <v>1</v>
      </c>
      <c r="D195">
        <v>8037</v>
      </c>
      <c r="E195">
        <v>8123</v>
      </c>
      <c r="F195">
        <v>8</v>
      </c>
      <c r="G195">
        <v>8.8000000000000007</v>
      </c>
      <c r="H195">
        <v>0.90909090000000004</v>
      </c>
      <c r="I195">
        <v>9.0909110000000001E-2</v>
      </c>
      <c r="J195">
        <v>0.52380954999999996</v>
      </c>
    </row>
    <row r="196" spans="1:10" x14ac:dyDescent="0.3">
      <c r="A196">
        <v>194</v>
      </c>
      <c r="B196">
        <v>3086</v>
      </c>
      <c r="C196" t="b">
        <v>1</v>
      </c>
      <c r="D196">
        <v>8037</v>
      </c>
      <c r="E196">
        <v>8123</v>
      </c>
      <c r="F196">
        <v>8</v>
      </c>
      <c r="G196">
        <v>8.8000000000000007</v>
      </c>
      <c r="H196">
        <v>0.90909090000000004</v>
      </c>
      <c r="I196">
        <v>9.0909110000000001E-2</v>
      </c>
      <c r="J196">
        <v>0.52380954999999996</v>
      </c>
    </row>
    <row r="197" spans="1:10" x14ac:dyDescent="0.3">
      <c r="A197">
        <v>195</v>
      </c>
      <c r="B197">
        <v>3102</v>
      </c>
      <c r="C197" t="b">
        <v>1</v>
      </c>
      <c r="D197">
        <v>8042</v>
      </c>
      <c r="E197">
        <v>8123</v>
      </c>
      <c r="F197">
        <v>7.6</v>
      </c>
      <c r="G197">
        <v>8.8000000000000007</v>
      </c>
      <c r="H197">
        <v>0.86363630000000002</v>
      </c>
      <c r="I197">
        <v>0.13636366999999999</v>
      </c>
      <c r="J197">
        <v>0.53658539999999999</v>
      </c>
    </row>
    <row r="198" spans="1:10" x14ac:dyDescent="0.3">
      <c r="A198">
        <v>196</v>
      </c>
      <c r="B198">
        <v>3118</v>
      </c>
      <c r="C198" t="b">
        <v>1</v>
      </c>
      <c r="D198">
        <v>8042</v>
      </c>
      <c r="E198">
        <v>8123</v>
      </c>
      <c r="F198">
        <v>7.2</v>
      </c>
      <c r="G198">
        <v>8.8000000000000007</v>
      </c>
      <c r="H198">
        <v>0.81818175000000004</v>
      </c>
      <c r="I198">
        <v>0.18181822</v>
      </c>
      <c r="J198">
        <v>0.55000000000000004</v>
      </c>
    </row>
    <row r="199" spans="1:10" x14ac:dyDescent="0.3">
      <c r="A199">
        <v>197</v>
      </c>
      <c r="B199">
        <v>3134</v>
      </c>
      <c r="C199" t="b">
        <v>1</v>
      </c>
      <c r="D199">
        <v>8042</v>
      </c>
      <c r="E199">
        <v>8123</v>
      </c>
      <c r="F199">
        <v>6.8</v>
      </c>
      <c r="G199">
        <v>8.8000000000000007</v>
      </c>
      <c r="H199">
        <v>0.77272724999999998</v>
      </c>
      <c r="I199">
        <v>0.22727272000000001</v>
      </c>
      <c r="J199">
        <v>0.56410260000000001</v>
      </c>
    </row>
    <row r="200" spans="1:10" x14ac:dyDescent="0.3">
      <c r="A200">
        <v>198</v>
      </c>
      <c r="B200">
        <v>3150</v>
      </c>
      <c r="C200" t="b">
        <v>1</v>
      </c>
      <c r="D200">
        <v>8037</v>
      </c>
      <c r="E200">
        <v>8123</v>
      </c>
      <c r="F200">
        <v>6.4</v>
      </c>
      <c r="G200">
        <v>8.8000000000000007</v>
      </c>
      <c r="H200">
        <v>0.72727275000000002</v>
      </c>
      <c r="I200">
        <v>0.27272728000000002</v>
      </c>
      <c r="J200">
        <v>0.57894736999999996</v>
      </c>
    </row>
    <row r="201" spans="1:10" x14ac:dyDescent="0.3">
      <c r="A201">
        <v>199</v>
      </c>
      <c r="B201">
        <v>3166</v>
      </c>
      <c r="C201" t="b">
        <v>1</v>
      </c>
      <c r="D201">
        <v>8048</v>
      </c>
      <c r="E201">
        <v>8123</v>
      </c>
      <c r="F201">
        <v>6</v>
      </c>
      <c r="G201">
        <v>8.8000000000000007</v>
      </c>
      <c r="H201">
        <v>0.68181820000000004</v>
      </c>
      <c r="I201">
        <v>0.31818183999999999</v>
      </c>
      <c r="J201">
        <v>0.59459459999999997</v>
      </c>
    </row>
    <row r="202" spans="1:10" x14ac:dyDescent="0.3">
      <c r="A202">
        <v>200</v>
      </c>
      <c r="B202">
        <v>3181</v>
      </c>
      <c r="C202" t="b">
        <v>1</v>
      </c>
      <c r="D202">
        <v>8048</v>
      </c>
      <c r="E202">
        <v>8129</v>
      </c>
      <c r="F202">
        <v>5.6</v>
      </c>
      <c r="G202">
        <v>8.8000000000000007</v>
      </c>
      <c r="H202">
        <v>0.63636360000000003</v>
      </c>
      <c r="I202">
        <v>0.36363636999999999</v>
      </c>
      <c r="J202">
        <v>0.61111115999999999</v>
      </c>
    </row>
    <row r="203" spans="1:10" x14ac:dyDescent="0.3">
      <c r="A203">
        <v>201</v>
      </c>
      <c r="B203">
        <v>3197</v>
      </c>
      <c r="C203" t="b">
        <v>1</v>
      </c>
      <c r="D203">
        <v>8048</v>
      </c>
      <c r="E203">
        <v>8123</v>
      </c>
      <c r="F203">
        <v>5.6</v>
      </c>
      <c r="G203">
        <v>8.8000000000000007</v>
      </c>
      <c r="H203">
        <v>0.63636360000000003</v>
      </c>
      <c r="I203">
        <v>0.36363636999999999</v>
      </c>
      <c r="J203">
        <v>0.61111115999999999</v>
      </c>
    </row>
    <row r="204" spans="1:10" x14ac:dyDescent="0.3">
      <c r="A204">
        <v>202</v>
      </c>
      <c r="B204">
        <v>3213</v>
      </c>
      <c r="C204" t="b">
        <v>1</v>
      </c>
      <c r="D204">
        <v>8042</v>
      </c>
      <c r="E204">
        <v>8123</v>
      </c>
      <c r="F204">
        <v>5.6</v>
      </c>
      <c r="G204">
        <v>8.8000000000000007</v>
      </c>
      <c r="H204">
        <v>0.63636360000000003</v>
      </c>
      <c r="I204">
        <v>0.36363636999999999</v>
      </c>
      <c r="J204">
        <v>0.61111115999999999</v>
      </c>
    </row>
    <row r="205" spans="1:10" x14ac:dyDescent="0.3">
      <c r="A205">
        <v>203</v>
      </c>
      <c r="B205">
        <v>3229</v>
      </c>
      <c r="C205" t="b">
        <v>1</v>
      </c>
      <c r="D205">
        <v>8048</v>
      </c>
      <c r="E205">
        <v>8129</v>
      </c>
      <c r="F205">
        <v>5.6</v>
      </c>
      <c r="G205">
        <v>8.4</v>
      </c>
      <c r="H205">
        <v>0.66666669999999995</v>
      </c>
      <c r="I205">
        <v>0.3333333</v>
      </c>
      <c r="J205">
        <v>0.59999996</v>
      </c>
    </row>
    <row r="206" spans="1:10" x14ac:dyDescent="0.3">
      <c r="A206">
        <v>204</v>
      </c>
      <c r="B206">
        <v>3245</v>
      </c>
      <c r="C206" t="b">
        <v>1</v>
      </c>
      <c r="D206">
        <v>8048</v>
      </c>
      <c r="E206">
        <v>8129</v>
      </c>
      <c r="F206">
        <v>5.6</v>
      </c>
      <c r="G206">
        <v>8.8000000000000007</v>
      </c>
      <c r="H206">
        <v>0.63636360000000003</v>
      </c>
      <c r="I206">
        <v>0.36363636999999999</v>
      </c>
      <c r="J206">
        <v>0.61111115999999999</v>
      </c>
    </row>
    <row r="207" spans="1:10" x14ac:dyDescent="0.3">
      <c r="A207">
        <v>205</v>
      </c>
      <c r="B207">
        <v>3261</v>
      </c>
      <c r="C207" t="b">
        <v>1</v>
      </c>
      <c r="D207">
        <v>8048</v>
      </c>
      <c r="E207">
        <v>8123</v>
      </c>
      <c r="F207">
        <v>5.6</v>
      </c>
      <c r="G207">
        <v>8.8000000000000007</v>
      </c>
      <c r="H207">
        <v>0.63636360000000003</v>
      </c>
      <c r="I207">
        <v>0.36363636999999999</v>
      </c>
      <c r="J207">
        <v>0.61111115999999999</v>
      </c>
    </row>
    <row r="208" spans="1:10" x14ac:dyDescent="0.3">
      <c r="A208">
        <v>206</v>
      </c>
      <c r="B208">
        <v>3277</v>
      </c>
      <c r="C208" t="b">
        <v>1</v>
      </c>
      <c r="D208">
        <v>8048</v>
      </c>
      <c r="E208">
        <v>8123</v>
      </c>
      <c r="F208">
        <v>5.6</v>
      </c>
      <c r="G208">
        <v>8.8000000000000007</v>
      </c>
      <c r="H208">
        <v>0.63636360000000003</v>
      </c>
      <c r="I208">
        <v>0.36363636999999999</v>
      </c>
      <c r="J208">
        <v>0.61111115999999999</v>
      </c>
    </row>
    <row r="209" spans="1:10" x14ac:dyDescent="0.3">
      <c r="A209">
        <v>207</v>
      </c>
      <c r="B209">
        <v>3292</v>
      </c>
      <c r="C209" t="b">
        <v>1</v>
      </c>
      <c r="D209">
        <v>8048</v>
      </c>
      <c r="E209">
        <v>8123</v>
      </c>
      <c r="F209">
        <v>5.6</v>
      </c>
      <c r="G209">
        <v>8.4</v>
      </c>
      <c r="H209">
        <v>0.66666669999999995</v>
      </c>
      <c r="I209">
        <v>0.3333333</v>
      </c>
      <c r="J209">
        <v>0.59999996</v>
      </c>
    </row>
    <row r="210" spans="1:10" x14ac:dyDescent="0.3">
      <c r="A210">
        <v>208</v>
      </c>
      <c r="B210">
        <v>3309</v>
      </c>
      <c r="C210" t="b">
        <v>1</v>
      </c>
      <c r="D210">
        <v>8048</v>
      </c>
      <c r="E210">
        <v>8117</v>
      </c>
      <c r="F210">
        <v>5.6</v>
      </c>
      <c r="G210">
        <v>8.4</v>
      </c>
      <c r="H210">
        <v>0.66666669999999995</v>
      </c>
      <c r="I210">
        <v>0.3333333</v>
      </c>
      <c r="J210">
        <v>0.59999996</v>
      </c>
    </row>
    <row r="211" spans="1:10" x14ac:dyDescent="0.3">
      <c r="A211">
        <v>209</v>
      </c>
      <c r="B211">
        <v>3325</v>
      </c>
      <c r="C211" t="b">
        <v>1</v>
      </c>
      <c r="D211">
        <v>8042</v>
      </c>
      <c r="E211">
        <v>8123</v>
      </c>
      <c r="F211">
        <v>5.6</v>
      </c>
      <c r="G211">
        <v>8.4</v>
      </c>
      <c r="H211">
        <v>0.66666669999999995</v>
      </c>
      <c r="I211">
        <v>0.3333333</v>
      </c>
      <c r="J211">
        <v>0.59999996</v>
      </c>
    </row>
    <row r="212" spans="1:10" x14ac:dyDescent="0.3">
      <c r="A212">
        <v>210</v>
      </c>
      <c r="B212">
        <v>3340</v>
      </c>
      <c r="C212" t="b">
        <v>1</v>
      </c>
      <c r="D212">
        <v>8042</v>
      </c>
      <c r="E212">
        <v>8117</v>
      </c>
      <c r="F212">
        <v>6</v>
      </c>
      <c r="G212">
        <v>8.4</v>
      </c>
      <c r="H212">
        <v>0.71428572999999995</v>
      </c>
      <c r="I212">
        <v>0.28571424000000001</v>
      </c>
      <c r="J212">
        <v>0.58333330000000005</v>
      </c>
    </row>
    <row r="213" spans="1:10" x14ac:dyDescent="0.3">
      <c r="A213">
        <v>211</v>
      </c>
      <c r="B213">
        <v>3356</v>
      </c>
      <c r="C213" t="b">
        <v>1</v>
      </c>
      <c r="D213">
        <v>8042</v>
      </c>
      <c r="E213">
        <v>8117</v>
      </c>
      <c r="F213">
        <v>6</v>
      </c>
      <c r="G213">
        <v>8</v>
      </c>
      <c r="H213">
        <v>0.75</v>
      </c>
      <c r="I213">
        <v>0.25</v>
      </c>
      <c r="J213">
        <v>0.57142859999999995</v>
      </c>
    </row>
    <row r="214" spans="1:10" x14ac:dyDescent="0.3">
      <c r="A214">
        <v>212</v>
      </c>
      <c r="B214">
        <v>3372</v>
      </c>
      <c r="C214" t="b">
        <v>1</v>
      </c>
      <c r="D214">
        <v>8048</v>
      </c>
      <c r="E214">
        <v>8129</v>
      </c>
      <c r="F214">
        <v>6</v>
      </c>
      <c r="G214">
        <v>7.6</v>
      </c>
      <c r="H214">
        <v>0.78947369999999994</v>
      </c>
      <c r="I214">
        <v>0.2105263</v>
      </c>
      <c r="J214">
        <v>0.55882350000000003</v>
      </c>
    </row>
    <row r="215" spans="1:10" x14ac:dyDescent="0.3">
      <c r="A215">
        <v>213</v>
      </c>
      <c r="B215">
        <v>3388</v>
      </c>
      <c r="C215" t="b">
        <v>1</v>
      </c>
      <c r="D215">
        <v>8042</v>
      </c>
      <c r="E215">
        <v>8129</v>
      </c>
      <c r="F215">
        <v>6</v>
      </c>
      <c r="G215">
        <v>7.6</v>
      </c>
      <c r="H215">
        <v>0.78947369999999994</v>
      </c>
      <c r="I215">
        <v>0.2105263</v>
      </c>
      <c r="J215">
        <v>0.55882350000000003</v>
      </c>
    </row>
    <row r="216" spans="1:10" x14ac:dyDescent="0.3">
      <c r="A216">
        <v>214</v>
      </c>
      <c r="B216">
        <v>3404</v>
      </c>
      <c r="C216" t="b">
        <v>1</v>
      </c>
      <c r="D216">
        <v>8048</v>
      </c>
      <c r="E216">
        <v>8123</v>
      </c>
      <c r="F216">
        <v>6</v>
      </c>
      <c r="G216">
        <v>7.6</v>
      </c>
      <c r="H216">
        <v>0.78947369999999994</v>
      </c>
      <c r="I216">
        <v>0.2105263</v>
      </c>
      <c r="J216">
        <v>0.55882350000000003</v>
      </c>
    </row>
    <row r="217" spans="1:10" x14ac:dyDescent="0.3">
      <c r="A217">
        <v>215</v>
      </c>
      <c r="B217">
        <v>3420</v>
      </c>
      <c r="C217" t="b">
        <v>1</v>
      </c>
      <c r="D217">
        <v>8048</v>
      </c>
      <c r="E217">
        <v>8134</v>
      </c>
      <c r="F217">
        <v>6.4</v>
      </c>
      <c r="G217">
        <v>8</v>
      </c>
      <c r="H217">
        <v>0.8</v>
      </c>
      <c r="I217">
        <v>0.19999998999999999</v>
      </c>
      <c r="J217">
        <v>0.55555560000000004</v>
      </c>
    </row>
    <row r="218" spans="1:10" x14ac:dyDescent="0.3">
      <c r="A218">
        <v>216</v>
      </c>
      <c r="B218">
        <v>3436</v>
      </c>
      <c r="C218" t="b">
        <v>1</v>
      </c>
      <c r="D218">
        <v>8048</v>
      </c>
      <c r="E218">
        <v>8123</v>
      </c>
      <c r="F218">
        <v>6.4</v>
      </c>
      <c r="G218">
        <v>8.4</v>
      </c>
      <c r="H218">
        <v>0.76190484000000003</v>
      </c>
      <c r="I218">
        <v>0.23809520000000001</v>
      </c>
      <c r="J218">
        <v>0.56756759999999995</v>
      </c>
    </row>
    <row r="219" spans="1:10" x14ac:dyDescent="0.3">
      <c r="A219">
        <v>217</v>
      </c>
      <c r="B219">
        <v>3452</v>
      </c>
      <c r="C219" t="b">
        <v>1</v>
      </c>
      <c r="D219">
        <v>8048</v>
      </c>
      <c r="E219">
        <v>8129</v>
      </c>
      <c r="F219">
        <v>6.4</v>
      </c>
      <c r="G219">
        <v>8.8000000000000007</v>
      </c>
      <c r="H219">
        <v>0.72727275000000002</v>
      </c>
      <c r="I219">
        <v>0.27272728000000002</v>
      </c>
      <c r="J219">
        <v>0.57894736999999996</v>
      </c>
    </row>
    <row r="220" spans="1:10" x14ac:dyDescent="0.3">
      <c r="A220">
        <v>218</v>
      </c>
      <c r="B220">
        <v>3468</v>
      </c>
      <c r="C220" t="b">
        <v>1</v>
      </c>
      <c r="D220">
        <v>8042</v>
      </c>
      <c r="E220">
        <v>8129</v>
      </c>
      <c r="F220">
        <v>6.4</v>
      </c>
      <c r="G220">
        <v>9.1999999999999993</v>
      </c>
      <c r="H220">
        <v>0.69565220000000005</v>
      </c>
      <c r="I220">
        <v>0.3043478</v>
      </c>
      <c r="J220">
        <v>0.58974355000000001</v>
      </c>
    </row>
    <row r="221" spans="1:10" x14ac:dyDescent="0.3">
      <c r="A221">
        <v>219</v>
      </c>
      <c r="B221">
        <v>3484</v>
      </c>
      <c r="C221" t="b">
        <v>1</v>
      </c>
      <c r="D221">
        <v>8042</v>
      </c>
      <c r="E221">
        <v>8123</v>
      </c>
      <c r="F221">
        <v>6.4</v>
      </c>
      <c r="G221">
        <v>9.1999999999999993</v>
      </c>
      <c r="H221">
        <v>0.69565220000000005</v>
      </c>
      <c r="I221">
        <v>0.3043478</v>
      </c>
      <c r="J221">
        <v>0.58974355000000001</v>
      </c>
    </row>
    <row r="222" spans="1:10" x14ac:dyDescent="0.3">
      <c r="A222">
        <v>220</v>
      </c>
      <c r="B222">
        <v>3500</v>
      </c>
      <c r="C222" t="b">
        <v>1</v>
      </c>
      <c r="D222">
        <v>8048</v>
      </c>
      <c r="E222">
        <v>8123</v>
      </c>
      <c r="F222">
        <v>6.4</v>
      </c>
      <c r="G222">
        <v>9.1999999999999993</v>
      </c>
      <c r="H222">
        <v>0.69565220000000005</v>
      </c>
      <c r="I222">
        <v>0.3043478</v>
      </c>
      <c r="J222">
        <v>0.58974355000000001</v>
      </c>
    </row>
    <row r="223" spans="1:10" x14ac:dyDescent="0.3">
      <c r="A223">
        <v>221</v>
      </c>
      <c r="B223">
        <v>3516</v>
      </c>
      <c r="C223" t="b">
        <v>1</v>
      </c>
      <c r="D223">
        <v>8048</v>
      </c>
      <c r="E223">
        <v>8129</v>
      </c>
      <c r="F223">
        <v>6.4</v>
      </c>
      <c r="G223">
        <v>9.6</v>
      </c>
      <c r="H223">
        <v>0.6666666</v>
      </c>
      <c r="I223">
        <v>0.33333333999999998</v>
      </c>
      <c r="J223">
        <v>0.6</v>
      </c>
    </row>
    <row r="224" spans="1:10" x14ac:dyDescent="0.3">
      <c r="A224">
        <v>222</v>
      </c>
      <c r="B224">
        <v>3532</v>
      </c>
      <c r="C224" t="b">
        <v>1</v>
      </c>
      <c r="D224">
        <v>8042</v>
      </c>
      <c r="E224">
        <v>8123</v>
      </c>
      <c r="F224">
        <v>6</v>
      </c>
      <c r="G224">
        <v>9.6</v>
      </c>
      <c r="H224">
        <v>0.625</v>
      </c>
      <c r="I224">
        <v>0.37500002999999998</v>
      </c>
      <c r="J224">
        <v>0.61538464000000004</v>
      </c>
    </row>
    <row r="225" spans="1:10" x14ac:dyDescent="0.3">
      <c r="A225">
        <v>223</v>
      </c>
      <c r="B225">
        <v>3548</v>
      </c>
      <c r="C225" t="b">
        <v>1</v>
      </c>
      <c r="D225">
        <v>8048</v>
      </c>
      <c r="E225">
        <v>8123</v>
      </c>
      <c r="F225">
        <v>6</v>
      </c>
      <c r="G225">
        <v>9.6</v>
      </c>
      <c r="H225">
        <v>0.625</v>
      </c>
      <c r="I225">
        <v>0.37500002999999998</v>
      </c>
      <c r="J225">
        <v>0.61538464000000004</v>
      </c>
    </row>
    <row r="226" spans="1:10" x14ac:dyDescent="0.3">
      <c r="A226">
        <v>224</v>
      </c>
      <c r="B226">
        <v>3563</v>
      </c>
      <c r="C226" t="b">
        <v>1</v>
      </c>
      <c r="D226">
        <v>8048</v>
      </c>
      <c r="E226">
        <v>8129</v>
      </c>
      <c r="F226">
        <v>6</v>
      </c>
      <c r="G226">
        <v>9.6</v>
      </c>
      <c r="H226">
        <v>0.625</v>
      </c>
      <c r="I226">
        <v>0.37500002999999998</v>
      </c>
      <c r="J226">
        <v>0.61538464000000004</v>
      </c>
    </row>
    <row r="227" spans="1:10" x14ac:dyDescent="0.3">
      <c r="A227">
        <v>225</v>
      </c>
      <c r="B227">
        <v>3579</v>
      </c>
      <c r="C227" t="b">
        <v>1</v>
      </c>
      <c r="D227">
        <v>8048</v>
      </c>
      <c r="E227">
        <v>8123</v>
      </c>
      <c r="F227">
        <v>6</v>
      </c>
      <c r="G227">
        <v>9.6</v>
      </c>
      <c r="H227">
        <v>0.625</v>
      </c>
      <c r="I227">
        <v>0.37500002999999998</v>
      </c>
      <c r="J227">
        <v>0.61538464000000004</v>
      </c>
    </row>
    <row r="228" spans="1:10" x14ac:dyDescent="0.3">
      <c r="A228">
        <v>226</v>
      </c>
      <c r="B228">
        <v>3595</v>
      </c>
      <c r="C228" t="b">
        <v>1</v>
      </c>
      <c r="D228">
        <v>8054</v>
      </c>
      <c r="E228">
        <v>8134</v>
      </c>
      <c r="F228">
        <v>6.4</v>
      </c>
      <c r="G228">
        <v>10</v>
      </c>
      <c r="H228">
        <v>0.64</v>
      </c>
      <c r="I228">
        <v>0.35999998</v>
      </c>
      <c r="J228">
        <v>0.60975610000000002</v>
      </c>
    </row>
    <row r="229" spans="1:10" x14ac:dyDescent="0.3">
      <c r="A229">
        <v>227</v>
      </c>
      <c r="B229">
        <v>3611</v>
      </c>
      <c r="C229" t="b">
        <v>1</v>
      </c>
      <c r="D229">
        <v>8048</v>
      </c>
      <c r="E229">
        <v>8129</v>
      </c>
      <c r="F229">
        <v>6.8</v>
      </c>
      <c r="G229">
        <v>10.8</v>
      </c>
      <c r="H229">
        <v>0.62962960000000001</v>
      </c>
      <c r="I229">
        <v>0.37037036000000001</v>
      </c>
      <c r="J229">
        <v>0.61363639999999997</v>
      </c>
    </row>
    <row r="230" spans="1:10" x14ac:dyDescent="0.3">
      <c r="A230">
        <v>228</v>
      </c>
      <c r="B230">
        <v>3627</v>
      </c>
      <c r="C230" t="b">
        <v>1</v>
      </c>
      <c r="D230">
        <v>8054</v>
      </c>
      <c r="E230">
        <v>8123</v>
      </c>
      <c r="F230">
        <v>7.2</v>
      </c>
      <c r="G230">
        <v>11.2</v>
      </c>
      <c r="H230">
        <v>0.64285713</v>
      </c>
      <c r="I230">
        <v>0.35714287</v>
      </c>
      <c r="J230">
        <v>0.6086956</v>
      </c>
    </row>
    <row r="231" spans="1:10" x14ac:dyDescent="0.3">
      <c r="A231">
        <v>229</v>
      </c>
      <c r="B231">
        <v>3643</v>
      </c>
      <c r="C231" t="b">
        <v>1</v>
      </c>
      <c r="D231">
        <v>8048</v>
      </c>
      <c r="E231">
        <v>8123</v>
      </c>
      <c r="F231">
        <v>7.6</v>
      </c>
      <c r="G231">
        <v>11.2</v>
      </c>
      <c r="H231">
        <v>0.67857140000000005</v>
      </c>
      <c r="I231">
        <v>0.32142857000000002</v>
      </c>
      <c r="J231">
        <v>0.59574466999999998</v>
      </c>
    </row>
    <row r="232" spans="1:10" x14ac:dyDescent="0.3">
      <c r="A232">
        <v>230</v>
      </c>
      <c r="B232">
        <v>3658</v>
      </c>
      <c r="C232" t="b">
        <v>1</v>
      </c>
      <c r="D232">
        <v>8048</v>
      </c>
      <c r="E232">
        <v>8129</v>
      </c>
      <c r="F232">
        <v>7.6</v>
      </c>
      <c r="G232">
        <v>11.2</v>
      </c>
      <c r="H232">
        <v>0.67857140000000005</v>
      </c>
      <c r="I232">
        <v>0.32142857000000002</v>
      </c>
      <c r="J232">
        <v>0.59574466999999998</v>
      </c>
    </row>
    <row r="233" spans="1:10" x14ac:dyDescent="0.3">
      <c r="A233">
        <v>231</v>
      </c>
      <c r="B233">
        <v>3675</v>
      </c>
      <c r="C233" t="b">
        <v>1</v>
      </c>
      <c r="D233">
        <v>8048</v>
      </c>
      <c r="E233">
        <v>8123</v>
      </c>
      <c r="F233">
        <v>7.6</v>
      </c>
      <c r="G233">
        <v>10.8</v>
      </c>
      <c r="H233">
        <v>0.70370370000000004</v>
      </c>
      <c r="I233">
        <v>0.29629633</v>
      </c>
      <c r="J233">
        <v>0.58695655999999996</v>
      </c>
    </row>
    <row r="234" spans="1:10" x14ac:dyDescent="0.3">
      <c r="A234">
        <v>232</v>
      </c>
      <c r="B234">
        <v>3690</v>
      </c>
      <c r="C234" t="b">
        <v>1</v>
      </c>
      <c r="D234">
        <v>8048</v>
      </c>
      <c r="E234">
        <v>8123</v>
      </c>
      <c r="F234">
        <v>7.6</v>
      </c>
      <c r="G234">
        <v>10.4</v>
      </c>
      <c r="H234">
        <v>0.73076929999999996</v>
      </c>
      <c r="I234">
        <v>0.26923075000000002</v>
      </c>
      <c r="J234">
        <v>0.57777774000000004</v>
      </c>
    </row>
    <row r="235" spans="1:10" x14ac:dyDescent="0.3">
      <c r="A235">
        <v>233</v>
      </c>
      <c r="B235">
        <v>3706</v>
      </c>
      <c r="C235" t="b">
        <v>1</v>
      </c>
      <c r="D235">
        <v>8048</v>
      </c>
      <c r="E235">
        <v>8129</v>
      </c>
      <c r="F235">
        <v>7.6</v>
      </c>
      <c r="G235">
        <v>10</v>
      </c>
      <c r="H235">
        <v>0.76</v>
      </c>
      <c r="I235">
        <v>0.24000001000000001</v>
      </c>
      <c r="J235">
        <v>0.56818179999999996</v>
      </c>
    </row>
    <row r="236" spans="1:10" x14ac:dyDescent="0.3">
      <c r="A236">
        <v>234</v>
      </c>
      <c r="B236">
        <v>3722</v>
      </c>
      <c r="C236" t="b">
        <v>1</v>
      </c>
      <c r="D236">
        <v>8048</v>
      </c>
      <c r="E236">
        <v>8123</v>
      </c>
      <c r="F236">
        <v>7.6</v>
      </c>
      <c r="G236">
        <v>9.6</v>
      </c>
      <c r="H236">
        <v>0.7916666</v>
      </c>
      <c r="I236">
        <v>0.20833336999999999</v>
      </c>
      <c r="J236">
        <v>0.55813950000000001</v>
      </c>
    </row>
    <row r="237" spans="1:10" x14ac:dyDescent="0.3">
      <c r="A237">
        <v>235</v>
      </c>
      <c r="B237">
        <v>3738</v>
      </c>
      <c r="C237" t="b">
        <v>1</v>
      </c>
      <c r="D237">
        <v>8048</v>
      </c>
      <c r="E237">
        <v>8129</v>
      </c>
      <c r="F237">
        <v>7.6</v>
      </c>
      <c r="G237">
        <v>9.6</v>
      </c>
      <c r="H237">
        <v>0.7916666</v>
      </c>
      <c r="I237">
        <v>0.20833336999999999</v>
      </c>
      <c r="J237">
        <v>0.55813950000000001</v>
      </c>
    </row>
    <row r="238" spans="1:10" x14ac:dyDescent="0.3">
      <c r="A238">
        <v>236</v>
      </c>
      <c r="B238">
        <v>3753</v>
      </c>
      <c r="C238" t="b">
        <v>1</v>
      </c>
      <c r="D238">
        <v>8048</v>
      </c>
      <c r="E238">
        <v>8123</v>
      </c>
      <c r="F238">
        <v>7.6</v>
      </c>
      <c r="G238">
        <v>9.1999999999999993</v>
      </c>
      <c r="H238">
        <v>0.82608694000000005</v>
      </c>
      <c r="I238">
        <v>0.17391303</v>
      </c>
      <c r="J238">
        <v>0.54761903999999995</v>
      </c>
    </row>
    <row r="239" spans="1:10" x14ac:dyDescent="0.3">
      <c r="A239">
        <v>237</v>
      </c>
      <c r="B239">
        <v>3769</v>
      </c>
      <c r="C239" t="b">
        <v>1</v>
      </c>
      <c r="D239">
        <v>8054</v>
      </c>
      <c r="E239">
        <v>8129</v>
      </c>
      <c r="F239">
        <v>8</v>
      </c>
      <c r="G239">
        <v>9.6</v>
      </c>
      <c r="H239">
        <v>0.83333330000000005</v>
      </c>
      <c r="I239">
        <v>0.1666667</v>
      </c>
      <c r="J239">
        <v>0.54545456000000003</v>
      </c>
    </row>
    <row r="240" spans="1:10" x14ac:dyDescent="0.3">
      <c r="A240">
        <v>238</v>
      </c>
      <c r="B240">
        <v>3786</v>
      </c>
      <c r="C240" t="b">
        <v>1</v>
      </c>
      <c r="D240">
        <v>8048</v>
      </c>
      <c r="E240">
        <v>8123</v>
      </c>
      <c r="F240">
        <v>8</v>
      </c>
      <c r="G240">
        <v>9.6</v>
      </c>
      <c r="H240">
        <v>0.83333330000000005</v>
      </c>
      <c r="I240">
        <v>0.1666667</v>
      </c>
      <c r="J240">
        <v>0.54545456000000003</v>
      </c>
    </row>
    <row r="241" spans="1:10" x14ac:dyDescent="0.3">
      <c r="A241">
        <v>239</v>
      </c>
      <c r="B241">
        <v>3802</v>
      </c>
      <c r="C241" t="b">
        <v>1</v>
      </c>
      <c r="D241">
        <v>8048</v>
      </c>
      <c r="E241">
        <v>8123</v>
      </c>
      <c r="F241">
        <v>8</v>
      </c>
      <c r="G241">
        <v>9.6</v>
      </c>
      <c r="H241">
        <v>0.83333330000000005</v>
      </c>
      <c r="I241">
        <v>0.1666667</v>
      </c>
      <c r="J241">
        <v>0.54545456000000003</v>
      </c>
    </row>
    <row r="242" spans="1:10" x14ac:dyDescent="0.3">
      <c r="A242">
        <v>240</v>
      </c>
      <c r="B242">
        <v>3817</v>
      </c>
      <c r="C242" t="b">
        <v>1</v>
      </c>
      <c r="D242">
        <v>8048</v>
      </c>
      <c r="E242">
        <v>8129</v>
      </c>
      <c r="F242">
        <v>8</v>
      </c>
      <c r="G242">
        <v>9.6</v>
      </c>
      <c r="H242">
        <v>0.83333330000000005</v>
      </c>
      <c r="I242">
        <v>0.1666667</v>
      </c>
      <c r="J242">
        <v>0.54545456000000003</v>
      </c>
    </row>
    <row r="243" spans="1:10" x14ac:dyDescent="0.3">
      <c r="A243">
        <v>241</v>
      </c>
      <c r="B243">
        <v>3833</v>
      </c>
      <c r="C243" t="b">
        <v>1</v>
      </c>
      <c r="D243">
        <v>8054</v>
      </c>
      <c r="E243">
        <v>8123</v>
      </c>
      <c r="F243">
        <v>8</v>
      </c>
      <c r="G243">
        <v>9.6</v>
      </c>
      <c r="H243">
        <v>0.83333330000000005</v>
      </c>
      <c r="I243">
        <v>0.1666667</v>
      </c>
      <c r="J243">
        <v>0.54545456000000003</v>
      </c>
    </row>
    <row r="244" spans="1:10" x14ac:dyDescent="0.3">
      <c r="A244">
        <v>242</v>
      </c>
      <c r="B244">
        <v>3849</v>
      </c>
      <c r="C244" t="b">
        <v>1</v>
      </c>
      <c r="D244">
        <v>8048</v>
      </c>
      <c r="E244">
        <v>8129</v>
      </c>
      <c r="F244">
        <v>8</v>
      </c>
      <c r="G244">
        <v>9.1999999999999993</v>
      </c>
      <c r="H244">
        <v>0.86956524999999996</v>
      </c>
      <c r="I244">
        <v>0.13043477000000001</v>
      </c>
      <c r="J244">
        <v>0.53488369999999996</v>
      </c>
    </row>
    <row r="245" spans="1:10" x14ac:dyDescent="0.3">
      <c r="A245">
        <v>243</v>
      </c>
      <c r="B245">
        <v>3865</v>
      </c>
      <c r="C245" t="b">
        <v>1</v>
      </c>
      <c r="D245">
        <v>8048</v>
      </c>
      <c r="E245">
        <v>8123</v>
      </c>
      <c r="F245">
        <v>8</v>
      </c>
      <c r="G245">
        <v>8.8000000000000007</v>
      </c>
      <c r="H245">
        <v>0.90909090000000004</v>
      </c>
      <c r="I245">
        <v>9.0909110000000001E-2</v>
      </c>
      <c r="J245">
        <v>0.52380954999999996</v>
      </c>
    </row>
    <row r="246" spans="1:10" x14ac:dyDescent="0.3">
      <c r="A246">
        <v>244</v>
      </c>
      <c r="B246">
        <v>3881</v>
      </c>
      <c r="C246" t="b">
        <v>1</v>
      </c>
      <c r="D246">
        <v>8048</v>
      </c>
      <c r="E246">
        <v>8123</v>
      </c>
      <c r="F246">
        <v>8</v>
      </c>
      <c r="G246">
        <v>8.8000000000000007</v>
      </c>
      <c r="H246">
        <v>0.90909090000000004</v>
      </c>
      <c r="I246">
        <v>9.0909110000000001E-2</v>
      </c>
      <c r="J246">
        <v>0.52380954999999996</v>
      </c>
    </row>
    <row r="247" spans="1:10" x14ac:dyDescent="0.3">
      <c r="A247">
        <v>245</v>
      </c>
      <c r="B247">
        <v>3897</v>
      </c>
      <c r="C247" t="b">
        <v>1</v>
      </c>
      <c r="D247">
        <v>8048</v>
      </c>
      <c r="E247">
        <v>8123</v>
      </c>
      <c r="F247">
        <v>8</v>
      </c>
      <c r="G247">
        <v>8.4</v>
      </c>
      <c r="H247">
        <v>0.95238100000000003</v>
      </c>
      <c r="I247">
        <v>4.7619003999999999E-2</v>
      </c>
      <c r="J247">
        <v>0.51219510000000001</v>
      </c>
    </row>
    <row r="248" spans="1:10" x14ac:dyDescent="0.3">
      <c r="A248">
        <v>246</v>
      </c>
      <c r="B248">
        <v>3912</v>
      </c>
      <c r="C248" t="b">
        <v>1</v>
      </c>
      <c r="D248">
        <v>8048</v>
      </c>
      <c r="E248">
        <v>8123</v>
      </c>
      <c r="F248">
        <v>8</v>
      </c>
      <c r="G248">
        <v>8.4</v>
      </c>
      <c r="H248">
        <v>0.95238100000000003</v>
      </c>
      <c r="I248">
        <v>4.7619003999999999E-2</v>
      </c>
      <c r="J248">
        <v>0.51219510000000001</v>
      </c>
    </row>
    <row r="249" spans="1:10" x14ac:dyDescent="0.3">
      <c r="A249">
        <v>247</v>
      </c>
      <c r="B249">
        <v>3928</v>
      </c>
      <c r="C249" t="b">
        <v>1</v>
      </c>
      <c r="D249">
        <v>8048</v>
      </c>
      <c r="E249">
        <v>8123</v>
      </c>
      <c r="F249">
        <v>8</v>
      </c>
      <c r="G249">
        <v>8.4</v>
      </c>
      <c r="H249">
        <v>0.95238100000000003</v>
      </c>
      <c r="I249">
        <v>4.7619003999999999E-2</v>
      </c>
      <c r="J249">
        <v>0.51219510000000001</v>
      </c>
    </row>
    <row r="250" spans="1:10" x14ac:dyDescent="0.3">
      <c r="A250">
        <v>248</v>
      </c>
      <c r="B250">
        <v>3944</v>
      </c>
      <c r="C250" t="b">
        <v>1</v>
      </c>
      <c r="D250">
        <v>8048</v>
      </c>
      <c r="E250">
        <v>8123</v>
      </c>
      <c r="F250">
        <v>8</v>
      </c>
      <c r="G250">
        <v>8.4</v>
      </c>
      <c r="H250">
        <v>0.95238100000000003</v>
      </c>
      <c r="I250">
        <v>4.7619003999999999E-2</v>
      </c>
      <c r="J250">
        <v>0.51219510000000001</v>
      </c>
    </row>
    <row r="251" spans="1:10" x14ac:dyDescent="0.3">
      <c r="A251">
        <v>249</v>
      </c>
      <c r="B251">
        <v>3960</v>
      </c>
      <c r="C251" t="b">
        <v>1</v>
      </c>
      <c r="D251">
        <v>8048</v>
      </c>
      <c r="E251">
        <v>8123</v>
      </c>
      <c r="F251">
        <v>8</v>
      </c>
      <c r="G251">
        <v>8.4</v>
      </c>
      <c r="H251">
        <v>0.95238100000000003</v>
      </c>
      <c r="I251">
        <v>4.7619003999999999E-2</v>
      </c>
      <c r="J251">
        <v>0.51219510000000001</v>
      </c>
    </row>
    <row r="252" spans="1:10" x14ac:dyDescent="0.3">
      <c r="A252">
        <v>250</v>
      </c>
      <c r="B252">
        <v>3976</v>
      </c>
      <c r="C252" t="b">
        <v>1</v>
      </c>
      <c r="D252">
        <v>8054</v>
      </c>
      <c r="E252">
        <v>8123</v>
      </c>
      <c r="F252">
        <v>8</v>
      </c>
      <c r="G252">
        <v>8.4</v>
      </c>
      <c r="H252">
        <v>0.95238100000000003</v>
      </c>
      <c r="I252">
        <v>4.7619003999999999E-2</v>
      </c>
      <c r="J252">
        <v>0.51219510000000001</v>
      </c>
    </row>
    <row r="253" spans="1:10" x14ac:dyDescent="0.3">
      <c r="A253">
        <v>251</v>
      </c>
      <c r="B253">
        <v>3992</v>
      </c>
      <c r="C253" t="b">
        <v>1</v>
      </c>
      <c r="D253">
        <v>8048</v>
      </c>
      <c r="E253">
        <v>8129</v>
      </c>
      <c r="F253">
        <v>8</v>
      </c>
      <c r="G253">
        <v>8.4</v>
      </c>
      <c r="H253">
        <v>0.95238100000000003</v>
      </c>
      <c r="I253">
        <v>4.7619003999999999E-2</v>
      </c>
      <c r="J253">
        <v>0.51219510000000001</v>
      </c>
    </row>
    <row r="254" spans="1:10" x14ac:dyDescent="0.3">
      <c r="A254">
        <v>252</v>
      </c>
      <c r="B254">
        <v>4007</v>
      </c>
      <c r="C254" t="b">
        <v>1</v>
      </c>
      <c r="D254">
        <v>8048</v>
      </c>
      <c r="E254">
        <v>8123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4023</v>
      </c>
      <c r="C255" t="b">
        <v>1</v>
      </c>
      <c r="D255">
        <v>8048</v>
      </c>
      <c r="E255">
        <v>8129</v>
      </c>
      <c r="F255">
        <v>8</v>
      </c>
      <c r="G255">
        <v>8</v>
      </c>
      <c r="H255">
        <v>1</v>
      </c>
      <c r="I255">
        <v>0</v>
      </c>
      <c r="J255">
        <v>0.5</v>
      </c>
    </row>
    <row r="256" spans="1:10" x14ac:dyDescent="0.3">
      <c r="A256">
        <v>254</v>
      </c>
      <c r="B256">
        <v>4039</v>
      </c>
      <c r="C256" t="b">
        <v>1</v>
      </c>
      <c r="D256">
        <v>8048</v>
      </c>
      <c r="E256">
        <v>8123</v>
      </c>
      <c r="F256">
        <v>8</v>
      </c>
      <c r="G256">
        <v>8</v>
      </c>
      <c r="H256">
        <v>1</v>
      </c>
      <c r="I256">
        <v>0</v>
      </c>
      <c r="J256">
        <v>0.5</v>
      </c>
    </row>
    <row r="257" spans="1:10" x14ac:dyDescent="0.3">
      <c r="A257">
        <v>255</v>
      </c>
      <c r="B257">
        <v>4055</v>
      </c>
      <c r="C257" t="b">
        <v>1</v>
      </c>
      <c r="D257">
        <v>8048</v>
      </c>
      <c r="E257">
        <v>8123</v>
      </c>
      <c r="F257">
        <v>8</v>
      </c>
      <c r="G257">
        <v>8</v>
      </c>
      <c r="H257">
        <v>1</v>
      </c>
      <c r="I257">
        <v>0</v>
      </c>
      <c r="J257">
        <v>0.5</v>
      </c>
    </row>
    <row r="258" spans="1:10" x14ac:dyDescent="0.3">
      <c r="A258">
        <v>256</v>
      </c>
      <c r="B258">
        <v>4071</v>
      </c>
      <c r="C258" t="b">
        <v>1</v>
      </c>
      <c r="D258">
        <v>8048</v>
      </c>
      <c r="E258">
        <v>8123</v>
      </c>
      <c r="F258">
        <v>8</v>
      </c>
      <c r="G258">
        <v>8</v>
      </c>
      <c r="H258">
        <v>1</v>
      </c>
      <c r="I258">
        <v>0</v>
      </c>
      <c r="J258">
        <v>0.5</v>
      </c>
    </row>
    <row r="259" spans="1:10" x14ac:dyDescent="0.3">
      <c r="A259">
        <v>257</v>
      </c>
      <c r="B259">
        <v>4087</v>
      </c>
      <c r="C259" t="b">
        <v>1</v>
      </c>
      <c r="D259">
        <v>8048</v>
      </c>
      <c r="E259">
        <v>8123</v>
      </c>
      <c r="F259">
        <v>8</v>
      </c>
      <c r="G259">
        <v>8</v>
      </c>
      <c r="H259">
        <v>1</v>
      </c>
      <c r="I259">
        <v>0</v>
      </c>
      <c r="J259">
        <v>0.5</v>
      </c>
    </row>
    <row r="260" spans="1:10" x14ac:dyDescent="0.3">
      <c r="A260">
        <v>258</v>
      </c>
      <c r="B260">
        <v>4103</v>
      </c>
      <c r="C260" t="b">
        <v>1</v>
      </c>
      <c r="D260">
        <v>8048</v>
      </c>
      <c r="E260">
        <v>8123</v>
      </c>
      <c r="F260">
        <v>8</v>
      </c>
      <c r="G260">
        <v>8</v>
      </c>
      <c r="H260">
        <v>1</v>
      </c>
      <c r="I260">
        <v>0</v>
      </c>
      <c r="J260">
        <v>0.5</v>
      </c>
    </row>
    <row r="261" spans="1:10" x14ac:dyDescent="0.3">
      <c r="A261">
        <v>259</v>
      </c>
      <c r="B261">
        <v>4119</v>
      </c>
      <c r="C261" t="b">
        <v>1</v>
      </c>
      <c r="D261">
        <v>8042</v>
      </c>
      <c r="E261">
        <v>8123</v>
      </c>
      <c r="F261">
        <v>8</v>
      </c>
      <c r="G261">
        <v>8</v>
      </c>
      <c r="H261">
        <v>1</v>
      </c>
      <c r="I261">
        <v>0</v>
      </c>
      <c r="J261">
        <v>0.5</v>
      </c>
    </row>
    <row r="262" spans="1:10" x14ac:dyDescent="0.3">
      <c r="A262">
        <v>260</v>
      </c>
      <c r="B262">
        <v>4135</v>
      </c>
      <c r="C262" t="b">
        <v>1</v>
      </c>
      <c r="D262">
        <v>8048</v>
      </c>
      <c r="E262">
        <v>8123</v>
      </c>
      <c r="F262">
        <v>8</v>
      </c>
      <c r="G262">
        <v>8</v>
      </c>
      <c r="H262">
        <v>1</v>
      </c>
      <c r="I262">
        <v>0</v>
      </c>
      <c r="J262">
        <v>0.5</v>
      </c>
    </row>
    <row r="263" spans="1:10" x14ac:dyDescent="0.3">
      <c r="A263">
        <v>261</v>
      </c>
      <c r="B263">
        <v>4151</v>
      </c>
      <c r="C263" t="b">
        <v>1</v>
      </c>
      <c r="D263">
        <v>8048</v>
      </c>
      <c r="E263">
        <v>8123</v>
      </c>
      <c r="F263">
        <v>8</v>
      </c>
      <c r="G263">
        <v>8</v>
      </c>
      <c r="H263">
        <v>1</v>
      </c>
      <c r="I263">
        <v>0</v>
      </c>
      <c r="J263">
        <v>0.5</v>
      </c>
    </row>
    <row r="264" spans="1:10" x14ac:dyDescent="0.3">
      <c r="A264">
        <v>262</v>
      </c>
      <c r="B264">
        <v>4167</v>
      </c>
      <c r="C264" t="b">
        <v>1</v>
      </c>
      <c r="D264">
        <v>8048</v>
      </c>
      <c r="E264">
        <v>8117</v>
      </c>
      <c r="F264">
        <v>8</v>
      </c>
      <c r="G264">
        <v>8</v>
      </c>
      <c r="H264">
        <v>1</v>
      </c>
      <c r="I264">
        <v>0</v>
      </c>
      <c r="J264">
        <v>0.5</v>
      </c>
    </row>
    <row r="265" spans="1:10" x14ac:dyDescent="0.3">
      <c r="A265">
        <v>263</v>
      </c>
      <c r="B265">
        <v>4183</v>
      </c>
      <c r="C265" t="b">
        <v>1</v>
      </c>
      <c r="D265">
        <v>8048</v>
      </c>
      <c r="E265">
        <v>8117</v>
      </c>
      <c r="F265">
        <v>8</v>
      </c>
      <c r="G265">
        <v>8</v>
      </c>
      <c r="H265">
        <v>1</v>
      </c>
      <c r="I265">
        <v>0</v>
      </c>
      <c r="J265">
        <v>0.5</v>
      </c>
    </row>
    <row r="266" spans="1:10" x14ac:dyDescent="0.3">
      <c r="A266">
        <v>264</v>
      </c>
      <c r="B266">
        <v>4198</v>
      </c>
      <c r="C266" t="b">
        <v>1</v>
      </c>
      <c r="D266">
        <v>8048</v>
      </c>
      <c r="E266">
        <v>8117</v>
      </c>
      <c r="F266">
        <v>8</v>
      </c>
      <c r="G266">
        <v>7.6</v>
      </c>
      <c r="H266">
        <v>1.0526316</v>
      </c>
      <c r="I266">
        <v>-5.2631589999999999E-2</v>
      </c>
      <c r="J266">
        <v>0.48717946000000001</v>
      </c>
    </row>
    <row r="267" spans="1:10" x14ac:dyDescent="0.3">
      <c r="A267">
        <v>265</v>
      </c>
      <c r="B267">
        <v>4214</v>
      </c>
      <c r="C267" t="b">
        <v>1</v>
      </c>
      <c r="D267">
        <v>8048</v>
      </c>
      <c r="E267">
        <v>8117</v>
      </c>
      <c r="F267">
        <v>8</v>
      </c>
      <c r="G267">
        <v>7.2</v>
      </c>
      <c r="H267">
        <v>1.1111112000000001</v>
      </c>
      <c r="I267">
        <v>-0.11111114</v>
      </c>
      <c r="J267">
        <v>0.4736842</v>
      </c>
    </row>
    <row r="268" spans="1:10" x14ac:dyDescent="0.3">
      <c r="A268">
        <v>266</v>
      </c>
      <c r="B268">
        <v>4230</v>
      </c>
      <c r="C268" t="b">
        <v>1</v>
      </c>
      <c r="D268">
        <v>8048</v>
      </c>
      <c r="E268">
        <v>8117</v>
      </c>
      <c r="F268">
        <v>8</v>
      </c>
      <c r="G268">
        <v>6.8</v>
      </c>
      <c r="H268">
        <v>1.1764705</v>
      </c>
      <c r="I268">
        <v>-0.17647055</v>
      </c>
      <c r="J268">
        <v>0.45945944999999999</v>
      </c>
    </row>
    <row r="269" spans="1:10" x14ac:dyDescent="0.3">
      <c r="A269">
        <v>267</v>
      </c>
      <c r="B269">
        <v>4246</v>
      </c>
      <c r="C269" t="b">
        <v>1</v>
      </c>
      <c r="D269">
        <v>8048</v>
      </c>
      <c r="E269">
        <v>8123</v>
      </c>
      <c r="F269">
        <v>8</v>
      </c>
      <c r="G269">
        <v>6.4</v>
      </c>
      <c r="H269">
        <v>1.25</v>
      </c>
      <c r="I269">
        <v>-0.24999999000000001</v>
      </c>
      <c r="J269">
        <v>0.44444447999999998</v>
      </c>
    </row>
    <row r="270" spans="1:10" x14ac:dyDescent="0.3">
      <c r="A270">
        <v>268</v>
      </c>
      <c r="B270">
        <v>4262</v>
      </c>
      <c r="C270" t="b">
        <v>1</v>
      </c>
      <c r="D270">
        <v>8048</v>
      </c>
      <c r="E270">
        <v>8123</v>
      </c>
      <c r="F270">
        <v>8</v>
      </c>
      <c r="G270">
        <v>6</v>
      </c>
      <c r="H270">
        <v>1.3333333999999999</v>
      </c>
      <c r="I270">
        <v>-0.33333333999999998</v>
      </c>
      <c r="J270">
        <v>0.42857142999999998</v>
      </c>
    </row>
    <row r="271" spans="1:10" x14ac:dyDescent="0.3">
      <c r="A271">
        <v>269</v>
      </c>
      <c r="B271">
        <v>4278</v>
      </c>
      <c r="C271" t="b">
        <v>1</v>
      </c>
      <c r="D271">
        <v>8048</v>
      </c>
      <c r="E271">
        <v>8123</v>
      </c>
      <c r="F271">
        <v>8</v>
      </c>
      <c r="G271">
        <v>6</v>
      </c>
      <c r="H271">
        <v>1.3333333999999999</v>
      </c>
      <c r="I271">
        <v>-0.33333333999999998</v>
      </c>
      <c r="J271">
        <v>0.42857142999999998</v>
      </c>
    </row>
    <row r="272" spans="1:10" x14ac:dyDescent="0.3">
      <c r="A272">
        <v>270</v>
      </c>
      <c r="B272">
        <v>4294</v>
      </c>
      <c r="C272" t="b">
        <v>1</v>
      </c>
      <c r="D272">
        <v>8048</v>
      </c>
      <c r="E272">
        <v>8123</v>
      </c>
      <c r="F272">
        <v>8</v>
      </c>
      <c r="G272">
        <v>6</v>
      </c>
      <c r="H272">
        <v>1.3333333999999999</v>
      </c>
      <c r="I272">
        <v>-0.33333333999999998</v>
      </c>
      <c r="J272">
        <v>0.42857142999999998</v>
      </c>
    </row>
    <row r="273" spans="1:10" x14ac:dyDescent="0.3">
      <c r="A273">
        <v>271</v>
      </c>
      <c r="B273">
        <v>4310</v>
      </c>
      <c r="C273" t="b">
        <v>1</v>
      </c>
      <c r="D273">
        <v>8048</v>
      </c>
      <c r="E273">
        <v>8123</v>
      </c>
      <c r="F273">
        <v>8</v>
      </c>
      <c r="G273">
        <v>6</v>
      </c>
      <c r="H273">
        <v>1.3333333999999999</v>
      </c>
      <c r="I273">
        <v>-0.33333333999999998</v>
      </c>
      <c r="J273">
        <v>0.42857142999999998</v>
      </c>
    </row>
    <row r="274" spans="1:10" x14ac:dyDescent="0.3">
      <c r="A274">
        <v>272</v>
      </c>
      <c r="B274">
        <v>4326</v>
      </c>
      <c r="C274" t="b">
        <v>1</v>
      </c>
      <c r="D274">
        <v>8048</v>
      </c>
      <c r="E274">
        <v>8129</v>
      </c>
      <c r="F274">
        <v>8</v>
      </c>
      <c r="G274">
        <v>6</v>
      </c>
      <c r="H274">
        <v>1.3333333999999999</v>
      </c>
      <c r="I274">
        <v>-0.33333333999999998</v>
      </c>
      <c r="J274">
        <v>0.42857142999999998</v>
      </c>
    </row>
    <row r="275" spans="1:10" x14ac:dyDescent="0.3">
      <c r="A275">
        <v>273</v>
      </c>
      <c r="B275">
        <v>4342</v>
      </c>
      <c r="C275" t="b">
        <v>1</v>
      </c>
      <c r="D275">
        <v>8048</v>
      </c>
      <c r="E275">
        <v>8129</v>
      </c>
      <c r="F275">
        <v>8</v>
      </c>
      <c r="G275">
        <v>6</v>
      </c>
      <c r="H275">
        <v>1.3333333999999999</v>
      </c>
      <c r="I275">
        <v>-0.33333333999999998</v>
      </c>
      <c r="J275">
        <v>0.42857142999999998</v>
      </c>
    </row>
    <row r="276" spans="1:10" x14ac:dyDescent="0.3">
      <c r="A276">
        <v>274</v>
      </c>
      <c r="B276">
        <v>4357</v>
      </c>
      <c r="C276" t="b">
        <v>1</v>
      </c>
      <c r="D276">
        <v>8054</v>
      </c>
      <c r="E276">
        <v>8123</v>
      </c>
      <c r="F276">
        <v>8</v>
      </c>
      <c r="G276">
        <v>6</v>
      </c>
      <c r="H276">
        <v>1.3333333999999999</v>
      </c>
      <c r="I276">
        <v>-0.33333333999999998</v>
      </c>
      <c r="J276">
        <v>0.42857142999999998</v>
      </c>
    </row>
    <row r="277" spans="1:10" x14ac:dyDescent="0.3">
      <c r="A277">
        <v>275</v>
      </c>
      <c r="B277">
        <v>4373</v>
      </c>
      <c r="C277" t="b">
        <v>1</v>
      </c>
      <c r="D277">
        <v>8048</v>
      </c>
      <c r="E277">
        <v>8117</v>
      </c>
      <c r="F277">
        <v>8</v>
      </c>
      <c r="G277">
        <v>6</v>
      </c>
      <c r="H277">
        <v>1.3333333999999999</v>
      </c>
      <c r="I277">
        <v>-0.33333333999999998</v>
      </c>
      <c r="J277">
        <v>0.42857142999999998</v>
      </c>
    </row>
    <row r="278" spans="1:10" x14ac:dyDescent="0.3">
      <c r="A278">
        <v>276</v>
      </c>
      <c r="B278">
        <v>4389</v>
      </c>
      <c r="C278" t="b">
        <v>1</v>
      </c>
      <c r="D278">
        <v>8048</v>
      </c>
      <c r="E278">
        <v>8123</v>
      </c>
      <c r="F278">
        <v>8</v>
      </c>
      <c r="G278">
        <v>6</v>
      </c>
      <c r="H278">
        <v>1.3333333999999999</v>
      </c>
      <c r="I278">
        <v>-0.33333333999999998</v>
      </c>
      <c r="J278">
        <v>0.42857142999999998</v>
      </c>
    </row>
    <row r="279" spans="1:10" x14ac:dyDescent="0.3">
      <c r="A279">
        <v>277</v>
      </c>
      <c r="B279">
        <v>4405</v>
      </c>
      <c r="C279" t="b">
        <v>1</v>
      </c>
      <c r="D279">
        <v>8048</v>
      </c>
      <c r="E279">
        <v>8123</v>
      </c>
      <c r="F279">
        <v>8</v>
      </c>
      <c r="G279">
        <v>6</v>
      </c>
      <c r="H279">
        <v>1.3333333999999999</v>
      </c>
      <c r="I279">
        <v>-0.33333333999999998</v>
      </c>
      <c r="J279">
        <v>0.42857142999999998</v>
      </c>
    </row>
    <row r="280" spans="1:10" x14ac:dyDescent="0.3">
      <c r="A280">
        <v>278</v>
      </c>
      <c r="B280">
        <v>4421</v>
      </c>
      <c r="C280" t="b">
        <v>1</v>
      </c>
      <c r="D280">
        <v>8048</v>
      </c>
      <c r="E280">
        <v>8117</v>
      </c>
      <c r="F280">
        <v>8</v>
      </c>
      <c r="G280">
        <v>6</v>
      </c>
      <c r="H280">
        <v>1.3333333999999999</v>
      </c>
      <c r="I280">
        <v>-0.33333333999999998</v>
      </c>
      <c r="J280">
        <v>0.42857142999999998</v>
      </c>
    </row>
    <row r="281" spans="1:10" x14ac:dyDescent="0.3">
      <c r="A281">
        <v>279</v>
      </c>
      <c r="B281">
        <v>4437</v>
      </c>
      <c r="C281" t="b">
        <v>1</v>
      </c>
      <c r="D281">
        <v>8048</v>
      </c>
      <c r="E281">
        <v>8117</v>
      </c>
      <c r="F281">
        <v>8</v>
      </c>
      <c r="G281">
        <v>6</v>
      </c>
      <c r="H281">
        <v>1.3333333999999999</v>
      </c>
      <c r="I281">
        <v>-0.33333333999999998</v>
      </c>
      <c r="J281">
        <v>0.42857142999999998</v>
      </c>
    </row>
    <row r="282" spans="1:10" x14ac:dyDescent="0.3">
      <c r="A282">
        <v>280</v>
      </c>
      <c r="B282">
        <v>4453</v>
      </c>
      <c r="C282" t="b">
        <v>1</v>
      </c>
      <c r="D282">
        <v>8048</v>
      </c>
      <c r="E282">
        <v>8123</v>
      </c>
      <c r="F282">
        <v>8</v>
      </c>
      <c r="G282">
        <v>6.4</v>
      </c>
      <c r="H282">
        <v>1.25</v>
      </c>
      <c r="I282">
        <v>-0.24999999000000001</v>
      </c>
      <c r="J282">
        <v>0.44444447999999998</v>
      </c>
    </row>
    <row r="283" spans="1:10" x14ac:dyDescent="0.3">
      <c r="A283">
        <v>281</v>
      </c>
      <c r="B283">
        <v>4469</v>
      </c>
      <c r="C283" t="b">
        <v>1</v>
      </c>
      <c r="D283">
        <v>8048</v>
      </c>
      <c r="E283">
        <v>8123</v>
      </c>
      <c r="F283">
        <v>8</v>
      </c>
      <c r="G283">
        <v>6.8</v>
      </c>
      <c r="H283">
        <v>1.1764705</v>
      </c>
      <c r="I283">
        <v>-0.17647055</v>
      </c>
      <c r="J283">
        <v>0.45945944999999999</v>
      </c>
    </row>
    <row r="284" spans="1:10" x14ac:dyDescent="0.3">
      <c r="A284">
        <v>282</v>
      </c>
      <c r="B284">
        <v>4485</v>
      </c>
      <c r="C284" t="b">
        <v>1</v>
      </c>
      <c r="D284">
        <v>8054</v>
      </c>
      <c r="E284">
        <v>8134</v>
      </c>
      <c r="F284">
        <v>8</v>
      </c>
      <c r="G284">
        <v>7.2</v>
      </c>
      <c r="H284">
        <v>1.1111112000000001</v>
      </c>
      <c r="I284">
        <v>-0.11111114</v>
      </c>
      <c r="J284">
        <v>0.4736842</v>
      </c>
    </row>
    <row r="285" spans="1:10" x14ac:dyDescent="0.3">
      <c r="A285">
        <v>283</v>
      </c>
      <c r="B285">
        <v>4500</v>
      </c>
      <c r="C285" t="b">
        <v>1</v>
      </c>
      <c r="D285">
        <v>8054</v>
      </c>
      <c r="E285">
        <v>8123</v>
      </c>
      <c r="F285">
        <v>8</v>
      </c>
      <c r="G285">
        <v>7.6</v>
      </c>
      <c r="H285">
        <v>1.0526316</v>
      </c>
      <c r="I285">
        <v>-5.2631589999999999E-2</v>
      </c>
      <c r="J285">
        <v>0.48717946000000001</v>
      </c>
    </row>
    <row r="286" spans="1:10" x14ac:dyDescent="0.3">
      <c r="A286">
        <v>284</v>
      </c>
      <c r="B286">
        <v>4516</v>
      </c>
      <c r="C286" t="b">
        <v>1</v>
      </c>
      <c r="D286">
        <v>8060</v>
      </c>
      <c r="E286">
        <v>8123</v>
      </c>
      <c r="F286">
        <v>8.4</v>
      </c>
      <c r="G286">
        <v>7.6</v>
      </c>
      <c r="H286">
        <v>1.1052630999999999</v>
      </c>
      <c r="I286">
        <v>-0.10526312</v>
      </c>
      <c r="J286">
        <v>0.47499999999999998</v>
      </c>
    </row>
    <row r="287" spans="1:10" x14ac:dyDescent="0.3">
      <c r="A287">
        <v>285</v>
      </c>
      <c r="B287">
        <v>4532</v>
      </c>
      <c r="C287" t="b">
        <v>1</v>
      </c>
      <c r="D287">
        <v>8054</v>
      </c>
      <c r="E287">
        <v>8123</v>
      </c>
      <c r="F287">
        <v>8.8000000000000007</v>
      </c>
      <c r="G287">
        <v>7.6</v>
      </c>
      <c r="H287">
        <v>1.1578946999999999</v>
      </c>
      <c r="I287">
        <v>-0.15789478000000001</v>
      </c>
      <c r="J287">
        <v>0.46341463999999999</v>
      </c>
    </row>
    <row r="288" spans="1:10" x14ac:dyDescent="0.3">
      <c r="A288">
        <v>286</v>
      </c>
      <c r="B288">
        <v>4548</v>
      </c>
      <c r="C288" t="b">
        <v>1</v>
      </c>
      <c r="D288">
        <v>8054</v>
      </c>
      <c r="E288">
        <v>8123</v>
      </c>
      <c r="F288">
        <v>9.1999999999999993</v>
      </c>
      <c r="G288">
        <v>7.6</v>
      </c>
      <c r="H288">
        <v>1.2105262999999999</v>
      </c>
      <c r="I288">
        <v>-0.2105263</v>
      </c>
      <c r="J288">
        <v>0.45238096</v>
      </c>
    </row>
    <row r="289" spans="1:10" x14ac:dyDescent="0.3">
      <c r="A289">
        <v>287</v>
      </c>
      <c r="B289">
        <v>4564</v>
      </c>
      <c r="C289" t="b">
        <v>1</v>
      </c>
      <c r="D289">
        <v>8054</v>
      </c>
      <c r="E289">
        <v>8123</v>
      </c>
      <c r="F289">
        <v>9.6</v>
      </c>
      <c r="G289">
        <v>7.6</v>
      </c>
      <c r="H289">
        <v>1.263158</v>
      </c>
      <c r="I289">
        <v>-0.26315796000000002</v>
      </c>
      <c r="J289">
        <v>0.44186044000000002</v>
      </c>
    </row>
    <row r="290" spans="1:10" x14ac:dyDescent="0.3">
      <c r="A290">
        <v>288</v>
      </c>
      <c r="B290">
        <v>4580</v>
      </c>
      <c r="C290" t="b">
        <v>1</v>
      </c>
      <c r="D290">
        <v>8048</v>
      </c>
      <c r="E290">
        <v>8123</v>
      </c>
      <c r="F290">
        <v>10</v>
      </c>
      <c r="G290">
        <v>7.6</v>
      </c>
      <c r="H290">
        <v>1.3157894999999999</v>
      </c>
      <c r="I290">
        <v>-0.3157895</v>
      </c>
      <c r="J290">
        <v>0.43181816000000001</v>
      </c>
    </row>
    <row r="291" spans="1:10" x14ac:dyDescent="0.3">
      <c r="A291">
        <v>289</v>
      </c>
      <c r="B291">
        <v>4596</v>
      </c>
      <c r="C291" t="b">
        <v>1</v>
      </c>
      <c r="D291">
        <v>8048</v>
      </c>
      <c r="E291">
        <v>8123</v>
      </c>
      <c r="F291">
        <v>10.4</v>
      </c>
      <c r="G291">
        <v>7.6</v>
      </c>
      <c r="H291">
        <v>1.3684210999999999</v>
      </c>
      <c r="I291">
        <v>-0.36842101999999999</v>
      </c>
      <c r="J291">
        <v>0.42222222999999998</v>
      </c>
    </row>
    <row r="292" spans="1:10" x14ac:dyDescent="0.3">
      <c r="A292">
        <v>290</v>
      </c>
      <c r="B292">
        <v>4612</v>
      </c>
      <c r="C292" t="b">
        <v>1</v>
      </c>
      <c r="D292">
        <v>8048</v>
      </c>
      <c r="E292">
        <v>8123</v>
      </c>
      <c r="F292">
        <v>10.4</v>
      </c>
      <c r="G292">
        <v>7.6</v>
      </c>
      <c r="H292">
        <v>1.3684210999999999</v>
      </c>
      <c r="I292">
        <v>-0.36842101999999999</v>
      </c>
      <c r="J292">
        <v>0.42222222999999998</v>
      </c>
    </row>
    <row r="293" spans="1:10" x14ac:dyDescent="0.3">
      <c r="A293">
        <v>291</v>
      </c>
      <c r="B293">
        <v>4628</v>
      </c>
      <c r="C293" t="b">
        <v>1</v>
      </c>
      <c r="D293">
        <v>8048</v>
      </c>
      <c r="E293">
        <v>8123</v>
      </c>
      <c r="F293">
        <v>10.4</v>
      </c>
      <c r="G293">
        <v>7.6</v>
      </c>
      <c r="H293">
        <v>1.3684210999999999</v>
      </c>
      <c r="I293">
        <v>-0.36842101999999999</v>
      </c>
      <c r="J293">
        <v>0.42222222999999998</v>
      </c>
    </row>
    <row r="294" spans="1:10" x14ac:dyDescent="0.3">
      <c r="A294">
        <v>292</v>
      </c>
      <c r="B294">
        <v>4644</v>
      </c>
      <c r="C294" t="b">
        <v>1</v>
      </c>
      <c r="D294">
        <v>8048</v>
      </c>
      <c r="E294">
        <v>8123</v>
      </c>
      <c r="F294">
        <v>10.4</v>
      </c>
      <c r="G294">
        <v>7.6</v>
      </c>
      <c r="H294">
        <v>1.3684210999999999</v>
      </c>
      <c r="I294">
        <v>-0.36842101999999999</v>
      </c>
      <c r="J294">
        <v>0.42222222999999998</v>
      </c>
    </row>
    <row r="295" spans="1:10" x14ac:dyDescent="0.3">
      <c r="A295">
        <v>293</v>
      </c>
      <c r="B295">
        <v>4659</v>
      </c>
      <c r="C295" t="b">
        <v>1</v>
      </c>
      <c r="D295">
        <v>8048</v>
      </c>
      <c r="E295">
        <v>8123</v>
      </c>
      <c r="F295">
        <v>10.4</v>
      </c>
      <c r="G295">
        <v>7.6</v>
      </c>
      <c r="H295">
        <v>1.3684210999999999</v>
      </c>
      <c r="I295">
        <v>-0.36842101999999999</v>
      </c>
      <c r="J295">
        <v>0.42222222999999998</v>
      </c>
    </row>
    <row r="296" spans="1:10" x14ac:dyDescent="0.3">
      <c r="A296">
        <v>294</v>
      </c>
      <c r="B296">
        <v>4675</v>
      </c>
      <c r="C296" t="b">
        <v>1</v>
      </c>
      <c r="D296">
        <v>8048</v>
      </c>
      <c r="E296">
        <v>8123</v>
      </c>
      <c r="F296">
        <v>10.4</v>
      </c>
      <c r="G296">
        <v>8</v>
      </c>
      <c r="H296">
        <v>1.3</v>
      </c>
      <c r="I296">
        <v>-0.29999995000000002</v>
      </c>
      <c r="J296">
        <v>0.43478262000000001</v>
      </c>
    </row>
    <row r="297" spans="1:10" x14ac:dyDescent="0.3">
      <c r="A297">
        <v>295</v>
      </c>
      <c r="B297">
        <v>4691</v>
      </c>
      <c r="C297" t="b">
        <v>1</v>
      </c>
      <c r="D297">
        <v>8048</v>
      </c>
      <c r="E297">
        <v>8123</v>
      </c>
      <c r="F297">
        <v>10.4</v>
      </c>
      <c r="G297">
        <v>8</v>
      </c>
      <c r="H297">
        <v>1.3</v>
      </c>
      <c r="I297">
        <v>-0.29999995000000002</v>
      </c>
      <c r="J297">
        <v>0.43478262000000001</v>
      </c>
    </row>
    <row r="298" spans="1:10" x14ac:dyDescent="0.3">
      <c r="A298">
        <v>296</v>
      </c>
      <c r="B298">
        <v>4707</v>
      </c>
      <c r="C298" t="b">
        <v>1</v>
      </c>
      <c r="D298">
        <v>8048</v>
      </c>
      <c r="E298">
        <v>8123</v>
      </c>
      <c r="F298">
        <v>10.4</v>
      </c>
      <c r="G298">
        <v>8</v>
      </c>
      <c r="H298">
        <v>1.3</v>
      </c>
      <c r="I298">
        <v>-0.29999995000000002</v>
      </c>
      <c r="J298">
        <v>0.43478262000000001</v>
      </c>
    </row>
    <row r="299" spans="1:10" x14ac:dyDescent="0.3">
      <c r="A299">
        <v>297</v>
      </c>
      <c r="B299">
        <v>4723</v>
      </c>
      <c r="C299" t="b">
        <v>1</v>
      </c>
      <c r="D299">
        <v>8054</v>
      </c>
      <c r="E299">
        <v>8123</v>
      </c>
      <c r="F299">
        <v>10.4</v>
      </c>
      <c r="G299">
        <v>8</v>
      </c>
      <c r="H299">
        <v>1.3</v>
      </c>
      <c r="I299">
        <v>-0.29999995000000002</v>
      </c>
      <c r="J299">
        <v>0.43478262000000001</v>
      </c>
    </row>
    <row r="300" spans="1:10" x14ac:dyDescent="0.3">
      <c r="A300">
        <v>298</v>
      </c>
      <c r="B300">
        <v>4739</v>
      </c>
      <c r="C300" t="b">
        <v>1</v>
      </c>
      <c r="D300">
        <v>8048</v>
      </c>
      <c r="E300">
        <v>8123</v>
      </c>
      <c r="F300">
        <v>10.4</v>
      </c>
      <c r="G300">
        <v>8</v>
      </c>
      <c r="H300">
        <v>1.3</v>
      </c>
      <c r="I300">
        <v>-0.29999995000000002</v>
      </c>
      <c r="J300">
        <v>0.43478262000000001</v>
      </c>
    </row>
    <row r="301" spans="1:10" x14ac:dyDescent="0.3">
      <c r="A301">
        <v>299</v>
      </c>
      <c r="B301">
        <v>4755</v>
      </c>
      <c r="C301" t="b">
        <v>1</v>
      </c>
      <c r="D301">
        <v>8048</v>
      </c>
      <c r="E301">
        <v>8123</v>
      </c>
      <c r="F301">
        <v>10</v>
      </c>
      <c r="G301">
        <v>8</v>
      </c>
      <c r="H301">
        <v>1.25</v>
      </c>
      <c r="I301">
        <v>-0.25</v>
      </c>
      <c r="J301">
        <v>0.44444444999999999</v>
      </c>
    </row>
    <row r="302" spans="1:10" x14ac:dyDescent="0.3">
      <c r="A302">
        <v>300</v>
      </c>
      <c r="B302">
        <v>4771</v>
      </c>
      <c r="C302" t="b">
        <v>1</v>
      </c>
      <c r="D302">
        <v>8048</v>
      </c>
      <c r="E302">
        <v>8123</v>
      </c>
      <c r="F302">
        <v>9.6</v>
      </c>
      <c r="G302">
        <v>8</v>
      </c>
      <c r="H302">
        <v>1.2</v>
      </c>
      <c r="I302">
        <v>-0.20000005000000001</v>
      </c>
      <c r="J302">
        <v>0.45454544000000002</v>
      </c>
    </row>
    <row r="303" spans="1:10" x14ac:dyDescent="0.3">
      <c r="A303">
        <v>301</v>
      </c>
      <c r="B303">
        <v>4787</v>
      </c>
      <c r="C303" t="b">
        <v>1</v>
      </c>
      <c r="D303">
        <v>8048</v>
      </c>
      <c r="E303">
        <v>8123</v>
      </c>
      <c r="F303">
        <v>9.1999999999999993</v>
      </c>
      <c r="G303">
        <v>8</v>
      </c>
      <c r="H303">
        <v>1.1499999999999999</v>
      </c>
      <c r="I303">
        <v>-0.14999998</v>
      </c>
      <c r="J303">
        <v>0.46511626</v>
      </c>
    </row>
    <row r="304" spans="1:10" x14ac:dyDescent="0.3">
      <c r="A304">
        <v>302</v>
      </c>
      <c r="B304">
        <v>4802</v>
      </c>
      <c r="C304" t="b">
        <v>1</v>
      </c>
      <c r="D304">
        <v>8048</v>
      </c>
      <c r="E304">
        <v>8129</v>
      </c>
      <c r="F304">
        <v>8.8000000000000007</v>
      </c>
      <c r="G304">
        <v>8</v>
      </c>
      <c r="H304">
        <v>1.1000000000000001</v>
      </c>
      <c r="I304">
        <v>-0.10000002400000001</v>
      </c>
      <c r="J304">
        <v>0.47619050000000002</v>
      </c>
    </row>
    <row r="305" spans="1:10" x14ac:dyDescent="0.3">
      <c r="A305">
        <v>303</v>
      </c>
      <c r="B305">
        <v>4818</v>
      </c>
      <c r="C305" t="b">
        <v>1</v>
      </c>
      <c r="D305">
        <v>8048</v>
      </c>
      <c r="E305">
        <v>8129</v>
      </c>
      <c r="F305">
        <v>8.4</v>
      </c>
      <c r="G305">
        <v>8</v>
      </c>
      <c r="H305">
        <v>1.05</v>
      </c>
      <c r="I305">
        <v>-4.9999952E-2</v>
      </c>
      <c r="J305">
        <v>0.48780489999999999</v>
      </c>
    </row>
    <row r="306" spans="1:10" x14ac:dyDescent="0.3">
      <c r="A306">
        <v>304</v>
      </c>
      <c r="B306">
        <v>4834</v>
      </c>
      <c r="C306" t="b">
        <v>1</v>
      </c>
      <c r="D306">
        <v>8048</v>
      </c>
      <c r="E306">
        <v>8129</v>
      </c>
      <c r="F306">
        <v>8</v>
      </c>
      <c r="G306">
        <v>8.4</v>
      </c>
      <c r="H306">
        <v>0.95238100000000003</v>
      </c>
      <c r="I306">
        <v>4.7619003999999999E-2</v>
      </c>
      <c r="J306">
        <v>0.51219510000000001</v>
      </c>
    </row>
    <row r="307" spans="1:10" x14ac:dyDescent="0.3">
      <c r="A307">
        <v>305</v>
      </c>
      <c r="B307">
        <v>4850</v>
      </c>
      <c r="C307" t="b">
        <v>1</v>
      </c>
      <c r="D307">
        <v>8048</v>
      </c>
      <c r="E307">
        <v>8123</v>
      </c>
      <c r="F307">
        <v>8</v>
      </c>
      <c r="G307">
        <v>8.8000000000000007</v>
      </c>
      <c r="H307">
        <v>0.90909090000000004</v>
      </c>
      <c r="I307">
        <v>9.0909110000000001E-2</v>
      </c>
      <c r="J307">
        <v>0.52380954999999996</v>
      </c>
    </row>
    <row r="308" spans="1:10" x14ac:dyDescent="0.3">
      <c r="A308">
        <v>306</v>
      </c>
      <c r="B308">
        <v>4866</v>
      </c>
      <c r="C308" t="b">
        <v>1</v>
      </c>
      <c r="D308">
        <v>8048</v>
      </c>
      <c r="E308">
        <v>8123</v>
      </c>
      <c r="F308">
        <v>8</v>
      </c>
      <c r="G308">
        <v>9.1999999999999993</v>
      </c>
      <c r="H308">
        <v>0.86956524999999996</v>
      </c>
      <c r="I308">
        <v>0.13043477000000001</v>
      </c>
      <c r="J308">
        <v>0.53488369999999996</v>
      </c>
    </row>
    <row r="309" spans="1:10" x14ac:dyDescent="0.3">
      <c r="A309">
        <v>307</v>
      </c>
      <c r="B309">
        <v>4882</v>
      </c>
      <c r="C309" t="b">
        <v>1</v>
      </c>
      <c r="D309">
        <v>8048</v>
      </c>
      <c r="E309">
        <v>8129</v>
      </c>
      <c r="F309">
        <v>8</v>
      </c>
      <c r="G309">
        <v>9.6</v>
      </c>
      <c r="H309">
        <v>0.83333330000000005</v>
      </c>
      <c r="I309">
        <v>0.1666667</v>
      </c>
      <c r="J309">
        <v>0.54545456000000003</v>
      </c>
    </row>
    <row r="310" spans="1:10" x14ac:dyDescent="0.3">
      <c r="A310">
        <v>308</v>
      </c>
      <c r="B310">
        <v>4898</v>
      </c>
      <c r="C310" t="b">
        <v>1</v>
      </c>
      <c r="D310">
        <v>8054</v>
      </c>
      <c r="E310">
        <v>8123</v>
      </c>
      <c r="F310">
        <v>8</v>
      </c>
      <c r="G310">
        <v>9.6</v>
      </c>
      <c r="H310">
        <v>0.83333330000000005</v>
      </c>
      <c r="I310">
        <v>0.1666667</v>
      </c>
      <c r="J310">
        <v>0.54545456000000003</v>
      </c>
    </row>
    <row r="311" spans="1:10" x14ac:dyDescent="0.3">
      <c r="A311">
        <v>309</v>
      </c>
      <c r="B311">
        <v>4914</v>
      </c>
      <c r="C311" t="b">
        <v>1</v>
      </c>
      <c r="D311">
        <v>8048</v>
      </c>
      <c r="E311">
        <v>8123</v>
      </c>
      <c r="F311">
        <v>8</v>
      </c>
      <c r="G311">
        <v>9.6</v>
      </c>
      <c r="H311">
        <v>0.83333330000000005</v>
      </c>
      <c r="I311">
        <v>0.1666667</v>
      </c>
      <c r="J311">
        <v>0.54545456000000003</v>
      </c>
    </row>
    <row r="312" spans="1:10" x14ac:dyDescent="0.3">
      <c r="A312">
        <v>310</v>
      </c>
      <c r="B312">
        <v>4929</v>
      </c>
      <c r="C312" t="b">
        <v>1</v>
      </c>
      <c r="D312">
        <v>8048</v>
      </c>
      <c r="E312">
        <v>8129</v>
      </c>
      <c r="F312">
        <v>8</v>
      </c>
      <c r="G312">
        <v>9.6</v>
      </c>
      <c r="H312">
        <v>0.83333330000000005</v>
      </c>
      <c r="I312">
        <v>0.1666667</v>
      </c>
      <c r="J312">
        <v>0.54545456000000003</v>
      </c>
    </row>
    <row r="313" spans="1:10" x14ac:dyDescent="0.3">
      <c r="A313">
        <v>311</v>
      </c>
      <c r="B313">
        <v>4945</v>
      </c>
      <c r="C313" t="b">
        <v>1</v>
      </c>
      <c r="D313">
        <v>8042</v>
      </c>
      <c r="E313">
        <v>8123</v>
      </c>
      <c r="F313">
        <v>8</v>
      </c>
      <c r="G313">
        <v>9.6</v>
      </c>
      <c r="H313">
        <v>0.83333330000000005</v>
      </c>
      <c r="I313">
        <v>0.1666667</v>
      </c>
      <c r="J313">
        <v>0.54545456000000003</v>
      </c>
    </row>
    <row r="314" spans="1:10" x14ac:dyDescent="0.3">
      <c r="A314">
        <v>312</v>
      </c>
      <c r="B314">
        <v>4961</v>
      </c>
      <c r="C314" t="b">
        <v>1</v>
      </c>
      <c r="D314">
        <v>8048</v>
      </c>
      <c r="E314">
        <v>8129</v>
      </c>
      <c r="F314">
        <v>8</v>
      </c>
      <c r="G314">
        <v>9.6</v>
      </c>
      <c r="H314">
        <v>0.83333330000000005</v>
      </c>
      <c r="I314">
        <v>0.1666667</v>
      </c>
      <c r="J314">
        <v>0.54545456000000003</v>
      </c>
    </row>
    <row r="315" spans="1:10" x14ac:dyDescent="0.3">
      <c r="A315">
        <v>313</v>
      </c>
      <c r="B315">
        <v>4977</v>
      </c>
      <c r="C315" t="b">
        <v>1</v>
      </c>
      <c r="D315">
        <v>8048</v>
      </c>
      <c r="E315">
        <v>8129</v>
      </c>
      <c r="F315">
        <v>8</v>
      </c>
      <c r="G315">
        <v>10</v>
      </c>
      <c r="H315">
        <v>0.8</v>
      </c>
      <c r="I315">
        <v>0.2</v>
      </c>
      <c r="J315">
        <v>0.55555560000000004</v>
      </c>
    </row>
    <row r="316" spans="1:10" x14ac:dyDescent="0.3">
      <c r="A316">
        <v>314</v>
      </c>
      <c r="B316">
        <v>4993</v>
      </c>
      <c r="C316" t="b">
        <v>1</v>
      </c>
      <c r="D316">
        <v>8048</v>
      </c>
      <c r="E316">
        <v>8123</v>
      </c>
      <c r="F316">
        <v>8</v>
      </c>
      <c r="G316">
        <v>10.4</v>
      </c>
      <c r="H316">
        <v>0.76923079999999999</v>
      </c>
      <c r="I316">
        <v>0.23076920000000001</v>
      </c>
      <c r="J316">
        <v>0.56521739999999998</v>
      </c>
    </row>
    <row r="317" spans="1:10" x14ac:dyDescent="0.3">
      <c r="A317">
        <v>315</v>
      </c>
      <c r="B317">
        <v>5008</v>
      </c>
      <c r="C317" t="b">
        <v>1</v>
      </c>
      <c r="D317">
        <v>8054</v>
      </c>
      <c r="E317">
        <v>8123</v>
      </c>
      <c r="F317">
        <v>8</v>
      </c>
      <c r="G317">
        <v>10.4</v>
      </c>
      <c r="H317">
        <v>0.76923079999999999</v>
      </c>
      <c r="I317">
        <v>0.23076920000000001</v>
      </c>
      <c r="J317">
        <v>0.56521739999999998</v>
      </c>
    </row>
    <row r="318" spans="1:10" x14ac:dyDescent="0.3">
      <c r="A318">
        <v>316</v>
      </c>
      <c r="B318">
        <v>5024</v>
      </c>
      <c r="C318" t="b">
        <v>1</v>
      </c>
      <c r="D318">
        <v>8048</v>
      </c>
      <c r="E318">
        <v>8123</v>
      </c>
      <c r="F318">
        <v>8</v>
      </c>
      <c r="G318">
        <v>10.4</v>
      </c>
      <c r="H318">
        <v>0.76923079999999999</v>
      </c>
      <c r="I318">
        <v>0.23076920000000001</v>
      </c>
      <c r="J318">
        <v>0.56521739999999998</v>
      </c>
    </row>
    <row r="319" spans="1:10" x14ac:dyDescent="0.3">
      <c r="A319">
        <v>317</v>
      </c>
      <c r="B319">
        <v>5040</v>
      </c>
      <c r="C319" t="b">
        <v>1</v>
      </c>
      <c r="D319">
        <v>8048</v>
      </c>
      <c r="E319">
        <v>8129</v>
      </c>
      <c r="F319">
        <v>8</v>
      </c>
      <c r="G319">
        <v>10.4</v>
      </c>
      <c r="H319">
        <v>0.76923079999999999</v>
      </c>
      <c r="I319">
        <v>0.23076920000000001</v>
      </c>
      <c r="J319">
        <v>0.56521739999999998</v>
      </c>
    </row>
    <row r="320" spans="1:10" x14ac:dyDescent="0.3">
      <c r="A320">
        <v>318</v>
      </c>
      <c r="B320">
        <v>5056</v>
      </c>
      <c r="C320" t="b">
        <v>1</v>
      </c>
      <c r="D320">
        <v>8048</v>
      </c>
      <c r="E320">
        <v>8123</v>
      </c>
      <c r="F320">
        <v>8</v>
      </c>
      <c r="G320">
        <v>10.4</v>
      </c>
      <c r="H320">
        <v>0.76923079999999999</v>
      </c>
      <c r="I320">
        <v>0.23076920000000001</v>
      </c>
      <c r="J320">
        <v>0.56521739999999998</v>
      </c>
    </row>
    <row r="321" spans="1:10" x14ac:dyDescent="0.3">
      <c r="A321">
        <v>319</v>
      </c>
      <c r="B321">
        <v>5072</v>
      </c>
      <c r="C321" t="b">
        <v>1</v>
      </c>
      <c r="D321">
        <v>8048</v>
      </c>
      <c r="E321">
        <v>8123</v>
      </c>
      <c r="F321">
        <v>8</v>
      </c>
      <c r="G321">
        <v>10</v>
      </c>
      <c r="H321">
        <v>0.8</v>
      </c>
      <c r="I321">
        <v>0.2</v>
      </c>
      <c r="J321">
        <v>0.55555560000000004</v>
      </c>
    </row>
    <row r="322" spans="1:10" x14ac:dyDescent="0.3">
      <c r="A322">
        <v>320</v>
      </c>
      <c r="B322">
        <v>5088</v>
      </c>
      <c r="C322" t="b">
        <v>1</v>
      </c>
      <c r="D322">
        <v>8048</v>
      </c>
      <c r="E322">
        <v>8129</v>
      </c>
      <c r="F322">
        <v>8</v>
      </c>
      <c r="G322">
        <v>9.6</v>
      </c>
      <c r="H322">
        <v>0.83333330000000005</v>
      </c>
      <c r="I322">
        <v>0.1666667</v>
      </c>
      <c r="J322">
        <v>0.54545456000000003</v>
      </c>
    </row>
    <row r="323" spans="1:10" x14ac:dyDescent="0.3">
      <c r="A323">
        <v>321</v>
      </c>
      <c r="B323">
        <v>5103</v>
      </c>
      <c r="C323" t="b">
        <v>1</v>
      </c>
      <c r="D323">
        <v>8048</v>
      </c>
      <c r="E323">
        <v>8134</v>
      </c>
      <c r="F323">
        <v>8</v>
      </c>
      <c r="G323">
        <v>9.6</v>
      </c>
      <c r="H323">
        <v>0.83333330000000005</v>
      </c>
      <c r="I323">
        <v>0.1666667</v>
      </c>
      <c r="J323">
        <v>0.54545456000000003</v>
      </c>
    </row>
    <row r="324" spans="1:10" x14ac:dyDescent="0.3">
      <c r="A324">
        <v>322</v>
      </c>
      <c r="B324">
        <v>5120</v>
      </c>
      <c r="C324" t="b">
        <v>1</v>
      </c>
      <c r="D324">
        <v>8042</v>
      </c>
      <c r="E324">
        <v>8134</v>
      </c>
      <c r="F324">
        <v>8</v>
      </c>
      <c r="G324">
        <v>9.6</v>
      </c>
      <c r="H324">
        <v>0.83333330000000005</v>
      </c>
      <c r="I324">
        <v>0.1666667</v>
      </c>
      <c r="J324">
        <v>0.54545456000000003</v>
      </c>
    </row>
    <row r="325" spans="1:10" x14ac:dyDescent="0.3">
      <c r="A325">
        <v>323</v>
      </c>
      <c r="B325">
        <v>5135</v>
      </c>
      <c r="C325" t="b">
        <v>1</v>
      </c>
      <c r="D325">
        <v>8042</v>
      </c>
      <c r="E325">
        <v>8123</v>
      </c>
      <c r="F325">
        <v>8</v>
      </c>
      <c r="G325">
        <v>10</v>
      </c>
      <c r="H325">
        <v>0.8</v>
      </c>
      <c r="I325">
        <v>0.2</v>
      </c>
      <c r="J325">
        <v>0.55555560000000004</v>
      </c>
    </row>
    <row r="326" spans="1:10" x14ac:dyDescent="0.3">
      <c r="A326">
        <v>324</v>
      </c>
      <c r="B326">
        <v>5151</v>
      </c>
      <c r="C326" t="b">
        <v>1</v>
      </c>
      <c r="D326">
        <v>8048</v>
      </c>
      <c r="E326">
        <v>8117</v>
      </c>
      <c r="F326">
        <v>8</v>
      </c>
      <c r="G326">
        <v>10.4</v>
      </c>
      <c r="H326">
        <v>0.76923079999999999</v>
      </c>
      <c r="I326">
        <v>0.23076920000000001</v>
      </c>
      <c r="J326">
        <v>0.56521739999999998</v>
      </c>
    </row>
    <row r="327" spans="1:10" x14ac:dyDescent="0.3">
      <c r="A327">
        <v>325</v>
      </c>
      <c r="B327">
        <v>5167</v>
      </c>
      <c r="C327" t="b">
        <v>1</v>
      </c>
      <c r="D327">
        <v>8048</v>
      </c>
      <c r="E327">
        <v>8117</v>
      </c>
      <c r="F327">
        <v>8</v>
      </c>
      <c r="G327">
        <v>10.4</v>
      </c>
      <c r="H327">
        <v>0.76923079999999999</v>
      </c>
      <c r="I327">
        <v>0.23076920000000001</v>
      </c>
      <c r="J327">
        <v>0.56521739999999998</v>
      </c>
    </row>
    <row r="328" spans="1:10" x14ac:dyDescent="0.3">
      <c r="A328">
        <v>326</v>
      </c>
      <c r="B328">
        <v>5183</v>
      </c>
      <c r="C328" t="b">
        <v>1</v>
      </c>
      <c r="D328">
        <v>8048</v>
      </c>
      <c r="E328">
        <v>8123</v>
      </c>
      <c r="F328">
        <v>8</v>
      </c>
      <c r="G328">
        <v>10.4</v>
      </c>
      <c r="H328">
        <v>0.76923079999999999</v>
      </c>
      <c r="I328">
        <v>0.23076920000000001</v>
      </c>
      <c r="J328">
        <v>0.56521739999999998</v>
      </c>
    </row>
    <row r="329" spans="1:10" x14ac:dyDescent="0.3">
      <c r="A329">
        <v>327</v>
      </c>
      <c r="B329">
        <v>5199</v>
      </c>
      <c r="C329" t="b">
        <v>1</v>
      </c>
      <c r="D329">
        <v>8048</v>
      </c>
      <c r="E329">
        <v>8117</v>
      </c>
      <c r="F329">
        <v>8</v>
      </c>
      <c r="G329">
        <v>10</v>
      </c>
      <c r="H329">
        <v>0.8</v>
      </c>
      <c r="I329">
        <v>0.2</v>
      </c>
      <c r="J329">
        <v>0.55555560000000004</v>
      </c>
    </row>
    <row r="330" spans="1:10" x14ac:dyDescent="0.3">
      <c r="A330">
        <v>328</v>
      </c>
      <c r="B330">
        <v>5214</v>
      </c>
      <c r="C330" t="b">
        <v>1</v>
      </c>
      <c r="D330">
        <v>8054</v>
      </c>
      <c r="E330">
        <v>8117</v>
      </c>
      <c r="F330">
        <v>8</v>
      </c>
      <c r="G330">
        <v>9.1999999999999993</v>
      </c>
      <c r="H330">
        <v>0.86956524999999996</v>
      </c>
      <c r="I330">
        <v>0.13043477000000001</v>
      </c>
      <c r="J330">
        <v>0.53488369999999996</v>
      </c>
    </row>
    <row r="331" spans="1:10" x14ac:dyDescent="0.3">
      <c r="A331">
        <v>329</v>
      </c>
      <c r="B331">
        <v>5230</v>
      </c>
      <c r="C331" t="b">
        <v>1</v>
      </c>
      <c r="D331">
        <v>8054</v>
      </c>
      <c r="E331">
        <v>8117</v>
      </c>
      <c r="F331">
        <v>8</v>
      </c>
      <c r="G331">
        <v>8.4</v>
      </c>
      <c r="H331">
        <v>0.95238100000000003</v>
      </c>
      <c r="I331">
        <v>4.7619003999999999E-2</v>
      </c>
      <c r="J331">
        <v>0.51219510000000001</v>
      </c>
    </row>
    <row r="332" spans="1:10" x14ac:dyDescent="0.3">
      <c r="A332">
        <v>330</v>
      </c>
      <c r="B332">
        <v>5246</v>
      </c>
      <c r="C332" t="b">
        <v>1</v>
      </c>
      <c r="D332">
        <v>8054</v>
      </c>
      <c r="E332">
        <v>8117</v>
      </c>
      <c r="F332">
        <v>8.4</v>
      </c>
      <c r="G332">
        <v>8</v>
      </c>
      <c r="H332">
        <v>1.05</v>
      </c>
      <c r="I332">
        <v>-4.9999952E-2</v>
      </c>
      <c r="J332">
        <v>0.48780489999999999</v>
      </c>
    </row>
    <row r="333" spans="1:10" x14ac:dyDescent="0.3">
      <c r="A333">
        <v>331</v>
      </c>
      <c r="B333">
        <v>5262</v>
      </c>
      <c r="C333" t="b">
        <v>1</v>
      </c>
      <c r="D333">
        <v>8054</v>
      </c>
      <c r="E333">
        <v>8117</v>
      </c>
      <c r="F333">
        <v>8.8000000000000007</v>
      </c>
      <c r="G333">
        <v>7.6</v>
      </c>
      <c r="H333">
        <v>1.1578946999999999</v>
      </c>
      <c r="I333">
        <v>-0.15789478000000001</v>
      </c>
      <c r="J333">
        <v>0.46341463999999999</v>
      </c>
    </row>
    <row r="334" spans="1:10" x14ac:dyDescent="0.3">
      <c r="A334">
        <v>332</v>
      </c>
      <c r="B334">
        <v>5278</v>
      </c>
      <c r="C334" t="b">
        <v>1</v>
      </c>
      <c r="D334">
        <v>8048</v>
      </c>
      <c r="E334">
        <v>8117</v>
      </c>
      <c r="F334">
        <v>9.1999999999999993</v>
      </c>
      <c r="G334">
        <v>7.2</v>
      </c>
      <c r="H334">
        <v>1.2777778</v>
      </c>
      <c r="I334">
        <v>-0.27777780000000002</v>
      </c>
      <c r="J334">
        <v>0.43902439999999998</v>
      </c>
    </row>
    <row r="335" spans="1:10" x14ac:dyDescent="0.3">
      <c r="A335">
        <v>333</v>
      </c>
      <c r="B335">
        <v>5294</v>
      </c>
      <c r="C335" t="b">
        <v>1</v>
      </c>
      <c r="D335">
        <v>8048</v>
      </c>
      <c r="E335">
        <v>8123</v>
      </c>
      <c r="F335">
        <v>9.6</v>
      </c>
      <c r="G335">
        <v>6.8</v>
      </c>
      <c r="H335">
        <v>1.4117647</v>
      </c>
      <c r="I335">
        <v>-0.41176469999999998</v>
      </c>
      <c r="J335">
        <v>0.41463410000000001</v>
      </c>
    </row>
    <row r="336" spans="1:10" x14ac:dyDescent="0.3">
      <c r="A336">
        <v>334</v>
      </c>
      <c r="B336">
        <v>5309</v>
      </c>
      <c r="C336" t="b">
        <v>1</v>
      </c>
      <c r="D336">
        <v>8048</v>
      </c>
      <c r="E336">
        <v>8117</v>
      </c>
      <c r="F336">
        <v>9.6</v>
      </c>
      <c r="G336">
        <v>6.4</v>
      </c>
      <c r="H336">
        <v>1.5</v>
      </c>
      <c r="I336">
        <v>-0.50000005999999997</v>
      </c>
      <c r="J336">
        <v>0.4</v>
      </c>
    </row>
    <row r="337" spans="1:10" x14ac:dyDescent="0.3">
      <c r="A337">
        <v>335</v>
      </c>
      <c r="B337">
        <v>5326</v>
      </c>
      <c r="C337" t="b">
        <v>1</v>
      </c>
      <c r="D337">
        <v>8048</v>
      </c>
      <c r="E337">
        <v>8117</v>
      </c>
      <c r="F337">
        <v>9.6</v>
      </c>
      <c r="G337">
        <v>6</v>
      </c>
      <c r="H337">
        <v>1.6</v>
      </c>
      <c r="I337">
        <v>-0.60000010000000004</v>
      </c>
      <c r="J337">
        <v>0.38461536000000002</v>
      </c>
    </row>
    <row r="338" spans="1:10" x14ac:dyDescent="0.3">
      <c r="A338">
        <v>336</v>
      </c>
      <c r="B338">
        <v>5341</v>
      </c>
      <c r="C338" t="b">
        <v>1</v>
      </c>
      <c r="D338">
        <v>8042</v>
      </c>
      <c r="E338">
        <v>8117</v>
      </c>
      <c r="F338">
        <v>9.6</v>
      </c>
      <c r="G338">
        <v>5.2</v>
      </c>
      <c r="H338">
        <v>1.8461540000000001</v>
      </c>
      <c r="I338">
        <v>-0.84615399999999996</v>
      </c>
      <c r="J338">
        <v>0.35135132000000002</v>
      </c>
    </row>
    <row r="339" spans="1:10" x14ac:dyDescent="0.3">
      <c r="A339">
        <v>337</v>
      </c>
      <c r="B339">
        <v>5357</v>
      </c>
      <c r="C339" t="b">
        <v>1</v>
      </c>
      <c r="D339">
        <v>8048</v>
      </c>
      <c r="E339">
        <v>8117</v>
      </c>
      <c r="F339">
        <v>9.6</v>
      </c>
      <c r="G339">
        <v>4.4000000000000004</v>
      </c>
      <c r="H339">
        <v>2.1818181999999999</v>
      </c>
      <c r="I339">
        <v>-1.1818181999999999</v>
      </c>
      <c r="J339">
        <v>0.31428572999999999</v>
      </c>
    </row>
    <row r="340" spans="1:10" x14ac:dyDescent="0.3">
      <c r="A340">
        <v>338</v>
      </c>
      <c r="B340">
        <v>5372</v>
      </c>
      <c r="C340" t="b">
        <v>1</v>
      </c>
      <c r="D340">
        <v>8048</v>
      </c>
      <c r="E340">
        <v>8117</v>
      </c>
      <c r="F340">
        <v>9.6</v>
      </c>
      <c r="G340">
        <v>3.6</v>
      </c>
      <c r="H340">
        <v>2.6666666999999999</v>
      </c>
      <c r="I340">
        <v>-1.6666669000000001</v>
      </c>
      <c r="J340">
        <v>0.27272724999999998</v>
      </c>
    </row>
    <row r="341" spans="1:10" x14ac:dyDescent="0.3">
      <c r="A341">
        <v>339</v>
      </c>
      <c r="B341">
        <v>5388</v>
      </c>
      <c r="C341" t="b">
        <v>1</v>
      </c>
      <c r="D341">
        <v>8048</v>
      </c>
      <c r="E341">
        <v>8123</v>
      </c>
      <c r="F341">
        <v>9.6</v>
      </c>
      <c r="G341">
        <v>2.8</v>
      </c>
      <c r="H341">
        <v>3.4285717</v>
      </c>
      <c r="I341">
        <v>-2.4285714999999999</v>
      </c>
      <c r="J341">
        <v>0.22580643</v>
      </c>
    </row>
    <row r="342" spans="1:10" x14ac:dyDescent="0.3">
      <c r="A342">
        <v>340</v>
      </c>
      <c r="B342">
        <v>5403</v>
      </c>
      <c r="C342" t="b">
        <v>1</v>
      </c>
      <c r="D342">
        <v>8048</v>
      </c>
      <c r="E342">
        <v>8123</v>
      </c>
      <c r="F342">
        <v>9.6</v>
      </c>
      <c r="G342">
        <v>2.4</v>
      </c>
      <c r="H342">
        <v>4</v>
      </c>
      <c r="I342">
        <v>-3</v>
      </c>
      <c r="J342">
        <v>0.2</v>
      </c>
    </row>
    <row r="343" spans="1:10" x14ac:dyDescent="0.3">
      <c r="A343">
        <v>341</v>
      </c>
      <c r="B343">
        <v>5419</v>
      </c>
      <c r="C343" t="b">
        <v>1</v>
      </c>
      <c r="D343">
        <v>8048</v>
      </c>
      <c r="E343">
        <v>8117</v>
      </c>
      <c r="F343">
        <v>9.6</v>
      </c>
      <c r="G343">
        <v>2</v>
      </c>
      <c r="H343">
        <v>4.8</v>
      </c>
      <c r="I343">
        <v>-3.8000001999999999</v>
      </c>
      <c r="J343">
        <v>0.17241377999999999</v>
      </c>
    </row>
    <row r="344" spans="1:10" x14ac:dyDescent="0.3">
      <c r="A344">
        <v>342</v>
      </c>
      <c r="B344">
        <v>5435</v>
      </c>
      <c r="C344" t="b">
        <v>1</v>
      </c>
      <c r="D344">
        <v>8048</v>
      </c>
      <c r="E344">
        <v>8117</v>
      </c>
      <c r="F344">
        <v>9.6</v>
      </c>
      <c r="G344">
        <v>2</v>
      </c>
      <c r="H344">
        <v>4.8</v>
      </c>
      <c r="I344">
        <v>-3.8000001999999999</v>
      </c>
      <c r="J344">
        <v>0.17241377999999999</v>
      </c>
    </row>
    <row r="345" spans="1:10" x14ac:dyDescent="0.3">
      <c r="A345">
        <v>343</v>
      </c>
      <c r="B345">
        <v>5451</v>
      </c>
      <c r="C345" t="b">
        <v>1</v>
      </c>
      <c r="D345">
        <v>8048</v>
      </c>
      <c r="E345">
        <v>8129</v>
      </c>
      <c r="F345">
        <v>9.6</v>
      </c>
      <c r="G345">
        <v>2.4</v>
      </c>
      <c r="H345">
        <v>4</v>
      </c>
      <c r="I345">
        <v>-3</v>
      </c>
      <c r="J345">
        <v>0.2</v>
      </c>
    </row>
    <row r="346" spans="1:10" x14ac:dyDescent="0.3">
      <c r="A346">
        <v>344</v>
      </c>
      <c r="B346">
        <v>5467</v>
      </c>
      <c r="C346" t="b">
        <v>1</v>
      </c>
      <c r="D346">
        <v>8048</v>
      </c>
      <c r="E346">
        <v>8123</v>
      </c>
      <c r="F346">
        <v>9.6</v>
      </c>
      <c r="G346">
        <v>2.8</v>
      </c>
      <c r="H346">
        <v>3.4285717</v>
      </c>
      <c r="I346">
        <v>-2.4285714999999999</v>
      </c>
      <c r="J346">
        <v>0.22580643</v>
      </c>
    </row>
    <row r="347" spans="1:10" x14ac:dyDescent="0.3">
      <c r="A347">
        <v>345</v>
      </c>
      <c r="B347">
        <v>5483</v>
      </c>
      <c r="C347" t="b">
        <v>1</v>
      </c>
      <c r="D347">
        <v>8048</v>
      </c>
      <c r="E347">
        <v>8123</v>
      </c>
      <c r="F347">
        <v>9.1999999999999993</v>
      </c>
      <c r="G347">
        <v>3.2</v>
      </c>
      <c r="H347">
        <v>2.875</v>
      </c>
      <c r="I347">
        <v>-1.875</v>
      </c>
      <c r="J347">
        <v>0.25806454000000001</v>
      </c>
    </row>
    <row r="348" spans="1:10" x14ac:dyDescent="0.3">
      <c r="A348">
        <v>346</v>
      </c>
      <c r="B348">
        <v>5499</v>
      </c>
      <c r="C348" t="b">
        <v>1</v>
      </c>
      <c r="D348">
        <v>8048</v>
      </c>
      <c r="E348">
        <v>8134</v>
      </c>
      <c r="F348">
        <v>8.8000000000000007</v>
      </c>
      <c r="G348">
        <v>3.6</v>
      </c>
      <c r="H348">
        <v>2.4444447</v>
      </c>
      <c r="I348">
        <v>-1.4444444999999999</v>
      </c>
      <c r="J348">
        <v>0.29032257</v>
      </c>
    </row>
    <row r="349" spans="1:10" x14ac:dyDescent="0.3">
      <c r="A349">
        <v>347</v>
      </c>
      <c r="B349">
        <v>5514</v>
      </c>
      <c r="C349" t="b">
        <v>1</v>
      </c>
      <c r="D349">
        <v>8048</v>
      </c>
      <c r="E349">
        <v>8123</v>
      </c>
      <c r="F349">
        <v>8.4</v>
      </c>
      <c r="G349">
        <v>4</v>
      </c>
      <c r="H349">
        <v>2.1</v>
      </c>
      <c r="I349">
        <v>-1.0999999</v>
      </c>
      <c r="J349">
        <v>0.32258067000000001</v>
      </c>
    </row>
    <row r="350" spans="1:10" x14ac:dyDescent="0.3">
      <c r="A350">
        <v>348</v>
      </c>
      <c r="B350">
        <v>5530</v>
      </c>
      <c r="C350" t="b">
        <v>1</v>
      </c>
      <c r="D350">
        <v>8048</v>
      </c>
      <c r="E350">
        <v>8123</v>
      </c>
      <c r="F350">
        <v>8</v>
      </c>
      <c r="G350">
        <v>4.4000000000000004</v>
      </c>
      <c r="H350">
        <v>1.8181818000000001</v>
      </c>
      <c r="I350">
        <v>-0.81818175000000004</v>
      </c>
      <c r="J350">
        <v>0.35483872999999999</v>
      </c>
    </row>
    <row r="351" spans="1:10" x14ac:dyDescent="0.3">
      <c r="A351">
        <v>349</v>
      </c>
      <c r="B351">
        <v>5545</v>
      </c>
      <c r="C351" t="b">
        <v>1</v>
      </c>
      <c r="D351">
        <v>8048</v>
      </c>
      <c r="E351">
        <v>8123</v>
      </c>
      <c r="F351">
        <v>8</v>
      </c>
      <c r="G351">
        <v>4.8</v>
      </c>
      <c r="H351">
        <v>1.6666666000000001</v>
      </c>
      <c r="I351">
        <v>-0.6666666</v>
      </c>
      <c r="J351">
        <v>0.375</v>
      </c>
    </row>
    <row r="352" spans="1:10" x14ac:dyDescent="0.3">
      <c r="A352">
        <v>350</v>
      </c>
      <c r="B352">
        <v>5560</v>
      </c>
      <c r="C352" t="b">
        <v>1</v>
      </c>
      <c r="D352">
        <v>8048</v>
      </c>
      <c r="E352">
        <v>8129</v>
      </c>
      <c r="F352">
        <v>8</v>
      </c>
      <c r="G352">
        <v>5.2</v>
      </c>
      <c r="H352">
        <v>1.5384616</v>
      </c>
      <c r="I352">
        <v>-0.53846156999999994</v>
      </c>
      <c r="J352">
        <v>0.39393938000000001</v>
      </c>
    </row>
    <row r="353" spans="1:10" x14ac:dyDescent="0.3">
      <c r="A353">
        <v>351</v>
      </c>
      <c r="B353">
        <v>5577</v>
      </c>
      <c r="C353" t="b">
        <v>1</v>
      </c>
      <c r="D353">
        <v>8048</v>
      </c>
      <c r="E353">
        <v>8123</v>
      </c>
      <c r="F353">
        <v>8</v>
      </c>
      <c r="G353">
        <v>5.6</v>
      </c>
      <c r="H353">
        <v>1.4285715000000001</v>
      </c>
      <c r="I353">
        <v>-0.42857146000000002</v>
      </c>
      <c r="J353">
        <v>0.41176467999999999</v>
      </c>
    </row>
    <row r="354" spans="1:10" x14ac:dyDescent="0.3">
      <c r="A354">
        <v>352</v>
      </c>
      <c r="B354">
        <v>5592</v>
      </c>
      <c r="C354" t="b">
        <v>1</v>
      </c>
      <c r="D354">
        <v>8048</v>
      </c>
      <c r="E354">
        <v>8123</v>
      </c>
      <c r="F354">
        <v>8</v>
      </c>
      <c r="G354">
        <v>6</v>
      </c>
      <c r="H354">
        <v>1.3333333999999999</v>
      </c>
      <c r="I354">
        <v>-0.33333333999999998</v>
      </c>
      <c r="J354">
        <v>0.42857142999999998</v>
      </c>
    </row>
    <row r="355" spans="1:10" x14ac:dyDescent="0.3">
      <c r="A355">
        <v>353</v>
      </c>
      <c r="B355">
        <v>5608</v>
      </c>
      <c r="C355" t="b">
        <v>1</v>
      </c>
      <c r="D355">
        <v>8048</v>
      </c>
      <c r="E355">
        <v>8123</v>
      </c>
      <c r="F355">
        <v>8</v>
      </c>
      <c r="G355">
        <v>6.4</v>
      </c>
      <c r="H355">
        <v>1.25</v>
      </c>
      <c r="I355">
        <v>-0.24999999000000001</v>
      </c>
      <c r="J355">
        <v>0.44444447999999998</v>
      </c>
    </row>
    <row r="356" spans="1:10" x14ac:dyDescent="0.3">
      <c r="A356">
        <v>354</v>
      </c>
      <c r="B356">
        <v>5624</v>
      </c>
      <c r="C356" t="b">
        <v>1</v>
      </c>
      <c r="D356">
        <v>8048</v>
      </c>
      <c r="E356">
        <v>8123</v>
      </c>
      <c r="F356">
        <v>8</v>
      </c>
      <c r="G356">
        <v>6.8</v>
      </c>
      <c r="H356">
        <v>1.1764705</v>
      </c>
      <c r="I356">
        <v>-0.17647055</v>
      </c>
      <c r="J356">
        <v>0.45945944999999999</v>
      </c>
    </row>
    <row r="357" spans="1:10" x14ac:dyDescent="0.3">
      <c r="A357">
        <v>355</v>
      </c>
      <c r="B357">
        <v>5639</v>
      </c>
      <c r="C357" t="b">
        <v>1</v>
      </c>
      <c r="D357">
        <v>8048</v>
      </c>
      <c r="E357">
        <v>8134</v>
      </c>
      <c r="F357">
        <v>8</v>
      </c>
      <c r="G357">
        <v>7.2</v>
      </c>
      <c r="H357">
        <v>1.1111112000000001</v>
      </c>
      <c r="I357">
        <v>-0.11111114</v>
      </c>
      <c r="J357">
        <v>0.4736842</v>
      </c>
    </row>
    <row r="358" spans="1:10" x14ac:dyDescent="0.3">
      <c r="A358">
        <v>356</v>
      </c>
      <c r="B358">
        <v>5655</v>
      </c>
      <c r="C358" t="b">
        <v>1</v>
      </c>
      <c r="D358">
        <v>8048</v>
      </c>
      <c r="E358">
        <v>8123</v>
      </c>
      <c r="F358">
        <v>8</v>
      </c>
      <c r="G358">
        <v>7.6</v>
      </c>
      <c r="H358">
        <v>1.0526316</v>
      </c>
      <c r="I358">
        <v>-5.2631589999999999E-2</v>
      </c>
      <c r="J358">
        <v>0.48717946000000001</v>
      </c>
    </row>
    <row r="359" spans="1:10" x14ac:dyDescent="0.3">
      <c r="A359">
        <v>357</v>
      </c>
      <c r="B359">
        <v>5671</v>
      </c>
      <c r="C359" t="b">
        <v>1</v>
      </c>
      <c r="D359">
        <v>8048</v>
      </c>
      <c r="E359">
        <v>8129</v>
      </c>
      <c r="F359">
        <v>8</v>
      </c>
      <c r="G359">
        <v>8</v>
      </c>
      <c r="H359">
        <v>1</v>
      </c>
      <c r="I359">
        <v>0</v>
      </c>
      <c r="J359">
        <v>0.5</v>
      </c>
    </row>
    <row r="360" spans="1:10" x14ac:dyDescent="0.3">
      <c r="A360">
        <v>358</v>
      </c>
      <c r="B360">
        <v>5686</v>
      </c>
      <c r="C360" t="b">
        <v>1</v>
      </c>
      <c r="D360">
        <v>8048</v>
      </c>
      <c r="E360">
        <v>8123</v>
      </c>
      <c r="F360">
        <v>8</v>
      </c>
      <c r="G360">
        <v>8</v>
      </c>
      <c r="H360">
        <v>1</v>
      </c>
      <c r="I360">
        <v>0</v>
      </c>
      <c r="J360">
        <v>0.5</v>
      </c>
    </row>
    <row r="361" spans="1:10" x14ac:dyDescent="0.3">
      <c r="A361">
        <v>359</v>
      </c>
      <c r="B361">
        <v>5702</v>
      </c>
      <c r="C361" t="b">
        <v>1</v>
      </c>
      <c r="D361">
        <v>8048</v>
      </c>
      <c r="E361">
        <v>8123</v>
      </c>
      <c r="F361">
        <v>8</v>
      </c>
      <c r="G361">
        <v>8</v>
      </c>
      <c r="H361">
        <v>1</v>
      </c>
      <c r="I361">
        <v>0</v>
      </c>
      <c r="J361">
        <v>0.5</v>
      </c>
    </row>
    <row r="362" spans="1:10" x14ac:dyDescent="0.3">
      <c r="A362">
        <v>360</v>
      </c>
      <c r="B362">
        <v>5718</v>
      </c>
      <c r="C362" t="b">
        <v>1</v>
      </c>
      <c r="D362">
        <v>8048</v>
      </c>
      <c r="E362">
        <v>8123</v>
      </c>
      <c r="F362">
        <v>8</v>
      </c>
      <c r="G362">
        <v>8</v>
      </c>
      <c r="H362">
        <v>1</v>
      </c>
      <c r="I362">
        <v>0</v>
      </c>
      <c r="J362">
        <v>0.5</v>
      </c>
    </row>
    <row r="363" spans="1:10" x14ac:dyDescent="0.3">
      <c r="A363">
        <v>361</v>
      </c>
      <c r="B363">
        <v>5734</v>
      </c>
      <c r="C363" t="b">
        <v>1</v>
      </c>
      <c r="D363">
        <v>8048</v>
      </c>
      <c r="E363">
        <v>8117</v>
      </c>
      <c r="F363">
        <v>8</v>
      </c>
      <c r="G363">
        <v>8</v>
      </c>
      <c r="H363">
        <v>1</v>
      </c>
      <c r="I363">
        <v>0</v>
      </c>
      <c r="J363">
        <v>0.5</v>
      </c>
    </row>
    <row r="364" spans="1:10" x14ac:dyDescent="0.3">
      <c r="A364">
        <v>362</v>
      </c>
      <c r="B364">
        <v>5750</v>
      </c>
      <c r="C364" t="b">
        <v>1</v>
      </c>
      <c r="D364">
        <v>8048</v>
      </c>
      <c r="E364">
        <v>8123</v>
      </c>
      <c r="F364">
        <v>8</v>
      </c>
      <c r="G364">
        <v>8</v>
      </c>
      <c r="H364">
        <v>1</v>
      </c>
      <c r="I364">
        <v>0</v>
      </c>
      <c r="J364">
        <v>0.5</v>
      </c>
    </row>
    <row r="365" spans="1:10" x14ac:dyDescent="0.3">
      <c r="A365">
        <v>363</v>
      </c>
      <c r="B365">
        <v>5766</v>
      </c>
      <c r="C365" t="b">
        <v>1</v>
      </c>
      <c r="D365">
        <v>8048</v>
      </c>
      <c r="E365">
        <v>8117</v>
      </c>
      <c r="F365">
        <v>8</v>
      </c>
      <c r="G365">
        <v>8</v>
      </c>
      <c r="H365">
        <v>1</v>
      </c>
      <c r="I365">
        <v>0</v>
      </c>
      <c r="J365">
        <v>0.5</v>
      </c>
    </row>
    <row r="366" spans="1:10" x14ac:dyDescent="0.3">
      <c r="A366">
        <v>364</v>
      </c>
      <c r="B366">
        <v>5782</v>
      </c>
      <c r="C366" t="b">
        <v>1</v>
      </c>
      <c r="D366">
        <v>8048</v>
      </c>
      <c r="E366">
        <v>8123</v>
      </c>
      <c r="F366">
        <v>8</v>
      </c>
      <c r="G366">
        <v>8</v>
      </c>
      <c r="H366">
        <v>1</v>
      </c>
      <c r="I366">
        <v>0</v>
      </c>
      <c r="J366">
        <v>0.5</v>
      </c>
    </row>
    <row r="367" spans="1:10" x14ac:dyDescent="0.3">
      <c r="A367">
        <v>365</v>
      </c>
      <c r="B367">
        <v>5798</v>
      </c>
      <c r="C367" t="b">
        <v>1</v>
      </c>
      <c r="D367">
        <v>8042</v>
      </c>
      <c r="E367">
        <v>8123</v>
      </c>
      <c r="F367">
        <v>8</v>
      </c>
      <c r="G367">
        <v>8</v>
      </c>
      <c r="H367">
        <v>1</v>
      </c>
      <c r="I367">
        <v>0</v>
      </c>
      <c r="J367">
        <v>0.5</v>
      </c>
    </row>
    <row r="368" spans="1:10" x14ac:dyDescent="0.3">
      <c r="A368">
        <v>366</v>
      </c>
      <c r="B368">
        <v>5813</v>
      </c>
      <c r="C368" t="b">
        <v>1</v>
      </c>
      <c r="D368">
        <v>8048</v>
      </c>
      <c r="E368">
        <v>8117</v>
      </c>
      <c r="F368">
        <v>8</v>
      </c>
      <c r="G368">
        <v>8</v>
      </c>
      <c r="H368">
        <v>1</v>
      </c>
      <c r="I368">
        <v>0</v>
      </c>
      <c r="J368">
        <v>0.5</v>
      </c>
    </row>
    <row r="369" spans="1:10" x14ac:dyDescent="0.3">
      <c r="A369">
        <v>367</v>
      </c>
      <c r="B369">
        <v>5829</v>
      </c>
      <c r="C369" t="b">
        <v>1</v>
      </c>
      <c r="D369">
        <v>8048</v>
      </c>
      <c r="E369">
        <v>8117</v>
      </c>
      <c r="F369">
        <v>8</v>
      </c>
      <c r="G369">
        <v>7.6</v>
      </c>
      <c r="H369">
        <v>1.0526316</v>
      </c>
      <c r="I369">
        <v>-5.2631589999999999E-2</v>
      </c>
      <c r="J369">
        <v>0.48717946000000001</v>
      </c>
    </row>
    <row r="370" spans="1:10" x14ac:dyDescent="0.3">
      <c r="A370">
        <v>368</v>
      </c>
      <c r="B370">
        <v>5845</v>
      </c>
      <c r="C370" t="b">
        <v>1</v>
      </c>
      <c r="D370">
        <v>8048</v>
      </c>
      <c r="E370">
        <v>8134</v>
      </c>
      <c r="F370">
        <v>8</v>
      </c>
      <c r="G370">
        <v>7.6</v>
      </c>
      <c r="H370">
        <v>1.0526316</v>
      </c>
      <c r="I370">
        <v>-5.2631589999999999E-2</v>
      </c>
      <c r="J370">
        <v>0.48717946000000001</v>
      </c>
    </row>
    <row r="371" spans="1:10" x14ac:dyDescent="0.3">
      <c r="A371">
        <v>369</v>
      </c>
      <c r="B371">
        <v>5861</v>
      </c>
      <c r="C371" t="b">
        <v>1</v>
      </c>
      <c r="D371">
        <v>8048</v>
      </c>
      <c r="E371">
        <v>8123</v>
      </c>
      <c r="F371">
        <v>8</v>
      </c>
      <c r="G371">
        <v>7.6</v>
      </c>
      <c r="H371">
        <v>1.0526316</v>
      </c>
      <c r="I371">
        <v>-5.2631589999999999E-2</v>
      </c>
      <c r="J371">
        <v>0.48717946000000001</v>
      </c>
    </row>
    <row r="372" spans="1:10" x14ac:dyDescent="0.3">
      <c r="A372">
        <v>370</v>
      </c>
      <c r="B372">
        <v>5877</v>
      </c>
      <c r="C372" t="b">
        <v>1</v>
      </c>
      <c r="D372">
        <v>8048</v>
      </c>
      <c r="E372">
        <v>8123</v>
      </c>
      <c r="F372">
        <v>8</v>
      </c>
      <c r="G372">
        <v>7.6</v>
      </c>
      <c r="H372">
        <v>1.0526316</v>
      </c>
      <c r="I372">
        <v>-5.2631589999999999E-2</v>
      </c>
      <c r="J372">
        <v>0.48717946000000001</v>
      </c>
    </row>
    <row r="373" spans="1:10" x14ac:dyDescent="0.3">
      <c r="A373">
        <v>371</v>
      </c>
      <c r="B373">
        <v>5893</v>
      </c>
      <c r="C373" t="b">
        <v>1</v>
      </c>
      <c r="D373">
        <v>8042</v>
      </c>
      <c r="E373">
        <v>8129</v>
      </c>
      <c r="F373">
        <v>8</v>
      </c>
      <c r="G373">
        <v>7.6</v>
      </c>
      <c r="H373">
        <v>1.0526316</v>
      </c>
      <c r="I373">
        <v>-5.2631589999999999E-2</v>
      </c>
      <c r="J373">
        <v>0.48717946000000001</v>
      </c>
    </row>
    <row r="374" spans="1:10" x14ac:dyDescent="0.3">
      <c r="A374">
        <v>372</v>
      </c>
      <c r="B374">
        <v>5909</v>
      </c>
      <c r="C374" t="b">
        <v>1</v>
      </c>
      <c r="D374">
        <v>8048</v>
      </c>
      <c r="E374">
        <v>8123</v>
      </c>
      <c r="F374">
        <v>8</v>
      </c>
      <c r="G374">
        <v>7.6</v>
      </c>
      <c r="H374">
        <v>1.0526316</v>
      </c>
      <c r="I374">
        <v>-5.2631589999999999E-2</v>
      </c>
      <c r="J374">
        <v>0.48717946000000001</v>
      </c>
    </row>
    <row r="375" spans="1:10" x14ac:dyDescent="0.3">
      <c r="A375">
        <v>373</v>
      </c>
      <c r="B375">
        <v>5925</v>
      </c>
      <c r="C375" t="b">
        <v>1</v>
      </c>
      <c r="D375">
        <v>8048</v>
      </c>
      <c r="E375">
        <v>8123</v>
      </c>
      <c r="F375">
        <v>8</v>
      </c>
      <c r="G375">
        <v>7.6</v>
      </c>
      <c r="H375">
        <v>1.0526316</v>
      </c>
      <c r="I375">
        <v>-5.2631589999999999E-2</v>
      </c>
      <c r="J375">
        <v>0.48717946000000001</v>
      </c>
    </row>
    <row r="376" spans="1:10" x14ac:dyDescent="0.3">
      <c r="A376">
        <v>374</v>
      </c>
      <c r="B376">
        <v>5941</v>
      </c>
      <c r="C376" t="b">
        <v>1</v>
      </c>
      <c r="D376">
        <v>8048</v>
      </c>
      <c r="E376">
        <v>8117</v>
      </c>
      <c r="F376">
        <v>8</v>
      </c>
      <c r="G376">
        <v>7.6</v>
      </c>
      <c r="H376">
        <v>1.0526316</v>
      </c>
      <c r="I376">
        <v>-5.2631589999999999E-2</v>
      </c>
      <c r="J376">
        <v>0.48717946000000001</v>
      </c>
    </row>
    <row r="377" spans="1:10" x14ac:dyDescent="0.3">
      <c r="A377">
        <v>375</v>
      </c>
      <c r="B377">
        <v>5957</v>
      </c>
      <c r="C377" t="b">
        <v>1</v>
      </c>
      <c r="D377">
        <v>8048</v>
      </c>
      <c r="E377">
        <v>8117</v>
      </c>
      <c r="F377">
        <v>8</v>
      </c>
      <c r="G377">
        <v>7.6</v>
      </c>
      <c r="H377">
        <v>1.0526316</v>
      </c>
      <c r="I377">
        <v>-5.2631589999999999E-2</v>
      </c>
      <c r="J377">
        <v>0.48717946000000001</v>
      </c>
    </row>
    <row r="378" spans="1:10" x14ac:dyDescent="0.3">
      <c r="A378">
        <v>376</v>
      </c>
      <c r="B378">
        <v>5973</v>
      </c>
      <c r="C378" t="b">
        <v>1</v>
      </c>
      <c r="D378">
        <v>8048</v>
      </c>
      <c r="E378">
        <v>8117</v>
      </c>
      <c r="F378">
        <v>8</v>
      </c>
      <c r="G378">
        <v>7.2</v>
      </c>
      <c r="H378">
        <v>1.1111112000000001</v>
      </c>
      <c r="I378">
        <v>-0.11111114</v>
      </c>
      <c r="J378">
        <v>0.4736842</v>
      </c>
    </row>
    <row r="379" spans="1:10" x14ac:dyDescent="0.3">
      <c r="A379">
        <v>377</v>
      </c>
      <c r="B379">
        <v>5988</v>
      </c>
      <c r="C379" t="b">
        <v>1</v>
      </c>
      <c r="D379">
        <v>8048</v>
      </c>
      <c r="E379">
        <v>8117</v>
      </c>
      <c r="F379">
        <v>8</v>
      </c>
      <c r="G379">
        <v>6.8</v>
      </c>
      <c r="H379">
        <v>1.1764705</v>
      </c>
      <c r="I379">
        <v>-0.17647055</v>
      </c>
      <c r="J379">
        <v>0.45945944999999999</v>
      </c>
    </row>
    <row r="380" spans="1:10" x14ac:dyDescent="0.3">
      <c r="A380">
        <v>378</v>
      </c>
      <c r="B380">
        <v>6004</v>
      </c>
      <c r="C380" t="b">
        <v>1</v>
      </c>
      <c r="D380">
        <v>8048</v>
      </c>
      <c r="E380">
        <v>8123</v>
      </c>
      <c r="F380">
        <v>8</v>
      </c>
      <c r="G380">
        <v>6.4</v>
      </c>
      <c r="H380">
        <v>1.25</v>
      </c>
      <c r="I380">
        <v>-0.24999999000000001</v>
      </c>
      <c r="J380">
        <v>0.44444447999999998</v>
      </c>
    </row>
    <row r="381" spans="1:10" x14ac:dyDescent="0.3">
      <c r="A381">
        <v>379</v>
      </c>
      <c r="B381">
        <v>6020</v>
      </c>
      <c r="C381" t="b">
        <v>1</v>
      </c>
      <c r="D381">
        <v>8048</v>
      </c>
      <c r="E381">
        <v>8117</v>
      </c>
      <c r="F381">
        <v>8</v>
      </c>
      <c r="G381">
        <v>6</v>
      </c>
      <c r="H381">
        <v>1.3333333999999999</v>
      </c>
      <c r="I381">
        <v>-0.33333333999999998</v>
      </c>
      <c r="J381">
        <v>0.42857142999999998</v>
      </c>
    </row>
    <row r="382" spans="1:10" x14ac:dyDescent="0.3">
      <c r="A382">
        <v>380</v>
      </c>
      <c r="B382">
        <v>6036</v>
      </c>
      <c r="C382" t="b">
        <v>1</v>
      </c>
      <c r="D382">
        <v>8048</v>
      </c>
      <c r="E382">
        <v>8117</v>
      </c>
      <c r="F382">
        <v>8</v>
      </c>
      <c r="G382">
        <v>5.6</v>
      </c>
      <c r="H382">
        <v>1.4285715000000001</v>
      </c>
      <c r="I382">
        <v>-0.42857146000000002</v>
      </c>
      <c r="J382">
        <v>0.41176467999999999</v>
      </c>
    </row>
    <row r="383" spans="1:10" x14ac:dyDescent="0.3">
      <c r="A383">
        <v>381</v>
      </c>
      <c r="B383">
        <v>6051</v>
      </c>
      <c r="C383" t="b">
        <v>1</v>
      </c>
      <c r="D383">
        <v>8048</v>
      </c>
      <c r="E383">
        <v>8129</v>
      </c>
      <c r="F383">
        <v>8</v>
      </c>
      <c r="G383">
        <v>5.2</v>
      </c>
      <c r="H383">
        <v>1.5384616</v>
      </c>
      <c r="I383">
        <v>-0.53846156999999994</v>
      </c>
      <c r="J383">
        <v>0.39393938000000001</v>
      </c>
    </row>
    <row r="384" spans="1:10" x14ac:dyDescent="0.3">
      <c r="A384">
        <v>382</v>
      </c>
      <c r="B384">
        <v>6068</v>
      </c>
      <c r="C384" t="b">
        <v>1</v>
      </c>
      <c r="D384">
        <v>8048</v>
      </c>
      <c r="E384">
        <v>8129</v>
      </c>
      <c r="F384">
        <v>8</v>
      </c>
      <c r="G384">
        <v>5.6</v>
      </c>
      <c r="H384">
        <v>1.4285715000000001</v>
      </c>
      <c r="I384">
        <v>-0.42857146000000002</v>
      </c>
      <c r="J384">
        <v>0.41176467999999999</v>
      </c>
    </row>
    <row r="385" spans="1:10" x14ac:dyDescent="0.3">
      <c r="A385">
        <v>383</v>
      </c>
      <c r="B385">
        <v>6083</v>
      </c>
      <c r="C385" t="b">
        <v>1</v>
      </c>
      <c r="D385">
        <v>8048</v>
      </c>
      <c r="E385">
        <v>8123</v>
      </c>
      <c r="F385">
        <v>8</v>
      </c>
      <c r="G385">
        <v>5.6</v>
      </c>
      <c r="H385">
        <v>1.4285715000000001</v>
      </c>
      <c r="I385">
        <v>-0.42857146000000002</v>
      </c>
      <c r="J385">
        <v>0.41176467999999999</v>
      </c>
    </row>
    <row r="386" spans="1:10" x14ac:dyDescent="0.3">
      <c r="A386">
        <v>384</v>
      </c>
      <c r="B386">
        <v>6100</v>
      </c>
      <c r="C386" t="b">
        <v>1</v>
      </c>
      <c r="D386">
        <v>8048</v>
      </c>
      <c r="E386">
        <v>8123</v>
      </c>
      <c r="F386">
        <v>8</v>
      </c>
      <c r="G386">
        <v>5.6</v>
      </c>
      <c r="H386">
        <v>1.4285715000000001</v>
      </c>
      <c r="I386">
        <v>-0.42857146000000002</v>
      </c>
      <c r="J386">
        <v>0.41176467999999999</v>
      </c>
    </row>
    <row r="387" spans="1:10" x14ac:dyDescent="0.3">
      <c r="A387">
        <v>385</v>
      </c>
      <c r="B387">
        <v>6116</v>
      </c>
      <c r="C387" t="b">
        <v>1</v>
      </c>
      <c r="D387">
        <v>8048</v>
      </c>
      <c r="E387">
        <v>8117</v>
      </c>
      <c r="F387">
        <v>8</v>
      </c>
      <c r="G387">
        <v>5.6</v>
      </c>
      <c r="H387">
        <v>1.4285715000000001</v>
      </c>
      <c r="I387">
        <v>-0.42857146000000002</v>
      </c>
      <c r="J387">
        <v>0.41176467999999999</v>
      </c>
    </row>
    <row r="388" spans="1:10" x14ac:dyDescent="0.3">
      <c r="A388">
        <v>386</v>
      </c>
      <c r="B388">
        <v>6132</v>
      </c>
      <c r="C388" t="b">
        <v>1</v>
      </c>
      <c r="D388">
        <v>8048</v>
      </c>
      <c r="E388">
        <v>8123</v>
      </c>
      <c r="F388">
        <v>8</v>
      </c>
      <c r="G388">
        <v>5.6</v>
      </c>
      <c r="H388">
        <v>1.4285715000000001</v>
      </c>
      <c r="I388">
        <v>-0.42857146000000002</v>
      </c>
      <c r="J388">
        <v>0.41176467999999999</v>
      </c>
    </row>
    <row r="389" spans="1:10" x14ac:dyDescent="0.3">
      <c r="A389">
        <v>387</v>
      </c>
      <c r="B389">
        <v>6148</v>
      </c>
      <c r="C389" t="b">
        <v>1</v>
      </c>
      <c r="D389">
        <v>8048</v>
      </c>
      <c r="E389">
        <v>8129</v>
      </c>
      <c r="F389">
        <v>8</v>
      </c>
      <c r="G389">
        <v>5.6</v>
      </c>
      <c r="H389">
        <v>1.4285715000000001</v>
      </c>
      <c r="I389">
        <v>-0.42857146000000002</v>
      </c>
      <c r="J389">
        <v>0.41176467999999999</v>
      </c>
    </row>
    <row r="390" spans="1:10" x14ac:dyDescent="0.3">
      <c r="A390">
        <v>388</v>
      </c>
      <c r="B390">
        <v>6163</v>
      </c>
      <c r="C390" t="b">
        <v>1</v>
      </c>
      <c r="D390">
        <v>8048</v>
      </c>
      <c r="E390">
        <v>8123</v>
      </c>
      <c r="F390">
        <v>8</v>
      </c>
      <c r="G390">
        <v>5.6</v>
      </c>
      <c r="H390">
        <v>1.4285715000000001</v>
      </c>
      <c r="I390">
        <v>-0.42857146000000002</v>
      </c>
      <c r="J390">
        <v>0.41176467999999999</v>
      </c>
    </row>
    <row r="391" spans="1:10" x14ac:dyDescent="0.3">
      <c r="A391">
        <v>389</v>
      </c>
      <c r="B391">
        <v>6179</v>
      </c>
      <c r="C391" t="b">
        <v>1</v>
      </c>
      <c r="D391">
        <v>8042</v>
      </c>
      <c r="E391">
        <v>8117</v>
      </c>
      <c r="F391">
        <v>8</v>
      </c>
      <c r="G391">
        <v>5.6</v>
      </c>
      <c r="H391">
        <v>1.4285715000000001</v>
      </c>
      <c r="I391">
        <v>-0.42857146000000002</v>
      </c>
      <c r="J391">
        <v>0.41176467999999999</v>
      </c>
    </row>
    <row r="392" spans="1:10" x14ac:dyDescent="0.3">
      <c r="A392">
        <v>390</v>
      </c>
      <c r="B392">
        <v>6195</v>
      </c>
      <c r="C392" t="b">
        <v>1</v>
      </c>
      <c r="D392">
        <v>8048</v>
      </c>
      <c r="E392">
        <v>8123</v>
      </c>
      <c r="F392">
        <v>8</v>
      </c>
      <c r="G392">
        <v>5.6</v>
      </c>
      <c r="H392">
        <v>1.4285715000000001</v>
      </c>
      <c r="I392">
        <v>-0.42857146000000002</v>
      </c>
      <c r="J392">
        <v>0.41176467999999999</v>
      </c>
    </row>
    <row r="393" spans="1:10" x14ac:dyDescent="0.3">
      <c r="A393">
        <v>391</v>
      </c>
      <c r="B393">
        <v>6211</v>
      </c>
      <c r="C393" t="b">
        <v>1</v>
      </c>
      <c r="D393">
        <v>8048</v>
      </c>
      <c r="E393">
        <v>8123</v>
      </c>
      <c r="F393">
        <v>8</v>
      </c>
      <c r="G393">
        <v>6</v>
      </c>
      <c r="H393">
        <v>1.3333333999999999</v>
      </c>
      <c r="I393">
        <v>-0.33333333999999998</v>
      </c>
      <c r="J393">
        <v>0.42857142999999998</v>
      </c>
    </row>
    <row r="394" spans="1:10" x14ac:dyDescent="0.3">
      <c r="A394">
        <v>392</v>
      </c>
      <c r="B394">
        <v>6227</v>
      </c>
      <c r="C394" t="b">
        <v>1</v>
      </c>
      <c r="D394">
        <v>8048</v>
      </c>
      <c r="E394">
        <v>8123</v>
      </c>
      <c r="F394">
        <v>8</v>
      </c>
      <c r="G394">
        <v>6.4</v>
      </c>
      <c r="H394">
        <v>1.25</v>
      </c>
      <c r="I394">
        <v>-0.24999999000000001</v>
      </c>
      <c r="J394">
        <v>0.44444447999999998</v>
      </c>
    </row>
    <row r="395" spans="1:10" x14ac:dyDescent="0.3">
      <c r="A395">
        <v>393</v>
      </c>
      <c r="B395">
        <v>6243</v>
      </c>
      <c r="C395" t="b">
        <v>1</v>
      </c>
      <c r="D395">
        <v>8048</v>
      </c>
      <c r="E395">
        <v>8123</v>
      </c>
      <c r="F395">
        <v>8</v>
      </c>
      <c r="G395">
        <v>6.8</v>
      </c>
      <c r="H395">
        <v>1.1764705</v>
      </c>
      <c r="I395">
        <v>-0.17647055</v>
      </c>
      <c r="J395">
        <v>0.45945944999999999</v>
      </c>
    </row>
    <row r="396" spans="1:10" x14ac:dyDescent="0.3">
      <c r="A396">
        <v>394</v>
      </c>
      <c r="B396">
        <v>6259</v>
      </c>
      <c r="C396" t="b">
        <v>1</v>
      </c>
      <c r="D396">
        <v>8048</v>
      </c>
      <c r="E396">
        <v>8123</v>
      </c>
      <c r="F396">
        <v>8</v>
      </c>
      <c r="G396">
        <v>7.2</v>
      </c>
      <c r="H396">
        <v>1.1111112000000001</v>
      </c>
      <c r="I396">
        <v>-0.11111114</v>
      </c>
      <c r="J396">
        <v>0.4736842</v>
      </c>
    </row>
    <row r="397" spans="1:10" x14ac:dyDescent="0.3">
      <c r="A397">
        <v>395</v>
      </c>
      <c r="B397">
        <v>6275</v>
      </c>
      <c r="C397" t="b">
        <v>1</v>
      </c>
      <c r="D397">
        <v>8054</v>
      </c>
      <c r="E397">
        <v>8123</v>
      </c>
      <c r="F397">
        <v>8</v>
      </c>
      <c r="G397">
        <v>7.6</v>
      </c>
      <c r="H397">
        <v>1.0526316</v>
      </c>
      <c r="I397">
        <v>-5.2631589999999999E-2</v>
      </c>
      <c r="J397">
        <v>0.48717946000000001</v>
      </c>
    </row>
    <row r="398" spans="1:10" x14ac:dyDescent="0.3">
      <c r="A398">
        <v>396</v>
      </c>
      <c r="B398">
        <v>6291</v>
      </c>
      <c r="C398" t="b">
        <v>1</v>
      </c>
      <c r="D398">
        <v>8048</v>
      </c>
      <c r="E398">
        <v>8117</v>
      </c>
      <c r="F398">
        <v>8</v>
      </c>
      <c r="G398">
        <v>8</v>
      </c>
      <c r="H398">
        <v>1</v>
      </c>
      <c r="I398">
        <v>0</v>
      </c>
      <c r="J398">
        <v>0.5</v>
      </c>
    </row>
    <row r="399" spans="1:10" x14ac:dyDescent="0.3">
      <c r="A399">
        <v>397</v>
      </c>
      <c r="B399">
        <v>6306</v>
      </c>
      <c r="C399" t="b">
        <v>1</v>
      </c>
      <c r="D399">
        <v>8042</v>
      </c>
      <c r="E399">
        <v>8123</v>
      </c>
      <c r="F399">
        <v>8</v>
      </c>
      <c r="G399">
        <v>8</v>
      </c>
      <c r="H399">
        <v>1</v>
      </c>
      <c r="I399">
        <v>0</v>
      </c>
      <c r="J399">
        <v>0.5</v>
      </c>
    </row>
    <row r="400" spans="1:10" x14ac:dyDescent="0.3">
      <c r="A400">
        <v>398</v>
      </c>
      <c r="B400">
        <v>6323</v>
      </c>
      <c r="C400" t="b">
        <v>1</v>
      </c>
      <c r="D400">
        <v>8042</v>
      </c>
      <c r="E400">
        <v>8117</v>
      </c>
      <c r="F400">
        <v>8</v>
      </c>
      <c r="G400">
        <v>8</v>
      </c>
      <c r="H400">
        <v>1</v>
      </c>
      <c r="I400">
        <v>0</v>
      </c>
      <c r="J400">
        <v>0.5</v>
      </c>
    </row>
    <row r="401" spans="1:10" x14ac:dyDescent="0.3">
      <c r="A401">
        <v>399</v>
      </c>
      <c r="B401">
        <v>6339</v>
      </c>
      <c r="C401" t="b">
        <v>1</v>
      </c>
      <c r="D401">
        <v>8042</v>
      </c>
      <c r="E401">
        <v>8129</v>
      </c>
      <c r="F401">
        <v>7.6</v>
      </c>
      <c r="G401">
        <v>8</v>
      </c>
      <c r="H401">
        <v>0.95</v>
      </c>
      <c r="I401">
        <v>5.0000012000000003E-2</v>
      </c>
      <c r="J401">
        <v>0.51282050000000001</v>
      </c>
    </row>
    <row r="402" spans="1:10" x14ac:dyDescent="0.3">
      <c r="A402">
        <v>400</v>
      </c>
      <c r="B402">
        <v>6355</v>
      </c>
      <c r="C402" t="b">
        <v>1</v>
      </c>
      <c r="D402">
        <v>8042</v>
      </c>
      <c r="E402">
        <v>8129</v>
      </c>
      <c r="F402">
        <v>7.2</v>
      </c>
      <c r="G402">
        <v>8</v>
      </c>
      <c r="H402">
        <v>0.9</v>
      </c>
      <c r="I402">
        <v>0.10000002400000001</v>
      </c>
      <c r="J402">
        <v>0.5263158</v>
      </c>
    </row>
    <row r="403" spans="1:10" x14ac:dyDescent="0.3">
      <c r="A403">
        <v>401</v>
      </c>
      <c r="B403">
        <v>6370</v>
      </c>
      <c r="C403" t="b">
        <v>1</v>
      </c>
      <c r="D403">
        <v>8037</v>
      </c>
      <c r="E403">
        <v>8123</v>
      </c>
      <c r="F403">
        <v>6.8</v>
      </c>
      <c r="G403">
        <v>8</v>
      </c>
      <c r="H403">
        <v>0.85</v>
      </c>
      <c r="I403">
        <v>0.14999998</v>
      </c>
      <c r="J403">
        <v>0.54054049999999998</v>
      </c>
    </row>
    <row r="404" spans="1:10" x14ac:dyDescent="0.3">
      <c r="A404">
        <v>402</v>
      </c>
      <c r="B404">
        <v>6386</v>
      </c>
      <c r="C404" t="b">
        <v>1</v>
      </c>
      <c r="D404">
        <v>8042</v>
      </c>
      <c r="E404">
        <v>8123</v>
      </c>
      <c r="F404">
        <v>6.4</v>
      </c>
      <c r="G404">
        <v>8</v>
      </c>
      <c r="H404">
        <v>0.8</v>
      </c>
      <c r="I404">
        <v>0.19999998999999999</v>
      </c>
      <c r="J404">
        <v>0.55555560000000004</v>
      </c>
    </row>
    <row r="405" spans="1:10" x14ac:dyDescent="0.3">
      <c r="A405">
        <v>403</v>
      </c>
      <c r="B405">
        <v>6402</v>
      </c>
      <c r="C405" t="b">
        <v>1</v>
      </c>
      <c r="D405">
        <v>8048</v>
      </c>
      <c r="E405">
        <v>8123</v>
      </c>
      <c r="F405">
        <v>6</v>
      </c>
      <c r="G405">
        <v>8</v>
      </c>
      <c r="H405">
        <v>0.75</v>
      </c>
      <c r="I405">
        <v>0.25</v>
      </c>
      <c r="J405">
        <v>0.57142859999999995</v>
      </c>
    </row>
    <row r="406" spans="1:10" x14ac:dyDescent="0.3">
      <c r="A406">
        <v>404</v>
      </c>
      <c r="B406">
        <v>6418</v>
      </c>
      <c r="C406" t="b">
        <v>1</v>
      </c>
      <c r="D406">
        <v>8054</v>
      </c>
      <c r="E406">
        <v>8123</v>
      </c>
      <c r="F406">
        <v>5.6</v>
      </c>
      <c r="G406">
        <v>8</v>
      </c>
      <c r="H406">
        <v>0.7</v>
      </c>
      <c r="I406">
        <v>0.3</v>
      </c>
      <c r="J406">
        <v>0.58823526000000004</v>
      </c>
    </row>
    <row r="407" spans="1:10" x14ac:dyDescent="0.3">
      <c r="A407">
        <v>405</v>
      </c>
      <c r="B407">
        <v>6434</v>
      </c>
      <c r="C407" t="b">
        <v>1</v>
      </c>
      <c r="D407">
        <v>8048</v>
      </c>
      <c r="E407">
        <v>8134</v>
      </c>
      <c r="F407">
        <v>5.6</v>
      </c>
      <c r="G407">
        <v>8</v>
      </c>
      <c r="H407">
        <v>0.7</v>
      </c>
      <c r="I407">
        <v>0.3</v>
      </c>
      <c r="J407">
        <v>0.58823526000000004</v>
      </c>
    </row>
    <row r="408" spans="1:10" x14ac:dyDescent="0.3">
      <c r="A408">
        <v>406</v>
      </c>
      <c r="B408">
        <v>6450</v>
      </c>
      <c r="C408" t="b">
        <v>1</v>
      </c>
      <c r="D408">
        <v>8048</v>
      </c>
      <c r="E408">
        <v>8123</v>
      </c>
      <c r="F408">
        <v>5.6</v>
      </c>
      <c r="G408">
        <v>8</v>
      </c>
      <c r="H408">
        <v>0.7</v>
      </c>
      <c r="I408">
        <v>0.3</v>
      </c>
      <c r="J408">
        <v>0.58823526000000004</v>
      </c>
    </row>
    <row r="409" spans="1:10" x14ac:dyDescent="0.3">
      <c r="A409">
        <v>407</v>
      </c>
      <c r="B409">
        <v>6466</v>
      </c>
      <c r="C409" t="b">
        <v>1</v>
      </c>
      <c r="D409">
        <v>8042</v>
      </c>
      <c r="E409">
        <v>8129</v>
      </c>
      <c r="F409">
        <v>5.6</v>
      </c>
      <c r="G409">
        <v>8</v>
      </c>
      <c r="H409">
        <v>0.7</v>
      </c>
      <c r="I409">
        <v>0.3</v>
      </c>
      <c r="J409">
        <v>0.58823526000000004</v>
      </c>
    </row>
    <row r="410" spans="1:10" x14ac:dyDescent="0.3">
      <c r="A410">
        <v>408</v>
      </c>
      <c r="B410">
        <v>6482</v>
      </c>
      <c r="C410" t="b">
        <v>1</v>
      </c>
      <c r="D410">
        <v>8048</v>
      </c>
      <c r="E410">
        <v>8129</v>
      </c>
      <c r="F410">
        <v>5.6</v>
      </c>
      <c r="G410">
        <v>8.4</v>
      </c>
      <c r="H410">
        <v>0.66666669999999995</v>
      </c>
      <c r="I410">
        <v>0.3333333</v>
      </c>
      <c r="J410">
        <v>0.59999996</v>
      </c>
    </row>
    <row r="411" spans="1:10" x14ac:dyDescent="0.3">
      <c r="A411">
        <v>409</v>
      </c>
      <c r="B411">
        <v>6498</v>
      </c>
      <c r="C411" t="b">
        <v>1</v>
      </c>
      <c r="D411">
        <v>8048</v>
      </c>
      <c r="E411">
        <v>8123</v>
      </c>
      <c r="F411">
        <v>5.6</v>
      </c>
      <c r="G411">
        <v>8.8000000000000007</v>
      </c>
      <c r="H411">
        <v>0.63636360000000003</v>
      </c>
      <c r="I411">
        <v>0.36363636999999999</v>
      </c>
      <c r="J411">
        <v>0.61111115999999999</v>
      </c>
    </row>
    <row r="412" spans="1:10" x14ac:dyDescent="0.3">
      <c r="A412">
        <v>410</v>
      </c>
      <c r="B412">
        <v>6514</v>
      </c>
      <c r="C412" t="b">
        <v>1</v>
      </c>
      <c r="D412">
        <v>8048</v>
      </c>
      <c r="E412">
        <v>8123</v>
      </c>
      <c r="F412">
        <v>5.6</v>
      </c>
      <c r="G412">
        <v>8.8000000000000007</v>
      </c>
      <c r="H412">
        <v>0.63636360000000003</v>
      </c>
      <c r="I412">
        <v>0.36363636999999999</v>
      </c>
      <c r="J412">
        <v>0.61111115999999999</v>
      </c>
    </row>
    <row r="413" spans="1:10" x14ac:dyDescent="0.3">
      <c r="A413">
        <v>411</v>
      </c>
      <c r="B413">
        <v>6530</v>
      </c>
      <c r="C413" t="b">
        <v>1</v>
      </c>
      <c r="D413">
        <v>8048</v>
      </c>
      <c r="E413">
        <v>8117</v>
      </c>
      <c r="F413">
        <v>5.6</v>
      </c>
      <c r="G413">
        <v>8.8000000000000007</v>
      </c>
      <c r="H413">
        <v>0.63636360000000003</v>
      </c>
      <c r="I413">
        <v>0.36363636999999999</v>
      </c>
      <c r="J413">
        <v>0.61111115999999999</v>
      </c>
    </row>
    <row r="414" spans="1:10" x14ac:dyDescent="0.3">
      <c r="A414">
        <v>412</v>
      </c>
      <c r="B414">
        <v>6546</v>
      </c>
      <c r="C414" t="b">
        <v>1</v>
      </c>
      <c r="D414">
        <v>8048</v>
      </c>
      <c r="E414">
        <v>8117</v>
      </c>
      <c r="F414">
        <v>5.6</v>
      </c>
      <c r="G414">
        <v>8.8000000000000007</v>
      </c>
      <c r="H414">
        <v>0.63636360000000003</v>
      </c>
      <c r="I414">
        <v>0.36363636999999999</v>
      </c>
      <c r="J414">
        <v>0.61111115999999999</v>
      </c>
    </row>
    <row r="415" spans="1:10" x14ac:dyDescent="0.3">
      <c r="A415">
        <v>413</v>
      </c>
      <c r="B415">
        <v>6562</v>
      </c>
      <c r="C415" t="b">
        <v>1</v>
      </c>
      <c r="D415">
        <v>8042</v>
      </c>
      <c r="E415">
        <v>8117</v>
      </c>
      <c r="F415">
        <v>5.6</v>
      </c>
      <c r="G415">
        <v>8.4</v>
      </c>
      <c r="H415">
        <v>0.66666669999999995</v>
      </c>
      <c r="I415">
        <v>0.3333333</v>
      </c>
      <c r="J415">
        <v>0.59999996</v>
      </c>
    </row>
    <row r="416" spans="1:10" x14ac:dyDescent="0.3">
      <c r="A416">
        <v>414</v>
      </c>
      <c r="B416">
        <v>6578</v>
      </c>
      <c r="C416" t="b">
        <v>1</v>
      </c>
      <c r="D416">
        <v>8042</v>
      </c>
      <c r="E416">
        <v>8117</v>
      </c>
      <c r="F416">
        <v>6</v>
      </c>
      <c r="G416">
        <v>8</v>
      </c>
      <c r="H416">
        <v>0.75</v>
      </c>
      <c r="I416">
        <v>0.25</v>
      </c>
      <c r="J416">
        <v>0.57142859999999995</v>
      </c>
    </row>
    <row r="417" spans="1:10" x14ac:dyDescent="0.3">
      <c r="A417">
        <v>415</v>
      </c>
      <c r="B417">
        <v>6593</v>
      </c>
      <c r="C417" t="b">
        <v>1</v>
      </c>
      <c r="D417">
        <v>8048</v>
      </c>
      <c r="E417">
        <v>8129</v>
      </c>
      <c r="F417">
        <v>6.4</v>
      </c>
      <c r="G417">
        <v>7.6</v>
      </c>
      <c r="H417">
        <v>0.84210527000000002</v>
      </c>
      <c r="I417">
        <v>0.15789471999999999</v>
      </c>
      <c r="J417">
        <v>0.54285709999999998</v>
      </c>
    </row>
    <row r="418" spans="1:10" x14ac:dyDescent="0.3">
      <c r="A418">
        <v>416</v>
      </c>
      <c r="B418">
        <v>6609</v>
      </c>
      <c r="C418" t="b">
        <v>1</v>
      </c>
      <c r="D418">
        <v>8054</v>
      </c>
      <c r="E418">
        <v>8117</v>
      </c>
      <c r="F418">
        <v>6.8</v>
      </c>
      <c r="G418">
        <v>7.2</v>
      </c>
      <c r="H418">
        <v>0.94444450000000002</v>
      </c>
      <c r="I418">
        <v>5.5555503999999999E-2</v>
      </c>
      <c r="J418">
        <v>0.51428569999999996</v>
      </c>
    </row>
    <row r="419" spans="1:10" x14ac:dyDescent="0.3">
      <c r="A419">
        <v>417</v>
      </c>
      <c r="B419">
        <v>6625</v>
      </c>
      <c r="C419" t="b">
        <v>1</v>
      </c>
      <c r="D419">
        <v>8048</v>
      </c>
      <c r="E419">
        <v>8117</v>
      </c>
      <c r="F419">
        <v>7.2</v>
      </c>
      <c r="G419">
        <v>6.8</v>
      </c>
      <c r="H419">
        <v>1.0588234999999999</v>
      </c>
      <c r="I419">
        <v>-5.8823470000000003E-2</v>
      </c>
      <c r="J419">
        <v>0.48571429999999999</v>
      </c>
    </row>
    <row r="420" spans="1:10" x14ac:dyDescent="0.3">
      <c r="A420">
        <v>418</v>
      </c>
      <c r="B420">
        <v>6641</v>
      </c>
      <c r="C420" t="b">
        <v>1</v>
      </c>
      <c r="D420">
        <v>8048</v>
      </c>
      <c r="E420">
        <v>8117</v>
      </c>
      <c r="F420">
        <v>7.6</v>
      </c>
      <c r="G420">
        <v>6.4</v>
      </c>
      <c r="H420">
        <v>1.1875</v>
      </c>
      <c r="I420">
        <v>-0.18749996999999999</v>
      </c>
      <c r="J420">
        <v>0.45714285999999998</v>
      </c>
    </row>
    <row r="421" spans="1:10" x14ac:dyDescent="0.3">
      <c r="A421">
        <v>419</v>
      </c>
      <c r="B421">
        <v>6657</v>
      </c>
      <c r="C421" t="b">
        <v>1</v>
      </c>
      <c r="D421">
        <v>8048</v>
      </c>
      <c r="E421">
        <v>8117</v>
      </c>
      <c r="F421">
        <v>8</v>
      </c>
      <c r="G421">
        <v>6</v>
      </c>
      <c r="H421">
        <v>1.3333333999999999</v>
      </c>
      <c r="I421">
        <v>-0.33333333999999998</v>
      </c>
      <c r="J421">
        <v>0.42857142999999998</v>
      </c>
    </row>
    <row r="422" spans="1:10" x14ac:dyDescent="0.3">
      <c r="A422">
        <v>420</v>
      </c>
      <c r="B422">
        <v>6673</v>
      </c>
      <c r="C422" t="b">
        <v>1</v>
      </c>
      <c r="D422">
        <v>8048</v>
      </c>
      <c r="E422">
        <v>8117</v>
      </c>
      <c r="F422">
        <v>8</v>
      </c>
      <c r="G422">
        <v>5.6</v>
      </c>
      <c r="H422">
        <v>1.4285715000000001</v>
      </c>
      <c r="I422">
        <v>-0.42857146000000002</v>
      </c>
      <c r="J422">
        <v>0.41176467999999999</v>
      </c>
    </row>
    <row r="423" spans="1:10" x14ac:dyDescent="0.3">
      <c r="A423">
        <v>421</v>
      </c>
      <c r="B423">
        <v>6689</v>
      </c>
      <c r="C423" t="b">
        <v>1</v>
      </c>
      <c r="D423">
        <v>8054</v>
      </c>
      <c r="E423">
        <v>8117</v>
      </c>
      <c r="F423">
        <v>8</v>
      </c>
      <c r="G423">
        <v>5.2</v>
      </c>
      <c r="H423">
        <v>1.5384616</v>
      </c>
      <c r="I423">
        <v>-0.53846156999999994</v>
      </c>
      <c r="J423">
        <v>0.39393938000000001</v>
      </c>
    </row>
    <row r="424" spans="1:10" x14ac:dyDescent="0.3">
      <c r="A424">
        <v>422</v>
      </c>
      <c r="B424">
        <v>6705</v>
      </c>
      <c r="C424" t="b">
        <v>1</v>
      </c>
      <c r="D424">
        <v>8048</v>
      </c>
      <c r="E424">
        <v>8117</v>
      </c>
      <c r="F424">
        <v>8</v>
      </c>
      <c r="G424">
        <v>4.8</v>
      </c>
      <c r="H424">
        <v>1.6666666000000001</v>
      </c>
      <c r="I424">
        <v>-0.6666666</v>
      </c>
      <c r="J424">
        <v>0.375</v>
      </c>
    </row>
    <row r="425" spans="1:10" x14ac:dyDescent="0.3">
      <c r="A425">
        <v>423</v>
      </c>
      <c r="B425">
        <v>6720</v>
      </c>
      <c r="C425" t="b">
        <v>1</v>
      </c>
      <c r="D425">
        <v>8048</v>
      </c>
      <c r="E425">
        <v>8123</v>
      </c>
      <c r="F425">
        <v>8</v>
      </c>
      <c r="G425">
        <v>4</v>
      </c>
      <c r="H425">
        <v>2</v>
      </c>
      <c r="I425">
        <v>-1</v>
      </c>
      <c r="J425">
        <v>0.33333333999999998</v>
      </c>
    </row>
    <row r="426" spans="1:10" x14ac:dyDescent="0.3">
      <c r="A426">
        <v>424</v>
      </c>
      <c r="B426">
        <v>6736</v>
      </c>
      <c r="C426" t="b">
        <v>1</v>
      </c>
      <c r="D426">
        <v>8042</v>
      </c>
      <c r="E426">
        <v>8117</v>
      </c>
      <c r="F426">
        <v>8</v>
      </c>
      <c r="G426">
        <v>3.2</v>
      </c>
      <c r="H426">
        <v>2.5</v>
      </c>
      <c r="I426">
        <v>-1.5</v>
      </c>
      <c r="J426">
        <v>0.28571429999999998</v>
      </c>
    </row>
    <row r="427" spans="1:10" x14ac:dyDescent="0.3">
      <c r="A427">
        <v>425</v>
      </c>
      <c r="B427">
        <v>6752</v>
      </c>
      <c r="C427" t="b">
        <v>1</v>
      </c>
      <c r="D427">
        <v>8048</v>
      </c>
      <c r="E427">
        <v>8117</v>
      </c>
      <c r="F427">
        <v>8</v>
      </c>
      <c r="G427">
        <v>2.8</v>
      </c>
      <c r="H427">
        <v>2.8571430000000002</v>
      </c>
      <c r="I427">
        <v>-1.8571428000000001</v>
      </c>
      <c r="J427">
        <v>0.25925925</v>
      </c>
    </row>
    <row r="428" spans="1:10" x14ac:dyDescent="0.3">
      <c r="A428">
        <v>426</v>
      </c>
      <c r="B428">
        <v>6768</v>
      </c>
      <c r="C428" t="b">
        <v>1</v>
      </c>
      <c r="D428">
        <v>8048</v>
      </c>
      <c r="E428">
        <v>8123</v>
      </c>
      <c r="F428">
        <v>8</v>
      </c>
      <c r="G428">
        <v>2.4</v>
      </c>
      <c r="H428">
        <v>3.3333333000000001</v>
      </c>
      <c r="I428">
        <v>-2.3333333000000001</v>
      </c>
      <c r="J428">
        <v>0.23076925000000001</v>
      </c>
    </row>
    <row r="429" spans="1:10" x14ac:dyDescent="0.3">
      <c r="A429">
        <v>427</v>
      </c>
      <c r="B429">
        <v>6784</v>
      </c>
      <c r="C429" t="b">
        <v>1</v>
      </c>
      <c r="D429">
        <v>8048</v>
      </c>
      <c r="E429">
        <v>8123</v>
      </c>
      <c r="F429">
        <v>8</v>
      </c>
      <c r="G429">
        <v>2.4</v>
      </c>
      <c r="H429">
        <v>3.3333333000000001</v>
      </c>
      <c r="I429">
        <v>-2.3333333000000001</v>
      </c>
      <c r="J429">
        <v>0.23076925000000001</v>
      </c>
    </row>
    <row r="430" spans="1:10" x14ac:dyDescent="0.3">
      <c r="A430">
        <v>428</v>
      </c>
      <c r="B430">
        <v>6800</v>
      </c>
      <c r="C430" t="b">
        <v>1</v>
      </c>
      <c r="D430">
        <v>8048</v>
      </c>
      <c r="E430">
        <v>8117</v>
      </c>
      <c r="F430">
        <v>8</v>
      </c>
      <c r="G430">
        <v>2.4</v>
      </c>
      <c r="H430">
        <v>3.3333333000000001</v>
      </c>
      <c r="I430">
        <v>-2.3333333000000001</v>
      </c>
      <c r="J430">
        <v>0.23076925000000001</v>
      </c>
    </row>
    <row r="431" spans="1:10" x14ac:dyDescent="0.3">
      <c r="A431">
        <v>429</v>
      </c>
      <c r="B431">
        <v>6816</v>
      </c>
      <c r="C431" t="b">
        <v>1</v>
      </c>
      <c r="D431">
        <v>8048</v>
      </c>
      <c r="E431">
        <v>8123</v>
      </c>
      <c r="F431">
        <v>8</v>
      </c>
      <c r="G431">
        <v>2.8</v>
      </c>
      <c r="H431">
        <v>2.8571430000000002</v>
      </c>
      <c r="I431">
        <v>-1.8571428000000001</v>
      </c>
      <c r="J431">
        <v>0.25925925</v>
      </c>
    </row>
    <row r="432" spans="1:10" x14ac:dyDescent="0.3">
      <c r="A432">
        <v>430</v>
      </c>
      <c r="B432">
        <v>6831</v>
      </c>
      <c r="C432" t="b">
        <v>1</v>
      </c>
      <c r="D432">
        <v>8054</v>
      </c>
      <c r="E432">
        <v>8123</v>
      </c>
      <c r="F432">
        <v>8</v>
      </c>
      <c r="G432">
        <v>3.2</v>
      </c>
      <c r="H432">
        <v>2.5</v>
      </c>
      <c r="I432">
        <v>-1.5</v>
      </c>
      <c r="J432">
        <v>0.28571429999999998</v>
      </c>
    </row>
    <row r="433" spans="1:10" x14ac:dyDescent="0.3">
      <c r="A433">
        <v>431</v>
      </c>
      <c r="B433">
        <v>6847</v>
      </c>
      <c r="C433" t="b">
        <v>1</v>
      </c>
      <c r="D433">
        <v>8054</v>
      </c>
      <c r="E433">
        <v>8123</v>
      </c>
      <c r="F433">
        <v>8</v>
      </c>
      <c r="G433">
        <v>3.6</v>
      </c>
      <c r="H433">
        <v>2.2222222999999999</v>
      </c>
      <c r="I433">
        <v>-1.2222223000000001</v>
      </c>
      <c r="J433">
        <v>0.31034482000000002</v>
      </c>
    </row>
    <row r="434" spans="1:10" x14ac:dyDescent="0.3">
      <c r="A434">
        <v>432</v>
      </c>
      <c r="B434">
        <v>6863</v>
      </c>
      <c r="C434" t="b">
        <v>1</v>
      </c>
      <c r="D434">
        <v>8048</v>
      </c>
      <c r="E434">
        <v>8123</v>
      </c>
      <c r="F434">
        <v>8</v>
      </c>
      <c r="G434">
        <v>4</v>
      </c>
      <c r="H434">
        <v>2</v>
      </c>
      <c r="I434">
        <v>-1</v>
      </c>
      <c r="J434">
        <v>0.33333333999999998</v>
      </c>
    </row>
    <row r="435" spans="1:10" x14ac:dyDescent="0.3">
      <c r="A435">
        <v>433</v>
      </c>
      <c r="B435">
        <v>6879</v>
      </c>
      <c r="C435" t="b">
        <v>1</v>
      </c>
      <c r="D435">
        <v>8048</v>
      </c>
      <c r="E435">
        <v>8123</v>
      </c>
      <c r="F435">
        <v>8</v>
      </c>
      <c r="G435">
        <v>4.4000000000000004</v>
      </c>
      <c r="H435">
        <v>1.8181818000000001</v>
      </c>
      <c r="I435">
        <v>-0.81818175000000004</v>
      </c>
      <c r="J435">
        <v>0.35483872999999999</v>
      </c>
    </row>
    <row r="436" spans="1:10" x14ac:dyDescent="0.3">
      <c r="A436">
        <v>434</v>
      </c>
      <c r="B436">
        <v>6895</v>
      </c>
      <c r="C436" t="b">
        <v>1</v>
      </c>
      <c r="D436">
        <v>8048</v>
      </c>
      <c r="E436">
        <v>8134</v>
      </c>
      <c r="F436">
        <v>8</v>
      </c>
      <c r="G436">
        <v>4.8</v>
      </c>
      <c r="H436">
        <v>1.6666666000000001</v>
      </c>
      <c r="I436">
        <v>-0.6666666</v>
      </c>
      <c r="J436">
        <v>0.375</v>
      </c>
    </row>
    <row r="437" spans="1:10" x14ac:dyDescent="0.3">
      <c r="A437">
        <v>435</v>
      </c>
      <c r="B437">
        <v>6911</v>
      </c>
      <c r="C437" t="b">
        <v>1</v>
      </c>
      <c r="D437">
        <v>8042</v>
      </c>
      <c r="E437">
        <v>8123</v>
      </c>
      <c r="F437">
        <v>8</v>
      </c>
      <c r="G437">
        <v>5.2</v>
      </c>
      <c r="H437">
        <v>1.5384616</v>
      </c>
      <c r="I437">
        <v>-0.53846156999999994</v>
      </c>
      <c r="J437">
        <v>0.39393938000000001</v>
      </c>
    </row>
    <row r="438" spans="1:10" x14ac:dyDescent="0.3">
      <c r="A438">
        <v>436</v>
      </c>
      <c r="B438">
        <v>6927</v>
      </c>
      <c r="C438" t="b">
        <v>1</v>
      </c>
      <c r="D438">
        <v>8048</v>
      </c>
      <c r="E438">
        <v>8117</v>
      </c>
      <c r="F438">
        <v>8</v>
      </c>
      <c r="G438">
        <v>5.6</v>
      </c>
      <c r="H438">
        <v>1.4285715000000001</v>
      </c>
      <c r="I438">
        <v>-0.42857146000000002</v>
      </c>
      <c r="J438">
        <v>0.41176467999999999</v>
      </c>
    </row>
    <row r="439" spans="1:10" x14ac:dyDescent="0.3">
      <c r="A439">
        <v>437</v>
      </c>
      <c r="B439">
        <v>6942</v>
      </c>
      <c r="C439" t="b">
        <v>1</v>
      </c>
      <c r="D439">
        <v>8042</v>
      </c>
      <c r="E439">
        <v>8117</v>
      </c>
      <c r="F439">
        <v>8</v>
      </c>
      <c r="G439">
        <v>6</v>
      </c>
      <c r="H439">
        <v>1.3333333999999999</v>
      </c>
      <c r="I439">
        <v>-0.33333333999999998</v>
      </c>
      <c r="J439">
        <v>0.42857142999999998</v>
      </c>
    </row>
    <row r="440" spans="1:10" x14ac:dyDescent="0.3">
      <c r="A440">
        <v>438</v>
      </c>
      <c r="B440">
        <v>6958</v>
      </c>
      <c r="C440" t="b">
        <v>1</v>
      </c>
      <c r="D440">
        <v>8048</v>
      </c>
      <c r="E440">
        <v>8117</v>
      </c>
      <c r="F440">
        <v>8</v>
      </c>
      <c r="G440">
        <v>6</v>
      </c>
      <c r="H440">
        <v>1.3333333999999999</v>
      </c>
      <c r="I440">
        <v>-0.33333333999999998</v>
      </c>
      <c r="J440">
        <v>0.42857142999999998</v>
      </c>
    </row>
    <row r="441" spans="1:10" x14ac:dyDescent="0.3">
      <c r="A441">
        <v>439</v>
      </c>
      <c r="B441">
        <v>6974</v>
      </c>
      <c r="C441" t="b">
        <v>1</v>
      </c>
      <c r="D441">
        <v>8048</v>
      </c>
      <c r="E441">
        <v>8123</v>
      </c>
      <c r="F441">
        <v>8</v>
      </c>
      <c r="G441">
        <v>6</v>
      </c>
      <c r="H441">
        <v>1.3333333999999999</v>
      </c>
      <c r="I441">
        <v>-0.33333333999999998</v>
      </c>
      <c r="J441">
        <v>0.42857142999999998</v>
      </c>
    </row>
    <row r="442" spans="1:10" x14ac:dyDescent="0.3">
      <c r="A442">
        <v>440</v>
      </c>
      <c r="B442">
        <v>6989</v>
      </c>
      <c r="C442" t="b">
        <v>1</v>
      </c>
      <c r="D442">
        <v>8048</v>
      </c>
      <c r="E442">
        <v>8117</v>
      </c>
      <c r="F442">
        <v>8</v>
      </c>
      <c r="G442">
        <v>6</v>
      </c>
      <c r="H442">
        <v>1.3333333999999999</v>
      </c>
      <c r="I442">
        <v>-0.33333333999999998</v>
      </c>
      <c r="J442">
        <v>0.42857142999999998</v>
      </c>
    </row>
    <row r="443" spans="1:10" x14ac:dyDescent="0.3">
      <c r="A443">
        <v>441</v>
      </c>
      <c r="B443">
        <v>7005</v>
      </c>
      <c r="C443" t="b">
        <v>1</v>
      </c>
      <c r="D443">
        <v>8048</v>
      </c>
      <c r="E443">
        <v>8117</v>
      </c>
      <c r="F443">
        <v>8</v>
      </c>
      <c r="G443">
        <v>6</v>
      </c>
      <c r="H443">
        <v>1.3333333999999999</v>
      </c>
      <c r="I443">
        <v>-0.33333333999999998</v>
      </c>
      <c r="J443">
        <v>0.42857142999999998</v>
      </c>
    </row>
    <row r="444" spans="1:10" x14ac:dyDescent="0.3">
      <c r="A444">
        <v>442</v>
      </c>
      <c r="B444">
        <v>7021</v>
      </c>
      <c r="C444" t="b">
        <v>1</v>
      </c>
      <c r="D444">
        <v>8048</v>
      </c>
      <c r="E444">
        <v>8123</v>
      </c>
      <c r="F444">
        <v>8</v>
      </c>
      <c r="G444">
        <v>5.6</v>
      </c>
      <c r="H444">
        <v>1.4285715000000001</v>
      </c>
      <c r="I444">
        <v>-0.42857146000000002</v>
      </c>
      <c r="J444">
        <v>0.41176467999999999</v>
      </c>
    </row>
    <row r="445" spans="1:10" x14ac:dyDescent="0.3">
      <c r="A445">
        <v>443</v>
      </c>
      <c r="B445">
        <v>7037</v>
      </c>
      <c r="C445" t="b">
        <v>1</v>
      </c>
      <c r="D445">
        <v>8042</v>
      </c>
      <c r="E445">
        <v>8123</v>
      </c>
      <c r="F445">
        <v>8</v>
      </c>
      <c r="G445">
        <v>6</v>
      </c>
      <c r="H445">
        <v>1.3333333999999999</v>
      </c>
      <c r="I445">
        <v>-0.33333333999999998</v>
      </c>
      <c r="J445">
        <v>0.42857142999999998</v>
      </c>
    </row>
    <row r="446" spans="1:10" x14ac:dyDescent="0.3">
      <c r="A446">
        <v>444</v>
      </c>
      <c r="B446">
        <v>7053</v>
      </c>
      <c r="C446" t="b">
        <v>1</v>
      </c>
      <c r="D446">
        <v>8048</v>
      </c>
      <c r="E446">
        <v>8123</v>
      </c>
      <c r="F446">
        <v>8</v>
      </c>
      <c r="G446">
        <v>6</v>
      </c>
      <c r="H446">
        <v>1.3333333999999999</v>
      </c>
      <c r="I446">
        <v>-0.33333333999999998</v>
      </c>
      <c r="J446">
        <v>0.42857142999999998</v>
      </c>
    </row>
    <row r="447" spans="1:10" x14ac:dyDescent="0.3">
      <c r="A447">
        <v>445</v>
      </c>
      <c r="B447">
        <v>7069</v>
      </c>
      <c r="C447" t="b">
        <v>1</v>
      </c>
      <c r="D447">
        <v>8042</v>
      </c>
      <c r="E447">
        <v>8123</v>
      </c>
      <c r="F447">
        <v>8</v>
      </c>
      <c r="G447">
        <v>6</v>
      </c>
      <c r="H447">
        <v>1.3333333999999999</v>
      </c>
      <c r="I447">
        <v>-0.33333333999999998</v>
      </c>
      <c r="J447">
        <v>0.42857142999999998</v>
      </c>
    </row>
    <row r="448" spans="1:10" x14ac:dyDescent="0.3">
      <c r="A448">
        <v>446</v>
      </c>
      <c r="B448">
        <v>7085</v>
      </c>
      <c r="C448" t="b">
        <v>1</v>
      </c>
      <c r="D448">
        <v>8048</v>
      </c>
      <c r="E448">
        <v>8129</v>
      </c>
      <c r="F448">
        <v>8</v>
      </c>
      <c r="G448">
        <v>6</v>
      </c>
      <c r="H448">
        <v>1.3333333999999999</v>
      </c>
      <c r="I448">
        <v>-0.33333333999999998</v>
      </c>
      <c r="J448">
        <v>0.42857142999999998</v>
      </c>
    </row>
    <row r="449" spans="1:10" x14ac:dyDescent="0.3">
      <c r="A449">
        <v>447</v>
      </c>
      <c r="B449">
        <v>7101</v>
      </c>
      <c r="C449" t="b">
        <v>1</v>
      </c>
      <c r="D449">
        <v>8048</v>
      </c>
      <c r="E449">
        <v>8123</v>
      </c>
      <c r="F449">
        <v>8</v>
      </c>
      <c r="G449">
        <v>6</v>
      </c>
      <c r="H449">
        <v>1.3333333999999999</v>
      </c>
      <c r="I449">
        <v>-0.33333333999999998</v>
      </c>
      <c r="J449">
        <v>0.42857142999999998</v>
      </c>
    </row>
    <row r="450" spans="1:10" x14ac:dyDescent="0.3">
      <c r="A450">
        <v>448</v>
      </c>
      <c r="B450">
        <v>7117</v>
      </c>
      <c r="C450" t="b">
        <v>1</v>
      </c>
      <c r="D450">
        <v>8048</v>
      </c>
      <c r="E450">
        <v>8117</v>
      </c>
      <c r="F450">
        <v>8</v>
      </c>
      <c r="G450">
        <v>6</v>
      </c>
      <c r="H450">
        <v>1.3333333999999999</v>
      </c>
      <c r="I450">
        <v>-0.33333333999999998</v>
      </c>
      <c r="J450">
        <v>0.42857142999999998</v>
      </c>
    </row>
    <row r="451" spans="1:10" x14ac:dyDescent="0.3">
      <c r="A451">
        <v>449</v>
      </c>
      <c r="B451">
        <v>7133</v>
      </c>
      <c r="C451" t="b">
        <v>1</v>
      </c>
      <c r="D451">
        <v>8048</v>
      </c>
      <c r="E451">
        <v>8129</v>
      </c>
      <c r="F451">
        <v>8</v>
      </c>
      <c r="G451">
        <v>6</v>
      </c>
      <c r="H451">
        <v>1.3333333999999999</v>
      </c>
      <c r="I451">
        <v>-0.33333333999999998</v>
      </c>
      <c r="J451">
        <v>0.42857142999999998</v>
      </c>
    </row>
    <row r="452" spans="1:10" x14ac:dyDescent="0.3">
      <c r="A452">
        <v>450</v>
      </c>
      <c r="B452">
        <v>7149</v>
      </c>
      <c r="C452" t="b">
        <v>1</v>
      </c>
      <c r="D452">
        <v>8048</v>
      </c>
      <c r="E452">
        <v>8123</v>
      </c>
      <c r="F452">
        <v>8</v>
      </c>
      <c r="G452">
        <v>6</v>
      </c>
      <c r="H452">
        <v>1.3333333999999999</v>
      </c>
      <c r="I452">
        <v>-0.33333333999999998</v>
      </c>
      <c r="J452">
        <v>0.42857142999999998</v>
      </c>
    </row>
    <row r="453" spans="1:10" x14ac:dyDescent="0.3">
      <c r="A453">
        <v>451</v>
      </c>
      <c r="B453">
        <v>7165</v>
      </c>
      <c r="C453" t="b">
        <v>1</v>
      </c>
      <c r="D453">
        <v>8048</v>
      </c>
      <c r="E453">
        <v>8123</v>
      </c>
      <c r="F453">
        <v>8</v>
      </c>
      <c r="G453">
        <v>6</v>
      </c>
      <c r="H453">
        <v>1.3333333999999999</v>
      </c>
      <c r="I453">
        <v>-0.33333333999999998</v>
      </c>
      <c r="J453">
        <v>0.42857142999999998</v>
      </c>
    </row>
    <row r="454" spans="1:10" x14ac:dyDescent="0.3">
      <c r="A454">
        <v>452</v>
      </c>
      <c r="B454">
        <v>7181</v>
      </c>
      <c r="C454" t="b">
        <v>1</v>
      </c>
      <c r="D454">
        <v>8048</v>
      </c>
      <c r="E454">
        <v>8123</v>
      </c>
      <c r="F454">
        <v>8</v>
      </c>
      <c r="G454">
        <v>6</v>
      </c>
      <c r="H454">
        <v>1.3333333999999999</v>
      </c>
      <c r="I454">
        <v>-0.33333333999999998</v>
      </c>
      <c r="J454">
        <v>0.42857142999999998</v>
      </c>
    </row>
    <row r="455" spans="1:10" x14ac:dyDescent="0.3">
      <c r="A455">
        <v>453</v>
      </c>
      <c r="B455">
        <v>7197</v>
      </c>
      <c r="C455" t="b">
        <v>1</v>
      </c>
      <c r="D455">
        <v>8048</v>
      </c>
      <c r="E455">
        <v>8123</v>
      </c>
      <c r="F455">
        <v>8</v>
      </c>
      <c r="G455">
        <v>6.4</v>
      </c>
      <c r="H455">
        <v>1.25</v>
      </c>
      <c r="I455">
        <v>-0.24999999000000001</v>
      </c>
      <c r="J455">
        <v>0.44444447999999998</v>
      </c>
    </row>
    <row r="456" spans="1:10" x14ac:dyDescent="0.3">
      <c r="A456">
        <v>454</v>
      </c>
      <c r="B456">
        <v>7213</v>
      </c>
      <c r="C456" t="b">
        <v>1</v>
      </c>
      <c r="D456">
        <v>8048</v>
      </c>
      <c r="E456">
        <v>8123</v>
      </c>
      <c r="F456">
        <v>8</v>
      </c>
      <c r="G456">
        <v>6.8</v>
      </c>
      <c r="H456">
        <v>1.1764705</v>
      </c>
      <c r="I456">
        <v>-0.17647055</v>
      </c>
      <c r="J456">
        <v>0.45945944999999999</v>
      </c>
    </row>
    <row r="457" spans="1:10" x14ac:dyDescent="0.3">
      <c r="A457">
        <v>455</v>
      </c>
      <c r="B457">
        <v>7229</v>
      </c>
      <c r="C457" t="b">
        <v>1</v>
      </c>
      <c r="D457">
        <v>8042</v>
      </c>
      <c r="E457">
        <v>8123</v>
      </c>
      <c r="F457">
        <v>8</v>
      </c>
      <c r="G457">
        <v>7.2</v>
      </c>
      <c r="H457">
        <v>1.1111112000000001</v>
      </c>
      <c r="I457">
        <v>-0.11111114</v>
      </c>
      <c r="J457">
        <v>0.4736842</v>
      </c>
    </row>
    <row r="458" spans="1:10" x14ac:dyDescent="0.3">
      <c r="A458">
        <v>456</v>
      </c>
      <c r="B458">
        <v>7245</v>
      </c>
      <c r="C458" t="b">
        <v>1</v>
      </c>
      <c r="D458">
        <v>8048</v>
      </c>
      <c r="E458">
        <v>8129</v>
      </c>
      <c r="F458">
        <v>8</v>
      </c>
      <c r="G458">
        <v>7.6</v>
      </c>
      <c r="H458">
        <v>1.0526316</v>
      </c>
      <c r="I458">
        <v>-5.2631589999999999E-2</v>
      </c>
      <c r="J458">
        <v>0.48717946000000001</v>
      </c>
    </row>
    <row r="459" spans="1:10" x14ac:dyDescent="0.3">
      <c r="A459">
        <v>457</v>
      </c>
      <c r="B459">
        <v>7260</v>
      </c>
      <c r="C459" t="b">
        <v>1</v>
      </c>
      <c r="D459">
        <v>8048</v>
      </c>
      <c r="E459">
        <v>8129</v>
      </c>
      <c r="F459">
        <v>8</v>
      </c>
      <c r="G459">
        <v>8</v>
      </c>
      <c r="H459">
        <v>1</v>
      </c>
      <c r="I459">
        <v>0</v>
      </c>
      <c r="J459">
        <v>0.5</v>
      </c>
    </row>
    <row r="460" spans="1:10" x14ac:dyDescent="0.3">
      <c r="A460">
        <v>458</v>
      </c>
      <c r="B460">
        <v>7276</v>
      </c>
      <c r="C460" t="b">
        <v>1</v>
      </c>
      <c r="D460">
        <v>8048</v>
      </c>
      <c r="E460">
        <v>8129</v>
      </c>
      <c r="F460">
        <v>8</v>
      </c>
      <c r="G460">
        <v>8.4</v>
      </c>
      <c r="H460">
        <v>0.95238100000000003</v>
      </c>
      <c r="I460">
        <v>4.7619003999999999E-2</v>
      </c>
      <c r="J460">
        <v>0.51219510000000001</v>
      </c>
    </row>
    <row r="461" spans="1:10" x14ac:dyDescent="0.3">
      <c r="A461">
        <v>459</v>
      </c>
      <c r="B461">
        <v>7292</v>
      </c>
      <c r="C461" t="b">
        <v>1</v>
      </c>
      <c r="D461">
        <v>8048</v>
      </c>
      <c r="E461">
        <v>8129</v>
      </c>
      <c r="F461">
        <v>8</v>
      </c>
      <c r="G461">
        <v>8.8000000000000007</v>
      </c>
      <c r="H461">
        <v>0.90909090000000004</v>
      </c>
      <c r="I461">
        <v>9.0909110000000001E-2</v>
      </c>
      <c r="J461">
        <v>0.52380954999999996</v>
      </c>
    </row>
    <row r="462" spans="1:10" x14ac:dyDescent="0.3">
      <c r="A462">
        <v>460</v>
      </c>
      <c r="B462">
        <v>7308</v>
      </c>
      <c r="C462" t="b">
        <v>1</v>
      </c>
      <c r="D462">
        <v>8048</v>
      </c>
      <c r="E462">
        <v>8123</v>
      </c>
      <c r="F462">
        <v>8</v>
      </c>
      <c r="G462">
        <v>9.1999999999999993</v>
      </c>
      <c r="H462">
        <v>0.86956524999999996</v>
      </c>
      <c r="I462">
        <v>0.13043477000000001</v>
      </c>
      <c r="J462">
        <v>0.53488369999999996</v>
      </c>
    </row>
    <row r="463" spans="1:10" x14ac:dyDescent="0.3">
      <c r="A463">
        <v>461</v>
      </c>
      <c r="B463">
        <v>7324</v>
      </c>
      <c r="C463" t="b">
        <v>1</v>
      </c>
      <c r="D463">
        <v>8042</v>
      </c>
      <c r="E463">
        <v>8123</v>
      </c>
      <c r="F463">
        <v>8</v>
      </c>
      <c r="G463">
        <v>9.6</v>
      </c>
      <c r="H463">
        <v>0.83333330000000005</v>
      </c>
      <c r="I463">
        <v>0.1666667</v>
      </c>
      <c r="J463">
        <v>0.54545456000000003</v>
      </c>
    </row>
    <row r="464" spans="1:10" x14ac:dyDescent="0.3">
      <c r="A464">
        <v>462</v>
      </c>
      <c r="B464">
        <v>7340</v>
      </c>
      <c r="C464" t="b">
        <v>1</v>
      </c>
      <c r="D464">
        <v>8048</v>
      </c>
      <c r="E464">
        <v>8123</v>
      </c>
      <c r="F464">
        <v>8</v>
      </c>
      <c r="G464">
        <v>9.6</v>
      </c>
      <c r="H464">
        <v>0.83333330000000005</v>
      </c>
      <c r="I464">
        <v>0.1666667</v>
      </c>
      <c r="J464">
        <v>0.54545456000000003</v>
      </c>
    </row>
    <row r="465" spans="1:10" x14ac:dyDescent="0.3">
      <c r="A465">
        <v>463</v>
      </c>
      <c r="B465">
        <v>7356</v>
      </c>
      <c r="C465" t="b">
        <v>1</v>
      </c>
      <c r="D465">
        <v>8048</v>
      </c>
      <c r="E465">
        <v>8123</v>
      </c>
      <c r="F465">
        <v>8</v>
      </c>
      <c r="G465">
        <v>9.6</v>
      </c>
      <c r="H465">
        <v>0.83333330000000005</v>
      </c>
      <c r="I465">
        <v>0.1666667</v>
      </c>
      <c r="J465">
        <v>0.54545456000000003</v>
      </c>
    </row>
    <row r="466" spans="1:10" x14ac:dyDescent="0.3">
      <c r="A466">
        <v>464</v>
      </c>
      <c r="B466">
        <v>7373</v>
      </c>
      <c r="C466" t="b">
        <v>1</v>
      </c>
      <c r="D466">
        <v>8048</v>
      </c>
      <c r="E466">
        <v>8123</v>
      </c>
      <c r="F466">
        <v>8</v>
      </c>
      <c r="G466">
        <v>9.6</v>
      </c>
      <c r="H466">
        <v>0.83333330000000005</v>
      </c>
      <c r="I466">
        <v>0.1666667</v>
      </c>
      <c r="J466">
        <v>0.54545456000000003</v>
      </c>
    </row>
    <row r="467" spans="1:10" x14ac:dyDescent="0.3">
      <c r="A467">
        <v>465</v>
      </c>
      <c r="B467">
        <v>7388</v>
      </c>
      <c r="C467" t="b">
        <v>1</v>
      </c>
      <c r="D467">
        <v>8048</v>
      </c>
      <c r="E467">
        <v>8123</v>
      </c>
      <c r="F467">
        <v>8</v>
      </c>
      <c r="G467">
        <v>9.6</v>
      </c>
      <c r="H467">
        <v>0.83333330000000005</v>
      </c>
      <c r="I467">
        <v>0.1666667</v>
      </c>
      <c r="J467">
        <v>0.54545456000000003</v>
      </c>
    </row>
    <row r="468" spans="1:10" x14ac:dyDescent="0.3">
      <c r="A468">
        <v>466</v>
      </c>
      <c r="B468">
        <v>7404</v>
      </c>
      <c r="C468" t="b">
        <v>1</v>
      </c>
      <c r="D468">
        <v>8048</v>
      </c>
      <c r="E468">
        <v>8123</v>
      </c>
      <c r="F468">
        <v>8</v>
      </c>
      <c r="G468">
        <v>9.6</v>
      </c>
      <c r="H468">
        <v>0.83333330000000005</v>
      </c>
      <c r="I468">
        <v>0.1666667</v>
      </c>
      <c r="J468">
        <v>0.54545456000000003</v>
      </c>
    </row>
    <row r="469" spans="1:10" x14ac:dyDescent="0.3">
      <c r="A469">
        <v>467</v>
      </c>
      <c r="B469">
        <v>7421</v>
      </c>
      <c r="C469" t="b">
        <v>1</v>
      </c>
      <c r="D469">
        <v>8042</v>
      </c>
      <c r="E469">
        <v>8129</v>
      </c>
      <c r="F469">
        <v>8</v>
      </c>
      <c r="G469">
        <v>9.6</v>
      </c>
      <c r="H469">
        <v>0.83333330000000005</v>
      </c>
      <c r="I469">
        <v>0.1666667</v>
      </c>
      <c r="J469">
        <v>0.54545456000000003</v>
      </c>
    </row>
    <row r="470" spans="1:10" x14ac:dyDescent="0.3">
      <c r="A470">
        <v>468</v>
      </c>
      <c r="B470">
        <v>7436</v>
      </c>
      <c r="C470" t="b">
        <v>1</v>
      </c>
      <c r="D470">
        <v>8048</v>
      </c>
      <c r="E470">
        <v>8123</v>
      </c>
      <c r="F470">
        <v>8</v>
      </c>
      <c r="G470">
        <v>9.6</v>
      </c>
      <c r="H470">
        <v>0.83333330000000005</v>
      </c>
      <c r="I470">
        <v>0.1666667</v>
      </c>
      <c r="J470">
        <v>0.54545456000000003</v>
      </c>
    </row>
    <row r="471" spans="1:10" x14ac:dyDescent="0.3">
      <c r="A471">
        <v>469</v>
      </c>
      <c r="B471">
        <v>7452</v>
      </c>
      <c r="C471" t="b">
        <v>1</v>
      </c>
      <c r="D471">
        <v>8042</v>
      </c>
      <c r="E471">
        <v>8129</v>
      </c>
      <c r="F471">
        <v>8</v>
      </c>
      <c r="G471">
        <v>9.6</v>
      </c>
      <c r="H471">
        <v>0.83333330000000005</v>
      </c>
      <c r="I471">
        <v>0.1666667</v>
      </c>
      <c r="J471">
        <v>0.54545456000000003</v>
      </c>
    </row>
    <row r="472" spans="1:10" x14ac:dyDescent="0.3">
      <c r="A472">
        <v>470</v>
      </c>
      <c r="B472">
        <v>7468</v>
      </c>
      <c r="C472" t="b">
        <v>1</v>
      </c>
      <c r="D472">
        <v>8048</v>
      </c>
      <c r="E472">
        <v>8123</v>
      </c>
      <c r="F472">
        <v>8</v>
      </c>
      <c r="G472">
        <v>9.6</v>
      </c>
      <c r="H472">
        <v>0.83333330000000005</v>
      </c>
      <c r="I472">
        <v>0.1666667</v>
      </c>
      <c r="J472">
        <v>0.54545456000000003</v>
      </c>
    </row>
    <row r="473" spans="1:10" x14ac:dyDescent="0.3">
      <c r="A473">
        <v>471</v>
      </c>
      <c r="B473">
        <v>7484</v>
      </c>
      <c r="C473" t="b">
        <v>1</v>
      </c>
      <c r="D473">
        <v>8048</v>
      </c>
      <c r="E473">
        <v>8123</v>
      </c>
      <c r="F473">
        <v>8</v>
      </c>
      <c r="G473">
        <v>9.6</v>
      </c>
      <c r="H473">
        <v>0.83333330000000005</v>
      </c>
      <c r="I473">
        <v>0.1666667</v>
      </c>
      <c r="J473">
        <v>0.54545456000000003</v>
      </c>
    </row>
    <row r="474" spans="1:10" x14ac:dyDescent="0.3">
      <c r="A474">
        <v>472</v>
      </c>
      <c r="B474">
        <v>7500</v>
      </c>
      <c r="C474" t="b">
        <v>1</v>
      </c>
      <c r="D474">
        <v>8048</v>
      </c>
      <c r="E474">
        <v>8123</v>
      </c>
      <c r="F474">
        <v>8</v>
      </c>
      <c r="G474">
        <v>9.6</v>
      </c>
      <c r="H474">
        <v>0.83333330000000005</v>
      </c>
      <c r="I474">
        <v>0.1666667</v>
      </c>
      <c r="J474">
        <v>0.54545456000000003</v>
      </c>
    </row>
    <row r="475" spans="1:10" x14ac:dyDescent="0.3">
      <c r="A475">
        <v>473</v>
      </c>
      <c r="B475">
        <v>7516</v>
      </c>
      <c r="C475" t="b">
        <v>1</v>
      </c>
      <c r="D475">
        <v>8048</v>
      </c>
      <c r="E475">
        <v>8123</v>
      </c>
      <c r="F475">
        <v>8</v>
      </c>
      <c r="G475">
        <v>9.1999999999999993</v>
      </c>
      <c r="H475">
        <v>0.86956524999999996</v>
      </c>
      <c r="I475">
        <v>0.13043477000000001</v>
      </c>
      <c r="J475">
        <v>0.53488369999999996</v>
      </c>
    </row>
    <row r="476" spans="1:10" x14ac:dyDescent="0.3">
      <c r="A476">
        <v>474</v>
      </c>
      <c r="B476">
        <v>7532</v>
      </c>
      <c r="C476" t="b">
        <v>1</v>
      </c>
      <c r="D476">
        <v>8048</v>
      </c>
      <c r="E476">
        <v>8123</v>
      </c>
      <c r="F476">
        <v>8</v>
      </c>
      <c r="G476">
        <v>8.8000000000000007</v>
      </c>
      <c r="H476">
        <v>0.90909090000000004</v>
      </c>
      <c r="I476">
        <v>9.0909110000000001E-2</v>
      </c>
      <c r="J476">
        <v>0.52380954999999996</v>
      </c>
    </row>
    <row r="477" spans="1:10" x14ac:dyDescent="0.3">
      <c r="A477">
        <v>475</v>
      </c>
      <c r="B477">
        <v>7548</v>
      </c>
      <c r="C477" t="b">
        <v>1</v>
      </c>
      <c r="D477">
        <v>8048</v>
      </c>
      <c r="E477">
        <v>8123</v>
      </c>
      <c r="F477">
        <v>8</v>
      </c>
      <c r="G477">
        <v>8.4</v>
      </c>
      <c r="H477">
        <v>0.95238100000000003</v>
      </c>
      <c r="I477">
        <v>4.7619003999999999E-2</v>
      </c>
      <c r="J477">
        <v>0.51219510000000001</v>
      </c>
    </row>
    <row r="478" spans="1:10" x14ac:dyDescent="0.3">
      <c r="A478">
        <v>476</v>
      </c>
      <c r="B478">
        <v>7563</v>
      </c>
      <c r="C478" t="b">
        <v>1</v>
      </c>
      <c r="D478">
        <v>8048</v>
      </c>
      <c r="E478">
        <v>8129</v>
      </c>
      <c r="F478">
        <v>8</v>
      </c>
      <c r="G478">
        <v>8</v>
      </c>
      <c r="H478">
        <v>1</v>
      </c>
      <c r="I478">
        <v>0</v>
      </c>
      <c r="J478">
        <v>0.5</v>
      </c>
    </row>
    <row r="479" spans="1:10" x14ac:dyDescent="0.3">
      <c r="A479">
        <v>477</v>
      </c>
      <c r="B479">
        <v>7579</v>
      </c>
      <c r="C479" t="b">
        <v>1</v>
      </c>
      <c r="D479">
        <v>8048</v>
      </c>
      <c r="E479">
        <v>8129</v>
      </c>
      <c r="F479">
        <v>8</v>
      </c>
      <c r="G479">
        <v>8</v>
      </c>
      <c r="H479">
        <v>1</v>
      </c>
      <c r="I479">
        <v>0</v>
      </c>
      <c r="J479">
        <v>0.5</v>
      </c>
    </row>
    <row r="480" spans="1:10" x14ac:dyDescent="0.3">
      <c r="A480">
        <v>478</v>
      </c>
      <c r="B480">
        <v>7595</v>
      </c>
      <c r="C480" t="b">
        <v>1</v>
      </c>
      <c r="D480">
        <v>8048</v>
      </c>
      <c r="E480">
        <v>8129</v>
      </c>
      <c r="F480">
        <v>8</v>
      </c>
      <c r="G480">
        <v>8.4</v>
      </c>
      <c r="H480">
        <v>0.95238100000000003</v>
      </c>
      <c r="I480">
        <v>4.7619003999999999E-2</v>
      </c>
      <c r="J480">
        <v>0.51219510000000001</v>
      </c>
    </row>
    <row r="481" spans="1:10" x14ac:dyDescent="0.3">
      <c r="A481">
        <v>479</v>
      </c>
      <c r="B481">
        <v>7611</v>
      </c>
      <c r="C481" t="b">
        <v>1</v>
      </c>
      <c r="D481">
        <v>8042</v>
      </c>
      <c r="E481">
        <v>8129</v>
      </c>
      <c r="F481">
        <v>8</v>
      </c>
      <c r="G481">
        <v>8.8000000000000007</v>
      </c>
      <c r="H481">
        <v>0.90909090000000004</v>
      </c>
      <c r="I481">
        <v>9.0909110000000001E-2</v>
      </c>
      <c r="J481">
        <v>0.52380954999999996</v>
      </c>
    </row>
    <row r="482" spans="1:10" x14ac:dyDescent="0.3">
      <c r="A482">
        <v>480</v>
      </c>
      <c r="B482">
        <v>7627</v>
      </c>
      <c r="C482" t="b">
        <v>1</v>
      </c>
      <c r="D482">
        <v>8048</v>
      </c>
      <c r="E482">
        <v>8129</v>
      </c>
      <c r="F482">
        <v>8</v>
      </c>
      <c r="G482">
        <v>9.1999999999999993</v>
      </c>
      <c r="H482">
        <v>0.86956524999999996</v>
      </c>
      <c r="I482">
        <v>0.13043477000000001</v>
      </c>
      <c r="J482">
        <v>0.53488369999999996</v>
      </c>
    </row>
    <row r="483" spans="1:10" x14ac:dyDescent="0.3">
      <c r="A483">
        <v>481</v>
      </c>
      <c r="B483">
        <v>7643</v>
      </c>
      <c r="C483" t="b">
        <v>1</v>
      </c>
      <c r="D483">
        <v>8054</v>
      </c>
      <c r="E483">
        <v>8129</v>
      </c>
      <c r="F483">
        <v>8</v>
      </c>
      <c r="G483">
        <v>9.6</v>
      </c>
      <c r="H483">
        <v>0.83333330000000005</v>
      </c>
      <c r="I483">
        <v>0.1666667</v>
      </c>
      <c r="J483">
        <v>0.54545456000000003</v>
      </c>
    </row>
    <row r="484" spans="1:10" x14ac:dyDescent="0.3">
      <c r="A484">
        <v>482</v>
      </c>
      <c r="B484">
        <v>7658</v>
      </c>
      <c r="C484" t="b">
        <v>1</v>
      </c>
      <c r="D484">
        <v>8048</v>
      </c>
      <c r="E484">
        <v>8129</v>
      </c>
      <c r="F484">
        <v>8</v>
      </c>
      <c r="G484">
        <v>10</v>
      </c>
      <c r="H484">
        <v>0.8</v>
      </c>
      <c r="I484">
        <v>0.2</v>
      </c>
      <c r="J484">
        <v>0.55555560000000004</v>
      </c>
    </row>
    <row r="485" spans="1:10" x14ac:dyDescent="0.3">
      <c r="A485">
        <v>483</v>
      </c>
      <c r="B485">
        <v>7675</v>
      </c>
      <c r="C485" t="b">
        <v>1</v>
      </c>
      <c r="D485">
        <v>8048</v>
      </c>
      <c r="E485">
        <v>8123</v>
      </c>
      <c r="F485">
        <v>8</v>
      </c>
      <c r="G485">
        <v>10.4</v>
      </c>
      <c r="H485">
        <v>0.76923079999999999</v>
      </c>
      <c r="I485">
        <v>0.23076920000000001</v>
      </c>
      <c r="J485">
        <v>0.56521739999999998</v>
      </c>
    </row>
    <row r="486" spans="1:10" x14ac:dyDescent="0.3">
      <c r="A486">
        <v>484</v>
      </c>
      <c r="B486">
        <v>7691</v>
      </c>
      <c r="C486" t="b">
        <v>1</v>
      </c>
      <c r="D486">
        <v>8048</v>
      </c>
      <c r="E486">
        <v>8123</v>
      </c>
      <c r="F486">
        <v>8</v>
      </c>
      <c r="G486">
        <v>10.8</v>
      </c>
      <c r="H486">
        <v>0.74074070000000003</v>
      </c>
      <c r="I486">
        <v>0.25925927999999998</v>
      </c>
      <c r="J486">
        <v>0.57446814000000002</v>
      </c>
    </row>
    <row r="487" spans="1:10" x14ac:dyDescent="0.3">
      <c r="A487">
        <v>485</v>
      </c>
      <c r="B487">
        <v>7706</v>
      </c>
      <c r="C487" t="b">
        <v>1</v>
      </c>
      <c r="D487">
        <v>8048</v>
      </c>
      <c r="E487">
        <v>8134</v>
      </c>
      <c r="F487">
        <v>8</v>
      </c>
      <c r="G487">
        <v>11.2</v>
      </c>
      <c r="H487">
        <v>0.71428572999999995</v>
      </c>
      <c r="I487">
        <v>0.28571426999999999</v>
      </c>
      <c r="J487">
        <v>0.58333330000000005</v>
      </c>
    </row>
    <row r="488" spans="1:10" x14ac:dyDescent="0.3">
      <c r="A488">
        <v>486</v>
      </c>
      <c r="B488">
        <v>7722</v>
      </c>
      <c r="C488" t="b">
        <v>1</v>
      </c>
      <c r="D488">
        <v>8048</v>
      </c>
      <c r="E488">
        <v>8123</v>
      </c>
      <c r="F488">
        <v>8</v>
      </c>
      <c r="G488">
        <v>11.2</v>
      </c>
      <c r="H488">
        <v>0.71428572999999995</v>
      </c>
      <c r="I488">
        <v>0.28571426999999999</v>
      </c>
      <c r="J488">
        <v>0.58333330000000005</v>
      </c>
    </row>
    <row r="489" spans="1:10" x14ac:dyDescent="0.3">
      <c r="A489">
        <v>487</v>
      </c>
      <c r="B489">
        <v>7738</v>
      </c>
      <c r="C489" t="b">
        <v>1</v>
      </c>
      <c r="D489">
        <v>8048</v>
      </c>
      <c r="E489">
        <v>8123</v>
      </c>
      <c r="F489">
        <v>8</v>
      </c>
      <c r="G489">
        <v>11.2</v>
      </c>
      <c r="H489">
        <v>0.71428572999999995</v>
      </c>
      <c r="I489">
        <v>0.28571426999999999</v>
      </c>
      <c r="J489">
        <v>0.58333330000000005</v>
      </c>
    </row>
    <row r="490" spans="1:10" x14ac:dyDescent="0.3">
      <c r="A490">
        <v>488</v>
      </c>
      <c r="B490">
        <v>7754</v>
      </c>
      <c r="C490" t="b">
        <v>1</v>
      </c>
      <c r="D490">
        <v>8048</v>
      </c>
      <c r="E490">
        <v>8123</v>
      </c>
      <c r="F490">
        <v>8</v>
      </c>
      <c r="G490">
        <v>11.2</v>
      </c>
      <c r="H490">
        <v>0.71428572999999995</v>
      </c>
      <c r="I490">
        <v>0.28571426999999999</v>
      </c>
      <c r="J490">
        <v>0.58333330000000005</v>
      </c>
    </row>
    <row r="491" spans="1:10" x14ac:dyDescent="0.3">
      <c r="A491">
        <v>489</v>
      </c>
      <c r="B491">
        <v>7770</v>
      </c>
      <c r="C491" t="b">
        <v>1</v>
      </c>
      <c r="D491">
        <v>8048</v>
      </c>
      <c r="E491">
        <v>8123</v>
      </c>
      <c r="F491">
        <v>8</v>
      </c>
      <c r="G491">
        <v>11.2</v>
      </c>
      <c r="H491">
        <v>0.71428572999999995</v>
      </c>
      <c r="I491">
        <v>0.28571426999999999</v>
      </c>
      <c r="J491">
        <v>0.58333330000000005</v>
      </c>
    </row>
    <row r="492" spans="1:10" x14ac:dyDescent="0.3">
      <c r="A492">
        <v>490</v>
      </c>
      <c r="B492">
        <v>7786</v>
      </c>
      <c r="C492" t="b">
        <v>1</v>
      </c>
      <c r="D492">
        <v>8048</v>
      </c>
      <c r="E492">
        <v>8123</v>
      </c>
      <c r="F492">
        <v>8</v>
      </c>
      <c r="G492">
        <v>11.2</v>
      </c>
      <c r="H492">
        <v>0.71428572999999995</v>
      </c>
      <c r="I492">
        <v>0.28571426999999999</v>
      </c>
      <c r="J492">
        <v>0.58333330000000005</v>
      </c>
    </row>
    <row r="493" spans="1:10" x14ac:dyDescent="0.3">
      <c r="A493">
        <v>491</v>
      </c>
      <c r="B493">
        <v>7802</v>
      </c>
      <c r="C493" t="b">
        <v>1</v>
      </c>
      <c r="D493">
        <v>8048</v>
      </c>
      <c r="E493">
        <v>8134</v>
      </c>
      <c r="F493">
        <v>8</v>
      </c>
      <c r="G493">
        <v>11.2</v>
      </c>
      <c r="H493">
        <v>0.71428572999999995</v>
      </c>
      <c r="I493">
        <v>0.28571426999999999</v>
      </c>
      <c r="J493">
        <v>0.58333330000000005</v>
      </c>
    </row>
    <row r="494" spans="1:10" x14ac:dyDescent="0.3">
      <c r="A494">
        <v>492</v>
      </c>
      <c r="B494">
        <v>7818</v>
      </c>
      <c r="C494" t="b">
        <v>1</v>
      </c>
      <c r="D494">
        <v>8048</v>
      </c>
      <c r="E494">
        <v>8123</v>
      </c>
      <c r="F494">
        <v>8</v>
      </c>
      <c r="G494">
        <v>11.2</v>
      </c>
      <c r="H494">
        <v>0.71428572999999995</v>
      </c>
      <c r="I494">
        <v>0.28571426999999999</v>
      </c>
      <c r="J494">
        <v>0.58333330000000005</v>
      </c>
    </row>
    <row r="495" spans="1:10" x14ac:dyDescent="0.3">
      <c r="A495">
        <v>493</v>
      </c>
      <c r="B495">
        <v>7834</v>
      </c>
      <c r="C495" t="b">
        <v>1</v>
      </c>
      <c r="D495">
        <v>8048</v>
      </c>
      <c r="E495">
        <v>8123</v>
      </c>
      <c r="F495">
        <v>8</v>
      </c>
      <c r="G495">
        <v>10.8</v>
      </c>
      <c r="H495">
        <v>0.74074070000000003</v>
      </c>
      <c r="I495">
        <v>0.25925927999999998</v>
      </c>
      <c r="J495">
        <v>0.57446814000000002</v>
      </c>
    </row>
    <row r="496" spans="1:10" x14ac:dyDescent="0.3">
      <c r="A496">
        <v>494</v>
      </c>
      <c r="B496">
        <v>7850</v>
      </c>
      <c r="C496" t="b">
        <v>1</v>
      </c>
      <c r="D496">
        <v>8048</v>
      </c>
      <c r="E496">
        <v>8129</v>
      </c>
      <c r="F496">
        <v>8</v>
      </c>
      <c r="G496">
        <v>10.4</v>
      </c>
      <c r="H496">
        <v>0.76923079999999999</v>
      </c>
      <c r="I496">
        <v>0.23076920000000001</v>
      </c>
      <c r="J496">
        <v>0.56521739999999998</v>
      </c>
    </row>
    <row r="497" spans="1:10" x14ac:dyDescent="0.3">
      <c r="A497">
        <v>495</v>
      </c>
      <c r="B497">
        <v>7866</v>
      </c>
      <c r="C497" t="b">
        <v>1</v>
      </c>
      <c r="D497">
        <v>8048</v>
      </c>
      <c r="E497">
        <v>8129</v>
      </c>
      <c r="F497">
        <v>8</v>
      </c>
      <c r="G497">
        <v>10.4</v>
      </c>
      <c r="H497">
        <v>0.76923079999999999</v>
      </c>
      <c r="I497">
        <v>0.23076920000000001</v>
      </c>
      <c r="J497">
        <v>0.56521739999999998</v>
      </c>
    </row>
    <row r="498" spans="1:10" x14ac:dyDescent="0.3">
      <c r="A498">
        <v>496</v>
      </c>
      <c r="B498">
        <v>7882</v>
      </c>
      <c r="C498" t="b">
        <v>1</v>
      </c>
      <c r="D498">
        <v>8048</v>
      </c>
      <c r="E498">
        <v>8123</v>
      </c>
      <c r="F498">
        <v>8</v>
      </c>
      <c r="G498">
        <v>10</v>
      </c>
      <c r="H498">
        <v>0.8</v>
      </c>
      <c r="I498">
        <v>0.2</v>
      </c>
      <c r="J498">
        <v>0.55555560000000004</v>
      </c>
    </row>
    <row r="499" spans="1:10" x14ac:dyDescent="0.3">
      <c r="A499">
        <v>497</v>
      </c>
      <c r="B499">
        <v>7898</v>
      </c>
      <c r="C499" t="b">
        <v>1</v>
      </c>
      <c r="D499">
        <v>8048</v>
      </c>
      <c r="E499">
        <v>8123</v>
      </c>
      <c r="F499">
        <v>8</v>
      </c>
      <c r="G499">
        <v>9.6</v>
      </c>
      <c r="H499">
        <v>0.83333330000000005</v>
      </c>
      <c r="I499">
        <v>0.1666667</v>
      </c>
      <c r="J499">
        <v>0.54545456000000003</v>
      </c>
    </row>
    <row r="500" spans="1:10" x14ac:dyDescent="0.3">
      <c r="A500">
        <v>498</v>
      </c>
      <c r="B500">
        <v>7914</v>
      </c>
      <c r="C500" t="b">
        <v>1</v>
      </c>
      <c r="D500">
        <v>8048</v>
      </c>
      <c r="E500">
        <v>8123</v>
      </c>
      <c r="F500">
        <v>8</v>
      </c>
      <c r="G500">
        <v>9.1999999999999993</v>
      </c>
      <c r="H500">
        <v>0.86956524999999996</v>
      </c>
      <c r="I500">
        <v>0.13043477000000001</v>
      </c>
      <c r="J500">
        <v>0.53488369999999996</v>
      </c>
    </row>
    <row r="501" spans="1:10" x14ac:dyDescent="0.3">
      <c r="A501">
        <v>499</v>
      </c>
      <c r="B501">
        <v>7930</v>
      </c>
      <c r="C501" t="b">
        <v>1</v>
      </c>
      <c r="D501">
        <v>8054</v>
      </c>
      <c r="E501">
        <v>8134</v>
      </c>
      <c r="F501">
        <v>8</v>
      </c>
      <c r="G501">
        <v>8.8000000000000007</v>
      </c>
      <c r="H501">
        <v>0.90909090000000004</v>
      </c>
      <c r="I501">
        <v>9.0909110000000001E-2</v>
      </c>
      <c r="J501">
        <v>0.52380954999999996</v>
      </c>
    </row>
    <row r="502" spans="1:10" x14ac:dyDescent="0.3">
      <c r="A502">
        <v>500</v>
      </c>
      <c r="B502">
        <v>7945</v>
      </c>
      <c r="C502" t="b">
        <v>1</v>
      </c>
      <c r="D502">
        <v>8054</v>
      </c>
      <c r="E502">
        <v>8123</v>
      </c>
      <c r="F502">
        <v>8</v>
      </c>
      <c r="G502">
        <v>8.4</v>
      </c>
      <c r="H502">
        <v>0.95238100000000003</v>
      </c>
      <c r="I502">
        <v>4.7619003999999999E-2</v>
      </c>
      <c r="J502">
        <v>0.51219510000000001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925D-AE63-4147-A537-281072364450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24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40</v>
      </c>
      <c r="C4" t="b">
        <v>1</v>
      </c>
      <c r="D4">
        <v>8048</v>
      </c>
      <c r="E4">
        <v>8117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56</v>
      </c>
      <c r="C5" t="b">
        <v>1</v>
      </c>
      <c r="D5">
        <v>8048</v>
      </c>
      <c r="E5">
        <v>8117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72</v>
      </c>
      <c r="C6" t="b">
        <v>1</v>
      </c>
      <c r="D6">
        <v>8048</v>
      </c>
      <c r="E6">
        <v>8117</v>
      </c>
      <c r="F6">
        <v>8</v>
      </c>
      <c r="G6">
        <v>6.8</v>
      </c>
      <c r="H6">
        <v>1.1764705</v>
      </c>
      <c r="I6">
        <v>-0.17647055</v>
      </c>
      <c r="J6">
        <v>0.45945944999999999</v>
      </c>
    </row>
    <row r="7" spans="1:10" x14ac:dyDescent="0.3">
      <c r="A7">
        <v>5</v>
      </c>
      <c r="B7">
        <v>88</v>
      </c>
      <c r="C7" t="b">
        <v>1</v>
      </c>
      <c r="D7">
        <v>8048</v>
      </c>
      <c r="E7">
        <v>8117</v>
      </c>
      <c r="F7">
        <v>8</v>
      </c>
      <c r="G7">
        <v>6</v>
      </c>
      <c r="H7">
        <v>1.3333333999999999</v>
      </c>
      <c r="I7">
        <v>-0.33333333999999998</v>
      </c>
      <c r="J7">
        <v>0.42857142999999998</v>
      </c>
    </row>
    <row r="8" spans="1:10" x14ac:dyDescent="0.3">
      <c r="A8">
        <v>6</v>
      </c>
      <c r="B8">
        <v>103</v>
      </c>
      <c r="C8" t="b">
        <v>1</v>
      </c>
      <c r="D8">
        <v>8048</v>
      </c>
      <c r="E8">
        <v>8123</v>
      </c>
      <c r="F8">
        <v>8</v>
      </c>
      <c r="G8">
        <v>5.4285709999999998</v>
      </c>
      <c r="H8">
        <v>1.4736842999999999</v>
      </c>
      <c r="I8">
        <v>-0.47368424999999997</v>
      </c>
      <c r="J8">
        <v>0.40425529999999998</v>
      </c>
    </row>
    <row r="9" spans="1:10" x14ac:dyDescent="0.3">
      <c r="A9">
        <v>7</v>
      </c>
      <c r="B9">
        <v>120</v>
      </c>
      <c r="C9" t="b">
        <v>1</v>
      </c>
      <c r="D9">
        <v>8048</v>
      </c>
      <c r="E9">
        <v>8117</v>
      </c>
      <c r="F9">
        <v>8</v>
      </c>
      <c r="G9">
        <v>5</v>
      </c>
      <c r="H9">
        <v>1.6</v>
      </c>
      <c r="I9">
        <v>-0.6</v>
      </c>
      <c r="J9">
        <v>0.3846154</v>
      </c>
    </row>
    <row r="10" spans="1:10" x14ac:dyDescent="0.3">
      <c r="A10">
        <v>8</v>
      </c>
      <c r="B10">
        <v>135</v>
      </c>
      <c r="C10" t="b">
        <v>1</v>
      </c>
      <c r="D10">
        <v>8048</v>
      </c>
      <c r="E10">
        <v>8117</v>
      </c>
      <c r="F10">
        <v>8</v>
      </c>
      <c r="G10">
        <v>4.6666664999999998</v>
      </c>
      <c r="H10">
        <v>1.7142857</v>
      </c>
      <c r="I10">
        <v>-0.71428579999999997</v>
      </c>
      <c r="J10">
        <v>0.36842105000000003</v>
      </c>
    </row>
    <row r="11" spans="1:10" x14ac:dyDescent="0.3">
      <c r="A11">
        <v>9</v>
      </c>
      <c r="B11">
        <v>151</v>
      </c>
      <c r="C11" t="b">
        <v>1</v>
      </c>
      <c r="D11">
        <v>8048</v>
      </c>
      <c r="E11">
        <v>8123</v>
      </c>
      <c r="F11">
        <v>8</v>
      </c>
      <c r="G11">
        <v>4.4000000000000004</v>
      </c>
      <c r="H11">
        <v>1.8181818000000001</v>
      </c>
      <c r="I11">
        <v>-0.81818175000000004</v>
      </c>
      <c r="J11">
        <v>0.35483872999999999</v>
      </c>
    </row>
    <row r="12" spans="1:10" x14ac:dyDescent="0.3">
      <c r="A12">
        <v>10</v>
      </c>
      <c r="B12">
        <v>167</v>
      </c>
      <c r="C12" t="b">
        <v>1</v>
      </c>
      <c r="D12">
        <v>8048</v>
      </c>
      <c r="E12">
        <v>8117</v>
      </c>
      <c r="F12">
        <v>8</v>
      </c>
      <c r="G12">
        <v>4.1818179999999998</v>
      </c>
      <c r="H12">
        <v>1.9130434999999999</v>
      </c>
      <c r="I12">
        <v>-0.91304355999999998</v>
      </c>
      <c r="J12">
        <v>0.34328355999999999</v>
      </c>
    </row>
    <row r="13" spans="1:10" x14ac:dyDescent="0.3">
      <c r="A13">
        <v>11</v>
      </c>
      <c r="B13">
        <v>183</v>
      </c>
      <c r="C13" t="b">
        <v>1</v>
      </c>
      <c r="D13">
        <v>8054</v>
      </c>
      <c r="E13">
        <v>8117</v>
      </c>
      <c r="F13">
        <v>8</v>
      </c>
      <c r="G13">
        <v>4</v>
      </c>
      <c r="H13">
        <v>2</v>
      </c>
      <c r="I13">
        <v>-1</v>
      </c>
      <c r="J13">
        <v>0.33333333999999998</v>
      </c>
    </row>
    <row r="14" spans="1:10" x14ac:dyDescent="0.3">
      <c r="A14">
        <v>12</v>
      </c>
      <c r="B14">
        <v>199</v>
      </c>
      <c r="C14" t="b">
        <v>1</v>
      </c>
      <c r="D14">
        <v>8048</v>
      </c>
      <c r="E14">
        <v>8117</v>
      </c>
      <c r="F14">
        <v>8</v>
      </c>
      <c r="G14">
        <v>3.8461536999999999</v>
      </c>
      <c r="H14">
        <v>2.0800002000000002</v>
      </c>
      <c r="I14">
        <v>-1.08</v>
      </c>
      <c r="J14">
        <v>0.32467531999999999</v>
      </c>
    </row>
    <row r="15" spans="1:10" x14ac:dyDescent="0.3">
      <c r="A15">
        <v>13</v>
      </c>
      <c r="B15">
        <v>215</v>
      </c>
      <c r="C15" t="b">
        <v>1</v>
      </c>
      <c r="D15">
        <v>8048</v>
      </c>
      <c r="E15">
        <v>8117</v>
      </c>
      <c r="F15">
        <v>8</v>
      </c>
      <c r="G15">
        <v>3.7142856000000002</v>
      </c>
      <c r="H15">
        <v>2.1538463000000001</v>
      </c>
      <c r="I15">
        <v>-1.1538461</v>
      </c>
      <c r="J15">
        <v>0.31707317000000002</v>
      </c>
    </row>
    <row r="16" spans="1:10" x14ac:dyDescent="0.3">
      <c r="A16">
        <v>14</v>
      </c>
      <c r="B16">
        <v>230</v>
      </c>
      <c r="C16" t="b">
        <v>1</v>
      </c>
      <c r="D16">
        <v>8042</v>
      </c>
      <c r="E16">
        <v>8117</v>
      </c>
      <c r="F16">
        <v>8</v>
      </c>
      <c r="G16">
        <v>3.6</v>
      </c>
      <c r="H16">
        <v>2.2222222999999999</v>
      </c>
      <c r="I16">
        <v>-1.2222223000000001</v>
      </c>
      <c r="J16">
        <v>0.31034482000000002</v>
      </c>
    </row>
    <row r="17" spans="1:10" x14ac:dyDescent="0.3">
      <c r="A17">
        <v>15</v>
      </c>
      <c r="B17">
        <v>246</v>
      </c>
      <c r="C17" t="b">
        <v>1</v>
      </c>
      <c r="D17">
        <v>8048</v>
      </c>
      <c r="E17">
        <v>8123</v>
      </c>
      <c r="F17">
        <v>8</v>
      </c>
      <c r="G17">
        <v>3.2</v>
      </c>
      <c r="H17">
        <v>2.5</v>
      </c>
      <c r="I17">
        <v>-1.5</v>
      </c>
      <c r="J17">
        <v>0.28571429999999998</v>
      </c>
    </row>
    <row r="18" spans="1:10" x14ac:dyDescent="0.3">
      <c r="A18">
        <v>16</v>
      </c>
      <c r="B18">
        <v>262</v>
      </c>
      <c r="C18" t="b">
        <v>1</v>
      </c>
      <c r="D18">
        <v>8048</v>
      </c>
      <c r="E18">
        <v>8129</v>
      </c>
      <c r="F18">
        <v>8</v>
      </c>
      <c r="G18">
        <v>2.8</v>
      </c>
      <c r="H18">
        <v>2.8571430000000002</v>
      </c>
      <c r="I18">
        <v>-1.8571428000000001</v>
      </c>
      <c r="J18">
        <v>0.25925925</v>
      </c>
    </row>
    <row r="19" spans="1:10" x14ac:dyDescent="0.3">
      <c r="A19">
        <v>17</v>
      </c>
      <c r="B19">
        <v>278</v>
      </c>
      <c r="C19" t="b">
        <v>1</v>
      </c>
      <c r="D19">
        <v>8048</v>
      </c>
      <c r="E19">
        <v>8123</v>
      </c>
      <c r="F19">
        <v>8</v>
      </c>
      <c r="G19">
        <v>2.8</v>
      </c>
      <c r="H19">
        <v>2.8571430000000002</v>
      </c>
      <c r="I19">
        <v>-1.8571428000000001</v>
      </c>
      <c r="J19">
        <v>0.25925925</v>
      </c>
    </row>
    <row r="20" spans="1:10" x14ac:dyDescent="0.3">
      <c r="A20">
        <v>18</v>
      </c>
      <c r="B20">
        <v>293</v>
      </c>
      <c r="C20" t="b">
        <v>1</v>
      </c>
      <c r="D20">
        <v>8048</v>
      </c>
      <c r="E20">
        <v>8129</v>
      </c>
      <c r="F20">
        <v>8</v>
      </c>
      <c r="G20">
        <v>2.8</v>
      </c>
      <c r="H20">
        <v>2.8571430000000002</v>
      </c>
      <c r="I20">
        <v>-1.8571428000000001</v>
      </c>
      <c r="J20">
        <v>0.25925925</v>
      </c>
    </row>
    <row r="21" spans="1:10" x14ac:dyDescent="0.3">
      <c r="A21">
        <v>19</v>
      </c>
      <c r="B21">
        <v>309</v>
      </c>
      <c r="C21" t="b">
        <v>1</v>
      </c>
      <c r="D21">
        <v>8048</v>
      </c>
      <c r="E21">
        <v>8129</v>
      </c>
      <c r="F21">
        <v>8</v>
      </c>
      <c r="G21">
        <v>3.6</v>
      </c>
      <c r="H21">
        <v>2.2222222999999999</v>
      </c>
      <c r="I21">
        <v>-1.2222223000000001</v>
      </c>
      <c r="J21">
        <v>0.31034482000000002</v>
      </c>
    </row>
    <row r="22" spans="1:10" x14ac:dyDescent="0.3">
      <c r="A22">
        <v>20</v>
      </c>
      <c r="B22">
        <v>325</v>
      </c>
      <c r="C22" t="b">
        <v>1</v>
      </c>
      <c r="D22">
        <v>8048</v>
      </c>
      <c r="E22">
        <v>8123</v>
      </c>
      <c r="F22">
        <v>8</v>
      </c>
      <c r="G22">
        <v>4.4000000000000004</v>
      </c>
      <c r="H22">
        <v>1.8181818000000001</v>
      </c>
      <c r="I22">
        <v>-0.81818175000000004</v>
      </c>
      <c r="J22">
        <v>0.35483872999999999</v>
      </c>
    </row>
    <row r="23" spans="1:10" x14ac:dyDescent="0.3">
      <c r="A23">
        <v>21</v>
      </c>
      <c r="B23">
        <v>341</v>
      </c>
      <c r="C23" t="b">
        <v>1</v>
      </c>
      <c r="D23">
        <v>8048</v>
      </c>
      <c r="E23">
        <v>8123</v>
      </c>
      <c r="F23">
        <v>8</v>
      </c>
      <c r="G23">
        <v>4.8</v>
      </c>
      <c r="H23">
        <v>1.6666666000000001</v>
      </c>
      <c r="I23">
        <v>-0.6666666</v>
      </c>
      <c r="J23">
        <v>0.375</v>
      </c>
    </row>
    <row r="24" spans="1:10" x14ac:dyDescent="0.3">
      <c r="A24">
        <v>22</v>
      </c>
      <c r="B24">
        <v>356</v>
      </c>
      <c r="C24" t="b">
        <v>1</v>
      </c>
      <c r="D24">
        <v>8042</v>
      </c>
      <c r="E24">
        <v>8123</v>
      </c>
      <c r="F24">
        <v>8</v>
      </c>
      <c r="G24">
        <v>5.2</v>
      </c>
      <c r="H24">
        <v>1.5384616</v>
      </c>
      <c r="I24">
        <v>-0.53846156999999994</v>
      </c>
      <c r="J24">
        <v>0.39393938000000001</v>
      </c>
    </row>
    <row r="25" spans="1:10" x14ac:dyDescent="0.3">
      <c r="A25">
        <v>23</v>
      </c>
      <c r="B25">
        <v>372</v>
      </c>
      <c r="C25" t="b">
        <v>1</v>
      </c>
      <c r="D25">
        <v>8048</v>
      </c>
      <c r="E25">
        <v>8123</v>
      </c>
      <c r="F25">
        <v>8</v>
      </c>
      <c r="G25">
        <v>5.6</v>
      </c>
      <c r="H25">
        <v>1.4285715000000001</v>
      </c>
      <c r="I25">
        <v>-0.42857146000000002</v>
      </c>
      <c r="J25">
        <v>0.41176467999999999</v>
      </c>
    </row>
    <row r="26" spans="1:10" x14ac:dyDescent="0.3">
      <c r="A26">
        <v>24</v>
      </c>
      <c r="B26">
        <v>388</v>
      </c>
      <c r="C26" t="b">
        <v>1</v>
      </c>
      <c r="D26">
        <v>8048</v>
      </c>
      <c r="E26">
        <v>8117</v>
      </c>
      <c r="F26">
        <v>8</v>
      </c>
      <c r="G26">
        <v>6</v>
      </c>
      <c r="H26">
        <v>1.3333333999999999</v>
      </c>
      <c r="I26">
        <v>-0.33333333999999998</v>
      </c>
      <c r="J26">
        <v>0.42857142999999998</v>
      </c>
    </row>
    <row r="27" spans="1:10" x14ac:dyDescent="0.3">
      <c r="A27">
        <v>25</v>
      </c>
      <c r="B27">
        <v>404</v>
      </c>
      <c r="C27" t="b">
        <v>1</v>
      </c>
      <c r="D27">
        <v>8048</v>
      </c>
      <c r="E27">
        <v>8123</v>
      </c>
      <c r="F27">
        <v>8</v>
      </c>
      <c r="G27">
        <v>6.4</v>
      </c>
      <c r="H27">
        <v>1.25</v>
      </c>
      <c r="I27">
        <v>-0.24999999000000001</v>
      </c>
      <c r="J27">
        <v>0.44444447999999998</v>
      </c>
    </row>
    <row r="28" spans="1:10" x14ac:dyDescent="0.3">
      <c r="A28">
        <v>26</v>
      </c>
      <c r="B28">
        <v>420</v>
      </c>
      <c r="C28" t="b">
        <v>1</v>
      </c>
      <c r="D28">
        <v>8048</v>
      </c>
      <c r="E28">
        <v>8123</v>
      </c>
      <c r="F28">
        <v>8</v>
      </c>
      <c r="G28">
        <v>6.8</v>
      </c>
      <c r="H28">
        <v>1.1764705</v>
      </c>
      <c r="I28">
        <v>-0.17647055</v>
      </c>
      <c r="J28">
        <v>0.45945944999999999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8129</v>
      </c>
      <c r="F29">
        <v>8</v>
      </c>
      <c r="G29">
        <v>7.2</v>
      </c>
      <c r="H29">
        <v>1.1111112000000001</v>
      </c>
      <c r="I29">
        <v>-0.11111114</v>
      </c>
      <c r="J29">
        <v>0.4736842</v>
      </c>
    </row>
    <row r="30" spans="1:10" x14ac:dyDescent="0.3">
      <c r="A30">
        <v>28</v>
      </c>
      <c r="B30">
        <v>451</v>
      </c>
      <c r="C30" t="b">
        <v>1</v>
      </c>
      <c r="D30">
        <v>8048</v>
      </c>
      <c r="E30">
        <v>8129</v>
      </c>
      <c r="F30">
        <v>8</v>
      </c>
      <c r="G30">
        <v>7.6</v>
      </c>
      <c r="H30">
        <v>1.0526316</v>
      </c>
      <c r="I30">
        <v>-5.2631589999999999E-2</v>
      </c>
      <c r="J30">
        <v>0.48717946000000001</v>
      </c>
    </row>
    <row r="31" spans="1:10" x14ac:dyDescent="0.3">
      <c r="A31">
        <v>29</v>
      </c>
      <c r="B31">
        <v>467</v>
      </c>
      <c r="C31" t="b">
        <v>1</v>
      </c>
      <c r="D31">
        <v>8048</v>
      </c>
      <c r="E31">
        <v>8123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483</v>
      </c>
      <c r="C32" t="b">
        <v>1</v>
      </c>
      <c r="D32">
        <v>8048</v>
      </c>
      <c r="E32">
        <v>8123</v>
      </c>
      <c r="F32">
        <v>8</v>
      </c>
      <c r="G32">
        <v>8.4</v>
      </c>
      <c r="H32">
        <v>0.95238100000000003</v>
      </c>
      <c r="I32">
        <v>4.7619003999999999E-2</v>
      </c>
      <c r="J32">
        <v>0.51219510000000001</v>
      </c>
    </row>
    <row r="33" spans="1:10" x14ac:dyDescent="0.3">
      <c r="A33">
        <v>31</v>
      </c>
      <c r="B33">
        <v>499</v>
      </c>
      <c r="C33" t="b">
        <v>1</v>
      </c>
      <c r="D33">
        <v>8048</v>
      </c>
      <c r="E33">
        <v>8123</v>
      </c>
      <c r="F33">
        <v>8</v>
      </c>
      <c r="G33">
        <v>8.8000000000000007</v>
      </c>
      <c r="H33">
        <v>0.90909090000000004</v>
      </c>
      <c r="I33">
        <v>9.0909110000000001E-2</v>
      </c>
      <c r="J33">
        <v>0.52380954999999996</v>
      </c>
    </row>
    <row r="34" spans="1:10" x14ac:dyDescent="0.3">
      <c r="A34">
        <v>32</v>
      </c>
      <c r="B34">
        <v>515</v>
      </c>
      <c r="C34" t="b">
        <v>1</v>
      </c>
      <c r="D34">
        <v>8048</v>
      </c>
      <c r="E34">
        <v>8123</v>
      </c>
      <c r="F34">
        <v>8</v>
      </c>
      <c r="G34">
        <v>8.8000000000000007</v>
      </c>
      <c r="H34">
        <v>0.90909090000000004</v>
      </c>
      <c r="I34">
        <v>9.0909110000000001E-2</v>
      </c>
      <c r="J34">
        <v>0.52380954999999996</v>
      </c>
    </row>
    <row r="35" spans="1:10" x14ac:dyDescent="0.3">
      <c r="A35">
        <v>33</v>
      </c>
      <c r="B35">
        <v>531</v>
      </c>
      <c r="C35" t="b">
        <v>1</v>
      </c>
      <c r="D35">
        <v>8048</v>
      </c>
      <c r="E35">
        <v>8123</v>
      </c>
      <c r="F35">
        <v>8</v>
      </c>
      <c r="G35">
        <v>8.8000000000000007</v>
      </c>
      <c r="H35">
        <v>0.90909090000000004</v>
      </c>
      <c r="I35">
        <v>9.0909110000000001E-2</v>
      </c>
      <c r="J35">
        <v>0.52380954999999996</v>
      </c>
    </row>
    <row r="36" spans="1:10" x14ac:dyDescent="0.3">
      <c r="A36">
        <v>34</v>
      </c>
      <c r="B36">
        <v>547</v>
      </c>
      <c r="C36" t="b">
        <v>1</v>
      </c>
      <c r="D36">
        <v>8042</v>
      </c>
      <c r="E36">
        <v>8123</v>
      </c>
      <c r="F36">
        <v>8</v>
      </c>
      <c r="G36">
        <v>8.4</v>
      </c>
      <c r="H36">
        <v>0.95238100000000003</v>
      </c>
      <c r="I36">
        <v>4.7619003999999999E-2</v>
      </c>
      <c r="J36">
        <v>0.51219510000000001</v>
      </c>
    </row>
    <row r="37" spans="1:10" x14ac:dyDescent="0.3">
      <c r="A37">
        <v>35</v>
      </c>
      <c r="B37">
        <v>563</v>
      </c>
      <c r="C37" t="b">
        <v>1</v>
      </c>
      <c r="D37">
        <v>8042</v>
      </c>
      <c r="E37">
        <v>8129</v>
      </c>
      <c r="F37">
        <v>8</v>
      </c>
      <c r="G37">
        <v>8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579</v>
      </c>
      <c r="C38" t="b">
        <v>1</v>
      </c>
      <c r="D38">
        <v>8048</v>
      </c>
      <c r="E38">
        <v>8123</v>
      </c>
      <c r="F38">
        <v>8</v>
      </c>
      <c r="G38">
        <v>8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595</v>
      </c>
      <c r="C39" t="b">
        <v>1</v>
      </c>
      <c r="D39">
        <v>8048</v>
      </c>
      <c r="E39">
        <v>8123</v>
      </c>
      <c r="F39">
        <v>8</v>
      </c>
      <c r="G39">
        <v>8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611</v>
      </c>
      <c r="C40" t="b">
        <v>1</v>
      </c>
      <c r="D40">
        <v>8048</v>
      </c>
      <c r="E40">
        <v>8123</v>
      </c>
      <c r="F40">
        <v>8</v>
      </c>
      <c r="G40">
        <v>8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627</v>
      </c>
      <c r="C41" t="b">
        <v>1</v>
      </c>
      <c r="D41">
        <v>8048</v>
      </c>
      <c r="E41">
        <v>8129</v>
      </c>
      <c r="F41">
        <v>8</v>
      </c>
      <c r="G41">
        <v>8</v>
      </c>
      <c r="H41">
        <v>1</v>
      </c>
      <c r="I41">
        <v>0</v>
      </c>
      <c r="J41">
        <v>0.5</v>
      </c>
    </row>
    <row r="42" spans="1:10" x14ac:dyDescent="0.3">
      <c r="A42">
        <v>40</v>
      </c>
      <c r="B42">
        <v>642</v>
      </c>
      <c r="C42" t="b">
        <v>1</v>
      </c>
      <c r="D42">
        <v>8048</v>
      </c>
      <c r="E42">
        <v>8134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658</v>
      </c>
      <c r="C43" t="b">
        <v>1</v>
      </c>
      <c r="D43">
        <v>8048</v>
      </c>
      <c r="E43">
        <v>8129</v>
      </c>
      <c r="F43">
        <v>8</v>
      </c>
      <c r="G43">
        <v>8.4</v>
      </c>
      <c r="H43">
        <v>0.95238100000000003</v>
      </c>
      <c r="I43">
        <v>4.7619003999999999E-2</v>
      </c>
      <c r="J43">
        <v>0.51219510000000001</v>
      </c>
    </row>
    <row r="44" spans="1:10" x14ac:dyDescent="0.3">
      <c r="A44">
        <v>42</v>
      </c>
      <c r="B44">
        <v>674</v>
      </c>
      <c r="C44" t="b">
        <v>1</v>
      </c>
      <c r="D44">
        <v>8048</v>
      </c>
      <c r="E44">
        <v>8129</v>
      </c>
      <c r="F44">
        <v>8</v>
      </c>
      <c r="G44">
        <v>8.8000000000000007</v>
      </c>
      <c r="H44">
        <v>0.90909090000000004</v>
      </c>
      <c r="I44">
        <v>9.0909110000000001E-2</v>
      </c>
      <c r="J44">
        <v>0.52380954999999996</v>
      </c>
    </row>
    <row r="45" spans="1:10" x14ac:dyDescent="0.3">
      <c r="A45">
        <v>43</v>
      </c>
      <c r="B45">
        <v>690</v>
      </c>
      <c r="C45" t="b">
        <v>1</v>
      </c>
      <c r="D45">
        <v>8048</v>
      </c>
      <c r="E45">
        <v>8129</v>
      </c>
      <c r="F45">
        <v>8</v>
      </c>
      <c r="G45">
        <v>9.1999999999999993</v>
      </c>
      <c r="H45">
        <v>0.86956524999999996</v>
      </c>
      <c r="I45">
        <v>0.13043477000000001</v>
      </c>
      <c r="J45">
        <v>0.53488369999999996</v>
      </c>
    </row>
    <row r="46" spans="1:10" x14ac:dyDescent="0.3">
      <c r="A46">
        <v>44</v>
      </c>
      <c r="B46">
        <v>705</v>
      </c>
      <c r="C46" t="b">
        <v>1</v>
      </c>
      <c r="D46">
        <v>8048</v>
      </c>
      <c r="E46">
        <v>8129</v>
      </c>
      <c r="F46">
        <v>8</v>
      </c>
      <c r="G46">
        <v>9.6</v>
      </c>
      <c r="H46">
        <v>0.83333330000000005</v>
      </c>
      <c r="I46">
        <v>0.1666667</v>
      </c>
      <c r="J46">
        <v>0.54545456000000003</v>
      </c>
    </row>
    <row r="47" spans="1:10" x14ac:dyDescent="0.3">
      <c r="A47">
        <v>45</v>
      </c>
      <c r="B47">
        <v>721</v>
      </c>
      <c r="C47" t="b">
        <v>1</v>
      </c>
      <c r="D47">
        <v>8048</v>
      </c>
      <c r="E47">
        <v>8129</v>
      </c>
      <c r="F47">
        <v>8</v>
      </c>
      <c r="G47">
        <v>10</v>
      </c>
      <c r="H47">
        <v>0.8</v>
      </c>
      <c r="I47">
        <v>0.2</v>
      </c>
      <c r="J47">
        <v>0.55555560000000004</v>
      </c>
    </row>
    <row r="48" spans="1:10" x14ac:dyDescent="0.3">
      <c r="A48">
        <v>46</v>
      </c>
      <c r="B48">
        <v>737</v>
      </c>
      <c r="C48" t="b">
        <v>1</v>
      </c>
      <c r="D48">
        <v>8048</v>
      </c>
      <c r="E48">
        <v>8117</v>
      </c>
      <c r="F48">
        <v>8</v>
      </c>
      <c r="G48">
        <v>10.4</v>
      </c>
      <c r="H48">
        <v>0.76923079999999999</v>
      </c>
      <c r="I48">
        <v>0.23076920000000001</v>
      </c>
      <c r="J48">
        <v>0.56521739999999998</v>
      </c>
    </row>
    <row r="49" spans="1:10" x14ac:dyDescent="0.3">
      <c r="A49">
        <v>47</v>
      </c>
      <c r="B49">
        <v>753</v>
      </c>
      <c r="C49" t="b">
        <v>1</v>
      </c>
      <c r="D49">
        <v>8048</v>
      </c>
      <c r="E49">
        <v>8129</v>
      </c>
      <c r="F49">
        <v>8</v>
      </c>
      <c r="G49">
        <v>10.8</v>
      </c>
      <c r="H49">
        <v>0.74074070000000003</v>
      </c>
      <c r="I49">
        <v>0.25925927999999998</v>
      </c>
      <c r="J49">
        <v>0.57446814000000002</v>
      </c>
    </row>
    <row r="50" spans="1:10" x14ac:dyDescent="0.3">
      <c r="A50">
        <v>48</v>
      </c>
      <c r="B50">
        <v>769</v>
      </c>
      <c r="C50" t="b">
        <v>1</v>
      </c>
      <c r="D50">
        <v>8048</v>
      </c>
      <c r="E50">
        <v>8117</v>
      </c>
      <c r="F50">
        <v>8</v>
      </c>
      <c r="G50">
        <v>11.2</v>
      </c>
      <c r="H50">
        <v>0.71428572999999995</v>
      </c>
      <c r="I50">
        <v>0.28571426999999999</v>
      </c>
      <c r="J50">
        <v>0.58333330000000005</v>
      </c>
    </row>
    <row r="51" spans="1:10" x14ac:dyDescent="0.3">
      <c r="A51">
        <v>49</v>
      </c>
      <c r="B51">
        <v>785</v>
      </c>
      <c r="C51" t="b">
        <v>1</v>
      </c>
      <c r="D51">
        <v>8042</v>
      </c>
      <c r="E51">
        <v>8123</v>
      </c>
      <c r="F51">
        <v>8</v>
      </c>
      <c r="G51">
        <v>11.2</v>
      </c>
      <c r="H51">
        <v>0.71428572999999995</v>
      </c>
      <c r="I51">
        <v>0.28571426999999999</v>
      </c>
      <c r="J51">
        <v>0.58333330000000005</v>
      </c>
    </row>
    <row r="52" spans="1:10" x14ac:dyDescent="0.3">
      <c r="A52">
        <v>50</v>
      </c>
      <c r="B52">
        <v>801</v>
      </c>
      <c r="C52" t="b">
        <v>1</v>
      </c>
      <c r="D52">
        <v>8048</v>
      </c>
      <c r="E52">
        <v>8123</v>
      </c>
      <c r="F52">
        <v>8</v>
      </c>
      <c r="G52">
        <v>11.2</v>
      </c>
      <c r="H52">
        <v>0.71428572999999995</v>
      </c>
      <c r="I52">
        <v>0.28571426999999999</v>
      </c>
      <c r="J52">
        <v>0.58333330000000005</v>
      </c>
    </row>
    <row r="53" spans="1:10" x14ac:dyDescent="0.3">
      <c r="A53">
        <v>51</v>
      </c>
      <c r="B53">
        <v>817</v>
      </c>
      <c r="C53" t="b">
        <v>1</v>
      </c>
      <c r="D53">
        <v>8048</v>
      </c>
      <c r="E53">
        <v>8123</v>
      </c>
      <c r="F53">
        <v>8</v>
      </c>
      <c r="G53">
        <v>11.2</v>
      </c>
      <c r="H53">
        <v>0.71428572999999995</v>
      </c>
      <c r="I53">
        <v>0.28571426999999999</v>
      </c>
      <c r="J53">
        <v>0.58333330000000005</v>
      </c>
    </row>
    <row r="54" spans="1:10" x14ac:dyDescent="0.3">
      <c r="A54">
        <v>52</v>
      </c>
      <c r="B54">
        <v>832</v>
      </c>
      <c r="C54" t="b">
        <v>1</v>
      </c>
      <c r="D54">
        <v>8037</v>
      </c>
      <c r="E54">
        <v>8123</v>
      </c>
      <c r="F54">
        <v>8</v>
      </c>
      <c r="G54">
        <v>11.2</v>
      </c>
      <c r="H54">
        <v>0.71428572999999995</v>
      </c>
      <c r="I54">
        <v>0.28571426999999999</v>
      </c>
      <c r="J54">
        <v>0.58333330000000005</v>
      </c>
    </row>
    <row r="55" spans="1:10" x14ac:dyDescent="0.3">
      <c r="A55">
        <v>53</v>
      </c>
      <c r="B55">
        <v>848</v>
      </c>
      <c r="C55" t="b">
        <v>1</v>
      </c>
      <c r="D55">
        <v>8037</v>
      </c>
      <c r="E55">
        <v>8123</v>
      </c>
      <c r="F55">
        <v>7.6</v>
      </c>
      <c r="G55">
        <v>11.2</v>
      </c>
      <c r="H55">
        <v>0.67857140000000005</v>
      </c>
      <c r="I55">
        <v>0.32142857000000002</v>
      </c>
      <c r="J55">
        <v>0.59574466999999998</v>
      </c>
    </row>
    <row r="56" spans="1:10" x14ac:dyDescent="0.3">
      <c r="A56">
        <v>54</v>
      </c>
      <c r="B56">
        <v>864</v>
      </c>
      <c r="C56" t="b">
        <v>1</v>
      </c>
      <c r="D56">
        <v>8048</v>
      </c>
      <c r="E56">
        <v>8123</v>
      </c>
      <c r="F56">
        <v>7.6</v>
      </c>
      <c r="G56">
        <v>11.2</v>
      </c>
      <c r="H56">
        <v>0.67857140000000005</v>
      </c>
      <c r="I56">
        <v>0.32142857000000002</v>
      </c>
      <c r="J56">
        <v>0.59574466999999998</v>
      </c>
    </row>
    <row r="57" spans="1:10" x14ac:dyDescent="0.3">
      <c r="A57">
        <v>55</v>
      </c>
      <c r="B57">
        <v>880</v>
      </c>
      <c r="C57" t="b">
        <v>1</v>
      </c>
      <c r="D57">
        <v>8042</v>
      </c>
      <c r="E57">
        <v>8123</v>
      </c>
      <c r="F57">
        <v>7.2</v>
      </c>
      <c r="G57">
        <v>11.2</v>
      </c>
      <c r="H57">
        <v>0.64285713</v>
      </c>
      <c r="I57">
        <v>0.35714287</v>
      </c>
      <c r="J57">
        <v>0.6086956</v>
      </c>
    </row>
    <row r="58" spans="1:10" x14ac:dyDescent="0.3">
      <c r="A58">
        <v>56</v>
      </c>
      <c r="B58">
        <v>896</v>
      </c>
      <c r="C58" t="b">
        <v>1</v>
      </c>
      <c r="D58">
        <v>8037</v>
      </c>
      <c r="E58">
        <v>8123</v>
      </c>
      <c r="F58">
        <v>6.4666667000000002</v>
      </c>
      <c r="G58">
        <v>10.8</v>
      </c>
      <c r="H58">
        <v>0.59876543000000004</v>
      </c>
      <c r="I58">
        <v>0.40123457000000001</v>
      </c>
      <c r="J58">
        <v>0.6254826</v>
      </c>
    </row>
    <row r="59" spans="1:10" x14ac:dyDescent="0.3">
      <c r="A59">
        <v>57</v>
      </c>
      <c r="B59">
        <v>912</v>
      </c>
      <c r="C59" t="b">
        <v>1</v>
      </c>
      <c r="D59">
        <v>8042</v>
      </c>
      <c r="E59">
        <v>8123</v>
      </c>
      <c r="F59">
        <v>6.0666665999999996</v>
      </c>
      <c r="G59">
        <v>10.4</v>
      </c>
      <c r="H59">
        <v>0.5833334</v>
      </c>
      <c r="I59">
        <v>0.41666666000000002</v>
      </c>
      <c r="J59">
        <v>0.63157890000000005</v>
      </c>
    </row>
    <row r="60" spans="1:10" x14ac:dyDescent="0.3">
      <c r="A60">
        <v>58</v>
      </c>
      <c r="B60">
        <v>928</v>
      </c>
      <c r="C60" t="b">
        <v>1</v>
      </c>
      <c r="D60">
        <v>8048</v>
      </c>
      <c r="E60">
        <v>8123</v>
      </c>
      <c r="F60">
        <v>5.6666664999999998</v>
      </c>
      <c r="G60">
        <v>10</v>
      </c>
      <c r="H60">
        <v>0.56666665999999999</v>
      </c>
      <c r="I60">
        <v>0.43333334000000001</v>
      </c>
      <c r="J60">
        <v>0.63829789999999997</v>
      </c>
    </row>
    <row r="61" spans="1:10" x14ac:dyDescent="0.3">
      <c r="A61">
        <v>59</v>
      </c>
      <c r="B61">
        <v>943</v>
      </c>
      <c r="C61" t="b">
        <v>1</v>
      </c>
      <c r="D61">
        <v>8042</v>
      </c>
      <c r="E61">
        <v>8123</v>
      </c>
      <c r="F61">
        <v>5.266667</v>
      </c>
      <c r="G61">
        <v>9.6</v>
      </c>
      <c r="H61">
        <v>0.54861110000000002</v>
      </c>
      <c r="I61">
        <v>0.45138889999999998</v>
      </c>
      <c r="J61">
        <v>0.64573990000000003</v>
      </c>
    </row>
    <row r="62" spans="1:10" x14ac:dyDescent="0.3">
      <c r="A62">
        <v>60</v>
      </c>
      <c r="B62">
        <v>959</v>
      </c>
      <c r="C62" t="b">
        <v>1</v>
      </c>
      <c r="D62">
        <v>8048</v>
      </c>
      <c r="E62">
        <v>8123</v>
      </c>
      <c r="F62">
        <v>4.8666669999999996</v>
      </c>
      <c r="G62">
        <v>9.1999999999999993</v>
      </c>
      <c r="H62">
        <v>0.52898555999999997</v>
      </c>
      <c r="I62">
        <v>0.47101447000000002</v>
      </c>
      <c r="J62">
        <v>0.65402839999999995</v>
      </c>
    </row>
    <row r="63" spans="1:10" x14ac:dyDescent="0.3">
      <c r="A63">
        <v>61</v>
      </c>
      <c r="B63">
        <v>975</v>
      </c>
      <c r="C63" t="b">
        <v>1</v>
      </c>
      <c r="D63">
        <v>8048</v>
      </c>
      <c r="E63">
        <v>8123</v>
      </c>
      <c r="F63">
        <v>4.8666669999999996</v>
      </c>
      <c r="G63">
        <v>8.8000000000000007</v>
      </c>
      <c r="H63">
        <v>0.55303029999999997</v>
      </c>
      <c r="I63">
        <v>0.44696970000000003</v>
      </c>
      <c r="J63">
        <v>0.64390239999999999</v>
      </c>
    </row>
    <row r="64" spans="1:10" x14ac:dyDescent="0.3">
      <c r="A64">
        <v>62</v>
      </c>
      <c r="B64">
        <v>991</v>
      </c>
      <c r="C64" t="b">
        <v>1</v>
      </c>
      <c r="D64">
        <v>8048</v>
      </c>
      <c r="E64">
        <v>8129</v>
      </c>
      <c r="F64">
        <v>4.8666669999999996</v>
      </c>
      <c r="G64">
        <v>8.4</v>
      </c>
      <c r="H64">
        <v>0.57936513000000001</v>
      </c>
      <c r="I64">
        <v>0.42063486999999999</v>
      </c>
      <c r="J64">
        <v>0.63316583999999998</v>
      </c>
    </row>
    <row r="65" spans="1:10" x14ac:dyDescent="0.3">
      <c r="A65">
        <v>63</v>
      </c>
      <c r="B65">
        <v>1007</v>
      </c>
      <c r="C65" t="b">
        <v>1</v>
      </c>
      <c r="D65">
        <v>8048</v>
      </c>
      <c r="E65">
        <v>8123</v>
      </c>
      <c r="F65">
        <v>4.8666669999999996</v>
      </c>
      <c r="G65">
        <v>8</v>
      </c>
      <c r="H65">
        <v>0.60833334999999999</v>
      </c>
      <c r="I65">
        <v>0.39166665000000001</v>
      </c>
      <c r="J65">
        <v>0.62176169999999997</v>
      </c>
    </row>
    <row r="66" spans="1:10" x14ac:dyDescent="0.3">
      <c r="A66">
        <v>64</v>
      </c>
      <c r="B66">
        <v>1023</v>
      </c>
      <c r="C66" t="b">
        <v>1</v>
      </c>
      <c r="D66">
        <v>8048</v>
      </c>
      <c r="E66">
        <v>8123</v>
      </c>
      <c r="F66">
        <v>4.8666669999999996</v>
      </c>
      <c r="G66">
        <v>8</v>
      </c>
      <c r="H66">
        <v>0.60833334999999999</v>
      </c>
      <c r="I66">
        <v>0.39166665000000001</v>
      </c>
      <c r="J66">
        <v>0.62176169999999997</v>
      </c>
    </row>
    <row r="67" spans="1:10" x14ac:dyDescent="0.3">
      <c r="A67">
        <v>65</v>
      </c>
      <c r="B67">
        <v>1038</v>
      </c>
      <c r="C67" t="b">
        <v>1</v>
      </c>
      <c r="D67">
        <v>8048</v>
      </c>
      <c r="E67">
        <v>8129</v>
      </c>
      <c r="F67">
        <v>4.8666669999999996</v>
      </c>
      <c r="G67">
        <v>8</v>
      </c>
      <c r="H67">
        <v>0.60833334999999999</v>
      </c>
      <c r="I67">
        <v>0.39166665000000001</v>
      </c>
      <c r="J67">
        <v>0.62176169999999997</v>
      </c>
    </row>
    <row r="68" spans="1:10" x14ac:dyDescent="0.3">
      <c r="A68">
        <v>66</v>
      </c>
      <c r="B68">
        <v>1055</v>
      </c>
      <c r="C68" t="b">
        <v>1</v>
      </c>
      <c r="D68">
        <v>8048</v>
      </c>
      <c r="E68">
        <v>8123</v>
      </c>
      <c r="F68">
        <v>4.8666669999999996</v>
      </c>
      <c r="G68">
        <v>8</v>
      </c>
      <c r="H68">
        <v>0.60833334999999999</v>
      </c>
      <c r="I68">
        <v>0.39166665000000001</v>
      </c>
      <c r="J68">
        <v>0.62176169999999997</v>
      </c>
    </row>
    <row r="69" spans="1:10" x14ac:dyDescent="0.3">
      <c r="A69">
        <v>67</v>
      </c>
      <c r="B69">
        <v>1070</v>
      </c>
      <c r="C69" t="b">
        <v>1</v>
      </c>
      <c r="D69">
        <v>8042</v>
      </c>
      <c r="E69">
        <v>8129</v>
      </c>
      <c r="F69">
        <v>4.8666669999999996</v>
      </c>
      <c r="G69">
        <v>8</v>
      </c>
      <c r="H69">
        <v>0.60833334999999999</v>
      </c>
      <c r="I69">
        <v>0.39166665000000001</v>
      </c>
      <c r="J69">
        <v>0.62176169999999997</v>
      </c>
    </row>
    <row r="70" spans="1:10" x14ac:dyDescent="0.3">
      <c r="A70">
        <v>68</v>
      </c>
      <c r="B70">
        <v>1086</v>
      </c>
      <c r="C70" t="b">
        <v>1</v>
      </c>
      <c r="D70">
        <v>8042</v>
      </c>
      <c r="E70">
        <v>8123</v>
      </c>
      <c r="F70">
        <v>5.266667</v>
      </c>
      <c r="G70">
        <v>8</v>
      </c>
      <c r="H70">
        <v>0.65833335999999998</v>
      </c>
      <c r="I70">
        <v>0.34166664000000002</v>
      </c>
      <c r="J70">
        <v>0.60301506999999999</v>
      </c>
    </row>
    <row r="71" spans="1:10" x14ac:dyDescent="0.3">
      <c r="A71">
        <v>69</v>
      </c>
      <c r="B71">
        <v>1102</v>
      </c>
      <c r="C71" t="b">
        <v>1</v>
      </c>
      <c r="D71">
        <v>8048</v>
      </c>
      <c r="E71">
        <v>8123</v>
      </c>
      <c r="F71">
        <v>5.266667</v>
      </c>
      <c r="G71">
        <v>8</v>
      </c>
      <c r="H71">
        <v>0.65833335999999998</v>
      </c>
      <c r="I71">
        <v>0.34166664000000002</v>
      </c>
      <c r="J71">
        <v>0.60301506999999999</v>
      </c>
    </row>
    <row r="72" spans="1:10" x14ac:dyDescent="0.3">
      <c r="A72">
        <v>70</v>
      </c>
      <c r="B72">
        <v>1118</v>
      </c>
      <c r="C72" t="b">
        <v>1</v>
      </c>
      <c r="D72">
        <v>8048</v>
      </c>
      <c r="E72">
        <v>8123</v>
      </c>
      <c r="F72">
        <v>5.6666664999999998</v>
      </c>
      <c r="G72">
        <v>8</v>
      </c>
      <c r="H72">
        <v>0.70833330000000005</v>
      </c>
      <c r="I72">
        <v>0.2916667</v>
      </c>
      <c r="J72">
        <v>0.58536589999999999</v>
      </c>
    </row>
    <row r="73" spans="1:10" x14ac:dyDescent="0.3">
      <c r="A73">
        <v>71</v>
      </c>
      <c r="B73">
        <v>1133</v>
      </c>
      <c r="C73" t="b">
        <v>1</v>
      </c>
      <c r="D73">
        <v>8048</v>
      </c>
      <c r="E73">
        <v>8123</v>
      </c>
      <c r="F73">
        <v>6.4</v>
      </c>
      <c r="G73">
        <v>8</v>
      </c>
      <c r="H73">
        <v>0.8</v>
      </c>
      <c r="I73">
        <v>0.19999998999999999</v>
      </c>
      <c r="J73">
        <v>0.55555560000000004</v>
      </c>
    </row>
    <row r="74" spans="1:10" x14ac:dyDescent="0.3">
      <c r="A74">
        <v>72</v>
      </c>
      <c r="B74">
        <v>1150</v>
      </c>
      <c r="C74" t="b">
        <v>1</v>
      </c>
      <c r="D74">
        <v>8048</v>
      </c>
      <c r="E74">
        <v>8123</v>
      </c>
      <c r="F74">
        <v>6.8</v>
      </c>
      <c r="G74">
        <v>8</v>
      </c>
      <c r="H74">
        <v>0.85</v>
      </c>
      <c r="I74">
        <v>0.14999998</v>
      </c>
      <c r="J74">
        <v>0.54054049999999998</v>
      </c>
    </row>
    <row r="75" spans="1:10" x14ac:dyDescent="0.3">
      <c r="A75">
        <v>73</v>
      </c>
      <c r="B75">
        <v>1166</v>
      </c>
      <c r="C75" t="b">
        <v>1</v>
      </c>
      <c r="D75">
        <v>8048</v>
      </c>
      <c r="E75">
        <v>8123</v>
      </c>
      <c r="F75">
        <v>7.2</v>
      </c>
      <c r="G75">
        <v>8</v>
      </c>
      <c r="H75">
        <v>0.9</v>
      </c>
      <c r="I75">
        <v>0.10000002400000001</v>
      </c>
      <c r="J75">
        <v>0.5263158</v>
      </c>
    </row>
    <row r="76" spans="1:10" x14ac:dyDescent="0.3">
      <c r="A76">
        <v>74</v>
      </c>
      <c r="B76">
        <v>1181</v>
      </c>
      <c r="C76" t="b">
        <v>1</v>
      </c>
      <c r="D76">
        <v>8048</v>
      </c>
      <c r="E76">
        <v>8123</v>
      </c>
      <c r="F76">
        <v>7.6</v>
      </c>
      <c r="G76">
        <v>8</v>
      </c>
      <c r="H76">
        <v>0.95</v>
      </c>
      <c r="I76">
        <v>5.0000012000000003E-2</v>
      </c>
      <c r="J76">
        <v>0.51282050000000001</v>
      </c>
    </row>
    <row r="77" spans="1:10" x14ac:dyDescent="0.3">
      <c r="A77">
        <v>75</v>
      </c>
      <c r="B77">
        <v>1197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1213</v>
      </c>
      <c r="C78" t="b">
        <v>1</v>
      </c>
      <c r="D78">
        <v>8042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1229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1245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1277</v>
      </c>
      <c r="C82" t="b">
        <v>1</v>
      </c>
      <c r="D82">
        <v>8042</v>
      </c>
      <c r="E82">
        <v>8117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8123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1308</v>
      </c>
      <c r="C84" t="b">
        <v>1</v>
      </c>
      <c r="D84">
        <v>8042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1341</v>
      </c>
      <c r="C86" t="b">
        <v>1</v>
      </c>
      <c r="D86">
        <v>8054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8117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1372</v>
      </c>
      <c r="C88" t="b">
        <v>1</v>
      </c>
      <c r="D88">
        <v>8048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1388</v>
      </c>
      <c r="C89" t="b">
        <v>1</v>
      </c>
      <c r="D89">
        <v>8048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1404</v>
      </c>
      <c r="C90" t="b">
        <v>1</v>
      </c>
      <c r="D90">
        <v>8048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1435</v>
      </c>
      <c r="C92" t="b">
        <v>1</v>
      </c>
      <c r="D92">
        <v>8048</v>
      </c>
      <c r="E92">
        <v>8111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1451</v>
      </c>
      <c r="C93" t="b">
        <v>1</v>
      </c>
      <c r="D93">
        <v>8042</v>
      </c>
      <c r="E93">
        <v>8117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1467</v>
      </c>
      <c r="C94" t="b">
        <v>1</v>
      </c>
      <c r="D94">
        <v>8048</v>
      </c>
      <c r="E94">
        <v>8123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1483</v>
      </c>
      <c r="C95" t="b">
        <v>1</v>
      </c>
      <c r="D95">
        <v>8042</v>
      </c>
      <c r="E95">
        <v>8117</v>
      </c>
      <c r="F95">
        <v>8</v>
      </c>
      <c r="G95">
        <v>7.6</v>
      </c>
      <c r="H95">
        <v>1.0526316</v>
      </c>
      <c r="I95">
        <v>-5.2631589999999999E-2</v>
      </c>
      <c r="J95">
        <v>0.48717946000000001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8117</v>
      </c>
      <c r="F96">
        <v>8</v>
      </c>
      <c r="G96">
        <v>7.2</v>
      </c>
      <c r="H96">
        <v>1.1111112000000001</v>
      </c>
      <c r="I96">
        <v>-0.11111114</v>
      </c>
      <c r="J96">
        <v>0.4736842</v>
      </c>
    </row>
    <row r="97" spans="1:10" x14ac:dyDescent="0.3">
      <c r="A97">
        <v>95</v>
      </c>
      <c r="B97">
        <v>1514</v>
      </c>
      <c r="C97" t="b">
        <v>1</v>
      </c>
      <c r="D97">
        <v>8042</v>
      </c>
      <c r="E97">
        <v>8123</v>
      </c>
      <c r="F97">
        <v>7.6</v>
      </c>
      <c r="G97">
        <v>6.8</v>
      </c>
      <c r="H97">
        <v>1.1176470000000001</v>
      </c>
      <c r="I97">
        <v>-0.11764701499999999</v>
      </c>
      <c r="J97">
        <v>0.47222224000000002</v>
      </c>
    </row>
    <row r="98" spans="1:10" x14ac:dyDescent="0.3">
      <c r="A98">
        <v>96</v>
      </c>
      <c r="B98">
        <v>1530</v>
      </c>
      <c r="C98" t="b">
        <v>1</v>
      </c>
      <c r="D98">
        <v>8042</v>
      </c>
      <c r="E98">
        <v>8123</v>
      </c>
      <c r="F98">
        <v>7.2</v>
      </c>
      <c r="G98">
        <v>6.8</v>
      </c>
      <c r="H98">
        <v>1.0588234999999999</v>
      </c>
      <c r="I98">
        <v>-5.8823470000000003E-2</v>
      </c>
      <c r="J98">
        <v>0.48571429999999999</v>
      </c>
    </row>
    <row r="99" spans="1:10" x14ac:dyDescent="0.3">
      <c r="A99">
        <v>97</v>
      </c>
      <c r="B99">
        <v>1546</v>
      </c>
      <c r="C99" t="b">
        <v>1</v>
      </c>
      <c r="D99">
        <v>8054</v>
      </c>
      <c r="E99">
        <v>8123</v>
      </c>
      <c r="F99">
        <v>6.8</v>
      </c>
      <c r="G99">
        <v>6.8</v>
      </c>
      <c r="H99">
        <v>1</v>
      </c>
      <c r="I99">
        <v>0</v>
      </c>
      <c r="J99">
        <v>0.5</v>
      </c>
    </row>
    <row r="100" spans="1:10" x14ac:dyDescent="0.3">
      <c r="A100">
        <v>98</v>
      </c>
      <c r="B100">
        <v>1562</v>
      </c>
      <c r="C100" t="b">
        <v>1</v>
      </c>
      <c r="D100">
        <v>8054</v>
      </c>
      <c r="E100">
        <v>8123</v>
      </c>
      <c r="F100">
        <v>6.8</v>
      </c>
      <c r="G100">
        <v>6.8</v>
      </c>
      <c r="H100">
        <v>1</v>
      </c>
      <c r="I100">
        <v>0</v>
      </c>
      <c r="J100">
        <v>0.5</v>
      </c>
    </row>
    <row r="101" spans="1:10" x14ac:dyDescent="0.3">
      <c r="A101">
        <v>99</v>
      </c>
      <c r="B101">
        <v>1578</v>
      </c>
      <c r="C101" t="b">
        <v>1</v>
      </c>
      <c r="D101">
        <v>8048</v>
      </c>
      <c r="E101">
        <v>8123</v>
      </c>
      <c r="F101">
        <v>6.8</v>
      </c>
      <c r="G101">
        <v>6.8</v>
      </c>
      <c r="H101">
        <v>1</v>
      </c>
      <c r="I101">
        <v>0</v>
      </c>
      <c r="J101">
        <v>0.5</v>
      </c>
    </row>
    <row r="102" spans="1:10" x14ac:dyDescent="0.3">
      <c r="A102">
        <v>100</v>
      </c>
      <c r="B102">
        <v>1594</v>
      </c>
      <c r="C102" t="b">
        <v>1</v>
      </c>
      <c r="D102">
        <v>8054</v>
      </c>
      <c r="E102">
        <v>8117</v>
      </c>
      <c r="F102">
        <v>7.2</v>
      </c>
      <c r="G102">
        <v>6.8</v>
      </c>
      <c r="H102">
        <v>1.0588234999999999</v>
      </c>
      <c r="I102">
        <v>-5.8823470000000003E-2</v>
      </c>
      <c r="J102">
        <v>0.48571429999999999</v>
      </c>
    </row>
    <row r="103" spans="1:10" x14ac:dyDescent="0.3">
      <c r="A103">
        <v>101</v>
      </c>
      <c r="B103">
        <v>1610</v>
      </c>
      <c r="C103" t="b">
        <v>1</v>
      </c>
      <c r="D103">
        <v>8054</v>
      </c>
      <c r="E103">
        <v>8123</v>
      </c>
      <c r="F103">
        <v>7.6</v>
      </c>
      <c r="G103">
        <v>6.8</v>
      </c>
      <c r="H103">
        <v>1.1176470000000001</v>
      </c>
      <c r="I103">
        <v>-0.11764701499999999</v>
      </c>
      <c r="J103">
        <v>0.47222224000000002</v>
      </c>
    </row>
    <row r="104" spans="1:10" x14ac:dyDescent="0.3">
      <c r="A104">
        <v>102</v>
      </c>
      <c r="B104">
        <v>1626</v>
      </c>
      <c r="C104" t="b">
        <v>1</v>
      </c>
      <c r="D104">
        <v>8054</v>
      </c>
      <c r="E104">
        <v>8129</v>
      </c>
      <c r="F104">
        <v>8</v>
      </c>
      <c r="G104">
        <v>6.8</v>
      </c>
      <c r="H104">
        <v>1.1764705</v>
      </c>
      <c r="I104">
        <v>-0.17647055</v>
      </c>
      <c r="J104">
        <v>0.45945944999999999</v>
      </c>
    </row>
    <row r="105" spans="1:10" x14ac:dyDescent="0.3">
      <c r="A105">
        <v>103</v>
      </c>
      <c r="B105">
        <v>1642</v>
      </c>
      <c r="C105" t="b">
        <v>1</v>
      </c>
      <c r="D105">
        <v>8048</v>
      </c>
      <c r="E105">
        <v>8129</v>
      </c>
      <c r="F105">
        <v>8.4</v>
      </c>
      <c r="G105">
        <v>6.8</v>
      </c>
      <c r="H105">
        <v>1.2352939999999999</v>
      </c>
      <c r="I105">
        <v>-0.23529402999999999</v>
      </c>
      <c r="J105">
        <v>0.44736843999999998</v>
      </c>
    </row>
    <row r="106" spans="1:10" x14ac:dyDescent="0.3">
      <c r="A106">
        <v>104</v>
      </c>
      <c r="B106">
        <v>1658</v>
      </c>
      <c r="C106" t="b">
        <v>1</v>
      </c>
      <c r="D106">
        <v>8048</v>
      </c>
      <c r="E106">
        <v>8134</v>
      </c>
      <c r="F106">
        <v>8.8000000000000007</v>
      </c>
      <c r="G106">
        <v>7.2</v>
      </c>
      <c r="H106">
        <v>1.2222223000000001</v>
      </c>
      <c r="I106">
        <v>-0.22222227999999999</v>
      </c>
      <c r="J106">
        <v>0.45</v>
      </c>
    </row>
    <row r="107" spans="1:10" x14ac:dyDescent="0.3">
      <c r="A107">
        <v>105</v>
      </c>
      <c r="B107">
        <v>1674</v>
      </c>
      <c r="C107" t="b">
        <v>1</v>
      </c>
      <c r="D107">
        <v>8048</v>
      </c>
      <c r="E107">
        <v>8129</v>
      </c>
      <c r="F107">
        <v>8.8000000000000007</v>
      </c>
      <c r="G107">
        <v>7.6</v>
      </c>
      <c r="H107">
        <v>1.1578946999999999</v>
      </c>
      <c r="I107">
        <v>-0.15789478000000001</v>
      </c>
      <c r="J107">
        <v>0.46341463999999999</v>
      </c>
    </row>
    <row r="108" spans="1:10" x14ac:dyDescent="0.3">
      <c r="A108">
        <v>106</v>
      </c>
      <c r="B108">
        <v>1689</v>
      </c>
      <c r="C108" t="b">
        <v>1</v>
      </c>
      <c r="D108">
        <v>8048</v>
      </c>
      <c r="E108">
        <v>8129</v>
      </c>
      <c r="F108">
        <v>8.8000000000000007</v>
      </c>
      <c r="G108">
        <v>8</v>
      </c>
      <c r="H108">
        <v>1.1000000000000001</v>
      </c>
      <c r="I108">
        <v>-0.10000002400000001</v>
      </c>
      <c r="J108">
        <v>0.47619050000000002</v>
      </c>
    </row>
    <row r="109" spans="1:10" x14ac:dyDescent="0.3">
      <c r="A109">
        <v>107</v>
      </c>
      <c r="B109">
        <v>1705</v>
      </c>
      <c r="C109" t="b">
        <v>1</v>
      </c>
      <c r="D109">
        <v>8042</v>
      </c>
      <c r="E109">
        <v>8129</v>
      </c>
      <c r="F109">
        <v>8.8000000000000007</v>
      </c>
      <c r="G109">
        <v>8.4</v>
      </c>
      <c r="H109">
        <v>1.0476190999999999</v>
      </c>
      <c r="I109">
        <v>-4.7619120000000001E-2</v>
      </c>
      <c r="J109">
        <v>0.48837206</v>
      </c>
    </row>
    <row r="110" spans="1:10" x14ac:dyDescent="0.3">
      <c r="A110">
        <v>108</v>
      </c>
      <c r="B110">
        <v>1721</v>
      </c>
      <c r="C110" t="b">
        <v>1</v>
      </c>
      <c r="D110">
        <v>8048</v>
      </c>
      <c r="E110">
        <v>8123</v>
      </c>
      <c r="F110">
        <v>8.8000000000000007</v>
      </c>
      <c r="G110">
        <v>9.1999999999999993</v>
      </c>
      <c r="H110">
        <v>0.95652179999999998</v>
      </c>
      <c r="I110">
        <v>4.3478219999999998E-2</v>
      </c>
      <c r="J110">
        <v>0.51111110000000004</v>
      </c>
    </row>
    <row r="111" spans="1:10" x14ac:dyDescent="0.3">
      <c r="A111">
        <v>109</v>
      </c>
      <c r="B111">
        <v>1737</v>
      </c>
      <c r="C111" t="b">
        <v>1</v>
      </c>
      <c r="D111">
        <v>8048</v>
      </c>
      <c r="E111">
        <v>8123</v>
      </c>
      <c r="F111">
        <v>8.8000000000000007</v>
      </c>
      <c r="G111">
        <v>10</v>
      </c>
      <c r="H111">
        <v>0.88</v>
      </c>
      <c r="I111">
        <v>0.11999998000000001</v>
      </c>
      <c r="J111">
        <v>0.53191489999999997</v>
      </c>
    </row>
    <row r="112" spans="1:10" x14ac:dyDescent="0.3">
      <c r="A112">
        <v>110</v>
      </c>
      <c r="B112">
        <v>1753</v>
      </c>
      <c r="C112" t="b">
        <v>1</v>
      </c>
      <c r="D112">
        <v>8048</v>
      </c>
      <c r="E112">
        <v>8117</v>
      </c>
      <c r="F112">
        <v>9.1999999999999993</v>
      </c>
      <c r="G112">
        <v>10.4</v>
      </c>
      <c r="H112">
        <v>0.88461540000000005</v>
      </c>
      <c r="I112">
        <v>0.1153846</v>
      </c>
      <c r="J112">
        <v>0.53061230000000004</v>
      </c>
    </row>
    <row r="113" spans="1:10" x14ac:dyDescent="0.3">
      <c r="A113">
        <v>111</v>
      </c>
      <c r="B113">
        <v>1769</v>
      </c>
      <c r="C113" t="b">
        <v>1</v>
      </c>
      <c r="D113">
        <v>8054</v>
      </c>
      <c r="E113">
        <v>8129</v>
      </c>
      <c r="F113">
        <v>9.6</v>
      </c>
      <c r="G113">
        <v>10.4</v>
      </c>
      <c r="H113">
        <v>0.92307700000000004</v>
      </c>
      <c r="I113">
        <v>7.6923005000000003E-2</v>
      </c>
      <c r="J113">
        <v>0.52</v>
      </c>
    </row>
    <row r="114" spans="1:10" x14ac:dyDescent="0.3">
      <c r="A114">
        <v>112</v>
      </c>
      <c r="B114">
        <v>1785</v>
      </c>
      <c r="C114" t="b">
        <v>1</v>
      </c>
      <c r="D114">
        <v>8048</v>
      </c>
      <c r="E114">
        <v>8123</v>
      </c>
      <c r="F114">
        <v>10</v>
      </c>
      <c r="G114">
        <v>10.4</v>
      </c>
      <c r="H114">
        <v>0.96153849999999996</v>
      </c>
      <c r="I114">
        <v>3.8461503000000001E-2</v>
      </c>
      <c r="J114">
        <v>0.50980389999999998</v>
      </c>
    </row>
    <row r="115" spans="1:10" x14ac:dyDescent="0.3">
      <c r="A115">
        <v>113</v>
      </c>
      <c r="B115">
        <v>1800</v>
      </c>
      <c r="C115" t="b">
        <v>1</v>
      </c>
      <c r="D115">
        <v>8054</v>
      </c>
      <c r="E115">
        <v>8117</v>
      </c>
      <c r="F115">
        <v>10</v>
      </c>
      <c r="G115">
        <v>10.4</v>
      </c>
      <c r="H115">
        <v>0.96153849999999996</v>
      </c>
      <c r="I115">
        <v>3.8461503000000001E-2</v>
      </c>
      <c r="J115">
        <v>0.50980389999999998</v>
      </c>
    </row>
    <row r="116" spans="1:10" x14ac:dyDescent="0.3">
      <c r="A116">
        <v>114</v>
      </c>
      <c r="B116">
        <v>1816</v>
      </c>
      <c r="C116" t="b">
        <v>1</v>
      </c>
      <c r="D116">
        <v>8042</v>
      </c>
      <c r="E116">
        <v>8123</v>
      </c>
      <c r="F116">
        <v>10</v>
      </c>
      <c r="G116">
        <v>10.4</v>
      </c>
      <c r="H116">
        <v>0.96153849999999996</v>
      </c>
      <c r="I116">
        <v>3.8461503000000001E-2</v>
      </c>
      <c r="J116">
        <v>0.50980389999999998</v>
      </c>
    </row>
    <row r="117" spans="1:10" x14ac:dyDescent="0.3">
      <c r="A117">
        <v>115</v>
      </c>
      <c r="B117">
        <v>1832</v>
      </c>
      <c r="C117" t="b">
        <v>1</v>
      </c>
      <c r="D117">
        <v>8048</v>
      </c>
      <c r="E117">
        <v>8123</v>
      </c>
      <c r="F117">
        <v>9.6</v>
      </c>
      <c r="G117">
        <v>10.4</v>
      </c>
      <c r="H117">
        <v>0.92307700000000004</v>
      </c>
      <c r="I117">
        <v>7.6923005000000003E-2</v>
      </c>
      <c r="J117">
        <v>0.52</v>
      </c>
    </row>
    <row r="118" spans="1:10" x14ac:dyDescent="0.3">
      <c r="A118">
        <v>116</v>
      </c>
      <c r="B118">
        <v>1848</v>
      </c>
      <c r="C118" t="b">
        <v>1</v>
      </c>
      <c r="D118">
        <v>8048</v>
      </c>
      <c r="E118">
        <v>8123</v>
      </c>
      <c r="F118">
        <v>9.1999999999999993</v>
      </c>
      <c r="G118">
        <v>10.4</v>
      </c>
      <c r="H118">
        <v>0.88461540000000005</v>
      </c>
      <c r="I118">
        <v>0.1153846</v>
      </c>
      <c r="J118">
        <v>0.53061230000000004</v>
      </c>
    </row>
    <row r="119" spans="1:10" x14ac:dyDescent="0.3">
      <c r="A119">
        <v>117</v>
      </c>
      <c r="B119">
        <v>1864</v>
      </c>
      <c r="C119" t="b">
        <v>1</v>
      </c>
      <c r="D119">
        <v>8048</v>
      </c>
      <c r="E119">
        <v>8123</v>
      </c>
      <c r="F119">
        <v>8.8000000000000007</v>
      </c>
      <c r="G119">
        <v>10.4</v>
      </c>
      <c r="H119">
        <v>0.84615390000000001</v>
      </c>
      <c r="I119">
        <v>0.15384610000000001</v>
      </c>
      <c r="J119">
        <v>0.5416666</v>
      </c>
    </row>
    <row r="120" spans="1:10" x14ac:dyDescent="0.3">
      <c r="A120">
        <v>118</v>
      </c>
      <c r="B120">
        <v>1880</v>
      </c>
      <c r="C120" t="b">
        <v>1</v>
      </c>
      <c r="D120">
        <v>8048</v>
      </c>
      <c r="E120">
        <v>8123</v>
      </c>
      <c r="F120">
        <v>8.4</v>
      </c>
      <c r="G120">
        <v>10.4</v>
      </c>
      <c r="H120">
        <v>0.80769230000000003</v>
      </c>
      <c r="I120">
        <v>0.1923077</v>
      </c>
      <c r="J120">
        <v>0.55319149999999995</v>
      </c>
    </row>
    <row r="121" spans="1:10" x14ac:dyDescent="0.3">
      <c r="A121">
        <v>119</v>
      </c>
      <c r="B121">
        <v>1896</v>
      </c>
      <c r="C121" t="b">
        <v>1</v>
      </c>
      <c r="D121">
        <v>8042</v>
      </c>
      <c r="E121">
        <v>8134</v>
      </c>
      <c r="F121">
        <v>8</v>
      </c>
      <c r="G121">
        <v>10</v>
      </c>
      <c r="H121">
        <v>0.8</v>
      </c>
      <c r="I121">
        <v>0.2</v>
      </c>
      <c r="J121">
        <v>0.55555560000000004</v>
      </c>
    </row>
    <row r="122" spans="1:10" x14ac:dyDescent="0.3">
      <c r="A122">
        <v>120</v>
      </c>
      <c r="B122">
        <v>1912</v>
      </c>
      <c r="C122" t="b">
        <v>1</v>
      </c>
      <c r="D122">
        <v>8048</v>
      </c>
      <c r="E122">
        <v>8123</v>
      </c>
      <c r="F122">
        <v>8</v>
      </c>
      <c r="G122">
        <v>9.6</v>
      </c>
      <c r="H122">
        <v>0.83333330000000005</v>
      </c>
      <c r="I122">
        <v>0.1666667</v>
      </c>
      <c r="J122">
        <v>0.54545456000000003</v>
      </c>
    </row>
    <row r="123" spans="1:10" x14ac:dyDescent="0.3">
      <c r="A123">
        <v>121</v>
      </c>
      <c r="B123">
        <v>1928</v>
      </c>
      <c r="C123" t="b">
        <v>1</v>
      </c>
      <c r="D123">
        <v>8042</v>
      </c>
      <c r="E123">
        <v>8123</v>
      </c>
      <c r="F123">
        <v>8</v>
      </c>
      <c r="G123">
        <v>9.1999999999999993</v>
      </c>
      <c r="H123">
        <v>0.86956524999999996</v>
      </c>
      <c r="I123">
        <v>0.13043477000000001</v>
      </c>
      <c r="J123">
        <v>0.53488369999999996</v>
      </c>
    </row>
    <row r="124" spans="1:10" x14ac:dyDescent="0.3">
      <c r="A124">
        <v>122</v>
      </c>
      <c r="B124">
        <v>1944</v>
      </c>
      <c r="C124" t="b">
        <v>1</v>
      </c>
      <c r="D124">
        <v>8048</v>
      </c>
      <c r="E124">
        <v>8123</v>
      </c>
      <c r="F124">
        <v>8</v>
      </c>
      <c r="G124">
        <v>8.8000000000000007</v>
      </c>
      <c r="H124">
        <v>0.90909090000000004</v>
      </c>
      <c r="I124">
        <v>9.0909110000000001E-2</v>
      </c>
      <c r="J124">
        <v>0.52380954999999996</v>
      </c>
    </row>
    <row r="125" spans="1:10" x14ac:dyDescent="0.3">
      <c r="A125">
        <v>123</v>
      </c>
      <c r="B125">
        <v>1959</v>
      </c>
      <c r="C125" t="b">
        <v>1</v>
      </c>
      <c r="D125">
        <v>8048</v>
      </c>
      <c r="E125">
        <v>8123</v>
      </c>
      <c r="F125">
        <v>8</v>
      </c>
      <c r="G125">
        <v>8.4</v>
      </c>
      <c r="H125">
        <v>0.95238100000000003</v>
      </c>
      <c r="I125">
        <v>4.7619003999999999E-2</v>
      </c>
      <c r="J125">
        <v>0.51219510000000001</v>
      </c>
    </row>
    <row r="126" spans="1:10" x14ac:dyDescent="0.3">
      <c r="A126">
        <v>124</v>
      </c>
      <c r="B126">
        <v>1975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1991</v>
      </c>
      <c r="C127" t="b">
        <v>1</v>
      </c>
      <c r="D127">
        <v>8042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2007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2023</v>
      </c>
      <c r="C129" t="b">
        <v>1</v>
      </c>
      <c r="D129">
        <v>8048</v>
      </c>
      <c r="E129">
        <v>8117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2039</v>
      </c>
      <c r="C130" t="b">
        <v>1</v>
      </c>
      <c r="D130">
        <v>8048</v>
      </c>
      <c r="E130">
        <v>8117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2055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2070</v>
      </c>
      <c r="C132" t="b">
        <v>1</v>
      </c>
      <c r="D132">
        <v>8048</v>
      </c>
      <c r="E132">
        <v>8117</v>
      </c>
      <c r="F132">
        <v>8</v>
      </c>
      <c r="G132">
        <v>7.6</v>
      </c>
      <c r="H132">
        <v>1.0526316</v>
      </c>
      <c r="I132">
        <v>-5.2631589999999999E-2</v>
      </c>
      <c r="J132">
        <v>0.48717946000000001</v>
      </c>
    </row>
    <row r="133" spans="1:10" x14ac:dyDescent="0.3">
      <c r="A133">
        <v>131</v>
      </c>
      <c r="B133">
        <v>2086</v>
      </c>
      <c r="C133" t="b">
        <v>1</v>
      </c>
      <c r="D133">
        <v>8042</v>
      </c>
      <c r="E133">
        <v>8117</v>
      </c>
      <c r="F133">
        <v>8</v>
      </c>
      <c r="G133">
        <v>7.2</v>
      </c>
      <c r="H133">
        <v>1.1111112000000001</v>
      </c>
      <c r="I133">
        <v>-0.11111114</v>
      </c>
      <c r="J133">
        <v>0.4736842</v>
      </c>
    </row>
    <row r="134" spans="1:10" x14ac:dyDescent="0.3">
      <c r="A134">
        <v>132</v>
      </c>
      <c r="B134">
        <v>2102</v>
      </c>
      <c r="C134" t="b">
        <v>1</v>
      </c>
      <c r="D134">
        <v>8048</v>
      </c>
      <c r="E134">
        <v>8123</v>
      </c>
      <c r="F134">
        <v>8</v>
      </c>
      <c r="G134">
        <v>6.8</v>
      </c>
      <c r="H134">
        <v>1.1764705</v>
      </c>
      <c r="I134">
        <v>-0.17647055</v>
      </c>
      <c r="J134">
        <v>0.45945944999999999</v>
      </c>
    </row>
    <row r="135" spans="1:10" x14ac:dyDescent="0.3">
      <c r="A135">
        <v>133</v>
      </c>
      <c r="B135">
        <v>2118</v>
      </c>
      <c r="C135" t="b">
        <v>1</v>
      </c>
      <c r="D135">
        <v>8042</v>
      </c>
      <c r="E135">
        <v>8123</v>
      </c>
      <c r="F135">
        <v>8</v>
      </c>
      <c r="G135">
        <v>6.8</v>
      </c>
      <c r="H135">
        <v>1.1764705</v>
      </c>
      <c r="I135">
        <v>-0.17647055</v>
      </c>
      <c r="J135">
        <v>0.45945944999999999</v>
      </c>
    </row>
    <row r="136" spans="1:10" x14ac:dyDescent="0.3">
      <c r="A136">
        <v>134</v>
      </c>
      <c r="B136">
        <v>2134</v>
      </c>
      <c r="C136" t="b">
        <v>1</v>
      </c>
      <c r="D136">
        <v>8042</v>
      </c>
      <c r="E136">
        <v>8123</v>
      </c>
      <c r="F136">
        <v>7.6</v>
      </c>
      <c r="G136">
        <v>6.8</v>
      </c>
      <c r="H136">
        <v>1.1176470000000001</v>
      </c>
      <c r="I136">
        <v>-0.11764701499999999</v>
      </c>
      <c r="J136">
        <v>0.47222224000000002</v>
      </c>
    </row>
    <row r="137" spans="1:10" x14ac:dyDescent="0.3">
      <c r="A137">
        <v>135</v>
      </c>
      <c r="B137">
        <v>2150</v>
      </c>
      <c r="C137" t="b">
        <v>1</v>
      </c>
      <c r="D137">
        <v>8054</v>
      </c>
      <c r="E137">
        <v>8123</v>
      </c>
      <c r="F137">
        <v>7.2</v>
      </c>
      <c r="G137">
        <v>6.8</v>
      </c>
      <c r="H137">
        <v>1.0588234999999999</v>
      </c>
      <c r="I137">
        <v>-5.8823470000000003E-2</v>
      </c>
      <c r="J137">
        <v>0.48571429999999999</v>
      </c>
    </row>
    <row r="138" spans="1:10" x14ac:dyDescent="0.3">
      <c r="A138">
        <v>136</v>
      </c>
      <c r="B138">
        <v>2166</v>
      </c>
      <c r="C138" t="b">
        <v>1</v>
      </c>
      <c r="D138">
        <v>8054</v>
      </c>
      <c r="E138">
        <v>8123</v>
      </c>
      <c r="F138">
        <v>7.2</v>
      </c>
      <c r="G138">
        <v>6.8</v>
      </c>
      <c r="H138">
        <v>1.0588234999999999</v>
      </c>
      <c r="I138">
        <v>-5.8823470000000003E-2</v>
      </c>
      <c r="J138">
        <v>0.48571429999999999</v>
      </c>
    </row>
    <row r="139" spans="1:10" x14ac:dyDescent="0.3">
      <c r="A139">
        <v>137</v>
      </c>
      <c r="B139">
        <v>2182</v>
      </c>
      <c r="C139" t="b">
        <v>1</v>
      </c>
      <c r="D139">
        <v>8054</v>
      </c>
      <c r="E139">
        <v>8123</v>
      </c>
      <c r="F139">
        <v>7.6</v>
      </c>
      <c r="G139">
        <v>6.8</v>
      </c>
      <c r="H139">
        <v>1.1176470000000001</v>
      </c>
      <c r="I139">
        <v>-0.11764701499999999</v>
      </c>
      <c r="J139">
        <v>0.47222224000000002</v>
      </c>
    </row>
    <row r="140" spans="1:10" x14ac:dyDescent="0.3">
      <c r="A140">
        <v>138</v>
      </c>
      <c r="B140">
        <v>2198</v>
      </c>
      <c r="C140" t="b">
        <v>1</v>
      </c>
      <c r="D140">
        <v>8054</v>
      </c>
      <c r="E140">
        <v>8123</v>
      </c>
      <c r="F140">
        <v>8</v>
      </c>
      <c r="G140">
        <v>6.8</v>
      </c>
      <c r="H140">
        <v>1.1764705</v>
      </c>
      <c r="I140">
        <v>-0.17647055</v>
      </c>
      <c r="J140">
        <v>0.45945944999999999</v>
      </c>
    </row>
    <row r="141" spans="1:10" x14ac:dyDescent="0.3">
      <c r="A141">
        <v>139</v>
      </c>
      <c r="B141">
        <v>2214</v>
      </c>
      <c r="C141" t="b">
        <v>1</v>
      </c>
      <c r="D141">
        <v>8054</v>
      </c>
      <c r="E141">
        <v>8123</v>
      </c>
      <c r="F141">
        <v>8.4</v>
      </c>
      <c r="G141">
        <v>6.8</v>
      </c>
      <c r="H141">
        <v>1.2352939999999999</v>
      </c>
      <c r="I141">
        <v>-0.23529402999999999</v>
      </c>
      <c r="J141">
        <v>0.44736843999999998</v>
      </c>
    </row>
    <row r="142" spans="1:10" x14ac:dyDescent="0.3">
      <c r="A142">
        <v>140</v>
      </c>
      <c r="B142">
        <v>2230</v>
      </c>
      <c r="C142" t="b">
        <v>1</v>
      </c>
      <c r="D142">
        <v>8054</v>
      </c>
      <c r="E142">
        <v>8123</v>
      </c>
      <c r="F142">
        <v>8.8000000000000007</v>
      </c>
      <c r="G142">
        <v>6.8</v>
      </c>
      <c r="H142">
        <v>1.2941176999999999</v>
      </c>
      <c r="I142">
        <v>-0.29411763000000002</v>
      </c>
      <c r="J142">
        <v>0.43589744000000002</v>
      </c>
    </row>
    <row r="143" spans="1:10" x14ac:dyDescent="0.3">
      <c r="A143">
        <v>141</v>
      </c>
      <c r="B143">
        <v>2246</v>
      </c>
      <c r="C143" t="b">
        <v>1</v>
      </c>
      <c r="D143">
        <v>8048</v>
      </c>
      <c r="E143">
        <v>8123</v>
      </c>
      <c r="F143">
        <v>9.1999999999999993</v>
      </c>
      <c r="G143">
        <v>6.8</v>
      </c>
      <c r="H143">
        <v>1.3529412000000001</v>
      </c>
      <c r="I143">
        <v>-0.35294110000000001</v>
      </c>
      <c r="J143">
        <v>0.42499999999999999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8123</v>
      </c>
      <c r="F144">
        <v>9.6</v>
      </c>
      <c r="G144">
        <v>6.8</v>
      </c>
      <c r="H144">
        <v>1.4117647</v>
      </c>
      <c r="I144">
        <v>-0.41176469999999998</v>
      </c>
      <c r="J144">
        <v>0.41463410000000001</v>
      </c>
    </row>
    <row r="145" spans="1:10" x14ac:dyDescent="0.3">
      <c r="A145">
        <v>143</v>
      </c>
      <c r="B145">
        <v>2277</v>
      </c>
      <c r="C145" t="b">
        <v>1</v>
      </c>
      <c r="D145">
        <v>8048</v>
      </c>
      <c r="E145">
        <v>8123</v>
      </c>
      <c r="F145">
        <v>9.6</v>
      </c>
      <c r="G145">
        <v>6.8</v>
      </c>
      <c r="H145">
        <v>1.4117647</v>
      </c>
      <c r="I145">
        <v>-0.41176469999999998</v>
      </c>
      <c r="J145">
        <v>0.41463410000000001</v>
      </c>
    </row>
    <row r="146" spans="1:10" x14ac:dyDescent="0.3">
      <c r="A146">
        <v>144</v>
      </c>
      <c r="B146">
        <v>2293</v>
      </c>
      <c r="C146" t="b">
        <v>1</v>
      </c>
      <c r="D146">
        <v>8048</v>
      </c>
      <c r="E146">
        <v>8123</v>
      </c>
      <c r="F146">
        <v>9.6</v>
      </c>
      <c r="G146">
        <v>6.8</v>
      </c>
      <c r="H146">
        <v>1.4117647</v>
      </c>
      <c r="I146">
        <v>-0.41176469999999998</v>
      </c>
      <c r="J146">
        <v>0.41463410000000001</v>
      </c>
    </row>
    <row r="147" spans="1:10" x14ac:dyDescent="0.3">
      <c r="A147">
        <v>145</v>
      </c>
      <c r="B147">
        <v>2309</v>
      </c>
      <c r="C147" t="b">
        <v>1</v>
      </c>
      <c r="D147">
        <v>8048</v>
      </c>
      <c r="E147">
        <v>8117</v>
      </c>
      <c r="F147">
        <v>9.6</v>
      </c>
      <c r="G147">
        <v>7.2</v>
      </c>
      <c r="H147">
        <v>1.3333333999999999</v>
      </c>
      <c r="I147">
        <v>-0.33333342999999999</v>
      </c>
      <c r="J147">
        <v>0.42857142999999998</v>
      </c>
    </row>
    <row r="148" spans="1:10" x14ac:dyDescent="0.3">
      <c r="A148">
        <v>146</v>
      </c>
      <c r="B148">
        <v>2325</v>
      </c>
      <c r="C148" t="b">
        <v>1</v>
      </c>
      <c r="D148">
        <v>8048</v>
      </c>
      <c r="E148">
        <v>8123</v>
      </c>
      <c r="F148">
        <v>9.6</v>
      </c>
      <c r="G148">
        <v>7.6</v>
      </c>
      <c r="H148">
        <v>1.263158</v>
      </c>
      <c r="I148">
        <v>-0.26315796000000002</v>
      </c>
      <c r="J148">
        <v>0.44186044000000002</v>
      </c>
    </row>
    <row r="149" spans="1:10" x14ac:dyDescent="0.3">
      <c r="A149">
        <v>147</v>
      </c>
      <c r="B149">
        <v>2341</v>
      </c>
      <c r="C149" t="b">
        <v>1</v>
      </c>
      <c r="D149">
        <v>8048</v>
      </c>
      <c r="E149">
        <v>8117</v>
      </c>
      <c r="F149">
        <v>9.6</v>
      </c>
      <c r="G149">
        <v>8</v>
      </c>
      <c r="H149">
        <v>1.2</v>
      </c>
      <c r="I149">
        <v>-0.20000005000000001</v>
      </c>
      <c r="J149">
        <v>0.45454544000000002</v>
      </c>
    </row>
    <row r="150" spans="1:10" x14ac:dyDescent="0.3">
      <c r="A150">
        <v>148</v>
      </c>
      <c r="B150">
        <v>2357</v>
      </c>
      <c r="C150" t="b">
        <v>1</v>
      </c>
      <c r="D150">
        <v>8048</v>
      </c>
      <c r="E150">
        <v>8123</v>
      </c>
      <c r="F150">
        <v>9.6</v>
      </c>
      <c r="G150">
        <v>8</v>
      </c>
      <c r="H150">
        <v>1.2</v>
      </c>
      <c r="I150">
        <v>-0.20000005000000001</v>
      </c>
      <c r="J150">
        <v>0.45454544000000002</v>
      </c>
    </row>
    <row r="151" spans="1:10" x14ac:dyDescent="0.3">
      <c r="A151">
        <v>149</v>
      </c>
      <c r="B151">
        <v>2373</v>
      </c>
      <c r="C151" t="b">
        <v>1</v>
      </c>
      <c r="D151">
        <v>8042</v>
      </c>
      <c r="E151">
        <v>8117</v>
      </c>
      <c r="F151">
        <v>10</v>
      </c>
      <c r="G151">
        <v>7.6</v>
      </c>
      <c r="H151">
        <v>1.3157894999999999</v>
      </c>
      <c r="I151">
        <v>-0.3157895</v>
      </c>
      <c r="J151">
        <v>0.43181816000000001</v>
      </c>
    </row>
    <row r="152" spans="1:10" x14ac:dyDescent="0.3">
      <c r="A152">
        <v>150</v>
      </c>
      <c r="B152">
        <v>2388</v>
      </c>
      <c r="C152" t="b">
        <v>1</v>
      </c>
      <c r="D152">
        <v>8048</v>
      </c>
      <c r="E152">
        <v>8123</v>
      </c>
      <c r="F152">
        <v>10.4</v>
      </c>
      <c r="G152">
        <v>7.6</v>
      </c>
      <c r="H152">
        <v>1.3684210999999999</v>
      </c>
      <c r="I152">
        <v>-0.36842101999999999</v>
      </c>
      <c r="J152">
        <v>0.42222222999999998</v>
      </c>
    </row>
    <row r="153" spans="1:10" x14ac:dyDescent="0.3">
      <c r="A153">
        <v>151</v>
      </c>
      <c r="B153">
        <v>2404</v>
      </c>
      <c r="C153" t="b">
        <v>1</v>
      </c>
      <c r="D153">
        <v>8048</v>
      </c>
      <c r="E153">
        <v>8117</v>
      </c>
      <c r="F153">
        <v>10.4</v>
      </c>
      <c r="G153">
        <v>7.2</v>
      </c>
      <c r="H153">
        <v>1.4444444000000001</v>
      </c>
      <c r="I153">
        <v>-0.44444442000000001</v>
      </c>
      <c r="J153">
        <v>0.40909094000000001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8117</v>
      </c>
      <c r="F154">
        <v>10</v>
      </c>
      <c r="G154">
        <v>6.8</v>
      </c>
      <c r="H154">
        <v>1.4705881999999999</v>
      </c>
      <c r="I154">
        <v>-0.47058820000000001</v>
      </c>
      <c r="J154">
        <v>0.40476193999999999</v>
      </c>
    </row>
    <row r="155" spans="1:10" x14ac:dyDescent="0.3">
      <c r="A155">
        <v>153</v>
      </c>
      <c r="B155">
        <v>2436</v>
      </c>
      <c r="C155" t="b">
        <v>1</v>
      </c>
      <c r="D155">
        <v>8048</v>
      </c>
      <c r="E155">
        <v>8117</v>
      </c>
      <c r="F155">
        <v>9.6</v>
      </c>
      <c r="G155">
        <v>6.4</v>
      </c>
      <c r="H155">
        <v>1.5</v>
      </c>
      <c r="I155">
        <v>-0.50000005999999997</v>
      </c>
      <c r="J155">
        <v>0.4</v>
      </c>
    </row>
    <row r="156" spans="1:10" x14ac:dyDescent="0.3">
      <c r="A156">
        <v>154</v>
      </c>
      <c r="B156">
        <v>2452</v>
      </c>
      <c r="C156" t="b">
        <v>1</v>
      </c>
      <c r="D156">
        <v>8054</v>
      </c>
      <c r="E156">
        <v>8117</v>
      </c>
      <c r="F156">
        <v>9.1999999999999993</v>
      </c>
      <c r="G156">
        <v>6</v>
      </c>
      <c r="H156">
        <v>1.5333333</v>
      </c>
      <c r="I156">
        <v>-0.53333330000000001</v>
      </c>
      <c r="J156">
        <v>0.39473686000000002</v>
      </c>
    </row>
    <row r="157" spans="1:10" x14ac:dyDescent="0.3">
      <c r="A157">
        <v>155</v>
      </c>
      <c r="B157">
        <v>2468</v>
      </c>
      <c r="C157" t="b">
        <v>1</v>
      </c>
      <c r="D157">
        <v>8054</v>
      </c>
      <c r="E157">
        <v>8117</v>
      </c>
      <c r="F157">
        <v>8.8000000000000007</v>
      </c>
      <c r="G157">
        <v>5.6</v>
      </c>
      <c r="H157">
        <v>1.5714287</v>
      </c>
      <c r="I157">
        <v>-0.57142866000000003</v>
      </c>
      <c r="J157">
        <v>0.38888889999999998</v>
      </c>
    </row>
    <row r="158" spans="1:10" x14ac:dyDescent="0.3">
      <c r="A158">
        <v>156</v>
      </c>
      <c r="B158">
        <v>2483</v>
      </c>
      <c r="C158" t="b">
        <v>1</v>
      </c>
      <c r="D158">
        <v>8060</v>
      </c>
      <c r="E158">
        <v>8117</v>
      </c>
      <c r="F158">
        <v>8.8000000000000007</v>
      </c>
      <c r="G158">
        <v>5.2</v>
      </c>
      <c r="H158">
        <v>1.6923078</v>
      </c>
      <c r="I158">
        <v>-0.69230780000000003</v>
      </c>
      <c r="J158">
        <v>0.37142855000000002</v>
      </c>
    </row>
    <row r="159" spans="1:10" x14ac:dyDescent="0.3">
      <c r="A159">
        <v>157</v>
      </c>
      <c r="B159">
        <v>2499</v>
      </c>
      <c r="C159" t="b">
        <v>1</v>
      </c>
      <c r="D159">
        <v>8054</v>
      </c>
      <c r="E159">
        <v>8123</v>
      </c>
      <c r="F159">
        <v>8.8000000000000007</v>
      </c>
      <c r="G159">
        <v>4.8</v>
      </c>
      <c r="H159">
        <v>1.8333333000000001</v>
      </c>
      <c r="I159">
        <v>-0.83333330000000005</v>
      </c>
      <c r="J159">
        <v>0.35294120000000001</v>
      </c>
    </row>
    <row r="160" spans="1:10" x14ac:dyDescent="0.3">
      <c r="A160">
        <v>158</v>
      </c>
      <c r="B160">
        <v>2515</v>
      </c>
      <c r="C160" t="b">
        <v>1</v>
      </c>
      <c r="D160">
        <v>8054</v>
      </c>
      <c r="E160">
        <v>8123</v>
      </c>
      <c r="F160">
        <v>9.1999999999999993</v>
      </c>
      <c r="G160">
        <v>4.4000000000000004</v>
      </c>
      <c r="H160">
        <v>2.0909089999999999</v>
      </c>
      <c r="I160">
        <v>-1.0909089999999999</v>
      </c>
      <c r="J160">
        <v>0.32352942000000001</v>
      </c>
    </row>
    <row r="161" spans="1:10" x14ac:dyDescent="0.3">
      <c r="A161">
        <v>159</v>
      </c>
      <c r="B161">
        <v>2531</v>
      </c>
      <c r="C161" t="b">
        <v>1</v>
      </c>
      <c r="D161">
        <v>8054</v>
      </c>
      <c r="E161">
        <v>8123</v>
      </c>
      <c r="F161">
        <v>9.6</v>
      </c>
      <c r="G161">
        <v>4.4000000000000004</v>
      </c>
      <c r="H161">
        <v>2.1818181999999999</v>
      </c>
      <c r="I161">
        <v>-1.1818181999999999</v>
      </c>
      <c r="J161">
        <v>0.31428572999999999</v>
      </c>
    </row>
    <row r="162" spans="1:10" x14ac:dyDescent="0.3">
      <c r="A162">
        <v>160</v>
      </c>
      <c r="B162">
        <v>2547</v>
      </c>
      <c r="C162" t="b">
        <v>1</v>
      </c>
      <c r="D162">
        <v>8048</v>
      </c>
      <c r="E162">
        <v>8129</v>
      </c>
      <c r="F162">
        <v>10</v>
      </c>
      <c r="G162">
        <v>4.4000000000000004</v>
      </c>
      <c r="H162">
        <v>2.2727273000000001</v>
      </c>
      <c r="I162">
        <v>-1.2727272999999999</v>
      </c>
      <c r="J162">
        <v>0.30555557999999999</v>
      </c>
    </row>
    <row r="163" spans="1:10" x14ac:dyDescent="0.3">
      <c r="A163">
        <v>161</v>
      </c>
      <c r="B163">
        <v>2563</v>
      </c>
      <c r="C163" t="b">
        <v>1</v>
      </c>
      <c r="D163">
        <v>8048</v>
      </c>
      <c r="E163">
        <v>8123</v>
      </c>
      <c r="F163">
        <v>10.4</v>
      </c>
      <c r="G163">
        <v>4.4000000000000004</v>
      </c>
      <c r="H163">
        <v>2.3636363</v>
      </c>
      <c r="I163">
        <v>-1.3636363</v>
      </c>
      <c r="J163">
        <v>0.29729733000000003</v>
      </c>
    </row>
    <row r="164" spans="1:10" x14ac:dyDescent="0.3">
      <c r="A164">
        <v>162</v>
      </c>
      <c r="B164">
        <v>2579</v>
      </c>
      <c r="C164" t="b">
        <v>1</v>
      </c>
      <c r="D164">
        <v>8042</v>
      </c>
      <c r="E164">
        <v>8123</v>
      </c>
      <c r="F164">
        <v>10.4</v>
      </c>
      <c r="G164">
        <v>4.4000000000000004</v>
      </c>
      <c r="H164">
        <v>2.3636363</v>
      </c>
      <c r="I164">
        <v>-1.3636363</v>
      </c>
      <c r="J164">
        <v>0.29729733000000003</v>
      </c>
    </row>
    <row r="165" spans="1:10" x14ac:dyDescent="0.3">
      <c r="A165">
        <v>163</v>
      </c>
      <c r="B165">
        <v>2595</v>
      </c>
      <c r="C165" t="b">
        <v>1</v>
      </c>
      <c r="D165">
        <v>8042</v>
      </c>
      <c r="E165">
        <v>8123</v>
      </c>
      <c r="F165">
        <v>10.4</v>
      </c>
      <c r="G165">
        <v>4.4000000000000004</v>
      </c>
      <c r="H165">
        <v>2.3636363</v>
      </c>
      <c r="I165">
        <v>-1.3636363</v>
      </c>
      <c r="J165">
        <v>0.29729733000000003</v>
      </c>
    </row>
    <row r="166" spans="1:10" x14ac:dyDescent="0.3">
      <c r="A166">
        <v>164</v>
      </c>
      <c r="B166">
        <v>2611</v>
      </c>
      <c r="C166" t="b">
        <v>1</v>
      </c>
      <c r="D166">
        <v>8048</v>
      </c>
      <c r="E166">
        <v>8123</v>
      </c>
      <c r="F166">
        <v>10.4</v>
      </c>
      <c r="G166">
        <v>4.8</v>
      </c>
      <c r="H166">
        <v>2.1666664999999998</v>
      </c>
      <c r="I166">
        <v>-1.1666665000000001</v>
      </c>
      <c r="J166">
        <v>0.3157895</v>
      </c>
    </row>
    <row r="167" spans="1:10" x14ac:dyDescent="0.3">
      <c r="A167">
        <v>165</v>
      </c>
      <c r="B167">
        <v>2627</v>
      </c>
      <c r="C167" t="b">
        <v>1</v>
      </c>
      <c r="D167">
        <v>8042</v>
      </c>
      <c r="E167">
        <v>8123</v>
      </c>
      <c r="F167">
        <v>10</v>
      </c>
      <c r="G167">
        <v>4.8</v>
      </c>
      <c r="H167">
        <v>2.0833333000000001</v>
      </c>
      <c r="I167">
        <v>-1.0833333000000001</v>
      </c>
      <c r="J167">
        <v>0.32432433999999999</v>
      </c>
    </row>
    <row r="168" spans="1:10" x14ac:dyDescent="0.3">
      <c r="A168">
        <v>166</v>
      </c>
      <c r="B168">
        <v>2643</v>
      </c>
      <c r="C168" t="b">
        <v>1</v>
      </c>
      <c r="D168">
        <v>8048</v>
      </c>
      <c r="E168">
        <v>8129</v>
      </c>
      <c r="F168">
        <v>9.6</v>
      </c>
      <c r="G168">
        <v>5.2</v>
      </c>
      <c r="H168">
        <v>1.8461540000000001</v>
      </c>
      <c r="I168">
        <v>-0.84615399999999996</v>
      </c>
      <c r="J168">
        <v>0.35135132000000002</v>
      </c>
    </row>
    <row r="169" spans="1:10" x14ac:dyDescent="0.3">
      <c r="A169">
        <v>167</v>
      </c>
      <c r="B169">
        <v>2659</v>
      </c>
      <c r="C169" t="b">
        <v>1</v>
      </c>
      <c r="D169">
        <v>8048</v>
      </c>
      <c r="E169">
        <v>8134</v>
      </c>
      <c r="F169">
        <v>9.6</v>
      </c>
      <c r="G169">
        <v>5.6</v>
      </c>
      <c r="H169">
        <v>1.7142858999999999</v>
      </c>
      <c r="I169">
        <v>-0.71428579999999997</v>
      </c>
      <c r="J169">
        <v>0.36842101999999999</v>
      </c>
    </row>
    <row r="170" spans="1:10" x14ac:dyDescent="0.3">
      <c r="A170">
        <v>168</v>
      </c>
      <c r="B170">
        <v>2674</v>
      </c>
      <c r="C170" t="b">
        <v>1</v>
      </c>
      <c r="D170">
        <v>8048</v>
      </c>
      <c r="E170">
        <v>8129</v>
      </c>
      <c r="F170">
        <v>9.6</v>
      </c>
      <c r="G170">
        <v>6.4</v>
      </c>
      <c r="H170">
        <v>1.5</v>
      </c>
      <c r="I170">
        <v>-0.50000005999999997</v>
      </c>
      <c r="J170">
        <v>0.4</v>
      </c>
    </row>
    <row r="171" spans="1:10" x14ac:dyDescent="0.3">
      <c r="A171">
        <v>169</v>
      </c>
      <c r="B171">
        <v>2690</v>
      </c>
      <c r="C171" t="b">
        <v>1</v>
      </c>
      <c r="D171">
        <v>8048</v>
      </c>
      <c r="E171">
        <v>8129</v>
      </c>
      <c r="F171">
        <v>9.6</v>
      </c>
      <c r="G171">
        <v>7.2</v>
      </c>
      <c r="H171">
        <v>1.3333333999999999</v>
      </c>
      <c r="I171">
        <v>-0.33333342999999999</v>
      </c>
      <c r="J171">
        <v>0.42857142999999998</v>
      </c>
    </row>
    <row r="172" spans="1:10" x14ac:dyDescent="0.3">
      <c r="A172">
        <v>170</v>
      </c>
      <c r="B172">
        <v>2707</v>
      </c>
      <c r="C172" t="b">
        <v>1</v>
      </c>
      <c r="D172">
        <v>8048</v>
      </c>
      <c r="E172">
        <v>8123</v>
      </c>
      <c r="F172">
        <v>9.6</v>
      </c>
      <c r="G172">
        <v>8</v>
      </c>
      <c r="H172">
        <v>1.2</v>
      </c>
      <c r="I172">
        <v>-0.20000005000000001</v>
      </c>
      <c r="J172">
        <v>0.45454544000000002</v>
      </c>
    </row>
    <row r="173" spans="1:10" x14ac:dyDescent="0.3">
      <c r="A173">
        <v>171</v>
      </c>
      <c r="B173">
        <v>2722</v>
      </c>
      <c r="C173" t="b">
        <v>1</v>
      </c>
      <c r="D173">
        <v>8048</v>
      </c>
      <c r="E173">
        <v>8129</v>
      </c>
      <c r="F173">
        <v>9.1999999999999993</v>
      </c>
      <c r="G173">
        <v>8.8000000000000007</v>
      </c>
      <c r="H173">
        <v>1.0454545</v>
      </c>
      <c r="I173">
        <v>-4.5454502000000001E-2</v>
      </c>
      <c r="J173">
        <v>0.48888890000000002</v>
      </c>
    </row>
    <row r="174" spans="1:10" x14ac:dyDescent="0.3">
      <c r="A174">
        <v>172</v>
      </c>
      <c r="B174">
        <v>2738</v>
      </c>
      <c r="C174" t="b">
        <v>1</v>
      </c>
      <c r="D174">
        <v>8048</v>
      </c>
      <c r="E174">
        <v>8129</v>
      </c>
      <c r="F174">
        <v>8.8000000000000007</v>
      </c>
      <c r="G174">
        <v>9.6</v>
      </c>
      <c r="H174">
        <v>0.9166666</v>
      </c>
      <c r="I174">
        <v>8.333335E-2</v>
      </c>
      <c r="J174">
        <v>0.52173910000000001</v>
      </c>
    </row>
    <row r="175" spans="1:10" x14ac:dyDescent="0.3">
      <c r="A175">
        <v>173</v>
      </c>
      <c r="B175">
        <v>2754</v>
      </c>
      <c r="C175" t="b">
        <v>1</v>
      </c>
      <c r="D175">
        <v>8042</v>
      </c>
      <c r="E175">
        <v>8123</v>
      </c>
      <c r="F175">
        <v>8.4</v>
      </c>
      <c r="G175">
        <v>10.4</v>
      </c>
      <c r="H175">
        <v>0.80769230000000003</v>
      </c>
      <c r="I175">
        <v>0.1923077</v>
      </c>
      <c r="J175">
        <v>0.55319149999999995</v>
      </c>
    </row>
    <row r="176" spans="1:10" x14ac:dyDescent="0.3">
      <c r="A176">
        <v>174</v>
      </c>
      <c r="B176">
        <v>2770</v>
      </c>
      <c r="C176" t="b">
        <v>1</v>
      </c>
      <c r="D176">
        <v>8048</v>
      </c>
      <c r="E176">
        <v>8129</v>
      </c>
      <c r="F176">
        <v>8</v>
      </c>
      <c r="G176">
        <v>10.8</v>
      </c>
      <c r="H176">
        <v>0.74074070000000003</v>
      </c>
      <c r="I176">
        <v>0.25925927999999998</v>
      </c>
      <c r="J176">
        <v>0.57446814000000002</v>
      </c>
    </row>
    <row r="177" spans="1:10" x14ac:dyDescent="0.3">
      <c r="A177">
        <v>175</v>
      </c>
      <c r="B177">
        <v>2786</v>
      </c>
      <c r="C177" t="b">
        <v>1</v>
      </c>
      <c r="D177">
        <v>8048</v>
      </c>
      <c r="E177">
        <v>8129</v>
      </c>
      <c r="F177">
        <v>7.6</v>
      </c>
      <c r="G177">
        <v>11.2</v>
      </c>
      <c r="H177">
        <v>0.67857140000000005</v>
      </c>
      <c r="I177">
        <v>0.32142857000000002</v>
      </c>
      <c r="J177">
        <v>0.59574466999999998</v>
      </c>
    </row>
    <row r="178" spans="1:10" x14ac:dyDescent="0.3">
      <c r="A178">
        <v>176</v>
      </c>
      <c r="B178">
        <v>2802</v>
      </c>
      <c r="C178" t="b">
        <v>1</v>
      </c>
      <c r="D178">
        <v>8048</v>
      </c>
      <c r="E178">
        <v>8129</v>
      </c>
      <c r="F178">
        <v>7.2</v>
      </c>
      <c r="G178">
        <v>11.6</v>
      </c>
      <c r="H178">
        <v>0.62068962999999999</v>
      </c>
      <c r="I178">
        <v>0.37931037000000001</v>
      </c>
      <c r="J178">
        <v>0.61702129999999999</v>
      </c>
    </row>
    <row r="179" spans="1:10" x14ac:dyDescent="0.3">
      <c r="A179">
        <v>177</v>
      </c>
      <c r="B179">
        <v>2818</v>
      </c>
      <c r="C179" t="b">
        <v>1</v>
      </c>
      <c r="D179">
        <v>8048</v>
      </c>
      <c r="E179">
        <v>8117</v>
      </c>
      <c r="F179">
        <v>7.2</v>
      </c>
      <c r="G179">
        <v>12</v>
      </c>
      <c r="H179">
        <v>0.59999996</v>
      </c>
      <c r="I179">
        <v>0.4</v>
      </c>
      <c r="J179">
        <v>0.625</v>
      </c>
    </row>
    <row r="180" spans="1:10" x14ac:dyDescent="0.3">
      <c r="A180">
        <v>178</v>
      </c>
      <c r="B180">
        <v>2834</v>
      </c>
      <c r="C180" t="b">
        <v>1</v>
      </c>
      <c r="D180">
        <v>8042</v>
      </c>
      <c r="E180">
        <v>8117</v>
      </c>
      <c r="F180">
        <v>7.2</v>
      </c>
      <c r="G180">
        <v>12.4</v>
      </c>
      <c r="H180">
        <v>0.58064514</v>
      </c>
      <c r="I180">
        <v>0.41935483000000001</v>
      </c>
      <c r="J180">
        <v>0.63265309999999997</v>
      </c>
    </row>
    <row r="181" spans="1:10" x14ac:dyDescent="0.3">
      <c r="A181">
        <v>179</v>
      </c>
      <c r="B181">
        <v>2850</v>
      </c>
      <c r="C181" t="b">
        <v>1</v>
      </c>
      <c r="D181">
        <v>8042</v>
      </c>
      <c r="E181">
        <v>8117</v>
      </c>
      <c r="F181">
        <v>7.2</v>
      </c>
      <c r="G181">
        <v>12</v>
      </c>
      <c r="H181">
        <v>0.59999996</v>
      </c>
      <c r="I181">
        <v>0.4</v>
      </c>
      <c r="J181">
        <v>0.625</v>
      </c>
    </row>
    <row r="182" spans="1:10" x14ac:dyDescent="0.3">
      <c r="A182">
        <v>180</v>
      </c>
      <c r="B182">
        <v>2866</v>
      </c>
      <c r="C182" t="b">
        <v>1</v>
      </c>
      <c r="D182">
        <v>8054</v>
      </c>
      <c r="E182">
        <v>8117</v>
      </c>
      <c r="F182">
        <v>7.6</v>
      </c>
      <c r="G182">
        <v>11.6</v>
      </c>
      <c r="H182">
        <v>0.65517239999999999</v>
      </c>
      <c r="I182">
        <v>0.34482762</v>
      </c>
      <c r="J182">
        <v>0.60416669999999995</v>
      </c>
    </row>
    <row r="183" spans="1:10" x14ac:dyDescent="0.3">
      <c r="A183">
        <v>181</v>
      </c>
      <c r="B183">
        <v>2882</v>
      </c>
      <c r="C183" t="b">
        <v>1</v>
      </c>
      <c r="D183">
        <v>8048</v>
      </c>
      <c r="E183">
        <v>8117</v>
      </c>
      <c r="F183">
        <v>8</v>
      </c>
      <c r="G183">
        <v>11.2</v>
      </c>
      <c r="H183">
        <v>0.71428572999999995</v>
      </c>
      <c r="I183">
        <v>0.28571426999999999</v>
      </c>
      <c r="J183">
        <v>0.58333330000000005</v>
      </c>
    </row>
    <row r="184" spans="1:10" x14ac:dyDescent="0.3">
      <c r="A184">
        <v>182</v>
      </c>
      <c r="B184">
        <v>2898</v>
      </c>
      <c r="C184" t="b">
        <v>1</v>
      </c>
      <c r="D184">
        <v>8048</v>
      </c>
      <c r="E184">
        <v>8129</v>
      </c>
      <c r="F184">
        <v>8</v>
      </c>
      <c r="G184">
        <v>10.8</v>
      </c>
      <c r="H184">
        <v>0.74074070000000003</v>
      </c>
      <c r="I184">
        <v>0.25925927999999998</v>
      </c>
      <c r="J184">
        <v>0.57446814000000002</v>
      </c>
    </row>
    <row r="185" spans="1:10" x14ac:dyDescent="0.3">
      <c r="A185">
        <v>183</v>
      </c>
      <c r="B185">
        <v>2914</v>
      </c>
      <c r="C185" t="b">
        <v>1</v>
      </c>
      <c r="D185">
        <v>8048</v>
      </c>
      <c r="E185">
        <v>8123</v>
      </c>
      <c r="F185">
        <v>8</v>
      </c>
      <c r="G185">
        <v>10</v>
      </c>
      <c r="H185">
        <v>0.8</v>
      </c>
      <c r="I185">
        <v>0.2</v>
      </c>
      <c r="J185">
        <v>0.55555560000000004</v>
      </c>
    </row>
    <row r="186" spans="1:10" x14ac:dyDescent="0.3">
      <c r="A186">
        <v>184</v>
      </c>
      <c r="B186">
        <v>2930</v>
      </c>
      <c r="C186" t="b">
        <v>1</v>
      </c>
      <c r="D186">
        <v>8042</v>
      </c>
      <c r="E186">
        <v>8123</v>
      </c>
      <c r="F186">
        <v>8</v>
      </c>
      <c r="G186">
        <v>9.6</v>
      </c>
      <c r="H186">
        <v>0.83333330000000005</v>
      </c>
      <c r="I186">
        <v>0.1666667</v>
      </c>
      <c r="J186">
        <v>0.54545456000000003</v>
      </c>
    </row>
    <row r="187" spans="1:10" x14ac:dyDescent="0.3">
      <c r="A187">
        <v>185</v>
      </c>
      <c r="B187">
        <v>2945</v>
      </c>
      <c r="C187" t="b">
        <v>1</v>
      </c>
      <c r="D187">
        <v>8048</v>
      </c>
      <c r="E187">
        <v>8123</v>
      </c>
      <c r="F187">
        <v>8</v>
      </c>
      <c r="G187">
        <v>9.1999999999999993</v>
      </c>
      <c r="H187">
        <v>0.86956524999999996</v>
      </c>
      <c r="I187">
        <v>0.13043477000000001</v>
      </c>
      <c r="J187">
        <v>0.53488369999999996</v>
      </c>
    </row>
    <row r="188" spans="1:10" x14ac:dyDescent="0.3">
      <c r="A188">
        <v>186</v>
      </c>
      <c r="B188">
        <v>2961</v>
      </c>
      <c r="C188" t="b">
        <v>1</v>
      </c>
      <c r="D188">
        <v>8048</v>
      </c>
      <c r="E188">
        <v>8123</v>
      </c>
      <c r="F188">
        <v>8</v>
      </c>
      <c r="G188">
        <v>8.8000000000000007</v>
      </c>
      <c r="H188">
        <v>0.90909090000000004</v>
      </c>
      <c r="I188">
        <v>9.0909110000000001E-2</v>
      </c>
      <c r="J188">
        <v>0.52380954999999996</v>
      </c>
    </row>
    <row r="189" spans="1:10" x14ac:dyDescent="0.3">
      <c r="A189">
        <v>187</v>
      </c>
      <c r="B189">
        <v>2977</v>
      </c>
      <c r="C189" t="b">
        <v>1</v>
      </c>
      <c r="D189">
        <v>8048</v>
      </c>
      <c r="E189">
        <v>8123</v>
      </c>
      <c r="F189">
        <v>8</v>
      </c>
      <c r="G189">
        <v>8.4</v>
      </c>
      <c r="H189">
        <v>0.95238100000000003</v>
      </c>
      <c r="I189">
        <v>4.7619003999999999E-2</v>
      </c>
      <c r="J189">
        <v>0.51219510000000001</v>
      </c>
    </row>
    <row r="190" spans="1:10" x14ac:dyDescent="0.3">
      <c r="A190">
        <v>188</v>
      </c>
      <c r="B190">
        <v>2993</v>
      </c>
      <c r="C190" t="b">
        <v>1</v>
      </c>
      <c r="D190">
        <v>8048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3009</v>
      </c>
      <c r="C191" t="b">
        <v>1</v>
      </c>
      <c r="D191">
        <v>8054</v>
      </c>
      <c r="E191">
        <v>8129</v>
      </c>
      <c r="F191">
        <v>8</v>
      </c>
      <c r="G191">
        <v>7.6</v>
      </c>
      <c r="H191">
        <v>1.0526316</v>
      </c>
      <c r="I191">
        <v>-5.2631589999999999E-2</v>
      </c>
      <c r="J191">
        <v>0.48717946000000001</v>
      </c>
    </row>
    <row r="192" spans="1:10" x14ac:dyDescent="0.3">
      <c r="A192">
        <v>190</v>
      </c>
      <c r="B192">
        <v>3024</v>
      </c>
      <c r="C192" t="b">
        <v>1</v>
      </c>
      <c r="D192">
        <v>8042</v>
      </c>
      <c r="E192">
        <v>8123</v>
      </c>
      <c r="F192">
        <v>8</v>
      </c>
      <c r="G192">
        <v>7.2</v>
      </c>
      <c r="H192">
        <v>1.1111112000000001</v>
      </c>
      <c r="I192">
        <v>-0.11111114</v>
      </c>
      <c r="J192">
        <v>0.4736842</v>
      </c>
    </row>
    <row r="193" spans="1:10" x14ac:dyDescent="0.3">
      <c r="A193">
        <v>191</v>
      </c>
      <c r="B193">
        <v>3041</v>
      </c>
      <c r="C193" t="b">
        <v>1</v>
      </c>
      <c r="D193">
        <v>8048</v>
      </c>
      <c r="E193">
        <v>8123</v>
      </c>
      <c r="F193">
        <v>8</v>
      </c>
      <c r="G193">
        <v>6.8</v>
      </c>
      <c r="H193">
        <v>1.1764705</v>
      </c>
      <c r="I193">
        <v>-0.17647055</v>
      </c>
      <c r="J193">
        <v>0.45945944999999999</v>
      </c>
    </row>
    <row r="194" spans="1:10" x14ac:dyDescent="0.3">
      <c r="A194">
        <v>192</v>
      </c>
      <c r="B194">
        <v>3056</v>
      </c>
      <c r="C194" t="b">
        <v>1</v>
      </c>
      <c r="D194">
        <v>8048</v>
      </c>
      <c r="E194">
        <v>8123</v>
      </c>
      <c r="F194">
        <v>8</v>
      </c>
      <c r="G194">
        <v>6.4</v>
      </c>
      <c r="H194">
        <v>1.25</v>
      </c>
      <c r="I194">
        <v>-0.24999999000000001</v>
      </c>
      <c r="J194">
        <v>0.44444447999999998</v>
      </c>
    </row>
    <row r="195" spans="1:10" x14ac:dyDescent="0.3">
      <c r="A195">
        <v>193</v>
      </c>
      <c r="B195">
        <v>3072</v>
      </c>
      <c r="C195" t="b">
        <v>1</v>
      </c>
      <c r="D195">
        <v>8048</v>
      </c>
      <c r="E195">
        <v>8123</v>
      </c>
      <c r="F195">
        <v>8</v>
      </c>
      <c r="G195">
        <v>6</v>
      </c>
      <c r="H195">
        <v>1.3333333999999999</v>
      </c>
      <c r="I195">
        <v>-0.33333333999999998</v>
      </c>
      <c r="J195">
        <v>0.42857142999999998</v>
      </c>
    </row>
    <row r="196" spans="1:10" x14ac:dyDescent="0.3">
      <c r="A196">
        <v>194</v>
      </c>
      <c r="B196">
        <v>3088</v>
      </c>
      <c r="C196" t="b">
        <v>1</v>
      </c>
      <c r="D196">
        <v>8048</v>
      </c>
      <c r="E196">
        <v>8123</v>
      </c>
      <c r="F196">
        <v>8</v>
      </c>
      <c r="G196">
        <v>6.4</v>
      </c>
      <c r="H196">
        <v>1.25</v>
      </c>
      <c r="I196">
        <v>-0.24999999000000001</v>
      </c>
      <c r="J196">
        <v>0.44444447999999998</v>
      </c>
    </row>
    <row r="197" spans="1:10" x14ac:dyDescent="0.3">
      <c r="A197">
        <v>195</v>
      </c>
      <c r="B197">
        <v>3104</v>
      </c>
      <c r="C197" t="b">
        <v>1</v>
      </c>
      <c r="D197">
        <v>8048</v>
      </c>
      <c r="E197">
        <v>8123</v>
      </c>
      <c r="F197">
        <v>8</v>
      </c>
      <c r="G197">
        <v>6.8</v>
      </c>
      <c r="H197">
        <v>1.1764705</v>
      </c>
      <c r="I197">
        <v>-0.17647055</v>
      </c>
      <c r="J197">
        <v>0.45945944999999999</v>
      </c>
    </row>
    <row r="198" spans="1:10" x14ac:dyDescent="0.3">
      <c r="A198">
        <v>196</v>
      </c>
      <c r="B198">
        <v>3119</v>
      </c>
      <c r="C198" t="b">
        <v>1</v>
      </c>
      <c r="D198">
        <v>8048</v>
      </c>
      <c r="E198">
        <v>8123</v>
      </c>
      <c r="F198">
        <v>8</v>
      </c>
      <c r="G198">
        <v>7.2</v>
      </c>
      <c r="H198">
        <v>1.1111112000000001</v>
      </c>
      <c r="I198">
        <v>-0.11111114</v>
      </c>
      <c r="J198">
        <v>0.4736842</v>
      </c>
    </row>
    <row r="199" spans="1:10" x14ac:dyDescent="0.3">
      <c r="A199">
        <v>197</v>
      </c>
      <c r="B199">
        <v>3136</v>
      </c>
      <c r="C199" t="b">
        <v>1</v>
      </c>
      <c r="D199">
        <v>8054</v>
      </c>
      <c r="E199">
        <v>8123</v>
      </c>
      <c r="F199">
        <v>8</v>
      </c>
      <c r="G199">
        <v>7.6</v>
      </c>
      <c r="H199">
        <v>1.0526316</v>
      </c>
      <c r="I199">
        <v>-5.2631589999999999E-2</v>
      </c>
      <c r="J199">
        <v>0.48717946000000001</v>
      </c>
    </row>
    <row r="200" spans="1:10" x14ac:dyDescent="0.3">
      <c r="A200">
        <v>198</v>
      </c>
      <c r="B200">
        <v>3152</v>
      </c>
      <c r="C200" t="b">
        <v>1</v>
      </c>
      <c r="D200">
        <v>8048</v>
      </c>
      <c r="E200">
        <v>8123</v>
      </c>
      <c r="F200">
        <v>8</v>
      </c>
      <c r="G200">
        <v>8</v>
      </c>
      <c r="H200">
        <v>1</v>
      </c>
      <c r="I200">
        <v>0</v>
      </c>
      <c r="J200">
        <v>0.5</v>
      </c>
    </row>
    <row r="201" spans="1:10" x14ac:dyDescent="0.3">
      <c r="A201">
        <v>199</v>
      </c>
      <c r="B201">
        <v>3167</v>
      </c>
      <c r="C201" t="b">
        <v>1</v>
      </c>
      <c r="D201">
        <v>8048</v>
      </c>
      <c r="E201">
        <v>8123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3183</v>
      </c>
      <c r="C202" t="b">
        <v>1</v>
      </c>
      <c r="D202">
        <v>8048</v>
      </c>
      <c r="E202">
        <v>8129</v>
      </c>
      <c r="F202">
        <v>8</v>
      </c>
      <c r="G202">
        <v>8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3199</v>
      </c>
      <c r="C203" t="b">
        <v>1</v>
      </c>
      <c r="D203">
        <v>8048</v>
      </c>
      <c r="E203">
        <v>8123</v>
      </c>
      <c r="F203">
        <v>8</v>
      </c>
      <c r="G203">
        <v>8</v>
      </c>
      <c r="H203">
        <v>1</v>
      </c>
      <c r="I203">
        <v>0</v>
      </c>
      <c r="J203">
        <v>0.5</v>
      </c>
    </row>
    <row r="204" spans="1:10" x14ac:dyDescent="0.3">
      <c r="A204">
        <v>202</v>
      </c>
      <c r="B204">
        <v>3215</v>
      </c>
      <c r="C204" t="b">
        <v>1</v>
      </c>
      <c r="D204">
        <v>8042</v>
      </c>
      <c r="E204">
        <v>8123</v>
      </c>
      <c r="F204">
        <v>8</v>
      </c>
      <c r="G204">
        <v>8</v>
      </c>
      <c r="H204">
        <v>1</v>
      </c>
      <c r="I204">
        <v>0</v>
      </c>
      <c r="J204">
        <v>0.5</v>
      </c>
    </row>
    <row r="205" spans="1:10" x14ac:dyDescent="0.3">
      <c r="A205">
        <v>203</v>
      </c>
      <c r="B205">
        <v>3231</v>
      </c>
      <c r="C205" t="b">
        <v>1</v>
      </c>
      <c r="D205">
        <v>8048</v>
      </c>
      <c r="E205">
        <v>8129</v>
      </c>
      <c r="F205">
        <v>8</v>
      </c>
      <c r="G205">
        <v>8</v>
      </c>
      <c r="H205">
        <v>1</v>
      </c>
      <c r="I205">
        <v>0</v>
      </c>
      <c r="J205">
        <v>0.5</v>
      </c>
    </row>
    <row r="206" spans="1:10" x14ac:dyDescent="0.3">
      <c r="A206">
        <v>204</v>
      </c>
      <c r="B206">
        <v>3247</v>
      </c>
      <c r="C206" t="b">
        <v>1</v>
      </c>
      <c r="D206">
        <v>8048</v>
      </c>
      <c r="E206">
        <v>8123</v>
      </c>
      <c r="F206">
        <v>8</v>
      </c>
      <c r="G206">
        <v>8</v>
      </c>
      <c r="H206">
        <v>1</v>
      </c>
      <c r="I206">
        <v>0</v>
      </c>
      <c r="J206">
        <v>0.5</v>
      </c>
    </row>
    <row r="207" spans="1:10" x14ac:dyDescent="0.3">
      <c r="A207">
        <v>205</v>
      </c>
      <c r="B207">
        <v>3263</v>
      </c>
      <c r="C207" t="b">
        <v>1</v>
      </c>
      <c r="D207">
        <v>8048</v>
      </c>
      <c r="E207">
        <v>8129</v>
      </c>
      <c r="F207">
        <v>8</v>
      </c>
      <c r="G207">
        <v>8</v>
      </c>
      <c r="H207">
        <v>1</v>
      </c>
      <c r="I207">
        <v>0</v>
      </c>
      <c r="J207">
        <v>0.5</v>
      </c>
    </row>
    <row r="208" spans="1:10" x14ac:dyDescent="0.3">
      <c r="A208">
        <v>206</v>
      </c>
      <c r="B208">
        <v>3279</v>
      </c>
      <c r="C208" t="b">
        <v>1</v>
      </c>
      <c r="D208">
        <v>8048</v>
      </c>
      <c r="E208">
        <v>8123</v>
      </c>
      <c r="F208">
        <v>8</v>
      </c>
      <c r="G208">
        <v>8</v>
      </c>
      <c r="H208">
        <v>1</v>
      </c>
      <c r="I208">
        <v>0</v>
      </c>
      <c r="J208">
        <v>0.5</v>
      </c>
    </row>
    <row r="209" spans="1:10" x14ac:dyDescent="0.3">
      <c r="A209">
        <v>207</v>
      </c>
      <c r="B209">
        <v>3295</v>
      </c>
      <c r="C209" t="b">
        <v>1</v>
      </c>
      <c r="D209">
        <v>8048</v>
      </c>
      <c r="E209">
        <v>8123</v>
      </c>
      <c r="F209">
        <v>8</v>
      </c>
      <c r="G209">
        <v>8</v>
      </c>
      <c r="H209">
        <v>1</v>
      </c>
      <c r="I209">
        <v>0</v>
      </c>
      <c r="J209">
        <v>0.5</v>
      </c>
    </row>
    <row r="210" spans="1:10" x14ac:dyDescent="0.3">
      <c r="A210">
        <v>208</v>
      </c>
      <c r="B210">
        <v>3311</v>
      </c>
      <c r="C210" t="b">
        <v>1</v>
      </c>
      <c r="D210">
        <v>8048</v>
      </c>
      <c r="E210">
        <v>8123</v>
      </c>
      <c r="F210">
        <v>8</v>
      </c>
      <c r="G210">
        <v>8</v>
      </c>
      <c r="H210">
        <v>1</v>
      </c>
      <c r="I210">
        <v>0</v>
      </c>
      <c r="J210">
        <v>0.5</v>
      </c>
    </row>
    <row r="211" spans="1:10" x14ac:dyDescent="0.3">
      <c r="A211">
        <v>209</v>
      </c>
      <c r="B211">
        <v>3327</v>
      </c>
      <c r="C211" t="b">
        <v>1</v>
      </c>
      <c r="D211">
        <v>8048</v>
      </c>
      <c r="E211">
        <v>8123</v>
      </c>
      <c r="F211">
        <v>8</v>
      </c>
      <c r="G211">
        <v>8</v>
      </c>
      <c r="H211">
        <v>1</v>
      </c>
      <c r="I211">
        <v>0</v>
      </c>
      <c r="J211">
        <v>0.5</v>
      </c>
    </row>
    <row r="212" spans="1:10" x14ac:dyDescent="0.3">
      <c r="A212">
        <v>210</v>
      </c>
      <c r="B212">
        <v>3343</v>
      </c>
      <c r="C212" t="b">
        <v>1</v>
      </c>
      <c r="D212">
        <v>8048</v>
      </c>
      <c r="E212">
        <v>8123</v>
      </c>
      <c r="F212">
        <v>8</v>
      </c>
      <c r="G212">
        <v>8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3358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3374</v>
      </c>
      <c r="C214" t="b">
        <v>1</v>
      </c>
      <c r="D214">
        <v>8048</v>
      </c>
      <c r="E214">
        <v>8129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3390</v>
      </c>
      <c r="C215" t="b">
        <v>1</v>
      </c>
      <c r="D215">
        <v>8042</v>
      </c>
      <c r="E215">
        <v>8129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3406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3421</v>
      </c>
      <c r="C217" t="b">
        <v>1</v>
      </c>
      <c r="D217">
        <v>8048</v>
      </c>
      <c r="E217">
        <v>8123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3437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3453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3469</v>
      </c>
      <c r="C220" t="b">
        <v>1</v>
      </c>
      <c r="D220">
        <v>8048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3485</v>
      </c>
      <c r="C221" t="b">
        <v>1</v>
      </c>
      <c r="D221">
        <v>8054</v>
      </c>
      <c r="E221">
        <v>8117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3501</v>
      </c>
      <c r="C222" t="b">
        <v>1</v>
      </c>
      <c r="D222">
        <v>8048</v>
      </c>
      <c r="E222">
        <v>8117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3517</v>
      </c>
      <c r="C223" t="b">
        <v>1</v>
      </c>
      <c r="D223">
        <v>8048</v>
      </c>
      <c r="E223">
        <v>8117</v>
      </c>
      <c r="F223">
        <v>8</v>
      </c>
      <c r="G223">
        <v>7.6</v>
      </c>
      <c r="H223">
        <v>1.0526316</v>
      </c>
      <c r="I223">
        <v>-5.2631589999999999E-2</v>
      </c>
      <c r="J223">
        <v>0.48717946000000001</v>
      </c>
    </row>
    <row r="224" spans="1:10" x14ac:dyDescent="0.3">
      <c r="A224">
        <v>222</v>
      </c>
      <c r="B224">
        <v>3533</v>
      </c>
      <c r="C224" t="b">
        <v>1</v>
      </c>
      <c r="D224">
        <v>8048</v>
      </c>
      <c r="E224">
        <v>8117</v>
      </c>
      <c r="F224">
        <v>8</v>
      </c>
      <c r="G224">
        <v>7.2</v>
      </c>
      <c r="H224">
        <v>1.1111112000000001</v>
      </c>
      <c r="I224">
        <v>-0.11111114</v>
      </c>
      <c r="J224">
        <v>0.4736842</v>
      </c>
    </row>
    <row r="225" spans="1:10" x14ac:dyDescent="0.3">
      <c r="A225">
        <v>223</v>
      </c>
      <c r="B225">
        <v>3549</v>
      </c>
      <c r="C225" t="b">
        <v>1</v>
      </c>
      <c r="D225">
        <v>8048</v>
      </c>
      <c r="E225">
        <v>8117</v>
      </c>
      <c r="F225">
        <v>8</v>
      </c>
      <c r="G225">
        <v>6.8</v>
      </c>
      <c r="H225">
        <v>1.1764705</v>
      </c>
      <c r="I225">
        <v>-0.17647055</v>
      </c>
      <c r="J225">
        <v>0.45945944999999999</v>
      </c>
    </row>
    <row r="226" spans="1:10" x14ac:dyDescent="0.3">
      <c r="A226">
        <v>224</v>
      </c>
      <c r="B226">
        <v>3565</v>
      </c>
      <c r="C226" t="b">
        <v>1</v>
      </c>
      <c r="D226">
        <v>8048</v>
      </c>
      <c r="E226">
        <v>8117</v>
      </c>
      <c r="F226">
        <v>8</v>
      </c>
      <c r="G226">
        <v>6.4</v>
      </c>
      <c r="H226">
        <v>1.25</v>
      </c>
      <c r="I226">
        <v>-0.24999999000000001</v>
      </c>
      <c r="J226">
        <v>0.44444447999999998</v>
      </c>
    </row>
    <row r="227" spans="1:10" x14ac:dyDescent="0.3">
      <c r="A227">
        <v>225</v>
      </c>
      <c r="B227">
        <v>3580</v>
      </c>
      <c r="C227" t="b">
        <v>1</v>
      </c>
      <c r="D227">
        <v>8042</v>
      </c>
      <c r="E227">
        <v>8117</v>
      </c>
      <c r="F227">
        <v>8</v>
      </c>
      <c r="G227">
        <v>6</v>
      </c>
      <c r="H227">
        <v>1.3333333999999999</v>
      </c>
      <c r="I227">
        <v>-0.33333333999999998</v>
      </c>
      <c r="J227">
        <v>0.42857142999999998</v>
      </c>
    </row>
    <row r="228" spans="1:10" x14ac:dyDescent="0.3">
      <c r="A228">
        <v>226</v>
      </c>
      <c r="B228">
        <v>3596</v>
      </c>
      <c r="C228" t="b">
        <v>1</v>
      </c>
      <c r="D228">
        <v>8048</v>
      </c>
      <c r="E228">
        <v>8117</v>
      </c>
      <c r="F228">
        <v>8</v>
      </c>
      <c r="G228">
        <v>5.6</v>
      </c>
      <c r="H228">
        <v>1.4285715000000001</v>
      </c>
      <c r="I228">
        <v>-0.42857146000000002</v>
      </c>
      <c r="J228">
        <v>0.41176467999999999</v>
      </c>
    </row>
    <row r="229" spans="1:10" x14ac:dyDescent="0.3">
      <c r="A229">
        <v>227</v>
      </c>
      <c r="B229">
        <v>3612</v>
      </c>
      <c r="C229" t="b">
        <v>1</v>
      </c>
      <c r="D229">
        <v>8048</v>
      </c>
      <c r="E229">
        <v>8117</v>
      </c>
      <c r="F229">
        <v>8</v>
      </c>
      <c r="G229">
        <v>5.2</v>
      </c>
      <c r="H229">
        <v>1.5384616</v>
      </c>
      <c r="I229">
        <v>-0.53846156999999994</v>
      </c>
      <c r="J229">
        <v>0.39393938000000001</v>
      </c>
    </row>
    <row r="230" spans="1:10" x14ac:dyDescent="0.3">
      <c r="A230">
        <v>228</v>
      </c>
      <c r="B230">
        <v>3628</v>
      </c>
      <c r="C230" t="b">
        <v>1</v>
      </c>
      <c r="D230">
        <v>8054</v>
      </c>
      <c r="E230">
        <v>8123</v>
      </c>
      <c r="F230">
        <v>8</v>
      </c>
      <c r="G230">
        <v>4.8</v>
      </c>
      <c r="H230">
        <v>1.6666666000000001</v>
      </c>
      <c r="I230">
        <v>-0.6666666</v>
      </c>
      <c r="J230">
        <v>0.375</v>
      </c>
    </row>
    <row r="231" spans="1:10" x14ac:dyDescent="0.3">
      <c r="A231">
        <v>229</v>
      </c>
      <c r="B231">
        <v>3644</v>
      </c>
      <c r="C231" t="b">
        <v>1</v>
      </c>
      <c r="D231">
        <v>8048</v>
      </c>
      <c r="E231">
        <v>8117</v>
      </c>
      <c r="F231">
        <v>8</v>
      </c>
      <c r="G231">
        <v>4.4000000000000004</v>
      </c>
      <c r="H231">
        <v>1.8181818000000001</v>
      </c>
      <c r="I231">
        <v>-0.81818175000000004</v>
      </c>
      <c r="J231">
        <v>0.35483872999999999</v>
      </c>
    </row>
    <row r="232" spans="1:10" x14ac:dyDescent="0.3">
      <c r="A232">
        <v>230</v>
      </c>
      <c r="B232">
        <v>3659</v>
      </c>
      <c r="C232" t="b">
        <v>1</v>
      </c>
      <c r="D232">
        <v>8054</v>
      </c>
      <c r="E232">
        <v>8123</v>
      </c>
      <c r="F232">
        <v>8</v>
      </c>
      <c r="G232">
        <v>4</v>
      </c>
      <c r="H232">
        <v>2</v>
      </c>
      <c r="I232">
        <v>-1</v>
      </c>
      <c r="J232">
        <v>0.33333333999999998</v>
      </c>
    </row>
    <row r="233" spans="1:10" x14ac:dyDescent="0.3">
      <c r="A233">
        <v>231</v>
      </c>
      <c r="B233">
        <v>3675</v>
      </c>
      <c r="C233" t="b">
        <v>1</v>
      </c>
      <c r="D233">
        <v>8048</v>
      </c>
      <c r="E233">
        <v>8117</v>
      </c>
      <c r="F233">
        <v>8</v>
      </c>
      <c r="G233">
        <v>3.6</v>
      </c>
      <c r="H233">
        <v>2.2222222999999999</v>
      </c>
      <c r="I233">
        <v>-1.2222223000000001</v>
      </c>
      <c r="J233">
        <v>0.31034482000000002</v>
      </c>
    </row>
    <row r="234" spans="1:10" x14ac:dyDescent="0.3">
      <c r="A234">
        <v>232</v>
      </c>
      <c r="B234">
        <v>3691</v>
      </c>
      <c r="C234" t="b">
        <v>1</v>
      </c>
      <c r="D234">
        <v>8048</v>
      </c>
      <c r="E234">
        <v>8123</v>
      </c>
      <c r="F234">
        <v>8</v>
      </c>
      <c r="G234">
        <v>3.6</v>
      </c>
      <c r="H234">
        <v>2.2222222999999999</v>
      </c>
      <c r="I234">
        <v>-1.2222223000000001</v>
      </c>
      <c r="J234">
        <v>0.31034482000000002</v>
      </c>
    </row>
    <row r="235" spans="1:10" x14ac:dyDescent="0.3">
      <c r="A235">
        <v>233</v>
      </c>
      <c r="B235">
        <v>3707</v>
      </c>
      <c r="C235" t="b">
        <v>1</v>
      </c>
      <c r="D235">
        <v>8048</v>
      </c>
      <c r="E235">
        <v>8123</v>
      </c>
      <c r="F235">
        <v>8</v>
      </c>
      <c r="G235">
        <v>3.6</v>
      </c>
      <c r="H235">
        <v>2.2222222999999999</v>
      </c>
      <c r="I235">
        <v>-1.2222223000000001</v>
      </c>
      <c r="J235">
        <v>0.31034482000000002</v>
      </c>
    </row>
    <row r="236" spans="1:10" x14ac:dyDescent="0.3">
      <c r="A236">
        <v>234</v>
      </c>
      <c r="B236">
        <v>3723</v>
      </c>
      <c r="C236" t="b">
        <v>1</v>
      </c>
      <c r="D236">
        <v>8048</v>
      </c>
      <c r="E236">
        <v>8123</v>
      </c>
      <c r="F236">
        <v>8</v>
      </c>
      <c r="G236">
        <v>3.6</v>
      </c>
      <c r="H236">
        <v>2.2222222999999999</v>
      </c>
      <c r="I236">
        <v>-1.2222223000000001</v>
      </c>
      <c r="J236">
        <v>0.31034482000000002</v>
      </c>
    </row>
    <row r="237" spans="1:10" x14ac:dyDescent="0.3">
      <c r="A237">
        <v>235</v>
      </c>
      <c r="B237">
        <v>3738</v>
      </c>
      <c r="C237" t="b">
        <v>1</v>
      </c>
      <c r="D237">
        <v>8054</v>
      </c>
      <c r="E237">
        <v>8123</v>
      </c>
      <c r="F237">
        <v>8</v>
      </c>
      <c r="G237">
        <v>3.6</v>
      </c>
      <c r="H237">
        <v>2.2222222999999999</v>
      </c>
      <c r="I237">
        <v>-1.2222223000000001</v>
      </c>
      <c r="J237">
        <v>0.31034482000000002</v>
      </c>
    </row>
    <row r="238" spans="1:10" x14ac:dyDescent="0.3">
      <c r="A238">
        <v>236</v>
      </c>
      <c r="B238">
        <v>3754</v>
      </c>
      <c r="C238" t="b">
        <v>1</v>
      </c>
      <c r="D238">
        <v>8048</v>
      </c>
      <c r="E238">
        <v>8123</v>
      </c>
      <c r="F238">
        <v>8</v>
      </c>
      <c r="G238">
        <v>4</v>
      </c>
      <c r="H238">
        <v>2</v>
      </c>
      <c r="I238">
        <v>-1</v>
      </c>
      <c r="J238">
        <v>0.33333333999999998</v>
      </c>
    </row>
    <row r="239" spans="1:10" x14ac:dyDescent="0.3">
      <c r="A239">
        <v>237</v>
      </c>
      <c r="B239">
        <v>3770</v>
      </c>
      <c r="C239" t="b">
        <v>1</v>
      </c>
      <c r="D239">
        <v>8048</v>
      </c>
      <c r="E239">
        <v>8123</v>
      </c>
      <c r="F239">
        <v>8</v>
      </c>
      <c r="G239">
        <v>4.4000000000000004</v>
      </c>
      <c r="H239">
        <v>1.8181818000000001</v>
      </c>
      <c r="I239">
        <v>-0.81818175000000004</v>
      </c>
      <c r="J239">
        <v>0.35483872999999999</v>
      </c>
    </row>
    <row r="240" spans="1:10" x14ac:dyDescent="0.3">
      <c r="A240">
        <v>238</v>
      </c>
      <c r="B240">
        <v>3786</v>
      </c>
      <c r="C240" t="b">
        <v>1</v>
      </c>
      <c r="D240">
        <v>8048</v>
      </c>
      <c r="E240">
        <v>8123</v>
      </c>
      <c r="F240">
        <v>8</v>
      </c>
      <c r="G240">
        <v>4.8</v>
      </c>
      <c r="H240">
        <v>1.6666666000000001</v>
      </c>
      <c r="I240">
        <v>-0.6666666</v>
      </c>
      <c r="J240">
        <v>0.375</v>
      </c>
    </row>
    <row r="241" spans="1:10" x14ac:dyDescent="0.3">
      <c r="A241">
        <v>239</v>
      </c>
      <c r="B241">
        <v>3802</v>
      </c>
      <c r="C241" t="b">
        <v>1</v>
      </c>
      <c r="D241">
        <v>8054</v>
      </c>
      <c r="E241">
        <v>8123</v>
      </c>
      <c r="F241">
        <v>8</v>
      </c>
      <c r="G241">
        <v>5.2</v>
      </c>
      <c r="H241">
        <v>1.5384616</v>
      </c>
      <c r="I241">
        <v>-0.53846156999999994</v>
      </c>
      <c r="J241">
        <v>0.39393938000000001</v>
      </c>
    </row>
    <row r="242" spans="1:10" x14ac:dyDescent="0.3">
      <c r="A242">
        <v>240</v>
      </c>
      <c r="B242">
        <v>3818</v>
      </c>
      <c r="C242" t="b">
        <v>1</v>
      </c>
      <c r="D242">
        <v>8048</v>
      </c>
      <c r="E242">
        <v>8123</v>
      </c>
      <c r="F242">
        <v>8</v>
      </c>
      <c r="G242">
        <v>5.6</v>
      </c>
      <c r="H242">
        <v>1.4285715000000001</v>
      </c>
      <c r="I242">
        <v>-0.42857146000000002</v>
      </c>
      <c r="J242">
        <v>0.41176467999999999</v>
      </c>
    </row>
    <row r="243" spans="1:10" x14ac:dyDescent="0.3">
      <c r="A243">
        <v>241</v>
      </c>
      <c r="B243">
        <v>3834</v>
      </c>
      <c r="C243" t="b">
        <v>1</v>
      </c>
      <c r="D243">
        <v>8048</v>
      </c>
      <c r="E243">
        <v>8123</v>
      </c>
      <c r="F243">
        <v>8</v>
      </c>
      <c r="G243">
        <v>6</v>
      </c>
      <c r="H243">
        <v>1.3333333999999999</v>
      </c>
      <c r="I243">
        <v>-0.33333333999999998</v>
      </c>
      <c r="J243">
        <v>0.42857142999999998</v>
      </c>
    </row>
    <row r="244" spans="1:10" x14ac:dyDescent="0.3">
      <c r="A244">
        <v>242</v>
      </c>
      <c r="B244">
        <v>3850</v>
      </c>
      <c r="C244" t="b">
        <v>1</v>
      </c>
      <c r="D244">
        <v>8048</v>
      </c>
      <c r="E244">
        <v>8123</v>
      </c>
      <c r="F244">
        <v>8</v>
      </c>
      <c r="G244">
        <v>6.4</v>
      </c>
      <c r="H244">
        <v>1.25</v>
      </c>
      <c r="I244">
        <v>-0.24999999000000001</v>
      </c>
      <c r="J244">
        <v>0.44444447999999998</v>
      </c>
    </row>
    <row r="245" spans="1:10" x14ac:dyDescent="0.3">
      <c r="A245">
        <v>243</v>
      </c>
      <c r="B245">
        <v>3866</v>
      </c>
      <c r="C245" t="b">
        <v>1</v>
      </c>
      <c r="D245">
        <v>8048</v>
      </c>
      <c r="E245">
        <v>8123</v>
      </c>
      <c r="F245">
        <v>8</v>
      </c>
      <c r="G245">
        <v>6.8</v>
      </c>
      <c r="H245">
        <v>1.1764705</v>
      </c>
      <c r="I245">
        <v>-0.17647055</v>
      </c>
      <c r="J245">
        <v>0.45945944999999999</v>
      </c>
    </row>
    <row r="246" spans="1:10" x14ac:dyDescent="0.3">
      <c r="A246">
        <v>244</v>
      </c>
      <c r="B246">
        <v>3882</v>
      </c>
      <c r="C246" t="b">
        <v>1</v>
      </c>
      <c r="D246">
        <v>8042</v>
      </c>
      <c r="E246">
        <v>8123</v>
      </c>
      <c r="F246">
        <v>8</v>
      </c>
      <c r="G246">
        <v>7.2</v>
      </c>
      <c r="H246">
        <v>1.1111112000000001</v>
      </c>
      <c r="I246">
        <v>-0.11111114</v>
      </c>
      <c r="J246">
        <v>0.4736842</v>
      </c>
    </row>
    <row r="247" spans="1:10" x14ac:dyDescent="0.3">
      <c r="A247">
        <v>245</v>
      </c>
      <c r="B247">
        <v>3897</v>
      </c>
      <c r="C247" t="b">
        <v>1</v>
      </c>
      <c r="D247">
        <v>8048</v>
      </c>
      <c r="E247">
        <v>8123</v>
      </c>
      <c r="F247">
        <v>8</v>
      </c>
      <c r="G247">
        <v>7.6</v>
      </c>
      <c r="H247">
        <v>1.0526316</v>
      </c>
      <c r="I247">
        <v>-5.2631589999999999E-2</v>
      </c>
      <c r="J247">
        <v>0.48717946000000001</v>
      </c>
    </row>
    <row r="248" spans="1:10" x14ac:dyDescent="0.3">
      <c r="A248">
        <v>246</v>
      </c>
      <c r="B248">
        <v>3913</v>
      </c>
      <c r="C248" t="b">
        <v>1</v>
      </c>
      <c r="D248">
        <v>8048</v>
      </c>
      <c r="E248">
        <v>8129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3929</v>
      </c>
      <c r="C249" t="b">
        <v>1</v>
      </c>
      <c r="D249">
        <v>8048</v>
      </c>
      <c r="E249">
        <v>8129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3945</v>
      </c>
      <c r="C250" t="b">
        <v>1</v>
      </c>
      <c r="D250">
        <v>8048</v>
      </c>
      <c r="E250">
        <v>8123</v>
      </c>
      <c r="F250">
        <v>8</v>
      </c>
      <c r="G250">
        <v>8</v>
      </c>
      <c r="H250">
        <v>1</v>
      </c>
      <c r="I250">
        <v>0</v>
      </c>
      <c r="J250">
        <v>0.5</v>
      </c>
    </row>
    <row r="251" spans="1:10" x14ac:dyDescent="0.3">
      <c r="A251">
        <v>249</v>
      </c>
      <c r="B251">
        <v>3961</v>
      </c>
      <c r="C251" t="b">
        <v>1</v>
      </c>
      <c r="D251">
        <v>8048</v>
      </c>
      <c r="E251">
        <v>8123</v>
      </c>
      <c r="F251">
        <v>8</v>
      </c>
      <c r="G251">
        <v>8</v>
      </c>
      <c r="H251">
        <v>1</v>
      </c>
      <c r="I251">
        <v>0</v>
      </c>
      <c r="J251">
        <v>0.5</v>
      </c>
    </row>
    <row r="252" spans="1:10" x14ac:dyDescent="0.3">
      <c r="A252">
        <v>250</v>
      </c>
      <c r="B252">
        <v>3977</v>
      </c>
      <c r="C252" t="b">
        <v>1</v>
      </c>
      <c r="D252">
        <v>8048</v>
      </c>
      <c r="E252">
        <v>8117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3992</v>
      </c>
      <c r="C253" t="b">
        <v>1</v>
      </c>
      <c r="D253">
        <v>8048</v>
      </c>
      <c r="E253">
        <v>8117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4008</v>
      </c>
      <c r="C254" t="b">
        <v>1</v>
      </c>
      <c r="D254">
        <v>8048</v>
      </c>
      <c r="E254">
        <v>8123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4024</v>
      </c>
      <c r="C255" t="b">
        <v>1</v>
      </c>
      <c r="D255">
        <v>8054</v>
      </c>
      <c r="E255">
        <v>8117</v>
      </c>
      <c r="F255">
        <v>8</v>
      </c>
      <c r="G255">
        <v>7.6</v>
      </c>
      <c r="H255">
        <v>1.0526316</v>
      </c>
      <c r="I255">
        <v>-5.2631589999999999E-2</v>
      </c>
      <c r="J255">
        <v>0.48717946000000001</v>
      </c>
    </row>
    <row r="256" spans="1:10" x14ac:dyDescent="0.3">
      <c r="A256">
        <v>254</v>
      </c>
      <c r="B256">
        <v>4040</v>
      </c>
      <c r="C256" t="b">
        <v>1</v>
      </c>
      <c r="D256">
        <v>8048</v>
      </c>
      <c r="E256">
        <v>8117</v>
      </c>
      <c r="F256">
        <v>8</v>
      </c>
      <c r="G256">
        <v>7.2</v>
      </c>
      <c r="H256">
        <v>1.1111112000000001</v>
      </c>
      <c r="I256">
        <v>-0.11111114</v>
      </c>
      <c r="J256">
        <v>0.4736842</v>
      </c>
    </row>
    <row r="257" spans="1:10" x14ac:dyDescent="0.3">
      <c r="A257">
        <v>255</v>
      </c>
      <c r="B257">
        <v>4056</v>
      </c>
      <c r="C257" t="b">
        <v>1</v>
      </c>
      <c r="D257">
        <v>8048</v>
      </c>
      <c r="E257">
        <v>8117</v>
      </c>
      <c r="F257">
        <v>8</v>
      </c>
      <c r="G257">
        <v>6.8</v>
      </c>
      <c r="H257">
        <v>1.1764705</v>
      </c>
      <c r="I257">
        <v>-0.17647055</v>
      </c>
      <c r="J257">
        <v>0.45945944999999999</v>
      </c>
    </row>
    <row r="258" spans="1:10" x14ac:dyDescent="0.3">
      <c r="A258">
        <v>256</v>
      </c>
      <c r="B258">
        <v>4071</v>
      </c>
      <c r="C258" t="b">
        <v>1</v>
      </c>
      <c r="D258">
        <v>8048</v>
      </c>
      <c r="E258">
        <v>8123</v>
      </c>
      <c r="F258">
        <v>8</v>
      </c>
      <c r="G258">
        <v>6.4</v>
      </c>
      <c r="H258">
        <v>1.25</v>
      </c>
      <c r="I258">
        <v>-0.24999999000000001</v>
      </c>
      <c r="J258">
        <v>0.44444447999999998</v>
      </c>
    </row>
    <row r="259" spans="1:10" x14ac:dyDescent="0.3">
      <c r="A259">
        <v>257</v>
      </c>
      <c r="B259">
        <v>4087</v>
      </c>
      <c r="C259" t="b">
        <v>1</v>
      </c>
      <c r="D259">
        <v>8042</v>
      </c>
      <c r="E259">
        <v>8123</v>
      </c>
      <c r="F259">
        <v>8</v>
      </c>
      <c r="G259">
        <v>6</v>
      </c>
      <c r="H259">
        <v>1.3333333999999999</v>
      </c>
      <c r="I259">
        <v>-0.33333333999999998</v>
      </c>
      <c r="J259">
        <v>0.42857142999999998</v>
      </c>
    </row>
    <row r="260" spans="1:10" x14ac:dyDescent="0.3">
      <c r="A260">
        <v>258</v>
      </c>
      <c r="B260">
        <v>4102</v>
      </c>
      <c r="C260" t="b">
        <v>1</v>
      </c>
      <c r="D260">
        <v>8048</v>
      </c>
      <c r="E260">
        <v>8123</v>
      </c>
      <c r="F260">
        <v>8</v>
      </c>
      <c r="G260">
        <v>6</v>
      </c>
      <c r="H260">
        <v>1.3333333999999999</v>
      </c>
      <c r="I260">
        <v>-0.33333333999999998</v>
      </c>
      <c r="J260">
        <v>0.42857142999999998</v>
      </c>
    </row>
    <row r="261" spans="1:10" x14ac:dyDescent="0.3">
      <c r="A261">
        <v>259</v>
      </c>
      <c r="B261">
        <v>4118</v>
      </c>
      <c r="C261" t="b">
        <v>1</v>
      </c>
      <c r="D261">
        <v>8048</v>
      </c>
      <c r="E261">
        <v>8129</v>
      </c>
      <c r="F261">
        <v>8</v>
      </c>
      <c r="G261">
        <v>6</v>
      </c>
      <c r="H261">
        <v>1.3333333999999999</v>
      </c>
      <c r="I261">
        <v>-0.33333333999999998</v>
      </c>
      <c r="J261">
        <v>0.42857142999999998</v>
      </c>
    </row>
    <row r="262" spans="1:10" x14ac:dyDescent="0.3">
      <c r="A262">
        <v>260</v>
      </c>
      <c r="B262">
        <v>4134</v>
      </c>
      <c r="C262" t="b">
        <v>1</v>
      </c>
      <c r="D262">
        <v>8048</v>
      </c>
      <c r="E262">
        <v>8123</v>
      </c>
      <c r="F262">
        <v>8</v>
      </c>
      <c r="G262">
        <v>6</v>
      </c>
      <c r="H262">
        <v>1.3333333999999999</v>
      </c>
      <c r="I262">
        <v>-0.33333333999999998</v>
      </c>
      <c r="J262">
        <v>0.42857142999999998</v>
      </c>
    </row>
    <row r="263" spans="1:10" x14ac:dyDescent="0.3">
      <c r="A263">
        <v>261</v>
      </c>
      <c r="B263">
        <v>4150</v>
      </c>
      <c r="C263" t="b">
        <v>1</v>
      </c>
      <c r="D263">
        <v>8054</v>
      </c>
      <c r="E263">
        <v>8123</v>
      </c>
      <c r="F263">
        <v>8</v>
      </c>
      <c r="G263">
        <v>6</v>
      </c>
      <c r="H263">
        <v>1.3333333999999999</v>
      </c>
      <c r="I263">
        <v>-0.33333333999999998</v>
      </c>
      <c r="J263">
        <v>0.42857142999999998</v>
      </c>
    </row>
    <row r="264" spans="1:10" x14ac:dyDescent="0.3">
      <c r="A264">
        <v>262</v>
      </c>
      <c r="B264">
        <v>4166</v>
      </c>
      <c r="C264" t="b">
        <v>1</v>
      </c>
      <c r="D264">
        <v>8042</v>
      </c>
      <c r="E264">
        <v>8129</v>
      </c>
      <c r="F264">
        <v>8</v>
      </c>
      <c r="G264">
        <v>6</v>
      </c>
      <c r="H264">
        <v>1.3333333999999999</v>
      </c>
      <c r="I264">
        <v>-0.33333333999999998</v>
      </c>
      <c r="J264">
        <v>0.42857142999999998</v>
      </c>
    </row>
    <row r="265" spans="1:10" x14ac:dyDescent="0.3">
      <c r="A265">
        <v>263</v>
      </c>
      <c r="B265">
        <v>4182</v>
      </c>
      <c r="C265" t="b">
        <v>1</v>
      </c>
      <c r="D265">
        <v>8042</v>
      </c>
      <c r="E265">
        <v>8117</v>
      </c>
      <c r="F265">
        <v>8</v>
      </c>
      <c r="G265">
        <v>6</v>
      </c>
      <c r="H265">
        <v>1.3333333999999999</v>
      </c>
      <c r="I265">
        <v>-0.33333333999999998</v>
      </c>
      <c r="J265">
        <v>0.42857142999999998</v>
      </c>
    </row>
    <row r="266" spans="1:10" x14ac:dyDescent="0.3">
      <c r="A266">
        <v>264</v>
      </c>
      <c r="B266">
        <v>4197</v>
      </c>
      <c r="C266" t="b">
        <v>1</v>
      </c>
      <c r="D266">
        <v>8042</v>
      </c>
      <c r="E266">
        <v>8117</v>
      </c>
      <c r="F266">
        <v>7.6</v>
      </c>
      <c r="G266">
        <v>6</v>
      </c>
      <c r="H266">
        <v>1.2666667</v>
      </c>
      <c r="I266">
        <v>-0.26666665000000001</v>
      </c>
      <c r="J266">
        <v>0.44117644</v>
      </c>
    </row>
    <row r="267" spans="1:10" x14ac:dyDescent="0.3">
      <c r="A267">
        <v>265</v>
      </c>
      <c r="B267">
        <v>4213</v>
      </c>
      <c r="C267" t="b">
        <v>1</v>
      </c>
      <c r="D267">
        <v>8048</v>
      </c>
      <c r="E267">
        <v>8117</v>
      </c>
      <c r="F267">
        <v>7.2</v>
      </c>
      <c r="G267">
        <v>5.6</v>
      </c>
      <c r="H267">
        <v>1.2857143</v>
      </c>
      <c r="I267">
        <v>-0.28571426999999999</v>
      </c>
      <c r="J267">
        <v>0.43750002999999998</v>
      </c>
    </row>
    <row r="268" spans="1:10" x14ac:dyDescent="0.3">
      <c r="A268">
        <v>266</v>
      </c>
      <c r="B268">
        <v>4229</v>
      </c>
      <c r="C268" t="b">
        <v>1</v>
      </c>
      <c r="D268">
        <v>8042</v>
      </c>
      <c r="E268">
        <v>8117</v>
      </c>
      <c r="F268">
        <v>6.8</v>
      </c>
      <c r="G268">
        <v>5.2</v>
      </c>
      <c r="H268">
        <v>1.3076924000000001</v>
      </c>
      <c r="I268">
        <v>-0.30769237999999999</v>
      </c>
      <c r="J268">
        <v>0.43333329999999998</v>
      </c>
    </row>
    <row r="269" spans="1:10" x14ac:dyDescent="0.3">
      <c r="A269">
        <v>267</v>
      </c>
      <c r="B269">
        <v>4245</v>
      </c>
      <c r="C269" t="b">
        <v>1</v>
      </c>
      <c r="D269">
        <v>8048</v>
      </c>
      <c r="E269">
        <v>8117</v>
      </c>
      <c r="F269">
        <v>6.4</v>
      </c>
      <c r="G269">
        <v>4.8</v>
      </c>
      <c r="H269">
        <v>1.3333333000000001</v>
      </c>
      <c r="I269">
        <v>-0.3333333</v>
      </c>
      <c r="J269">
        <v>0.42857139999999999</v>
      </c>
    </row>
    <row r="270" spans="1:10" x14ac:dyDescent="0.3">
      <c r="A270">
        <v>268</v>
      </c>
      <c r="B270">
        <v>4261</v>
      </c>
      <c r="C270" t="b">
        <v>1</v>
      </c>
      <c r="D270">
        <v>8048</v>
      </c>
      <c r="E270">
        <v>8117</v>
      </c>
      <c r="F270">
        <v>6.4</v>
      </c>
      <c r="G270">
        <v>4.8</v>
      </c>
      <c r="H270">
        <v>1.3333333000000001</v>
      </c>
      <c r="I270">
        <v>-0.3333333</v>
      </c>
      <c r="J270">
        <v>0.42857139999999999</v>
      </c>
    </row>
    <row r="271" spans="1:10" x14ac:dyDescent="0.3">
      <c r="A271">
        <v>269</v>
      </c>
      <c r="B271">
        <v>4277</v>
      </c>
      <c r="C271" t="b">
        <v>1</v>
      </c>
      <c r="D271">
        <v>8042</v>
      </c>
      <c r="E271">
        <v>8129</v>
      </c>
      <c r="F271">
        <v>6.4</v>
      </c>
      <c r="G271">
        <v>4.8</v>
      </c>
      <c r="H271">
        <v>1.3333333000000001</v>
      </c>
      <c r="I271">
        <v>-0.3333333</v>
      </c>
      <c r="J271">
        <v>0.42857139999999999</v>
      </c>
    </row>
    <row r="272" spans="1:10" x14ac:dyDescent="0.3">
      <c r="A272">
        <v>270</v>
      </c>
      <c r="B272">
        <v>4293</v>
      </c>
      <c r="C272" t="b">
        <v>1</v>
      </c>
      <c r="D272">
        <v>8042</v>
      </c>
      <c r="E272">
        <v>8123</v>
      </c>
      <c r="F272">
        <v>6</v>
      </c>
      <c r="G272">
        <v>4.8</v>
      </c>
      <c r="H272">
        <v>1.25</v>
      </c>
      <c r="I272">
        <v>-0.24999995999999999</v>
      </c>
      <c r="J272">
        <v>0.44444444999999999</v>
      </c>
    </row>
    <row r="273" spans="1:10" x14ac:dyDescent="0.3">
      <c r="A273">
        <v>271</v>
      </c>
      <c r="B273">
        <v>4309</v>
      </c>
      <c r="C273" t="b">
        <v>1</v>
      </c>
      <c r="D273">
        <v>8042</v>
      </c>
      <c r="E273">
        <v>8123</v>
      </c>
      <c r="F273">
        <v>5.6</v>
      </c>
      <c r="G273">
        <v>5.2</v>
      </c>
      <c r="H273">
        <v>1.0769230999999999</v>
      </c>
      <c r="I273">
        <v>-7.6923094999999997E-2</v>
      </c>
      <c r="J273">
        <v>0.48148150000000001</v>
      </c>
    </row>
    <row r="274" spans="1:10" x14ac:dyDescent="0.3">
      <c r="A274">
        <v>272</v>
      </c>
      <c r="B274">
        <v>4324</v>
      </c>
      <c r="C274" t="b">
        <v>1</v>
      </c>
      <c r="D274">
        <v>8042</v>
      </c>
      <c r="E274">
        <v>8123</v>
      </c>
      <c r="F274">
        <v>5.2</v>
      </c>
      <c r="G274">
        <v>5.6</v>
      </c>
      <c r="H274">
        <v>0.92857140000000005</v>
      </c>
      <c r="I274">
        <v>7.142859E-2</v>
      </c>
      <c r="J274">
        <v>0.51851857000000001</v>
      </c>
    </row>
    <row r="275" spans="1:10" x14ac:dyDescent="0.3">
      <c r="A275">
        <v>273</v>
      </c>
      <c r="B275">
        <v>4340</v>
      </c>
      <c r="C275" t="b">
        <v>1</v>
      </c>
      <c r="D275">
        <v>8042</v>
      </c>
      <c r="E275">
        <v>8123</v>
      </c>
      <c r="F275">
        <v>4.8</v>
      </c>
      <c r="G275">
        <v>5.6</v>
      </c>
      <c r="H275">
        <v>0.85714290000000004</v>
      </c>
      <c r="I275">
        <v>0.14285708999999999</v>
      </c>
      <c r="J275">
        <v>0.53846156999999994</v>
      </c>
    </row>
    <row r="276" spans="1:10" x14ac:dyDescent="0.3">
      <c r="A276">
        <v>274</v>
      </c>
      <c r="B276">
        <v>4356</v>
      </c>
      <c r="C276" t="b">
        <v>1</v>
      </c>
      <c r="D276">
        <v>8048</v>
      </c>
      <c r="E276">
        <v>8129</v>
      </c>
      <c r="F276">
        <v>4.4000000000000004</v>
      </c>
      <c r="G276">
        <v>5.6</v>
      </c>
      <c r="H276">
        <v>0.78571429999999998</v>
      </c>
      <c r="I276">
        <v>0.21428569</v>
      </c>
      <c r="J276">
        <v>0.56000000000000005</v>
      </c>
    </row>
    <row r="277" spans="1:10" x14ac:dyDescent="0.3">
      <c r="A277">
        <v>275</v>
      </c>
      <c r="B277">
        <v>4372</v>
      </c>
      <c r="C277" t="b">
        <v>1</v>
      </c>
      <c r="D277">
        <v>8054</v>
      </c>
      <c r="E277">
        <v>8123</v>
      </c>
      <c r="F277">
        <v>4</v>
      </c>
      <c r="G277">
        <v>5.6</v>
      </c>
      <c r="H277">
        <v>0.71428572999999995</v>
      </c>
      <c r="I277">
        <v>0.28571426999999999</v>
      </c>
      <c r="J277">
        <v>0.58333330000000005</v>
      </c>
    </row>
    <row r="278" spans="1:10" x14ac:dyDescent="0.3">
      <c r="A278">
        <v>276</v>
      </c>
      <c r="B278">
        <v>4388</v>
      </c>
      <c r="C278" t="b">
        <v>1</v>
      </c>
      <c r="D278">
        <v>8048</v>
      </c>
      <c r="E278">
        <v>8129</v>
      </c>
      <c r="F278">
        <v>4</v>
      </c>
      <c r="G278">
        <v>5.6</v>
      </c>
      <c r="H278">
        <v>0.71428572999999995</v>
      </c>
      <c r="I278">
        <v>0.28571426999999999</v>
      </c>
      <c r="J278">
        <v>0.58333330000000005</v>
      </c>
    </row>
    <row r="279" spans="1:10" x14ac:dyDescent="0.3">
      <c r="A279">
        <v>277</v>
      </c>
      <c r="B279">
        <v>4403</v>
      </c>
      <c r="C279" t="b">
        <v>1</v>
      </c>
      <c r="D279">
        <v>8048</v>
      </c>
      <c r="E279">
        <v>8123</v>
      </c>
      <c r="F279">
        <v>4</v>
      </c>
      <c r="G279">
        <v>5.6</v>
      </c>
      <c r="H279">
        <v>0.71428572999999995</v>
      </c>
      <c r="I279">
        <v>0.28571426999999999</v>
      </c>
      <c r="J279">
        <v>0.58333330000000005</v>
      </c>
    </row>
    <row r="280" spans="1:10" x14ac:dyDescent="0.3">
      <c r="A280">
        <v>278</v>
      </c>
      <c r="B280">
        <v>4419</v>
      </c>
      <c r="C280" t="b">
        <v>1</v>
      </c>
      <c r="D280">
        <v>8048</v>
      </c>
      <c r="E280">
        <v>8129</v>
      </c>
      <c r="F280">
        <v>4</v>
      </c>
      <c r="G280">
        <v>6</v>
      </c>
      <c r="H280">
        <v>0.66666669999999995</v>
      </c>
      <c r="I280">
        <v>0.33333333999999998</v>
      </c>
      <c r="J280">
        <v>0.6</v>
      </c>
    </row>
    <row r="281" spans="1:10" x14ac:dyDescent="0.3">
      <c r="A281">
        <v>279</v>
      </c>
      <c r="B281">
        <v>4435</v>
      </c>
      <c r="C281" t="b">
        <v>1</v>
      </c>
      <c r="D281">
        <v>8048</v>
      </c>
      <c r="E281">
        <v>8123</v>
      </c>
      <c r="F281">
        <v>4.4000000000000004</v>
      </c>
      <c r="G281">
        <v>6</v>
      </c>
      <c r="H281">
        <v>0.73333334999999999</v>
      </c>
      <c r="I281">
        <v>0.26666665000000001</v>
      </c>
      <c r="J281">
        <v>0.57692310000000002</v>
      </c>
    </row>
    <row r="282" spans="1:10" x14ac:dyDescent="0.3">
      <c r="A282">
        <v>280</v>
      </c>
      <c r="B282">
        <v>4451</v>
      </c>
      <c r="C282" t="b">
        <v>1</v>
      </c>
      <c r="D282">
        <v>8048</v>
      </c>
      <c r="E282">
        <v>8129</v>
      </c>
      <c r="F282">
        <v>4.8</v>
      </c>
      <c r="G282">
        <v>6.8</v>
      </c>
      <c r="H282">
        <v>0.70588240000000002</v>
      </c>
      <c r="I282">
        <v>0.29411763000000002</v>
      </c>
      <c r="J282">
        <v>0.58620689999999998</v>
      </c>
    </row>
    <row r="283" spans="1:10" x14ac:dyDescent="0.3">
      <c r="A283">
        <v>281</v>
      </c>
      <c r="B283">
        <v>4467</v>
      </c>
      <c r="C283" t="b">
        <v>1</v>
      </c>
      <c r="D283">
        <v>8048</v>
      </c>
      <c r="E283">
        <v>8123</v>
      </c>
      <c r="F283">
        <v>5.2</v>
      </c>
      <c r="G283">
        <v>7.2</v>
      </c>
      <c r="H283">
        <v>0.72222220000000004</v>
      </c>
      <c r="I283">
        <v>0.27777780000000002</v>
      </c>
      <c r="J283">
        <v>0.58064514</v>
      </c>
    </row>
    <row r="284" spans="1:10" x14ac:dyDescent="0.3">
      <c r="A284">
        <v>282</v>
      </c>
      <c r="B284">
        <v>4482</v>
      </c>
      <c r="C284" t="b">
        <v>1</v>
      </c>
      <c r="D284">
        <v>8048</v>
      </c>
      <c r="E284">
        <v>8123</v>
      </c>
      <c r="F284">
        <v>5.6</v>
      </c>
      <c r="G284">
        <v>7.6</v>
      </c>
      <c r="H284">
        <v>0.73684210000000006</v>
      </c>
      <c r="I284">
        <v>0.2631579</v>
      </c>
      <c r="J284">
        <v>0.57575756</v>
      </c>
    </row>
    <row r="285" spans="1:10" x14ac:dyDescent="0.3">
      <c r="A285">
        <v>283</v>
      </c>
      <c r="B285">
        <v>4498</v>
      </c>
      <c r="C285" t="b">
        <v>1</v>
      </c>
      <c r="D285">
        <v>8048</v>
      </c>
      <c r="E285">
        <v>8129</v>
      </c>
      <c r="F285">
        <v>5.6</v>
      </c>
      <c r="G285">
        <v>8</v>
      </c>
      <c r="H285">
        <v>0.7</v>
      </c>
      <c r="I285">
        <v>0.3</v>
      </c>
      <c r="J285">
        <v>0.58823526000000004</v>
      </c>
    </row>
    <row r="286" spans="1:10" x14ac:dyDescent="0.3">
      <c r="A286">
        <v>284</v>
      </c>
      <c r="B286">
        <v>4514</v>
      </c>
      <c r="C286" t="b">
        <v>1</v>
      </c>
      <c r="D286">
        <v>8048</v>
      </c>
      <c r="E286">
        <v>8123</v>
      </c>
      <c r="F286">
        <v>5.6</v>
      </c>
      <c r="G286">
        <v>8.4</v>
      </c>
      <c r="H286">
        <v>0.66666669999999995</v>
      </c>
      <c r="I286">
        <v>0.3333333</v>
      </c>
      <c r="J286">
        <v>0.59999996</v>
      </c>
    </row>
    <row r="287" spans="1:10" x14ac:dyDescent="0.3">
      <c r="A287">
        <v>285</v>
      </c>
      <c r="B287">
        <v>4530</v>
      </c>
      <c r="C287" t="b">
        <v>1</v>
      </c>
      <c r="D287">
        <v>8048</v>
      </c>
      <c r="E287">
        <v>8129</v>
      </c>
      <c r="F287">
        <v>6</v>
      </c>
      <c r="G287">
        <v>8.8000000000000007</v>
      </c>
      <c r="H287">
        <v>0.68181820000000004</v>
      </c>
      <c r="I287">
        <v>0.31818183999999999</v>
      </c>
      <c r="J287">
        <v>0.59459459999999997</v>
      </c>
    </row>
    <row r="288" spans="1:10" x14ac:dyDescent="0.3">
      <c r="A288">
        <v>286</v>
      </c>
      <c r="B288">
        <v>4546</v>
      </c>
      <c r="C288" t="b">
        <v>1</v>
      </c>
      <c r="D288">
        <v>8048</v>
      </c>
      <c r="E288">
        <v>8123</v>
      </c>
      <c r="F288">
        <v>6.4</v>
      </c>
      <c r="G288">
        <v>8.8000000000000007</v>
      </c>
      <c r="H288">
        <v>0.72727275000000002</v>
      </c>
      <c r="I288">
        <v>0.27272728000000002</v>
      </c>
      <c r="J288">
        <v>0.57894736999999996</v>
      </c>
    </row>
    <row r="289" spans="1:10" x14ac:dyDescent="0.3">
      <c r="A289">
        <v>287</v>
      </c>
      <c r="B289">
        <v>4562</v>
      </c>
      <c r="C289" t="b">
        <v>1</v>
      </c>
      <c r="D289">
        <v>8048</v>
      </c>
      <c r="E289">
        <v>8129</v>
      </c>
      <c r="F289">
        <v>6.8</v>
      </c>
      <c r="G289">
        <v>9.1999999999999993</v>
      </c>
      <c r="H289">
        <v>0.73913050000000002</v>
      </c>
      <c r="I289">
        <v>0.26086953000000002</v>
      </c>
      <c r="J289">
        <v>0.57499999999999996</v>
      </c>
    </row>
    <row r="290" spans="1:10" x14ac:dyDescent="0.3">
      <c r="A290">
        <v>288</v>
      </c>
      <c r="B290">
        <v>4578</v>
      </c>
      <c r="C290" t="b">
        <v>1</v>
      </c>
      <c r="D290">
        <v>8054</v>
      </c>
      <c r="E290">
        <v>8123</v>
      </c>
      <c r="F290">
        <v>7.2</v>
      </c>
      <c r="G290">
        <v>9.1999999999999993</v>
      </c>
      <c r="H290">
        <v>0.78260870000000005</v>
      </c>
      <c r="I290">
        <v>0.21739131</v>
      </c>
      <c r="J290">
        <v>0.56097560000000002</v>
      </c>
    </row>
    <row r="291" spans="1:10" x14ac:dyDescent="0.3">
      <c r="A291">
        <v>289</v>
      </c>
      <c r="B291">
        <v>4594</v>
      </c>
      <c r="C291" t="b">
        <v>1</v>
      </c>
      <c r="D291">
        <v>8048</v>
      </c>
      <c r="E291">
        <v>8123</v>
      </c>
      <c r="F291">
        <v>7.6</v>
      </c>
      <c r="G291">
        <v>9.1999999999999993</v>
      </c>
      <c r="H291">
        <v>0.82608694000000005</v>
      </c>
      <c r="I291">
        <v>0.17391303</v>
      </c>
      <c r="J291">
        <v>0.54761903999999995</v>
      </c>
    </row>
    <row r="292" spans="1:10" x14ac:dyDescent="0.3">
      <c r="A292">
        <v>290</v>
      </c>
      <c r="B292">
        <v>4610</v>
      </c>
      <c r="C292" t="b">
        <v>1</v>
      </c>
      <c r="D292">
        <v>8048</v>
      </c>
      <c r="E292">
        <v>8123</v>
      </c>
      <c r="F292">
        <v>8</v>
      </c>
      <c r="G292">
        <v>9.1999999999999993</v>
      </c>
      <c r="H292">
        <v>0.86956524999999996</v>
      </c>
      <c r="I292">
        <v>0.13043477000000001</v>
      </c>
      <c r="J292">
        <v>0.53488369999999996</v>
      </c>
    </row>
    <row r="293" spans="1:10" x14ac:dyDescent="0.3">
      <c r="A293">
        <v>291</v>
      </c>
      <c r="B293">
        <v>4625</v>
      </c>
      <c r="C293" t="b">
        <v>1</v>
      </c>
      <c r="D293">
        <v>8048</v>
      </c>
      <c r="E293">
        <v>8123</v>
      </c>
      <c r="F293">
        <v>8</v>
      </c>
      <c r="G293">
        <v>9.1999999999999993</v>
      </c>
      <c r="H293">
        <v>0.86956524999999996</v>
      </c>
      <c r="I293">
        <v>0.13043477000000001</v>
      </c>
      <c r="J293">
        <v>0.53488369999999996</v>
      </c>
    </row>
    <row r="294" spans="1:10" x14ac:dyDescent="0.3">
      <c r="A294">
        <v>292</v>
      </c>
      <c r="B294">
        <v>4641</v>
      </c>
      <c r="C294" t="b">
        <v>1</v>
      </c>
      <c r="D294">
        <v>8054</v>
      </c>
      <c r="E294">
        <v>8123</v>
      </c>
      <c r="F294">
        <v>8</v>
      </c>
      <c r="G294">
        <v>9.1999999999999993</v>
      </c>
      <c r="H294">
        <v>0.86956524999999996</v>
      </c>
      <c r="I294">
        <v>0.13043477000000001</v>
      </c>
      <c r="J294">
        <v>0.53488369999999996</v>
      </c>
    </row>
    <row r="295" spans="1:10" x14ac:dyDescent="0.3">
      <c r="A295">
        <v>293</v>
      </c>
      <c r="B295">
        <v>4657</v>
      </c>
      <c r="C295" t="b">
        <v>1</v>
      </c>
      <c r="D295">
        <v>8054</v>
      </c>
      <c r="E295">
        <v>8129</v>
      </c>
      <c r="F295">
        <v>8</v>
      </c>
      <c r="G295">
        <v>8.8000000000000007</v>
      </c>
      <c r="H295">
        <v>0.90909090000000004</v>
      </c>
      <c r="I295">
        <v>9.0909110000000001E-2</v>
      </c>
      <c r="J295">
        <v>0.52380954999999996</v>
      </c>
    </row>
    <row r="296" spans="1:10" x14ac:dyDescent="0.3">
      <c r="A296">
        <v>294</v>
      </c>
      <c r="B296">
        <v>4681</v>
      </c>
      <c r="C296" t="b">
        <v>1</v>
      </c>
      <c r="D296">
        <v>8048</v>
      </c>
      <c r="E296">
        <v>8117</v>
      </c>
      <c r="F296">
        <v>8</v>
      </c>
      <c r="G296">
        <v>8.8000000000000007</v>
      </c>
      <c r="H296">
        <v>0.90909090000000004</v>
      </c>
      <c r="I296">
        <v>9.0909110000000001E-2</v>
      </c>
      <c r="J296">
        <v>0.52380954999999996</v>
      </c>
    </row>
    <row r="297" spans="1:10" x14ac:dyDescent="0.3">
      <c r="A297">
        <v>295</v>
      </c>
      <c r="B297">
        <v>4696</v>
      </c>
      <c r="C297" t="b">
        <v>1</v>
      </c>
      <c r="D297">
        <v>8048</v>
      </c>
      <c r="E297">
        <v>8117</v>
      </c>
      <c r="F297">
        <v>8</v>
      </c>
      <c r="G297">
        <v>8.4</v>
      </c>
      <c r="H297">
        <v>0.95238100000000003</v>
      </c>
      <c r="I297">
        <v>4.7619003999999999E-2</v>
      </c>
      <c r="J297">
        <v>0.51219510000000001</v>
      </c>
    </row>
    <row r="298" spans="1:10" x14ac:dyDescent="0.3">
      <c r="A298">
        <v>296</v>
      </c>
      <c r="B298">
        <v>4712</v>
      </c>
      <c r="C298" t="b">
        <v>1</v>
      </c>
      <c r="D298">
        <v>8048</v>
      </c>
      <c r="E298">
        <v>8117</v>
      </c>
      <c r="F298">
        <v>8</v>
      </c>
      <c r="G298">
        <v>8</v>
      </c>
      <c r="H298">
        <v>1</v>
      </c>
      <c r="I298">
        <v>0</v>
      </c>
      <c r="J298">
        <v>0.5</v>
      </c>
    </row>
    <row r="299" spans="1:10" x14ac:dyDescent="0.3">
      <c r="A299">
        <v>297</v>
      </c>
      <c r="B299">
        <v>4728</v>
      </c>
      <c r="C299" t="b">
        <v>1</v>
      </c>
      <c r="D299">
        <v>8048</v>
      </c>
      <c r="E299">
        <v>8117</v>
      </c>
      <c r="F299">
        <v>8</v>
      </c>
      <c r="G299">
        <v>7.6</v>
      </c>
      <c r="H299">
        <v>1.0526316</v>
      </c>
      <c r="I299">
        <v>-5.2631589999999999E-2</v>
      </c>
      <c r="J299">
        <v>0.48717946000000001</v>
      </c>
    </row>
    <row r="300" spans="1:10" x14ac:dyDescent="0.3">
      <c r="A300">
        <v>298</v>
      </c>
      <c r="B300">
        <v>4744</v>
      </c>
      <c r="C300" t="b">
        <v>1</v>
      </c>
      <c r="D300">
        <v>8048</v>
      </c>
      <c r="E300">
        <v>8117</v>
      </c>
      <c r="F300">
        <v>8</v>
      </c>
      <c r="G300">
        <v>7.2</v>
      </c>
      <c r="H300">
        <v>1.1111112000000001</v>
      </c>
      <c r="I300">
        <v>-0.11111114</v>
      </c>
      <c r="J300">
        <v>0.4736842</v>
      </c>
    </row>
    <row r="301" spans="1:10" x14ac:dyDescent="0.3">
      <c r="A301">
        <v>299</v>
      </c>
      <c r="B301">
        <v>4760</v>
      </c>
      <c r="C301" t="b">
        <v>1</v>
      </c>
      <c r="D301">
        <v>8048</v>
      </c>
      <c r="E301">
        <v>8123</v>
      </c>
      <c r="F301">
        <v>8</v>
      </c>
      <c r="G301">
        <v>6.8</v>
      </c>
      <c r="H301">
        <v>1.1764705</v>
      </c>
      <c r="I301">
        <v>-0.17647055</v>
      </c>
      <c r="J301">
        <v>0.45945944999999999</v>
      </c>
    </row>
    <row r="302" spans="1:10" x14ac:dyDescent="0.3">
      <c r="A302">
        <v>300</v>
      </c>
      <c r="B302">
        <v>4776</v>
      </c>
      <c r="C302" t="b">
        <v>1</v>
      </c>
      <c r="D302">
        <v>8048</v>
      </c>
      <c r="E302">
        <v>8129</v>
      </c>
      <c r="F302">
        <v>8</v>
      </c>
      <c r="G302">
        <v>6.4</v>
      </c>
      <c r="H302">
        <v>1.25</v>
      </c>
      <c r="I302">
        <v>-0.24999999000000001</v>
      </c>
      <c r="J302">
        <v>0.44444447999999998</v>
      </c>
    </row>
    <row r="303" spans="1:10" x14ac:dyDescent="0.3">
      <c r="A303">
        <v>301</v>
      </c>
      <c r="B303">
        <v>4792</v>
      </c>
      <c r="C303" t="b">
        <v>1</v>
      </c>
      <c r="D303">
        <v>8048</v>
      </c>
      <c r="E303">
        <v>8129</v>
      </c>
      <c r="F303">
        <v>8</v>
      </c>
      <c r="G303">
        <v>6.4</v>
      </c>
      <c r="H303">
        <v>1.25</v>
      </c>
      <c r="I303">
        <v>-0.24999999000000001</v>
      </c>
      <c r="J303">
        <v>0.44444447999999998</v>
      </c>
    </row>
    <row r="304" spans="1:10" x14ac:dyDescent="0.3">
      <c r="A304">
        <v>302</v>
      </c>
      <c r="B304">
        <v>4807</v>
      </c>
      <c r="C304" t="b">
        <v>1</v>
      </c>
      <c r="D304">
        <v>8048</v>
      </c>
      <c r="E304">
        <v>8123</v>
      </c>
      <c r="F304">
        <v>8</v>
      </c>
      <c r="G304">
        <v>6</v>
      </c>
      <c r="H304">
        <v>1.3333333999999999</v>
      </c>
      <c r="I304">
        <v>-0.33333333999999998</v>
      </c>
      <c r="J304">
        <v>0.42857142999999998</v>
      </c>
    </row>
    <row r="305" spans="1:10" x14ac:dyDescent="0.3">
      <c r="A305">
        <v>303</v>
      </c>
      <c r="B305">
        <v>4824</v>
      </c>
      <c r="C305" t="b">
        <v>1</v>
      </c>
      <c r="D305">
        <v>8054</v>
      </c>
      <c r="E305">
        <v>8123</v>
      </c>
      <c r="F305">
        <v>8</v>
      </c>
      <c r="G305">
        <v>6</v>
      </c>
      <c r="H305">
        <v>1.3333333999999999</v>
      </c>
      <c r="I305">
        <v>-0.33333333999999998</v>
      </c>
      <c r="J305">
        <v>0.42857142999999998</v>
      </c>
    </row>
    <row r="306" spans="1:10" x14ac:dyDescent="0.3">
      <c r="A306">
        <v>304</v>
      </c>
      <c r="B306">
        <v>4839</v>
      </c>
      <c r="C306" t="b">
        <v>1</v>
      </c>
      <c r="D306">
        <v>8048</v>
      </c>
      <c r="E306">
        <v>8129</v>
      </c>
      <c r="F306">
        <v>8</v>
      </c>
      <c r="G306">
        <v>6.4</v>
      </c>
      <c r="H306">
        <v>1.25</v>
      </c>
      <c r="I306">
        <v>-0.24999999000000001</v>
      </c>
      <c r="J306">
        <v>0.44444447999999998</v>
      </c>
    </row>
    <row r="307" spans="1:10" x14ac:dyDescent="0.3">
      <c r="A307">
        <v>305</v>
      </c>
      <c r="B307">
        <v>4855</v>
      </c>
      <c r="C307" t="b">
        <v>1</v>
      </c>
      <c r="D307">
        <v>8048</v>
      </c>
      <c r="E307">
        <v>8123</v>
      </c>
      <c r="F307">
        <v>8</v>
      </c>
      <c r="G307">
        <v>6.4</v>
      </c>
      <c r="H307">
        <v>1.25</v>
      </c>
      <c r="I307">
        <v>-0.24999999000000001</v>
      </c>
      <c r="J307">
        <v>0.44444447999999998</v>
      </c>
    </row>
    <row r="308" spans="1:10" x14ac:dyDescent="0.3">
      <c r="A308">
        <v>306</v>
      </c>
      <c r="B308">
        <v>4871</v>
      </c>
      <c r="C308" t="b">
        <v>1</v>
      </c>
      <c r="D308">
        <v>8054</v>
      </c>
      <c r="E308">
        <v>8117</v>
      </c>
      <c r="F308">
        <v>8</v>
      </c>
      <c r="G308">
        <v>6.4</v>
      </c>
      <c r="H308">
        <v>1.25</v>
      </c>
      <c r="I308">
        <v>-0.24999999000000001</v>
      </c>
      <c r="J308">
        <v>0.44444447999999998</v>
      </c>
    </row>
    <row r="309" spans="1:10" x14ac:dyDescent="0.3">
      <c r="A309">
        <v>307</v>
      </c>
      <c r="B309">
        <v>4887</v>
      </c>
      <c r="C309" t="b">
        <v>1</v>
      </c>
      <c r="D309">
        <v>8042</v>
      </c>
      <c r="E309">
        <v>8117</v>
      </c>
      <c r="F309">
        <v>8</v>
      </c>
      <c r="G309">
        <v>6.4</v>
      </c>
      <c r="H309">
        <v>1.25</v>
      </c>
      <c r="I309">
        <v>-0.24999999000000001</v>
      </c>
      <c r="J309">
        <v>0.44444447999999998</v>
      </c>
    </row>
    <row r="310" spans="1:10" x14ac:dyDescent="0.3">
      <c r="A310">
        <v>308</v>
      </c>
      <c r="B310">
        <v>4903</v>
      </c>
      <c r="C310" t="b">
        <v>1</v>
      </c>
      <c r="D310">
        <v>8042</v>
      </c>
      <c r="E310">
        <v>8117</v>
      </c>
      <c r="F310">
        <v>8</v>
      </c>
      <c r="G310">
        <v>6</v>
      </c>
      <c r="H310">
        <v>1.3333333999999999</v>
      </c>
      <c r="I310">
        <v>-0.33333333999999998</v>
      </c>
      <c r="J310">
        <v>0.42857142999999998</v>
      </c>
    </row>
    <row r="311" spans="1:10" x14ac:dyDescent="0.3">
      <c r="A311">
        <v>309</v>
      </c>
      <c r="B311">
        <v>4919</v>
      </c>
      <c r="C311" t="b">
        <v>1</v>
      </c>
      <c r="D311">
        <v>8042</v>
      </c>
      <c r="E311">
        <v>8117</v>
      </c>
      <c r="F311">
        <v>7.6</v>
      </c>
      <c r="G311">
        <v>5.6</v>
      </c>
      <c r="H311">
        <v>1.3571428000000001</v>
      </c>
      <c r="I311">
        <v>-0.35714287</v>
      </c>
      <c r="J311">
        <v>0.42424244</v>
      </c>
    </row>
    <row r="312" spans="1:10" x14ac:dyDescent="0.3">
      <c r="A312">
        <v>310</v>
      </c>
      <c r="B312">
        <v>4935</v>
      </c>
      <c r="C312" t="b">
        <v>1</v>
      </c>
      <c r="D312">
        <v>8048</v>
      </c>
      <c r="E312">
        <v>8117</v>
      </c>
      <c r="F312">
        <v>7.2</v>
      </c>
      <c r="G312">
        <v>5.2</v>
      </c>
      <c r="H312">
        <v>1.3846153999999999</v>
      </c>
      <c r="I312">
        <v>-0.3846154</v>
      </c>
      <c r="J312">
        <v>0.41935483000000001</v>
      </c>
    </row>
    <row r="313" spans="1:10" x14ac:dyDescent="0.3">
      <c r="A313">
        <v>311</v>
      </c>
      <c r="B313">
        <v>4950</v>
      </c>
      <c r="C313" t="b">
        <v>1</v>
      </c>
      <c r="D313">
        <v>8042</v>
      </c>
      <c r="E313">
        <v>8117</v>
      </c>
      <c r="F313">
        <v>6.8</v>
      </c>
      <c r="G313">
        <v>5.2</v>
      </c>
      <c r="H313">
        <v>1.3076924000000001</v>
      </c>
      <c r="I313">
        <v>-0.30769237999999999</v>
      </c>
      <c r="J313">
        <v>0.43333329999999998</v>
      </c>
    </row>
    <row r="314" spans="1:10" x14ac:dyDescent="0.3">
      <c r="A314">
        <v>312</v>
      </c>
      <c r="B314">
        <v>4966</v>
      </c>
      <c r="C314" t="b">
        <v>1</v>
      </c>
      <c r="D314">
        <v>8042</v>
      </c>
      <c r="E314">
        <v>8123</v>
      </c>
      <c r="F314">
        <v>6.4</v>
      </c>
      <c r="G314">
        <v>5.2</v>
      </c>
      <c r="H314">
        <v>1.2307693</v>
      </c>
      <c r="I314">
        <v>-0.23076928999999999</v>
      </c>
      <c r="J314">
        <v>0.44827582999999999</v>
      </c>
    </row>
    <row r="315" spans="1:10" x14ac:dyDescent="0.3">
      <c r="A315">
        <v>313</v>
      </c>
      <c r="B315">
        <v>4982</v>
      </c>
      <c r="C315" t="b">
        <v>1</v>
      </c>
      <c r="D315">
        <v>8048</v>
      </c>
      <c r="E315">
        <v>8134</v>
      </c>
      <c r="F315">
        <v>6</v>
      </c>
      <c r="G315">
        <v>5.2</v>
      </c>
      <c r="H315">
        <v>1.1538461</v>
      </c>
      <c r="I315">
        <v>-0.15384618999999999</v>
      </c>
      <c r="J315">
        <v>0.46428570000000002</v>
      </c>
    </row>
    <row r="316" spans="1:10" x14ac:dyDescent="0.3">
      <c r="A316">
        <v>314</v>
      </c>
      <c r="B316">
        <v>4998</v>
      </c>
      <c r="C316" t="b">
        <v>1</v>
      </c>
      <c r="D316">
        <v>8054</v>
      </c>
      <c r="E316">
        <v>8123</v>
      </c>
      <c r="F316">
        <v>6</v>
      </c>
      <c r="G316">
        <v>5.6</v>
      </c>
      <c r="H316">
        <v>1.0714284999999999</v>
      </c>
      <c r="I316">
        <v>-7.142859E-2</v>
      </c>
      <c r="J316">
        <v>0.48275859999999998</v>
      </c>
    </row>
    <row r="317" spans="1:10" x14ac:dyDescent="0.3">
      <c r="A317">
        <v>315</v>
      </c>
      <c r="B317">
        <v>5014</v>
      </c>
      <c r="C317" t="b">
        <v>1</v>
      </c>
      <c r="D317">
        <v>8048</v>
      </c>
      <c r="E317">
        <v>8123</v>
      </c>
      <c r="F317">
        <v>6</v>
      </c>
      <c r="G317">
        <v>6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5030</v>
      </c>
      <c r="C318" t="b">
        <v>1</v>
      </c>
      <c r="D318">
        <v>8048</v>
      </c>
      <c r="E318">
        <v>8129</v>
      </c>
      <c r="F318">
        <v>6</v>
      </c>
      <c r="G318">
        <v>6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5046</v>
      </c>
      <c r="C319" t="b">
        <v>1</v>
      </c>
      <c r="D319">
        <v>8048</v>
      </c>
      <c r="E319">
        <v>8123</v>
      </c>
      <c r="F319">
        <v>6</v>
      </c>
      <c r="G319">
        <v>6</v>
      </c>
      <c r="H319">
        <v>1</v>
      </c>
      <c r="I319">
        <v>0</v>
      </c>
      <c r="J319">
        <v>0.5</v>
      </c>
    </row>
    <row r="320" spans="1:10" x14ac:dyDescent="0.3">
      <c r="A320">
        <v>318</v>
      </c>
      <c r="B320">
        <v>5062</v>
      </c>
      <c r="C320" t="b">
        <v>1</v>
      </c>
      <c r="D320">
        <v>8048</v>
      </c>
      <c r="E320">
        <v>8123</v>
      </c>
      <c r="F320">
        <v>6</v>
      </c>
      <c r="G320">
        <v>6</v>
      </c>
      <c r="H320">
        <v>1</v>
      </c>
      <c r="I320">
        <v>0</v>
      </c>
      <c r="J320">
        <v>0.5</v>
      </c>
    </row>
    <row r="321" spans="1:10" x14ac:dyDescent="0.3">
      <c r="A321">
        <v>319</v>
      </c>
      <c r="B321">
        <v>5078</v>
      </c>
      <c r="C321" t="b">
        <v>1</v>
      </c>
      <c r="D321">
        <v>8042</v>
      </c>
      <c r="E321">
        <v>8123</v>
      </c>
      <c r="F321">
        <v>6</v>
      </c>
      <c r="G321">
        <v>5.6</v>
      </c>
      <c r="H321">
        <v>1.0714284999999999</v>
      </c>
      <c r="I321">
        <v>-7.142859E-2</v>
      </c>
      <c r="J321">
        <v>0.48275859999999998</v>
      </c>
    </row>
    <row r="322" spans="1:10" x14ac:dyDescent="0.3">
      <c r="A322">
        <v>320</v>
      </c>
      <c r="B322">
        <v>5094</v>
      </c>
      <c r="C322" t="b">
        <v>1</v>
      </c>
      <c r="D322">
        <v>8048</v>
      </c>
      <c r="E322">
        <v>8123</v>
      </c>
      <c r="F322">
        <v>6</v>
      </c>
      <c r="G322">
        <v>5.6</v>
      </c>
      <c r="H322">
        <v>1.0714284999999999</v>
      </c>
      <c r="I322">
        <v>-7.142859E-2</v>
      </c>
      <c r="J322">
        <v>0.48275859999999998</v>
      </c>
    </row>
    <row r="323" spans="1:10" x14ac:dyDescent="0.3">
      <c r="A323">
        <v>321</v>
      </c>
      <c r="B323">
        <v>5110</v>
      </c>
      <c r="C323" t="b">
        <v>1</v>
      </c>
      <c r="D323">
        <v>8042</v>
      </c>
      <c r="E323">
        <v>8123</v>
      </c>
      <c r="F323">
        <v>6</v>
      </c>
      <c r="G323">
        <v>5.6</v>
      </c>
      <c r="H323">
        <v>1.0714284999999999</v>
      </c>
      <c r="I323">
        <v>-7.142859E-2</v>
      </c>
      <c r="J323">
        <v>0.48275859999999998</v>
      </c>
    </row>
    <row r="324" spans="1:10" x14ac:dyDescent="0.3">
      <c r="A324">
        <v>322</v>
      </c>
      <c r="B324">
        <v>5126</v>
      </c>
      <c r="C324" t="b">
        <v>1</v>
      </c>
      <c r="D324">
        <v>8042</v>
      </c>
      <c r="E324">
        <v>8123</v>
      </c>
      <c r="F324">
        <v>5.6</v>
      </c>
      <c r="G324">
        <v>5.6</v>
      </c>
      <c r="H324">
        <v>1</v>
      </c>
      <c r="I324">
        <v>0</v>
      </c>
      <c r="J324">
        <v>0.5</v>
      </c>
    </row>
    <row r="325" spans="1:10" x14ac:dyDescent="0.3">
      <c r="A325">
        <v>323</v>
      </c>
      <c r="B325">
        <v>5142</v>
      </c>
      <c r="C325" t="b">
        <v>1</v>
      </c>
      <c r="D325">
        <v>8042</v>
      </c>
      <c r="E325">
        <v>8129</v>
      </c>
      <c r="F325">
        <v>5.2</v>
      </c>
      <c r="G325">
        <v>6</v>
      </c>
      <c r="H325">
        <v>0.86666659999999995</v>
      </c>
      <c r="I325">
        <v>0.13333337000000001</v>
      </c>
      <c r="J325">
        <v>0.53571427000000005</v>
      </c>
    </row>
    <row r="326" spans="1:10" x14ac:dyDescent="0.3">
      <c r="A326">
        <v>324</v>
      </c>
      <c r="B326">
        <v>5158</v>
      </c>
      <c r="C326" t="b">
        <v>1</v>
      </c>
      <c r="D326">
        <v>8042</v>
      </c>
      <c r="E326">
        <v>8123</v>
      </c>
      <c r="F326">
        <v>5.2</v>
      </c>
      <c r="G326">
        <v>6.4</v>
      </c>
      <c r="H326">
        <v>0.81249994000000003</v>
      </c>
      <c r="I326">
        <v>0.18750004000000001</v>
      </c>
      <c r="J326">
        <v>0.55172414000000003</v>
      </c>
    </row>
    <row r="327" spans="1:10" x14ac:dyDescent="0.3">
      <c r="A327">
        <v>325</v>
      </c>
      <c r="B327">
        <v>5174</v>
      </c>
      <c r="C327" t="b">
        <v>1</v>
      </c>
      <c r="D327">
        <v>8037</v>
      </c>
      <c r="E327">
        <v>8129</v>
      </c>
      <c r="F327">
        <v>5.2</v>
      </c>
      <c r="G327">
        <v>6.8</v>
      </c>
      <c r="H327">
        <v>0.76470583999999997</v>
      </c>
      <c r="I327">
        <v>0.23529416</v>
      </c>
      <c r="J327">
        <v>0.56666665999999999</v>
      </c>
    </row>
    <row r="328" spans="1:10" x14ac:dyDescent="0.3">
      <c r="A328">
        <v>326</v>
      </c>
      <c r="B328">
        <v>5189</v>
      </c>
      <c r="C328" t="b">
        <v>1</v>
      </c>
      <c r="D328">
        <v>8048</v>
      </c>
      <c r="E328">
        <v>8123</v>
      </c>
      <c r="F328">
        <v>5.2</v>
      </c>
      <c r="G328">
        <v>7.2</v>
      </c>
      <c r="H328">
        <v>0.72222220000000004</v>
      </c>
      <c r="I328">
        <v>0.27777780000000002</v>
      </c>
      <c r="J328">
        <v>0.58064514</v>
      </c>
    </row>
    <row r="329" spans="1:10" x14ac:dyDescent="0.3">
      <c r="A329">
        <v>327</v>
      </c>
      <c r="B329">
        <v>5205</v>
      </c>
      <c r="C329" t="b">
        <v>1</v>
      </c>
      <c r="D329">
        <v>8048</v>
      </c>
      <c r="E329">
        <v>8123</v>
      </c>
      <c r="F329">
        <v>5.2</v>
      </c>
      <c r="G329">
        <v>7.6</v>
      </c>
      <c r="H329">
        <v>0.68421054000000003</v>
      </c>
      <c r="I329">
        <v>0.3157895</v>
      </c>
      <c r="J329">
        <v>0.59375</v>
      </c>
    </row>
    <row r="330" spans="1:10" x14ac:dyDescent="0.3">
      <c r="A330">
        <v>328</v>
      </c>
      <c r="B330">
        <v>5221</v>
      </c>
      <c r="C330" t="b">
        <v>1</v>
      </c>
      <c r="D330">
        <v>8048</v>
      </c>
      <c r="E330">
        <v>8123</v>
      </c>
      <c r="F330">
        <v>5.6</v>
      </c>
      <c r="G330">
        <v>8</v>
      </c>
      <c r="H330">
        <v>0.7</v>
      </c>
      <c r="I330">
        <v>0.3</v>
      </c>
      <c r="J330">
        <v>0.58823526000000004</v>
      </c>
    </row>
    <row r="331" spans="1:10" x14ac:dyDescent="0.3">
      <c r="A331">
        <v>329</v>
      </c>
      <c r="B331">
        <v>5237</v>
      </c>
      <c r="C331" t="b">
        <v>1</v>
      </c>
      <c r="D331">
        <v>8054</v>
      </c>
      <c r="E331">
        <v>8129</v>
      </c>
      <c r="F331">
        <v>5.6</v>
      </c>
      <c r="G331">
        <v>8</v>
      </c>
      <c r="H331">
        <v>0.7</v>
      </c>
      <c r="I331">
        <v>0.3</v>
      </c>
      <c r="J331">
        <v>0.58823526000000004</v>
      </c>
    </row>
    <row r="332" spans="1:10" x14ac:dyDescent="0.3">
      <c r="A332">
        <v>330</v>
      </c>
      <c r="B332">
        <v>5253</v>
      </c>
      <c r="C332" t="b">
        <v>1</v>
      </c>
      <c r="D332">
        <v>8054</v>
      </c>
      <c r="E332">
        <v>8117</v>
      </c>
      <c r="F332">
        <v>5.6</v>
      </c>
      <c r="G332">
        <v>8</v>
      </c>
      <c r="H332">
        <v>0.7</v>
      </c>
      <c r="I332">
        <v>0.3</v>
      </c>
      <c r="J332">
        <v>0.58823526000000004</v>
      </c>
    </row>
    <row r="333" spans="1:10" x14ac:dyDescent="0.3">
      <c r="A333">
        <v>331</v>
      </c>
      <c r="B333">
        <v>5269</v>
      </c>
      <c r="C333" t="b">
        <v>1</v>
      </c>
      <c r="D333">
        <v>8048</v>
      </c>
      <c r="E333">
        <v>8117</v>
      </c>
      <c r="F333">
        <v>5.6</v>
      </c>
      <c r="G333">
        <v>8</v>
      </c>
      <c r="H333">
        <v>0.7</v>
      </c>
      <c r="I333">
        <v>0.3</v>
      </c>
      <c r="J333">
        <v>0.58823526000000004</v>
      </c>
    </row>
    <row r="334" spans="1:10" x14ac:dyDescent="0.3">
      <c r="A334">
        <v>332</v>
      </c>
      <c r="B334">
        <v>5285</v>
      </c>
      <c r="C334" t="b">
        <v>1</v>
      </c>
      <c r="D334">
        <v>8048</v>
      </c>
      <c r="E334">
        <v>8129</v>
      </c>
      <c r="F334">
        <v>5.6</v>
      </c>
      <c r="G334">
        <v>8</v>
      </c>
      <c r="H334">
        <v>0.7</v>
      </c>
      <c r="I334">
        <v>0.3</v>
      </c>
      <c r="J334">
        <v>0.58823526000000004</v>
      </c>
    </row>
    <row r="335" spans="1:10" x14ac:dyDescent="0.3">
      <c r="A335">
        <v>333</v>
      </c>
      <c r="B335">
        <v>5301</v>
      </c>
      <c r="C335" t="b">
        <v>1</v>
      </c>
      <c r="D335">
        <v>8048</v>
      </c>
      <c r="E335">
        <v>8123</v>
      </c>
      <c r="F335">
        <v>5.6</v>
      </c>
      <c r="G335">
        <v>8</v>
      </c>
      <c r="H335">
        <v>0.7</v>
      </c>
      <c r="I335">
        <v>0.3</v>
      </c>
      <c r="J335">
        <v>0.58823526000000004</v>
      </c>
    </row>
    <row r="336" spans="1:10" x14ac:dyDescent="0.3">
      <c r="A336">
        <v>334</v>
      </c>
      <c r="B336">
        <v>5317</v>
      </c>
      <c r="C336" t="b">
        <v>1</v>
      </c>
      <c r="D336">
        <v>8048</v>
      </c>
      <c r="E336">
        <v>8123</v>
      </c>
      <c r="F336">
        <v>5.6</v>
      </c>
      <c r="G336">
        <v>8</v>
      </c>
      <c r="H336">
        <v>0.7</v>
      </c>
      <c r="I336">
        <v>0.3</v>
      </c>
      <c r="J336">
        <v>0.58823526000000004</v>
      </c>
    </row>
    <row r="337" spans="1:10" x14ac:dyDescent="0.3">
      <c r="A337">
        <v>335</v>
      </c>
      <c r="B337">
        <v>5333</v>
      </c>
      <c r="C337" t="b">
        <v>1</v>
      </c>
      <c r="D337">
        <v>8048</v>
      </c>
      <c r="E337">
        <v>8123</v>
      </c>
      <c r="F337">
        <v>5.6</v>
      </c>
      <c r="G337">
        <v>8</v>
      </c>
      <c r="H337">
        <v>0.7</v>
      </c>
      <c r="I337">
        <v>0.3</v>
      </c>
      <c r="J337">
        <v>0.58823526000000004</v>
      </c>
    </row>
    <row r="338" spans="1:10" x14ac:dyDescent="0.3">
      <c r="A338">
        <v>336</v>
      </c>
      <c r="B338">
        <v>5349</v>
      </c>
      <c r="C338" t="b">
        <v>1</v>
      </c>
      <c r="D338">
        <v>8048</v>
      </c>
      <c r="E338">
        <v>8117</v>
      </c>
      <c r="F338">
        <v>5.6</v>
      </c>
      <c r="G338">
        <v>8</v>
      </c>
      <c r="H338">
        <v>0.7</v>
      </c>
      <c r="I338">
        <v>0.3</v>
      </c>
      <c r="J338">
        <v>0.58823526000000004</v>
      </c>
    </row>
    <row r="339" spans="1:10" x14ac:dyDescent="0.3">
      <c r="A339">
        <v>337</v>
      </c>
      <c r="B339">
        <v>5364</v>
      </c>
      <c r="C339" t="b">
        <v>1</v>
      </c>
      <c r="D339">
        <v>8048</v>
      </c>
      <c r="E339">
        <v>8123</v>
      </c>
      <c r="F339">
        <v>6</v>
      </c>
      <c r="G339">
        <v>8</v>
      </c>
      <c r="H339">
        <v>0.75</v>
      </c>
      <c r="I339">
        <v>0.25</v>
      </c>
      <c r="J339">
        <v>0.57142859999999995</v>
      </c>
    </row>
    <row r="340" spans="1:10" x14ac:dyDescent="0.3">
      <c r="A340">
        <v>338</v>
      </c>
      <c r="B340">
        <v>5381</v>
      </c>
      <c r="C340" t="b">
        <v>1</v>
      </c>
      <c r="D340">
        <v>8048</v>
      </c>
      <c r="E340">
        <v>8123</v>
      </c>
      <c r="F340">
        <v>6.4</v>
      </c>
      <c r="G340">
        <v>8</v>
      </c>
      <c r="H340">
        <v>0.8</v>
      </c>
      <c r="I340">
        <v>0.19999998999999999</v>
      </c>
      <c r="J340">
        <v>0.55555560000000004</v>
      </c>
    </row>
    <row r="341" spans="1:10" x14ac:dyDescent="0.3">
      <c r="A341">
        <v>339</v>
      </c>
      <c r="B341">
        <v>5396</v>
      </c>
      <c r="C341" t="b">
        <v>1</v>
      </c>
      <c r="D341">
        <v>8048</v>
      </c>
      <c r="E341">
        <v>8129</v>
      </c>
      <c r="F341">
        <v>6.8</v>
      </c>
      <c r="G341">
        <v>8</v>
      </c>
      <c r="H341">
        <v>0.85</v>
      </c>
      <c r="I341">
        <v>0.14999998</v>
      </c>
      <c r="J341">
        <v>0.54054049999999998</v>
      </c>
    </row>
    <row r="342" spans="1:10" x14ac:dyDescent="0.3">
      <c r="A342">
        <v>340</v>
      </c>
      <c r="B342">
        <v>5412</v>
      </c>
      <c r="C342" t="b">
        <v>1</v>
      </c>
      <c r="D342">
        <v>8054</v>
      </c>
      <c r="E342">
        <v>8129</v>
      </c>
      <c r="F342">
        <v>7.2</v>
      </c>
      <c r="G342">
        <v>8</v>
      </c>
      <c r="H342">
        <v>0.9</v>
      </c>
      <c r="I342">
        <v>0.10000002400000001</v>
      </c>
      <c r="J342">
        <v>0.5263158</v>
      </c>
    </row>
    <row r="343" spans="1:10" x14ac:dyDescent="0.3">
      <c r="A343">
        <v>341</v>
      </c>
      <c r="B343">
        <v>5428</v>
      </c>
      <c r="C343" t="b">
        <v>1</v>
      </c>
      <c r="D343">
        <v>8048</v>
      </c>
      <c r="E343">
        <v>8123</v>
      </c>
      <c r="F343">
        <v>7.6</v>
      </c>
      <c r="G343">
        <v>8</v>
      </c>
      <c r="H343">
        <v>0.95</v>
      </c>
      <c r="I343">
        <v>5.0000012000000003E-2</v>
      </c>
      <c r="J343">
        <v>0.51282050000000001</v>
      </c>
    </row>
    <row r="344" spans="1:10" x14ac:dyDescent="0.3">
      <c r="A344">
        <v>342</v>
      </c>
      <c r="B344">
        <v>5444</v>
      </c>
      <c r="C344" t="b">
        <v>1</v>
      </c>
      <c r="D344">
        <v>8048</v>
      </c>
      <c r="E344">
        <v>8123</v>
      </c>
      <c r="F344">
        <v>8</v>
      </c>
      <c r="G344">
        <v>8</v>
      </c>
      <c r="H344">
        <v>1</v>
      </c>
      <c r="I344">
        <v>0</v>
      </c>
      <c r="J344">
        <v>0.5</v>
      </c>
    </row>
    <row r="345" spans="1:10" x14ac:dyDescent="0.3">
      <c r="A345">
        <v>343</v>
      </c>
      <c r="B345">
        <v>5460</v>
      </c>
      <c r="C345" t="b">
        <v>1</v>
      </c>
      <c r="D345">
        <v>8048</v>
      </c>
      <c r="E345">
        <v>8123</v>
      </c>
      <c r="F345">
        <v>8</v>
      </c>
      <c r="G345">
        <v>8</v>
      </c>
      <c r="H345">
        <v>1</v>
      </c>
      <c r="I345">
        <v>0</v>
      </c>
      <c r="J345">
        <v>0.5</v>
      </c>
    </row>
    <row r="346" spans="1:10" x14ac:dyDescent="0.3">
      <c r="A346">
        <v>344</v>
      </c>
      <c r="B346">
        <v>5475</v>
      </c>
      <c r="C346" t="b">
        <v>1</v>
      </c>
      <c r="D346">
        <v>8048</v>
      </c>
      <c r="E346">
        <v>8123</v>
      </c>
      <c r="F346">
        <v>8</v>
      </c>
      <c r="G346">
        <v>8</v>
      </c>
      <c r="H346">
        <v>1</v>
      </c>
      <c r="I346">
        <v>0</v>
      </c>
      <c r="J346">
        <v>0.5</v>
      </c>
    </row>
    <row r="347" spans="1:10" x14ac:dyDescent="0.3">
      <c r="A347">
        <v>345</v>
      </c>
      <c r="B347">
        <v>5491</v>
      </c>
      <c r="C347" t="b">
        <v>1</v>
      </c>
      <c r="D347">
        <v>8048</v>
      </c>
      <c r="E347">
        <v>8129</v>
      </c>
      <c r="F347">
        <v>8</v>
      </c>
      <c r="G347">
        <v>8</v>
      </c>
      <c r="H347">
        <v>1</v>
      </c>
      <c r="I347">
        <v>0</v>
      </c>
      <c r="J347">
        <v>0.5</v>
      </c>
    </row>
    <row r="348" spans="1:10" x14ac:dyDescent="0.3">
      <c r="A348">
        <v>346</v>
      </c>
      <c r="B348">
        <v>5507</v>
      </c>
      <c r="C348" t="b">
        <v>1</v>
      </c>
      <c r="D348">
        <v>8048</v>
      </c>
      <c r="E348">
        <v>8129</v>
      </c>
      <c r="F348">
        <v>8</v>
      </c>
      <c r="G348">
        <v>8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5523</v>
      </c>
      <c r="C349" t="b">
        <v>1</v>
      </c>
      <c r="D349">
        <v>8048</v>
      </c>
      <c r="E349">
        <v>8129</v>
      </c>
      <c r="F349">
        <v>8</v>
      </c>
      <c r="G349">
        <v>8.4</v>
      </c>
      <c r="H349">
        <v>0.95238100000000003</v>
      </c>
      <c r="I349">
        <v>4.7619003999999999E-2</v>
      </c>
      <c r="J349">
        <v>0.51219510000000001</v>
      </c>
    </row>
    <row r="350" spans="1:10" x14ac:dyDescent="0.3">
      <c r="A350">
        <v>348</v>
      </c>
      <c r="B350">
        <v>5539</v>
      </c>
      <c r="C350" t="b">
        <v>1</v>
      </c>
      <c r="D350">
        <v>8048</v>
      </c>
      <c r="E350">
        <v>8123</v>
      </c>
      <c r="F350">
        <v>8</v>
      </c>
      <c r="G350">
        <v>8.8000000000000007</v>
      </c>
      <c r="H350">
        <v>0.90909090000000004</v>
      </c>
      <c r="I350">
        <v>9.0909110000000001E-2</v>
      </c>
      <c r="J350">
        <v>0.52380954999999996</v>
      </c>
    </row>
    <row r="351" spans="1:10" x14ac:dyDescent="0.3">
      <c r="A351">
        <v>349</v>
      </c>
      <c r="B351">
        <v>5555</v>
      </c>
      <c r="C351" t="b">
        <v>1</v>
      </c>
      <c r="D351">
        <v>8048</v>
      </c>
      <c r="E351">
        <v>8129</v>
      </c>
      <c r="F351">
        <v>8</v>
      </c>
      <c r="G351">
        <v>9.1999999999999993</v>
      </c>
      <c r="H351">
        <v>0.86956524999999996</v>
      </c>
      <c r="I351">
        <v>0.13043477000000001</v>
      </c>
      <c r="J351">
        <v>0.53488369999999996</v>
      </c>
    </row>
    <row r="352" spans="1:10" x14ac:dyDescent="0.3">
      <c r="A352">
        <v>350</v>
      </c>
      <c r="B352">
        <v>5571</v>
      </c>
      <c r="C352" t="b">
        <v>1</v>
      </c>
      <c r="D352">
        <v>8048</v>
      </c>
      <c r="E352">
        <v>8129</v>
      </c>
      <c r="F352">
        <v>8</v>
      </c>
      <c r="G352">
        <v>9.6</v>
      </c>
      <c r="H352">
        <v>0.83333330000000005</v>
      </c>
      <c r="I352">
        <v>0.1666667</v>
      </c>
      <c r="J352">
        <v>0.54545456000000003</v>
      </c>
    </row>
    <row r="353" spans="1:10" x14ac:dyDescent="0.3">
      <c r="A353">
        <v>351</v>
      </c>
      <c r="B353">
        <v>5586</v>
      </c>
      <c r="C353" t="b">
        <v>1</v>
      </c>
      <c r="D353">
        <v>8048</v>
      </c>
      <c r="E353">
        <v>8129</v>
      </c>
      <c r="F353">
        <v>8</v>
      </c>
      <c r="G353">
        <v>10</v>
      </c>
      <c r="H353">
        <v>0.8</v>
      </c>
      <c r="I353">
        <v>0.2</v>
      </c>
      <c r="J353">
        <v>0.55555560000000004</v>
      </c>
    </row>
    <row r="354" spans="1:10" x14ac:dyDescent="0.3">
      <c r="A354">
        <v>352</v>
      </c>
      <c r="B354">
        <v>5602</v>
      </c>
      <c r="C354" t="b">
        <v>1</v>
      </c>
      <c r="D354">
        <v>8042</v>
      </c>
      <c r="E354">
        <v>8134</v>
      </c>
      <c r="F354">
        <v>8</v>
      </c>
      <c r="G354">
        <v>10.4</v>
      </c>
      <c r="H354">
        <v>0.76923079999999999</v>
      </c>
      <c r="I354">
        <v>0.23076920000000001</v>
      </c>
      <c r="J354">
        <v>0.56521739999999998</v>
      </c>
    </row>
    <row r="355" spans="1:10" x14ac:dyDescent="0.3">
      <c r="A355">
        <v>353</v>
      </c>
      <c r="B355">
        <v>5618</v>
      </c>
      <c r="C355" t="b">
        <v>1</v>
      </c>
      <c r="D355">
        <v>8048</v>
      </c>
      <c r="E355">
        <v>8129</v>
      </c>
      <c r="F355">
        <v>8</v>
      </c>
      <c r="G355">
        <v>10.8</v>
      </c>
      <c r="H355">
        <v>0.74074070000000003</v>
      </c>
      <c r="I355">
        <v>0.25925927999999998</v>
      </c>
      <c r="J355">
        <v>0.57446814000000002</v>
      </c>
    </row>
    <row r="356" spans="1:10" x14ac:dyDescent="0.3">
      <c r="A356">
        <v>354</v>
      </c>
      <c r="B356">
        <v>5635</v>
      </c>
      <c r="C356" t="b">
        <v>1</v>
      </c>
      <c r="D356">
        <v>8048</v>
      </c>
      <c r="E356">
        <v>8123</v>
      </c>
      <c r="F356">
        <v>8</v>
      </c>
      <c r="G356">
        <v>11.2</v>
      </c>
      <c r="H356">
        <v>0.71428572999999995</v>
      </c>
      <c r="I356">
        <v>0.28571426999999999</v>
      </c>
      <c r="J356">
        <v>0.58333330000000005</v>
      </c>
    </row>
    <row r="357" spans="1:10" x14ac:dyDescent="0.3">
      <c r="A357">
        <v>355</v>
      </c>
      <c r="B357">
        <v>5651</v>
      </c>
      <c r="C357" t="b">
        <v>1</v>
      </c>
      <c r="D357">
        <v>8048</v>
      </c>
      <c r="E357">
        <v>8117</v>
      </c>
      <c r="F357">
        <v>8</v>
      </c>
      <c r="G357">
        <v>11.6</v>
      </c>
      <c r="H357">
        <v>0.68965509999999997</v>
      </c>
      <c r="I357">
        <v>0.31034485000000001</v>
      </c>
      <c r="J357">
        <v>0.59183675000000002</v>
      </c>
    </row>
    <row r="358" spans="1:10" x14ac:dyDescent="0.3">
      <c r="A358">
        <v>356</v>
      </c>
      <c r="B358">
        <v>5666</v>
      </c>
      <c r="C358" t="b">
        <v>1</v>
      </c>
      <c r="D358">
        <v>8048</v>
      </c>
      <c r="E358">
        <v>8123</v>
      </c>
      <c r="F358">
        <v>8</v>
      </c>
      <c r="G358">
        <v>11.6</v>
      </c>
      <c r="H358">
        <v>0.68965509999999997</v>
      </c>
      <c r="I358">
        <v>0.31034485000000001</v>
      </c>
      <c r="J358">
        <v>0.59183675000000002</v>
      </c>
    </row>
    <row r="359" spans="1:10" x14ac:dyDescent="0.3">
      <c r="A359">
        <v>357</v>
      </c>
      <c r="B359">
        <v>5683</v>
      </c>
      <c r="C359" t="b">
        <v>1</v>
      </c>
      <c r="D359">
        <v>8048</v>
      </c>
      <c r="E359">
        <v>8123</v>
      </c>
      <c r="F359">
        <v>8</v>
      </c>
      <c r="G359">
        <v>11.6</v>
      </c>
      <c r="H359">
        <v>0.68965509999999997</v>
      </c>
      <c r="I359">
        <v>0.31034485000000001</v>
      </c>
      <c r="J359">
        <v>0.59183675000000002</v>
      </c>
    </row>
    <row r="360" spans="1:10" x14ac:dyDescent="0.3">
      <c r="A360">
        <v>358</v>
      </c>
      <c r="B360">
        <v>5698</v>
      </c>
      <c r="C360" t="b">
        <v>1</v>
      </c>
      <c r="D360">
        <v>8048</v>
      </c>
      <c r="E360">
        <v>8123</v>
      </c>
      <c r="F360">
        <v>8</v>
      </c>
      <c r="G360">
        <v>11.6</v>
      </c>
      <c r="H360">
        <v>0.68965509999999997</v>
      </c>
      <c r="I360">
        <v>0.31034485000000001</v>
      </c>
      <c r="J360">
        <v>0.59183675000000002</v>
      </c>
    </row>
    <row r="361" spans="1:10" x14ac:dyDescent="0.3">
      <c r="A361">
        <v>359</v>
      </c>
      <c r="B361">
        <v>5714</v>
      </c>
      <c r="C361" t="b">
        <v>1</v>
      </c>
      <c r="D361">
        <v>8048</v>
      </c>
      <c r="E361">
        <v>8123</v>
      </c>
      <c r="F361">
        <v>8</v>
      </c>
      <c r="G361">
        <v>11.6</v>
      </c>
      <c r="H361">
        <v>0.68965509999999997</v>
      </c>
      <c r="I361">
        <v>0.31034485000000001</v>
      </c>
      <c r="J361">
        <v>0.59183675000000002</v>
      </c>
    </row>
    <row r="362" spans="1:10" x14ac:dyDescent="0.3">
      <c r="A362">
        <v>360</v>
      </c>
      <c r="B362">
        <v>5730</v>
      </c>
      <c r="C362" t="b">
        <v>1</v>
      </c>
      <c r="D362">
        <v>8048</v>
      </c>
      <c r="E362">
        <v>8123</v>
      </c>
      <c r="F362">
        <v>8</v>
      </c>
      <c r="G362">
        <v>11.6</v>
      </c>
      <c r="H362">
        <v>0.68965509999999997</v>
      </c>
      <c r="I362">
        <v>0.31034485000000001</v>
      </c>
      <c r="J362">
        <v>0.59183675000000002</v>
      </c>
    </row>
    <row r="363" spans="1:10" x14ac:dyDescent="0.3">
      <c r="A363">
        <v>361</v>
      </c>
      <c r="B363">
        <v>5746</v>
      </c>
      <c r="C363" t="b">
        <v>1</v>
      </c>
      <c r="D363">
        <v>8048</v>
      </c>
      <c r="E363">
        <v>8134</v>
      </c>
      <c r="F363">
        <v>8</v>
      </c>
      <c r="G363">
        <v>11.6</v>
      </c>
      <c r="H363">
        <v>0.68965509999999997</v>
      </c>
      <c r="I363">
        <v>0.31034485000000001</v>
      </c>
      <c r="J363">
        <v>0.59183675000000002</v>
      </c>
    </row>
    <row r="364" spans="1:10" x14ac:dyDescent="0.3">
      <c r="A364">
        <v>362</v>
      </c>
      <c r="B364">
        <v>5762</v>
      </c>
      <c r="C364" t="b">
        <v>1</v>
      </c>
      <c r="D364">
        <v>8048</v>
      </c>
      <c r="E364">
        <v>8129</v>
      </c>
      <c r="F364">
        <v>8</v>
      </c>
      <c r="G364">
        <v>11.2</v>
      </c>
      <c r="H364">
        <v>0.71428572999999995</v>
      </c>
      <c r="I364">
        <v>0.28571426999999999</v>
      </c>
      <c r="J364">
        <v>0.58333330000000005</v>
      </c>
    </row>
    <row r="365" spans="1:10" x14ac:dyDescent="0.3">
      <c r="A365">
        <v>363</v>
      </c>
      <c r="B365">
        <v>5777</v>
      </c>
      <c r="C365" t="b">
        <v>1</v>
      </c>
      <c r="D365">
        <v>8042</v>
      </c>
      <c r="E365">
        <v>8129</v>
      </c>
      <c r="F365">
        <v>8</v>
      </c>
      <c r="G365">
        <v>11.2</v>
      </c>
      <c r="H365">
        <v>0.71428572999999995</v>
      </c>
      <c r="I365">
        <v>0.28571426999999999</v>
      </c>
      <c r="J365">
        <v>0.58333330000000005</v>
      </c>
    </row>
    <row r="366" spans="1:10" x14ac:dyDescent="0.3">
      <c r="A366">
        <v>364</v>
      </c>
      <c r="B366">
        <v>5793</v>
      </c>
      <c r="C366" t="b">
        <v>1</v>
      </c>
      <c r="D366">
        <v>8054</v>
      </c>
      <c r="E366">
        <v>8129</v>
      </c>
      <c r="F366">
        <v>8</v>
      </c>
      <c r="G366">
        <v>11.2</v>
      </c>
      <c r="H366">
        <v>0.71428572999999995</v>
      </c>
      <c r="I366">
        <v>0.28571426999999999</v>
      </c>
      <c r="J366">
        <v>0.58333330000000005</v>
      </c>
    </row>
    <row r="367" spans="1:10" x14ac:dyDescent="0.3">
      <c r="A367">
        <v>365</v>
      </c>
      <c r="B367">
        <v>5809</v>
      </c>
      <c r="C367" t="b">
        <v>1</v>
      </c>
      <c r="D367">
        <v>8054</v>
      </c>
      <c r="E367">
        <v>8129</v>
      </c>
      <c r="F367">
        <v>8</v>
      </c>
      <c r="G367">
        <v>11.2</v>
      </c>
      <c r="H367">
        <v>0.71428572999999995</v>
      </c>
      <c r="I367">
        <v>0.28571426999999999</v>
      </c>
      <c r="J367">
        <v>0.58333330000000005</v>
      </c>
    </row>
    <row r="368" spans="1:10" x14ac:dyDescent="0.3">
      <c r="A368">
        <v>366</v>
      </c>
      <c r="B368">
        <v>5825</v>
      </c>
      <c r="C368" t="b">
        <v>1</v>
      </c>
      <c r="D368">
        <v>8054</v>
      </c>
      <c r="E368">
        <v>8134</v>
      </c>
      <c r="F368">
        <v>8.4</v>
      </c>
      <c r="G368">
        <v>11.2</v>
      </c>
      <c r="H368">
        <v>0.75</v>
      </c>
      <c r="I368">
        <v>0.25000002999999998</v>
      </c>
      <c r="J368">
        <v>0.57142859999999995</v>
      </c>
    </row>
    <row r="369" spans="1:10" x14ac:dyDescent="0.3">
      <c r="A369">
        <v>367</v>
      </c>
      <c r="B369">
        <v>5841</v>
      </c>
      <c r="C369" t="b">
        <v>1</v>
      </c>
      <c r="D369">
        <v>8054</v>
      </c>
      <c r="E369">
        <v>8134</v>
      </c>
      <c r="F369">
        <v>8.8000000000000007</v>
      </c>
      <c r="G369">
        <v>11.2</v>
      </c>
      <c r="H369">
        <v>0.78571429999999998</v>
      </c>
      <c r="I369">
        <v>0.21428569</v>
      </c>
      <c r="J369">
        <v>0.56000000000000005</v>
      </c>
    </row>
    <row r="370" spans="1:10" x14ac:dyDescent="0.3">
      <c r="A370">
        <v>368</v>
      </c>
      <c r="B370">
        <v>5857</v>
      </c>
      <c r="C370" t="b">
        <v>1</v>
      </c>
      <c r="D370">
        <v>8054</v>
      </c>
      <c r="E370">
        <v>8123</v>
      </c>
      <c r="F370">
        <v>9.1999999999999993</v>
      </c>
      <c r="G370">
        <v>11.2</v>
      </c>
      <c r="H370">
        <v>0.82142859999999995</v>
      </c>
      <c r="I370">
        <v>0.17857143</v>
      </c>
      <c r="J370">
        <v>0.54901962999999998</v>
      </c>
    </row>
    <row r="371" spans="1:10" x14ac:dyDescent="0.3">
      <c r="A371">
        <v>369</v>
      </c>
      <c r="B371">
        <v>5872</v>
      </c>
      <c r="C371" t="b">
        <v>1</v>
      </c>
      <c r="D371">
        <v>8054</v>
      </c>
      <c r="E371">
        <v>8129</v>
      </c>
      <c r="F371">
        <v>9.6</v>
      </c>
      <c r="G371">
        <v>11.2</v>
      </c>
      <c r="H371">
        <v>0.85714290000000004</v>
      </c>
      <c r="I371">
        <v>0.14285708999999999</v>
      </c>
      <c r="J371">
        <v>0.53846156999999994</v>
      </c>
    </row>
    <row r="372" spans="1:10" x14ac:dyDescent="0.3">
      <c r="A372">
        <v>370</v>
      </c>
      <c r="B372">
        <v>5889</v>
      </c>
      <c r="C372" t="b">
        <v>1</v>
      </c>
      <c r="D372">
        <v>8048</v>
      </c>
      <c r="E372">
        <v>8123</v>
      </c>
      <c r="F372">
        <v>10</v>
      </c>
      <c r="G372">
        <v>11.2</v>
      </c>
      <c r="H372">
        <v>0.89285713</v>
      </c>
      <c r="I372">
        <v>0.10714284</v>
      </c>
      <c r="J372">
        <v>0.52830184000000002</v>
      </c>
    </row>
    <row r="373" spans="1:10" x14ac:dyDescent="0.3">
      <c r="A373">
        <v>371</v>
      </c>
      <c r="B373">
        <v>5904</v>
      </c>
      <c r="C373" t="b">
        <v>1</v>
      </c>
      <c r="D373">
        <v>8048</v>
      </c>
      <c r="E373">
        <v>8123</v>
      </c>
      <c r="F373">
        <v>10.4</v>
      </c>
      <c r="G373">
        <v>11.2</v>
      </c>
      <c r="H373">
        <v>0.92857140000000005</v>
      </c>
      <c r="I373">
        <v>7.142859E-2</v>
      </c>
      <c r="J373">
        <v>0.51851857000000001</v>
      </c>
    </row>
    <row r="374" spans="1:10" x14ac:dyDescent="0.3">
      <c r="A374">
        <v>372</v>
      </c>
      <c r="B374">
        <v>5920</v>
      </c>
      <c r="C374" t="b">
        <v>1</v>
      </c>
      <c r="D374">
        <v>8048</v>
      </c>
      <c r="E374">
        <v>8129</v>
      </c>
      <c r="F374">
        <v>10.4</v>
      </c>
      <c r="G374">
        <v>11.2</v>
      </c>
      <c r="H374">
        <v>0.92857140000000005</v>
      </c>
      <c r="I374">
        <v>7.142859E-2</v>
      </c>
      <c r="J374">
        <v>0.51851857000000001</v>
      </c>
    </row>
    <row r="375" spans="1:10" x14ac:dyDescent="0.3">
      <c r="A375">
        <v>373</v>
      </c>
      <c r="B375">
        <v>5936</v>
      </c>
      <c r="C375" t="b">
        <v>1</v>
      </c>
      <c r="D375">
        <v>8048</v>
      </c>
      <c r="E375">
        <v>8123</v>
      </c>
      <c r="F375">
        <v>10.4</v>
      </c>
      <c r="G375">
        <v>11.2</v>
      </c>
      <c r="H375">
        <v>0.92857140000000005</v>
      </c>
      <c r="I375">
        <v>7.142859E-2</v>
      </c>
      <c r="J375">
        <v>0.51851857000000001</v>
      </c>
    </row>
    <row r="376" spans="1:10" x14ac:dyDescent="0.3">
      <c r="A376">
        <v>374</v>
      </c>
      <c r="B376">
        <v>5952</v>
      </c>
      <c r="C376" t="b">
        <v>1</v>
      </c>
      <c r="D376">
        <v>8048</v>
      </c>
      <c r="E376">
        <v>8117</v>
      </c>
      <c r="F376">
        <v>10.4</v>
      </c>
      <c r="G376">
        <v>11.2</v>
      </c>
      <c r="H376">
        <v>0.92857140000000005</v>
      </c>
      <c r="I376">
        <v>7.142859E-2</v>
      </c>
      <c r="J376">
        <v>0.51851857000000001</v>
      </c>
    </row>
    <row r="377" spans="1:10" x14ac:dyDescent="0.3">
      <c r="A377">
        <v>375</v>
      </c>
      <c r="B377">
        <v>5968</v>
      </c>
      <c r="C377" t="b">
        <v>1</v>
      </c>
      <c r="D377">
        <v>8048</v>
      </c>
      <c r="E377">
        <v>8123</v>
      </c>
      <c r="F377">
        <v>10.4</v>
      </c>
      <c r="G377">
        <v>11.2</v>
      </c>
      <c r="H377">
        <v>0.92857140000000005</v>
      </c>
      <c r="I377">
        <v>7.142859E-2</v>
      </c>
      <c r="J377">
        <v>0.51851857000000001</v>
      </c>
    </row>
    <row r="378" spans="1:10" x14ac:dyDescent="0.3">
      <c r="A378">
        <v>376</v>
      </c>
      <c r="B378">
        <v>5984</v>
      </c>
      <c r="C378" t="b">
        <v>1</v>
      </c>
      <c r="D378">
        <v>8048</v>
      </c>
      <c r="E378">
        <v>8129</v>
      </c>
      <c r="F378">
        <v>10.4</v>
      </c>
      <c r="G378">
        <v>11.2</v>
      </c>
      <c r="H378">
        <v>0.92857140000000005</v>
      </c>
      <c r="I378">
        <v>7.142859E-2</v>
      </c>
      <c r="J378">
        <v>0.51851857000000001</v>
      </c>
    </row>
    <row r="379" spans="1:10" x14ac:dyDescent="0.3">
      <c r="A379">
        <v>377</v>
      </c>
      <c r="B379">
        <v>6000</v>
      </c>
      <c r="C379" t="b">
        <v>1</v>
      </c>
      <c r="D379">
        <v>8048</v>
      </c>
      <c r="E379">
        <v>8123</v>
      </c>
      <c r="F379">
        <v>10.4</v>
      </c>
      <c r="G379">
        <v>11.2</v>
      </c>
      <c r="H379">
        <v>0.92857140000000005</v>
      </c>
      <c r="I379">
        <v>7.142859E-2</v>
      </c>
      <c r="J379">
        <v>0.51851857000000001</v>
      </c>
    </row>
    <row r="380" spans="1:10" x14ac:dyDescent="0.3">
      <c r="A380">
        <v>378</v>
      </c>
      <c r="B380">
        <v>6016</v>
      </c>
      <c r="C380" t="b">
        <v>1</v>
      </c>
      <c r="D380">
        <v>8048</v>
      </c>
      <c r="E380">
        <v>8117</v>
      </c>
      <c r="F380">
        <v>10.4</v>
      </c>
      <c r="G380">
        <v>10.8</v>
      </c>
      <c r="H380">
        <v>0.96296289999999996</v>
      </c>
      <c r="I380">
        <v>3.7037090000000002E-2</v>
      </c>
      <c r="J380">
        <v>0.5094339</v>
      </c>
    </row>
    <row r="381" spans="1:10" x14ac:dyDescent="0.3">
      <c r="A381">
        <v>379</v>
      </c>
      <c r="B381">
        <v>6032</v>
      </c>
      <c r="C381" t="b">
        <v>1</v>
      </c>
      <c r="D381">
        <v>8042</v>
      </c>
      <c r="E381">
        <v>8129</v>
      </c>
      <c r="F381">
        <v>10.4</v>
      </c>
      <c r="G381">
        <v>10.4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6048</v>
      </c>
      <c r="C382" t="b">
        <v>1</v>
      </c>
      <c r="D382">
        <v>8048</v>
      </c>
      <c r="E382">
        <v>8123</v>
      </c>
      <c r="F382">
        <v>10.4</v>
      </c>
      <c r="G382">
        <v>10</v>
      </c>
      <c r="H382">
        <v>1.04</v>
      </c>
      <c r="I382">
        <v>-3.9999960000000001E-2</v>
      </c>
      <c r="J382">
        <v>0.49019607999999998</v>
      </c>
    </row>
    <row r="383" spans="1:10" x14ac:dyDescent="0.3">
      <c r="A383">
        <v>381</v>
      </c>
      <c r="B383">
        <v>6064</v>
      </c>
      <c r="C383" t="b">
        <v>1</v>
      </c>
      <c r="D383">
        <v>8048</v>
      </c>
      <c r="E383">
        <v>8134</v>
      </c>
      <c r="F383">
        <v>10</v>
      </c>
      <c r="G383">
        <v>9.6</v>
      </c>
      <c r="H383">
        <v>1.0416666000000001</v>
      </c>
      <c r="I383">
        <v>-4.1666626999999998E-2</v>
      </c>
      <c r="J383">
        <v>0.48979592</v>
      </c>
    </row>
    <row r="384" spans="1:10" x14ac:dyDescent="0.3">
      <c r="A384">
        <v>382</v>
      </c>
      <c r="B384">
        <v>6079</v>
      </c>
      <c r="C384" t="b">
        <v>1</v>
      </c>
      <c r="D384">
        <v>8048</v>
      </c>
      <c r="E384">
        <v>8123</v>
      </c>
      <c r="F384">
        <v>9.6</v>
      </c>
      <c r="G384">
        <v>9.1999999999999993</v>
      </c>
      <c r="H384">
        <v>1.0434783999999999</v>
      </c>
      <c r="I384">
        <v>-4.3478324999999998E-2</v>
      </c>
      <c r="J384">
        <v>0.48936170000000001</v>
      </c>
    </row>
    <row r="385" spans="1:10" x14ac:dyDescent="0.3">
      <c r="A385">
        <v>383</v>
      </c>
      <c r="B385">
        <v>6095</v>
      </c>
      <c r="C385" t="b">
        <v>1</v>
      </c>
      <c r="D385">
        <v>8048</v>
      </c>
      <c r="E385">
        <v>8123</v>
      </c>
      <c r="F385">
        <v>9.1999999999999993</v>
      </c>
      <c r="G385">
        <v>8.8000000000000007</v>
      </c>
      <c r="H385">
        <v>1.0454545</v>
      </c>
      <c r="I385">
        <v>-4.5454502000000001E-2</v>
      </c>
      <c r="J385">
        <v>0.48888890000000002</v>
      </c>
    </row>
    <row r="386" spans="1:10" x14ac:dyDescent="0.3">
      <c r="A386">
        <v>384</v>
      </c>
      <c r="B386">
        <v>6111</v>
      </c>
      <c r="C386" t="b">
        <v>1</v>
      </c>
      <c r="D386">
        <v>8042</v>
      </c>
      <c r="E386">
        <v>8129</v>
      </c>
      <c r="F386">
        <v>8.8000000000000007</v>
      </c>
      <c r="G386">
        <v>8.4</v>
      </c>
      <c r="H386">
        <v>1.0476190999999999</v>
      </c>
      <c r="I386">
        <v>-4.7619120000000001E-2</v>
      </c>
      <c r="J386">
        <v>0.48837206</v>
      </c>
    </row>
    <row r="387" spans="1:10" x14ac:dyDescent="0.3">
      <c r="A387">
        <v>385</v>
      </c>
      <c r="B387">
        <v>6127</v>
      </c>
      <c r="C387" t="b">
        <v>1</v>
      </c>
      <c r="D387">
        <v>8042</v>
      </c>
      <c r="E387">
        <v>8129</v>
      </c>
      <c r="F387">
        <v>8.4</v>
      </c>
      <c r="G387">
        <v>8.4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6143</v>
      </c>
      <c r="C388" t="b">
        <v>1</v>
      </c>
      <c r="D388">
        <v>8048</v>
      </c>
      <c r="E388">
        <v>8129</v>
      </c>
      <c r="F388">
        <v>8</v>
      </c>
      <c r="G388">
        <v>8.8000000000000007</v>
      </c>
      <c r="H388">
        <v>0.90909090000000004</v>
      </c>
      <c r="I388">
        <v>9.0909110000000001E-2</v>
      </c>
      <c r="J388">
        <v>0.52380954999999996</v>
      </c>
    </row>
    <row r="389" spans="1:10" x14ac:dyDescent="0.3">
      <c r="A389">
        <v>387</v>
      </c>
      <c r="B389">
        <v>6158</v>
      </c>
      <c r="C389" t="b">
        <v>1</v>
      </c>
      <c r="D389">
        <v>8048</v>
      </c>
      <c r="E389">
        <v>8117</v>
      </c>
      <c r="F389">
        <v>8</v>
      </c>
      <c r="G389">
        <v>9.1999999999999993</v>
      </c>
      <c r="H389">
        <v>0.86956524999999996</v>
      </c>
      <c r="I389">
        <v>0.13043477000000001</v>
      </c>
      <c r="J389">
        <v>0.53488369999999996</v>
      </c>
    </row>
    <row r="390" spans="1:10" x14ac:dyDescent="0.3">
      <c r="A390">
        <v>388</v>
      </c>
      <c r="B390">
        <v>6174</v>
      </c>
      <c r="C390" t="b">
        <v>1</v>
      </c>
      <c r="D390">
        <v>8048</v>
      </c>
      <c r="E390">
        <v>8123</v>
      </c>
      <c r="F390">
        <v>8</v>
      </c>
      <c r="G390">
        <v>9.6</v>
      </c>
      <c r="H390">
        <v>0.83333330000000005</v>
      </c>
      <c r="I390">
        <v>0.1666667</v>
      </c>
      <c r="J390">
        <v>0.54545456000000003</v>
      </c>
    </row>
    <row r="391" spans="1:10" x14ac:dyDescent="0.3">
      <c r="A391">
        <v>389</v>
      </c>
      <c r="B391">
        <v>6190</v>
      </c>
      <c r="C391" t="b">
        <v>1</v>
      </c>
      <c r="D391">
        <v>8048</v>
      </c>
      <c r="E391">
        <v>8117</v>
      </c>
      <c r="F391">
        <v>8</v>
      </c>
      <c r="G391">
        <v>9.6</v>
      </c>
      <c r="H391">
        <v>0.83333330000000005</v>
      </c>
      <c r="I391">
        <v>0.1666667</v>
      </c>
      <c r="J391">
        <v>0.54545456000000003</v>
      </c>
    </row>
    <row r="392" spans="1:10" x14ac:dyDescent="0.3">
      <c r="A392">
        <v>390</v>
      </c>
      <c r="B392">
        <v>6205</v>
      </c>
      <c r="C392" t="b">
        <v>1</v>
      </c>
      <c r="D392">
        <v>8048</v>
      </c>
      <c r="E392">
        <v>8117</v>
      </c>
      <c r="F392">
        <v>8</v>
      </c>
      <c r="G392">
        <v>9.1999999999999993</v>
      </c>
      <c r="H392">
        <v>0.86956524999999996</v>
      </c>
      <c r="I392">
        <v>0.13043477000000001</v>
      </c>
      <c r="J392">
        <v>0.53488369999999996</v>
      </c>
    </row>
    <row r="393" spans="1:10" x14ac:dyDescent="0.3">
      <c r="A393">
        <v>391</v>
      </c>
      <c r="B393">
        <v>6221</v>
      </c>
      <c r="C393" t="b">
        <v>1</v>
      </c>
      <c r="D393">
        <v>8042</v>
      </c>
      <c r="E393">
        <v>8123</v>
      </c>
      <c r="F393">
        <v>8</v>
      </c>
      <c r="G393">
        <v>8.8000000000000007</v>
      </c>
      <c r="H393">
        <v>0.90909090000000004</v>
      </c>
      <c r="I393">
        <v>9.0909110000000001E-2</v>
      </c>
      <c r="J393">
        <v>0.52380954999999996</v>
      </c>
    </row>
    <row r="394" spans="1:10" x14ac:dyDescent="0.3">
      <c r="A394">
        <v>392</v>
      </c>
      <c r="B394">
        <v>6237</v>
      </c>
      <c r="C394" t="b">
        <v>1</v>
      </c>
      <c r="D394">
        <v>8048</v>
      </c>
      <c r="E394">
        <v>8134</v>
      </c>
      <c r="F394">
        <v>8</v>
      </c>
      <c r="G394">
        <v>8.8000000000000007</v>
      </c>
      <c r="H394">
        <v>0.90909090000000004</v>
      </c>
      <c r="I394">
        <v>9.0909110000000001E-2</v>
      </c>
      <c r="J394">
        <v>0.52380954999999996</v>
      </c>
    </row>
    <row r="395" spans="1:10" x14ac:dyDescent="0.3">
      <c r="A395">
        <v>393</v>
      </c>
      <c r="B395">
        <v>6252</v>
      </c>
      <c r="C395" t="b">
        <v>1</v>
      </c>
      <c r="D395">
        <v>8048</v>
      </c>
      <c r="E395">
        <v>8129</v>
      </c>
      <c r="F395">
        <v>8</v>
      </c>
      <c r="G395">
        <v>8.8000000000000007</v>
      </c>
      <c r="H395">
        <v>0.90909090000000004</v>
      </c>
      <c r="I395">
        <v>9.0909110000000001E-2</v>
      </c>
      <c r="J395">
        <v>0.52380954999999996</v>
      </c>
    </row>
    <row r="396" spans="1:10" x14ac:dyDescent="0.3">
      <c r="A396">
        <v>394</v>
      </c>
      <c r="B396">
        <v>6268</v>
      </c>
      <c r="C396" t="b">
        <v>1</v>
      </c>
      <c r="D396">
        <v>8042</v>
      </c>
      <c r="E396">
        <v>8134</v>
      </c>
      <c r="F396">
        <v>8</v>
      </c>
      <c r="G396">
        <v>9.1999999999999993</v>
      </c>
      <c r="H396">
        <v>0.86956524999999996</v>
      </c>
      <c r="I396">
        <v>0.13043477000000001</v>
      </c>
      <c r="J396">
        <v>0.53488369999999996</v>
      </c>
    </row>
    <row r="397" spans="1:10" x14ac:dyDescent="0.3">
      <c r="A397">
        <v>395</v>
      </c>
      <c r="B397">
        <v>6284</v>
      </c>
      <c r="C397" t="b">
        <v>1</v>
      </c>
      <c r="D397">
        <v>8048</v>
      </c>
      <c r="E397">
        <v>8129</v>
      </c>
      <c r="F397">
        <v>8</v>
      </c>
      <c r="G397">
        <v>9.6</v>
      </c>
      <c r="H397">
        <v>0.83333330000000005</v>
      </c>
      <c r="I397">
        <v>0.1666667</v>
      </c>
      <c r="J397">
        <v>0.54545456000000003</v>
      </c>
    </row>
    <row r="398" spans="1:10" x14ac:dyDescent="0.3">
      <c r="A398">
        <v>396</v>
      </c>
      <c r="B398">
        <v>6300</v>
      </c>
      <c r="C398" t="b">
        <v>1</v>
      </c>
      <c r="D398">
        <v>8048</v>
      </c>
      <c r="E398">
        <v>8123</v>
      </c>
      <c r="F398">
        <v>8</v>
      </c>
      <c r="G398">
        <v>10</v>
      </c>
      <c r="H398">
        <v>0.8</v>
      </c>
      <c r="I398">
        <v>0.2</v>
      </c>
      <c r="J398">
        <v>0.55555560000000004</v>
      </c>
    </row>
    <row r="399" spans="1:10" x14ac:dyDescent="0.3">
      <c r="A399">
        <v>397</v>
      </c>
      <c r="B399">
        <v>6316</v>
      </c>
      <c r="C399" t="b">
        <v>1</v>
      </c>
      <c r="D399">
        <v>8048</v>
      </c>
      <c r="E399">
        <v>8123</v>
      </c>
      <c r="F399">
        <v>8</v>
      </c>
      <c r="G399">
        <v>10.4</v>
      </c>
      <c r="H399">
        <v>0.76923079999999999</v>
      </c>
      <c r="I399">
        <v>0.23076920000000001</v>
      </c>
      <c r="J399">
        <v>0.56521739999999998</v>
      </c>
    </row>
    <row r="400" spans="1:10" x14ac:dyDescent="0.3">
      <c r="A400">
        <v>398</v>
      </c>
      <c r="B400">
        <v>6333</v>
      </c>
      <c r="C400" t="b">
        <v>1</v>
      </c>
      <c r="D400">
        <v>8054</v>
      </c>
      <c r="E400">
        <v>8129</v>
      </c>
      <c r="F400">
        <v>8</v>
      </c>
      <c r="G400">
        <v>10.8</v>
      </c>
      <c r="H400">
        <v>0.74074070000000003</v>
      </c>
      <c r="I400">
        <v>0.25925927999999998</v>
      </c>
      <c r="J400">
        <v>0.57446814000000002</v>
      </c>
    </row>
    <row r="401" spans="1:10" x14ac:dyDescent="0.3">
      <c r="A401">
        <v>399</v>
      </c>
      <c r="B401">
        <v>6349</v>
      </c>
      <c r="C401" t="b">
        <v>1</v>
      </c>
      <c r="D401">
        <v>8048</v>
      </c>
      <c r="E401">
        <v>8123</v>
      </c>
      <c r="F401">
        <v>8</v>
      </c>
      <c r="G401">
        <v>10.8</v>
      </c>
      <c r="H401">
        <v>0.74074070000000003</v>
      </c>
      <c r="I401">
        <v>0.25925927999999998</v>
      </c>
      <c r="J401">
        <v>0.57446814000000002</v>
      </c>
    </row>
    <row r="402" spans="1:10" x14ac:dyDescent="0.3">
      <c r="A402">
        <v>400</v>
      </c>
      <c r="B402">
        <v>6364</v>
      </c>
      <c r="C402" t="b">
        <v>1</v>
      </c>
      <c r="D402">
        <v>8048</v>
      </c>
      <c r="E402">
        <v>8123</v>
      </c>
      <c r="F402">
        <v>8</v>
      </c>
      <c r="G402">
        <v>10.4</v>
      </c>
      <c r="H402">
        <v>0.76923079999999999</v>
      </c>
      <c r="I402">
        <v>0.23076920000000001</v>
      </c>
      <c r="J402">
        <v>0.56521739999999998</v>
      </c>
    </row>
    <row r="403" spans="1:10" x14ac:dyDescent="0.3">
      <c r="A403">
        <v>401</v>
      </c>
      <c r="B403">
        <v>6380</v>
      </c>
      <c r="C403" t="b">
        <v>1</v>
      </c>
      <c r="D403">
        <v>8048</v>
      </c>
      <c r="E403">
        <v>8129</v>
      </c>
      <c r="F403">
        <v>8</v>
      </c>
      <c r="G403">
        <v>10</v>
      </c>
      <c r="H403">
        <v>0.8</v>
      </c>
      <c r="I403">
        <v>0.2</v>
      </c>
      <c r="J403">
        <v>0.55555560000000004</v>
      </c>
    </row>
    <row r="404" spans="1:10" x14ac:dyDescent="0.3">
      <c r="A404">
        <v>402</v>
      </c>
      <c r="B404">
        <v>6396</v>
      </c>
      <c r="C404" t="b">
        <v>1</v>
      </c>
      <c r="D404">
        <v>8048</v>
      </c>
      <c r="E404">
        <v>8123</v>
      </c>
      <c r="F404">
        <v>8</v>
      </c>
      <c r="G404">
        <v>9.6</v>
      </c>
      <c r="H404">
        <v>0.83333330000000005</v>
      </c>
      <c r="I404">
        <v>0.1666667</v>
      </c>
      <c r="J404">
        <v>0.54545456000000003</v>
      </c>
    </row>
    <row r="405" spans="1:10" x14ac:dyDescent="0.3">
      <c r="A405">
        <v>403</v>
      </c>
      <c r="B405">
        <v>6412</v>
      </c>
      <c r="C405" t="b">
        <v>1</v>
      </c>
      <c r="D405">
        <v>8048</v>
      </c>
      <c r="E405">
        <v>8129</v>
      </c>
      <c r="F405">
        <v>8</v>
      </c>
      <c r="G405">
        <v>9.1999999999999993</v>
      </c>
      <c r="H405">
        <v>0.86956524999999996</v>
      </c>
      <c r="I405">
        <v>0.13043477000000001</v>
      </c>
      <c r="J405">
        <v>0.53488369999999996</v>
      </c>
    </row>
    <row r="406" spans="1:10" x14ac:dyDescent="0.3">
      <c r="A406">
        <v>404</v>
      </c>
      <c r="B406">
        <v>6428</v>
      </c>
      <c r="C406" t="b">
        <v>1</v>
      </c>
      <c r="D406">
        <v>8048</v>
      </c>
      <c r="E406">
        <v>8123</v>
      </c>
      <c r="F406">
        <v>8</v>
      </c>
      <c r="G406">
        <v>9.1999999999999993</v>
      </c>
      <c r="H406">
        <v>0.86956524999999996</v>
      </c>
      <c r="I406">
        <v>0.13043477000000001</v>
      </c>
      <c r="J406">
        <v>0.53488369999999996</v>
      </c>
    </row>
    <row r="407" spans="1:10" x14ac:dyDescent="0.3">
      <c r="A407">
        <v>405</v>
      </c>
      <c r="B407">
        <v>6444</v>
      </c>
      <c r="C407" t="b">
        <v>1</v>
      </c>
      <c r="D407">
        <v>8042</v>
      </c>
      <c r="E407">
        <v>8117</v>
      </c>
      <c r="F407">
        <v>8</v>
      </c>
      <c r="G407">
        <v>9.6</v>
      </c>
      <c r="H407">
        <v>0.83333330000000005</v>
      </c>
      <c r="I407">
        <v>0.1666667</v>
      </c>
      <c r="J407">
        <v>0.54545456000000003</v>
      </c>
    </row>
    <row r="408" spans="1:10" x14ac:dyDescent="0.3">
      <c r="A408">
        <v>406</v>
      </c>
      <c r="B408">
        <v>6460</v>
      </c>
      <c r="C408" t="b">
        <v>1</v>
      </c>
      <c r="D408">
        <v>8042</v>
      </c>
      <c r="E408">
        <v>8123</v>
      </c>
      <c r="F408">
        <v>8</v>
      </c>
      <c r="G408">
        <v>10</v>
      </c>
      <c r="H408">
        <v>0.8</v>
      </c>
      <c r="I408">
        <v>0.2</v>
      </c>
      <c r="J408">
        <v>0.55555560000000004</v>
      </c>
    </row>
    <row r="409" spans="1:10" x14ac:dyDescent="0.3">
      <c r="A409">
        <v>407</v>
      </c>
      <c r="B409">
        <v>6475</v>
      </c>
      <c r="C409" t="b">
        <v>1</v>
      </c>
      <c r="D409">
        <v>8048</v>
      </c>
      <c r="E409">
        <v>8117</v>
      </c>
      <c r="F409">
        <v>8</v>
      </c>
      <c r="G409">
        <v>10</v>
      </c>
      <c r="H409">
        <v>0.8</v>
      </c>
      <c r="I409">
        <v>0.2</v>
      </c>
      <c r="J409">
        <v>0.55555560000000004</v>
      </c>
    </row>
    <row r="410" spans="1:10" x14ac:dyDescent="0.3">
      <c r="A410">
        <v>408</v>
      </c>
      <c r="B410">
        <v>6491</v>
      </c>
      <c r="C410" t="b">
        <v>1</v>
      </c>
      <c r="D410">
        <v>8048</v>
      </c>
      <c r="E410">
        <v>8117</v>
      </c>
      <c r="F410">
        <v>8</v>
      </c>
      <c r="G410">
        <v>9.6</v>
      </c>
      <c r="H410">
        <v>0.83333330000000005</v>
      </c>
      <c r="I410">
        <v>0.1666667</v>
      </c>
      <c r="J410">
        <v>0.54545456000000003</v>
      </c>
    </row>
    <row r="411" spans="1:10" x14ac:dyDescent="0.3">
      <c r="A411">
        <v>409</v>
      </c>
      <c r="B411">
        <v>6507</v>
      </c>
      <c r="C411" t="b">
        <v>1</v>
      </c>
      <c r="D411">
        <v>8048</v>
      </c>
      <c r="E411">
        <v>8123</v>
      </c>
      <c r="F411">
        <v>8</v>
      </c>
      <c r="G411">
        <v>8.8000000000000007</v>
      </c>
      <c r="H411">
        <v>0.90909090000000004</v>
      </c>
      <c r="I411">
        <v>9.0909110000000001E-2</v>
      </c>
      <c r="J411">
        <v>0.52380954999999996</v>
      </c>
    </row>
    <row r="412" spans="1:10" x14ac:dyDescent="0.3">
      <c r="A412">
        <v>410</v>
      </c>
      <c r="B412">
        <v>6523</v>
      </c>
      <c r="C412" t="b">
        <v>1</v>
      </c>
      <c r="D412">
        <v>8048</v>
      </c>
      <c r="E412">
        <v>8123</v>
      </c>
      <c r="F412">
        <v>8</v>
      </c>
      <c r="G412">
        <v>8.4</v>
      </c>
      <c r="H412">
        <v>0.95238100000000003</v>
      </c>
      <c r="I412">
        <v>4.7619003999999999E-2</v>
      </c>
      <c r="J412">
        <v>0.51219510000000001</v>
      </c>
    </row>
    <row r="413" spans="1:10" x14ac:dyDescent="0.3">
      <c r="A413">
        <v>411</v>
      </c>
      <c r="B413">
        <v>6539</v>
      </c>
      <c r="C413" t="b">
        <v>1</v>
      </c>
      <c r="D413">
        <v>8048</v>
      </c>
      <c r="E413">
        <v>8117</v>
      </c>
      <c r="F413">
        <v>8</v>
      </c>
      <c r="G413">
        <v>7.6</v>
      </c>
      <c r="H413">
        <v>1.0526316</v>
      </c>
      <c r="I413">
        <v>-5.2631589999999999E-2</v>
      </c>
      <c r="J413">
        <v>0.48717946000000001</v>
      </c>
    </row>
    <row r="414" spans="1:10" x14ac:dyDescent="0.3">
      <c r="A414">
        <v>412</v>
      </c>
      <c r="B414">
        <v>6555</v>
      </c>
      <c r="C414" t="b">
        <v>1</v>
      </c>
      <c r="D414">
        <v>8048</v>
      </c>
      <c r="E414">
        <v>8123</v>
      </c>
      <c r="F414">
        <v>8</v>
      </c>
      <c r="G414">
        <v>7.2</v>
      </c>
      <c r="H414">
        <v>1.1111112000000001</v>
      </c>
      <c r="I414">
        <v>-0.11111114</v>
      </c>
      <c r="J414">
        <v>0.4736842</v>
      </c>
    </row>
    <row r="415" spans="1:10" x14ac:dyDescent="0.3">
      <c r="A415">
        <v>413</v>
      </c>
      <c r="B415">
        <v>6571</v>
      </c>
      <c r="C415" t="b">
        <v>1</v>
      </c>
      <c r="D415">
        <v>8048</v>
      </c>
      <c r="E415">
        <v>8117</v>
      </c>
      <c r="F415">
        <v>8</v>
      </c>
      <c r="G415">
        <v>6.8</v>
      </c>
      <c r="H415">
        <v>1.1764705</v>
      </c>
      <c r="I415">
        <v>-0.17647055</v>
      </c>
      <c r="J415">
        <v>0.45945944999999999</v>
      </c>
    </row>
    <row r="416" spans="1:10" x14ac:dyDescent="0.3">
      <c r="A416">
        <v>414</v>
      </c>
      <c r="B416">
        <v>6587</v>
      </c>
      <c r="C416" t="b">
        <v>1</v>
      </c>
      <c r="D416">
        <v>8048</v>
      </c>
      <c r="E416">
        <v>8123</v>
      </c>
      <c r="F416">
        <v>8</v>
      </c>
      <c r="G416">
        <v>6.8</v>
      </c>
      <c r="H416">
        <v>1.1764705</v>
      </c>
      <c r="I416">
        <v>-0.17647055</v>
      </c>
      <c r="J416">
        <v>0.45945944999999999</v>
      </c>
    </row>
    <row r="417" spans="1:10" x14ac:dyDescent="0.3">
      <c r="A417">
        <v>415</v>
      </c>
      <c r="B417">
        <v>6603</v>
      </c>
      <c r="C417" t="b">
        <v>1</v>
      </c>
      <c r="D417">
        <v>8048</v>
      </c>
      <c r="E417">
        <v>8117</v>
      </c>
      <c r="F417">
        <v>8</v>
      </c>
      <c r="G417">
        <v>6.4</v>
      </c>
      <c r="H417">
        <v>1.25</v>
      </c>
      <c r="I417">
        <v>-0.24999999000000001</v>
      </c>
      <c r="J417">
        <v>0.44444447999999998</v>
      </c>
    </row>
    <row r="418" spans="1:10" x14ac:dyDescent="0.3">
      <c r="A418">
        <v>416</v>
      </c>
      <c r="B418">
        <v>6619</v>
      </c>
      <c r="C418" t="b">
        <v>1</v>
      </c>
      <c r="D418">
        <v>8048</v>
      </c>
      <c r="E418">
        <v>8123</v>
      </c>
      <c r="F418">
        <v>8</v>
      </c>
      <c r="G418">
        <v>6.4</v>
      </c>
      <c r="H418">
        <v>1.25</v>
      </c>
      <c r="I418">
        <v>-0.24999999000000001</v>
      </c>
      <c r="J418">
        <v>0.44444447999999998</v>
      </c>
    </row>
    <row r="419" spans="1:10" x14ac:dyDescent="0.3">
      <c r="A419">
        <v>417</v>
      </c>
      <c r="B419">
        <v>6635</v>
      </c>
      <c r="C419" t="b">
        <v>1</v>
      </c>
      <c r="D419">
        <v>8048</v>
      </c>
      <c r="E419">
        <v>8117</v>
      </c>
      <c r="F419">
        <v>8</v>
      </c>
      <c r="G419">
        <v>6</v>
      </c>
      <c r="H419">
        <v>1.3333333999999999</v>
      </c>
      <c r="I419">
        <v>-0.33333333999999998</v>
      </c>
      <c r="J419">
        <v>0.42857142999999998</v>
      </c>
    </row>
    <row r="420" spans="1:10" x14ac:dyDescent="0.3">
      <c r="A420">
        <v>418</v>
      </c>
      <c r="B420">
        <v>6651</v>
      </c>
      <c r="C420" t="b">
        <v>1</v>
      </c>
      <c r="D420">
        <v>8042</v>
      </c>
      <c r="E420">
        <v>8117</v>
      </c>
      <c r="F420">
        <v>8</v>
      </c>
      <c r="G420">
        <v>5.6</v>
      </c>
      <c r="H420">
        <v>1.4285715000000001</v>
      </c>
      <c r="I420">
        <v>-0.42857146000000002</v>
      </c>
      <c r="J420">
        <v>0.41176467999999999</v>
      </c>
    </row>
    <row r="421" spans="1:10" x14ac:dyDescent="0.3">
      <c r="A421">
        <v>419</v>
      </c>
      <c r="B421">
        <v>6667</v>
      </c>
      <c r="C421" t="b">
        <v>1</v>
      </c>
      <c r="D421">
        <v>8048</v>
      </c>
      <c r="E421">
        <v>8123</v>
      </c>
      <c r="F421">
        <v>8</v>
      </c>
      <c r="G421">
        <v>5.2</v>
      </c>
      <c r="H421">
        <v>1.5384616</v>
      </c>
      <c r="I421">
        <v>-0.53846156999999994</v>
      </c>
      <c r="J421">
        <v>0.39393938000000001</v>
      </c>
    </row>
    <row r="422" spans="1:10" x14ac:dyDescent="0.3">
      <c r="A422">
        <v>420</v>
      </c>
      <c r="B422">
        <v>6682</v>
      </c>
      <c r="C422" t="b">
        <v>1</v>
      </c>
      <c r="D422">
        <v>8048</v>
      </c>
      <c r="E422">
        <v>8129</v>
      </c>
      <c r="F422">
        <v>8</v>
      </c>
      <c r="G422">
        <v>5.2</v>
      </c>
      <c r="H422">
        <v>1.5384616</v>
      </c>
      <c r="I422">
        <v>-0.53846156999999994</v>
      </c>
      <c r="J422">
        <v>0.39393938000000001</v>
      </c>
    </row>
    <row r="423" spans="1:10" x14ac:dyDescent="0.3">
      <c r="A423">
        <v>421</v>
      </c>
      <c r="B423">
        <v>6698</v>
      </c>
      <c r="C423" t="b">
        <v>1</v>
      </c>
      <c r="D423">
        <v>8042</v>
      </c>
      <c r="E423">
        <v>8123</v>
      </c>
      <c r="F423">
        <v>8</v>
      </c>
      <c r="G423">
        <v>5.2</v>
      </c>
      <c r="H423">
        <v>1.5384616</v>
      </c>
      <c r="I423">
        <v>-0.53846156999999994</v>
      </c>
      <c r="J423">
        <v>0.39393938000000001</v>
      </c>
    </row>
    <row r="424" spans="1:10" x14ac:dyDescent="0.3">
      <c r="A424">
        <v>422</v>
      </c>
      <c r="B424">
        <v>6714</v>
      </c>
      <c r="C424" t="b">
        <v>1</v>
      </c>
      <c r="D424">
        <v>8048</v>
      </c>
      <c r="E424">
        <v>8123</v>
      </c>
      <c r="F424">
        <v>8</v>
      </c>
      <c r="G424">
        <v>5.2</v>
      </c>
      <c r="H424">
        <v>1.5384616</v>
      </c>
      <c r="I424">
        <v>-0.53846156999999994</v>
      </c>
      <c r="J424">
        <v>0.39393938000000001</v>
      </c>
    </row>
    <row r="425" spans="1:10" x14ac:dyDescent="0.3">
      <c r="A425">
        <v>423</v>
      </c>
      <c r="B425">
        <v>6730</v>
      </c>
      <c r="C425" t="b">
        <v>1</v>
      </c>
      <c r="D425">
        <v>8048</v>
      </c>
      <c r="E425">
        <v>8117</v>
      </c>
      <c r="F425">
        <v>8</v>
      </c>
      <c r="G425">
        <v>5.6</v>
      </c>
      <c r="H425">
        <v>1.4285715000000001</v>
      </c>
      <c r="I425">
        <v>-0.42857146000000002</v>
      </c>
      <c r="J425">
        <v>0.41176467999999999</v>
      </c>
    </row>
    <row r="426" spans="1:10" x14ac:dyDescent="0.3">
      <c r="A426">
        <v>424</v>
      </c>
      <c r="B426">
        <v>6746</v>
      </c>
      <c r="C426" t="b">
        <v>1</v>
      </c>
      <c r="D426">
        <v>8048</v>
      </c>
      <c r="E426">
        <v>8123</v>
      </c>
      <c r="F426">
        <v>8</v>
      </c>
      <c r="G426">
        <v>6</v>
      </c>
      <c r="H426">
        <v>1.3333333999999999</v>
      </c>
      <c r="I426">
        <v>-0.33333333999999998</v>
      </c>
      <c r="J426">
        <v>0.42857142999999998</v>
      </c>
    </row>
    <row r="427" spans="1:10" x14ac:dyDescent="0.3">
      <c r="A427">
        <v>425</v>
      </c>
      <c r="B427">
        <v>6761</v>
      </c>
      <c r="C427" t="b">
        <v>1</v>
      </c>
      <c r="D427">
        <v>8048</v>
      </c>
      <c r="E427">
        <v>8123</v>
      </c>
      <c r="F427">
        <v>8</v>
      </c>
      <c r="G427">
        <v>6</v>
      </c>
      <c r="H427">
        <v>1.3333333999999999</v>
      </c>
      <c r="I427">
        <v>-0.33333333999999998</v>
      </c>
      <c r="J427">
        <v>0.42857142999999998</v>
      </c>
    </row>
    <row r="428" spans="1:10" x14ac:dyDescent="0.3">
      <c r="A428">
        <v>426</v>
      </c>
      <c r="B428">
        <v>6777</v>
      </c>
      <c r="C428" t="b">
        <v>1</v>
      </c>
      <c r="D428">
        <v>8048</v>
      </c>
      <c r="E428">
        <v>8117</v>
      </c>
      <c r="F428">
        <v>8</v>
      </c>
      <c r="G428">
        <v>6.4</v>
      </c>
      <c r="H428">
        <v>1.25</v>
      </c>
      <c r="I428">
        <v>-0.24999999000000001</v>
      </c>
      <c r="J428">
        <v>0.44444447999999998</v>
      </c>
    </row>
    <row r="429" spans="1:10" x14ac:dyDescent="0.3">
      <c r="A429">
        <v>427</v>
      </c>
      <c r="B429">
        <v>6793</v>
      </c>
      <c r="C429" t="b">
        <v>1</v>
      </c>
      <c r="D429">
        <v>8048</v>
      </c>
      <c r="E429">
        <v>8117</v>
      </c>
      <c r="F429">
        <v>8</v>
      </c>
      <c r="G429">
        <v>6</v>
      </c>
      <c r="H429">
        <v>1.3333333999999999</v>
      </c>
      <c r="I429">
        <v>-0.33333333999999998</v>
      </c>
      <c r="J429">
        <v>0.42857142999999998</v>
      </c>
    </row>
    <row r="430" spans="1:10" x14ac:dyDescent="0.3">
      <c r="A430">
        <v>428</v>
      </c>
      <c r="B430">
        <v>6809</v>
      </c>
      <c r="C430" t="b">
        <v>1</v>
      </c>
      <c r="D430">
        <v>8048</v>
      </c>
      <c r="E430">
        <v>8117</v>
      </c>
      <c r="F430">
        <v>8</v>
      </c>
      <c r="G430">
        <v>5.6</v>
      </c>
      <c r="H430">
        <v>1.4285715000000001</v>
      </c>
      <c r="I430">
        <v>-0.42857146000000002</v>
      </c>
      <c r="J430">
        <v>0.41176467999999999</v>
      </c>
    </row>
    <row r="431" spans="1:10" x14ac:dyDescent="0.3">
      <c r="A431">
        <v>429</v>
      </c>
      <c r="B431">
        <v>6824</v>
      </c>
      <c r="C431" t="b">
        <v>1</v>
      </c>
      <c r="D431">
        <v>8054</v>
      </c>
      <c r="E431">
        <v>8123</v>
      </c>
      <c r="F431">
        <v>8</v>
      </c>
      <c r="G431">
        <v>5.2</v>
      </c>
      <c r="H431">
        <v>1.5384616</v>
      </c>
      <c r="I431">
        <v>-0.53846156999999994</v>
      </c>
      <c r="J431">
        <v>0.39393938000000001</v>
      </c>
    </row>
    <row r="432" spans="1:10" x14ac:dyDescent="0.3">
      <c r="A432">
        <v>430</v>
      </c>
      <c r="B432">
        <v>6840</v>
      </c>
      <c r="C432" t="b">
        <v>1</v>
      </c>
      <c r="D432">
        <v>8048</v>
      </c>
      <c r="E432">
        <v>8123</v>
      </c>
      <c r="F432">
        <v>8</v>
      </c>
      <c r="G432">
        <v>5.2</v>
      </c>
      <c r="H432">
        <v>1.5384616</v>
      </c>
      <c r="I432">
        <v>-0.53846156999999994</v>
      </c>
      <c r="J432">
        <v>0.39393938000000001</v>
      </c>
    </row>
    <row r="433" spans="1:10" x14ac:dyDescent="0.3">
      <c r="A433">
        <v>431</v>
      </c>
      <c r="B433">
        <v>6856</v>
      </c>
      <c r="C433" t="b">
        <v>1</v>
      </c>
      <c r="D433">
        <v>8048</v>
      </c>
      <c r="E433">
        <v>8123</v>
      </c>
      <c r="F433">
        <v>8</v>
      </c>
      <c r="G433">
        <v>5.2</v>
      </c>
      <c r="H433">
        <v>1.5384616</v>
      </c>
      <c r="I433">
        <v>-0.53846156999999994</v>
      </c>
      <c r="J433">
        <v>0.39393938000000001</v>
      </c>
    </row>
    <row r="434" spans="1:10" x14ac:dyDescent="0.3">
      <c r="A434">
        <v>432</v>
      </c>
      <c r="B434">
        <v>6872</v>
      </c>
      <c r="C434" t="b">
        <v>1</v>
      </c>
      <c r="D434">
        <v>8048</v>
      </c>
      <c r="E434">
        <v>8123</v>
      </c>
      <c r="F434">
        <v>8</v>
      </c>
      <c r="G434">
        <v>5.6</v>
      </c>
      <c r="H434">
        <v>1.4285715000000001</v>
      </c>
      <c r="I434">
        <v>-0.42857146000000002</v>
      </c>
      <c r="J434">
        <v>0.41176467999999999</v>
      </c>
    </row>
    <row r="435" spans="1:10" x14ac:dyDescent="0.3">
      <c r="A435">
        <v>433</v>
      </c>
      <c r="B435">
        <v>6888</v>
      </c>
      <c r="C435" t="b">
        <v>1</v>
      </c>
      <c r="D435">
        <v>8048</v>
      </c>
      <c r="E435">
        <v>8123</v>
      </c>
      <c r="F435">
        <v>8</v>
      </c>
      <c r="G435">
        <v>6</v>
      </c>
      <c r="H435">
        <v>1.3333333999999999</v>
      </c>
      <c r="I435">
        <v>-0.33333333999999998</v>
      </c>
      <c r="J435">
        <v>0.42857142999999998</v>
      </c>
    </row>
    <row r="436" spans="1:10" x14ac:dyDescent="0.3">
      <c r="A436">
        <v>434</v>
      </c>
      <c r="B436">
        <v>6903</v>
      </c>
      <c r="C436" t="b">
        <v>1</v>
      </c>
      <c r="D436">
        <v>8048</v>
      </c>
      <c r="E436">
        <v>8134</v>
      </c>
      <c r="F436">
        <v>8</v>
      </c>
      <c r="G436">
        <v>6.4</v>
      </c>
      <c r="H436">
        <v>1.25</v>
      </c>
      <c r="I436">
        <v>-0.24999999000000001</v>
      </c>
      <c r="J436">
        <v>0.44444447999999998</v>
      </c>
    </row>
    <row r="437" spans="1:10" x14ac:dyDescent="0.3">
      <c r="A437">
        <v>435</v>
      </c>
      <c r="B437">
        <v>6919</v>
      </c>
      <c r="C437" t="b">
        <v>1</v>
      </c>
      <c r="D437">
        <v>8048</v>
      </c>
      <c r="E437">
        <v>8123</v>
      </c>
      <c r="F437">
        <v>8</v>
      </c>
      <c r="G437">
        <v>6.4</v>
      </c>
      <c r="H437">
        <v>1.25</v>
      </c>
      <c r="I437">
        <v>-0.24999999000000001</v>
      </c>
      <c r="J437">
        <v>0.44444447999999998</v>
      </c>
    </row>
    <row r="438" spans="1:10" x14ac:dyDescent="0.3">
      <c r="A438">
        <v>436</v>
      </c>
      <c r="B438">
        <v>6935</v>
      </c>
      <c r="C438" t="b">
        <v>1</v>
      </c>
      <c r="D438">
        <v>8048</v>
      </c>
      <c r="E438">
        <v>8117</v>
      </c>
      <c r="F438">
        <v>8</v>
      </c>
      <c r="G438">
        <v>6.4</v>
      </c>
      <c r="H438">
        <v>1.25</v>
      </c>
      <c r="I438">
        <v>-0.24999999000000001</v>
      </c>
      <c r="J438">
        <v>0.44444447999999998</v>
      </c>
    </row>
    <row r="439" spans="1:10" x14ac:dyDescent="0.3">
      <c r="A439">
        <v>437</v>
      </c>
      <c r="B439">
        <v>6951</v>
      </c>
      <c r="C439" t="b">
        <v>1</v>
      </c>
      <c r="D439">
        <v>8048</v>
      </c>
      <c r="E439">
        <v>8129</v>
      </c>
      <c r="F439">
        <v>8</v>
      </c>
      <c r="G439">
        <v>6.4</v>
      </c>
      <c r="H439">
        <v>1.25</v>
      </c>
      <c r="I439">
        <v>-0.24999999000000001</v>
      </c>
      <c r="J439">
        <v>0.44444447999999998</v>
      </c>
    </row>
    <row r="440" spans="1:10" x14ac:dyDescent="0.3">
      <c r="A440">
        <v>438</v>
      </c>
      <c r="B440">
        <v>6967</v>
      </c>
      <c r="C440" t="b">
        <v>1</v>
      </c>
      <c r="D440">
        <v>8048</v>
      </c>
      <c r="E440">
        <v>8117</v>
      </c>
      <c r="F440">
        <v>8</v>
      </c>
      <c r="G440">
        <v>6.4</v>
      </c>
      <c r="H440">
        <v>1.25</v>
      </c>
      <c r="I440">
        <v>-0.24999999000000001</v>
      </c>
      <c r="J440">
        <v>0.44444447999999998</v>
      </c>
    </row>
    <row r="441" spans="1:10" x14ac:dyDescent="0.3">
      <c r="A441">
        <v>439</v>
      </c>
      <c r="B441">
        <v>6983</v>
      </c>
      <c r="C441" t="b">
        <v>1</v>
      </c>
      <c r="D441">
        <v>8054</v>
      </c>
      <c r="E441">
        <v>8117</v>
      </c>
      <c r="F441">
        <v>8</v>
      </c>
      <c r="G441">
        <v>6</v>
      </c>
      <c r="H441">
        <v>1.3333333999999999</v>
      </c>
      <c r="I441">
        <v>-0.33333333999999998</v>
      </c>
      <c r="J441">
        <v>0.42857142999999998</v>
      </c>
    </row>
    <row r="442" spans="1:10" x14ac:dyDescent="0.3">
      <c r="A442">
        <v>440</v>
      </c>
      <c r="B442">
        <v>6999</v>
      </c>
      <c r="C442" t="b">
        <v>1</v>
      </c>
      <c r="D442">
        <v>8048</v>
      </c>
      <c r="E442">
        <v>8117</v>
      </c>
      <c r="F442">
        <v>8</v>
      </c>
      <c r="G442">
        <v>5.6</v>
      </c>
      <c r="H442">
        <v>1.4285715000000001</v>
      </c>
      <c r="I442">
        <v>-0.42857146000000002</v>
      </c>
      <c r="J442">
        <v>0.41176467999999999</v>
      </c>
    </row>
    <row r="443" spans="1:10" x14ac:dyDescent="0.3">
      <c r="A443">
        <v>441</v>
      </c>
      <c r="B443">
        <v>7015</v>
      </c>
      <c r="C443" t="b">
        <v>1</v>
      </c>
      <c r="D443">
        <v>8042</v>
      </c>
      <c r="E443">
        <v>8117</v>
      </c>
      <c r="F443">
        <v>8</v>
      </c>
      <c r="G443">
        <v>5.2</v>
      </c>
      <c r="H443">
        <v>1.5384616</v>
      </c>
      <c r="I443">
        <v>-0.53846156999999994</v>
      </c>
      <c r="J443">
        <v>0.39393938000000001</v>
      </c>
    </row>
    <row r="444" spans="1:10" x14ac:dyDescent="0.3">
      <c r="A444">
        <v>442</v>
      </c>
      <c r="B444">
        <v>7031</v>
      </c>
      <c r="C444" t="b">
        <v>1</v>
      </c>
      <c r="D444">
        <v>8048</v>
      </c>
      <c r="E444">
        <v>8129</v>
      </c>
      <c r="F444">
        <v>8</v>
      </c>
      <c r="G444">
        <v>5.2</v>
      </c>
      <c r="H444">
        <v>1.5384616</v>
      </c>
      <c r="I444">
        <v>-0.53846156999999994</v>
      </c>
      <c r="J444">
        <v>0.39393938000000001</v>
      </c>
    </row>
    <row r="445" spans="1:10" x14ac:dyDescent="0.3">
      <c r="A445">
        <v>443</v>
      </c>
      <c r="B445">
        <v>7046</v>
      </c>
      <c r="C445" t="b">
        <v>1</v>
      </c>
      <c r="D445">
        <v>8042</v>
      </c>
      <c r="E445">
        <v>8123</v>
      </c>
      <c r="F445">
        <v>8</v>
      </c>
      <c r="G445">
        <v>5.2</v>
      </c>
      <c r="H445">
        <v>1.5384616</v>
      </c>
      <c r="I445">
        <v>-0.53846156999999994</v>
      </c>
      <c r="J445">
        <v>0.39393938000000001</v>
      </c>
    </row>
    <row r="446" spans="1:10" x14ac:dyDescent="0.3">
      <c r="A446">
        <v>444</v>
      </c>
      <c r="B446">
        <v>7062</v>
      </c>
      <c r="C446" t="b">
        <v>1</v>
      </c>
      <c r="D446">
        <v>8048</v>
      </c>
      <c r="E446">
        <v>8129</v>
      </c>
      <c r="F446">
        <v>8</v>
      </c>
      <c r="G446">
        <v>5.6</v>
      </c>
      <c r="H446">
        <v>1.4285715000000001</v>
      </c>
      <c r="I446">
        <v>-0.42857146000000002</v>
      </c>
      <c r="J446">
        <v>0.41176467999999999</v>
      </c>
    </row>
    <row r="447" spans="1:10" x14ac:dyDescent="0.3">
      <c r="A447">
        <v>445</v>
      </c>
      <c r="B447">
        <v>7078</v>
      </c>
      <c r="C447" t="b">
        <v>1</v>
      </c>
      <c r="D447">
        <v>8048</v>
      </c>
      <c r="E447">
        <v>8123</v>
      </c>
      <c r="F447">
        <v>8</v>
      </c>
      <c r="G447">
        <v>6</v>
      </c>
      <c r="H447">
        <v>1.3333333999999999</v>
      </c>
      <c r="I447">
        <v>-0.33333333999999998</v>
      </c>
      <c r="J447">
        <v>0.42857142999999998</v>
      </c>
    </row>
    <row r="448" spans="1:10" x14ac:dyDescent="0.3">
      <c r="A448">
        <v>446</v>
      </c>
      <c r="B448">
        <v>7094</v>
      </c>
      <c r="C448" t="b">
        <v>1</v>
      </c>
      <c r="D448">
        <v>8048</v>
      </c>
      <c r="E448">
        <v>8123</v>
      </c>
      <c r="F448">
        <v>8</v>
      </c>
      <c r="G448">
        <v>6</v>
      </c>
      <c r="H448">
        <v>1.3333333999999999</v>
      </c>
      <c r="I448">
        <v>-0.33333333999999998</v>
      </c>
      <c r="J448">
        <v>0.42857142999999998</v>
      </c>
    </row>
    <row r="449" spans="1:10" x14ac:dyDescent="0.3">
      <c r="A449">
        <v>447</v>
      </c>
      <c r="B449">
        <v>7110</v>
      </c>
      <c r="C449" t="b">
        <v>1</v>
      </c>
      <c r="D449">
        <v>8048</v>
      </c>
      <c r="E449">
        <v>8123</v>
      </c>
      <c r="F449">
        <v>8</v>
      </c>
      <c r="G449">
        <v>6</v>
      </c>
      <c r="H449">
        <v>1.3333333999999999</v>
      </c>
      <c r="I449">
        <v>-0.33333333999999998</v>
      </c>
      <c r="J449">
        <v>0.42857142999999998</v>
      </c>
    </row>
    <row r="450" spans="1:10" x14ac:dyDescent="0.3">
      <c r="A450">
        <v>448</v>
      </c>
      <c r="B450">
        <v>7126</v>
      </c>
      <c r="C450" t="b">
        <v>1</v>
      </c>
      <c r="D450">
        <v>8048</v>
      </c>
      <c r="E450">
        <v>8123</v>
      </c>
      <c r="F450">
        <v>8</v>
      </c>
      <c r="G450">
        <v>6</v>
      </c>
      <c r="H450">
        <v>1.3333333999999999</v>
      </c>
      <c r="I450">
        <v>-0.33333333999999998</v>
      </c>
      <c r="J450">
        <v>0.42857142999999998</v>
      </c>
    </row>
    <row r="451" spans="1:10" x14ac:dyDescent="0.3">
      <c r="A451">
        <v>449</v>
      </c>
      <c r="B451">
        <v>7141</v>
      </c>
      <c r="C451" t="b">
        <v>1</v>
      </c>
      <c r="D451">
        <v>8048</v>
      </c>
      <c r="E451">
        <v>8129</v>
      </c>
      <c r="F451">
        <v>8</v>
      </c>
      <c r="G451">
        <v>6</v>
      </c>
      <c r="H451">
        <v>1.3333333999999999</v>
      </c>
      <c r="I451">
        <v>-0.33333333999999998</v>
      </c>
      <c r="J451">
        <v>0.42857142999999998</v>
      </c>
    </row>
    <row r="452" spans="1:10" x14ac:dyDescent="0.3">
      <c r="A452">
        <v>450</v>
      </c>
      <c r="B452">
        <v>7157</v>
      </c>
      <c r="C452" t="b">
        <v>1</v>
      </c>
      <c r="D452">
        <v>8042</v>
      </c>
      <c r="E452">
        <v>8123</v>
      </c>
      <c r="F452">
        <v>8</v>
      </c>
      <c r="G452">
        <v>6</v>
      </c>
      <c r="H452">
        <v>1.3333333999999999</v>
      </c>
      <c r="I452">
        <v>-0.33333333999999998</v>
      </c>
      <c r="J452">
        <v>0.42857142999999998</v>
      </c>
    </row>
    <row r="453" spans="1:10" x14ac:dyDescent="0.3">
      <c r="A453">
        <v>451</v>
      </c>
      <c r="B453">
        <v>7173</v>
      </c>
      <c r="C453" t="b">
        <v>1</v>
      </c>
      <c r="D453">
        <v>8048</v>
      </c>
      <c r="E453">
        <v>8123</v>
      </c>
      <c r="F453">
        <v>8</v>
      </c>
      <c r="G453">
        <v>6</v>
      </c>
      <c r="H453">
        <v>1.3333333999999999</v>
      </c>
      <c r="I453">
        <v>-0.33333333999999998</v>
      </c>
      <c r="J453">
        <v>0.42857142999999998</v>
      </c>
    </row>
    <row r="454" spans="1:10" x14ac:dyDescent="0.3">
      <c r="A454">
        <v>452</v>
      </c>
      <c r="B454">
        <v>7189</v>
      </c>
      <c r="C454" t="b">
        <v>1</v>
      </c>
      <c r="D454">
        <v>8048</v>
      </c>
      <c r="E454">
        <v>8129</v>
      </c>
      <c r="F454">
        <v>8</v>
      </c>
      <c r="G454">
        <v>6</v>
      </c>
      <c r="H454">
        <v>1.3333333999999999</v>
      </c>
      <c r="I454">
        <v>-0.33333333999999998</v>
      </c>
      <c r="J454">
        <v>0.42857142999999998</v>
      </c>
    </row>
    <row r="455" spans="1:10" x14ac:dyDescent="0.3">
      <c r="A455">
        <v>453</v>
      </c>
      <c r="B455">
        <v>7204</v>
      </c>
      <c r="C455" t="b">
        <v>1</v>
      </c>
      <c r="D455">
        <v>8042</v>
      </c>
      <c r="E455">
        <v>8129</v>
      </c>
      <c r="F455">
        <v>8</v>
      </c>
      <c r="G455">
        <v>6.4</v>
      </c>
      <c r="H455">
        <v>1.25</v>
      </c>
      <c r="I455">
        <v>-0.24999999000000001</v>
      </c>
      <c r="J455">
        <v>0.44444447999999998</v>
      </c>
    </row>
    <row r="456" spans="1:10" x14ac:dyDescent="0.3">
      <c r="A456">
        <v>454</v>
      </c>
      <c r="B456">
        <v>7220</v>
      </c>
      <c r="C456" t="b">
        <v>1</v>
      </c>
      <c r="D456">
        <v>8048</v>
      </c>
      <c r="E456">
        <v>8134</v>
      </c>
      <c r="F456">
        <v>8</v>
      </c>
      <c r="G456">
        <v>7.2</v>
      </c>
      <c r="H456">
        <v>1.1111112000000001</v>
      </c>
      <c r="I456">
        <v>-0.11111114</v>
      </c>
      <c r="J456">
        <v>0.4736842</v>
      </c>
    </row>
    <row r="457" spans="1:10" x14ac:dyDescent="0.3">
      <c r="A457">
        <v>455</v>
      </c>
      <c r="B457">
        <v>7236</v>
      </c>
      <c r="C457" t="b">
        <v>1</v>
      </c>
      <c r="D457">
        <v>8048</v>
      </c>
      <c r="E457">
        <v>8134</v>
      </c>
      <c r="F457">
        <v>8</v>
      </c>
      <c r="G457">
        <v>8</v>
      </c>
      <c r="H457">
        <v>1</v>
      </c>
      <c r="I457">
        <v>0</v>
      </c>
      <c r="J457">
        <v>0.5</v>
      </c>
    </row>
    <row r="458" spans="1:10" x14ac:dyDescent="0.3">
      <c r="A458">
        <v>456</v>
      </c>
      <c r="B458">
        <v>7252</v>
      </c>
      <c r="C458" t="b">
        <v>1</v>
      </c>
      <c r="D458">
        <v>8048</v>
      </c>
      <c r="E458">
        <v>8129</v>
      </c>
      <c r="F458">
        <v>8</v>
      </c>
      <c r="G458">
        <v>8.8000000000000007</v>
      </c>
      <c r="H458">
        <v>0.90909090000000004</v>
      </c>
      <c r="I458">
        <v>9.0909110000000001E-2</v>
      </c>
      <c r="J458">
        <v>0.52380954999999996</v>
      </c>
    </row>
    <row r="459" spans="1:10" x14ac:dyDescent="0.3">
      <c r="A459">
        <v>457</v>
      </c>
      <c r="B459">
        <v>7268</v>
      </c>
      <c r="C459" t="b">
        <v>1</v>
      </c>
      <c r="D459">
        <v>8048</v>
      </c>
      <c r="E459">
        <v>8129</v>
      </c>
      <c r="F459">
        <v>8</v>
      </c>
      <c r="G459">
        <v>9.6</v>
      </c>
      <c r="H459">
        <v>0.83333330000000005</v>
      </c>
      <c r="I459">
        <v>0.1666667</v>
      </c>
      <c r="J459">
        <v>0.54545456000000003</v>
      </c>
    </row>
    <row r="460" spans="1:10" x14ac:dyDescent="0.3">
      <c r="A460">
        <v>458</v>
      </c>
      <c r="B460">
        <v>7284</v>
      </c>
      <c r="C460" t="b">
        <v>1</v>
      </c>
      <c r="D460">
        <v>8042</v>
      </c>
      <c r="E460">
        <v>8129</v>
      </c>
      <c r="F460">
        <v>8</v>
      </c>
      <c r="G460">
        <v>10.4</v>
      </c>
      <c r="H460">
        <v>0.76923079999999999</v>
      </c>
      <c r="I460">
        <v>0.23076920000000001</v>
      </c>
      <c r="J460">
        <v>0.56521739999999998</v>
      </c>
    </row>
    <row r="461" spans="1:10" x14ac:dyDescent="0.3">
      <c r="A461">
        <v>459</v>
      </c>
      <c r="B461">
        <v>7300</v>
      </c>
      <c r="C461" t="b">
        <v>1</v>
      </c>
      <c r="D461">
        <v>8048</v>
      </c>
      <c r="E461">
        <v>8129</v>
      </c>
      <c r="F461">
        <v>8</v>
      </c>
      <c r="G461">
        <v>10.8</v>
      </c>
      <c r="H461">
        <v>0.74074070000000003</v>
      </c>
      <c r="I461">
        <v>0.25925927999999998</v>
      </c>
      <c r="J461">
        <v>0.57446814000000002</v>
      </c>
    </row>
    <row r="462" spans="1:10" x14ac:dyDescent="0.3">
      <c r="A462">
        <v>460</v>
      </c>
      <c r="B462">
        <v>7316</v>
      </c>
      <c r="C462" t="b">
        <v>1</v>
      </c>
      <c r="D462">
        <v>8054</v>
      </c>
      <c r="E462">
        <v>8123</v>
      </c>
      <c r="F462">
        <v>8</v>
      </c>
      <c r="G462">
        <v>11.2</v>
      </c>
      <c r="H462">
        <v>0.71428572999999995</v>
      </c>
      <c r="I462">
        <v>0.28571426999999999</v>
      </c>
      <c r="J462">
        <v>0.58333330000000005</v>
      </c>
    </row>
    <row r="463" spans="1:10" x14ac:dyDescent="0.3">
      <c r="A463">
        <v>461</v>
      </c>
      <c r="B463">
        <v>7332</v>
      </c>
      <c r="C463" t="b">
        <v>1</v>
      </c>
      <c r="D463">
        <v>8054</v>
      </c>
      <c r="E463">
        <v>8129</v>
      </c>
      <c r="F463">
        <v>8</v>
      </c>
      <c r="G463">
        <v>11.6</v>
      </c>
      <c r="H463">
        <v>0.68965509999999997</v>
      </c>
      <c r="I463">
        <v>0.31034485000000001</v>
      </c>
      <c r="J463">
        <v>0.59183675000000002</v>
      </c>
    </row>
    <row r="464" spans="1:10" x14ac:dyDescent="0.3">
      <c r="A464">
        <v>462</v>
      </c>
      <c r="B464">
        <v>7348</v>
      </c>
      <c r="C464" t="b">
        <v>1</v>
      </c>
      <c r="D464">
        <v>8054</v>
      </c>
      <c r="E464">
        <v>8129</v>
      </c>
      <c r="F464">
        <v>8.4</v>
      </c>
      <c r="G464">
        <v>12</v>
      </c>
      <c r="H464">
        <v>0.7</v>
      </c>
      <c r="I464">
        <v>0.30000004000000002</v>
      </c>
      <c r="J464">
        <v>0.58823530000000002</v>
      </c>
    </row>
    <row r="465" spans="1:10" x14ac:dyDescent="0.3">
      <c r="A465">
        <v>463</v>
      </c>
      <c r="B465">
        <v>7364</v>
      </c>
      <c r="C465" t="b">
        <v>1</v>
      </c>
      <c r="D465">
        <v>8054</v>
      </c>
      <c r="E465">
        <v>8129</v>
      </c>
      <c r="F465">
        <v>8.8000000000000007</v>
      </c>
      <c r="G465">
        <v>12.4</v>
      </c>
      <c r="H465">
        <v>0.70967745999999998</v>
      </c>
      <c r="I465">
        <v>0.29032254000000002</v>
      </c>
      <c r="J465">
        <v>0.58490560000000003</v>
      </c>
    </row>
    <row r="466" spans="1:10" x14ac:dyDescent="0.3">
      <c r="A466">
        <v>464</v>
      </c>
      <c r="B466">
        <v>7380</v>
      </c>
      <c r="C466" t="b">
        <v>1</v>
      </c>
      <c r="D466">
        <v>8054</v>
      </c>
      <c r="E466">
        <v>8123</v>
      </c>
      <c r="F466">
        <v>9.1999999999999993</v>
      </c>
      <c r="G466">
        <v>12.8</v>
      </c>
      <c r="H466">
        <v>0.71875</v>
      </c>
      <c r="I466">
        <v>0.28125002999999998</v>
      </c>
      <c r="J466">
        <v>0.58181815999999997</v>
      </c>
    </row>
    <row r="467" spans="1:10" x14ac:dyDescent="0.3">
      <c r="A467">
        <v>465</v>
      </c>
      <c r="B467">
        <v>7396</v>
      </c>
      <c r="C467" t="b">
        <v>1</v>
      </c>
      <c r="D467">
        <v>8054</v>
      </c>
      <c r="E467">
        <v>8129</v>
      </c>
      <c r="F467">
        <v>9.6</v>
      </c>
      <c r="G467">
        <v>13.2</v>
      </c>
      <c r="H467">
        <v>0.72727275000000002</v>
      </c>
      <c r="I467">
        <v>0.27272721999999999</v>
      </c>
      <c r="J467">
        <v>0.57894736999999996</v>
      </c>
    </row>
    <row r="468" spans="1:10" x14ac:dyDescent="0.3">
      <c r="A468">
        <v>466</v>
      </c>
      <c r="B468">
        <v>7411</v>
      </c>
      <c r="C468" t="b">
        <v>1</v>
      </c>
      <c r="D468">
        <v>8048</v>
      </c>
      <c r="E468">
        <v>8123</v>
      </c>
      <c r="F468">
        <v>10</v>
      </c>
      <c r="G468">
        <v>13.6</v>
      </c>
      <c r="H468">
        <v>0.73529409999999995</v>
      </c>
      <c r="I468">
        <v>0.26470589999999999</v>
      </c>
      <c r="J468">
        <v>0.57627119999999998</v>
      </c>
    </row>
    <row r="469" spans="1:10" x14ac:dyDescent="0.3">
      <c r="A469">
        <v>467</v>
      </c>
      <c r="B469">
        <v>7427</v>
      </c>
      <c r="C469" t="b">
        <v>1</v>
      </c>
      <c r="D469">
        <v>8048</v>
      </c>
      <c r="E469">
        <v>8134</v>
      </c>
      <c r="F469">
        <v>10.4</v>
      </c>
      <c r="G469">
        <v>14</v>
      </c>
      <c r="H469">
        <v>0.74285710000000005</v>
      </c>
      <c r="I469">
        <v>0.25714287000000002</v>
      </c>
      <c r="J469">
        <v>0.57377049999999996</v>
      </c>
    </row>
    <row r="470" spans="1:10" x14ac:dyDescent="0.3">
      <c r="A470">
        <v>468</v>
      </c>
      <c r="B470">
        <v>7443</v>
      </c>
      <c r="C470" t="b">
        <v>1</v>
      </c>
      <c r="D470">
        <v>8048</v>
      </c>
      <c r="E470">
        <v>8134</v>
      </c>
      <c r="F470">
        <v>10.4</v>
      </c>
      <c r="G470">
        <v>14</v>
      </c>
      <c r="H470">
        <v>0.74285710000000005</v>
      </c>
      <c r="I470">
        <v>0.25714287000000002</v>
      </c>
      <c r="J470">
        <v>0.57377049999999996</v>
      </c>
    </row>
    <row r="471" spans="1:10" x14ac:dyDescent="0.3">
      <c r="A471">
        <v>469</v>
      </c>
      <c r="B471">
        <v>7459</v>
      </c>
      <c r="C471" t="b">
        <v>1</v>
      </c>
      <c r="D471">
        <v>8048</v>
      </c>
      <c r="E471">
        <v>8134</v>
      </c>
      <c r="F471">
        <v>10.4</v>
      </c>
      <c r="G471">
        <v>14.333333</v>
      </c>
      <c r="H471">
        <v>0.72558140000000004</v>
      </c>
      <c r="I471">
        <v>0.27441862</v>
      </c>
      <c r="J471">
        <v>0.5795148</v>
      </c>
    </row>
    <row r="472" spans="1:10" x14ac:dyDescent="0.3">
      <c r="A472">
        <v>470</v>
      </c>
      <c r="B472">
        <v>7475</v>
      </c>
      <c r="C472" t="b">
        <v>1</v>
      </c>
      <c r="D472">
        <v>8042</v>
      </c>
      <c r="E472">
        <v>8134</v>
      </c>
      <c r="F472">
        <v>10.4</v>
      </c>
      <c r="G472">
        <v>14.666667</v>
      </c>
      <c r="H472">
        <v>0.70909089999999997</v>
      </c>
      <c r="I472">
        <v>0.29090914000000001</v>
      </c>
      <c r="J472">
        <v>0.58510642999999996</v>
      </c>
    </row>
    <row r="473" spans="1:10" x14ac:dyDescent="0.3">
      <c r="A473">
        <v>471</v>
      </c>
      <c r="B473">
        <v>7491</v>
      </c>
      <c r="C473" t="b">
        <v>1</v>
      </c>
      <c r="D473">
        <v>8042</v>
      </c>
      <c r="E473">
        <v>8129</v>
      </c>
      <c r="F473">
        <v>10.4</v>
      </c>
      <c r="G473">
        <v>15</v>
      </c>
      <c r="H473">
        <v>0.69333330000000004</v>
      </c>
      <c r="I473">
        <v>0.30666670000000001</v>
      </c>
      <c r="J473">
        <v>0.59055120000000005</v>
      </c>
    </row>
    <row r="474" spans="1:10" x14ac:dyDescent="0.3">
      <c r="A474">
        <v>472</v>
      </c>
      <c r="B474">
        <v>7506</v>
      </c>
      <c r="C474" t="b">
        <v>1</v>
      </c>
      <c r="D474">
        <v>8048</v>
      </c>
      <c r="E474">
        <v>8123</v>
      </c>
      <c r="F474">
        <v>10.4</v>
      </c>
      <c r="G474">
        <v>15.333333</v>
      </c>
      <c r="H474">
        <v>0.67826085999999997</v>
      </c>
      <c r="I474">
        <v>0.32173913999999998</v>
      </c>
      <c r="J474">
        <v>0.59585489999999997</v>
      </c>
    </row>
    <row r="475" spans="1:10" x14ac:dyDescent="0.3">
      <c r="A475">
        <v>473</v>
      </c>
      <c r="B475">
        <v>7522</v>
      </c>
      <c r="C475" t="b">
        <v>1</v>
      </c>
      <c r="D475">
        <v>8042</v>
      </c>
      <c r="E475">
        <v>8123</v>
      </c>
      <c r="F475">
        <v>10</v>
      </c>
      <c r="G475">
        <v>15.333333</v>
      </c>
      <c r="H475">
        <v>0.65217393999999995</v>
      </c>
      <c r="I475">
        <v>0.34782605999999999</v>
      </c>
      <c r="J475">
        <v>0.6052632</v>
      </c>
    </row>
    <row r="476" spans="1:10" x14ac:dyDescent="0.3">
      <c r="A476">
        <v>474</v>
      </c>
      <c r="B476">
        <v>7538</v>
      </c>
      <c r="C476" t="b">
        <v>1</v>
      </c>
      <c r="D476">
        <v>8048</v>
      </c>
      <c r="E476">
        <v>8117</v>
      </c>
      <c r="F476">
        <v>9.6</v>
      </c>
      <c r="G476">
        <v>14.933332999999999</v>
      </c>
      <c r="H476">
        <v>0.64285720000000002</v>
      </c>
      <c r="I476">
        <v>0.35714284000000002</v>
      </c>
      <c r="J476">
        <v>0.60869569999999995</v>
      </c>
    </row>
    <row r="477" spans="1:10" x14ac:dyDescent="0.3">
      <c r="A477">
        <v>475</v>
      </c>
      <c r="B477">
        <v>7554</v>
      </c>
      <c r="C477" t="b">
        <v>1</v>
      </c>
      <c r="D477">
        <v>8048</v>
      </c>
      <c r="E477">
        <v>8123</v>
      </c>
      <c r="F477">
        <v>9.6</v>
      </c>
      <c r="G477">
        <v>14.533334</v>
      </c>
      <c r="H477">
        <v>0.66055050000000004</v>
      </c>
      <c r="I477">
        <v>0.33944952</v>
      </c>
      <c r="J477">
        <v>0.60220989999999996</v>
      </c>
    </row>
    <row r="478" spans="1:10" x14ac:dyDescent="0.3">
      <c r="A478">
        <v>476</v>
      </c>
      <c r="B478">
        <v>7570</v>
      </c>
      <c r="C478" t="b">
        <v>1</v>
      </c>
      <c r="D478">
        <v>8048</v>
      </c>
      <c r="E478">
        <v>8117</v>
      </c>
      <c r="F478">
        <v>9.6</v>
      </c>
      <c r="G478">
        <v>14.133333</v>
      </c>
      <c r="H478">
        <v>0.67924530000000005</v>
      </c>
      <c r="I478">
        <v>0.32075468000000001</v>
      </c>
      <c r="J478">
        <v>0.59550559999999997</v>
      </c>
    </row>
    <row r="479" spans="1:10" x14ac:dyDescent="0.3">
      <c r="A479">
        <v>477</v>
      </c>
      <c r="B479">
        <v>7586</v>
      </c>
      <c r="C479" t="b">
        <v>1</v>
      </c>
      <c r="D479">
        <v>8054</v>
      </c>
      <c r="E479">
        <v>8117</v>
      </c>
      <c r="F479">
        <v>9.1999999999999993</v>
      </c>
      <c r="G479">
        <v>13.333333</v>
      </c>
      <c r="H479">
        <v>0.69</v>
      </c>
      <c r="I479">
        <v>0.31</v>
      </c>
      <c r="J479">
        <v>0.59171600000000002</v>
      </c>
    </row>
    <row r="480" spans="1:10" x14ac:dyDescent="0.3">
      <c r="A480">
        <v>478</v>
      </c>
      <c r="B480">
        <v>7602</v>
      </c>
      <c r="C480" t="b">
        <v>1</v>
      </c>
      <c r="D480">
        <v>8048</v>
      </c>
      <c r="E480">
        <v>8123</v>
      </c>
      <c r="F480">
        <v>8.8000000000000007</v>
      </c>
      <c r="G480">
        <v>12.533334</v>
      </c>
      <c r="H480">
        <v>0.70212764000000005</v>
      </c>
      <c r="I480">
        <v>0.29787236</v>
      </c>
      <c r="J480">
        <v>0.58750000000000002</v>
      </c>
    </row>
    <row r="481" spans="1:10" x14ac:dyDescent="0.3">
      <c r="A481">
        <v>479</v>
      </c>
      <c r="B481">
        <v>7618</v>
      </c>
      <c r="C481" t="b">
        <v>1</v>
      </c>
      <c r="D481">
        <v>8048</v>
      </c>
      <c r="E481">
        <v>8123</v>
      </c>
      <c r="F481">
        <v>8.4</v>
      </c>
      <c r="G481">
        <v>12.133333</v>
      </c>
      <c r="H481">
        <v>0.69230765000000005</v>
      </c>
      <c r="I481">
        <v>0.30769232000000002</v>
      </c>
      <c r="J481">
        <v>0.59090909999999996</v>
      </c>
    </row>
    <row r="482" spans="1:10" x14ac:dyDescent="0.3">
      <c r="A482">
        <v>480</v>
      </c>
      <c r="B482">
        <v>7633</v>
      </c>
      <c r="C482" t="b">
        <v>1</v>
      </c>
      <c r="D482">
        <v>8048</v>
      </c>
      <c r="E482">
        <v>8134</v>
      </c>
      <c r="F482">
        <v>8</v>
      </c>
      <c r="G482">
        <v>11.733333999999999</v>
      </c>
      <c r="H482">
        <v>0.68181820000000004</v>
      </c>
      <c r="I482">
        <v>0.31818183999999999</v>
      </c>
      <c r="J482">
        <v>0.59459459999999997</v>
      </c>
    </row>
    <row r="483" spans="1:10" x14ac:dyDescent="0.3">
      <c r="A483">
        <v>481</v>
      </c>
      <c r="B483">
        <v>7650</v>
      </c>
      <c r="C483" t="b">
        <v>1</v>
      </c>
      <c r="D483">
        <v>8048</v>
      </c>
      <c r="E483">
        <v>8123</v>
      </c>
      <c r="F483">
        <v>7.6</v>
      </c>
      <c r="G483">
        <v>11.333333</v>
      </c>
      <c r="H483">
        <v>0.67058825</v>
      </c>
      <c r="I483">
        <v>0.32941175</v>
      </c>
      <c r="J483">
        <v>0.59859156999999996</v>
      </c>
    </row>
    <row r="484" spans="1:10" x14ac:dyDescent="0.3">
      <c r="A484">
        <v>482</v>
      </c>
      <c r="B484">
        <v>7665</v>
      </c>
      <c r="C484" t="b">
        <v>1</v>
      </c>
      <c r="D484">
        <v>8042</v>
      </c>
      <c r="E484">
        <v>8129</v>
      </c>
      <c r="F484">
        <v>7.2</v>
      </c>
      <c r="G484">
        <v>10.933332999999999</v>
      </c>
      <c r="H484">
        <v>0.65853655</v>
      </c>
      <c r="I484">
        <v>0.34146345</v>
      </c>
      <c r="J484">
        <v>0.60294115999999998</v>
      </c>
    </row>
    <row r="485" spans="1:10" x14ac:dyDescent="0.3">
      <c r="A485">
        <v>483</v>
      </c>
      <c r="B485">
        <v>7681</v>
      </c>
      <c r="C485" t="b">
        <v>1</v>
      </c>
      <c r="D485">
        <v>8054</v>
      </c>
      <c r="E485">
        <v>8123</v>
      </c>
      <c r="F485">
        <v>7.2</v>
      </c>
      <c r="G485">
        <v>10.533334</v>
      </c>
      <c r="H485">
        <v>0.68354429999999999</v>
      </c>
      <c r="I485">
        <v>0.31645574999999998</v>
      </c>
      <c r="J485">
        <v>0.59398496000000001</v>
      </c>
    </row>
    <row r="486" spans="1:10" x14ac:dyDescent="0.3">
      <c r="A486">
        <v>484</v>
      </c>
      <c r="B486">
        <v>7697</v>
      </c>
      <c r="C486" t="b">
        <v>1</v>
      </c>
      <c r="D486">
        <v>8048</v>
      </c>
      <c r="E486">
        <v>8134</v>
      </c>
      <c r="F486">
        <v>7.2</v>
      </c>
      <c r="G486">
        <v>10.199999999999999</v>
      </c>
      <c r="H486">
        <v>0.70588240000000002</v>
      </c>
      <c r="I486">
        <v>0.29411766</v>
      </c>
      <c r="J486">
        <v>0.58620689999999998</v>
      </c>
    </row>
    <row r="487" spans="1:10" x14ac:dyDescent="0.3">
      <c r="A487">
        <v>485</v>
      </c>
      <c r="B487">
        <v>7713</v>
      </c>
      <c r="C487" t="b">
        <v>1</v>
      </c>
      <c r="D487">
        <v>8048</v>
      </c>
      <c r="E487">
        <v>8129</v>
      </c>
      <c r="F487">
        <v>7.2</v>
      </c>
      <c r="G487">
        <v>9.8666669999999996</v>
      </c>
      <c r="H487">
        <v>0.72972970000000004</v>
      </c>
      <c r="I487">
        <v>0.27027030000000002</v>
      </c>
      <c r="J487">
        <v>0.57812505999999997</v>
      </c>
    </row>
    <row r="488" spans="1:10" x14ac:dyDescent="0.3">
      <c r="A488">
        <v>486</v>
      </c>
      <c r="B488">
        <v>7729</v>
      </c>
      <c r="C488" t="b">
        <v>1</v>
      </c>
      <c r="D488">
        <v>8048</v>
      </c>
      <c r="E488">
        <v>8123</v>
      </c>
      <c r="F488">
        <v>7.2</v>
      </c>
      <c r="G488">
        <v>9.533334</v>
      </c>
      <c r="H488">
        <v>0.75524469999999999</v>
      </c>
      <c r="I488">
        <v>0.24475530000000001</v>
      </c>
      <c r="J488">
        <v>0.56972115999999995</v>
      </c>
    </row>
    <row r="489" spans="1:10" x14ac:dyDescent="0.3">
      <c r="A489">
        <v>487</v>
      </c>
      <c r="B489">
        <v>7744</v>
      </c>
      <c r="C489" t="b">
        <v>1</v>
      </c>
      <c r="D489">
        <v>8042</v>
      </c>
      <c r="E489">
        <v>8123</v>
      </c>
      <c r="F489">
        <v>7.2</v>
      </c>
      <c r="G489">
        <v>8.8000000000000007</v>
      </c>
      <c r="H489">
        <v>0.81818175000000004</v>
      </c>
      <c r="I489">
        <v>0.18181822</v>
      </c>
      <c r="J489">
        <v>0.55000000000000004</v>
      </c>
    </row>
    <row r="490" spans="1:10" x14ac:dyDescent="0.3">
      <c r="A490">
        <v>488</v>
      </c>
      <c r="B490">
        <v>7760</v>
      </c>
      <c r="C490" t="b">
        <v>1</v>
      </c>
      <c r="D490">
        <v>8048</v>
      </c>
      <c r="E490">
        <v>8123</v>
      </c>
      <c r="F490">
        <v>7.6</v>
      </c>
      <c r="G490">
        <v>8.4</v>
      </c>
      <c r="H490">
        <v>0.90476190000000001</v>
      </c>
      <c r="I490">
        <v>9.5238069999999994E-2</v>
      </c>
      <c r="J490">
        <v>0.52500000000000002</v>
      </c>
    </row>
    <row r="491" spans="1:10" x14ac:dyDescent="0.3">
      <c r="A491">
        <v>489</v>
      </c>
      <c r="B491">
        <v>7776</v>
      </c>
      <c r="C491" t="b">
        <v>1</v>
      </c>
      <c r="D491">
        <v>8048</v>
      </c>
      <c r="E491">
        <v>8134</v>
      </c>
      <c r="F491">
        <v>8</v>
      </c>
      <c r="G491">
        <v>8.4</v>
      </c>
      <c r="H491">
        <v>0.95238100000000003</v>
      </c>
      <c r="I491">
        <v>4.7619003999999999E-2</v>
      </c>
      <c r="J491">
        <v>0.51219510000000001</v>
      </c>
    </row>
    <row r="492" spans="1:10" x14ac:dyDescent="0.3">
      <c r="A492">
        <v>490</v>
      </c>
      <c r="B492">
        <v>7792</v>
      </c>
      <c r="C492" t="b">
        <v>1</v>
      </c>
      <c r="D492">
        <v>8042</v>
      </c>
      <c r="E492">
        <v>8117</v>
      </c>
      <c r="F492">
        <v>8</v>
      </c>
      <c r="G492">
        <v>8.4</v>
      </c>
      <c r="H492">
        <v>0.95238100000000003</v>
      </c>
      <c r="I492">
        <v>4.7619003999999999E-2</v>
      </c>
      <c r="J492">
        <v>0.51219510000000001</v>
      </c>
    </row>
    <row r="493" spans="1:10" x14ac:dyDescent="0.3">
      <c r="A493">
        <v>491</v>
      </c>
      <c r="B493">
        <v>7808</v>
      </c>
      <c r="C493" t="b">
        <v>1</v>
      </c>
      <c r="D493">
        <v>8048</v>
      </c>
      <c r="E493">
        <v>8129</v>
      </c>
      <c r="F493">
        <v>8</v>
      </c>
      <c r="G493">
        <v>8.4</v>
      </c>
      <c r="H493">
        <v>0.95238100000000003</v>
      </c>
      <c r="I493">
        <v>4.7619003999999999E-2</v>
      </c>
      <c r="J493">
        <v>0.51219510000000001</v>
      </c>
    </row>
    <row r="494" spans="1:10" x14ac:dyDescent="0.3">
      <c r="A494">
        <v>492</v>
      </c>
      <c r="B494">
        <v>7823</v>
      </c>
      <c r="C494" t="b">
        <v>1</v>
      </c>
      <c r="D494">
        <v>8042</v>
      </c>
      <c r="E494">
        <v>8129</v>
      </c>
      <c r="F494">
        <v>8</v>
      </c>
      <c r="G494">
        <v>9.1999999999999993</v>
      </c>
      <c r="H494">
        <v>0.86956524999999996</v>
      </c>
      <c r="I494">
        <v>0.13043477000000001</v>
      </c>
      <c r="J494">
        <v>0.53488369999999996</v>
      </c>
    </row>
    <row r="495" spans="1:10" x14ac:dyDescent="0.3">
      <c r="A495">
        <v>493</v>
      </c>
      <c r="B495">
        <v>7839</v>
      </c>
      <c r="C495" t="b">
        <v>1</v>
      </c>
      <c r="D495">
        <v>8048</v>
      </c>
      <c r="E495">
        <v>8117</v>
      </c>
      <c r="F495">
        <v>8</v>
      </c>
      <c r="G495">
        <v>10</v>
      </c>
      <c r="H495">
        <v>0.8</v>
      </c>
      <c r="I495">
        <v>0.2</v>
      </c>
      <c r="J495">
        <v>0.55555560000000004</v>
      </c>
    </row>
    <row r="496" spans="1:10" x14ac:dyDescent="0.3">
      <c r="A496">
        <v>494</v>
      </c>
      <c r="B496">
        <v>7855</v>
      </c>
      <c r="C496" t="b">
        <v>1</v>
      </c>
      <c r="D496">
        <v>8048</v>
      </c>
      <c r="E496">
        <v>8123</v>
      </c>
      <c r="F496">
        <v>8</v>
      </c>
      <c r="G496">
        <v>10</v>
      </c>
      <c r="H496">
        <v>0.8</v>
      </c>
      <c r="I496">
        <v>0.2</v>
      </c>
      <c r="J496">
        <v>0.55555560000000004</v>
      </c>
    </row>
    <row r="497" spans="1:10" x14ac:dyDescent="0.3">
      <c r="A497">
        <v>495</v>
      </c>
      <c r="B497">
        <v>7872</v>
      </c>
      <c r="C497" t="b">
        <v>1</v>
      </c>
      <c r="D497">
        <v>8048</v>
      </c>
      <c r="E497">
        <v>8117</v>
      </c>
      <c r="F497">
        <v>8</v>
      </c>
      <c r="G497">
        <v>10</v>
      </c>
      <c r="H497">
        <v>0.8</v>
      </c>
      <c r="I497">
        <v>0.2</v>
      </c>
      <c r="J497">
        <v>0.55555560000000004</v>
      </c>
    </row>
    <row r="498" spans="1:10" x14ac:dyDescent="0.3">
      <c r="A498">
        <v>496</v>
      </c>
      <c r="B498">
        <v>7888</v>
      </c>
      <c r="C498" t="b">
        <v>1</v>
      </c>
      <c r="D498">
        <v>8048</v>
      </c>
      <c r="E498">
        <v>8117</v>
      </c>
      <c r="F498">
        <v>8</v>
      </c>
      <c r="G498">
        <v>9.6</v>
      </c>
      <c r="H498">
        <v>0.83333330000000005</v>
      </c>
      <c r="I498">
        <v>0.1666667</v>
      </c>
      <c r="J498">
        <v>0.54545456000000003</v>
      </c>
    </row>
    <row r="499" spans="1:10" x14ac:dyDescent="0.3">
      <c r="A499">
        <v>497</v>
      </c>
      <c r="B499">
        <v>7903</v>
      </c>
      <c r="C499" t="b">
        <v>1</v>
      </c>
      <c r="D499">
        <v>8048</v>
      </c>
      <c r="E499">
        <v>8129</v>
      </c>
      <c r="F499">
        <v>8</v>
      </c>
      <c r="G499">
        <v>9.1999999999999993</v>
      </c>
      <c r="H499">
        <v>0.86956524999999996</v>
      </c>
      <c r="I499">
        <v>0.13043477000000001</v>
      </c>
      <c r="J499">
        <v>0.53488369999999996</v>
      </c>
    </row>
    <row r="500" spans="1:10" x14ac:dyDescent="0.3">
      <c r="A500">
        <v>498</v>
      </c>
      <c r="B500">
        <v>7919</v>
      </c>
      <c r="C500" t="b">
        <v>1</v>
      </c>
      <c r="D500">
        <v>8042</v>
      </c>
      <c r="E500">
        <v>8123</v>
      </c>
      <c r="F500">
        <v>8</v>
      </c>
      <c r="G500">
        <v>9.1999999999999993</v>
      </c>
      <c r="H500">
        <v>0.86956524999999996</v>
      </c>
      <c r="I500">
        <v>0.13043477000000001</v>
      </c>
      <c r="J500">
        <v>0.53488369999999996</v>
      </c>
    </row>
    <row r="501" spans="1:10" x14ac:dyDescent="0.3">
      <c r="A501">
        <v>499</v>
      </c>
      <c r="B501">
        <v>7935</v>
      </c>
      <c r="C501" t="b">
        <v>1</v>
      </c>
      <c r="D501">
        <v>8048</v>
      </c>
      <c r="E501">
        <v>8134</v>
      </c>
      <c r="F501">
        <v>8</v>
      </c>
      <c r="G501">
        <v>8.8000000000000007</v>
      </c>
      <c r="H501">
        <v>0.90909090000000004</v>
      </c>
      <c r="I501">
        <v>9.0909110000000001E-2</v>
      </c>
      <c r="J501">
        <v>0.52380954999999996</v>
      </c>
    </row>
    <row r="502" spans="1:10" x14ac:dyDescent="0.3">
      <c r="A502">
        <v>500</v>
      </c>
      <c r="B502">
        <v>7951</v>
      </c>
      <c r="C502" t="b">
        <v>1</v>
      </c>
      <c r="D502">
        <v>8048</v>
      </c>
      <c r="E502">
        <v>8134</v>
      </c>
      <c r="F502">
        <v>8</v>
      </c>
      <c r="G502">
        <v>8.8000000000000007</v>
      </c>
      <c r="H502">
        <v>0.90909090000000004</v>
      </c>
      <c r="I502">
        <v>9.0909110000000001E-2</v>
      </c>
      <c r="J502">
        <v>0.52380954999999996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62E5-6C21-4DEE-A949-D353122586BA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21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37</v>
      </c>
      <c r="C4" t="b">
        <v>1</v>
      </c>
      <c r="D4">
        <v>8048</v>
      </c>
      <c r="E4">
        <v>8123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53</v>
      </c>
      <c r="C5" t="b">
        <v>1</v>
      </c>
      <c r="D5">
        <v>8042</v>
      </c>
      <c r="E5">
        <v>8123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69</v>
      </c>
      <c r="C6" t="b">
        <v>1</v>
      </c>
      <c r="D6">
        <v>8042</v>
      </c>
      <c r="E6">
        <v>8123</v>
      </c>
      <c r="F6">
        <v>8</v>
      </c>
      <c r="G6">
        <v>8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85</v>
      </c>
      <c r="C7" t="b">
        <v>1</v>
      </c>
      <c r="D7">
        <v>8048</v>
      </c>
      <c r="E7">
        <v>8123</v>
      </c>
      <c r="F7">
        <v>8</v>
      </c>
      <c r="G7">
        <v>8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101</v>
      </c>
      <c r="C8" t="b">
        <v>1</v>
      </c>
      <c r="D8">
        <v>8042</v>
      </c>
      <c r="E8">
        <v>8123</v>
      </c>
      <c r="F8">
        <v>7.1428570000000002</v>
      </c>
      <c r="G8">
        <v>8</v>
      </c>
      <c r="H8">
        <v>0.89285713</v>
      </c>
      <c r="I8">
        <v>0.107142866</v>
      </c>
      <c r="J8">
        <v>0.52830189999999999</v>
      </c>
    </row>
    <row r="9" spans="1:10" x14ac:dyDescent="0.3">
      <c r="A9">
        <v>7</v>
      </c>
      <c r="B9">
        <v>117</v>
      </c>
      <c r="C9" t="b">
        <v>1</v>
      </c>
      <c r="D9">
        <v>8048</v>
      </c>
      <c r="E9">
        <v>8123</v>
      </c>
      <c r="F9">
        <v>6.5</v>
      </c>
      <c r="G9">
        <v>8</v>
      </c>
      <c r="H9">
        <v>0.8125</v>
      </c>
      <c r="I9">
        <v>0.1875</v>
      </c>
      <c r="J9">
        <v>0.55172414000000003</v>
      </c>
    </row>
    <row r="10" spans="1:10" x14ac:dyDescent="0.3">
      <c r="A10">
        <v>8</v>
      </c>
      <c r="B10">
        <v>133</v>
      </c>
      <c r="C10" t="b">
        <v>1</v>
      </c>
      <c r="D10">
        <v>8048</v>
      </c>
      <c r="E10">
        <v>8129</v>
      </c>
      <c r="F10">
        <v>6.6666664999999998</v>
      </c>
      <c r="G10">
        <v>8</v>
      </c>
      <c r="H10">
        <v>0.83333330000000005</v>
      </c>
      <c r="I10">
        <v>0.16666669000000001</v>
      </c>
      <c r="J10">
        <v>0.54545456000000003</v>
      </c>
    </row>
    <row r="11" spans="1:10" x14ac:dyDescent="0.3">
      <c r="A11">
        <v>9</v>
      </c>
      <c r="B11">
        <v>149</v>
      </c>
      <c r="C11" t="b">
        <v>1</v>
      </c>
      <c r="D11">
        <v>8054</v>
      </c>
      <c r="E11">
        <v>8129</v>
      </c>
      <c r="F11">
        <v>6.8</v>
      </c>
      <c r="G11">
        <v>8</v>
      </c>
      <c r="H11">
        <v>0.85</v>
      </c>
      <c r="I11">
        <v>0.14999998</v>
      </c>
      <c r="J11">
        <v>0.54054049999999998</v>
      </c>
    </row>
    <row r="12" spans="1:10" x14ac:dyDescent="0.3">
      <c r="A12">
        <v>10</v>
      </c>
      <c r="B12">
        <v>165</v>
      </c>
      <c r="C12" t="b">
        <v>1</v>
      </c>
      <c r="D12">
        <v>8048</v>
      </c>
      <c r="E12">
        <v>8123</v>
      </c>
      <c r="F12">
        <v>6.9090910000000001</v>
      </c>
      <c r="G12">
        <v>8</v>
      </c>
      <c r="H12">
        <v>0.86363639999999997</v>
      </c>
      <c r="I12">
        <v>0.13636363000000001</v>
      </c>
      <c r="J12">
        <v>0.53658539999999999</v>
      </c>
    </row>
    <row r="13" spans="1:10" x14ac:dyDescent="0.3">
      <c r="A13">
        <v>11</v>
      </c>
      <c r="B13">
        <v>181</v>
      </c>
      <c r="C13" t="b">
        <v>1</v>
      </c>
      <c r="D13">
        <v>8048</v>
      </c>
      <c r="E13">
        <v>8123</v>
      </c>
      <c r="F13">
        <v>7</v>
      </c>
      <c r="G13">
        <v>8</v>
      </c>
      <c r="H13">
        <v>0.875</v>
      </c>
      <c r="I13">
        <v>0.125</v>
      </c>
      <c r="J13">
        <v>0.53333335999999998</v>
      </c>
    </row>
    <row r="14" spans="1:10" x14ac:dyDescent="0.3">
      <c r="A14">
        <v>12</v>
      </c>
      <c r="B14">
        <v>197</v>
      </c>
      <c r="C14" t="b">
        <v>1</v>
      </c>
      <c r="D14">
        <v>8048</v>
      </c>
      <c r="E14">
        <v>8123</v>
      </c>
      <c r="F14">
        <v>7.0769229999999999</v>
      </c>
      <c r="G14">
        <v>8</v>
      </c>
      <c r="H14">
        <v>0.88461535999999996</v>
      </c>
      <c r="I14">
        <v>0.11538464</v>
      </c>
      <c r="J14">
        <v>0.53061223000000002</v>
      </c>
    </row>
    <row r="15" spans="1:10" x14ac:dyDescent="0.3">
      <c r="A15">
        <v>13</v>
      </c>
      <c r="B15">
        <v>213</v>
      </c>
      <c r="C15" t="b">
        <v>1</v>
      </c>
      <c r="D15">
        <v>8042</v>
      </c>
      <c r="E15">
        <v>8123</v>
      </c>
      <c r="F15">
        <v>7.1428570000000002</v>
      </c>
      <c r="G15">
        <v>8</v>
      </c>
      <c r="H15">
        <v>0.89285713</v>
      </c>
      <c r="I15">
        <v>0.107142866</v>
      </c>
      <c r="J15">
        <v>0.52830189999999999</v>
      </c>
    </row>
    <row r="16" spans="1:10" x14ac:dyDescent="0.3">
      <c r="A16">
        <v>14</v>
      </c>
      <c r="B16">
        <v>229</v>
      </c>
      <c r="C16" t="b">
        <v>1</v>
      </c>
      <c r="D16">
        <v>8048</v>
      </c>
      <c r="E16">
        <v>8123</v>
      </c>
      <c r="F16">
        <v>7.2</v>
      </c>
      <c r="G16">
        <v>8</v>
      </c>
      <c r="H16">
        <v>0.9</v>
      </c>
      <c r="I16">
        <v>0.10000002400000001</v>
      </c>
      <c r="J16">
        <v>0.5263158</v>
      </c>
    </row>
    <row r="17" spans="1:10" x14ac:dyDescent="0.3">
      <c r="A17">
        <v>15</v>
      </c>
      <c r="B17">
        <v>245</v>
      </c>
      <c r="C17" t="b">
        <v>1</v>
      </c>
      <c r="D17">
        <v>8048</v>
      </c>
      <c r="E17">
        <v>8123</v>
      </c>
      <c r="F17">
        <v>7.2</v>
      </c>
      <c r="G17">
        <v>8</v>
      </c>
      <c r="H17">
        <v>0.9</v>
      </c>
      <c r="I17">
        <v>0.10000002400000001</v>
      </c>
      <c r="J17">
        <v>0.5263158</v>
      </c>
    </row>
    <row r="18" spans="1:10" x14ac:dyDescent="0.3">
      <c r="A18">
        <v>16</v>
      </c>
      <c r="B18">
        <v>261</v>
      </c>
      <c r="C18" t="b">
        <v>1</v>
      </c>
      <c r="D18">
        <v>8048</v>
      </c>
      <c r="E18">
        <v>8123</v>
      </c>
      <c r="F18">
        <v>7.2</v>
      </c>
      <c r="G18">
        <v>8</v>
      </c>
      <c r="H18">
        <v>0.9</v>
      </c>
      <c r="I18">
        <v>0.10000002400000001</v>
      </c>
      <c r="J18">
        <v>0.5263158</v>
      </c>
    </row>
    <row r="19" spans="1:10" x14ac:dyDescent="0.3">
      <c r="A19">
        <v>17</v>
      </c>
      <c r="B19">
        <v>277</v>
      </c>
      <c r="C19" t="b">
        <v>1</v>
      </c>
      <c r="D19">
        <v>8048</v>
      </c>
      <c r="E19">
        <v>8123</v>
      </c>
      <c r="F19">
        <v>7.2</v>
      </c>
      <c r="G19">
        <v>8</v>
      </c>
      <c r="H19">
        <v>0.9</v>
      </c>
      <c r="I19">
        <v>0.10000002400000001</v>
      </c>
      <c r="J19">
        <v>0.5263158</v>
      </c>
    </row>
    <row r="20" spans="1:10" x14ac:dyDescent="0.3">
      <c r="A20">
        <v>18</v>
      </c>
      <c r="B20">
        <v>292</v>
      </c>
      <c r="C20" t="b">
        <v>1</v>
      </c>
      <c r="D20">
        <v>8042</v>
      </c>
      <c r="E20">
        <v>8123</v>
      </c>
      <c r="F20">
        <v>7.2</v>
      </c>
      <c r="G20">
        <v>8</v>
      </c>
      <c r="H20">
        <v>0.9</v>
      </c>
      <c r="I20">
        <v>0.10000002400000001</v>
      </c>
      <c r="J20">
        <v>0.5263158</v>
      </c>
    </row>
    <row r="21" spans="1:10" x14ac:dyDescent="0.3">
      <c r="A21">
        <v>19</v>
      </c>
      <c r="B21">
        <v>308</v>
      </c>
      <c r="C21" t="b">
        <v>1</v>
      </c>
      <c r="D21">
        <v>8048</v>
      </c>
      <c r="E21">
        <v>8123</v>
      </c>
      <c r="F21">
        <v>7.2</v>
      </c>
      <c r="G21">
        <v>8</v>
      </c>
      <c r="H21">
        <v>0.9</v>
      </c>
      <c r="I21">
        <v>0.10000002400000001</v>
      </c>
      <c r="J21">
        <v>0.5263158</v>
      </c>
    </row>
    <row r="22" spans="1:10" x14ac:dyDescent="0.3">
      <c r="A22">
        <v>20</v>
      </c>
      <c r="B22">
        <v>324</v>
      </c>
      <c r="C22" t="b">
        <v>1</v>
      </c>
      <c r="D22">
        <v>8048</v>
      </c>
      <c r="E22">
        <v>8129</v>
      </c>
      <c r="F22">
        <v>7.2</v>
      </c>
      <c r="G22">
        <v>8</v>
      </c>
      <c r="H22">
        <v>0.9</v>
      </c>
      <c r="I22">
        <v>0.10000002400000001</v>
      </c>
      <c r="J22">
        <v>0.5263158</v>
      </c>
    </row>
    <row r="23" spans="1:10" x14ac:dyDescent="0.3">
      <c r="A23">
        <v>21</v>
      </c>
      <c r="B23">
        <v>340</v>
      </c>
      <c r="C23" t="b">
        <v>1</v>
      </c>
      <c r="D23">
        <v>8048</v>
      </c>
      <c r="E23">
        <v>8123</v>
      </c>
      <c r="F23">
        <v>7.6</v>
      </c>
      <c r="G23">
        <v>8</v>
      </c>
      <c r="H23">
        <v>0.95</v>
      </c>
      <c r="I23">
        <v>5.0000012000000003E-2</v>
      </c>
      <c r="J23">
        <v>0.51282050000000001</v>
      </c>
    </row>
    <row r="24" spans="1:10" x14ac:dyDescent="0.3">
      <c r="A24">
        <v>22</v>
      </c>
      <c r="B24">
        <v>356</v>
      </c>
      <c r="C24" t="b">
        <v>1</v>
      </c>
      <c r="D24">
        <v>8054</v>
      </c>
      <c r="E24">
        <v>8123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372</v>
      </c>
      <c r="C25" t="b">
        <v>1</v>
      </c>
      <c r="D25">
        <v>8048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388</v>
      </c>
      <c r="C26" t="b">
        <v>1</v>
      </c>
      <c r="D26">
        <v>8048</v>
      </c>
      <c r="E26">
        <v>8117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404</v>
      </c>
      <c r="C27" t="b">
        <v>1</v>
      </c>
      <c r="D27">
        <v>8048</v>
      </c>
      <c r="E27">
        <v>8123</v>
      </c>
      <c r="F27">
        <v>8</v>
      </c>
      <c r="G27">
        <v>8</v>
      </c>
      <c r="H27">
        <v>1</v>
      </c>
      <c r="I27">
        <v>0</v>
      </c>
      <c r="J27">
        <v>0.5</v>
      </c>
    </row>
    <row r="28" spans="1:10" x14ac:dyDescent="0.3">
      <c r="A28">
        <v>26</v>
      </c>
      <c r="B28">
        <v>419</v>
      </c>
      <c r="C28" t="b">
        <v>1</v>
      </c>
      <c r="D28">
        <v>8048</v>
      </c>
      <c r="E28">
        <v>8123</v>
      </c>
      <c r="F28">
        <v>8</v>
      </c>
      <c r="G28">
        <v>8</v>
      </c>
      <c r="H28">
        <v>1</v>
      </c>
      <c r="I28">
        <v>0</v>
      </c>
      <c r="J28">
        <v>0.5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8123</v>
      </c>
      <c r="F29">
        <v>8</v>
      </c>
      <c r="G29">
        <v>8</v>
      </c>
      <c r="H29">
        <v>1</v>
      </c>
      <c r="I29">
        <v>0</v>
      </c>
      <c r="J29">
        <v>0.5</v>
      </c>
    </row>
    <row r="30" spans="1:10" x14ac:dyDescent="0.3">
      <c r="A30">
        <v>28</v>
      </c>
      <c r="B30">
        <v>451</v>
      </c>
      <c r="C30" t="b">
        <v>1</v>
      </c>
      <c r="D30">
        <v>8048</v>
      </c>
      <c r="E30">
        <v>8123</v>
      </c>
      <c r="F30">
        <v>8</v>
      </c>
      <c r="G30">
        <v>8</v>
      </c>
      <c r="H30">
        <v>1</v>
      </c>
      <c r="I30">
        <v>0</v>
      </c>
      <c r="J30">
        <v>0.5</v>
      </c>
    </row>
    <row r="31" spans="1:10" x14ac:dyDescent="0.3">
      <c r="A31">
        <v>29</v>
      </c>
      <c r="B31">
        <v>467</v>
      </c>
      <c r="C31" t="b">
        <v>1</v>
      </c>
      <c r="D31">
        <v>8042</v>
      </c>
      <c r="E31">
        <v>8129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482</v>
      </c>
      <c r="C32" t="b">
        <v>1</v>
      </c>
      <c r="D32">
        <v>8048</v>
      </c>
      <c r="E32">
        <v>8129</v>
      </c>
      <c r="F32">
        <v>8</v>
      </c>
      <c r="G32">
        <v>8</v>
      </c>
      <c r="H32">
        <v>1</v>
      </c>
      <c r="I32">
        <v>0</v>
      </c>
      <c r="J32">
        <v>0.5</v>
      </c>
    </row>
    <row r="33" spans="1:10" x14ac:dyDescent="0.3">
      <c r="A33">
        <v>31</v>
      </c>
      <c r="B33">
        <v>499</v>
      </c>
      <c r="C33" t="b">
        <v>1</v>
      </c>
      <c r="D33">
        <v>8048</v>
      </c>
      <c r="E33">
        <v>8129</v>
      </c>
      <c r="F33">
        <v>8</v>
      </c>
      <c r="G33">
        <v>8.4</v>
      </c>
      <c r="H33">
        <v>0.95238100000000003</v>
      </c>
      <c r="I33">
        <v>4.7619003999999999E-2</v>
      </c>
      <c r="J33">
        <v>0.51219510000000001</v>
      </c>
    </row>
    <row r="34" spans="1:10" x14ac:dyDescent="0.3">
      <c r="A34">
        <v>32</v>
      </c>
      <c r="B34">
        <v>514</v>
      </c>
      <c r="C34" t="b">
        <v>1</v>
      </c>
      <c r="D34">
        <v>8048</v>
      </c>
      <c r="E34">
        <v>8129</v>
      </c>
      <c r="F34">
        <v>8</v>
      </c>
      <c r="G34">
        <v>8.8000000000000007</v>
      </c>
      <c r="H34">
        <v>0.90909090000000004</v>
      </c>
      <c r="I34">
        <v>9.0909110000000001E-2</v>
      </c>
      <c r="J34">
        <v>0.52380954999999996</v>
      </c>
    </row>
    <row r="35" spans="1:10" x14ac:dyDescent="0.3">
      <c r="A35">
        <v>33</v>
      </c>
      <c r="B35">
        <v>530</v>
      </c>
      <c r="C35" t="b">
        <v>1</v>
      </c>
      <c r="D35">
        <v>8048</v>
      </c>
      <c r="E35">
        <v>8129</v>
      </c>
      <c r="F35">
        <v>8</v>
      </c>
      <c r="G35">
        <v>9.1999999999999993</v>
      </c>
      <c r="H35">
        <v>0.86956524999999996</v>
      </c>
      <c r="I35">
        <v>0.13043477000000001</v>
      </c>
      <c r="J35">
        <v>0.53488369999999996</v>
      </c>
    </row>
    <row r="36" spans="1:10" x14ac:dyDescent="0.3">
      <c r="A36">
        <v>34</v>
      </c>
      <c r="B36">
        <v>546</v>
      </c>
      <c r="C36" t="b">
        <v>1</v>
      </c>
      <c r="D36">
        <v>8048</v>
      </c>
      <c r="E36">
        <v>8123</v>
      </c>
      <c r="F36">
        <v>8</v>
      </c>
      <c r="G36">
        <v>9.6</v>
      </c>
      <c r="H36">
        <v>0.83333330000000005</v>
      </c>
      <c r="I36">
        <v>0.1666667</v>
      </c>
      <c r="J36">
        <v>0.54545456000000003</v>
      </c>
    </row>
    <row r="37" spans="1:10" x14ac:dyDescent="0.3">
      <c r="A37">
        <v>35</v>
      </c>
      <c r="B37">
        <v>562</v>
      </c>
      <c r="C37" t="b">
        <v>1</v>
      </c>
      <c r="D37">
        <v>8042</v>
      </c>
      <c r="E37">
        <v>8129</v>
      </c>
      <c r="F37">
        <v>8</v>
      </c>
      <c r="G37">
        <v>10</v>
      </c>
      <c r="H37">
        <v>0.8</v>
      </c>
      <c r="I37">
        <v>0.2</v>
      </c>
      <c r="J37">
        <v>0.55555560000000004</v>
      </c>
    </row>
    <row r="38" spans="1:10" x14ac:dyDescent="0.3">
      <c r="A38">
        <v>36</v>
      </c>
      <c r="B38">
        <v>578</v>
      </c>
      <c r="C38" t="b">
        <v>1</v>
      </c>
      <c r="D38">
        <v>8048</v>
      </c>
      <c r="E38">
        <v>8123</v>
      </c>
      <c r="F38">
        <v>8</v>
      </c>
      <c r="G38">
        <v>10.4</v>
      </c>
      <c r="H38">
        <v>0.76923079999999999</v>
      </c>
      <c r="I38">
        <v>0.23076920000000001</v>
      </c>
      <c r="J38">
        <v>0.56521739999999998</v>
      </c>
    </row>
    <row r="39" spans="1:10" x14ac:dyDescent="0.3">
      <c r="A39">
        <v>37</v>
      </c>
      <c r="B39">
        <v>594</v>
      </c>
      <c r="C39" t="b">
        <v>1</v>
      </c>
      <c r="D39">
        <v>8048</v>
      </c>
      <c r="E39">
        <v>8129</v>
      </c>
      <c r="F39">
        <v>8</v>
      </c>
      <c r="G39">
        <v>10.8</v>
      </c>
      <c r="H39">
        <v>0.74074070000000003</v>
      </c>
      <c r="I39">
        <v>0.25925927999999998</v>
      </c>
      <c r="J39">
        <v>0.57446814000000002</v>
      </c>
    </row>
    <row r="40" spans="1:10" x14ac:dyDescent="0.3">
      <c r="A40">
        <v>38</v>
      </c>
      <c r="B40">
        <v>610</v>
      </c>
      <c r="C40" t="b">
        <v>1</v>
      </c>
      <c r="D40">
        <v>8048</v>
      </c>
      <c r="E40">
        <v>8134</v>
      </c>
      <c r="F40">
        <v>8</v>
      </c>
      <c r="G40">
        <v>11.2</v>
      </c>
      <c r="H40">
        <v>0.71428572999999995</v>
      </c>
      <c r="I40">
        <v>0.28571426999999999</v>
      </c>
      <c r="J40">
        <v>0.58333330000000005</v>
      </c>
    </row>
    <row r="41" spans="1:10" x14ac:dyDescent="0.3">
      <c r="A41">
        <v>39</v>
      </c>
      <c r="B41">
        <v>626</v>
      </c>
      <c r="C41" t="b">
        <v>1</v>
      </c>
      <c r="D41">
        <v>8048</v>
      </c>
      <c r="E41">
        <v>8123</v>
      </c>
      <c r="F41">
        <v>8</v>
      </c>
      <c r="G41">
        <v>11.6</v>
      </c>
      <c r="H41">
        <v>0.68965509999999997</v>
      </c>
      <c r="I41">
        <v>0.31034485000000001</v>
      </c>
      <c r="J41">
        <v>0.59183675000000002</v>
      </c>
    </row>
    <row r="42" spans="1:10" x14ac:dyDescent="0.3">
      <c r="A42">
        <v>40</v>
      </c>
      <c r="B42">
        <v>641</v>
      </c>
      <c r="C42" t="b">
        <v>1</v>
      </c>
      <c r="D42">
        <v>8048</v>
      </c>
      <c r="E42">
        <v>8123</v>
      </c>
      <c r="F42">
        <v>8</v>
      </c>
      <c r="G42">
        <v>11.6</v>
      </c>
      <c r="H42">
        <v>0.68965509999999997</v>
      </c>
      <c r="I42">
        <v>0.31034485000000001</v>
      </c>
      <c r="J42">
        <v>0.59183675000000002</v>
      </c>
    </row>
    <row r="43" spans="1:10" x14ac:dyDescent="0.3">
      <c r="A43">
        <v>41</v>
      </c>
      <c r="B43">
        <v>657</v>
      </c>
      <c r="C43" t="b">
        <v>1</v>
      </c>
      <c r="D43">
        <v>8042</v>
      </c>
      <c r="E43">
        <v>8123</v>
      </c>
      <c r="F43">
        <v>8</v>
      </c>
      <c r="G43">
        <v>11.6</v>
      </c>
      <c r="H43">
        <v>0.68965509999999997</v>
      </c>
      <c r="I43">
        <v>0.31034485000000001</v>
      </c>
      <c r="J43">
        <v>0.59183675000000002</v>
      </c>
    </row>
    <row r="44" spans="1:10" x14ac:dyDescent="0.3">
      <c r="A44">
        <v>42</v>
      </c>
      <c r="B44">
        <v>673</v>
      </c>
      <c r="C44" t="b">
        <v>1</v>
      </c>
      <c r="D44">
        <v>8048</v>
      </c>
      <c r="E44">
        <v>8123</v>
      </c>
      <c r="F44">
        <v>8</v>
      </c>
      <c r="G44">
        <v>11.6</v>
      </c>
      <c r="H44">
        <v>0.68965509999999997</v>
      </c>
      <c r="I44">
        <v>0.31034485000000001</v>
      </c>
      <c r="J44">
        <v>0.59183675000000002</v>
      </c>
    </row>
    <row r="45" spans="1:10" x14ac:dyDescent="0.3">
      <c r="A45">
        <v>43</v>
      </c>
      <c r="B45">
        <v>689</v>
      </c>
      <c r="C45" t="b">
        <v>1</v>
      </c>
      <c r="D45">
        <v>8048</v>
      </c>
      <c r="E45">
        <v>8134</v>
      </c>
      <c r="F45">
        <v>8</v>
      </c>
      <c r="G45">
        <v>11.6</v>
      </c>
      <c r="H45">
        <v>0.68965509999999997</v>
      </c>
      <c r="I45">
        <v>0.31034485000000001</v>
      </c>
      <c r="J45">
        <v>0.59183675000000002</v>
      </c>
    </row>
    <row r="46" spans="1:10" x14ac:dyDescent="0.3">
      <c r="A46">
        <v>44</v>
      </c>
      <c r="B46">
        <v>705</v>
      </c>
      <c r="C46" t="b">
        <v>1</v>
      </c>
      <c r="D46">
        <v>8042</v>
      </c>
      <c r="E46">
        <v>8123</v>
      </c>
      <c r="F46">
        <v>8</v>
      </c>
      <c r="G46">
        <v>11.6</v>
      </c>
      <c r="H46">
        <v>0.68965509999999997</v>
      </c>
      <c r="I46">
        <v>0.31034485000000001</v>
      </c>
      <c r="J46">
        <v>0.59183675000000002</v>
      </c>
    </row>
    <row r="47" spans="1:10" x14ac:dyDescent="0.3">
      <c r="A47">
        <v>45</v>
      </c>
      <c r="B47">
        <v>721</v>
      </c>
      <c r="C47" t="b">
        <v>1</v>
      </c>
      <c r="D47">
        <v>8048</v>
      </c>
      <c r="E47">
        <v>8123</v>
      </c>
      <c r="F47">
        <v>8</v>
      </c>
      <c r="G47">
        <v>11.6</v>
      </c>
      <c r="H47">
        <v>0.68965509999999997</v>
      </c>
      <c r="I47">
        <v>0.31034485000000001</v>
      </c>
      <c r="J47">
        <v>0.59183675000000002</v>
      </c>
    </row>
    <row r="48" spans="1:10" x14ac:dyDescent="0.3">
      <c r="A48">
        <v>46</v>
      </c>
      <c r="B48">
        <v>737</v>
      </c>
      <c r="C48" t="b">
        <v>1</v>
      </c>
      <c r="D48">
        <v>8042</v>
      </c>
      <c r="E48">
        <v>8123</v>
      </c>
      <c r="F48">
        <v>8</v>
      </c>
      <c r="G48">
        <v>11.2</v>
      </c>
      <c r="H48">
        <v>0.71428572999999995</v>
      </c>
      <c r="I48">
        <v>0.28571426999999999</v>
      </c>
      <c r="J48">
        <v>0.58333330000000005</v>
      </c>
    </row>
    <row r="49" spans="1:10" x14ac:dyDescent="0.3">
      <c r="A49">
        <v>47</v>
      </c>
      <c r="B49">
        <v>753</v>
      </c>
      <c r="C49" t="b">
        <v>1</v>
      </c>
      <c r="D49">
        <v>8042</v>
      </c>
      <c r="E49">
        <v>8129</v>
      </c>
      <c r="F49">
        <v>7.6</v>
      </c>
      <c r="G49">
        <v>10.8</v>
      </c>
      <c r="H49">
        <v>0.70370370000000004</v>
      </c>
      <c r="I49">
        <v>0.29629633</v>
      </c>
      <c r="J49">
        <v>0.58695655999999996</v>
      </c>
    </row>
    <row r="50" spans="1:10" x14ac:dyDescent="0.3">
      <c r="A50">
        <v>48</v>
      </c>
      <c r="B50">
        <v>768</v>
      </c>
      <c r="C50" t="b">
        <v>1</v>
      </c>
      <c r="D50">
        <v>8048</v>
      </c>
      <c r="E50">
        <v>8123</v>
      </c>
      <c r="F50">
        <v>7.2</v>
      </c>
      <c r="G50">
        <v>10.4</v>
      </c>
      <c r="H50">
        <v>0.69230769999999997</v>
      </c>
      <c r="I50">
        <v>0.30769229999999997</v>
      </c>
      <c r="J50">
        <v>0.59090909999999996</v>
      </c>
    </row>
    <row r="51" spans="1:10" x14ac:dyDescent="0.3">
      <c r="A51">
        <v>49</v>
      </c>
      <c r="B51">
        <v>784</v>
      </c>
      <c r="C51" t="b">
        <v>1</v>
      </c>
      <c r="D51">
        <v>8054</v>
      </c>
      <c r="E51">
        <v>8123</v>
      </c>
      <c r="F51">
        <v>7.2</v>
      </c>
      <c r="G51">
        <v>10</v>
      </c>
      <c r="H51">
        <v>0.71999997000000004</v>
      </c>
      <c r="I51">
        <v>0.28000003000000001</v>
      </c>
      <c r="J51">
        <v>0.58139529999999995</v>
      </c>
    </row>
    <row r="52" spans="1:10" x14ac:dyDescent="0.3">
      <c r="A52">
        <v>50</v>
      </c>
      <c r="B52">
        <v>800</v>
      </c>
      <c r="C52" t="b">
        <v>1</v>
      </c>
      <c r="D52">
        <v>8048</v>
      </c>
      <c r="E52">
        <v>8123</v>
      </c>
      <c r="F52">
        <v>7.2</v>
      </c>
      <c r="G52">
        <v>9.6</v>
      </c>
      <c r="H52">
        <v>0.74999994000000003</v>
      </c>
      <c r="I52">
        <v>0.25000006000000002</v>
      </c>
      <c r="J52">
        <v>0.57142859999999995</v>
      </c>
    </row>
    <row r="53" spans="1:10" x14ac:dyDescent="0.3">
      <c r="A53">
        <v>51</v>
      </c>
      <c r="B53">
        <v>816</v>
      </c>
      <c r="C53" t="b">
        <v>1</v>
      </c>
      <c r="D53">
        <v>8054</v>
      </c>
      <c r="E53">
        <v>8123</v>
      </c>
      <c r="F53">
        <v>7.2</v>
      </c>
      <c r="G53">
        <v>9.1999999999999993</v>
      </c>
      <c r="H53">
        <v>0.78260870000000005</v>
      </c>
      <c r="I53">
        <v>0.21739131</v>
      </c>
      <c r="J53">
        <v>0.56097560000000002</v>
      </c>
    </row>
    <row r="54" spans="1:10" x14ac:dyDescent="0.3">
      <c r="A54">
        <v>52</v>
      </c>
      <c r="B54">
        <v>832</v>
      </c>
      <c r="C54" t="b">
        <v>1</v>
      </c>
      <c r="D54">
        <v>8048</v>
      </c>
      <c r="E54">
        <v>8123</v>
      </c>
      <c r="F54">
        <v>7.2</v>
      </c>
      <c r="G54">
        <v>8.8000000000000007</v>
      </c>
      <c r="H54">
        <v>0.81818175000000004</v>
      </c>
      <c r="I54">
        <v>0.18181822</v>
      </c>
      <c r="J54">
        <v>0.55000000000000004</v>
      </c>
    </row>
    <row r="55" spans="1:10" x14ac:dyDescent="0.3">
      <c r="A55">
        <v>53</v>
      </c>
      <c r="B55">
        <v>848</v>
      </c>
      <c r="C55" t="b">
        <v>1</v>
      </c>
      <c r="D55">
        <v>8042</v>
      </c>
      <c r="E55">
        <v>8129</v>
      </c>
      <c r="F55">
        <v>7.2</v>
      </c>
      <c r="G55">
        <v>8.4</v>
      </c>
      <c r="H55">
        <v>0.85714287</v>
      </c>
      <c r="I55">
        <v>0.14285712</v>
      </c>
      <c r="J55">
        <v>0.53846150000000004</v>
      </c>
    </row>
    <row r="56" spans="1:10" x14ac:dyDescent="0.3">
      <c r="A56">
        <v>54</v>
      </c>
      <c r="B56">
        <v>863</v>
      </c>
      <c r="C56" t="b">
        <v>1</v>
      </c>
      <c r="D56">
        <v>8048</v>
      </c>
      <c r="E56">
        <v>8129</v>
      </c>
      <c r="F56">
        <v>7.2</v>
      </c>
      <c r="G56">
        <v>8</v>
      </c>
      <c r="H56">
        <v>0.9</v>
      </c>
      <c r="I56">
        <v>0.10000002400000001</v>
      </c>
      <c r="J56">
        <v>0.5263158</v>
      </c>
    </row>
    <row r="57" spans="1:10" x14ac:dyDescent="0.3">
      <c r="A57">
        <v>55</v>
      </c>
      <c r="B57">
        <v>879</v>
      </c>
      <c r="C57" t="b">
        <v>1</v>
      </c>
      <c r="D57">
        <v>8048</v>
      </c>
      <c r="E57">
        <v>8123</v>
      </c>
      <c r="F57">
        <v>7.2</v>
      </c>
      <c r="G57">
        <v>8</v>
      </c>
      <c r="H57">
        <v>0.9</v>
      </c>
      <c r="I57">
        <v>0.10000002400000001</v>
      </c>
      <c r="J57">
        <v>0.5263158</v>
      </c>
    </row>
    <row r="58" spans="1:10" x14ac:dyDescent="0.3">
      <c r="A58">
        <v>56</v>
      </c>
      <c r="B58">
        <v>895</v>
      </c>
      <c r="C58" t="b">
        <v>1</v>
      </c>
      <c r="D58">
        <v>8048</v>
      </c>
      <c r="E58">
        <v>8123</v>
      </c>
      <c r="F58">
        <v>7.2</v>
      </c>
      <c r="G58">
        <v>8</v>
      </c>
      <c r="H58">
        <v>0.9</v>
      </c>
      <c r="I58">
        <v>0.10000002400000001</v>
      </c>
      <c r="J58">
        <v>0.5263158</v>
      </c>
    </row>
    <row r="59" spans="1:10" x14ac:dyDescent="0.3">
      <c r="A59">
        <v>57</v>
      </c>
      <c r="B59">
        <v>911</v>
      </c>
      <c r="C59" t="b">
        <v>1</v>
      </c>
      <c r="D59">
        <v>8048</v>
      </c>
      <c r="E59">
        <v>8123</v>
      </c>
      <c r="F59">
        <v>7.2</v>
      </c>
      <c r="G59">
        <v>8</v>
      </c>
      <c r="H59">
        <v>0.9</v>
      </c>
      <c r="I59">
        <v>0.10000002400000001</v>
      </c>
      <c r="J59">
        <v>0.5263158</v>
      </c>
    </row>
    <row r="60" spans="1:10" x14ac:dyDescent="0.3">
      <c r="A60">
        <v>58</v>
      </c>
      <c r="B60">
        <v>927</v>
      </c>
      <c r="C60" t="b">
        <v>1</v>
      </c>
      <c r="D60">
        <v>8042</v>
      </c>
      <c r="E60">
        <v>8123</v>
      </c>
      <c r="F60">
        <v>7.2</v>
      </c>
      <c r="G60">
        <v>8</v>
      </c>
      <c r="H60">
        <v>0.9</v>
      </c>
      <c r="I60">
        <v>0.10000002400000001</v>
      </c>
      <c r="J60">
        <v>0.5263158</v>
      </c>
    </row>
    <row r="61" spans="1:10" x14ac:dyDescent="0.3">
      <c r="A61">
        <v>59</v>
      </c>
      <c r="B61">
        <v>943</v>
      </c>
      <c r="C61" t="b">
        <v>1</v>
      </c>
      <c r="D61">
        <v>8042</v>
      </c>
      <c r="E61">
        <v>8123</v>
      </c>
      <c r="F61">
        <v>7.2</v>
      </c>
      <c r="G61">
        <v>8</v>
      </c>
      <c r="H61">
        <v>0.9</v>
      </c>
      <c r="I61">
        <v>0.10000002400000001</v>
      </c>
      <c r="J61">
        <v>0.5263158</v>
      </c>
    </row>
    <row r="62" spans="1:10" x14ac:dyDescent="0.3">
      <c r="A62">
        <v>60</v>
      </c>
      <c r="B62">
        <v>959</v>
      </c>
      <c r="C62" t="b">
        <v>1</v>
      </c>
      <c r="D62">
        <v>8048</v>
      </c>
      <c r="E62">
        <v>8123</v>
      </c>
      <c r="F62">
        <v>7.2</v>
      </c>
      <c r="G62">
        <v>8</v>
      </c>
      <c r="H62">
        <v>0.9</v>
      </c>
      <c r="I62">
        <v>0.10000002400000001</v>
      </c>
      <c r="J62">
        <v>0.5263158</v>
      </c>
    </row>
    <row r="63" spans="1:10" x14ac:dyDescent="0.3">
      <c r="A63">
        <v>61</v>
      </c>
      <c r="B63">
        <v>975</v>
      </c>
      <c r="C63" t="b">
        <v>1</v>
      </c>
      <c r="D63">
        <v>8048</v>
      </c>
      <c r="E63">
        <v>8123</v>
      </c>
      <c r="F63">
        <v>7.2</v>
      </c>
      <c r="G63">
        <v>8</v>
      </c>
      <c r="H63">
        <v>0.9</v>
      </c>
      <c r="I63">
        <v>0.10000002400000001</v>
      </c>
      <c r="J63">
        <v>0.5263158</v>
      </c>
    </row>
    <row r="64" spans="1:10" x14ac:dyDescent="0.3">
      <c r="A64">
        <v>62</v>
      </c>
      <c r="B64">
        <v>991</v>
      </c>
      <c r="C64" t="b">
        <v>1</v>
      </c>
      <c r="D64">
        <v>8048</v>
      </c>
      <c r="E64">
        <v>8123</v>
      </c>
      <c r="F64">
        <v>7.6</v>
      </c>
      <c r="G64">
        <v>8</v>
      </c>
      <c r="H64">
        <v>0.95</v>
      </c>
      <c r="I64">
        <v>5.0000012000000003E-2</v>
      </c>
      <c r="J64">
        <v>0.51282050000000001</v>
      </c>
    </row>
    <row r="65" spans="1:10" x14ac:dyDescent="0.3">
      <c r="A65">
        <v>63</v>
      </c>
      <c r="B65">
        <v>1007</v>
      </c>
      <c r="C65" t="b">
        <v>1</v>
      </c>
      <c r="D65">
        <v>8048</v>
      </c>
      <c r="E65">
        <v>8129</v>
      </c>
      <c r="F65">
        <v>8</v>
      </c>
      <c r="G65">
        <v>8</v>
      </c>
      <c r="H65">
        <v>1</v>
      </c>
      <c r="I65">
        <v>0</v>
      </c>
      <c r="J65">
        <v>0.5</v>
      </c>
    </row>
    <row r="66" spans="1:10" x14ac:dyDescent="0.3">
      <c r="A66">
        <v>64</v>
      </c>
      <c r="B66">
        <v>1022</v>
      </c>
      <c r="C66" t="b">
        <v>1</v>
      </c>
      <c r="D66">
        <v>8048</v>
      </c>
      <c r="E66">
        <v>8123</v>
      </c>
      <c r="F66">
        <v>8</v>
      </c>
      <c r="G66">
        <v>8</v>
      </c>
      <c r="H66">
        <v>1</v>
      </c>
      <c r="I66">
        <v>0</v>
      </c>
      <c r="J66">
        <v>0.5</v>
      </c>
    </row>
    <row r="67" spans="1:10" x14ac:dyDescent="0.3">
      <c r="A67">
        <v>65</v>
      </c>
      <c r="B67">
        <v>1038</v>
      </c>
      <c r="C67" t="b">
        <v>1</v>
      </c>
      <c r="D67">
        <v>8048</v>
      </c>
      <c r="E67">
        <v>8123</v>
      </c>
      <c r="F67">
        <v>8</v>
      </c>
      <c r="G67">
        <v>8</v>
      </c>
      <c r="H67">
        <v>1</v>
      </c>
      <c r="I67">
        <v>0</v>
      </c>
      <c r="J67">
        <v>0.5</v>
      </c>
    </row>
    <row r="68" spans="1:10" x14ac:dyDescent="0.3">
      <c r="A68">
        <v>66</v>
      </c>
      <c r="B68">
        <v>1054</v>
      </c>
      <c r="C68" t="b">
        <v>1</v>
      </c>
      <c r="D68">
        <v>8048</v>
      </c>
      <c r="E68">
        <v>8123</v>
      </c>
      <c r="F68">
        <v>8</v>
      </c>
      <c r="G68">
        <v>8</v>
      </c>
      <c r="H68">
        <v>1</v>
      </c>
      <c r="I68">
        <v>0</v>
      </c>
      <c r="J68">
        <v>0.5</v>
      </c>
    </row>
    <row r="69" spans="1:10" x14ac:dyDescent="0.3">
      <c r="A69">
        <v>67</v>
      </c>
      <c r="B69">
        <v>1070</v>
      </c>
      <c r="C69" t="b">
        <v>1</v>
      </c>
      <c r="D69">
        <v>8042</v>
      </c>
      <c r="E69">
        <v>8134</v>
      </c>
      <c r="F69">
        <v>8</v>
      </c>
      <c r="G69">
        <v>8</v>
      </c>
      <c r="H69">
        <v>1</v>
      </c>
      <c r="I69">
        <v>0</v>
      </c>
      <c r="J69">
        <v>0.5</v>
      </c>
    </row>
    <row r="70" spans="1:10" x14ac:dyDescent="0.3">
      <c r="A70">
        <v>68</v>
      </c>
      <c r="B70">
        <v>1086</v>
      </c>
      <c r="C70" t="b">
        <v>1</v>
      </c>
      <c r="D70">
        <v>8048</v>
      </c>
      <c r="E70">
        <v>8129</v>
      </c>
      <c r="F70">
        <v>8</v>
      </c>
      <c r="G70">
        <v>8</v>
      </c>
      <c r="H70">
        <v>1</v>
      </c>
      <c r="I70">
        <v>0</v>
      </c>
      <c r="J70">
        <v>0.5</v>
      </c>
    </row>
    <row r="71" spans="1:10" x14ac:dyDescent="0.3">
      <c r="A71">
        <v>69</v>
      </c>
      <c r="B71">
        <v>1102</v>
      </c>
      <c r="C71" t="b">
        <v>1</v>
      </c>
      <c r="D71">
        <v>8048</v>
      </c>
      <c r="E71">
        <v>8123</v>
      </c>
      <c r="F71">
        <v>8</v>
      </c>
      <c r="G71">
        <v>8</v>
      </c>
      <c r="H71">
        <v>1</v>
      </c>
      <c r="I71">
        <v>0</v>
      </c>
      <c r="J71">
        <v>0.5</v>
      </c>
    </row>
    <row r="72" spans="1:10" x14ac:dyDescent="0.3">
      <c r="A72">
        <v>70</v>
      </c>
      <c r="B72">
        <v>1117</v>
      </c>
      <c r="C72" t="b">
        <v>1</v>
      </c>
      <c r="D72">
        <v>8048</v>
      </c>
      <c r="E72">
        <v>8129</v>
      </c>
      <c r="F72">
        <v>8</v>
      </c>
      <c r="G72">
        <v>8.4</v>
      </c>
      <c r="H72">
        <v>0.95238100000000003</v>
      </c>
      <c r="I72">
        <v>4.7619003999999999E-2</v>
      </c>
      <c r="J72">
        <v>0.51219510000000001</v>
      </c>
    </row>
    <row r="73" spans="1:10" x14ac:dyDescent="0.3">
      <c r="A73">
        <v>71</v>
      </c>
      <c r="B73">
        <v>1133</v>
      </c>
      <c r="C73" t="b">
        <v>1</v>
      </c>
      <c r="D73">
        <v>8048</v>
      </c>
      <c r="E73">
        <v>8123</v>
      </c>
      <c r="F73">
        <v>8</v>
      </c>
      <c r="G73">
        <v>8.8000000000000007</v>
      </c>
      <c r="H73">
        <v>0.90909090000000004</v>
      </c>
      <c r="I73">
        <v>9.0909110000000001E-2</v>
      </c>
      <c r="J73">
        <v>0.52380954999999996</v>
      </c>
    </row>
    <row r="74" spans="1:10" x14ac:dyDescent="0.3">
      <c r="A74">
        <v>72</v>
      </c>
      <c r="B74">
        <v>1149</v>
      </c>
      <c r="C74" t="b">
        <v>1</v>
      </c>
      <c r="D74">
        <v>8042</v>
      </c>
      <c r="E74">
        <v>8134</v>
      </c>
      <c r="F74">
        <v>8</v>
      </c>
      <c r="G74">
        <v>9.1999999999999993</v>
      </c>
      <c r="H74">
        <v>0.86956524999999996</v>
      </c>
      <c r="I74">
        <v>0.13043477000000001</v>
      </c>
      <c r="J74">
        <v>0.53488369999999996</v>
      </c>
    </row>
    <row r="75" spans="1:10" x14ac:dyDescent="0.3">
      <c r="A75">
        <v>73</v>
      </c>
      <c r="B75">
        <v>1165</v>
      </c>
      <c r="C75" t="b">
        <v>1</v>
      </c>
      <c r="D75">
        <v>8042</v>
      </c>
      <c r="E75">
        <v>8134</v>
      </c>
      <c r="F75">
        <v>8</v>
      </c>
      <c r="G75">
        <v>9.6</v>
      </c>
      <c r="H75">
        <v>0.83333330000000005</v>
      </c>
      <c r="I75">
        <v>0.1666667</v>
      </c>
      <c r="J75">
        <v>0.54545456000000003</v>
      </c>
    </row>
    <row r="76" spans="1:10" x14ac:dyDescent="0.3">
      <c r="A76">
        <v>74</v>
      </c>
      <c r="B76">
        <v>1181</v>
      </c>
      <c r="C76" t="b">
        <v>1</v>
      </c>
      <c r="D76">
        <v>8048</v>
      </c>
      <c r="E76">
        <v>8129</v>
      </c>
      <c r="F76">
        <v>8</v>
      </c>
      <c r="G76">
        <v>10</v>
      </c>
      <c r="H76">
        <v>0.8</v>
      </c>
      <c r="I76">
        <v>0.2</v>
      </c>
      <c r="J76">
        <v>0.55555560000000004</v>
      </c>
    </row>
    <row r="77" spans="1:10" x14ac:dyDescent="0.3">
      <c r="A77">
        <v>75</v>
      </c>
      <c r="B77">
        <v>1197</v>
      </c>
      <c r="C77" t="b">
        <v>1</v>
      </c>
      <c r="D77">
        <v>8048</v>
      </c>
      <c r="E77">
        <v>8134</v>
      </c>
      <c r="F77">
        <v>8</v>
      </c>
      <c r="G77">
        <v>10.733333999999999</v>
      </c>
      <c r="H77">
        <v>0.74534160000000005</v>
      </c>
      <c r="I77">
        <v>0.25465840000000001</v>
      </c>
      <c r="J77">
        <v>0.57295375999999998</v>
      </c>
    </row>
    <row r="78" spans="1:10" x14ac:dyDescent="0.3">
      <c r="A78">
        <v>76</v>
      </c>
      <c r="B78">
        <v>1213</v>
      </c>
      <c r="C78" t="b">
        <v>1</v>
      </c>
      <c r="D78">
        <v>8048</v>
      </c>
      <c r="E78">
        <v>8140</v>
      </c>
      <c r="F78">
        <v>8</v>
      </c>
      <c r="G78">
        <v>11.466666</v>
      </c>
      <c r="H78">
        <v>0.69767444999999995</v>
      </c>
      <c r="I78">
        <v>0.30232555</v>
      </c>
      <c r="J78">
        <v>0.58904104999999995</v>
      </c>
    </row>
    <row r="79" spans="1:10" x14ac:dyDescent="0.3">
      <c r="A79">
        <v>77</v>
      </c>
      <c r="B79">
        <v>1228</v>
      </c>
      <c r="C79" t="b">
        <v>1</v>
      </c>
      <c r="D79">
        <v>8048</v>
      </c>
      <c r="E79">
        <v>8129</v>
      </c>
      <c r="F79">
        <v>8</v>
      </c>
      <c r="G79">
        <v>12.2</v>
      </c>
      <c r="H79">
        <v>0.65573769999999998</v>
      </c>
      <c r="I79">
        <v>0.34426226999999998</v>
      </c>
      <c r="J79">
        <v>0.60396033999999998</v>
      </c>
    </row>
    <row r="80" spans="1:10" x14ac:dyDescent="0.3">
      <c r="A80">
        <v>78</v>
      </c>
      <c r="B80">
        <v>1245</v>
      </c>
      <c r="C80" t="b">
        <v>1</v>
      </c>
      <c r="D80">
        <v>8048</v>
      </c>
      <c r="E80">
        <v>8123</v>
      </c>
      <c r="F80">
        <v>8</v>
      </c>
      <c r="G80">
        <v>12.6</v>
      </c>
      <c r="H80">
        <v>0.63492059999999995</v>
      </c>
      <c r="I80">
        <v>0.36507937000000001</v>
      </c>
      <c r="J80">
        <v>0.61165046999999995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13</v>
      </c>
      <c r="H81">
        <v>0.61538464000000004</v>
      </c>
      <c r="I81">
        <v>0.3846154</v>
      </c>
      <c r="J81">
        <v>0.61904764000000001</v>
      </c>
    </row>
    <row r="82" spans="1:10" x14ac:dyDescent="0.3">
      <c r="A82">
        <v>80</v>
      </c>
      <c r="B82">
        <v>1277</v>
      </c>
      <c r="C82" t="b">
        <v>1</v>
      </c>
      <c r="D82">
        <v>8048</v>
      </c>
      <c r="E82">
        <v>8129</v>
      </c>
      <c r="F82">
        <v>8</v>
      </c>
      <c r="G82">
        <v>13.4</v>
      </c>
      <c r="H82">
        <v>0.59701495999999998</v>
      </c>
      <c r="I82">
        <v>0.40298507</v>
      </c>
      <c r="J82">
        <v>0.62616819999999995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8129</v>
      </c>
      <c r="F83">
        <v>8</v>
      </c>
      <c r="G83">
        <v>13.8</v>
      </c>
      <c r="H83">
        <v>0.57971010000000001</v>
      </c>
      <c r="I83">
        <v>0.42028987000000001</v>
      </c>
      <c r="J83">
        <v>0.63302754999999999</v>
      </c>
    </row>
    <row r="84" spans="1:10" x14ac:dyDescent="0.3">
      <c r="A84">
        <v>82</v>
      </c>
      <c r="B84">
        <v>1309</v>
      </c>
      <c r="C84" t="b">
        <v>1</v>
      </c>
      <c r="D84">
        <v>8042</v>
      </c>
      <c r="E84">
        <v>8129</v>
      </c>
      <c r="F84">
        <v>8</v>
      </c>
      <c r="G84">
        <v>14.2</v>
      </c>
      <c r="H84">
        <v>0.56338029999999995</v>
      </c>
      <c r="I84">
        <v>0.4366197</v>
      </c>
      <c r="J84">
        <v>0.63963959999999997</v>
      </c>
    </row>
    <row r="85" spans="1:10" x14ac:dyDescent="0.3">
      <c r="A85">
        <v>83</v>
      </c>
      <c r="B85">
        <v>1325</v>
      </c>
      <c r="C85" t="b">
        <v>1</v>
      </c>
      <c r="D85">
        <v>8048</v>
      </c>
      <c r="E85">
        <v>8123</v>
      </c>
      <c r="F85">
        <v>8</v>
      </c>
      <c r="G85">
        <v>14.6</v>
      </c>
      <c r="H85">
        <v>0.54794520000000002</v>
      </c>
      <c r="I85">
        <v>0.45205479999999998</v>
      </c>
      <c r="J85">
        <v>0.64601772999999996</v>
      </c>
    </row>
    <row r="86" spans="1:10" x14ac:dyDescent="0.3">
      <c r="A86">
        <v>84</v>
      </c>
      <c r="B86">
        <v>1340</v>
      </c>
      <c r="C86" t="b">
        <v>1</v>
      </c>
      <c r="D86">
        <v>8054</v>
      </c>
      <c r="E86">
        <v>8123</v>
      </c>
      <c r="F86">
        <v>8</v>
      </c>
      <c r="G86">
        <v>15</v>
      </c>
      <c r="H86">
        <v>0.53333335999999998</v>
      </c>
      <c r="I86">
        <v>0.46666667000000001</v>
      </c>
      <c r="J86">
        <v>0.65217393999999995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8123</v>
      </c>
      <c r="F87">
        <v>8</v>
      </c>
      <c r="G87">
        <v>14.6</v>
      </c>
      <c r="H87">
        <v>0.54794520000000002</v>
      </c>
      <c r="I87">
        <v>0.45205479999999998</v>
      </c>
      <c r="J87">
        <v>0.64601772999999996</v>
      </c>
    </row>
    <row r="88" spans="1:10" x14ac:dyDescent="0.3">
      <c r="A88">
        <v>86</v>
      </c>
      <c r="B88">
        <v>1372</v>
      </c>
      <c r="C88" t="b">
        <v>1</v>
      </c>
      <c r="D88">
        <v>8048</v>
      </c>
      <c r="E88">
        <v>8129</v>
      </c>
      <c r="F88">
        <v>8</v>
      </c>
      <c r="G88">
        <v>14.2</v>
      </c>
      <c r="H88">
        <v>0.56338029999999995</v>
      </c>
      <c r="I88">
        <v>0.4366197</v>
      </c>
      <c r="J88">
        <v>0.63963959999999997</v>
      </c>
    </row>
    <row r="89" spans="1:10" x14ac:dyDescent="0.3">
      <c r="A89">
        <v>87</v>
      </c>
      <c r="B89">
        <v>1387</v>
      </c>
      <c r="C89" t="b">
        <v>1</v>
      </c>
      <c r="D89">
        <v>8042</v>
      </c>
      <c r="E89">
        <v>8123</v>
      </c>
      <c r="F89">
        <v>8</v>
      </c>
      <c r="G89">
        <v>13.8</v>
      </c>
      <c r="H89">
        <v>0.57971010000000001</v>
      </c>
      <c r="I89">
        <v>0.42028987000000001</v>
      </c>
      <c r="J89">
        <v>0.63302754999999999</v>
      </c>
    </row>
    <row r="90" spans="1:10" x14ac:dyDescent="0.3">
      <c r="A90">
        <v>88</v>
      </c>
      <c r="B90">
        <v>1403</v>
      </c>
      <c r="C90" t="b">
        <v>1</v>
      </c>
      <c r="D90">
        <v>8042</v>
      </c>
      <c r="E90">
        <v>8123</v>
      </c>
      <c r="F90">
        <v>8</v>
      </c>
      <c r="G90">
        <v>13.4</v>
      </c>
      <c r="H90">
        <v>0.59701495999999998</v>
      </c>
      <c r="I90">
        <v>0.40298507</v>
      </c>
      <c r="J90">
        <v>0.62616819999999995</v>
      </c>
    </row>
    <row r="91" spans="1:10" x14ac:dyDescent="0.3">
      <c r="A91">
        <v>89</v>
      </c>
      <c r="B91">
        <v>1419</v>
      </c>
      <c r="C91" t="b">
        <v>1</v>
      </c>
      <c r="D91">
        <v>8042</v>
      </c>
      <c r="E91">
        <v>8129</v>
      </c>
      <c r="F91">
        <v>7.6</v>
      </c>
      <c r="G91">
        <v>13</v>
      </c>
      <c r="H91">
        <v>0.58461534999999998</v>
      </c>
      <c r="I91">
        <v>0.41538461999999998</v>
      </c>
      <c r="J91">
        <v>0.63106793000000005</v>
      </c>
    </row>
    <row r="92" spans="1:10" x14ac:dyDescent="0.3">
      <c r="A92">
        <v>90</v>
      </c>
      <c r="B92">
        <v>1435</v>
      </c>
      <c r="C92" t="b">
        <v>1</v>
      </c>
      <c r="D92">
        <v>8042</v>
      </c>
      <c r="E92">
        <v>8123</v>
      </c>
      <c r="F92">
        <v>7.2</v>
      </c>
      <c r="G92">
        <v>12.266666000000001</v>
      </c>
      <c r="H92">
        <v>0.58695649999999999</v>
      </c>
      <c r="I92">
        <v>0.41304347000000002</v>
      </c>
      <c r="J92">
        <v>0.63013697000000002</v>
      </c>
    </row>
    <row r="93" spans="1:10" x14ac:dyDescent="0.3">
      <c r="A93">
        <v>91</v>
      </c>
      <c r="B93">
        <v>1450</v>
      </c>
      <c r="C93" t="b">
        <v>1</v>
      </c>
      <c r="D93">
        <v>8048</v>
      </c>
      <c r="E93">
        <v>8123</v>
      </c>
      <c r="F93">
        <v>6.8</v>
      </c>
      <c r="G93">
        <v>11.533334</v>
      </c>
      <c r="H93">
        <v>0.58959539999999999</v>
      </c>
      <c r="I93">
        <v>0.41040462</v>
      </c>
      <c r="J93">
        <v>0.62909090000000001</v>
      </c>
    </row>
    <row r="94" spans="1:10" x14ac:dyDescent="0.3">
      <c r="A94">
        <v>92</v>
      </c>
      <c r="B94">
        <v>1466</v>
      </c>
      <c r="C94" t="b">
        <v>1</v>
      </c>
      <c r="D94">
        <v>8048</v>
      </c>
      <c r="E94">
        <v>8123</v>
      </c>
      <c r="F94">
        <v>6.4</v>
      </c>
      <c r="G94">
        <v>10.8</v>
      </c>
      <c r="H94">
        <v>0.59259260000000002</v>
      </c>
      <c r="I94">
        <v>0.40740739999999998</v>
      </c>
      <c r="J94">
        <v>0.62790699999999999</v>
      </c>
    </row>
    <row r="95" spans="1:10" x14ac:dyDescent="0.3">
      <c r="A95">
        <v>93</v>
      </c>
      <c r="B95">
        <v>1482</v>
      </c>
      <c r="C95" t="b">
        <v>1</v>
      </c>
      <c r="D95">
        <v>8048</v>
      </c>
      <c r="E95">
        <v>8123</v>
      </c>
      <c r="F95">
        <v>6.4</v>
      </c>
      <c r="G95">
        <v>10.4</v>
      </c>
      <c r="H95">
        <v>0.61538464000000004</v>
      </c>
      <c r="I95">
        <v>0.38461536000000002</v>
      </c>
      <c r="J95">
        <v>0.61904764000000001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8129</v>
      </c>
      <c r="F96">
        <v>6.4</v>
      </c>
      <c r="G96">
        <v>10</v>
      </c>
      <c r="H96">
        <v>0.64</v>
      </c>
      <c r="I96">
        <v>0.35999998</v>
      </c>
      <c r="J96">
        <v>0.60975610000000002</v>
      </c>
    </row>
    <row r="97" spans="1:10" x14ac:dyDescent="0.3">
      <c r="A97">
        <v>95</v>
      </c>
      <c r="B97">
        <v>1514</v>
      </c>
      <c r="C97" t="b">
        <v>1</v>
      </c>
      <c r="D97">
        <v>8048</v>
      </c>
      <c r="E97">
        <v>8129</v>
      </c>
      <c r="F97">
        <v>6.4</v>
      </c>
      <c r="G97">
        <v>9.6</v>
      </c>
      <c r="H97">
        <v>0.6666666</v>
      </c>
      <c r="I97">
        <v>0.33333333999999998</v>
      </c>
      <c r="J97">
        <v>0.6</v>
      </c>
    </row>
    <row r="98" spans="1:10" x14ac:dyDescent="0.3">
      <c r="A98">
        <v>96</v>
      </c>
      <c r="B98">
        <v>1530</v>
      </c>
      <c r="C98" t="b">
        <v>1</v>
      </c>
      <c r="D98">
        <v>8048</v>
      </c>
      <c r="E98">
        <v>8123</v>
      </c>
      <c r="F98">
        <v>6.4</v>
      </c>
      <c r="G98">
        <v>9.1999999999999993</v>
      </c>
      <c r="H98">
        <v>0.69565220000000005</v>
      </c>
      <c r="I98">
        <v>0.3043478</v>
      </c>
      <c r="J98">
        <v>0.58974355000000001</v>
      </c>
    </row>
    <row r="99" spans="1:10" x14ac:dyDescent="0.3">
      <c r="A99">
        <v>97</v>
      </c>
      <c r="B99">
        <v>1545</v>
      </c>
      <c r="C99" t="b">
        <v>1</v>
      </c>
      <c r="D99">
        <v>8048</v>
      </c>
      <c r="E99">
        <v>8123</v>
      </c>
      <c r="F99">
        <v>6.4</v>
      </c>
      <c r="G99">
        <v>8.8000000000000007</v>
      </c>
      <c r="H99">
        <v>0.72727275000000002</v>
      </c>
      <c r="I99">
        <v>0.27272728000000002</v>
      </c>
      <c r="J99">
        <v>0.57894736999999996</v>
      </c>
    </row>
    <row r="100" spans="1:10" x14ac:dyDescent="0.3">
      <c r="A100">
        <v>98</v>
      </c>
      <c r="B100">
        <v>1561</v>
      </c>
      <c r="C100" t="b">
        <v>1</v>
      </c>
      <c r="D100">
        <v>8042</v>
      </c>
      <c r="E100">
        <v>8123</v>
      </c>
      <c r="F100">
        <v>6.4</v>
      </c>
      <c r="G100">
        <v>8.4</v>
      </c>
      <c r="H100">
        <v>0.76190484000000003</v>
      </c>
      <c r="I100">
        <v>0.23809520000000001</v>
      </c>
      <c r="J100">
        <v>0.56756759999999995</v>
      </c>
    </row>
    <row r="101" spans="1:10" x14ac:dyDescent="0.3">
      <c r="A101">
        <v>99</v>
      </c>
      <c r="B101">
        <v>1577</v>
      </c>
      <c r="C101" t="b">
        <v>1</v>
      </c>
      <c r="D101">
        <v>8042</v>
      </c>
      <c r="E101">
        <v>8129</v>
      </c>
      <c r="F101">
        <v>6.4</v>
      </c>
      <c r="G101">
        <v>8</v>
      </c>
      <c r="H101">
        <v>0.8</v>
      </c>
      <c r="I101">
        <v>0.19999998999999999</v>
      </c>
      <c r="J101">
        <v>0.55555560000000004</v>
      </c>
    </row>
    <row r="102" spans="1:10" x14ac:dyDescent="0.3">
      <c r="A102">
        <v>100</v>
      </c>
      <c r="B102">
        <v>1593</v>
      </c>
      <c r="C102" t="b">
        <v>1</v>
      </c>
      <c r="D102">
        <v>8048</v>
      </c>
      <c r="E102">
        <v>8123</v>
      </c>
      <c r="F102">
        <v>6.4</v>
      </c>
      <c r="G102">
        <v>8</v>
      </c>
      <c r="H102">
        <v>0.8</v>
      </c>
      <c r="I102">
        <v>0.19999998999999999</v>
      </c>
      <c r="J102">
        <v>0.55555560000000004</v>
      </c>
    </row>
    <row r="103" spans="1:10" x14ac:dyDescent="0.3">
      <c r="A103">
        <v>101</v>
      </c>
      <c r="B103">
        <v>1609</v>
      </c>
      <c r="C103" t="b">
        <v>1</v>
      </c>
      <c r="D103">
        <v>8048</v>
      </c>
      <c r="E103">
        <v>8123</v>
      </c>
      <c r="F103">
        <v>6.4</v>
      </c>
      <c r="G103">
        <v>8</v>
      </c>
      <c r="H103">
        <v>0.8</v>
      </c>
      <c r="I103">
        <v>0.19999998999999999</v>
      </c>
      <c r="J103">
        <v>0.55555560000000004</v>
      </c>
    </row>
    <row r="104" spans="1:10" x14ac:dyDescent="0.3">
      <c r="A104">
        <v>102</v>
      </c>
      <c r="B104">
        <v>1625</v>
      </c>
      <c r="C104" t="b">
        <v>1</v>
      </c>
      <c r="D104">
        <v>8048</v>
      </c>
      <c r="E104">
        <v>8123</v>
      </c>
      <c r="F104">
        <v>6.4</v>
      </c>
      <c r="G104">
        <v>8</v>
      </c>
      <c r="H104">
        <v>0.8</v>
      </c>
      <c r="I104">
        <v>0.19999998999999999</v>
      </c>
      <c r="J104">
        <v>0.55555560000000004</v>
      </c>
    </row>
    <row r="105" spans="1:10" x14ac:dyDescent="0.3">
      <c r="A105">
        <v>103</v>
      </c>
      <c r="B105">
        <v>1641</v>
      </c>
      <c r="C105" t="b">
        <v>1</v>
      </c>
      <c r="D105">
        <v>8048</v>
      </c>
      <c r="E105">
        <v>8129</v>
      </c>
      <c r="F105">
        <v>6.4</v>
      </c>
      <c r="G105">
        <v>8</v>
      </c>
      <c r="H105">
        <v>0.8</v>
      </c>
      <c r="I105">
        <v>0.19999998999999999</v>
      </c>
      <c r="J105">
        <v>0.55555560000000004</v>
      </c>
    </row>
    <row r="106" spans="1:10" x14ac:dyDescent="0.3">
      <c r="A106">
        <v>104</v>
      </c>
      <c r="B106">
        <v>1656</v>
      </c>
      <c r="C106" t="b">
        <v>1</v>
      </c>
      <c r="D106">
        <v>8048</v>
      </c>
      <c r="E106">
        <v>8123</v>
      </c>
      <c r="F106">
        <v>6.8</v>
      </c>
      <c r="G106">
        <v>8</v>
      </c>
      <c r="H106">
        <v>0.85</v>
      </c>
      <c r="I106">
        <v>0.14999998</v>
      </c>
      <c r="J106">
        <v>0.54054049999999998</v>
      </c>
    </row>
    <row r="107" spans="1:10" x14ac:dyDescent="0.3">
      <c r="A107">
        <v>105</v>
      </c>
      <c r="B107">
        <v>1672</v>
      </c>
      <c r="C107" t="b">
        <v>1</v>
      </c>
      <c r="D107">
        <v>8048</v>
      </c>
      <c r="E107">
        <v>8123</v>
      </c>
      <c r="F107">
        <v>7.2</v>
      </c>
      <c r="G107">
        <v>8</v>
      </c>
      <c r="H107">
        <v>0.9</v>
      </c>
      <c r="I107">
        <v>0.10000002400000001</v>
      </c>
      <c r="J107">
        <v>0.5263158</v>
      </c>
    </row>
    <row r="108" spans="1:10" x14ac:dyDescent="0.3">
      <c r="A108">
        <v>106</v>
      </c>
      <c r="B108">
        <v>1688</v>
      </c>
      <c r="C108" t="b">
        <v>1</v>
      </c>
      <c r="D108">
        <v>8048</v>
      </c>
      <c r="E108">
        <v>8129</v>
      </c>
      <c r="F108">
        <v>7.6</v>
      </c>
      <c r="G108">
        <v>8</v>
      </c>
      <c r="H108">
        <v>0.95</v>
      </c>
      <c r="I108">
        <v>5.0000012000000003E-2</v>
      </c>
      <c r="J108">
        <v>0.51282050000000001</v>
      </c>
    </row>
    <row r="109" spans="1:10" x14ac:dyDescent="0.3">
      <c r="A109">
        <v>107</v>
      </c>
      <c r="B109">
        <v>1704</v>
      </c>
      <c r="C109" t="b">
        <v>1</v>
      </c>
      <c r="D109">
        <v>8042</v>
      </c>
      <c r="E109">
        <v>8123</v>
      </c>
      <c r="F109">
        <v>8</v>
      </c>
      <c r="G109">
        <v>8</v>
      </c>
      <c r="H109">
        <v>1</v>
      </c>
      <c r="I109">
        <v>0</v>
      </c>
      <c r="J109">
        <v>0.5</v>
      </c>
    </row>
    <row r="110" spans="1:10" x14ac:dyDescent="0.3">
      <c r="A110">
        <v>108</v>
      </c>
      <c r="B110">
        <v>1720</v>
      </c>
      <c r="C110" t="b">
        <v>1</v>
      </c>
      <c r="D110">
        <v>8048</v>
      </c>
      <c r="E110">
        <v>8123</v>
      </c>
      <c r="F110">
        <v>8</v>
      </c>
      <c r="G110">
        <v>8</v>
      </c>
      <c r="H110">
        <v>1</v>
      </c>
      <c r="I110">
        <v>0</v>
      </c>
      <c r="J110">
        <v>0.5</v>
      </c>
    </row>
    <row r="111" spans="1:10" x14ac:dyDescent="0.3">
      <c r="A111">
        <v>109</v>
      </c>
      <c r="B111">
        <v>1736</v>
      </c>
      <c r="C111" t="b">
        <v>1</v>
      </c>
      <c r="D111">
        <v>8048</v>
      </c>
      <c r="E111">
        <v>8123</v>
      </c>
      <c r="F111">
        <v>8</v>
      </c>
      <c r="G111">
        <v>8</v>
      </c>
      <c r="H111">
        <v>1</v>
      </c>
      <c r="I111">
        <v>0</v>
      </c>
      <c r="J111">
        <v>0.5</v>
      </c>
    </row>
    <row r="112" spans="1:10" x14ac:dyDescent="0.3">
      <c r="A112">
        <v>110</v>
      </c>
      <c r="B112">
        <v>1752</v>
      </c>
      <c r="C112" t="b">
        <v>1</v>
      </c>
      <c r="D112">
        <v>8048</v>
      </c>
      <c r="E112">
        <v>8123</v>
      </c>
      <c r="F112">
        <v>8</v>
      </c>
      <c r="G112">
        <v>8</v>
      </c>
      <c r="H112">
        <v>1</v>
      </c>
      <c r="I112">
        <v>0</v>
      </c>
      <c r="J112">
        <v>0.5</v>
      </c>
    </row>
    <row r="113" spans="1:10" x14ac:dyDescent="0.3">
      <c r="A113">
        <v>111</v>
      </c>
      <c r="B113">
        <v>1768</v>
      </c>
      <c r="C113" t="b">
        <v>1</v>
      </c>
      <c r="D113">
        <v>8048</v>
      </c>
      <c r="E113">
        <v>8123</v>
      </c>
      <c r="F113">
        <v>8</v>
      </c>
      <c r="G113">
        <v>8</v>
      </c>
      <c r="H113">
        <v>1</v>
      </c>
      <c r="I113">
        <v>0</v>
      </c>
      <c r="J113">
        <v>0.5</v>
      </c>
    </row>
    <row r="114" spans="1:10" x14ac:dyDescent="0.3">
      <c r="A114">
        <v>112</v>
      </c>
      <c r="B114">
        <v>1784</v>
      </c>
      <c r="C114" t="b">
        <v>1</v>
      </c>
      <c r="D114">
        <v>8048</v>
      </c>
      <c r="E114">
        <v>8129</v>
      </c>
      <c r="F114">
        <v>8</v>
      </c>
      <c r="G114">
        <v>8</v>
      </c>
      <c r="H114">
        <v>1</v>
      </c>
      <c r="I114">
        <v>0</v>
      </c>
      <c r="J114">
        <v>0.5</v>
      </c>
    </row>
    <row r="115" spans="1:10" x14ac:dyDescent="0.3">
      <c r="A115">
        <v>113</v>
      </c>
      <c r="B115">
        <v>1799</v>
      </c>
      <c r="C115" t="b">
        <v>1</v>
      </c>
      <c r="D115">
        <v>8048</v>
      </c>
      <c r="E115">
        <v>8123</v>
      </c>
      <c r="F115">
        <v>8</v>
      </c>
      <c r="G115">
        <v>8</v>
      </c>
      <c r="H115">
        <v>1</v>
      </c>
      <c r="I115">
        <v>0</v>
      </c>
      <c r="J115">
        <v>0.5</v>
      </c>
    </row>
    <row r="116" spans="1:10" x14ac:dyDescent="0.3">
      <c r="A116">
        <v>114</v>
      </c>
      <c r="B116">
        <v>1815</v>
      </c>
      <c r="C116" t="b">
        <v>1</v>
      </c>
      <c r="D116">
        <v>8048</v>
      </c>
      <c r="E116">
        <v>8123</v>
      </c>
      <c r="F116">
        <v>8</v>
      </c>
      <c r="G116">
        <v>8</v>
      </c>
      <c r="H116">
        <v>1</v>
      </c>
      <c r="I116">
        <v>0</v>
      </c>
      <c r="J116">
        <v>0.5</v>
      </c>
    </row>
    <row r="117" spans="1:10" x14ac:dyDescent="0.3">
      <c r="A117">
        <v>115</v>
      </c>
      <c r="B117">
        <v>1831</v>
      </c>
      <c r="C117" t="b">
        <v>1</v>
      </c>
      <c r="D117">
        <v>8042</v>
      </c>
      <c r="E117">
        <v>8129</v>
      </c>
      <c r="F117">
        <v>8</v>
      </c>
      <c r="G117">
        <v>8</v>
      </c>
      <c r="H117">
        <v>1</v>
      </c>
      <c r="I117">
        <v>0</v>
      </c>
      <c r="J117">
        <v>0.5</v>
      </c>
    </row>
    <row r="118" spans="1:10" x14ac:dyDescent="0.3">
      <c r="A118">
        <v>116</v>
      </c>
      <c r="B118">
        <v>1847</v>
      </c>
      <c r="C118" t="b">
        <v>1</v>
      </c>
      <c r="D118">
        <v>8048</v>
      </c>
      <c r="E118">
        <v>8129</v>
      </c>
      <c r="F118">
        <v>8</v>
      </c>
      <c r="G118">
        <v>8.4</v>
      </c>
      <c r="H118">
        <v>0.95238100000000003</v>
      </c>
      <c r="I118">
        <v>4.7619003999999999E-2</v>
      </c>
      <c r="J118">
        <v>0.51219510000000001</v>
      </c>
    </row>
    <row r="119" spans="1:10" x14ac:dyDescent="0.3">
      <c r="A119">
        <v>117</v>
      </c>
      <c r="B119">
        <v>1862</v>
      </c>
      <c r="C119" t="b">
        <v>1</v>
      </c>
      <c r="D119">
        <v>8042</v>
      </c>
      <c r="E119">
        <v>8134</v>
      </c>
      <c r="F119">
        <v>8</v>
      </c>
      <c r="G119">
        <v>8.8000000000000007</v>
      </c>
      <c r="H119">
        <v>0.90909090000000004</v>
      </c>
      <c r="I119">
        <v>9.0909110000000001E-2</v>
      </c>
      <c r="J119">
        <v>0.52380954999999996</v>
      </c>
    </row>
    <row r="120" spans="1:10" x14ac:dyDescent="0.3">
      <c r="A120">
        <v>118</v>
      </c>
      <c r="B120">
        <v>1878</v>
      </c>
      <c r="C120" t="b">
        <v>1</v>
      </c>
      <c r="D120">
        <v>8042</v>
      </c>
      <c r="E120">
        <v>8123</v>
      </c>
      <c r="F120">
        <v>7.6</v>
      </c>
      <c r="G120">
        <v>9.1999999999999993</v>
      </c>
      <c r="H120">
        <v>0.82608694000000005</v>
      </c>
      <c r="I120">
        <v>0.17391303</v>
      </c>
      <c r="J120">
        <v>0.54761903999999995</v>
      </c>
    </row>
    <row r="121" spans="1:10" x14ac:dyDescent="0.3">
      <c r="A121">
        <v>119</v>
      </c>
      <c r="B121">
        <v>1894</v>
      </c>
      <c r="C121" t="b">
        <v>1</v>
      </c>
      <c r="D121">
        <v>8048</v>
      </c>
      <c r="E121">
        <v>8123</v>
      </c>
      <c r="F121">
        <v>7.2</v>
      </c>
      <c r="G121">
        <v>9.6</v>
      </c>
      <c r="H121">
        <v>0.74999994000000003</v>
      </c>
      <c r="I121">
        <v>0.25000006000000002</v>
      </c>
      <c r="J121">
        <v>0.57142859999999995</v>
      </c>
    </row>
    <row r="122" spans="1:10" x14ac:dyDescent="0.3">
      <c r="A122">
        <v>120</v>
      </c>
      <c r="B122">
        <v>1910</v>
      </c>
      <c r="C122" t="b">
        <v>1</v>
      </c>
      <c r="D122">
        <v>8048</v>
      </c>
      <c r="E122">
        <v>8134</v>
      </c>
      <c r="F122">
        <v>7.2</v>
      </c>
      <c r="G122">
        <v>10</v>
      </c>
      <c r="H122">
        <v>0.71999997000000004</v>
      </c>
      <c r="I122">
        <v>0.28000003000000001</v>
      </c>
      <c r="J122">
        <v>0.58139529999999995</v>
      </c>
    </row>
    <row r="123" spans="1:10" x14ac:dyDescent="0.3">
      <c r="A123">
        <v>121</v>
      </c>
      <c r="B123">
        <v>1926</v>
      </c>
      <c r="C123" t="b">
        <v>1</v>
      </c>
      <c r="D123">
        <v>8042</v>
      </c>
      <c r="E123">
        <v>8123</v>
      </c>
      <c r="F123">
        <v>6.8</v>
      </c>
      <c r="G123">
        <v>10</v>
      </c>
      <c r="H123">
        <v>0.68</v>
      </c>
      <c r="I123">
        <v>0.32</v>
      </c>
      <c r="J123">
        <v>0.59523815000000002</v>
      </c>
    </row>
    <row r="124" spans="1:10" x14ac:dyDescent="0.3">
      <c r="A124">
        <v>122</v>
      </c>
      <c r="B124">
        <v>1942</v>
      </c>
      <c r="C124" t="b">
        <v>1</v>
      </c>
      <c r="D124">
        <v>8042</v>
      </c>
      <c r="E124">
        <v>8123</v>
      </c>
      <c r="F124">
        <v>6.4</v>
      </c>
      <c r="G124">
        <v>10</v>
      </c>
      <c r="H124">
        <v>0.64</v>
      </c>
      <c r="I124">
        <v>0.35999998</v>
      </c>
      <c r="J124">
        <v>0.60975610000000002</v>
      </c>
    </row>
    <row r="125" spans="1:10" x14ac:dyDescent="0.3">
      <c r="A125">
        <v>123</v>
      </c>
      <c r="B125">
        <v>1958</v>
      </c>
      <c r="C125" t="b">
        <v>1</v>
      </c>
      <c r="D125">
        <v>8042</v>
      </c>
      <c r="E125">
        <v>8123</v>
      </c>
      <c r="F125">
        <v>6</v>
      </c>
      <c r="G125">
        <v>10</v>
      </c>
      <c r="H125">
        <v>0.6</v>
      </c>
      <c r="I125">
        <v>0.4</v>
      </c>
      <c r="J125">
        <v>0.625</v>
      </c>
    </row>
    <row r="126" spans="1:10" x14ac:dyDescent="0.3">
      <c r="A126">
        <v>124</v>
      </c>
      <c r="B126">
        <v>1974</v>
      </c>
      <c r="C126" t="b">
        <v>1</v>
      </c>
      <c r="D126">
        <v>8048</v>
      </c>
      <c r="E126">
        <v>8123</v>
      </c>
      <c r="F126">
        <v>5.6</v>
      </c>
      <c r="G126">
        <v>10</v>
      </c>
      <c r="H126">
        <v>0.56000000000000005</v>
      </c>
      <c r="I126">
        <v>0.44</v>
      </c>
      <c r="J126">
        <v>0.64102559999999997</v>
      </c>
    </row>
    <row r="127" spans="1:10" x14ac:dyDescent="0.3">
      <c r="A127">
        <v>125</v>
      </c>
      <c r="B127">
        <v>1990</v>
      </c>
      <c r="C127" t="b">
        <v>1</v>
      </c>
      <c r="D127">
        <v>8048</v>
      </c>
      <c r="E127">
        <v>8123</v>
      </c>
      <c r="F127">
        <v>5.2</v>
      </c>
      <c r="G127">
        <v>10</v>
      </c>
      <c r="H127">
        <v>0.52</v>
      </c>
      <c r="I127">
        <v>0.48000002000000003</v>
      </c>
      <c r="J127">
        <v>0.65789472999999998</v>
      </c>
    </row>
    <row r="128" spans="1:10" x14ac:dyDescent="0.3">
      <c r="A128">
        <v>126</v>
      </c>
      <c r="B128">
        <v>2006</v>
      </c>
      <c r="C128" t="b">
        <v>1</v>
      </c>
      <c r="D128">
        <v>8042</v>
      </c>
      <c r="E128">
        <v>8129</v>
      </c>
      <c r="F128">
        <v>4.8</v>
      </c>
      <c r="G128">
        <v>10</v>
      </c>
      <c r="H128">
        <v>0.48000002000000003</v>
      </c>
      <c r="I128">
        <v>0.52</v>
      </c>
      <c r="J128">
        <v>0.67567569999999999</v>
      </c>
    </row>
    <row r="129" spans="1:10" x14ac:dyDescent="0.3">
      <c r="A129">
        <v>127</v>
      </c>
      <c r="B129">
        <v>2022</v>
      </c>
      <c r="C129" t="b">
        <v>1</v>
      </c>
      <c r="D129">
        <v>8042</v>
      </c>
      <c r="E129">
        <v>8123</v>
      </c>
      <c r="F129">
        <v>4.4000000000000004</v>
      </c>
      <c r="G129">
        <v>10</v>
      </c>
      <c r="H129">
        <v>0.44</v>
      </c>
      <c r="I129">
        <v>0.56000000000000005</v>
      </c>
      <c r="J129">
        <v>0.69444450000000002</v>
      </c>
    </row>
    <row r="130" spans="1:10" x14ac:dyDescent="0.3">
      <c r="A130">
        <v>128</v>
      </c>
      <c r="B130">
        <v>2037</v>
      </c>
      <c r="C130" t="b">
        <v>1</v>
      </c>
      <c r="D130">
        <v>8048</v>
      </c>
      <c r="E130">
        <v>8129</v>
      </c>
      <c r="F130">
        <v>4.4000000000000004</v>
      </c>
      <c r="G130">
        <v>10</v>
      </c>
      <c r="H130">
        <v>0.44</v>
      </c>
      <c r="I130">
        <v>0.56000000000000005</v>
      </c>
      <c r="J130">
        <v>0.69444450000000002</v>
      </c>
    </row>
    <row r="131" spans="1:10" x14ac:dyDescent="0.3">
      <c r="A131">
        <v>129</v>
      </c>
      <c r="B131">
        <v>2054</v>
      </c>
      <c r="C131" t="b">
        <v>1</v>
      </c>
      <c r="D131">
        <v>8042</v>
      </c>
      <c r="E131">
        <v>8134</v>
      </c>
      <c r="F131">
        <v>4</v>
      </c>
      <c r="G131">
        <v>10.4</v>
      </c>
      <c r="H131">
        <v>0.3846154</v>
      </c>
      <c r="I131">
        <v>0.61538459999999995</v>
      </c>
      <c r="J131">
        <v>0.72222220000000004</v>
      </c>
    </row>
    <row r="132" spans="1:10" x14ac:dyDescent="0.3">
      <c r="A132">
        <v>130</v>
      </c>
      <c r="B132">
        <v>2070</v>
      </c>
      <c r="C132" t="b">
        <v>1</v>
      </c>
      <c r="D132">
        <v>8042</v>
      </c>
      <c r="E132">
        <v>8129</v>
      </c>
      <c r="F132">
        <v>3.6</v>
      </c>
      <c r="G132">
        <v>10.8</v>
      </c>
      <c r="H132">
        <v>0.3333333</v>
      </c>
      <c r="I132">
        <v>0.66666669999999995</v>
      </c>
      <c r="J132">
        <v>0.75000005999999997</v>
      </c>
    </row>
    <row r="133" spans="1:10" x14ac:dyDescent="0.3">
      <c r="A133">
        <v>131</v>
      </c>
      <c r="B133">
        <v>2086</v>
      </c>
      <c r="C133" t="b">
        <v>1</v>
      </c>
      <c r="D133">
        <v>8048</v>
      </c>
      <c r="E133">
        <v>8129</v>
      </c>
      <c r="F133">
        <v>3.2</v>
      </c>
      <c r="G133">
        <v>10.8</v>
      </c>
      <c r="H133">
        <v>0.29629630000000001</v>
      </c>
      <c r="I133">
        <v>0.70370370000000004</v>
      </c>
      <c r="J133">
        <v>0.77142860000000002</v>
      </c>
    </row>
    <row r="134" spans="1:10" x14ac:dyDescent="0.3">
      <c r="A134">
        <v>132</v>
      </c>
      <c r="B134">
        <v>2101</v>
      </c>
      <c r="C134" t="b">
        <v>1</v>
      </c>
      <c r="D134">
        <v>8042</v>
      </c>
      <c r="E134">
        <v>8123</v>
      </c>
      <c r="F134">
        <v>2.8</v>
      </c>
      <c r="G134">
        <v>10.8</v>
      </c>
      <c r="H134">
        <v>0.25925925</v>
      </c>
      <c r="I134">
        <v>0.74074070000000003</v>
      </c>
      <c r="J134">
        <v>0.79411759999999998</v>
      </c>
    </row>
    <row r="135" spans="1:10" x14ac:dyDescent="0.3">
      <c r="A135">
        <v>133</v>
      </c>
      <c r="B135">
        <v>2117</v>
      </c>
      <c r="C135" t="b">
        <v>1</v>
      </c>
      <c r="D135">
        <v>8048</v>
      </c>
      <c r="E135">
        <v>8123</v>
      </c>
      <c r="F135">
        <v>2.8</v>
      </c>
      <c r="G135">
        <v>10.8</v>
      </c>
      <c r="H135">
        <v>0.25925925</v>
      </c>
      <c r="I135">
        <v>0.74074070000000003</v>
      </c>
      <c r="J135">
        <v>0.79411759999999998</v>
      </c>
    </row>
    <row r="136" spans="1:10" x14ac:dyDescent="0.3">
      <c r="A136">
        <v>134</v>
      </c>
      <c r="B136">
        <v>2133</v>
      </c>
      <c r="C136" t="b">
        <v>1</v>
      </c>
      <c r="D136">
        <v>8048</v>
      </c>
      <c r="E136">
        <v>8123</v>
      </c>
      <c r="F136">
        <v>3.2</v>
      </c>
      <c r="G136">
        <v>10.4</v>
      </c>
      <c r="H136">
        <v>0.30769232000000002</v>
      </c>
      <c r="I136">
        <v>0.69230769999999997</v>
      </c>
      <c r="J136">
        <v>0.76470590000000005</v>
      </c>
    </row>
    <row r="137" spans="1:10" x14ac:dyDescent="0.3">
      <c r="A137">
        <v>135</v>
      </c>
      <c r="B137">
        <v>2149</v>
      </c>
      <c r="C137" t="b">
        <v>1</v>
      </c>
      <c r="D137">
        <v>8048</v>
      </c>
      <c r="E137">
        <v>8129</v>
      </c>
      <c r="F137">
        <v>3.2</v>
      </c>
      <c r="G137">
        <v>10</v>
      </c>
      <c r="H137">
        <v>0.32</v>
      </c>
      <c r="I137">
        <v>0.68</v>
      </c>
      <c r="J137">
        <v>0.75757574999999999</v>
      </c>
    </row>
    <row r="138" spans="1:10" x14ac:dyDescent="0.3">
      <c r="A138">
        <v>136</v>
      </c>
      <c r="B138">
        <v>2165</v>
      </c>
      <c r="C138" t="b">
        <v>1</v>
      </c>
      <c r="D138">
        <v>8048</v>
      </c>
      <c r="E138">
        <v>8123</v>
      </c>
      <c r="F138">
        <v>3.6</v>
      </c>
      <c r="G138">
        <v>10</v>
      </c>
      <c r="H138">
        <v>0.35999998</v>
      </c>
      <c r="I138">
        <v>0.64</v>
      </c>
      <c r="J138">
        <v>0.73529409999999995</v>
      </c>
    </row>
    <row r="139" spans="1:10" x14ac:dyDescent="0.3">
      <c r="A139">
        <v>137</v>
      </c>
      <c r="B139">
        <v>2181</v>
      </c>
      <c r="C139" t="b">
        <v>1</v>
      </c>
      <c r="D139">
        <v>8048</v>
      </c>
      <c r="E139">
        <v>8117</v>
      </c>
      <c r="F139">
        <v>4</v>
      </c>
      <c r="G139">
        <v>10</v>
      </c>
      <c r="H139">
        <v>0.4</v>
      </c>
      <c r="I139">
        <v>0.6</v>
      </c>
      <c r="J139">
        <v>0.71428572999999995</v>
      </c>
    </row>
    <row r="140" spans="1:10" x14ac:dyDescent="0.3">
      <c r="A140">
        <v>138</v>
      </c>
      <c r="B140">
        <v>2196</v>
      </c>
      <c r="C140" t="b">
        <v>1</v>
      </c>
      <c r="D140">
        <v>8048</v>
      </c>
      <c r="E140">
        <v>8123</v>
      </c>
      <c r="F140">
        <v>4.4000000000000004</v>
      </c>
      <c r="G140">
        <v>10</v>
      </c>
      <c r="H140">
        <v>0.44</v>
      </c>
      <c r="I140">
        <v>0.56000000000000005</v>
      </c>
      <c r="J140">
        <v>0.69444450000000002</v>
      </c>
    </row>
    <row r="141" spans="1:10" x14ac:dyDescent="0.3">
      <c r="A141">
        <v>139</v>
      </c>
      <c r="B141">
        <v>2212</v>
      </c>
      <c r="C141" t="b">
        <v>1</v>
      </c>
      <c r="D141">
        <v>8048</v>
      </c>
      <c r="E141">
        <v>8117</v>
      </c>
      <c r="F141">
        <v>4.8</v>
      </c>
      <c r="G141">
        <v>10</v>
      </c>
      <c r="H141">
        <v>0.48000002000000003</v>
      </c>
      <c r="I141">
        <v>0.52</v>
      </c>
      <c r="J141">
        <v>0.67567569999999999</v>
      </c>
    </row>
    <row r="142" spans="1:10" x14ac:dyDescent="0.3">
      <c r="A142">
        <v>140</v>
      </c>
      <c r="B142">
        <v>2228</v>
      </c>
      <c r="C142" t="b">
        <v>1</v>
      </c>
      <c r="D142">
        <v>8048</v>
      </c>
      <c r="E142">
        <v>8123</v>
      </c>
      <c r="F142">
        <v>5.2</v>
      </c>
      <c r="G142">
        <v>10</v>
      </c>
      <c r="H142">
        <v>0.52</v>
      </c>
      <c r="I142">
        <v>0.48000002000000003</v>
      </c>
      <c r="J142">
        <v>0.65789472999999998</v>
      </c>
    </row>
    <row r="143" spans="1:10" x14ac:dyDescent="0.3">
      <c r="A143">
        <v>141</v>
      </c>
      <c r="B143">
        <v>2244</v>
      </c>
      <c r="C143" t="b">
        <v>1</v>
      </c>
      <c r="D143">
        <v>8048</v>
      </c>
      <c r="E143">
        <v>8123</v>
      </c>
      <c r="F143">
        <v>5.6</v>
      </c>
      <c r="G143">
        <v>10</v>
      </c>
      <c r="H143">
        <v>0.56000000000000005</v>
      </c>
      <c r="I143">
        <v>0.44</v>
      </c>
      <c r="J143">
        <v>0.64102559999999997</v>
      </c>
    </row>
    <row r="144" spans="1:10" x14ac:dyDescent="0.3">
      <c r="A144">
        <v>142</v>
      </c>
      <c r="B144">
        <v>2260</v>
      </c>
      <c r="C144" t="b">
        <v>1</v>
      </c>
      <c r="D144">
        <v>8042</v>
      </c>
      <c r="E144">
        <v>8123</v>
      </c>
      <c r="F144">
        <v>6</v>
      </c>
      <c r="G144">
        <v>10</v>
      </c>
      <c r="H144">
        <v>0.6</v>
      </c>
      <c r="I144">
        <v>0.4</v>
      </c>
      <c r="J144">
        <v>0.625</v>
      </c>
    </row>
    <row r="145" spans="1:10" x14ac:dyDescent="0.3">
      <c r="A145">
        <v>143</v>
      </c>
      <c r="B145">
        <v>2276</v>
      </c>
      <c r="C145" t="b">
        <v>1</v>
      </c>
      <c r="D145">
        <v>8048</v>
      </c>
      <c r="E145">
        <v>8123</v>
      </c>
      <c r="F145">
        <v>6</v>
      </c>
      <c r="G145">
        <v>10</v>
      </c>
      <c r="H145">
        <v>0.6</v>
      </c>
      <c r="I145">
        <v>0.4</v>
      </c>
      <c r="J145">
        <v>0.625</v>
      </c>
    </row>
    <row r="146" spans="1:10" x14ac:dyDescent="0.3">
      <c r="A146">
        <v>144</v>
      </c>
      <c r="B146">
        <v>2292</v>
      </c>
      <c r="C146" t="b">
        <v>1</v>
      </c>
      <c r="D146">
        <v>8048</v>
      </c>
      <c r="E146">
        <v>8129</v>
      </c>
      <c r="F146">
        <v>6.4</v>
      </c>
      <c r="G146">
        <v>9.6</v>
      </c>
      <c r="H146">
        <v>0.6666666</v>
      </c>
      <c r="I146">
        <v>0.33333333999999998</v>
      </c>
      <c r="J146">
        <v>0.6</v>
      </c>
    </row>
    <row r="147" spans="1:10" x14ac:dyDescent="0.3">
      <c r="A147">
        <v>145</v>
      </c>
      <c r="B147">
        <v>2308</v>
      </c>
      <c r="C147" t="b">
        <v>1</v>
      </c>
      <c r="D147">
        <v>8048</v>
      </c>
      <c r="E147">
        <v>8123</v>
      </c>
      <c r="F147">
        <v>6.8</v>
      </c>
      <c r="G147">
        <v>9.1999999999999993</v>
      </c>
      <c r="H147">
        <v>0.73913050000000002</v>
      </c>
      <c r="I147">
        <v>0.26086953000000002</v>
      </c>
      <c r="J147">
        <v>0.57499999999999996</v>
      </c>
    </row>
    <row r="148" spans="1:10" x14ac:dyDescent="0.3">
      <c r="A148">
        <v>146</v>
      </c>
      <c r="B148">
        <v>2323</v>
      </c>
      <c r="C148" t="b">
        <v>1</v>
      </c>
      <c r="D148">
        <v>8042</v>
      </c>
      <c r="E148">
        <v>8123</v>
      </c>
      <c r="F148">
        <v>7.2</v>
      </c>
      <c r="G148">
        <v>8.8000000000000007</v>
      </c>
      <c r="H148">
        <v>0.81818175000000004</v>
      </c>
      <c r="I148">
        <v>0.18181822</v>
      </c>
      <c r="J148">
        <v>0.55000000000000004</v>
      </c>
    </row>
    <row r="149" spans="1:10" x14ac:dyDescent="0.3">
      <c r="A149">
        <v>147</v>
      </c>
      <c r="B149">
        <v>2339</v>
      </c>
      <c r="C149" t="b">
        <v>1</v>
      </c>
      <c r="D149">
        <v>8048</v>
      </c>
      <c r="E149">
        <v>8129</v>
      </c>
      <c r="F149">
        <v>7.6</v>
      </c>
      <c r="G149">
        <v>8.4</v>
      </c>
      <c r="H149">
        <v>0.90476190000000001</v>
      </c>
      <c r="I149">
        <v>9.5238069999999994E-2</v>
      </c>
      <c r="J149">
        <v>0.52500000000000002</v>
      </c>
    </row>
    <row r="150" spans="1:10" x14ac:dyDescent="0.3">
      <c r="A150">
        <v>148</v>
      </c>
      <c r="B150">
        <v>2355</v>
      </c>
      <c r="C150" t="b">
        <v>1</v>
      </c>
      <c r="D150">
        <v>8042</v>
      </c>
      <c r="E150">
        <v>8129</v>
      </c>
      <c r="F150">
        <v>8</v>
      </c>
      <c r="G150">
        <v>8.4</v>
      </c>
      <c r="H150">
        <v>0.95238100000000003</v>
      </c>
      <c r="I150">
        <v>4.7619003999999999E-2</v>
      </c>
      <c r="J150">
        <v>0.51219510000000001</v>
      </c>
    </row>
    <row r="151" spans="1:10" x14ac:dyDescent="0.3">
      <c r="A151">
        <v>149</v>
      </c>
      <c r="B151">
        <v>2371</v>
      </c>
      <c r="C151" t="b">
        <v>1</v>
      </c>
      <c r="D151">
        <v>8048</v>
      </c>
      <c r="E151">
        <v>8129</v>
      </c>
      <c r="F151">
        <v>8</v>
      </c>
      <c r="G151">
        <v>8.8000000000000007</v>
      </c>
      <c r="H151">
        <v>0.90909090000000004</v>
      </c>
      <c r="I151">
        <v>9.0909110000000001E-2</v>
      </c>
      <c r="J151">
        <v>0.52380954999999996</v>
      </c>
    </row>
    <row r="152" spans="1:10" x14ac:dyDescent="0.3">
      <c r="A152">
        <v>150</v>
      </c>
      <c r="B152">
        <v>2387</v>
      </c>
      <c r="C152" t="b">
        <v>1</v>
      </c>
      <c r="D152">
        <v>8048</v>
      </c>
      <c r="E152">
        <v>8123</v>
      </c>
      <c r="F152">
        <v>8</v>
      </c>
      <c r="G152">
        <v>9.1999999999999993</v>
      </c>
      <c r="H152">
        <v>0.86956524999999996</v>
      </c>
      <c r="I152">
        <v>0.13043477000000001</v>
      </c>
      <c r="J152">
        <v>0.53488369999999996</v>
      </c>
    </row>
    <row r="153" spans="1:10" x14ac:dyDescent="0.3">
      <c r="A153">
        <v>151</v>
      </c>
      <c r="B153">
        <v>2402</v>
      </c>
      <c r="C153" t="b">
        <v>1</v>
      </c>
      <c r="D153">
        <v>8048</v>
      </c>
      <c r="E153">
        <v>8129</v>
      </c>
      <c r="F153">
        <v>8</v>
      </c>
      <c r="G153">
        <v>9.6</v>
      </c>
      <c r="H153">
        <v>0.83333330000000005</v>
      </c>
      <c r="I153">
        <v>0.1666667</v>
      </c>
      <c r="J153">
        <v>0.54545456000000003</v>
      </c>
    </row>
    <row r="154" spans="1:10" x14ac:dyDescent="0.3">
      <c r="A154">
        <v>152</v>
      </c>
      <c r="B154">
        <v>2418</v>
      </c>
      <c r="C154" t="b">
        <v>1</v>
      </c>
      <c r="D154">
        <v>8048</v>
      </c>
      <c r="E154">
        <v>8123</v>
      </c>
      <c r="F154">
        <v>8</v>
      </c>
      <c r="G154">
        <v>10</v>
      </c>
      <c r="H154">
        <v>0.8</v>
      </c>
      <c r="I154">
        <v>0.2</v>
      </c>
      <c r="J154">
        <v>0.55555560000000004</v>
      </c>
    </row>
    <row r="155" spans="1:10" x14ac:dyDescent="0.3">
      <c r="A155">
        <v>153</v>
      </c>
      <c r="B155">
        <v>2434</v>
      </c>
      <c r="C155" t="b">
        <v>1</v>
      </c>
      <c r="D155">
        <v>8048</v>
      </c>
      <c r="E155">
        <v>8123</v>
      </c>
      <c r="F155">
        <v>8</v>
      </c>
      <c r="G155">
        <v>10</v>
      </c>
      <c r="H155">
        <v>0.8</v>
      </c>
      <c r="I155">
        <v>0.2</v>
      </c>
      <c r="J155">
        <v>0.55555560000000004</v>
      </c>
    </row>
    <row r="156" spans="1:10" x14ac:dyDescent="0.3">
      <c r="A156">
        <v>154</v>
      </c>
      <c r="B156">
        <v>2450</v>
      </c>
      <c r="C156" t="b">
        <v>1</v>
      </c>
      <c r="D156">
        <v>8048</v>
      </c>
      <c r="E156">
        <v>8123</v>
      </c>
      <c r="F156">
        <v>8</v>
      </c>
      <c r="G156">
        <v>10</v>
      </c>
      <c r="H156">
        <v>0.8</v>
      </c>
      <c r="I156">
        <v>0.2</v>
      </c>
      <c r="J156">
        <v>0.55555560000000004</v>
      </c>
    </row>
    <row r="157" spans="1:10" x14ac:dyDescent="0.3">
      <c r="A157">
        <v>155</v>
      </c>
      <c r="B157">
        <v>2466</v>
      </c>
      <c r="C157" t="b">
        <v>1</v>
      </c>
      <c r="D157">
        <v>8042</v>
      </c>
      <c r="E157">
        <v>8123</v>
      </c>
      <c r="F157">
        <v>8</v>
      </c>
      <c r="G157">
        <v>10</v>
      </c>
      <c r="H157">
        <v>0.8</v>
      </c>
      <c r="I157">
        <v>0.2</v>
      </c>
      <c r="J157">
        <v>0.55555560000000004</v>
      </c>
    </row>
    <row r="158" spans="1:10" x14ac:dyDescent="0.3">
      <c r="A158">
        <v>156</v>
      </c>
      <c r="B158">
        <v>2482</v>
      </c>
      <c r="C158" t="b">
        <v>1</v>
      </c>
      <c r="D158">
        <v>8048</v>
      </c>
      <c r="E158">
        <v>8123</v>
      </c>
      <c r="F158">
        <v>8</v>
      </c>
      <c r="G158">
        <v>10</v>
      </c>
      <c r="H158">
        <v>0.8</v>
      </c>
      <c r="I158">
        <v>0.2</v>
      </c>
      <c r="J158">
        <v>0.55555560000000004</v>
      </c>
    </row>
    <row r="159" spans="1:10" x14ac:dyDescent="0.3">
      <c r="A159">
        <v>157</v>
      </c>
      <c r="B159">
        <v>2498</v>
      </c>
      <c r="C159" t="b">
        <v>1</v>
      </c>
      <c r="D159">
        <v>8048</v>
      </c>
      <c r="E159">
        <v>8134</v>
      </c>
      <c r="F159">
        <v>8</v>
      </c>
      <c r="G159">
        <v>10</v>
      </c>
      <c r="H159">
        <v>0.8</v>
      </c>
      <c r="I159">
        <v>0.2</v>
      </c>
      <c r="J159">
        <v>0.55555560000000004</v>
      </c>
    </row>
    <row r="160" spans="1:10" x14ac:dyDescent="0.3">
      <c r="A160">
        <v>158</v>
      </c>
      <c r="B160">
        <v>2513</v>
      </c>
      <c r="C160" t="b">
        <v>1</v>
      </c>
      <c r="D160">
        <v>8048</v>
      </c>
      <c r="E160">
        <v>8123</v>
      </c>
      <c r="F160">
        <v>8</v>
      </c>
      <c r="G160">
        <v>10</v>
      </c>
      <c r="H160">
        <v>0.8</v>
      </c>
      <c r="I160">
        <v>0.2</v>
      </c>
      <c r="J160">
        <v>0.55555560000000004</v>
      </c>
    </row>
    <row r="161" spans="1:10" x14ac:dyDescent="0.3">
      <c r="A161">
        <v>159</v>
      </c>
      <c r="B161">
        <v>2529</v>
      </c>
      <c r="C161" t="b">
        <v>1</v>
      </c>
      <c r="D161">
        <v>8048</v>
      </c>
      <c r="E161">
        <v>8123</v>
      </c>
      <c r="F161">
        <v>8</v>
      </c>
      <c r="G161">
        <v>10</v>
      </c>
      <c r="H161">
        <v>0.8</v>
      </c>
      <c r="I161">
        <v>0.2</v>
      </c>
      <c r="J161">
        <v>0.55555560000000004</v>
      </c>
    </row>
    <row r="162" spans="1:10" x14ac:dyDescent="0.3">
      <c r="A162">
        <v>160</v>
      </c>
      <c r="B162">
        <v>2545</v>
      </c>
      <c r="C162" t="b">
        <v>1</v>
      </c>
      <c r="D162">
        <v>8048</v>
      </c>
      <c r="E162">
        <v>8123</v>
      </c>
      <c r="F162">
        <v>8</v>
      </c>
      <c r="G162">
        <v>10</v>
      </c>
      <c r="H162">
        <v>0.8</v>
      </c>
      <c r="I162">
        <v>0.2</v>
      </c>
      <c r="J162">
        <v>0.55555560000000004</v>
      </c>
    </row>
    <row r="163" spans="1:10" x14ac:dyDescent="0.3">
      <c r="A163">
        <v>161</v>
      </c>
      <c r="B163">
        <v>2561</v>
      </c>
      <c r="C163" t="b">
        <v>1</v>
      </c>
      <c r="D163">
        <v>8048</v>
      </c>
      <c r="E163">
        <v>8123</v>
      </c>
      <c r="F163">
        <v>8</v>
      </c>
      <c r="G163">
        <v>10</v>
      </c>
      <c r="H163">
        <v>0.8</v>
      </c>
      <c r="I163">
        <v>0.2</v>
      </c>
      <c r="J163">
        <v>0.55555560000000004</v>
      </c>
    </row>
    <row r="164" spans="1:10" x14ac:dyDescent="0.3">
      <c r="A164">
        <v>162</v>
      </c>
      <c r="B164">
        <v>2577</v>
      </c>
      <c r="C164" t="b">
        <v>1</v>
      </c>
      <c r="D164">
        <v>8048</v>
      </c>
      <c r="E164">
        <v>8129</v>
      </c>
      <c r="F164">
        <v>8</v>
      </c>
      <c r="G164">
        <v>10</v>
      </c>
      <c r="H164">
        <v>0.8</v>
      </c>
      <c r="I164">
        <v>0.2</v>
      </c>
      <c r="J164">
        <v>0.55555560000000004</v>
      </c>
    </row>
    <row r="165" spans="1:10" x14ac:dyDescent="0.3">
      <c r="A165">
        <v>163</v>
      </c>
      <c r="B165">
        <v>2593</v>
      </c>
      <c r="C165" t="b">
        <v>1</v>
      </c>
      <c r="D165">
        <v>8048</v>
      </c>
      <c r="E165">
        <v>8123</v>
      </c>
      <c r="F165">
        <v>8</v>
      </c>
      <c r="G165">
        <v>9.6</v>
      </c>
      <c r="H165">
        <v>0.83333330000000005</v>
      </c>
      <c r="I165">
        <v>0.1666667</v>
      </c>
      <c r="J165">
        <v>0.54545456000000003</v>
      </c>
    </row>
    <row r="166" spans="1:10" x14ac:dyDescent="0.3">
      <c r="A166">
        <v>164</v>
      </c>
      <c r="B166">
        <v>2609</v>
      </c>
      <c r="C166" t="b">
        <v>1</v>
      </c>
      <c r="D166">
        <v>8048</v>
      </c>
      <c r="E166">
        <v>8129</v>
      </c>
      <c r="F166">
        <v>8</v>
      </c>
      <c r="G166">
        <v>9.1999999999999993</v>
      </c>
      <c r="H166">
        <v>0.86956524999999996</v>
      </c>
      <c r="I166">
        <v>0.13043477000000001</v>
      </c>
      <c r="J166">
        <v>0.53488369999999996</v>
      </c>
    </row>
    <row r="167" spans="1:10" x14ac:dyDescent="0.3">
      <c r="A167">
        <v>165</v>
      </c>
      <c r="B167">
        <v>2625</v>
      </c>
      <c r="C167" t="b">
        <v>1</v>
      </c>
      <c r="D167">
        <v>8048</v>
      </c>
      <c r="E167">
        <v>8123</v>
      </c>
      <c r="F167">
        <v>8</v>
      </c>
      <c r="G167">
        <v>8.8000000000000007</v>
      </c>
      <c r="H167">
        <v>0.90909090000000004</v>
      </c>
      <c r="I167">
        <v>9.0909110000000001E-2</v>
      </c>
      <c r="J167">
        <v>0.52380954999999996</v>
      </c>
    </row>
    <row r="168" spans="1:10" x14ac:dyDescent="0.3">
      <c r="A168">
        <v>166</v>
      </c>
      <c r="B168">
        <v>2641</v>
      </c>
      <c r="C168" t="b">
        <v>1</v>
      </c>
      <c r="D168">
        <v>8048</v>
      </c>
      <c r="E168">
        <v>8134</v>
      </c>
      <c r="F168">
        <v>8</v>
      </c>
      <c r="G168">
        <v>8.8000000000000007</v>
      </c>
      <c r="H168">
        <v>0.90909090000000004</v>
      </c>
      <c r="I168">
        <v>9.0909110000000001E-2</v>
      </c>
      <c r="J168">
        <v>0.52380954999999996</v>
      </c>
    </row>
    <row r="169" spans="1:10" x14ac:dyDescent="0.3">
      <c r="A169">
        <v>167</v>
      </c>
      <c r="B169">
        <v>2657</v>
      </c>
      <c r="C169" t="b">
        <v>1</v>
      </c>
      <c r="D169">
        <v>8048</v>
      </c>
      <c r="E169">
        <v>8123</v>
      </c>
      <c r="F169">
        <v>8</v>
      </c>
      <c r="G169">
        <v>8.4</v>
      </c>
      <c r="H169">
        <v>0.95238100000000003</v>
      </c>
      <c r="I169">
        <v>4.7619003999999999E-2</v>
      </c>
      <c r="J169">
        <v>0.51219510000000001</v>
      </c>
    </row>
    <row r="170" spans="1:10" x14ac:dyDescent="0.3">
      <c r="A170">
        <v>168</v>
      </c>
      <c r="B170">
        <v>2672</v>
      </c>
      <c r="C170" t="b">
        <v>1</v>
      </c>
      <c r="D170">
        <v>8048</v>
      </c>
      <c r="E170">
        <v>8129</v>
      </c>
      <c r="F170">
        <v>8</v>
      </c>
      <c r="G170">
        <v>8.8000000000000007</v>
      </c>
      <c r="H170">
        <v>0.90909090000000004</v>
      </c>
      <c r="I170">
        <v>9.0909110000000001E-2</v>
      </c>
      <c r="J170">
        <v>0.52380954999999996</v>
      </c>
    </row>
    <row r="171" spans="1:10" x14ac:dyDescent="0.3">
      <c r="A171">
        <v>169</v>
      </c>
      <c r="B171">
        <v>2688</v>
      </c>
      <c r="C171" t="b">
        <v>1</v>
      </c>
      <c r="D171">
        <v>8048</v>
      </c>
      <c r="E171">
        <v>8123</v>
      </c>
      <c r="F171">
        <v>8</v>
      </c>
      <c r="G171">
        <v>8.8000000000000007</v>
      </c>
      <c r="H171">
        <v>0.90909090000000004</v>
      </c>
      <c r="I171">
        <v>9.0909110000000001E-2</v>
      </c>
      <c r="J171">
        <v>0.52380954999999996</v>
      </c>
    </row>
    <row r="172" spans="1:10" x14ac:dyDescent="0.3">
      <c r="A172">
        <v>170</v>
      </c>
      <c r="B172">
        <v>2704</v>
      </c>
      <c r="C172" t="b">
        <v>1</v>
      </c>
      <c r="D172">
        <v>8048</v>
      </c>
      <c r="E172">
        <v>8129</v>
      </c>
      <c r="F172">
        <v>8</v>
      </c>
      <c r="G172">
        <v>9.1999999999999993</v>
      </c>
      <c r="H172">
        <v>0.86956524999999996</v>
      </c>
      <c r="I172">
        <v>0.13043477000000001</v>
      </c>
      <c r="J172">
        <v>0.53488369999999996</v>
      </c>
    </row>
    <row r="173" spans="1:10" x14ac:dyDescent="0.3">
      <c r="A173">
        <v>171</v>
      </c>
      <c r="B173">
        <v>2720</v>
      </c>
      <c r="C173" t="b">
        <v>1</v>
      </c>
      <c r="D173">
        <v>8048</v>
      </c>
      <c r="E173">
        <v>8123</v>
      </c>
      <c r="F173">
        <v>8</v>
      </c>
      <c r="G173">
        <v>9.1999999999999993</v>
      </c>
      <c r="H173">
        <v>0.86956524999999996</v>
      </c>
      <c r="I173">
        <v>0.13043477000000001</v>
      </c>
      <c r="J173">
        <v>0.53488369999999996</v>
      </c>
    </row>
    <row r="174" spans="1:10" x14ac:dyDescent="0.3">
      <c r="A174">
        <v>172</v>
      </c>
      <c r="B174">
        <v>2736</v>
      </c>
      <c r="C174" t="b">
        <v>1</v>
      </c>
      <c r="D174">
        <v>8048</v>
      </c>
      <c r="E174">
        <v>8123</v>
      </c>
      <c r="F174">
        <v>8</v>
      </c>
      <c r="G174">
        <v>9.1999999999999993</v>
      </c>
      <c r="H174">
        <v>0.86956524999999996</v>
      </c>
      <c r="I174">
        <v>0.13043477000000001</v>
      </c>
      <c r="J174">
        <v>0.53488369999999996</v>
      </c>
    </row>
    <row r="175" spans="1:10" x14ac:dyDescent="0.3">
      <c r="A175">
        <v>173</v>
      </c>
      <c r="B175">
        <v>2752</v>
      </c>
      <c r="C175" t="b">
        <v>1</v>
      </c>
      <c r="D175">
        <v>8042</v>
      </c>
      <c r="E175">
        <v>8123</v>
      </c>
      <c r="F175">
        <v>8</v>
      </c>
      <c r="G175">
        <v>9.1999999999999993</v>
      </c>
      <c r="H175">
        <v>0.86956524999999996</v>
      </c>
      <c r="I175">
        <v>0.13043477000000001</v>
      </c>
      <c r="J175">
        <v>0.53488369999999996</v>
      </c>
    </row>
    <row r="176" spans="1:10" x14ac:dyDescent="0.3">
      <c r="A176">
        <v>174</v>
      </c>
      <c r="B176">
        <v>2767</v>
      </c>
      <c r="C176" t="b">
        <v>1</v>
      </c>
      <c r="D176">
        <v>8048</v>
      </c>
      <c r="E176">
        <v>8123</v>
      </c>
      <c r="F176">
        <v>8</v>
      </c>
      <c r="G176">
        <v>9.1999999999999993</v>
      </c>
      <c r="H176">
        <v>0.86956524999999996</v>
      </c>
      <c r="I176">
        <v>0.13043477000000001</v>
      </c>
      <c r="J176">
        <v>0.53488369999999996</v>
      </c>
    </row>
    <row r="177" spans="1:10" x14ac:dyDescent="0.3">
      <c r="A177">
        <v>175</v>
      </c>
      <c r="B177">
        <v>2783</v>
      </c>
      <c r="C177" t="b">
        <v>1</v>
      </c>
      <c r="D177">
        <v>8048</v>
      </c>
      <c r="E177">
        <v>8123</v>
      </c>
      <c r="F177">
        <v>8</v>
      </c>
      <c r="G177">
        <v>9.1999999999999993</v>
      </c>
      <c r="H177">
        <v>0.86956524999999996</v>
      </c>
      <c r="I177">
        <v>0.13043477000000001</v>
      </c>
      <c r="J177">
        <v>0.53488369999999996</v>
      </c>
    </row>
    <row r="178" spans="1:10" x14ac:dyDescent="0.3">
      <c r="A178">
        <v>176</v>
      </c>
      <c r="B178">
        <v>2799</v>
      </c>
      <c r="C178" t="b">
        <v>1</v>
      </c>
      <c r="D178">
        <v>8048</v>
      </c>
      <c r="E178">
        <v>8123</v>
      </c>
      <c r="F178">
        <v>8</v>
      </c>
      <c r="G178">
        <v>9.1999999999999993</v>
      </c>
      <c r="H178">
        <v>0.86956524999999996</v>
      </c>
      <c r="I178">
        <v>0.13043477000000001</v>
      </c>
      <c r="J178">
        <v>0.53488369999999996</v>
      </c>
    </row>
    <row r="179" spans="1:10" x14ac:dyDescent="0.3">
      <c r="A179">
        <v>177</v>
      </c>
      <c r="B179">
        <v>2815</v>
      </c>
      <c r="C179" t="b">
        <v>1</v>
      </c>
      <c r="D179">
        <v>8048</v>
      </c>
      <c r="E179">
        <v>8129</v>
      </c>
      <c r="F179">
        <v>8</v>
      </c>
      <c r="G179">
        <v>9.1999999999999993</v>
      </c>
      <c r="H179">
        <v>0.86956524999999996</v>
      </c>
      <c r="I179">
        <v>0.13043477000000001</v>
      </c>
      <c r="J179">
        <v>0.53488369999999996</v>
      </c>
    </row>
    <row r="180" spans="1:10" x14ac:dyDescent="0.3">
      <c r="A180">
        <v>178</v>
      </c>
      <c r="B180">
        <v>2831</v>
      </c>
      <c r="C180" t="b">
        <v>1</v>
      </c>
      <c r="D180">
        <v>8048</v>
      </c>
      <c r="E180">
        <v>8129</v>
      </c>
      <c r="F180">
        <v>8</v>
      </c>
      <c r="G180">
        <v>9.1999999999999993</v>
      </c>
      <c r="H180">
        <v>0.86956524999999996</v>
      </c>
      <c r="I180">
        <v>0.13043477000000001</v>
      </c>
      <c r="J180">
        <v>0.53488369999999996</v>
      </c>
    </row>
    <row r="181" spans="1:10" x14ac:dyDescent="0.3">
      <c r="A181">
        <v>179</v>
      </c>
      <c r="B181">
        <v>2847</v>
      </c>
      <c r="C181" t="b">
        <v>1</v>
      </c>
      <c r="D181">
        <v>8042</v>
      </c>
      <c r="E181">
        <v>8129</v>
      </c>
      <c r="F181">
        <v>8</v>
      </c>
      <c r="G181">
        <v>9.6</v>
      </c>
      <c r="H181">
        <v>0.83333330000000005</v>
      </c>
      <c r="I181">
        <v>0.1666667</v>
      </c>
      <c r="J181">
        <v>0.54545456000000003</v>
      </c>
    </row>
    <row r="182" spans="1:10" x14ac:dyDescent="0.3">
      <c r="A182">
        <v>180</v>
      </c>
      <c r="B182">
        <v>2863</v>
      </c>
      <c r="C182" t="b">
        <v>1</v>
      </c>
      <c r="D182">
        <v>8048</v>
      </c>
      <c r="E182">
        <v>8140</v>
      </c>
      <c r="F182">
        <v>8</v>
      </c>
      <c r="G182">
        <v>10</v>
      </c>
      <c r="H182">
        <v>0.8</v>
      </c>
      <c r="I182">
        <v>0.2</v>
      </c>
      <c r="J182">
        <v>0.55555560000000004</v>
      </c>
    </row>
    <row r="183" spans="1:10" x14ac:dyDescent="0.3">
      <c r="A183">
        <v>181</v>
      </c>
      <c r="B183">
        <v>2878</v>
      </c>
      <c r="C183" t="b">
        <v>1</v>
      </c>
      <c r="D183">
        <v>8048</v>
      </c>
      <c r="E183">
        <v>8129</v>
      </c>
      <c r="F183">
        <v>8</v>
      </c>
      <c r="G183">
        <v>10</v>
      </c>
      <c r="H183">
        <v>0.8</v>
      </c>
      <c r="I183">
        <v>0.2</v>
      </c>
      <c r="J183">
        <v>0.55555560000000004</v>
      </c>
    </row>
    <row r="184" spans="1:10" x14ac:dyDescent="0.3">
      <c r="A184">
        <v>182</v>
      </c>
      <c r="B184">
        <v>2894</v>
      </c>
      <c r="C184" t="b">
        <v>1</v>
      </c>
      <c r="D184">
        <v>8048</v>
      </c>
      <c r="E184">
        <v>8134</v>
      </c>
      <c r="F184">
        <v>8</v>
      </c>
      <c r="G184">
        <v>10.4</v>
      </c>
      <c r="H184">
        <v>0.76923079999999999</v>
      </c>
      <c r="I184">
        <v>0.23076920000000001</v>
      </c>
      <c r="J184">
        <v>0.56521739999999998</v>
      </c>
    </row>
    <row r="185" spans="1:10" x14ac:dyDescent="0.3">
      <c r="A185">
        <v>183</v>
      </c>
      <c r="B185">
        <v>2911</v>
      </c>
      <c r="C185" t="b">
        <v>1</v>
      </c>
      <c r="D185">
        <v>8048</v>
      </c>
      <c r="E185">
        <v>8123</v>
      </c>
      <c r="F185">
        <v>8</v>
      </c>
      <c r="G185">
        <v>10.4</v>
      </c>
      <c r="H185">
        <v>0.76923079999999999</v>
      </c>
      <c r="I185">
        <v>0.23076920000000001</v>
      </c>
      <c r="J185">
        <v>0.56521739999999998</v>
      </c>
    </row>
    <row r="186" spans="1:10" x14ac:dyDescent="0.3">
      <c r="A186">
        <v>184</v>
      </c>
      <c r="B186">
        <v>2927</v>
      </c>
      <c r="C186" t="b">
        <v>1</v>
      </c>
      <c r="D186">
        <v>8048</v>
      </c>
      <c r="E186">
        <v>8123</v>
      </c>
      <c r="F186">
        <v>8</v>
      </c>
      <c r="G186">
        <v>10.8</v>
      </c>
      <c r="H186">
        <v>0.74074070000000003</v>
      </c>
      <c r="I186">
        <v>0.25925927999999998</v>
      </c>
      <c r="J186">
        <v>0.57446814000000002</v>
      </c>
    </row>
    <row r="187" spans="1:10" x14ac:dyDescent="0.3">
      <c r="A187">
        <v>185</v>
      </c>
      <c r="B187">
        <v>2942</v>
      </c>
      <c r="C187" t="b">
        <v>1</v>
      </c>
      <c r="D187">
        <v>8048</v>
      </c>
      <c r="E187">
        <v>8123</v>
      </c>
      <c r="F187">
        <v>8</v>
      </c>
      <c r="G187">
        <v>10.4</v>
      </c>
      <c r="H187">
        <v>0.76923079999999999</v>
      </c>
      <c r="I187">
        <v>0.23076920000000001</v>
      </c>
      <c r="J187">
        <v>0.56521739999999998</v>
      </c>
    </row>
    <row r="188" spans="1:10" x14ac:dyDescent="0.3">
      <c r="A188">
        <v>186</v>
      </c>
      <c r="B188">
        <v>2958</v>
      </c>
      <c r="C188" t="b">
        <v>1</v>
      </c>
      <c r="D188">
        <v>8048</v>
      </c>
      <c r="E188">
        <v>8123</v>
      </c>
      <c r="F188">
        <v>8</v>
      </c>
      <c r="G188">
        <v>10.4</v>
      </c>
      <c r="H188">
        <v>0.76923079999999999</v>
      </c>
      <c r="I188">
        <v>0.23076920000000001</v>
      </c>
      <c r="J188">
        <v>0.56521739999999998</v>
      </c>
    </row>
    <row r="189" spans="1:10" x14ac:dyDescent="0.3">
      <c r="A189">
        <v>187</v>
      </c>
      <c r="B189">
        <v>2974</v>
      </c>
      <c r="C189" t="b">
        <v>1</v>
      </c>
      <c r="D189">
        <v>8048</v>
      </c>
      <c r="E189">
        <v>8134</v>
      </c>
      <c r="F189">
        <v>8</v>
      </c>
      <c r="G189">
        <v>10.4</v>
      </c>
      <c r="H189">
        <v>0.76923079999999999</v>
      </c>
      <c r="I189">
        <v>0.23076920000000001</v>
      </c>
      <c r="J189">
        <v>0.56521739999999998</v>
      </c>
    </row>
    <row r="190" spans="1:10" x14ac:dyDescent="0.3">
      <c r="A190">
        <v>188</v>
      </c>
      <c r="B190">
        <v>2990</v>
      </c>
      <c r="C190" t="b">
        <v>1</v>
      </c>
      <c r="D190">
        <v>8048</v>
      </c>
      <c r="E190">
        <v>8123</v>
      </c>
      <c r="F190">
        <v>8</v>
      </c>
      <c r="G190">
        <v>10.4</v>
      </c>
      <c r="H190">
        <v>0.76923079999999999</v>
      </c>
      <c r="I190">
        <v>0.23076920000000001</v>
      </c>
      <c r="J190">
        <v>0.56521739999999998</v>
      </c>
    </row>
    <row r="191" spans="1:10" x14ac:dyDescent="0.3">
      <c r="A191">
        <v>189</v>
      </c>
      <c r="B191">
        <v>3006</v>
      </c>
      <c r="C191" t="b">
        <v>1</v>
      </c>
      <c r="D191">
        <v>8048</v>
      </c>
      <c r="E191">
        <v>8123</v>
      </c>
      <c r="F191">
        <v>8</v>
      </c>
      <c r="G191">
        <v>10.4</v>
      </c>
      <c r="H191">
        <v>0.76923079999999999</v>
      </c>
      <c r="I191">
        <v>0.23076920000000001</v>
      </c>
      <c r="J191">
        <v>0.56521739999999998</v>
      </c>
    </row>
    <row r="192" spans="1:10" x14ac:dyDescent="0.3">
      <c r="A192">
        <v>190</v>
      </c>
      <c r="B192">
        <v>3021</v>
      </c>
      <c r="C192" t="b">
        <v>1</v>
      </c>
      <c r="D192">
        <v>8048</v>
      </c>
      <c r="E192">
        <v>8117</v>
      </c>
      <c r="F192">
        <v>8</v>
      </c>
      <c r="G192">
        <v>10.4</v>
      </c>
      <c r="H192">
        <v>0.76923079999999999</v>
      </c>
      <c r="I192">
        <v>0.23076920000000001</v>
      </c>
      <c r="J192">
        <v>0.56521739999999998</v>
      </c>
    </row>
    <row r="193" spans="1:10" x14ac:dyDescent="0.3">
      <c r="A193">
        <v>191</v>
      </c>
      <c r="B193">
        <v>3037</v>
      </c>
      <c r="C193" t="b">
        <v>1</v>
      </c>
      <c r="D193">
        <v>8048</v>
      </c>
      <c r="E193">
        <v>8123</v>
      </c>
      <c r="F193">
        <v>8</v>
      </c>
      <c r="G193">
        <v>10.4</v>
      </c>
      <c r="H193">
        <v>0.76923079999999999</v>
      </c>
      <c r="I193">
        <v>0.23076920000000001</v>
      </c>
      <c r="J193">
        <v>0.56521739999999998</v>
      </c>
    </row>
    <row r="194" spans="1:10" x14ac:dyDescent="0.3">
      <c r="A194">
        <v>192</v>
      </c>
      <c r="B194">
        <v>3053</v>
      </c>
      <c r="C194" t="b">
        <v>1</v>
      </c>
      <c r="D194">
        <v>8054</v>
      </c>
      <c r="E194">
        <v>8123</v>
      </c>
      <c r="F194">
        <v>8</v>
      </c>
      <c r="G194">
        <v>10.4</v>
      </c>
      <c r="H194">
        <v>0.76923079999999999</v>
      </c>
      <c r="I194">
        <v>0.23076920000000001</v>
      </c>
      <c r="J194">
        <v>0.56521739999999998</v>
      </c>
    </row>
    <row r="195" spans="1:10" x14ac:dyDescent="0.3">
      <c r="A195">
        <v>193</v>
      </c>
      <c r="B195">
        <v>3069</v>
      </c>
      <c r="C195" t="b">
        <v>1</v>
      </c>
      <c r="D195">
        <v>8048</v>
      </c>
      <c r="E195">
        <v>8117</v>
      </c>
      <c r="F195">
        <v>8</v>
      </c>
      <c r="G195">
        <v>10.4</v>
      </c>
      <c r="H195">
        <v>0.76923079999999999</v>
      </c>
      <c r="I195">
        <v>0.23076920000000001</v>
      </c>
      <c r="J195">
        <v>0.56521739999999998</v>
      </c>
    </row>
    <row r="196" spans="1:10" x14ac:dyDescent="0.3">
      <c r="A196">
        <v>194</v>
      </c>
      <c r="B196">
        <v>3085</v>
      </c>
      <c r="C196" t="b">
        <v>1</v>
      </c>
      <c r="D196">
        <v>8042</v>
      </c>
      <c r="E196">
        <v>8117</v>
      </c>
      <c r="F196">
        <v>8</v>
      </c>
      <c r="G196">
        <v>9.6</v>
      </c>
      <c r="H196">
        <v>0.83333330000000005</v>
      </c>
      <c r="I196">
        <v>0.1666667</v>
      </c>
      <c r="J196">
        <v>0.54545456000000003</v>
      </c>
    </row>
    <row r="197" spans="1:10" x14ac:dyDescent="0.3">
      <c r="A197">
        <v>195</v>
      </c>
      <c r="B197">
        <v>3101</v>
      </c>
      <c r="C197" t="b">
        <v>1</v>
      </c>
      <c r="D197">
        <v>8042</v>
      </c>
      <c r="E197">
        <v>8117</v>
      </c>
      <c r="F197">
        <v>8</v>
      </c>
      <c r="G197">
        <v>8.8000000000000007</v>
      </c>
      <c r="H197">
        <v>0.90909090000000004</v>
      </c>
      <c r="I197">
        <v>9.0909110000000001E-2</v>
      </c>
      <c r="J197">
        <v>0.52380954999999996</v>
      </c>
    </row>
    <row r="198" spans="1:10" x14ac:dyDescent="0.3">
      <c r="A198">
        <v>196</v>
      </c>
      <c r="B198">
        <v>3117</v>
      </c>
      <c r="C198" t="b">
        <v>1</v>
      </c>
      <c r="D198">
        <v>8042</v>
      </c>
      <c r="E198">
        <v>8123</v>
      </c>
      <c r="F198">
        <v>7.6</v>
      </c>
      <c r="G198">
        <v>8</v>
      </c>
      <c r="H198">
        <v>0.95</v>
      </c>
      <c r="I198">
        <v>5.0000012000000003E-2</v>
      </c>
      <c r="J198">
        <v>0.51282050000000001</v>
      </c>
    </row>
    <row r="199" spans="1:10" x14ac:dyDescent="0.3">
      <c r="A199">
        <v>197</v>
      </c>
      <c r="B199">
        <v>3133</v>
      </c>
      <c r="C199" t="b">
        <v>1</v>
      </c>
      <c r="D199">
        <v>8037</v>
      </c>
      <c r="E199">
        <v>8117</v>
      </c>
      <c r="F199">
        <v>7.2</v>
      </c>
      <c r="G199">
        <v>7.2</v>
      </c>
      <c r="H199">
        <v>1</v>
      </c>
      <c r="I199">
        <v>0</v>
      </c>
      <c r="J199">
        <v>0.5</v>
      </c>
    </row>
    <row r="200" spans="1:10" x14ac:dyDescent="0.3">
      <c r="A200">
        <v>198</v>
      </c>
      <c r="B200">
        <v>3148</v>
      </c>
      <c r="C200" t="b">
        <v>1</v>
      </c>
      <c r="D200">
        <v>8037</v>
      </c>
      <c r="E200">
        <v>8117</v>
      </c>
      <c r="F200">
        <v>6.8</v>
      </c>
      <c r="G200">
        <v>6.4</v>
      </c>
      <c r="H200">
        <v>1.0625</v>
      </c>
      <c r="I200">
        <v>-6.2500015000000006E-2</v>
      </c>
      <c r="J200">
        <v>0.48484846999999998</v>
      </c>
    </row>
    <row r="201" spans="1:10" x14ac:dyDescent="0.3">
      <c r="A201">
        <v>199</v>
      </c>
      <c r="B201">
        <v>3164</v>
      </c>
      <c r="C201" t="b">
        <v>1</v>
      </c>
      <c r="D201">
        <v>8042</v>
      </c>
      <c r="E201">
        <v>8123</v>
      </c>
      <c r="F201">
        <v>6.4</v>
      </c>
      <c r="G201">
        <v>5.6</v>
      </c>
      <c r="H201">
        <v>1.1428571999999999</v>
      </c>
      <c r="I201">
        <v>-0.14285718</v>
      </c>
      <c r="J201">
        <v>0.46666667000000001</v>
      </c>
    </row>
    <row r="202" spans="1:10" x14ac:dyDescent="0.3">
      <c r="A202">
        <v>200</v>
      </c>
      <c r="B202">
        <v>3180</v>
      </c>
      <c r="C202" t="b">
        <v>1</v>
      </c>
      <c r="D202">
        <v>8048</v>
      </c>
      <c r="E202">
        <v>8117</v>
      </c>
      <c r="F202">
        <v>6</v>
      </c>
      <c r="G202">
        <v>5.2</v>
      </c>
      <c r="H202">
        <v>1.1538461</v>
      </c>
      <c r="I202">
        <v>-0.15384618999999999</v>
      </c>
      <c r="J202">
        <v>0.46428570000000002</v>
      </c>
    </row>
    <row r="203" spans="1:10" x14ac:dyDescent="0.3">
      <c r="A203">
        <v>201</v>
      </c>
      <c r="B203">
        <v>3196</v>
      </c>
      <c r="C203" t="b">
        <v>1</v>
      </c>
      <c r="D203">
        <v>8048</v>
      </c>
      <c r="E203">
        <v>8117</v>
      </c>
      <c r="F203">
        <v>5.6</v>
      </c>
      <c r="G203">
        <v>4.8</v>
      </c>
      <c r="H203">
        <v>1.1666666000000001</v>
      </c>
      <c r="I203">
        <v>-0.1666666</v>
      </c>
      <c r="J203">
        <v>0.46153850000000002</v>
      </c>
    </row>
    <row r="204" spans="1:10" x14ac:dyDescent="0.3">
      <c r="A204">
        <v>202</v>
      </c>
      <c r="B204">
        <v>3212</v>
      </c>
      <c r="C204" t="b">
        <v>1</v>
      </c>
      <c r="D204">
        <v>8048</v>
      </c>
      <c r="E204">
        <v>8123</v>
      </c>
      <c r="F204">
        <v>5.6</v>
      </c>
      <c r="G204">
        <v>4.4000000000000004</v>
      </c>
      <c r="H204">
        <v>1.2727272999999999</v>
      </c>
      <c r="I204">
        <v>-0.27272721999999999</v>
      </c>
      <c r="J204">
        <v>0.44</v>
      </c>
    </row>
    <row r="205" spans="1:10" x14ac:dyDescent="0.3">
      <c r="A205">
        <v>203</v>
      </c>
      <c r="B205">
        <v>3228</v>
      </c>
      <c r="C205" t="b">
        <v>1</v>
      </c>
      <c r="D205">
        <v>8048</v>
      </c>
      <c r="E205">
        <v>8123</v>
      </c>
      <c r="F205">
        <v>5.6</v>
      </c>
      <c r="G205">
        <v>4.4000000000000004</v>
      </c>
      <c r="H205">
        <v>1.2727272999999999</v>
      </c>
      <c r="I205">
        <v>-0.27272721999999999</v>
      </c>
      <c r="J205">
        <v>0.44</v>
      </c>
    </row>
    <row r="206" spans="1:10" x14ac:dyDescent="0.3">
      <c r="A206">
        <v>204</v>
      </c>
      <c r="B206">
        <v>3244</v>
      </c>
      <c r="C206" t="b">
        <v>1</v>
      </c>
      <c r="D206">
        <v>8048</v>
      </c>
      <c r="E206">
        <v>8129</v>
      </c>
      <c r="F206">
        <v>5.6</v>
      </c>
      <c r="G206">
        <v>4.4000000000000004</v>
      </c>
      <c r="H206">
        <v>1.2727272999999999</v>
      </c>
      <c r="I206">
        <v>-0.27272721999999999</v>
      </c>
      <c r="J206">
        <v>0.44</v>
      </c>
    </row>
    <row r="207" spans="1:10" x14ac:dyDescent="0.3">
      <c r="A207">
        <v>205</v>
      </c>
      <c r="B207">
        <v>3260</v>
      </c>
      <c r="C207" t="b">
        <v>1</v>
      </c>
      <c r="D207">
        <v>8048</v>
      </c>
      <c r="E207">
        <v>8123</v>
      </c>
      <c r="F207">
        <v>5.6</v>
      </c>
      <c r="G207">
        <v>4.4000000000000004</v>
      </c>
      <c r="H207">
        <v>1.2727272999999999</v>
      </c>
      <c r="I207">
        <v>-0.27272721999999999</v>
      </c>
      <c r="J207">
        <v>0.44</v>
      </c>
    </row>
    <row r="208" spans="1:10" x14ac:dyDescent="0.3">
      <c r="A208">
        <v>206</v>
      </c>
      <c r="B208">
        <v>3276</v>
      </c>
      <c r="C208" t="b">
        <v>1</v>
      </c>
      <c r="D208">
        <v>8042</v>
      </c>
      <c r="E208">
        <v>8129</v>
      </c>
      <c r="F208">
        <v>5.6</v>
      </c>
      <c r="G208">
        <v>4.4000000000000004</v>
      </c>
      <c r="H208">
        <v>1.2727272999999999</v>
      </c>
      <c r="I208">
        <v>-0.27272721999999999</v>
      </c>
      <c r="J208">
        <v>0.44</v>
      </c>
    </row>
    <row r="209" spans="1:10" x14ac:dyDescent="0.3">
      <c r="A209">
        <v>207</v>
      </c>
      <c r="B209">
        <v>3292</v>
      </c>
      <c r="C209" t="b">
        <v>1</v>
      </c>
      <c r="D209">
        <v>8048</v>
      </c>
      <c r="E209">
        <v>8123</v>
      </c>
      <c r="F209">
        <v>5.6</v>
      </c>
      <c r="G209">
        <v>4.4000000000000004</v>
      </c>
      <c r="H209">
        <v>1.2727272999999999</v>
      </c>
      <c r="I209">
        <v>-0.27272721999999999</v>
      </c>
      <c r="J209">
        <v>0.44</v>
      </c>
    </row>
    <row r="210" spans="1:10" x14ac:dyDescent="0.3">
      <c r="A210">
        <v>208</v>
      </c>
      <c r="B210">
        <v>3307</v>
      </c>
      <c r="C210" t="b">
        <v>1</v>
      </c>
      <c r="D210">
        <v>8048</v>
      </c>
      <c r="E210">
        <v>8123</v>
      </c>
      <c r="F210">
        <v>5.6</v>
      </c>
      <c r="G210">
        <v>4.4000000000000004</v>
      </c>
      <c r="H210">
        <v>1.2727272999999999</v>
      </c>
      <c r="I210">
        <v>-0.27272721999999999</v>
      </c>
      <c r="J210">
        <v>0.44</v>
      </c>
    </row>
    <row r="211" spans="1:10" x14ac:dyDescent="0.3">
      <c r="A211">
        <v>209</v>
      </c>
      <c r="B211">
        <v>3323</v>
      </c>
      <c r="C211" t="b">
        <v>1</v>
      </c>
      <c r="D211">
        <v>8048</v>
      </c>
      <c r="E211">
        <v>8123</v>
      </c>
      <c r="F211">
        <v>5.6</v>
      </c>
      <c r="G211">
        <v>4.8</v>
      </c>
      <c r="H211">
        <v>1.1666666000000001</v>
      </c>
      <c r="I211">
        <v>-0.1666666</v>
      </c>
      <c r="J211">
        <v>0.46153850000000002</v>
      </c>
    </row>
    <row r="212" spans="1:10" x14ac:dyDescent="0.3">
      <c r="A212">
        <v>210</v>
      </c>
      <c r="B212">
        <v>3339</v>
      </c>
      <c r="C212" t="b">
        <v>1</v>
      </c>
      <c r="D212">
        <v>8048</v>
      </c>
      <c r="E212">
        <v>8123</v>
      </c>
      <c r="F212">
        <v>5.6</v>
      </c>
      <c r="G212">
        <v>5.2</v>
      </c>
      <c r="H212">
        <v>1.0769230999999999</v>
      </c>
      <c r="I212">
        <v>-7.6923094999999997E-2</v>
      </c>
      <c r="J212">
        <v>0.48148150000000001</v>
      </c>
    </row>
    <row r="213" spans="1:10" x14ac:dyDescent="0.3">
      <c r="A213">
        <v>211</v>
      </c>
      <c r="B213">
        <v>3354</v>
      </c>
      <c r="C213" t="b">
        <v>1</v>
      </c>
      <c r="D213">
        <v>8042</v>
      </c>
      <c r="E213">
        <v>8129</v>
      </c>
      <c r="F213">
        <v>6</v>
      </c>
      <c r="G213">
        <v>5.6</v>
      </c>
      <c r="H213">
        <v>1.0714284999999999</v>
      </c>
      <c r="I213">
        <v>-7.142859E-2</v>
      </c>
      <c r="J213">
        <v>0.48275859999999998</v>
      </c>
    </row>
    <row r="214" spans="1:10" x14ac:dyDescent="0.3">
      <c r="A214">
        <v>212</v>
      </c>
      <c r="B214">
        <v>3370</v>
      </c>
      <c r="C214" t="b">
        <v>1</v>
      </c>
      <c r="D214">
        <v>8048</v>
      </c>
      <c r="E214">
        <v>8123</v>
      </c>
      <c r="F214">
        <v>6.4</v>
      </c>
      <c r="G214">
        <v>6</v>
      </c>
      <c r="H214">
        <v>1.0666667000000001</v>
      </c>
      <c r="I214">
        <v>-6.6666685000000003E-2</v>
      </c>
      <c r="J214">
        <v>0.48387098000000001</v>
      </c>
    </row>
    <row r="215" spans="1:10" x14ac:dyDescent="0.3">
      <c r="A215">
        <v>213</v>
      </c>
      <c r="B215">
        <v>3386</v>
      </c>
      <c r="C215" t="b">
        <v>1</v>
      </c>
      <c r="D215">
        <v>8048</v>
      </c>
      <c r="E215">
        <v>8123</v>
      </c>
      <c r="F215">
        <v>6.8</v>
      </c>
      <c r="G215">
        <v>6.4</v>
      </c>
      <c r="H215">
        <v>1.0625</v>
      </c>
      <c r="I215">
        <v>-6.2500015000000006E-2</v>
      </c>
      <c r="J215">
        <v>0.48484846999999998</v>
      </c>
    </row>
    <row r="216" spans="1:10" x14ac:dyDescent="0.3">
      <c r="A216">
        <v>214</v>
      </c>
      <c r="B216">
        <v>3402</v>
      </c>
      <c r="C216" t="b">
        <v>1</v>
      </c>
      <c r="D216">
        <v>8048</v>
      </c>
      <c r="E216">
        <v>8123</v>
      </c>
      <c r="F216">
        <v>7.2</v>
      </c>
      <c r="G216">
        <v>6.8</v>
      </c>
      <c r="H216">
        <v>1.0588234999999999</v>
      </c>
      <c r="I216">
        <v>-5.8823470000000003E-2</v>
      </c>
      <c r="J216">
        <v>0.48571429999999999</v>
      </c>
    </row>
    <row r="217" spans="1:10" x14ac:dyDescent="0.3">
      <c r="A217">
        <v>215</v>
      </c>
      <c r="B217">
        <v>3418</v>
      </c>
      <c r="C217" t="b">
        <v>1</v>
      </c>
      <c r="D217">
        <v>8048</v>
      </c>
      <c r="E217">
        <v>8123</v>
      </c>
      <c r="F217">
        <v>7.6</v>
      </c>
      <c r="G217">
        <v>7.2</v>
      </c>
      <c r="H217">
        <v>1.0555555999999999</v>
      </c>
      <c r="I217">
        <v>-5.5555569999999999E-2</v>
      </c>
      <c r="J217">
        <v>0.48648649999999999</v>
      </c>
    </row>
    <row r="218" spans="1:10" x14ac:dyDescent="0.3">
      <c r="A218">
        <v>216</v>
      </c>
      <c r="B218">
        <v>3433</v>
      </c>
      <c r="C218" t="b">
        <v>1</v>
      </c>
      <c r="D218">
        <v>8048</v>
      </c>
      <c r="E218">
        <v>8129</v>
      </c>
      <c r="F218">
        <v>8</v>
      </c>
      <c r="G218">
        <v>7.6</v>
      </c>
      <c r="H218">
        <v>1.0526316</v>
      </c>
      <c r="I218">
        <v>-5.2631589999999999E-2</v>
      </c>
      <c r="J218">
        <v>0.48717946000000001</v>
      </c>
    </row>
    <row r="219" spans="1:10" x14ac:dyDescent="0.3">
      <c r="A219">
        <v>217</v>
      </c>
      <c r="B219">
        <v>3449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3465</v>
      </c>
      <c r="C220" t="b">
        <v>1</v>
      </c>
      <c r="D220">
        <v>8048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3481</v>
      </c>
      <c r="C221" t="b">
        <v>1</v>
      </c>
      <c r="D221">
        <v>8048</v>
      </c>
      <c r="E221">
        <v>8129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3497</v>
      </c>
      <c r="C222" t="b">
        <v>1</v>
      </c>
      <c r="D222">
        <v>8048</v>
      </c>
      <c r="E222">
        <v>8129</v>
      </c>
      <c r="F222">
        <v>8</v>
      </c>
      <c r="G222">
        <v>8.4</v>
      </c>
      <c r="H222">
        <v>0.95238100000000003</v>
      </c>
      <c r="I222">
        <v>4.7619003999999999E-2</v>
      </c>
      <c r="J222">
        <v>0.51219510000000001</v>
      </c>
    </row>
    <row r="223" spans="1:10" x14ac:dyDescent="0.3">
      <c r="A223">
        <v>221</v>
      </c>
      <c r="B223">
        <v>3513</v>
      </c>
      <c r="C223" t="b">
        <v>1</v>
      </c>
      <c r="D223">
        <v>8048</v>
      </c>
      <c r="E223">
        <v>8123</v>
      </c>
      <c r="F223">
        <v>8</v>
      </c>
      <c r="G223">
        <v>8.4</v>
      </c>
      <c r="H223">
        <v>0.95238100000000003</v>
      </c>
      <c r="I223">
        <v>4.7619003999999999E-2</v>
      </c>
      <c r="J223">
        <v>0.51219510000000001</v>
      </c>
    </row>
    <row r="224" spans="1:10" x14ac:dyDescent="0.3">
      <c r="A224">
        <v>222</v>
      </c>
      <c r="B224">
        <v>3529</v>
      </c>
      <c r="C224" t="b">
        <v>1</v>
      </c>
      <c r="D224">
        <v>8048</v>
      </c>
      <c r="E224">
        <v>8134</v>
      </c>
      <c r="F224">
        <v>8</v>
      </c>
      <c r="G224">
        <v>8.8000000000000007</v>
      </c>
      <c r="H224">
        <v>0.90909090000000004</v>
      </c>
      <c r="I224">
        <v>9.0909110000000001E-2</v>
      </c>
      <c r="J224">
        <v>0.52380954999999996</v>
      </c>
    </row>
    <row r="225" spans="1:10" x14ac:dyDescent="0.3">
      <c r="A225">
        <v>223</v>
      </c>
      <c r="B225">
        <v>3544</v>
      </c>
      <c r="C225" t="b">
        <v>1</v>
      </c>
      <c r="D225">
        <v>8048</v>
      </c>
      <c r="E225">
        <v>8123</v>
      </c>
      <c r="F225">
        <v>8</v>
      </c>
      <c r="G225">
        <v>9.1999999999999993</v>
      </c>
      <c r="H225">
        <v>0.86956524999999996</v>
      </c>
      <c r="I225">
        <v>0.13043477000000001</v>
      </c>
      <c r="J225">
        <v>0.53488369999999996</v>
      </c>
    </row>
    <row r="226" spans="1:10" x14ac:dyDescent="0.3">
      <c r="A226">
        <v>224</v>
      </c>
      <c r="B226">
        <v>3560</v>
      </c>
      <c r="C226" t="b">
        <v>1</v>
      </c>
      <c r="D226">
        <v>8048</v>
      </c>
      <c r="E226">
        <v>8123</v>
      </c>
      <c r="F226">
        <v>8</v>
      </c>
      <c r="G226">
        <v>9.1999999999999993</v>
      </c>
      <c r="H226">
        <v>0.86956524999999996</v>
      </c>
      <c r="I226">
        <v>0.13043477000000001</v>
      </c>
      <c r="J226">
        <v>0.53488369999999996</v>
      </c>
    </row>
    <row r="227" spans="1:10" x14ac:dyDescent="0.3">
      <c r="A227">
        <v>225</v>
      </c>
      <c r="B227">
        <v>3576</v>
      </c>
      <c r="C227" t="b">
        <v>1</v>
      </c>
      <c r="D227">
        <v>8048</v>
      </c>
      <c r="E227">
        <v>8123</v>
      </c>
      <c r="F227">
        <v>8</v>
      </c>
      <c r="G227">
        <v>9.1999999999999993</v>
      </c>
      <c r="H227">
        <v>0.86956524999999996</v>
      </c>
      <c r="I227">
        <v>0.13043477000000001</v>
      </c>
      <c r="J227">
        <v>0.53488369999999996</v>
      </c>
    </row>
    <row r="228" spans="1:10" x14ac:dyDescent="0.3">
      <c r="A228">
        <v>226</v>
      </c>
      <c r="B228">
        <v>3592</v>
      </c>
      <c r="C228" t="b">
        <v>1</v>
      </c>
      <c r="D228">
        <v>8048</v>
      </c>
      <c r="E228">
        <v>8123</v>
      </c>
      <c r="F228">
        <v>8</v>
      </c>
      <c r="G228">
        <v>9.1999999999999993</v>
      </c>
      <c r="H228">
        <v>0.86956524999999996</v>
      </c>
      <c r="I228">
        <v>0.13043477000000001</v>
      </c>
      <c r="J228">
        <v>0.53488369999999996</v>
      </c>
    </row>
    <row r="229" spans="1:10" x14ac:dyDescent="0.3">
      <c r="A229">
        <v>227</v>
      </c>
      <c r="B229">
        <v>3608</v>
      </c>
      <c r="C229" t="b">
        <v>1</v>
      </c>
      <c r="D229">
        <v>8048</v>
      </c>
      <c r="E229">
        <v>8134</v>
      </c>
      <c r="F229">
        <v>8</v>
      </c>
      <c r="G229">
        <v>9.1999999999999993</v>
      </c>
      <c r="H229">
        <v>0.86956524999999996</v>
      </c>
      <c r="I229">
        <v>0.13043477000000001</v>
      </c>
      <c r="J229">
        <v>0.53488369999999996</v>
      </c>
    </row>
    <row r="230" spans="1:10" x14ac:dyDescent="0.3">
      <c r="A230">
        <v>228</v>
      </c>
      <c r="B230">
        <v>3624</v>
      </c>
      <c r="C230" t="b">
        <v>1</v>
      </c>
      <c r="D230">
        <v>8048</v>
      </c>
      <c r="E230">
        <v>8129</v>
      </c>
      <c r="F230">
        <v>8</v>
      </c>
      <c r="G230">
        <v>9.1999999999999993</v>
      </c>
      <c r="H230">
        <v>0.86956524999999996</v>
      </c>
      <c r="I230">
        <v>0.13043477000000001</v>
      </c>
      <c r="J230">
        <v>0.53488369999999996</v>
      </c>
    </row>
    <row r="231" spans="1:10" x14ac:dyDescent="0.3">
      <c r="A231">
        <v>229</v>
      </c>
      <c r="B231">
        <v>3640</v>
      </c>
      <c r="C231" t="b">
        <v>1</v>
      </c>
      <c r="D231">
        <v>8048</v>
      </c>
      <c r="E231">
        <v>8123</v>
      </c>
      <c r="F231">
        <v>8</v>
      </c>
      <c r="G231">
        <v>9.1999999999999993</v>
      </c>
      <c r="H231">
        <v>0.86956524999999996</v>
      </c>
      <c r="I231">
        <v>0.13043477000000001</v>
      </c>
      <c r="J231">
        <v>0.53488369999999996</v>
      </c>
    </row>
    <row r="232" spans="1:10" x14ac:dyDescent="0.3">
      <c r="A232">
        <v>230</v>
      </c>
      <c r="B232">
        <v>3656</v>
      </c>
      <c r="C232" t="b">
        <v>1</v>
      </c>
      <c r="D232">
        <v>8048</v>
      </c>
      <c r="E232">
        <v>8123</v>
      </c>
      <c r="F232">
        <v>8</v>
      </c>
      <c r="G232">
        <v>9.1999999999999993</v>
      </c>
      <c r="H232">
        <v>0.86956524999999996</v>
      </c>
      <c r="I232">
        <v>0.13043477000000001</v>
      </c>
      <c r="J232">
        <v>0.53488369999999996</v>
      </c>
    </row>
    <row r="233" spans="1:10" x14ac:dyDescent="0.3">
      <c r="A233">
        <v>231</v>
      </c>
      <c r="B233">
        <v>3672</v>
      </c>
      <c r="C233" t="b">
        <v>1</v>
      </c>
      <c r="D233">
        <v>8048</v>
      </c>
      <c r="E233">
        <v>8123</v>
      </c>
      <c r="F233">
        <v>8</v>
      </c>
      <c r="G233">
        <v>9.1999999999999993</v>
      </c>
      <c r="H233">
        <v>0.86956524999999996</v>
      </c>
      <c r="I233">
        <v>0.13043477000000001</v>
      </c>
      <c r="J233">
        <v>0.53488369999999996</v>
      </c>
    </row>
    <row r="234" spans="1:10" x14ac:dyDescent="0.3">
      <c r="A234">
        <v>232</v>
      </c>
      <c r="B234">
        <v>3688</v>
      </c>
      <c r="C234" t="b">
        <v>1</v>
      </c>
      <c r="D234">
        <v>8048</v>
      </c>
      <c r="E234">
        <v>8123</v>
      </c>
      <c r="F234">
        <v>8</v>
      </c>
      <c r="G234">
        <v>9.1999999999999993</v>
      </c>
      <c r="H234">
        <v>0.86956524999999996</v>
      </c>
      <c r="I234">
        <v>0.13043477000000001</v>
      </c>
      <c r="J234">
        <v>0.53488369999999996</v>
      </c>
    </row>
    <row r="235" spans="1:10" x14ac:dyDescent="0.3">
      <c r="A235">
        <v>233</v>
      </c>
      <c r="B235">
        <v>3703</v>
      </c>
      <c r="C235" t="b">
        <v>1</v>
      </c>
      <c r="D235">
        <v>8048</v>
      </c>
      <c r="E235">
        <v>8123</v>
      </c>
      <c r="F235">
        <v>8</v>
      </c>
      <c r="G235">
        <v>9.1999999999999993</v>
      </c>
      <c r="H235">
        <v>0.86956524999999996</v>
      </c>
      <c r="I235">
        <v>0.13043477000000001</v>
      </c>
      <c r="J235">
        <v>0.53488369999999996</v>
      </c>
    </row>
    <row r="236" spans="1:10" x14ac:dyDescent="0.3">
      <c r="A236">
        <v>234</v>
      </c>
      <c r="B236">
        <v>3719</v>
      </c>
      <c r="C236" t="b">
        <v>1</v>
      </c>
      <c r="D236">
        <v>8048</v>
      </c>
      <c r="E236">
        <v>8123</v>
      </c>
      <c r="F236">
        <v>8</v>
      </c>
      <c r="G236">
        <v>9.1999999999999993</v>
      </c>
      <c r="H236">
        <v>0.86956524999999996</v>
      </c>
      <c r="I236">
        <v>0.13043477000000001</v>
      </c>
      <c r="J236">
        <v>0.53488369999999996</v>
      </c>
    </row>
    <row r="237" spans="1:10" x14ac:dyDescent="0.3">
      <c r="A237">
        <v>235</v>
      </c>
      <c r="B237">
        <v>3735</v>
      </c>
      <c r="C237" t="b">
        <v>1</v>
      </c>
      <c r="D237">
        <v>8048</v>
      </c>
      <c r="E237">
        <v>8123</v>
      </c>
      <c r="F237">
        <v>8</v>
      </c>
      <c r="G237">
        <v>8.8000000000000007</v>
      </c>
      <c r="H237">
        <v>0.90909090000000004</v>
      </c>
      <c r="I237">
        <v>9.0909110000000001E-2</v>
      </c>
      <c r="J237">
        <v>0.52380954999999996</v>
      </c>
    </row>
    <row r="238" spans="1:10" x14ac:dyDescent="0.3">
      <c r="A238">
        <v>236</v>
      </c>
      <c r="B238">
        <v>3750</v>
      </c>
      <c r="C238" t="b">
        <v>1</v>
      </c>
      <c r="D238">
        <v>8048</v>
      </c>
      <c r="E238">
        <v>8123</v>
      </c>
      <c r="F238">
        <v>8</v>
      </c>
      <c r="G238">
        <v>8.8000000000000007</v>
      </c>
      <c r="H238">
        <v>0.90909090000000004</v>
      </c>
      <c r="I238">
        <v>9.0909110000000001E-2</v>
      </c>
      <c r="J238">
        <v>0.52380954999999996</v>
      </c>
    </row>
    <row r="239" spans="1:10" x14ac:dyDescent="0.3">
      <c r="A239">
        <v>237</v>
      </c>
      <c r="B239">
        <v>3766</v>
      </c>
      <c r="C239" t="b">
        <v>1</v>
      </c>
      <c r="D239">
        <v>8042</v>
      </c>
      <c r="E239">
        <v>8123</v>
      </c>
      <c r="F239">
        <v>8</v>
      </c>
      <c r="G239">
        <v>8.4</v>
      </c>
      <c r="H239">
        <v>0.95238100000000003</v>
      </c>
      <c r="I239">
        <v>4.7619003999999999E-2</v>
      </c>
      <c r="J239">
        <v>0.51219510000000001</v>
      </c>
    </row>
    <row r="240" spans="1:10" x14ac:dyDescent="0.3">
      <c r="A240">
        <v>238</v>
      </c>
      <c r="B240">
        <v>3782</v>
      </c>
      <c r="C240" t="b">
        <v>1</v>
      </c>
      <c r="D240">
        <v>8048</v>
      </c>
      <c r="E240">
        <v>8123</v>
      </c>
      <c r="F240">
        <v>8</v>
      </c>
      <c r="G240">
        <v>8</v>
      </c>
      <c r="H240">
        <v>1</v>
      </c>
      <c r="I240">
        <v>0</v>
      </c>
      <c r="J240">
        <v>0.5</v>
      </c>
    </row>
    <row r="241" spans="1:10" x14ac:dyDescent="0.3">
      <c r="A241">
        <v>239</v>
      </c>
      <c r="B241">
        <v>3798</v>
      </c>
      <c r="C241" t="b">
        <v>1</v>
      </c>
      <c r="D241">
        <v>8048</v>
      </c>
      <c r="E241">
        <v>8123</v>
      </c>
      <c r="F241">
        <v>8</v>
      </c>
      <c r="G241">
        <v>8</v>
      </c>
      <c r="H241">
        <v>1</v>
      </c>
      <c r="I241">
        <v>0</v>
      </c>
      <c r="J241">
        <v>0.5</v>
      </c>
    </row>
    <row r="242" spans="1:10" x14ac:dyDescent="0.3">
      <c r="A242">
        <v>240</v>
      </c>
      <c r="B242">
        <v>3814</v>
      </c>
      <c r="C242" t="b">
        <v>1</v>
      </c>
      <c r="D242">
        <v>8048</v>
      </c>
      <c r="E242">
        <v>8129</v>
      </c>
      <c r="F242">
        <v>8</v>
      </c>
      <c r="G242">
        <v>8</v>
      </c>
      <c r="H242">
        <v>1</v>
      </c>
      <c r="I242">
        <v>0</v>
      </c>
      <c r="J242">
        <v>0.5</v>
      </c>
    </row>
    <row r="243" spans="1:10" x14ac:dyDescent="0.3">
      <c r="A243">
        <v>241</v>
      </c>
      <c r="B243">
        <v>3830</v>
      </c>
      <c r="C243" t="b">
        <v>1</v>
      </c>
      <c r="D243">
        <v>8048</v>
      </c>
      <c r="E243">
        <v>8129</v>
      </c>
      <c r="F243">
        <v>8</v>
      </c>
      <c r="G243">
        <v>8</v>
      </c>
      <c r="H243">
        <v>1</v>
      </c>
      <c r="I243">
        <v>0</v>
      </c>
      <c r="J243">
        <v>0.5</v>
      </c>
    </row>
    <row r="244" spans="1:10" x14ac:dyDescent="0.3">
      <c r="A244">
        <v>242</v>
      </c>
      <c r="B244">
        <v>3845</v>
      </c>
      <c r="C244" t="b">
        <v>1</v>
      </c>
      <c r="D244">
        <v>8048</v>
      </c>
      <c r="E244">
        <v>8129</v>
      </c>
      <c r="F244">
        <v>8</v>
      </c>
      <c r="G244">
        <v>8.4</v>
      </c>
      <c r="H244">
        <v>0.95238100000000003</v>
      </c>
      <c r="I244">
        <v>4.7619003999999999E-2</v>
      </c>
      <c r="J244">
        <v>0.51219510000000001</v>
      </c>
    </row>
    <row r="245" spans="1:10" x14ac:dyDescent="0.3">
      <c r="A245">
        <v>243</v>
      </c>
      <c r="B245">
        <v>3861</v>
      </c>
      <c r="C245" t="b">
        <v>1</v>
      </c>
      <c r="D245">
        <v>8048</v>
      </c>
      <c r="E245">
        <v>8123</v>
      </c>
      <c r="F245">
        <v>8</v>
      </c>
      <c r="G245">
        <v>8.8000000000000007</v>
      </c>
      <c r="H245">
        <v>0.90909090000000004</v>
      </c>
      <c r="I245">
        <v>9.0909110000000001E-2</v>
      </c>
      <c r="J245">
        <v>0.52380954999999996</v>
      </c>
    </row>
    <row r="246" spans="1:10" x14ac:dyDescent="0.3">
      <c r="A246">
        <v>244</v>
      </c>
      <c r="B246">
        <v>3877</v>
      </c>
      <c r="C246" t="b">
        <v>1</v>
      </c>
      <c r="D246">
        <v>8048</v>
      </c>
      <c r="E246">
        <v>8123</v>
      </c>
      <c r="F246">
        <v>8</v>
      </c>
      <c r="G246">
        <v>9.1999999999999993</v>
      </c>
      <c r="H246">
        <v>0.86956524999999996</v>
      </c>
      <c r="I246">
        <v>0.13043477000000001</v>
      </c>
      <c r="J246">
        <v>0.53488369999999996</v>
      </c>
    </row>
    <row r="247" spans="1:10" x14ac:dyDescent="0.3">
      <c r="A247">
        <v>245</v>
      </c>
      <c r="B247">
        <v>3893</v>
      </c>
      <c r="C247" t="b">
        <v>1</v>
      </c>
      <c r="D247">
        <v>8048</v>
      </c>
      <c r="E247">
        <v>8123</v>
      </c>
      <c r="F247">
        <v>8</v>
      </c>
      <c r="G247">
        <v>9.1999999999999993</v>
      </c>
      <c r="H247">
        <v>0.86956524999999996</v>
      </c>
      <c r="I247">
        <v>0.13043477000000001</v>
      </c>
      <c r="J247">
        <v>0.53488369999999996</v>
      </c>
    </row>
    <row r="248" spans="1:10" x14ac:dyDescent="0.3">
      <c r="A248">
        <v>246</v>
      </c>
      <c r="B248">
        <v>3909</v>
      </c>
      <c r="C248" t="b">
        <v>1</v>
      </c>
      <c r="D248">
        <v>8042</v>
      </c>
      <c r="E248">
        <v>8123</v>
      </c>
      <c r="F248">
        <v>8</v>
      </c>
      <c r="G248">
        <v>9.1999999999999993</v>
      </c>
      <c r="H248">
        <v>0.86956524999999996</v>
      </c>
      <c r="I248">
        <v>0.13043477000000001</v>
      </c>
      <c r="J248">
        <v>0.53488369999999996</v>
      </c>
    </row>
    <row r="249" spans="1:10" x14ac:dyDescent="0.3">
      <c r="A249">
        <v>247</v>
      </c>
      <c r="B249">
        <v>3925</v>
      </c>
      <c r="C249" t="b">
        <v>1</v>
      </c>
      <c r="D249">
        <v>8048</v>
      </c>
      <c r="E249">
        <v>8123</v>
      </c>
      <c r="F249">
        <v>8</v>
      </c>
      <c r="G249">
        <v>9.1999999999999993</v>
      </c>
      <c r="H249">
        <v>0.86956524999999996</v>
      </c>
      <c r="I249">
        <v>0.13043477000000001</v>
      </c>
      <c r="J249">
        <v>0.53488369999999996</v>
      </c>
    </row>
    <row r="250" spans="1:10" x14ac:dyDescent="0.3">
      <c r="A250">
        <v>248</v>
      </c>
      <c r="B250">
        <v>3941</v>
      </c>
      <c r="C250" t="b">
        <v>1</v>
      </c>
      <c r="D250">
        <v>8042</v>
      </c>
      <c r="E250">
        <v>8123</v>
      </c>
      <c r="F250">
        <v>8</v>
      </c>
      <c r="G250">
        <v>9.1999999999999993</v>
      </c>
      <c r="H250">
        <v>0.86956524999999996</v>
      </c>
      <c r="I250">
        <v>0.13043477000000001</v>
      </c>
      <c r="J250">
        <v>0.53488369999999996</v>
      </c>
    </row>
    <row r="251" spans="1:10" x14ac:dyDescent="0.3">
      <c r="A251">
        <v>249</v>
      </c>
      <c r="B251">
        <v>3956</v>
      </c>
      <c r="C251" t="b">
        <v>1</v>
      </c>
      <c r="D251">
        <v>8048</v>
      </c>
      <c r="E251">
        <v>8123</v>
      </c>
      <c r="F251">
        <v>8</v>
      </c>
      <c r="G251">
        <v>9.1999999999999993</v>
      </c>
      <c r="H251">
        <v>0.86956524999999996</v>
      </c>
      <c r="I251">
        <v>0.13043477000000001</v>
      </c>
      <c r="J251">
        <v>0.53488369999999996</v>
      </c>
    </row>
    <row r="252" spans="1:10" x14ac:dyDescent="0.3">
      <c r="A252">
        <v>250</v>
      </c>
      <c r="B252">
        <v>3972</v>
      </c>
      <c r="C252" t="b">
        <v>1</v>
      </c>
      <c r="D252">
        <v>8048</v>
      </c>
      <c r="E252">
        <v>8123</v>
      </c>
      <c r="F252">
        <v>8</v>
      </c>
      <c r="G252">
        <v>9.1999999999999993</v>
      </c>
      <c r="H252">
        <v>0.86956524999999996</v>
      </c>
      <c r="I252">
        <v>0.13043477000000001</v>
      </c>
      <c r="J252">
        <v>0.53488369999999996</v>
      </c>
    </row>
    <row r="253" spans="1:10" x14ac:dyDescent="0.3">
      <c r="A253">
        <v>251</v>
      </c>
      <c r="B253">
        <v>3988</v>
      </c>
      <c r="C253" t="b">
        <v>1</v>
      </c>
      <c r="D253">
        <v>8048</v>
      </c>
      <c r="E253">
        <v>8123</v>
      </c>
      <c r="F253">
        <v>8</v>
      </c>
      <c r="G253">
        <v>9.1999999999999993</v>
      </c>
      <c r="H253">
        <v>0.86956524999999996</v>
      </c>
      <c r="I253">
        <v>0.13043477000000001</v>
      </c>
      <c r="J253">
        <v>0.53488369999999996</v>
      </c>
    </row>
    <row r="254" spans="1:10" x14ac:dyDescent="0.3">
      <c r="A254">
        <v>252</v>
      </c>
      <c r="B254">
        <v>4004</v>
      </c>
      <c r="C254" t="b">
        <v>1</v>
      </c>
      <c r="D254">
        <v>8048</v>
      </c>
      <c r="E254">
        <v>8134</v>
      </c>
      <c r="F254">
        <v>8</v>
      </c>
      <c r="G254">
        <v>9.1999999999999993</v>
      </c>
      <c r="H254">
        <v>0.86956524999999996</v>
      </c>
      <c r="I254">
        <v>0.13043477000000001</v>
      </c>
      <c r="J254">
        <v>0.53488369999999996</v>
      </c>
    </row>
    <row r="255" spans="1:10" x14ac:dyDescent="0.3">
      <c r="A255">
        <v>253</v>
      </c>
      <c r="B255">
        <v>4020</v>
      </c>
      <c r="C255" t="b">
        <v>1</v>
      </c>
      <c r="D255">
        <v>8048</v>
      </c>
      <c r="E255">
        <v>8123</v>
      </c>
      <c r="F255">
        <v>8</v>
      </c>
      <c r="G255">
        <v>9.1999999999999993</v>
      </c>
      <c r="H255">
        <v>0.86956524999999996</v>
      </c>
      <c r="I255">
        <v>0.13043477000000001</v>
      </c>
      <c r="J255">
        <v>0.53488369999999996</v>
      </c>
    </row>
    <row r="256" spans="1:10" x14ac:dyDescent="0.3">
      <c r="A256">
        <v>254</v>
      </c>
      <c r="B256">
        <v>4036</v>
      </c>
      <c r="C256" t="b">
        <v>1</v>
      </c>
      <c r="D256">
        <v>8042</v>
      </c>
      <c r="E256">
        <v>8134</v>
      </c>
      <c r="F256">
        <v>8</v>
      </c>
      <c r="G256">
        <v>9.1999999999999993</v>
      </c>
      <c r="H256">
        <v>0.86956524999999996</v>
      </c>
      <c r="I256">
        <v>0.13043477000000001</v>
      </c>
      <c r="J256">
        <v>0.53488369999999996</v>
      </c>
    </row>
    <row r="257" spans="1:10" x14ac:dyDescent="0.3">
      <c r="A257">
        <v>255</v>
      </c>
      <c r="B257">
        <v>4052</v>
      </c>
      <c r="C257" t="b">
        <v>1</v>
      </c>
      <c r="D257">
        <v>8048</v>
      </c>
      <c r="E257">
        <v>8123</v>
      </c>
      <c r="F257">
        <v>8</v>
      </c>
      <c r="G257">
        <v>9.1999999999999993</v>
      </c>
      <c r="H257">
        <v>0.86956524999999996</v>
      </c>
      <c r="I257">
        <v>0.13043477000000001</v>
      </c>
      <c r="J257">
        <v>0.53488369999999996</v>
      </c>
    </row>
    <row r="258" spans="1:10" x14ac:dyDescent="0.3">
      <c r="A258">
        <v>256</v>
      </c>
      <c r="B258">
        <v>4067</v>
      </c>
      <c r="C258" t="b">
        <v>1</v>
      </c>
      <c r="D258">
        <v>8048</v>
      </c>
      <c r="E258">
        <v>8129</v>
      </c>
      <c r="F258">
        <v>8</v>
      </c>
      <c r="G258">
        <v>9.6</v>
      </c>
      <c r="H258">
        <v>0.83333330000000005</v>
      </c>
      <c r="I258">
        <v>0.1666667</v>
      </c>
      <c r="J258">
        <v>0.54545456000000003</v>
      </c>
    </row>
    <row r="259" spans="1:10" x14ac:dyDescent="0.3">
      <c r="A259">
        <v>257</v>
      </c>
      <c r="B259">
        <v>4083</v>
      </c>
      <c r="C259" t="b">
        <v>1</v>
      </c>
      <c r="D259">
        <v>8042</v>
      </c>
      <c r="E259">
        <v>8123</v>
      </c>
      <c r="F259">
        <v>8</v>
      </c>
      <c r="G259">
        <v>9.1999999999999993</v>
      </c>
      <c r="H259">
        <v>0.86956524999999996</v>
      </c>
      <c r="I259">
        <v>0.13043477000000001</v>
      </c>
      <c r="J259">
        <v>0.53488369999999996</v>
      </c>
    </row>
    <row r="260" spans="1:10" x14ac:dyDescent="0.3">
      <c r="A260">
        <v>258</v>
      </c>
      <c r="B260">
        <v>4099</v>
      </c>
      <c r="C260" t="b">
        <v>1</v>
      </c>
      <c r="D260">
        <v>8042</v>
      </c>
      <c r="E260">
        <v>8129</v>
      </c>
      <c r="F260">
        <v>7.6</v>
      </c>
      <c r="G260">
        <v>9.1999999999999993</v>
      </c>
      <c r="H260">
        <v>0.82608694000000005</v>
      </c>
      <c r="I260">
        <v>0.17391303</v>
      </c>
      <c r="J260">
        <v>0.54761903999999995</v>
      </c>
    </row>
    <row r="261" spans="1:10" x14ac:dyDescent="0.3">
      <c r="A261">
        <v>259</v>
      </c>
      <c r="B261">
        <v>4115</v>
      </c>
      <c r="C261" t="b">
        <v>1</v>
      </c>
      <c r="D261">
        <v>8042</v>
      </c>
      <c r="E261">
        <v>8123</v>
      </c>
      <c r="F261">
        <v>7.2</v>
      </c>
      <c r="G261">
        <v>8.8000000000000007</v>
      </c>
      <c r="H261">
        <v>0.81818175000000004</v>
      </c>
      <c r="I261">
        <v>0.18181822</v>
      </c>
      <c r="J261">
        <v>0.55000000000000004</v>
      </c>
    </row>
    <row r="262" spans="1:10" x14ac:dyDescent="0.3">
      <c r="A262">
        <v>260</v>
      </c>
      <c r="B262">
        <v>4131</v>
      </c>
      <c r="C262" t="b">
        <v>1</v>
      </c>
      <c r="D262">
        <v>8048</v>
      </c>
      <c r="E262">
        <v>8123</v>
      </c>
      <c r="F262">
        <v>6.8</v>
      </c>
      <c r="G262">
        <v>8.8000000000000007</v>
      </c>
      <c r="H262">
        <v>0.77272724999999998</v>
      </c>
      <c r="I262">
        <v>0.22727272000000001</v>
      </c>
      <c r="J262">
        <v>0.56410260000000001</v>
      </c>
    </row>
    <row r="263" spans="1:10" x14ac:dyDescent="0.3">
      <c r="A263">
        <v>261</v>
      </c>
      <c r="B263">
        <v>4147</v>
      </c>
      <c r="C263" t="b">
        <v>1</v>
      </c>
      <c r="D263">
        <v>8048</v>
      </c>
      <c r="E263">
        <v>8123</v>
      </c>
      <c r="F263">
        <v>6.4</v>
      </c>
      <c r="G263">
        <v>8.8000000000000007</v>
      </c>
      <c r="H263">
        <v>0.72727275000000002</v>
      </c>
      <c r="I263">
        <v>0.27272728000000002</v>
      </c>
      <c r="J263">
        <v>0.57894736999999996</v>
      </c>
    </row>
    <row r="264" spans="1:10" x14ac:dyDescent="0.3">
      <c r="A264">
        <v>262</v>
      </c>
      <c r="B264">
        <v>4163</v>
      </c>
      <c r="C264" t="b">
        <v>1</v>
      </c>
      <c r="D264">
        <v>8048</v>
      </c>
      <c r="E264">
        <v>8123</v>
      </c>
      <c r="F264">
        <v>6.4</v>
      </c>
      <c r="G264">
        <v>8.8000000000000007</v>
      </c>
      <c r="H264">
        <v>0.72727275000000002</v>
      </c>
      <c r="I264">
        <v>0.27272728000000002</v>
      </c>
      <c r="J264">
        <v>0.57894736999999996</v>
      </c>
    </row>
    <row r="265" spans="1:10" x14ac:dyDescent="0.3">
      <c r="A265">
        <v>263</v>
      </c>
      <c r="B265">
        <v>4179</v>
      </c>
      <c r="C265" t="b">
        <v>1</v>
      </c>
      <c r="D265">
        <v>8042</v>
      </c>
      <c r="E265">
        <v>8123</v>
      </c>
      <c r="F265">
        <v>6.4</v>
      </c>
      <c r="G265">
        <v>8.8000000000000007</v>
      </c>
      <c r="H265">
        <v>0.72727275000000002</v>
      </c>
      <c r="I265">
        <v>0.27272728000000002</v>
      </c>
      <c r="J265">
        <v>0.57894736999999996</v>
      </c>
    </row>
    <row r="266" spans="1:10" x14ac:dyDescent="0.3">
      <c r="A266">
        <v>264</v>
      </c>
      <c r="B266">
        <v>4194</v>
      </c>
      <c r="C266" t="b">
        <v>1</v>
      </c>
      <c r="D266">
        <v>8042</v>
      </c>
      <c r="E266">
        <v>8117</v>
      </c>
      <c r="F266">
        <v>6.4</v>
      </c>
      <c r="G266">
        <v>8.8000000000000007</v>
      </c>
      <c r="H266">
        <v>0.72727275000000002</v>
      </c>
      <c r="I266">
        <v>0.27272728000000002</v>
      </c>
      <c r="J266">
        <v>0.57894736999999996</v>
      </c>
    </row>
    <row r="267" spans="1:10" x14ac:dyDescent="0.3">
      <c r="A267">
        <v>265</v>
      </c>
      <c r="B267">
        <v>4210</v>
      </c>
      <c r="C267" t="b">
        <v>1</v>
      </c>
      <c r="D267">
        <v>8042</v>
      </c>
      <c r="E267">
        <v>8117</v>
      </c>
      <c r="F267">
        <v>6</v>
      </c>
      <c r="G267">
        <v>8.8000000000000007</v>
      </c>
      <c r="H267">
        <v>0.68181820000000004</v>
      </c>
      <c r="I267">
        <v>0.31818183999999999</v>
      </c>
      <c r="J267">
        <v>0.59459459999999997</v>
      </c>
    </row>
    <row r="268" spans="1:10" x14ac:dyDescent="0.3">
      <c r="A268">
        <v>266</v>
      </c>
      <c r="B268">
        <v>4226</v>
      </c>
      <c r="C268" t="b">
        <v>1</v>
      </c>
      <c r="D268">
        <v>8048</v>
      </c>
      <c r="E268">
        <v>8123</v>
      </c>
      <c r="F268">
        <v>5.6</v>
      </c>
      <c r="G268">
        <v>8.8000000000000007</v>
      </c>
      <c r="H268">
        <v>0.63636360000000003</v>
      </c>
      <c r="I268">
        <v>0.36363636999999999</v>
      </c>
      <c r="J268">
        <v>0.61111115999999999</v>
      </c>
    </row>
    <row r="269" spans="1:10" x14ac:dyDescent="0.3">
      <c r="A269">
        <v>267</v>
      </c>
      <c r="B269">
        <v>4242</v>
      </c>
      <c r="C269" t="b">
        <v>1</v>
      </c>
      <c r="D269">
        <v>8048</v>
      </c>
      <c r="E269">
        <v>8123</v>
      </c>
      <c r="F269">
        <v>5.2</v>
      </c>
      <c r="G269">
        <v>8.8000000000000007</v>
      </c>
      <c r="H269">
        <v>0.59090905999999999</v>
      </c>
      <c r="I269">
        <v>0.40909094000000001</v>
      </c>
      <c r="J269">
        <v>0.62857145000000003</v>
      </c>
    </row>
    <row r="270" spans="1:10" x14ac:dyDescent="0.3">
      <c r="A270">
        <v>268</v>
      </c>
      <c r="B270">
        <v>4258</v>
      </c>
      <c r="C270" t="b">
        <v>1</v>
      </c>
      <c r="D270">
        <v>8042</v>
      </c>
      <c r="E270">
        <v>8117</v>
      </c>
      <c r="F270">
        <v>4.8</v>
      </c>
      <c r="G270">
        <v>8.4</v>
      </c>
      <c r="H270">
        <v>0.57142859999999995</v>
      </c>
      <c r="I270">
        <v>0.42857137000000001</v>
      </c>
      <c r="J270">
        <v>0.63636360000000003</v>
      </c>
    </row>
    <row r="271" spans="1:10" x14ac:dyDescent="0.3">
      <c r="A271">
        <v>269</v>
      </c>
      <c r="B271">
        <v>4274</v>
      </c>
      <c r="C271" t="b">
        <v>1</v>
      </c>
      <c r="D271">
        <v>8048</v>
      </c>
      <c r="E271">
        <v>8117</v>
      </c>
      <c r="F271">
        <v>4.8</v>
      </c>
      <c r="G271">
        <v>8</v>
      </c>
      <c r="H271">
        <v>0.6</v>
      </c>
      <c r="I271">
        <v>0.39999997999999998</v>
      </c>
      <c r="J271">
        <v>0.625</v>
      </c>
    </row>
    <row r="272" spans="1:10" x14ac:dyDescent="0.3">
      <c r="A272">
        <v>270</v>
      </c>
      <c r="B272">
        <v>4290</v>
      </c>
      <c r="C272" t="b">
        <v>1</v>
      </c>
      <c r="D272">
        <v>8048</v>
      </c>
      <c r="E272">
        <v>8123</v>
      </c>
      <c r="F272">
        <v>4.8</v>
      </c>
      <c r="G272">
        <v>8</v>
      </c>
      <c r="H272">
        <v>0.6</v>
      </c>
      <c r="I272">
        <v>0.39999997999999998</v>
      </c>
      <c r="J272">
        <v>0.625</v>
      </c>
    </row>
    <row r="273" spans="1:10" x14ac:dyDescent="0.3">
      <c r="A273">
        <v>271</v>
      </c>
      <c r="B273">
        <v>4306</v>
      </c>
      <c r="C273" t="b">
        <v>1</v>
      </c>
      <c r="D273">
        <v>8048</v>
      </c>
      <c r="E273">
        <v>8123</v>
      </c>
      <c r="F273">
        <v>4.8</v>
      </c>
      <c r="G273">
        <v>7.6</v>
      </c>
      <c r="H273">
        <v>0.631579</v>
      </c>
      <c r="I273">
        <v>0.36842101999999999</v>
      </c>
      <c r="J273">
        <v>0.61290323999999996</v>
      </c>
    </row>
    <row r="274" spans="1:10" x14ac:dyDescent="0.3">
      <c r="A274">
        <v>272</v>
      </c>
      <c r="B274">
        <v>4321</v>
      </c>
      <c r="C274" t="b">
        <v>1</v>
      </c>
      <c r="D274">
        <v>8042</v>
      </c>
      <c r="E274">
        <v>8129</v>
      </c>
      <c r="F274">
        <v>4.8</v>
      </c>
      <c r="G274">
        <v>7.6</v>
      </c>
      <c r="H274">
        <v>0.631579</v>
      </c>
      <c r="I274">
        <v>0.36842101999999999</v>
      </c>
      <c r="J274">
        <v>0.61290323999999996</v>
      </c>
    </row>
    <row r="275" spans="1:10" x14ac:dyDescent="0.3">
      <c r="A275">
        <v>273</v>
      </c>
      <c r="B275">
        <v>4337</v>
      </c>
      <c r="C275" t="b">
        <v>1</v>
      </c>
      <c r="D275">
        <v>8048</v>
      </c>
      <c r="E275">
        <v>8123</v>
      </c>
      <c r="F275">
        <v>5.2</v>
      </c>
      <c r="G275">
        <v>7.2</v>
      </c>
      <c r="H275">
        <v>0.72222220000000004</v>
      </c>
      <c r="I275">
        <v>0.27777780000000002</v>
      </c>
      <c r="J275">
        <v>0.58064514</v>
      </c>
    </row>
    <row r="276" spans="1:10" x14ac:dyDescent="0.3">
      <c r="A276">
        <v>274</v>
      </c>
      <c r="B276">
        <v>4353</v>
      </c>
      <c r="C276" t="b">
        <v>1</v>
      </c>
      <c r="D276">
        <v>8048</v>
      </c>
      <c r="E276">
        <v>8123</v>
      </c>
      <c r="F276">
        <v>5.6</v>
      </c>
      <c r="G276">
        <v>7.2</v>
      </c>
      <c r="H276">
        <v>0.77777779999999996</v>
      </c>
      <c r="I276">
        <v>0.22222221</v>
      </c>
      <c r="J276">
        <v>0.5625</v>
      </c>
    </row>
    <row r="277" spans="1:10" x14ac:dyDescent="0.3">
      <c r="A277">
        <v>275</v>
      </c>
      <c r="B277">
        <v>4369</v>
      </c>
      <c r="C277" t="b">
        <v>1</v>
      </c>
      <c r="D277">
        <v>8048</v>
      </c>
      <c r="E277">
        <v>8129</v>
      </c>
      <c r="F277">
        <v>6</v>
      </c>
      <c r="G277">
        <v>7.2</v>
      </c>
      <c r="H277">
        <v>0.8333334</v>
      </c>
      <c r="I277">
        <v>0.16666664</v>
      </c>
      <c r="J277">
        <v>0.54545456000000003</v>
      </c>
    </row>
    <row r="278" spans="1:10" x14ac:dyDescent="0.3">
      <c r="A278">
        <v>276</v>
      </c>
      <c r="B278">
        <v>4385</v>
      </c>
      <c r="C278" t="b">
        <v>1</v>
      </c>
      <c r="D278">
        <v>8048</v>
      </c>
      <c r="E278">
        <v>8123</v>
      </c>
      <c r="F278">
        <v>6.4</v>
      </c>
      <c r="G278">
        <v>7.2</v>
      </c>
      <c r="H278">
        <v>0.88888895999999995</v>
      </c>
      <c r="I278">
        <v>0.111111075</v>
      </c>
      <c r="J278">
        <v>0.52941172999999997</v>
      </c>
    </row>
    <row r="279" spans="1:10" x14ac:dyDescent="0.3">
      <c r="A279">
        <v>277</v>
      </c>
      <c r="B279">
        <v>4400</v>
      </c>
      <c r="C279" t="b">
        <v>1</v>
      </c>
      <c r="D279">
        <v>8042</v>
      </c>
      <c r="E279">
        <v>8129</v>
      </c>
      <c r="F279">
        <v>6.4</v>
      </c>
      <c r="G279">
        <v>7.2</v>
      </c>
      <c r="H279">
        <v>0.88888895999999995</v>
      </c>
      <c r="I279">
        <v>0.111111075</v>
      </c>
      <c r="J279">
        <v>0.52941172999999997</v>
      </c>
    </row>
    <row r="280" spans="1:10" x14ac:dyDescent="0.3">
      <c r="A280">
        <v>278</v>
      </c>
      <c r="B280">
        <v>4416</v>
      </c>
      <c r="C280" t="b">
        <v>1</v>
      </c>
      <c r="D280">
        <v>8048</v>
      </c>
      <c r="E280">
        <v>8129</v>
      </c>
      <c r="F280">
        <v>6.4</v>
      </c>
      <c r="G280">
        <v>7.6</v>
      </c>
      <c r="H280">
        <v>0.84210527000000002</v>
      </c>
      <c r="I280">
        <v>0.15789471999999999</v>
      </c>
      <c r="J280">
        <v>0.54285709999999998</v>
      </c>
    </row>
    <row r="281" spans="1:10" x14ac:dyDescent="0.3">
      <c r="A281">
        <v>279</v>
      </c>
      <c r="B281">
        <v>4432</v>
      </c>
      <c r="C281" t="b">
        <v>1</v>
      </c>
      <c r="D281">
        <v>8048</v>
      </c>
      <c r="E281">
        <v>8129</v>
      </c>
      <c r="F281">
        <v>6.4</v>
      </c>
      <c r="G281">
        <v>8</v>
      </c>
      <c r="H281">
        <v>0.8</v>
      </c>
      <c r="I281">
        <v>0.19999998999999999</v>
      </c>
      <c r="J281">
        <v>0.55555560000000004</v>
      </c>
    </row>
    <row r="282" spans="1:10" x14ac:dyDescent="0.3">
      <c r="A282">
        <v>280</v>
      </c>
      <c r="B282">
        <v>4448</v>
      </c>
      <c r="C282" t="b">
        <v>1</v>
      </c>
      <c r="D282">
        <v>8048</v>
      </c>
      <c r="E282">
        <v>8117</v>
      </c>
      <c r="F282">
        <v>6.8</v>
      </c>
      <c r="G282">
        <v>8.4</v>
      </c>
      <c r="H282">
        <v>0.80952389999999996</v>
      </c>
      <c r="I282">
        <v>0.19047612999999999</v>
      </c>
      <c r="J282">
        <v>0.55263156000000002</v>
      </c>
    </row>
    <row r="283" spans="1:10" x14ac:dyDescent="0.3">
      <c r="A283">
        <v>281</v>
      </c>
      <c r="B283">
        <v>4464</v>
      </c>
      <c r="C283" t="b">
        <v>1</v>
      </c>
      <c r="D283">
        <v>8048</v>
      </c>
      <c r="E283">
        <v>8123</v>
      </c>
      <c r="F283">
        <v>7.2</v>
      </c>
      <c r="G283">
        <v>8.8000000000000007</v>
      </c>
      <c r="H283">
        <v>0.81818175000000004</v>
      </c>
      <c r="I283">
        <v>0.18181822</v>
      </c>
      <c r="J283">
        <v>0.55000000000000004</v>
      </c>
    </row>
    <row r="284" spans="1:10" x14ac:dyDescent="0.3">
      <c r="A284">
        <v>282</v>
      </c>
      <c r="B284">
        <v>4480</v>
      </c>
      <c r="C284" t="b">
        <v>1</v>
      </c>
      <c r="D284">
        <v>8048</v>
      </c>
      <c r="E284">
        <v>8134</v>
      </c>
      <c r="F284">
        <v>7.6</v>
      </c>
      <c r="G284">
        <v>9.1999999999999993</v>
      </c>
      <c r="H284">
        <v>0.82608694000000005</v>
      </c>
      <c r="I284">
        <v>0.17391303</v>
      </c>
      <c r="J284">
        <v>0.54761903999999995</v>
      </c>
    </row>
    <row r="285" spans="1:10" x14ac:dyDescent="0.3">
      <c r="A285">
        <v>283</v>
      </c>
      <c r="B285">
        <v>4496</v>
      </c>
      <c r="C285" t="b">
        <v>1</v>
      </c>
      <c r="D285">
        <v>8048</v>
      </c>
      <c r="E285">
        <v>8117</v>
      </c>
      <c r="F285">
        <v>8</v>
      </c>
      <c r="G285">
        <v>9.6</v>
      </c>
      <c r="H285">
        <v>0.83333330000000005</v>
      </c>
      <c r="I285">
        <v>0.1666667</v>
      </c>
      <c r="J285">
        <v>0.54545456000000003</v>
      </c>
    </row>
    <row r="286" spans="1:10" x14ac:dyDescent="0.3">
      <c r="A286">
        <v>284</v>
      </c>
      <c r="B286">
        <v>4512</v>
      </c>
      <c r="C286" t="b">
        <v>1</v>
      </c>
      <c r="D286">
        <v>8042</v>
      </c>
      <c r="E286">
        <v>8117</v>
      </c>
      <c r="F286">
        <v>8</v>
      </c>
      <c r="G286">
        <v>9.6</v>
      </c>
      <c r="H286">
        <v>0.83333330000000005</v>
      </c>
      <c r="I286">
        <v>0.1666667</v>
      </c>
      <c r="J286">
        <v>0.54545456000000003</v>
      </c>
    </row>
    <row r="287" spans="1:10" x14ac:dyDescent="0.3">
      <c r="A287">
        <v>285</v>
      </c>
      <c r="B287">
        <v>4527</v>
      </c>
      <c r="C287" t="b">
        <v>1</v>
      </c>
      <c r="D287">
        <v>8048</v>
      </c>
      <c r="E287">
        <v>8117</v>
      </c>
      <c r="F287">
        <v>8</v>
      </c>
      <c r="G287">
        <v>9.1999999999999993</v>
      </c>
      <c r="H287">
        <v>0.86956524999999996</v>
      </c>
      <c r="I287">
        <v>0.13043477000000001</v>
      </c>
      <c r="J287">
        <v>0.53488369999999996</v>
      </c>
    </row>
    <row r="288" spans="1:10" x14ac:dyDescent="0.3">
      <c r="A288">
        <v>286</v>
      </c>
      <c r="B288">
        <v>4544</v>
      </c>
      <c r="C288" t="b">
        <v>1</v>
      </c>
      <c r="D288">
        <v>8048</v>
      </c>
      <c r="E288">
        <v>8117</v>
      </c>
      <c r="F288">
        <v>8</v>
      </c>
      <c r="G288">
        <v>8.8000000000000007</v>
      </c>
      <c r="H288">
        <v>0.90909090000000004</v>
      </c>
      <c r="I288">
        <v>9.0909110000000001E-2</v>
      </c>
      <c r="J288">
        <v>0.52380954999999996</v>
      </c>
    </row>
    <row r="289" spans="1:10" x14ac:dyDescent="0.3">
      <c r="A289">
        <v>287</v>
      </c>
      <c r="B289">
        <v>4560</v>
      </c>
      <c r="C289" t="b">
        <v>1</v>
      </c>
      <c r="D289">
        <v>8042</v>
      </c>
      <c r="E289">
        <v>8129</v>
      </c>
      <c r="F289">
        <v>8</v>
      </c>
      <c r="G289">
        <v>8.4</v>
      </c>
      <c r="H289">
        <v>0.95238100000000003</v>
      </c>
      <c r="I289">
        <v>4.7619003999999999E-2</v>
      </c>
      <c r="J289">
        <v>0.51219510000000001</v>
      </c>
    </row>
    <row r="290" spans="1:10" x14ac:dyDescent="0.3">
      <c r="A290">
        <v>288</v>
      </c>
      <c r="B290">
        <v>4575</v>
      </c>
      <c r="C290" t="b">
        <v>1</v>
      </c>
      <c r="D290">
        <v>8042</v>
      </c>
      <c r="E290">
        <v>8117</v>
      </c>
      <c r="F290">
        <v>7.6</v>
      </c>
      <c r="G290">
        <v>8</v>
      </c>
      <c r="H290">
        <v>0.95</v>
      </c>
      <c r="I290">
        <v>5.0000012000000003E-2</v>
      </c>
      <c r="J290">
        <v>0.51282050000000001</v>
      </c>
    </row>
    <row r="291" spans="1:10" x14ac:dyDescent="0.3">
      <c r="A291">
        <v>289</v>
      </c>
      <c r="B291">
        <v>4591</v>
      </c>
      <c r="C291" t="b">
        <v>1</v>
      </c>
      <c r="D291">
        <v>8042</v>
      </c>
      <c r="E291">
        <v>8123</v>
      </c>
      <c r="F291">
        <v>7.2</v>
      </c>
      <c r="G291">
        <v>7.6</v>
      </c>
      <c r="H291">
        <v>0.9473684</v>
      </c>
      <c r="I291">
        <v>5.2631589999999999E-2</v>
      </c>
      <c r="J291">
        <v>0.51351349999999996</v>
      </c>
    </row>
    <row r="292" spans="1:10" x14ac:dyDescent="0.3">
      <c r="A292">
        <v>290</v>
      </c>
      <c r="B292">
        <v>4607</v>
      </c>
      <c r="C292" t="b">
        <v>1</v>
      </c>
      <c r="D292">
        <v>8048</v>
      </c>
      <c r="E292">
        <v>8117</v>
      </c>
      <c r="F292">
        <v>6.8</v>
      </c>
      <c r="G292">
        <v>7.2</v>
      </c>
      <c r="H292">
        <v>0.94444450000000002</v>
      </c>
      <c r="I292">
        <v>5.5555503999999999E-2</v>
      </c>
      <c r="J292">
        <v>0.51428569999999996</v>
      </c>
    </row>
    <row r="293" spans="1:10" x14ac:dyDescent="0.3">
      <c r="A293">
        <v>291</v>
      </c>
      <c r="B293">
        <v>4623</v>
      </c>
      <c r="C293" t="b">
        <v>1</v>
      </c>
      <c r="D293">
        <v>8048</v>
      </c>
      <c r="E293">
        <v>8129</v>
      </c>
      <c r="F293">
        <v>6.4</v>
      </c>
      <c r="G293">
        <v>7.2</v>
      </c>
      <c r="H293">
        <v>0.88888895999999995</v>
      </c>
      <c r="I293">
        <v>0.111111075</v>
      </c>
      <c r="J293">
        <v>0.52941172999999997</v>
      </c>
    </row>
    <row r="294" spans="1:10" x14ac:dyDescent="0.3">
      <c r="A294">
        <v>292</v>
      </c>
      <c r="B294">
        <v>4639</v>
      </c>
      <c r="C294" t="b">
        <v>1</v>
      </c>
      <c r="D294">
        <v>8042</v>
      </c>
      <c r="E294">
        <v>8117</v>
      </c>
      <c r="F294">
        <v>6</v>
      </c>
      <c r="G294">
        <v>6.8</v>
      </c>
      <c r="H294">
        <v>0.8823529</v>
      </c>
      <c r="I294">
        <v>0.11764708</v>
      </c>
      <c r="J294">
        <v>0.53125</v>
      </c>
    </row>
    <row r="295" spans="1:10" x14ac:dyDescent="0.3">
      <c r="A295">
        <v>293</v>
      </c>
      <c r="B295">
        <v>4655</v>
      </c>
      <c r="C295" t="b">
        <v>1</v>
      </c>
      <c r="D295">
        <v>8048</v>
      </c>
      <c r="E295">
        <v>8117</v>
      </c>
      <c r="F295">
        <v>6</v>
      </c>
      <c r="G295">
        <v>6</v>
      </c>
      <c r="H295">
        <v>1</v>
      </c>
      <c r="I295">
        <v>0</v>
      </c>
      <c r="J295">
        <v>0.5</v>
      </c>
    </row>
    <row r="296" spans="1:10" x14ac:dyDescent="0.3">
      <c r="A296">
        <v>294</v>
      </c>
      <c r="B296">
        <v>4670</v>
      </c>
      <c r="C296" t="b">
        <v>1</v>
      </c>
      <c r="D296">
        <v>8042</v>
      </c>
      <c r="E296">
        <v>8117</v>
      </c>
      <c r="F296">
        <v>6</v>
      </c>
      <c r="G296">
        <v>5.2</v>
      </c>
      <c r="H296">
        <v>1.1538461</v>
      </c>
      <c r="I296">
        <v>-0.15384618999999999</v>
      </c>
      <c r="J296">
        <v>0.46428570000000002</v>
      </c>
    </row>
    <row r="297" spans="1:10" x14ac:dyDescent="0.3">
      <c r="A297">
        <v>295</v>
      </c>
      <c r="B297">
        <v>4686</v>
      </c>
      <c r="C297" t="b">
        <v>1</v>
      </c>
      <c r="D297">
        <v>8042</v>
      </c>
      <c r="E297">
        <v>8123</v>
      </c>
      <c r="F297">
        <v>5.6</v>
      </c>
      <c r="G297">
        <v>4.4000000000000004</v>
      </c>
      <c r="H297">
        <v>1.2727272999999999</v>
      </c>
      <c r="I297">
        <v>-0.27272721999999999</v>
      </c>
      <c r="J297">
        <v>0.44</v>
      </c>
    </row>
    <row r="298" spans="1:10" x14ac:dyDescent="0.3">
      <c r="A298">
        <v>296</v>
      </c>
      <c r="B298">
        <v>4701</v>
      </c>
      <c r="C298" t="b">
        <v>1</v>
      </c>
      <c r="D298">
        <v>8048</v>
      </c>
      <c r="E298">
        <v>8123</v>
      </c>
      <c r="F298">
        <v>5.2</v>
      </c>
      <c r="G298">
        <v>3.6</v>
      </c>
      <c r="H298">
        <v>1.4444444000000001</v>
      </c>
      <c r="I298">
        <v>-0.44444442000000001</v>
      </c>
      <c r="J298">
        <v>0.40909094000000001</v>
      </c>
    </row>
    <row r="299" spans="1:10" x14ac:dyDescent="0.3">
      <c r="A299">
        <v>297</v>
      </c>
      <c r="B299">
        <v>4717</v>
      </c>
      <c r="C299" t="b">
        <v>1</v>
      </c>
      <c r="D299">
        <v>8042</v>
      </c>
      <c r="E299">
        <v>8123</v>
      </c>
      <c r="F299">
        <v>4.8</v>
      </c>
      <c r="G299">
        <v>3.2</v>
      </c>
      <c r="H299">
        <v>1.5</v>
      </c>
      <c r="I299">
        <v>-0.50000005999999997</v>
      </c>
      <c r="J299">
        <v>0.4</v>
      </c>
    </row>
    <row r="300" spans="1:10" x14ac:dyDescent="0.3">
      <c r="A300">
        <v>298</v>
      </c>
      <c r="B300">
        <v>4733</v>
      </c>
      <c r="C300" t="b">
        <v>1</v>
      </c>
      <c r="D300">
        <v>8048</v>
      </c>
      <c r="E300">
        <v>8123</v>
      </c>
      <c r="F300">
        <v>4.4000000000000004</v>
      </c>
      <c r="G300">
        <v>3.2</v>
      </c>
      <c r="H300">
        <v>1.375</v>
      </c>
      <c r="I300">
        <v>-0.375</v>
      </c>
      <c r="J300">
        <v>0.4210526</v>
      </c>
    </row>
    <row r="301" spans="1:10" x14ac:dyDescent="0.3">
      <c r="A301">
        <v>299</v>
      </c>
      <c r="B301">
        <v>4749</v>
      </c>
      <c r="C301" t="b">
        <v>1</v>
      </c>
      <c r="D301">
        <v>8048</v>
      </c>
      <c r="E301">
        <v>8123</v>
      </c>
      <c r="F301">
        <v>4.4000000000000004</v>
      </c>
      <c r="G301">
        <v>3.6</v>
      </c>
      <c r="H301">
        <v>1.2222223000000001</v>
      </c>
      <c r="I301">
        <v>-0.22222227999999999</v>
      </c>
      <c r="J301">
        <v>0.45</v>
      </c>
    </row>
    <row r="302" spans="1:10" x14ac:dyDescent="0.3">
      <c r="A302">
        <v>300</v>
      </c>
      <c r="B302">
        <v>4765</v>
      </c>
      <c r="C302" t="b">
        <v>1</v>
      </c>
      <c r="D302">
        <v>8048</v>
      </c>
      <c r="E302">
        <v>8123</v>
      </c>
      <c r="F302">
        <v>4.4000000000000004</v>
      </c>
      <c r="G302">
        <v>4</v>
      </c>
      <c r="H302">
        <v>1.1000000000000001</v>
      </c>
      <c r="I302">
        <v>-0.10000002400000001</v>
      </c>
      <c r="J302">
        <v>0.47619050000000002</v>
      </c>
    </row>
    <row r="303" spans="1:10" x14ac:dyDescent="0.3">
      <c r="A303">
        <v>301</v>
      </c>
      <c r="B303">
        <v>4780</v>
      </c>
      <c r="C303" t="b">
        <v>1</v>
      </c>
      <c r="D303">
        <v>8048</v>
      </c>
      <c r="E303">
        <v>8123</v>
      </c>
      <c r="F303">
        <v>4.4000000000000004</v>
      </c>
      <c r="G303">
        <v>4.4000000000000004</v>
      </c>
      <c r="H303">
        <v>1</v>
      </c>
      <c r="I303">
        <v>0</v>
      </c>
      <c r="J303">
        <v>0.5</v>
      </c>
    </row>
    <row r="304" spans="1:10" x14ac:dyDescent="0.3">
      <c r="A304">
        <v>302</v>
      </c>
      <c r="B304">
        <v>4796</v>
      </c>
      <c r="C304" t="b">
        <v>1</v>
      </c>
      <c r="D304">
        <v>8042</v>
      </c>
      <c r="E304">
        <v>8123</v>
      </c>
      <c r="F304">
        <v>4.4000000000000004</v>
      </c>
      <c r="G304">
        <v>4.8</v>
      </c>
      <c r="H304">
        <v>0.9166666</v>
      </c>
      <c r="I304">
        <v>8.333335E-2</v>
      </c>
      <c r="J304">
        <v>0.52173910000000001</v>
      </c>
    </row>
    <row r="305" spans="1:10" x14ac:dyDescent="0.3">
      <c r="A305">
        <v>303</v>
      </c>
      <c r="B305">
        <v>4812</v>
      </c>
      <c r="C305" t="b">
        <v>1</v>
      </c>
      <c r="D305">
        <v>8042</v>
      </c>
      <c r="E305">
        <v>8123</v>
      </c>
      <c r="F305">
        <v>4.8</v>
      </c>
      <c r="G305">
        <v>5.2</v>
      </c>
      <c r="H305">
        <v>0.92307700000000004</v>
      </c>
      <c r="I305">
        <v>7.6923005000000003E-2</v>
      </c>
      <c r="J305">
        <v>0.52</v>
      </c>
    </row>
    <row r="306" spans="1:10" x14ac:dyDescent="0.3">
      <c r="A306">
        <v>304</v>
      </c>
      <c r="B306">
        <v>4828</v>
      </c>
      <c r="C306" t="b">
        <v>1</v>
      </c>
      <c r="D306">
        <v>8042</v>
      </c>
      <c r="E306">
        <v>8123</v>
      </c>
      <c r="F306">
        <v>4.8</v>
      </c>
      <c r="G306">
        <v>5.6</v>
      </c>
      <c r="H306">
        <v>0.85714290000000004</v>
      </c>
      <c r="I306">
        <v>0.14285708999999999</v>
      </c>
      <c r="J306">
        <v>0.53846156999999994</v>
      </c>
    </row>
    <row r="307" spans="1:10" x14ac:dyDescent="0.3">
      <c r="A307">
        <v>305</v>
      </c>
      <c r="B307">
        <v>4844</v>
      </c>
      <c r="C307" t="b">
        <v>1</v>
      </c>
      <c r="D307">
        <v>8042</v>
      </c>
      <c r="E307">
        <v>8123</v>
      </c>
      <c r="F307">
        <v>4.8</v>
      </c>
      <c r="G307">
        <v>6</v>
      </c>
      <c r="H307">
        <v>0.8</v>
      </c>
      <c r="I307">
        <v>0.19999997</v>
      </c>
      <c r="J307">
        <v>0.55555549999999998</v>
      </c>
    </row>
    <row r="308" spans="1:10" x14ac:dyDescent="0.3">
      <c r="A308">
        <v>306</v>
      </c>
      <c r="B308">
        <v>4860</v>
      </c>
      <c r="C308" t="b">
        <v>1</v>
      </c>
      <c r="D308">
        <v>8042</v>
      </c>
      <c r="E308">
        <v>8123</v>
      </c>
      <c r="F308">
        <v>4.8</v>
      </c>
      <c r="G308">
        <v>6</v>
      </c>
      <c r="H308">
        <v>0.8</v>
      </c>
      <c r="I308">
        <v>0.19999997</v>
      </c>
      <c r="J308">
        <v>0.55555549999999998</v>
      </c>
    </row>
    <row r="309" spans="1:10" x14ac:dyDescent="0.3">
      <c r="A309">
        <v>307</v>
      </c>
      <c r="B309">
        <v>4876</v>
      </c>
      <c r="C309" t="b">
        <v>1</v>
      </c>
      <c r="D309">
        <v>8037</v>
      </c>
      <c r="E309">
        <v>8123</v>
      </c>
      <c r="F309">
        <v>4.8</v>
      </c>
      <c r="G309">
        <v>6.4</v>
      </c>
      <c r="H309">
        <v>0.75</v>
      </c>
      <c r="I309">
        <v>0.24999999000000001</v>
      </c>
      <c r="J309">
        <v>0.57142853999999998</v>
      </c>
    </row>
    <row r="310" spans="1:10" x14ac:dyDescent="0.3">
      <c r="A310">
        <v>308</v>
      </c>
      <c r="B310">
        <v>4891</v>
      </c>
      <c r="C310" t="b">
        <v>1</v>
      </c>
      <c r="D310">
        <v>8042</v>
      </c>
      <c r="E310">
        <v>8117</v>
      </c>
      <c r="F310">
        <v>4.4000000000000004</v>
      </c>
      <c r="G310">
        <v>6.8</v>
      </c>
      <c r="H310">
        <v>0.64705884000000002</v>
      </c>
      <c r="I310">
        <v>0.35294120000000001</v>
      </c>
      <c r="J310">
        <v>0.60714279999999998</v>
      </c>
    </row>
    <row r="311" spans="1:10" x14ac:dyDescent="0.3">
      <c r="A311">
        <v>309</v>
      </c>
      <c r="B311">
        <v>4907</v>
      </c>
      <c r="C311" t="b">
        <v>1</v>
      </c>
      <c r="D311">
        <v>8042</v>
      </c>
      <c r="E311">
        <v>8123</v>
      </c>
      <c r="F311">
        <v>4</v>
      </c>
      <c r="G311">
        <v>7.2</v>
      </c>
      <c r="H311">
        <v>0.55555560000000004</v>
      </c>
      <c r="I311">
        <v>0.44444442000000001</v>
      </c>
      <c r="J311">
        <v>0.64285713</v>
      </c>
    </row>
    <row r="312" spans="1:10" x14ac:dyDescent="0.3">
      <c r="A312">
        <v>310</v>
      </c>
      <c r="B312">
        <v>4923</v>
      </c>
      <c r="C312" t="b">
        <v>1</v>
      </c>
      <c r="D312">
        <v>8042</v>
      </c>
      <c r="E312">
        <v>8123</v>
      </c>
      <c r="F312">
        <v>4</v>
      </c>
      <c r="G312">
        <v>7.6</v>
      </c>
      <c r="H312">
        <v>0.5263158</v>
      </c>
      <c r="I312">
        <v>0.4736842</v>
      </c>
      <c r="J312">
        <v>0.65517239999999999</v>
      </c>
    </row>
    <row r="313" spans="1:10" x14ac:dyDescent="0.3">
      <c r="A313">
        <v>311</v>
      </c>
      <c r="B313">
        <v>4939</v>
      </c>
      <c r="C313" t="b">
        <v>1</v>
      </c>
      <c r="D313">
        <v>8048</v>
      </c>
      <c r="E313">
        <v>8117</v>
      </c>
      <c r="F313">
        <v>4</v>
      </c>
      <c r="G313">
        <v>8</v>
      </c>
      <c r="H313">
        <v>0.5</v>
      </c>
      <c r="I313">
        <v>0.5</v>
      </c>
      <c r="J313">
        <v>0.66666669999999995</v>
      </c>
    </row>
    <row r="314" spans="1:10" x14ac:dyDescent="0.3">
      <c r="A314">
        <v>312</v>
      </c>
      <c r="B314">
        <v>4954</v>
      </c>
      <c r="C314" t="b">
        <v>1</v>
      </c>
      <c r="D314">
        <v>8048</v>
      </c>
      <c r="E314">
        <v>8117</v>
      </c>
      <c r="F314">
        <v>4</v>
      </c>
      <c r="G314">
        <v>7.6</v>
      </c>
      <c r="H314">
        <v>0.5263158</v>
      </c>
      <c r="I314">
        <v>0.4736842</v>
      </c>
      <c r="J314">
        <v>0.65517239999999999</v>
      </c>
    </row>
    <row r="315" spans="1:10" x14ac:dyDescent="0.3">
      <c r="A315">
        <v>313</v>
      </c>
      <c r="B315">
        <v>4971</v>
      </c>
      <c r="C315" t="b">
        <v>1</v>
      </c>
      <c r="D315">
        <v>8048</v>
      </c>
      <c r="E315">
        <v>8117</v>
      </c>
      <c r="F315">
        <v>4.4000000000000004</v>
      </c>
      <c r="G315">
        <v>7.2</v>
      </c>
      <c r="H315">
        <v>0.61111115999999999</v>
      </c>
      <c r="I315">
        <v>0.38888887</v>
      </c>
      <c r="J315">
        <v>0.62068962999999999</v>
      </c>
    </row>
    <row r="316" spans="1:10" x14ac:dyDescent="0.3">
      <c r="A316">
        <v>314</v>
      </c>
      <c r="B316">
        <v>4986</v>
      </c>
      <c r="C316" t="b">
        <v>1</v>
      </c>
      <c r="D316">
        <v>8042</v>
      </c>
      <c r="E316">
        <v>8123</v>
      </c>
      <c r="F316">
        <v>4.4000000000000004</v>
      </c>
      <c r="G316">
        <v>6.8</v>
      </c>
      <c r="H316">
        <v>0.64705884000000002</v>
      </c>
      <c r="I316">
        <v>0.35294120000000001</v>
      </c>
      <c r="J316">
        <v>0.60714279999999998</v>
      </c>
    </row>
    <row r="317" spans="1:10" x14ac:dyDescent="0.3">
      <c r="A317">
        <v>315</v>
      </c>
      <c r="B317">
        <v>5002</v>
      </c>
      <c r="C317" t="b">
        <v>1</v>
      </c>
      <c r="D317">
        <v>8054</v>
      </c>
      <c r="E317">
        <v>8123</v>
      </c>
      <c r="F317">
        <v>4.4000000000000004</v>
      </c>
      <c r="G317">
        <v>6.4</v>
      </c>
      <c r="H317">
        <v>0.6875</v>
      </c>
      <c r="I317">
        <v>0.3125</v>
      </c>
      <c r="J317">
        <v>0.59259260000000002</v>
      </c>
    </row>
    <row r="318" spans="1:10" x14ac:dyDescent="0.3">
      <c r="A318">
        <v>316</v>
      </c>
      <c r="B318">
        <v>5018</v>
      </c>
      <c r="C318" t="b">
        <v>1</v>
      </c>
      <c r="D318">
        <v>8048</v>
      </c>
      <c r="E318">
        <v>8129</v>
      </c>
      <c r="F318">
        <v>4.4000000000000004</v>
      </c>
      <c r="G318">
        <v>6.4</v>
      </c>
      <c r="H318">
        <v>0.6875</v>
      </c>
      <c r="I318">
        <v>0.3125</v>
      </c>
      <c r="J318">
        <v>0.59259260000000002</v>
      </c>
    </row>
    <row r="319" spans="1:10" x14ac:dyDescent="0.3">
      <c r="A319">
        <v>317</v>
      </c>
      <c r="B319">
        <v>5034</v>
      </c>
      <c r="C319" t="b">
        <v>1</v>
      </c>
      <c r="D319">
        <v>8048</v>
      </c>
      <c r="E319">
        <v>8129</v>
      </c>
      <c r="F319">
        <v>4.4000000000000004</v>
      </c>
      <c r="G319">
        <v>6.4</v>
      </c>
      <c r="H319">
        <v>0.6875</v>
      </c>
      <c r="I319">
        <v>0.3125</v>
      </c>
      <c r="J319">
        <v>0.59259260000000002</v>
      </c>
    </row>
    <row r="320" spans="1:10" x14ac:dyDescent="0.3">
      <c r="A320">
        <v>318</v>
      </c>
      <c r="B320">
        <v>5050</v>
      </c>
      <c r="C320" t="b">
        <v>1</v>
      </c>
      <c r="D320">
        <v>8048</v>
      </c>
      <c r="E320">
        <v>8123</v>
      </c>
      <c r="F320">
        <v>4.4000000000000004</v>
      </c>
      <c r="G320">
        <v>6.4</v>
      </c>
      <c r="H320">
        <v>0.6875</v>
      </c>
      <c r="I320">
        <v>0.3125</v>
      </c>
      <c r="J320">
        <v>0.59259260000000002</v>
      </c>
    </row>
    <row r="321" spans="1:10" x14ac:dyDescent="0.3">
      <c r="A321">
        <v>319</v>
      </c>
      <c r="B321">
        <v>5066</v>
      </c>
      <c r="C321" t="b">
        <v>1</v>
      </c>
      <c r="D321">
        <v>8048</v>
      </c>
      <c r="E321">
        <v>8123</v>
      </c>
      <c r="F321">
        <v>4.8</v>
      </c>
      <c r="G321">
        <v>6.4</v>
      </c>
      <c r="H321">
        <v>0.75</v>
      </c>
      <c r="I321">
        <v>0.24999999000000001</v>
      </c>
      <c r="J321">
        <v>0.57142853999999998</v>
      </c>
    </row>
    <row r="322" spans="1:10" x14ac:dyDescent="0.3">
      <c r="A322">
        <v>320</v>
      </c>
      <c r="B322">
        <v>5082</v>
      </c>
      <c r="C322" t="b">
        <v>1</v>
      </c>
      <c r="D322">
        <v>8048</v>
      </c>
      <c r="E322">
        <v>8129</v>
      </c>
      <c r="F322">
        <v>5.2</v>
      </c>
      <c r="G322">
        <v>6.8</v>
      </c>
      <c r="H322">
        <v>0.76470583999999997</v>
      </c>
      <c r="I322">
        <v>0.23529416</v>
      </c>
      <c r="J322">
        <v>0.56666665999999999</v>
      </c>
    </row>
    <row r="323" spans="1:10" x14ac:dyDescent="0.3">
      <c r="A323">
        <v>321</v>
      </c>
      <c r="B323">
        <v>5097</v>
      </c>
      <c r="C323" t="b">
        <v>1</v>
      </c>
      <c r="D323">
        <v>8037</v>
      </c>
      <c r="E323">
        <v>8123</v>
      </c>
      <c r="F323">
        <v>5.6</v>
      </c>
      <c r="G323">
        <v>6.8</v>
      </c>
      <c r="H323">
        <v>0.82352935999999999</v>
      </c>
      <c r="I323">
        <v>0.17647061999999999</v>
      </c>
      <c r="J323">
        <v>0.54838710000000002</v>
      </c>
    </row>
    <row r="324" spans="1:10" x14ac:dyDescent="0.3">
      <c r="A324">
        <v>322</v>
      </c>
      <c r="B324">
        <v>5114</v>
      </c>
      <c r="C324" t="b">
        <v>1</v>
      </c>
      <c r="D324">
        <v>8037</v>
      </c>
      <c r="E324">
        <v>8123</v>
      </c>
      <c r="F324">
        <v>6</v>
      </c>
      <c r="G324">
        <v>6.8</v>
      </c>
      <c r="H324">
        <v>0.8823529</v>
      </c>
      <c r="I324">
        <v>0.11764708</v>
      </c>
      <c r="J324">
        <v>0.53125</v>
      </c>
    </row>
    <row r="325" spans="1:10" x14ac:dyDescent="0.3">
      <c r="A325">
        <v>323</v>
      </c>
      <c r="B325">
        <v>5130</v>
      </c>
      <c r="C325" t="b">
        <v>1</v>
      </c>
      <c r="D325">
        <v>8037</v>
      </c>
      <c r="E325">
        <v>8123</v>
      </c>
      <c r="F325">
        <v>5.6666664999999998</v>
      </c>
      <c r="G325">
        <v>6.8</v>
      </c>
      <c r="H325">
        <v>0.83333330000000005</v>
      </c>
      <c r="I325">
        <v>0.16666671999999999</v>
      </c>
      <c r="J325">
        <v>0.54545456000000003</v>
      </c>
    </row>
    <row r="326" spans="1:10" x14ac:dyDescent="0.3">
      <c r="A326">
        <v>324</v>
      </c>
      <c r="B326">
        <v>5145</v>
      </c>
      <c r="C326" t="b">
        <v>1</v>
      </c>
      <c r="D326">
        <v>8037</v>
      </c>
      <c r="E326">
        <v>8123</v>
      </c>
      <c r="F326">
        <v>5.3333335000000002</v>
      </c>
      <c r="G326">
        <v>6.8</v>
      </c>
      <c r="H326">
        <v>0.78431373999999998</v>
      </c>
      <c r="I326">
        <v>0.21568628000000001</v>
      </c>
      <c r="J326">
        <v>0.56043960000000004</v>
      </c>
    </row>
    <row r="327" spans="1:10" x14ac:dyDescent="0.3">
      <c r="A327">
        <v>325</v>
      </c>
      <c r="B327">
        <v>5161</v>
      </c>
      <c r="C327" t="b">
        <v>1</v>
      </c>
      <c r="D327">
        <v>8037</v>
      </c>
      <c r="E327">
        <v>8123</v>
      </c>
      <c r="F327">
        <v>5</v>
      </c>
      <c r="G327">
        <v>6.8</v>
      </c>
      <c r="H327">
        <v>0.73529409999999995</v>
      </c>
      <c r="I327">
        <v>0.26470589999999999</v>
      </c>
      <c r="J327">
        <v>0.57627119999999998</v>
      </c>
    </row>
    <row r="328" spans="1:10" x14ac:dyDescent="0.3">
      <c r="A328">
        <v>326</v>
      </c>
      <c r="B328">
        <v>5177</v>
      </c>
      <c r="C328" t="b">
        <v>1</v>
      </c>
      <c r="D328">
        <v>8037</v>
      </c>
      <c r="E328">
        <v>8123</v>
      </c>
      <c r="F328">
        <v>4.6666664999999998</v>
      </c>
      <c r="G328">
        <v>6.8</v>
      </c>
      <c r="H328">
        <v>0.68627446999999997</v>
      </c>
      <c r="I328">
        <v>0.31372552999999997</v>
      </c>
      <c r="J328">
        <v>0.59302323999999995</v>
      </c>
    </row>
    <row r="329" spans="1:10" x14ac:dyDescent="0.3">
      <c r="A329">
        <v>327</v>
      </c>
      <c r="B329">
        <v>5193</v>
      </c>
      <c r="C329" t="b">
        <v>1</v>
      </c>
      <c r="D329">
        <v>8042</v>
      </c>
      <c r="E329">
        <v>8123</v>
      </c>
      <c r="F329">
        <v>4.3333335000000002</v>
      </c>
      <c r="G329">
        <v>7.2</v>
      </c>
      <c r="H329">
        <v>0.6018519</v>
      </c>
      <c r="I329">
        <v>0.39814811999999999</v>
      </c>
      <c r="J329">
        <v>0.62427750000000004</v>
      </c>
    </row>
    <row r="330" spans="1:10" x14ac:dyDescent="0.3">
      <c r="A330">
        <v>328</v>
      </c>
      <c r="B330">
        <v>5209</v>
      </c>
      <c r="C330" t="b">
        <v>1</v>
      </c>
      <c r="D330">
        <v>8048</v>
      </c>
      <c r="E330">
        <v>8123</v>
      </c>
      <c r="F330">
        <v>3.6</v>
      </c>
      <c r="G330">
        <v>7.6</v>
      </c>
      <c r="H330">
        <v>0.4736842</v>
      </c>
      <c r="I330">
        <v>0.5263158</v>
      </c>
      <c r="J330">
        <v>0.67857140000000005</v>
      </c>
    </row>
    <row r="331" spans="1:10" x14ac:dyDescent="0.3">
      <c r="A331">
        <v>329</v>
      </c>
      <c r="B331">
        <v>5225</v>
      </c>
      <c r="C331" t="b">
        <v>1</v>
      </c>
      <c r="D331">
        <v>8048</v>
      </c>
      <c r="E331">
        <v>8129</v>
      </c>
      <c r="F331">
        <v>3.2</v>
      </c>
      <c r="G331">
        <v>8</v>
      </c>
      <c r="H331">
        <v>0.4</v>
      </c>
      <c r="I331">
        <v>0.6</v>
      </c>
      <c r="J331">
        <v>0.71428572999999995</v>
      </c>
    </row>
    <row r="332" spans="1:10" x14ac:dyDescent="0.3">
      <c r="A332">
        <v>330</v>
      </c>
      <c r="B332">
        <v>5240</v>
      </c>
      <c r="C332" t="b">
        <v>1</v>
      </c>
      <c r="D332">
        <v>8048</v>
      </c>
      <c r="E332">
        <v>8129</v>
      </c>
      <c r="F332">
        <v>3.2</v>
      </c>
      <c r="G332">
        <v>8.4</v>
      </c>
      <c r="H332">
        <v>0.38095242000000001</v>
      </c>
      <c r="I332">
        <v>0.61904764000000001</v>
      </c>
      <c r="J332">
        <v>0.72413795999999997</v>
      </c>
    </row>
    <row r="333" spans="1:10" x14ac:dyDescent="0.3">
      <c r="A333">
        <v>331</v>
      </c>
      <c r="B333">
        <v>5256</v>
      </c>
      <c r="C333" t="b">
        <v>1</v>
      </c>
      <c r="D333">
        <v>8048</v>
      </c>
      <c r="E333">
        <v>8129</v>
      </c>
      <c r="F333">
        <v>3.2</v>
      </c>
      <c r="G333">
        <v>8.8000000000000007</v>
      </c>
      <c r="H333">
        <v>0.36363636999999999</v>
      </c>
      <c r="I333">
        <v>0.63636369999999998</v>
      </c>
      <c r="J333">
        <v>0.73333334999999999</v>
      </c>
    </row>
    <row r="334" spans="1:10" x14ac:dyDescent="0.3">
      <c r="A334">
        <v>332</v>
      </c>
      <c r="B334">
        <v>5272</v>
      </c>
      <c r="C334" t="b">
        <v>1</v>
      </c>
      <c r="D334">
        <v>8048</v>
      </c>
      <c r="E334">
        <v>8129</v>
      </c>
      <c r="F334">
        <v>3.2</v>
      </c>
      <c r="G334">
        <v>9.1999999999999993</v>
      </c>
      <c r="H334">
        <v>0.34782610000000003</v>
      </c>
      <c r="I334">
        <v>0.65217393999999995</v>
      </c>
      <c r="J334">
        <v>0.74193549999999997</v>
      </c>
    </row>
    <row r="335" spans="1:10" x14ac:dyDescent="0.3">
      <c r="A335">
        <v>333</v>
      </c>
      <c r="B335">
        <v>5288</v>
      </c>
      <c r="C335" t="b">
        <v>1</v>
      </c>
      <c r="D335">
        <v>8048</v>
      </c>
      <c r="E335">
        <v>8134</v>
      </c>
      <c r="F335">
        <v>3.2</v>
      </c>
      <c r="G335">
        <v>9.6</v>
      </c>
      <c r="H335">
        <v>0.3333333</v>
      </c>
      <c r="I335">
        <v>0.66666669999999995</v>
      </c>
      <c r="J335">
        <v>0.75</v>
      </c>
    </row>
    <row r="336" spans="1:10" x14ac:dyDescent="0.3">
      <c r="A336">
        <v>334</v>
      </c>
      <c r="B336">
        <v>5304</v>
      </c>
      <c r="C336" t="b">
        <v>1</v>
      </c>
      <c r="D336">
        <v>8042</v>
      </c>
      <c r="E336">
        <v>8123</v>
      </c>
      <c r="F336">
        <v>3.2</v>
      </c>
      <c r="G336">
        <v>10</v>
      </c>
      <c r="H336">
        <v>0.32</v>
      </c>
      <c r="I336">
        <v>0.68</v>
      </c>
      <c r="J336">
        <v>0.75757574999999999</v>
      </c>
    </row>
    <row r="337" spans="1:10" x14ac:dyDescent="0.3">
      <c r="A337">
        <v>335</v>
      </c>
      <c r="B337">
        <v>5321</v>
      </c>
      <c r="C337" t="b">
        <v>1</v>
      </c>
      <c r="D337">
        <v>8042</v>
      </c>
      <c r="E337">
        <v>8123</v>
      </c>
      <c r="F337">
        <v>3.2</v>
      </c>
      <c r="G337">
        <v>10</v>
      </c>
      <c r="H337">
        <v>0.32</v>
      </c>
      <c r="I337">
        <v>0.68</v>
      </c>
      <c r="J337">
        <v>0.75757574999999999</v>
      </c>
    </row>
    <row r="338" spans="1:10" x14ac:dyDescent="0.3">
      <c r="A338">
        <v>336</v>
      </c>
      <c r="B338">
        <v>5336</v>
      </c>
      <c r="C338" t="b">
        <v>1</v>
      </c>
      <c r="D338">
        <v>8048</v>
      </c>
      <c r="E338">
        <v>8134</v>
      </c>
      <c r="F338">
        <v>3.2</v>
      </c>
      <c r="G338">
        <v>10.4</v>
      </c>
      <c r="H338">
        <v>0.30769232000000002</v>
      </c>
      <c r="I338">
        <v>0.69230769999999997</v>
      </c>
      <c r="J338">
        <v>0.76470590000000005</v>
      </c>
    </row>
    <row r="339" spans="1:10" x14ac:dyDescent="0.3">
      <c r="A339">
        <v>337</v>
      </c>
      <c r="B339">
        <v>5352</v>
      </c>
      <c r="C339" t="b">
        <v>1</v>
      </c>
      <c r="D339">
        <v>8048</v>
      </c>
      <c r="E339">
        <v>8123</v>
      </c>
      <c r="F339">
        <v>3.2</v>
      </c>
      <c r="G339">
        <v>10.4</v>
      </c>
      <c r="H339">
        <v>0.30769232000000002</v>
      </c>
      <c r="I339">
        <v>0.69230769999999997</v>
      </c>
      <c r="J339">
        <v>0.76470590000000005</v>
      </c>
    </row>
    <row r="340" spans="1:10" x14ac:dyDescent="0.3">
      <c r="A340">
        <v>338</v>
      </c>
      <c r="B340">
        <v>5368</v>
      </c>
      <c r="C340" t="b">
        <v>1</v>
      </c>
      <c r="D340">
        <v>8048</v>
      </c>
      <c r="E340">
        <v>8123</v>
      </c>
      <c r="F340">
        <v>3.9333334</v>
      </c>
      <c r="G340">
        <v>10.4</v>
      </c>
      <c r="H340">
        <v>0.37820514999999999</v>
      </c>
      <c r="I340">
        <v>0.62179490000000004</v>
      </c>
      <c r="J340">
        <v>0.72558140000000004</v>
      </c>
    </row>
    <row r="341" spans="1:10" x14ac:dyDescent="0.3">
      <c r="A341">
        <v>339</v>
      </c>
      <c r="B341">
        <v>5384</v>
      </c>
      <c r="C341" t="b">
        <v>1</v>
      </c>
      <c r="D341">
        <v>8042</v>
      </c>
      <c r="E341">
        <v>8129</v>
      </c>
      <c r="F341">
        <v>4.6666664999999998</v>
      </c>
      <c r="G341">
        <v>10.4</v>
      </c>
      <c r="H341">
        <v>0.44871794999999998</v>
      </c>
      <c r="I341">
        <v>0.55128204999999997</v>
      </c>
      <c r="J341">
        <v>0.69026553999999996</v>
      </c>
    </row>
    <row r="342" spans="1:10" x14ac:dyDescent="0.3">
      <c r="A342">
        <v>340</v>
      </c>
      <c r="B342">
        <v>5400</v>
      </c>
      <c r="C342" t="b">
        <v>1</v>
      </c>
      <c r="D342">
        <v>8042</v>
      </c>
      <c r="E342">
        <v>8117</v>
      </c>
      <c r="F342">
        <v>5.4</v>
      </c>
      <c r="G342">
        <v>10.4</v>
      </c>
      <c r="H342">
        <v>0.51923079999999999</v>
      </c>
      <c r="I342">
        <v>0.48076922</v>
      </c>
      <c r="J342">
        <v>0.65822786</v>
      </c>
    </row>
    <row r="343" spans="1:10" x14ac:dyDescent="0.3">
      <c r="A343">
        <v>341</v>
      </c>
      <c r="B343">
        <v>5416</v>
      </c>
      <c r="C343" t="b">
        <v>1</v>
      </c>
      <c r="D343">
        <v>8042</v>
      </c>
      <c r="E343">
        <v>8117</v>
      </c>
      <c r="F343">
        <v>5.733333</v>
      </c>
      <c r="G343">
        <v>10.4</v>
      </c>
      <c r="H343">
        <v>0.55128204999999997</v>
      </c>
      <c r="I343">
        <v>0.44871794999999998</v>
      </c>
      <c r="J343">
        <v>0.64462810000000004</v>
      </c>
    </row>
    <row r="344" spans="1:10" x14ac:dyDescent="0.3">
      <c r="A344">
        <v>342</v>
      </c>
      <c r="B344">
        <v>5431</v>
      </c>
      <c r="C344" t="b">
        <v>1</v>
      </c>
      <c r="D344">
        <v>8048</v>
      </c>
      <c r="E344">
        <v>8117</v>
      </c>
      <c r="F344">
        <v>6.0666665999999996</v>
      </c>
      <c r="G344">
        <v>10</v>
      </c>
      <c r="H344">
        <v>0.6066667</v>
      </c>
      <c r="I344">
        <v>0.39333335000000003</v>
      </c>
      <c r="J344">
        <v>0.62240666</v>
      </c>
    </row>
    <row r="345" spans="1:10" x14ac:dyDescent="0.3">
      <c r="A345">
        <v>343</v>
      </c>
      <c r="B345">
        <v>5447</v>
      </c>
      <c r="C345" t="b">
        <v>1</v>
      </c>
      <c r="D345">
        <v>8048</v>
      </c>
      <c r="E345">
        <v>8117</v>
      </c>
      <c r="F345">
        <v>6.4</v>
      </c>
      <c r="G345">
        <v>9.6</v>
      </c>
      <c r="H345">
        <v>0.6666666</v>
      </c>
      <c r="I345">
        <v>0.33333333999999998</v>
      </c>
      <c r="J345">
        <v>0.6</v>
      </c>
    </row>
    <row r="346" spans="1:10" x14ac:dyDescent="0.3">
      <c r="A346">
        <v>344</v>
      </c>
      <c r="B346">
        <v>5463</v>
      </c>
      <c r="C346" t="b">
        <v>1</v>
      </c>
      <c r="D346">
        <v>8042</v>
      </c>
      <c r="E346">
        <v>8117</v>
      </c>
      <c r="F346">
        <v>6.4</v>
      </c>
      <c r="G346">
        <v>9.1999999999999993</v>
      </c>
      <c r="H346">
        <v>0.69565220000000005</v>
      </c>
      <c r="I346">
        <v>0.3043478</v>
      </c>
      <c r="J346">
        <v>0.58974355000000001</v>
      </c>
    </row>
    <row r="347" spans="1:10" x14ac:dyDescent="0.3">
      <c r="A347">
        <v>345</v>
      </c>
      <c r="B347">
        <v>5479</v>
      </c>
      <c r="C347" t="b">
        <v>1</v>
      </c>
      <c r="D347">
        <v>8048</v>
      </c>
      <c r="E347">
        <v>8123</v>
      </c>
      <c r="F347">
        <v>6.4</v>
      </c>
      <c r="G347">
        <v>8.8000000000000007</v>
      </c>
      <c r="H347">
        <v>0.72727275000000002</v>
      </c>
      <c r="I347">
        <v>0.27272728000000002</v>
      </c>
      <c r="J347">
        <v>0.57894736999999996</v>
      </c>
    </row>
    <row r="348" spans="1:10" x14ac:dyDescent="0.3">
      <c r="A348">
        <v>346</v>
      </c>
      <c r="B348">
        <v>5495</v>
      </c>
      <c r="C348" t="b">
        <v>1</v>
      </c>
      <c r="D348">
        <v>8048</v>
      </c>
      <c r="E348">
        <v>8123</v>
      </c>
      <c r="F348">
        <v>6.4</v>
      </c>
      <c r="G348">
        <v>8</v>
      </c>
      <c r="H348">
        <v>0.8</v>
      </c>
      <c r="I348">
        <v>0.19999998999999999</v>
      </c>
      <c r="J348">
        <v>0.55555560000000004</v>
      </c>
    </row>
    <row r="349" spans="1:10" x14ac:dyDescent="0.3">
      <c r="A349">
        <v>347</v>
      </c>
      <c r="B349">
        <v>5511</v>
      </c>
      <c r="C349" t="b">
        <v>1</v>
      </c>
      <c r="D349">
        <v>8048</v>
      </c>
      <c r="E349">
        <v>8123</v>
      </c>
      <c r="F349">
        <v>6.4</v>
      </c>
      <c r="G349">
        <v>7.6</v>
      </c>
      <c r="H349">
        <v>0.84210527000000002</v>
      </c>
      <c r="I349">
        <v>0.15789471999999999</v>
      </c>
      <c r="J349">
        <v>0.54285709999999998</v>
      </c>
    </row>
    <row r="350" spans="1:10" x14ac:dyDescent="0.3">
      <c r="A350">
        <v>348</v>
      </c>
      <c r="B350">
        <v>5527</v>
      </c>
      <c r="C350" t="b">
        <v>1</v>
      </c>
      <c r="D350">
        <v>8048</v>
      </c>
      <c r="E350">
        <v>8123</v>
      </c>
      <c r="F350">
        <v>6.4</v>
      </c>
      <c r="G350">
        <v>7.2</v>
      </c>
      <c r="H350">
        <v>0.88888895999999995</v>
      </c>
      <c r="I350">
        <v>0.111111075</v>
      </c>
      <c r="J350">
        <v>0.52941172999999997</v>
      </c>
    </row>
    <row r="351" spans="1:10" x14ac:dyDescent="0.3">
      <c r="A351">
        <v>349</v>
      </c>
      <c r="B351">
        <v>5543</v>
      </c>
      <c r="C351" t="b">
        <v>1</v>
      </c>
      <c r="D351">
        <v>8042</v>
      </c>
      <c r="E351">
        <v>8123</v>
      </c>
      <c r="F351">
        <v>6.4</v>
      </c>
      <c r="G351">
        <v>6.8</v>
      </c>
      <c r="H351">
        <v>0.94117649999999997</v>
      </c>
      <c r="I351">
        <v>5.8823540000000001E-2</v>
      </c>
      <c r="J351">
        <v>0.51515149999999998</v>
      </c>
    </row>
    <row r="352" spans="1:10" x14ac:dyDescent="0.3">
      <c r="A352">
        <v>350</v>
      </c>
      <c r="B352">
        <v>5558</v>
      </c>
      <c r="C352" t="b">
        <v>1</v>
      </c>
      <c r="D352">
        <v>8048</v>
      </c>
      <c r="E352">
        <v>8123</v>
      </c>
      <c r="F352">
        <v>6.4</v>
      </c>
      <c r="G352">
        <v>6.4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5575</v>
      </c>
      <c r="C353" t="b">
        <v>1</v>
      </c>
      <c r="D353">
        <v>8042</v>
      </c>
      <c r="E353">
        <v>8123</v>
      </c>
      <c r="F353">
        <v>6.4</v>
      </c>
      <c r="G353">
        <v>6</v>
      </c>
      <c r="H353">
        <v>1.0666667000000001</v>
      </c>
      <c r="I353">
        <v>-6.6666685000000003E-2</v>
      </c>
      <c r="J353">
        <v>0.48387098000000001</v>
      </c>
    </row>
    <row r="354" spans="1:10" x14ac:dyDescent="0.3">
      <c r="A354">
        <v>352</v>
      </c>
      <c r="B354">
        <v>5591</v>
      </c>
      <c r="C354" t="b">
        <v>1</v>
      </c>
      <c r="D354">
        <v>8048</v>
      </c>
      <c r="E354">
        <v>8123</v>
      </c>
      <c r="F354">
        <v>6.4</v>
      </c>
      <c r="G354">
        <v>6</v>
      </c>
      <c r="H354">
        <v>1.0666667000000001</v>
      </c>
      <c r="I354">
        <v>-6.6666685000000003E-2</v>
      </c>
      <c r="J354">
        <v>0.48387098000000001</v>
      </c>
    </row>
    <row r="355" spans="1:10" x14ac:dyDescent="0.3">
      <c r="A355">
        <v>353</v>
      </c>
      <c r="B355">
        <v>5606</v>
      </c>
      <c r="C355" t="b">
        <v>1</v>
      </c>
      <c r="D355">
        <v>8048</v>
      </c>
      <c r="E355">
        <v>8123</v>
      </c>
      <c r="F355">
        <v>6.4</v>
      </c>
      <c r="G355">
        <v>6</v>
      </c>
      <c r="H355">
        <v>1.0666667000000001</v>
      </c>
      <c r="I355">
        <v>-6.6666685000000003E-2</v>
      </c>
      <c r="J355">
        <v>0.48387098000000001</v>
      </c>
    </row>
    <row r="356" spans="1:10" x14ac:dyDescent="0.3">
      <c r="A356">
        <v>354</v>
      </c>
      <c r="B356">
        <v>5622</v>
      </c>
      <c r="C356" t="b">
        <v>1</v>
      </c>
      <c r="D356">
        <v>8048</v>
      </c>
      <c r="E356">
        <v>8123</v>
      </c>
      <c r="F356">
        <v>6.4</v>
      </c>
      <c r="G356">
        <v>6</v>
      </c>
      <c r="H356">
        <v>1.0666667000000001</v>
      </c>
      <c r="I356">
        <v>-6.6666685000000003E-2</v>
      </c>
      <c r="J356">
        <v>0.48387098000000001</v>
      </c>
    </row>
    <row r="357" spans="1:10" x14ac:dyDescent="0.3">
      <c r="A357">
        <v>355</v>
      </c>
      <c r="B357">
        <v>5638</v>
      </c>
      <c r="C357" t="b">
        <v>1</v>
      </c>
      <c r="D357">
        <v>8048</v>
      </c>
      <c r="E357">
        <v>8129</v>
      </c>
      <c r="F357">
        <v>6.4</v>
      </c>
      <c r="G357">
        <v>6</v>
      </c>
      <c r="H357">
        <v>1.0666667000000001</v>
      </c>
      <c r="I357">
        <v>-6.6666685000000003E-2</v>
      </c>
      <c r="J357">
        <v>0.48387098000000001</v>
      </c>
    </row>
    <row r="358" spans="1:10" x14ac:dyDescent="0.3">
      <c r="A358">
        <v>356</v>
      </c>
      <c r="B358">
        <v>5653</v>
      </c>
      <c r="C358" t="b">
        <v>1</v>
      </c>
      <c r="D358">
        <v>8048</v>
      </c>
      <c r="E358">
        <v>8123</v>
      </c>
      <c r="F358">
        <v>6.8</v>
      </c>
      <c r="G358">
        <v>6</v>
      </c>
      <c r="H358">
        <v>1.1333333000000001</v>
      </c>
      <c r="I358">
        <v>-0.13333337000000001</v>
      </c>
      <c r="J358">
        <v>0.46875</v>
      </c>
    </row>
    <row r="359" spans="1:10" x14ac:dyDescent="0.3">
      <c r="A359">
        <v>357</v>
      </c>
      <c r="B359">
        <v>5669</v>
      </c>
      <c r="C359" t="b">
        <v>1</v>
      </c>
      <c r="D359">
        <v>8048</v>
      </c>
      <c r="E359">
        <v>8129</v>
      </c>
      <c r="F359">
        <v>7.2</v>
      </c>
      <c r="G359">
        <v>6.4</v>
      </c>
      <c r="H359">
        <v>1.125</v>
      </c>
      <c r="I359">
        <v>-0.124999955</v>
      </c>
      <c r="J359">
        <v>0.47058823999999999</v>
      </c>
    </row>
    <row r="360" spans="1:10" x14ac:dyDescent="0.3">
      <c r="A360">
        <v>358</v>
      </c>
      <c r="B360">
        <v>5685</v>
      </c>
      <c r="C360" t="b">
        <v>1</v>
      </c>
      <c r="D360">
        <v>8048</v>
      </c>
      <c r="E360">
        <v>8123</v>
      </c>
      <c r="F360">
        <v>7.6</v>
      </c>
      <c r="G360">
        <v>6.8</v>
      </c>
      <c r="H360">
        <v>1.1176470000000001</v>
      </c>
      <c r="I360">
        <v>-0.11764701499999999</v>
      </c>
      <c r="J360">
        <v>0.47222224000000002</v>
      </c>
    </row>
    <row r="361" spans="1:10" x14ac:dyDescent="0.3">
      <c r="A361">
        <v>359</v>
      </c>
      <c r="B361">
        <v>5701</v>
      </c>
      <c r="C361" t="b">
        <v>1</v>
      </c>
      <c r="D361">
        <v>8048</v>
      </c>
      <c r="E361">
        <v>8123</v>
      </c>
      <c r="F361">
        <v>8</v>
      </c>
      <c r="G361">
        <v>7.2</v>
      </c>
      <c r="H361">
        <v>1.1111112000000001</v>
      </c>
      <c r="I361">
        <v>-0.11111114</v>
      </c>
      <c r="J361">
        <v>0.4736842</v>
      </c>
    </row>
    <row r="362" spans="1:10" x14ac:dyDescent="0.3">
      <c r="A362">
        <v>360</v>
      </c>
      <c r="B362">
        <v>5716</v>
      </c>
      <c r="C362" t="b">
        <v>1</v>
      </c>
      <c r="D362">
        <v>8042</v>
      </c>
      <c r="E362">
        <v>8129</v>
      </c>
      <c r="F362">
        <v>8</v>
      </c>
      <c r="G362">
        <v>7.6</v>
      </c>
      <c r="H362">
        <v>1.0526316</v>
      </c>
      <c r="I362">
        <v>-5.2631589999999999E-2</v>
      </c>
      <c r="J362">
        <v>0.48717946000000001</v>
      </c>
    </row>
    <row r="363" spans="1:10" x14ac:dyDescent="0.3">
      <c r="A363">
        <v>361</v>
      </c>
      <c r="B363">
        <v>5732</v>
      </c>
      <c r="C363" t="b">
        <v>1</v>
      </c>
      <c r="D363">
        <v>8042</v>
      </c>
      <c r="E363">
        <v>8129</v>
      </c>
      <c r="F363">
        <v>8</v>
      </c>
      <c r="G363">
        <v>8.4</v>
      </c>
      <c r="H363">
        <v>0.95238100000000003</v>
      </c>
      <c r="I363">
        <v>4.7619003999999999E-2</v>
      </c>
      <c r="J363">
        <v>0.51219510000000001</v>
      </c>
    </row>
    <row r="364" spans="1:10" x14ac:dyDescent="0.3">
      <c r="A364">
        <v>362</v>
      </c>
      <c r="B364">
        <v>5748</v>
      </c>
      <c r="C364" t="b">
        <v>1</v>
      </c>
      <c r="D364">
        <v>8048</v>
      </c>
      <c r="E364">
        <v>8123</v>
      </c>
      <c r="F364">
        <v>8</v>
      </c>
      <c r="G364">
        <v>8.4</v>
      </c>
      <c r="H364">
        <v>0.95238100000000003</v>
      </c>
      <c r="I364">
        <v>4.7619003999999999E-2</v>
      </c>
      <c r="J364">
        <v>0.51219510000000001</v>
      </c>
    </row>
    <row r="365" spans="1:10" x14ac:dyDescent="0.3">
      <c r="A365">
        <v>363</v>
      </c>
      <c r="B365">
        <v>5764</v>
      </c>
      <c r="C365" t="b">
        <v>1</v>
      </c>
      <c r="D365">
        <v>8048</v>
      </c>
      <c r="E365">
        <v>8123</v>
      </c>
      <c r="F365">
        <v>8</v>
      </c>
      <c r="G365">
        <v>8.4</v>
      </c>
      <c r="H365">
        <v>0.95238100000000003</v>
      </c>
      <c r="I365">
        <v>4.7619003999999999E-2</v>
      </c>
      <c r="J365">
        <v>0.51219510000000001</v>
      </c>
    </row>
    <row r="366" spans="1:10" x14ac:dyDescent="0.3">
      <c r="A366">
        <v>364</v>
      </c>
      <c r="B366">
        <v>5780</v>
      </c>
      <c r="C366" t="b">
        <v>1</v>
      </c>
      <c r="D366">
        <v>8042</v>
      </c>
      <c r="E366">
        <v>8123</v>
      </c>
      <c r="F366">
        <v>7.6</v>
      </c>
      <c r="G366">
        <v>8.4</v>
      </c>
      <c r="H366">
        <v>0.90476190000000001</v>
      </c>
      <c r="I366">
        <v>9.5238069999999994E-2</v>
      </c>
      <c r="J366">
        <v>0.52500000000000002</v>
      </c>
    </row>
    <row r="367" spans="1:10" x14ac:dyDescent="0.3">
      <c r="A367">
        <v>365</v>
      </c>
      <c r="B367">
        <v>5796</v>
      </c>
      <c r="C367" t="b">
        <v>1</v>
      </c>
      <c r="D367">
        <v>8048</v>
      </c>
      <c r="E367">
        <v>8123</v>
      </c>
      <c r="F367">
        <v>7.6</v>
      </c>
      <c r="G367">
        <v>8.4</v>
      </c>
      <c r="H367">
        <v>0.90476190000000001</v>
      </c>
      <c r="I367">
        <v>9.5238069999999994E-2</v>
      </c>
      <c r="J367">
        <v>0.52500000000000002</v>
      </c>
    </row>
    <row r="368" spans="1:10" x14ac:dyDescent="0.3">
      <c r="A368">
        <v>366</v>
      </c>
      <c r="B368">
        <v>5812</v>
      </c>
      <c r="C368" t="b">
        <v>1</v>
      </c>
      <c r="D368">
        <v>8048</v>
      </c>
      <c r="E368">
        <v>8123</v>
      </c>
      <c r="F368">
        <v>7.6</v>
      </c>
      <c r="G368">
        <v>8.4</v>
      </c>
      <c r="H368">
        <v>0.90476190000000001</v>
      </c>
      <c r="I368">
        <v>9.5238069999999994E-2</v>
      </c>
      <c r="J368">
        <v>0.52500000000000002</v>
      </c>
    </row>
    <row r="369" spans="1:10" x14ac:dyDescent="0.3">
      <c r="A369">
        <v>367</v>
      </c>
      <c r="B369">
        <v>5828</v>
      </c>
      <c r="C369" t="b">
        <v>1</v>
      </c>
      <c r="D369">
        <v>8048</v>
      </c>
      <c r="E369">
        <v>8123</v>
      </c>
      <c r="F369">
        <v>7.6</v>
      </c>
      <c r="G369">
        <v>8.4</v>
      </c>
      <c r="H369">
        <v>0.90476190000000001</v>
      </c>
      <c r="I369">
        <v>9.5238069999999994E-2</v>
      </c>
      <c r="J369">
        <v>0.52500000000000002</v>
      </c>
    </row>
    <row r="370" spans="1:10" x14ac:dyDescent="0.3">
      <c r="A370">
        <v>368</v>
      </c>
      <c r="B370">
        <v>5844</v>
      </c>
      <c r="C370" t="b">
        <v>1</v>
      </c>
      <c r="D370">
        <v>8048</v>
      </c>
      <c r="E370">
        <v>8123</v>
      </c>
      <c r="F370">
        <v>7.6</v>
      </c>
      <c r="G370">
        <v>8.4</v>
      </c>
      <c r="H370">
        <v>0.90476190000000001</v>
      </c>
      <c r="I370">
        <v>9.5238069999999994E-2</v>
      </c>
      <c r="J370">
        <v>0.52500000000000002</v>
      </c>
    </row>
    <row r="371" spans="1:10" x14ac:dyDescent="0.3">
      <c r="A371">
        <v>369</v>
      </c>
      <c r="B371">
        <v>5860</v>
      </c>
      <c r="C371" t="b">
        <v>1</v>
      </c>
      <c r="D371">
        <v>8048</v>
      </c>
      <c r="E371">
        <v>8123</v>
      </c>
      <c r="F371">
        <v>7.6</v>
      </c>
      <c r="G371">
        <v>8.4</v>
      </c>
      <c r="H371">
        <v>0.90476190000000001</v>
      </c>
      <c r="I371">
        <v>9.5238069999999994E-2</v>
      </c>
      <c r="J371">
        <v>0.52500000000000002</v>
      </c>
    </row>
    <row r="372" spans="1:10" x14ac:dyDescent="0.3">
      <c r="A372">
        <v>370</v>
      </c>
      <c r="B372">
        <v>5876</v>
      </c>
      <c r="C372" t="b">
        <v>1</v>
      </c>
      <c r="D372">
        <v>8042</v>
      </c>
      <c r="E372">
        <v>8123</v>
      </c>
      <c r="F372">
        <v>7.6</v>
      </c>
      <c r="G372">
        <v>8.4</v>
      </c>
      <c r="H372">
        <v>0.90476190000000001</v>
      </c>
      <c r="I372">
        <v>9.5238069999999994E-2</v>
      </c>
      <c r="J372">
        <v>0.52500000000000002</v>
      </c>
    </row>
    <row r="373" spans="1:10" x14ac:dyDescent="0.3">
      <c r="A373">
        <v>371</v>
      </c>
      <c r="B373">
        <v>5891</v>
      </c>
      <c r="C373" t="b">
        <v>1</v>
      </c>
      <c r="D373">
        <v>8042</v>
      </c>
      <c r="E373">
        <v>8123</v>
      </c>
      <c r="F373">
        <v>7.6</v>
      </c>
      <c r="G373">
        <v>8.4</v>
      </c>
      <c r="H373">
        <v>0.90476190000000001</v>
      </c>
      <c r="I373">
        <v>9.5238069999999994E-2</v>
      </c>
      <c r="J373">
        <v>0.52500000000000002</v>
      </c>
    </row>
    <row r="374" spans="1:10" x14ac:dyDescent="0.3">
      <c r="A374">
        <v>372</v>
      </c>
      <c r="B374">
        <v>5907</v>
      </c>
      <c r="C374" t="b">
        <v>1</v>
      </c>
      <c r="D374">
        <v>8048</v>
      </c>
      <c r="E374">
        <v>8123</v>
      </c>
      <c r="F374">
        <v>7.6</v>
      </c>
      <c r="G374">
        <v>8.4</v>
      </c>
      <c r="H374">
        <v>0.90476190000000001</v>
      </c>
      <c r="I374">
        <v>9.5238069999999994E-2</v>
      </c>
      <c r="J374">
        <v>0.52500000000000002</v>
      </c>
    </row>
    <row r="375" spans="1:10" x14ac:dyDescent="0.3">
      <c r="A375">
        <v>373</v>
      </c>
      <c r="B375">
        <v>5923</v>
      </c>
      <c r="C375" t="b">
        <v>1</v>
      </c>
      <c r="D375">
        <v>8048</v>
      </c>
      <c r="E375">
        <v>8123</v>
      </c>
      <c r="F375">
        <v>7.6</v>
      </c>
      <c r="G375">
        <v>8.4</v>
      </c>
      <c r="H375">
        <v>0.90476190000000001</v>
      </c>
      <c r="I375">
        <v>9.5238069999999994E-2</v>
      </c>
      <c r="J375">
        <v>0.52500000000000002</v>
      </c>
    </row>
    <row r="376" spans="1:10" x14ac:dyDescent="0.3">
      <c r="A376">
        <v>374</v>
      </c>
      <c r="B376">
        <v>5939</v>
      </c>
      <c r="C376" t="b">
        <v>1</v>
      </c>
      <c r="D376">
        <v>8048</v>
      </c>
      <c r="E376">
        <v>8123</v>
      </c>
      <c r="F376">
        <v>7.6</v>
      </c>
      <c r="G376">
        <v>8.4</v>
      </c>
      <c r="H376">
        <v>0.90476190000000001</v>
      </c>
      <c r="I376">
        <v>9.5238069999999994E-2</v>
      </c>
      <c r="J376">
        <v>0.52500000000000002</v>
      </c>
    </row>
    <row r="377" spans="1:10" x14ac:dyDescent="0.3">
      <c r="A377">
        <v>375</v>
      </c>
      <c r="B377">
        <v>5955</v>
      </c>
      <c r="C377" t="b">
        <v>1</v>
      </c>
      <c r="D377">
        <v>8048</v>
      </c>
      <c r="E377">
        <v>8123</v>
      </c>
      <c r="F377">
        <v>7.6</v>
      </c>
      <c r="G377">
        <v>8.4</v>
      </c>
      <c r="H377">
        <v>0.90476190000000001</v>
      </c>
      <c r="I377">
        <v>9.5238069999999994E-2</v>
      </c>
      <c r="J377">
        <v>0.52500000000000002</v>
      </c>
    </row>
    <row r="378" spans="1:10" x14ac:dyDescent="0.3">
      <c r="A378">
        <v>376</v>
      </c>
      <c r="B378">
        <v>5970</v>
      </c>
      <c r="C378" t="b">
        <v>1</v>
      </c>
      <c r="D378">
        <v>8048</v>
      </c>
      <c r="E378">
        <v>8123</v>
      </c>
      <c r="F378">
        <v>7.6</v>
      </c>
      <c r="G378">
        <v>8</v>
      </c>
      <c r="H378">
        <v>0.95</v>
      </c>
      <c r="I378">
        <v>5.0000012000000003E-2</v>
      </c>
      <c r="J378">
        <v>0.51282050000000001</v>
      </c>
    </row>
    <row r="379" spans="1:10" x14ac:dyDescent="0.3">
      <c r="A379">
        <v>377</v>
      </c>
      <c r="B379">
        <v>5986</v>
      </c>
      <c r="C379" t="b">
        <v>1</v>
      </c>
      <c r="D379">
        <v>8042</v>
      </c>
      <c r="E379">
        <v>8123</v>
      </c>
      <c r="F379">
        <v>7.6</v>
      </c>
      <c r="G379">
        <v>8</v>
      </c>
      <c r="H379">
        <v>0.95</v>
      </c>
      <c r="I379">
        <v>5.0000012000000003E-2</v>
      </c>
      <c r="J379">
        <v>0.51282050000000001</v>
      </c>
    </row>
    <row r="380" spans="1:10" x14ac:dyDescent="0.3">
      <c r="A380">
        <v>378</v>
      </c>
      <c r="B380">
        <v>6002</v>
      </c>
      <c r="C380" t="b">
        <v>1</v>
      </c>
      <c r="D380">
        <v>8048</v>
      </c>
      <c r="E380">
        <v>8123</v>
      </c>
      <c r="F380">
        <v>7.6</v>
      </c>
      <c r="G380">
        <v>8</v>
      </c>
      <c r="H380">
        <v>0.95</v>
      </c>
      <c r="I380">
        <v>5.0000012000000003E-2</v>
      </c>
      <c r="J380">
        <v>0.51282050000000001</v>
      </c>
    </row>
    <row r="381" spans="1:10" x14ac:dyDescent="0.3">
      <c r="A381">
        <v>379</v>
      </c>
      <c r="B381">
        <v>6018</v>
      </c>
      <c r="C381" t="b">
        <v>1</v>
      </c>
      <c r="D381">
        <v>8048</v>
      </c>
      <c r="E381">
        <v>8123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6034</v>
      </c>
      <c r="C382" t="b">
        <v>1</v>
      </c>
      <c r="D382">
        <v>8048</v>
      </c>
      <c r="E382">
        <v>8123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6050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6066</v>
      </c>
      <c r="C384" t="b">
        <v>1</v>
      </c>
      <c r="D384">
        <v>8048</v>
      </c>
      <c r="E384">
        <v>8129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6082</v>
      </c>
      <c r="C385" t="b">
        <v>1</v>
      </c>
      <c r="D385">
        <v>8048</v>
      </c>
      <c r="E385">
        <v>8134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6098</v>
      </c>
      <c r="C386" t="b">
        <v>1</v>
      </c>
      <c r="D386">
        <v>8048</v>
      </c>
      <c r="E386">
        <v>8129</v>
      </c>
      <c r="F386">
        <v>8</v>
      </c>
      <c r="G386">
        <v>8.4</v>
      </c>
      <c r="H386">
        <v>0.95238100000000003</v>
      </c>
      <c r="I386">
        <v>4.7619003999999999E-2</v>
      </c>
      <c r="J386">
        <v>0.51219510000000001</v>
      </c>
    </row>
    <row r="387" spans="1:10" x14ac:dyDescent="0.3">
      <c r="A387">
        <v>385</v>
      </c>
      <c r="B387">
        <v>6114</v>
      </c>
      <c r="C387" t="b">
        <v>1</v>
      </c>
      <c r="D387">
        <v>8048</v>
      </c>
      <c r="E387">
        <v>8129</v>
      </c>
      <c r="F387">
        <v>8</v>
      </c>
      <c r="G387">
        <v>8.8000000000000007</v>
      </c>
      <c r="H387">
        <v>0.90909090000000004</v>
      </c>
      <c r="I387">
        <v>9.0909110000000001E-2</v>
      </c>
      <c r="J387">
        <v>0.52380954999999996</v>
      </c>
    </row>
    <row r="388" spans="1:10" x14ac:dyDescent="0.3">
      <c r="A388">
        <v>386</v>
      </c>
      <c r="B388">
        <v>6130</v>
      </c>
      <c r="C388" t="b">
        <v>1</v>
      </c>
      <c r="D388">
        <v>8048</v>
      </c>
      <c r="E388">
        <v>8129</v>
      </c>
      <c r="F388">
        <v>8</v>
      </c>
      <c r="G388">
        <v>9.1999999999999993</v>
      </c>
      <c r="H388">
        <v>0.86956524999999996</v>
      </c>
      <c r="I388">
        <v>0.13043477000000001</v>
      </c>
      <c r="J388">
        <v>0.53488369999999996</v>
      </c>
    </row>
    <row r="389" spans="1:10" x14ac:dyDescent="0.3">
      <c r="A389">
        <v>387</v>
      </c>
      <c r="B389">
        <v>6146</v>
      </c>
      <c r="C389" t="b">
        <v>1</v>
      </c>
      <c r="D389">
        <v>8048</v>
      </c>
      <c r="E389">
        <v>8129</v>
      </c>
      <c r="F389">
        <v>8</v>
      </c>
      <c r="G389">
        <v>9.6</v>
      </c>
      <c r="H389">
        <v>0.83333330000000005</v>
      </c>
      <c r="I389">
        <v>0.1666667</v>
      </c>
      <c r="J389">
        <v>0.54545456000000003</v>
      </c>
    </row>
    <row r="390" spans="1:10" x14ac:dyDescent="0.3">
      <c r="A390">
        <v>388</v>
      </c>
      <c r="B390">
        <v>6162</v>
      </c>
      <c r="C390" t="b">
        <v>1</v>
      </c>
      <c r="D390">
        <v>8048</v>
      </c>
      <c r="E390">
        <v>8123</v>
      </c>
      <c r="F390">
        <v>8</v>
      </c>
      <c r="G390">
        <v>10</v>
      </c>
      <c r="H390">
        <v>0.8</v>
      </c>
      <c r="I390">
        <v>0.2</v>
      </c>
      <c r="J390">
        <v>0.55555560000000004</v>
      </c>
    </row>
    <row r="391" spans="1:10" x14ac:dyDescent="0.3">
      <c r="A391">
        <v>389</v>
      </c>
      <c r="B391">
        <v>6178</v>
      </c>
      <c r="C391" t="b">
        <v>1</v>
      </c>
      <c r="D391">
        <v>8048</v>
      </c>
      <c r="E391">
        <v>8123</v>
      </c>
      <c r="F391">
        <v>8</v>
      </c>
      <c r="G391">
        <v>10.4</v>
      </c>
      <c r="H391">
        <v>0.76923079999999999</v>
      </c>
      <c r="I391">
        <v>0.23076920000000001</v>
      </c>
      <c r="J391">
        <v>0.56521739999999998</v>
      </c>
    </row>
    <row r="392" spans="1:10" x14ac:dyDescent="0.3">
      <c r="A392">
        <v>390</v>
      </c>
      <c r="B392">
        <v>6194</v>
      </c>
      <c r="C392" t="b">
        <v>1</v>
      </c>
      <c r="D392">
        <v>8042</v>
      </c>
      <c r="E392">
        <v>8123</v>
      </c>
      <c r="F392">
        <v>8</v>
      </c>
      <c r="G392">
        <v>10.4</v>
      </c>
      <c r="H392">
        <v>0.76923079999999999</v>
      </c>
      <c r="I392">
        <v>0.23076920000000001</v>
      </c>
      <c r="J392">
        <v>0.56521739999999998</v>
      </c>
    </row>
    <row r="393" spans="1:10" x14ac:dyDescent="0.3">
      <c r="A393">
        <v>391</v>
      </c>
      <c r="B393">
        <v>6210</v>
      </c>
      <c r="C393" t="b">
        <v>1</v>
      </c>
      <c r="D393">
        <v>8042</v>
      </c>
      <c r="E393">
        <v>8123</v>
      </c>
      <c r="F393">
        <v>8</v>
      </c>
      <c r="G393">
        <v>10.4</v>
      </c>
      <c r="H393">
        <v>0.76923079999999999</v>
      </c>
      <c r="I393">
        <v>0.23076920000000001</v>
      </c>
      <c r="J393">
        <v>0.56521739999999998</v>
      </c>
    </row>
    <row r="394" spans="1:10" x14ac:dyDescent="0.3">
      <c r="A394">
        <v>392</v>
      </c>
      <c r="B394">
        <v>6226</v>
      </c>
      <c r="C394" t="b">
        <v>1</v>
      </c>
      <c r="D394">
        <v>8048</v>
      </c>
      <c r="E394">
        <v>8129</v>
      </c>
      <c r="F394">
        <v>8</v>
      </c>
      <c r="G394">
        <v>10.4</v>
      </c>
      <c r="H394">
        <v>0.76923079999999999</v>
      </c>
      <c r="I394">
        <v>0.23076920000000001</v>
      </c>
      <c r="J394">
        <v>0.56521739999999998</v>
      </c>
    </row>
    <row r="395" spans="1:10" x14ac:dyDescent="0.3">
      <c r="A395">
        <v>393</v>
      </c>
      <c r="B395">
        <v>6242</v>
      </c>
      <c r="C395" t="b">
        <v>1</v>
      </c>
      <c r="D395">
        <v>8048</v>
      </c>
      <c r="E395">
        <v>8129</v>
      </c>
      <c r="F395">
        <v>8</v>
      </c>
      <c r="G395">
        <v>10.4</v>
      </c>
      <c r="H395">
        <v>0.76923079999999999</v>
      </c>
      <c r="I395">
        <v>0.23076920000000001</v>
      </c>
      <c r="J395">
        <v>0.56521739999999998</v>
      </c>
    </row>
    <row r="396" spans="1:10" x14ac:dyDescent="0.3">
      <c r="A396">
        <v>394</v>
      </c>
      <c r="B396">
        <v>6258</v>
      </c>
      <c r="C396" t="b">
        <v>1</v>
      </c>
      <c r="D396">
        <v>8048</v>
      </c>
      <c r="E396">
        <v>8129</v>
      </c>
      <c r="F396">
        <v>8</v>
      </c>
      <c r="G396">
        <v>10.8</v>
      </c>
      <c r="H396">
        <v>0.74074070000000003</v>
      </c>
      <c r="I396">
        <v>0.25925927999999998</v>
      </c>
      <c r="J396">
        <v>0.57446814000000002</v>
      </c>
    </row>
    <row r="397" spans="1:10" x14ac:dyDescent="0.3">
      <c r="A397">
        <v>395</v>
      </c>
      <c r="B397">
        <v>6274</v>
      </c>
      <c r="C397" t="b">
        <v>1</v>
      </c>
      <c r="D397">
        <v>8048</v>
      </c>
      <c r="E397">
        <v>8123</v>
      </c>
      <c r="F397">
        <v>8</v>
      </c>
      <c r="G397">
        <v>11.2</v>
      </c>
      <c r="H397">
        <v>0.71428572999999995</v>
      </c>
      <c r="I397">
        <v>0.28571426999999999</v>
      </c>
      <c r="J397">
        <v>0.58333330000000005</v>
      </c>
    </row>
    <row r="398" spans="1:10" x14ac:dyDescent="0.3">
      <c r="A398">
        <v>396</v>
      </c>
      <c r="B398">
        <v>6289</v>
      </c>
      <c r="C398" t="b">
        <v>1</v>
      </c>
      <c r="D398">
        <v>8048</v>
      </c>
      <c r="E398">
        <v>8123</v>
      </c>
      <c r="F398">
        <v>8</v>
      </c>
      <c r="G398">
        <v>11.6</v>
      </c>
      <c r="H398">
        <v>0.68965509999999997</v>
      </c>
      <c r="I398">
        <v>0.31034485000000001</v>
      </c>
      <c r="J398">
        <v>0.59183675000000002</v>
      </c>
    </row>
    <row r="399" spans="1:10" x14ac:dyDescent="0.3">
      <c r="A399">
        <v>397</v>
      </c>
      <c r="B399">
        <v>6305</v>
      </c>
      <c r="C399" t="b">
        <v>1</v>
      </c>
      <c r="D399">
        <v>8042</v>
      </c>
      <c r="E399">
        <v>8134</v>
      </c>
      <c r="F399">
        <v>8</v>
      </c>
      <c r="G399">
        <v>12</v>
      </c>
      <c r="H399">
        <v>0.66666669999999995</v>
      </c>
      <c r="I399">
        <v>0.33333333999999998</v>
      </c>
      <c r="J399">
        <v>0.6</v>
      </c>
    </row>
    <row r="400" spans="1:10" x14ac:dyDescent="0.3">
      <c r="A400">
        <v>398</v>
      </c>
      <c r="B400">
        <v>6321</v>
      </c>
      <c r="C400" t="b">
        <v>1</v>
      </c>
      <c r="D400">
        <v>8048</v>
      </c>
      <c r="E400">
        <v>8123</v>
      </c>
      <c r="F400">
        <v>8</v>
      </c>
      <c r="G400">
        <v>12</v>
      </c>
      <c r="H400">
        <v>0.66666669999999995</v>
      </c>
      <c r="I400">
        <v>0.33333333999999998</v>
      </c>
      <c r="J400">
        <v>0.6</v>
      </c>
    </row>
    <row r="401" spans="1:10" x14ac:dyDescent="0.3">
      <c r="A401">
        <v>399</v>
      </c>
      <c r="B401">
        <v>6337</v>
      </c>
      <c r="C401" t="b">
        <v>1</v>
      </c>
      <c r="D401">
        <v>8048</v>
      </c>
      <c r="E401">
        <v>8123</v>
      </c>
      <c r="F401">
        <v>8</v>
      </c>
      <c r="G401">
        <v>11.6</v>
      </c>
      <c r="H401">
        <v>0.68965509999999997</v>
      </c>
      <c r="I401">
        <v>0.31034485000000001</v>
      </c>
      <c r="J401">
        <v>0.59183675000000002</v>
      </c>
    </row>
    <row r="402" spans="1:10" x14ac:dyDescent="0.3">
      <c r="A402">
        <v>400</v>
      </c>
      <c r="B402">
        <v>6353</v>
      </c>
      <c r="C402" t="b">
        <v>1</v>
      </c>
      <c r="D402">
        <v>8054</v>
      </c>
      <c r="E402">
        <v>8123</v>
      </c>
      <c r="F402">
        <v>8</v>
      </c>
      <c r="G402">
        <v>11.2</v>
      </c>
      <c r="H402">
        <v>0.71428572999999995</v>
      </c>
      <c r="I402">
        <v>0.28571426999999999</v>
      </c>
      <c r="J402">
        <v>0.58333330000000005</v>
      </c>
    </row>
    <row r="403" spans="1:10" x14ac:dyDescent="0.3">
      <c r="A403">
        <v>401</v>
      </c>
      <c r="B403">
        <v>6369</v>
      </c>
      <c r="C403" t="b">
        <v>1</v>
      </c>
      <c r="D403">
        <v>8054</v>
      </c>
      <c r="E403">
        <v>8117</v>
      </c>
      <c r="F403">
        <v>8</v>
      </c>
      <c r="G403">
        <v>10.8</v>
      </c>
      <c r="H403">
        <v>0.74074070000000003</v>
      </c>
      <c r="I403">
        <v>0.25925927999999998</v>
      </c>
      <c r="J403">
        <v>0.57446814000000002</v>
      </c>
    </row>
    <row r="404" spans="1:10" x14ac:dyDescent="0.3">
      <c r="A404">
        <v>402</v>
      </c>
      <c r="B404">
        <v>6385</v>
      </c>
      <c r="C404" t="b">
        <v>1</v>
      </c>
      <c r="D404">
        <v>8054</v>
      </c>
      <c r="E404">
        <v>8129</v>
      </c>
      <c r="F404">
        <v>8.4</v>
      </c>
      <c r="G404">
        <v>10.4</v>
      </c>
      <c r="H404">
        <v>0.80769230000000003</v>
      </c>
      <c r="I404">
        <v>0.1923077</v>
      </c>
      <c r="J404">
        <v>0.55319149999999995</v>
      </c>
    </row>
    <row r="405" spans="1:10" x14ac:dyDescent="0.3">
      <c r="A405">
        <v>403</v>
      </c>
      <c r="B405">
        <v>6401</v>
      </c>
      <c r="C405" t="b">
        <v>1</v>
      </c>
      <c r="D405">
        <v>8054</v>
      </c>
      <c r="E405">
        <v>8129</v>
      </c>
      <c r="F405">
        <v>8.8000000000000007</v>
      </c>
      <c r="G405">
        <v>10</v>
      </c>
      <c r="H405">
        <v>0.88</v>
      </c>
      <c r="I405">
        <v>0.11999998000000001</v>
      </c>
      <c r="J405">
        <v>0.53191489999999997</v>
      </c>
    </row>
    <row r="406" spans="1:10" x14ac:dyDescent="0.3">
      <c r="A406">
        <v>404</v>
      </c>
      <c r="B406">
        <v>6417</v>
      </c>
      <c r="C406" t="b">
        <v>1</v>
      </c>
      <c r="D406">
        <v>8042</v>
      </c>
      <c r="E406">
        <v>8117</v>
      </c>
      <c r="F406">
        <v>9.1999999999999993</v>
      </c>
      <c r="G406">
        <v>9.6</v>
      </c>
      <c r="H406">
        <v>0.95833325000000003</v>
      </c>
      <c r="I406">
        <v>4.1666724000000002E-2</v>
      </c>
      <c r="J406">
        <v>0.51063835999999996</v>
      </c>
    </row>
    <row r="407" spans="1:10" x14ac:dyDescent="0.3">
      <c r="A407">
        <v>405</v>
      </c>
      <c r="B407">
        <v>6433</v>
      </c>
      <c r="C407" t="b">
        <v>1</v>
      </c>
      <c r="D407">
        <v>8042</v>
      </c>
      <c r="E407">
        <v>8117</v>
      </c>
      <c r="F407">
        <v>9.6</v>
      </c>
      <c r="G407">
        <v>9.1999999999999993</v>
      </c>
      <c r="H407">
        <v>1.0434783999999999</v>
      </c>
      <c r="I407">
        <v>-4.3478324999999998E-2</v>
      </c>
      <c r="J407">
        <v>0.48936170000000001</v>
      </c>
    </row>
    <row r="408" spans="1:10" x14ac:dyDescent="0.3">
      <c r="A408">
        <v>406</v>
      </c>
      <c r="B408">
        <v>6449</v>
      </c>
      <c r="C408" t="b">
        <v>1</v>
      </c>
      <c r="D408">
        <v>8042</v>
      </c>
      <c r="E408">
        <v>8129</v>
      </c>
      <c r="F408">
        <v>9.1999999999999993</v>
      </c>
      <c r="G408">
        <v>9.6</v>
      </c>
      <c r="H408">
        <v>0.95833325000000003</v>
      </c>
      <c r="I408">
        <v>4.1666724000000002E-2</v>
      </c>
      <c r="J408">
        <v>0.51063835999999996</v>
      </c>
    </row>
    <row r="409" spans="1:10" x14ac:dyDescent="0.3">
      <c r="A409">
        <v>407</v>
      </c>
      <c r="B409">
        <v>6464</v>
      </c>
      <c r="C409" t="b">
        <v>1</v>
      </c>
      <c r="D409">
        <v>8042</v>
      </c>
      <c r="E409">
        <v>8129</v>
      </c>
      <c r="F409">
        <v>8.8000000000000007</v>
      </c>
      <c r="G409">
        <v>10</v>
      </c>
      <c r="H409">
        <v>0.88</v>
      </c>
      <c r="I409">
        <v>0.11999998000000001</v>
      </c>
      <c r="J409">
        <v>0.53191489999999997</v>
      </c>
    </row>
    <row r="410" spans="1:10" x14ac:dyDescent="0.3">
      <c r="A410">
        <v>408</v>
      </c>
      <c r="B410">
        <v>6480</v>
      </c>
      <c r="C410" t="b">
        <v>1</v>
      </c>
      <c r="D410">
        <v>8042</v>
      </c>
      <c r="E410">
        <v>8123</v>
      </c>
      <c r="F410">
        <v>8.4</v>
      </c>
      <c r="G410">
        <v>10</v>
      </c>
      <c r="H410">
        <v>0.84</v>
      </c>
      <c r="I410">
        <v>0.16000004000000001</v>
      </c>
      <c r="J410">
        <v>0.54347825000000005</v>
      </c>
    </row>
    <row r="411" spans="1:10" x14ac:dyDescent="0.3">
      <c r="A411">
        <v>409</v>
      </c>
      <c r="B411">
        <v>6496</v>
      </c>
      <c r="C411" t="b">
        <v>1</v>
      </c>
      <c r="D411">
        <v>8042</v>
      </c>
      <c r="E411">
        <v>8117</v>
      </c>
      <c r="F411">
        <v>8</v>
      </c>
      <c r="G411">
        <v>9.6</v>
      </c>
      <c r="H411">
        <v>0.83333330000000005</v>
      </c>
      <c r="I411">
        <v>0.1666667</v>
      </c>
      <c r="J411">
        <v>0.54545456000000003</v>
      </c>
    </row>
    <row r="412" spans="1:10" x14ac:dyDescent="0.3">
      <c r="A412">
        <v>410</v>
      </c>
      <c r="B412">
        <v>6512</v>
      </c>
      <c r="C412" t="b">
        <v>1</v>
      </c>
      <c r="D412">
        <v>8048</v>
      </c>
      <c r="E412">
        <v>8123</v>
      </c>
      <c r="F412">
        <v>7.6</v>
      </c>
      <c r="G412">
        <v>9.1999999999999993</v>
      </c>
      <c r="H412">
        <v>0.82608694000000005</v>
      </c>
      <c r="I412">
        <v>0.17391303</v>
      </c>
      <c r="J412">
        <v>0.54761903999999995</v>
      </c>
    </row>
    <row r="413" spans="1:10" x14ac:dyDescent="0.3">
      <c r="A413">
        <v>411</v>
      </c>
      <c r="B413">
        <v>6527</v>
      </c>
      <c r="C413" t="b">
        <v>1</v>
      </c>
      <c r="D413">
        <v>8048</v>
      </c>
      <c r="E413">
        <v>8123</v>
      </c>
      <c r="F413">
        <v>7.2</v>
      </c>
      <c r="G413">
        <v>8.8000000000000007</v>
      </c>
      <c r="H413">
        <v>0.81818175000000004</v>
      </c>
      <c r="I413">
        <v>0.18181822</v>
      </c>
      <c r="J413">
        <v>0.55000000000000004</v>
      </c>
    </row>
    <row r="414" spans="1:10" x14ac:dyDescent="0.3">
      <c r="A414">
        <v>412</v>
      </c>
      <c r="B414">
        <v>6543</v>
      </c>
      <c r="C414" t="b">
        <v>1</v>
      </c>
      <c r="D414">
        <v>8048</v>
      </c>
      <c r="E414">
        <v>8123</v>
      </c>
      <c r="F414">
        <v>7.2</v>
      </c>
      <c r="G414">
        <v>8.4</v>
      </c>
      <c r="H414">
        <v>0.85714287</v>
      </c>
      <c r="I414">
        <v>0.14285712</v>
      </c>
      <c r="J414">
        <v>0.53846150000000004</v>
      </c>
    </row>
    <row r="415" spans="1:10" x14ac:dyDescent="0.3">
      <c r="A415">
        <v>413</v>
      </c>
      <c r="B415">
        <v>6559</v>
      </c>
      <c r="C415" t="b">
        <v>1</v>
      </c>
      <c r="D415">
        <v>8048</v>
      </c>
      <c r="E415">
        <v>8123</v>
      </c>
      <c r="F415">
        <v>7.2</v>
      </c>
      <c r="G415">
        <v>8.4</v>
      </c>
      <c r="H415">
        <v>0.85714287</v>
      </c>
      <c r="I415">
        <v>0.14285712</v>
      </c>
      <c r="J415">
        <v>0.53846150000000004</v>
      </c>
    </row>
    <row r="416" spans="1:10" x14ac:dyDescent="0.3">
      <c r="A416">
        <v>414</v>
      </c>
      <c r="B416">
        <v>6575</v>
      </c>
      <c r="C416" t="b">
        <v>1</v>
      </c>
      <c r="D416">
        <v>8048</v>
      </c>
      <c r="E416">
        <v>8123</v>
      </c>
      <c r="F416">
        <v>7.2</v>
      </c>
      <c r="G416">
        <v>8.4</v>
      </c>
      <c r="H416">
        <v>0.85714287</v>
      </c>
      <c r="I416">
        <v>0.14285712</v>
      </c>
      <c r="J416">
        <v>0.53846150000000004</v>
      </c>
    </row>
    <row r="417" spans="1:10" x14ac:dyDescent="0.3">
      <c r="A417">
        <v>415</v>
      </c>
      <c r="B417">
        <v>6591</v>
      </c>
      <c r="C417" t="b">
        <v>1</v>
      </c>
      <c r="D417">
        <v>8048</v>
      </c>
      <c r="E417">
        <v>8123</v>
      </c>
      <c r="F417">
        <v>7.2</v>
      </c>
      <c r="G417">
        <v>8.4</v>
      </c>
      <c r="H417">
        <v>0.85714287</v>
      </c>
      <c r="I417">
        <v>0.14285712</v>
      </c>
      <c r="J417">
        <v>0.53846150000000004</v>
      </c>
    </row>
    <row r="418" spans="1:10" x14ac:dyDescent="0.3">
      <c r="A418">
        <v>416</v>
      </c>
      <c r="B418">
        <v>6607</v>
      </c>
      <c r="C418" t="b">
        <v>1</v>
      </c>
      <c r="D418">
        <v>8042</v>
      </c>
      <c r="E418">
        <v>8123</v>
      </c>
      <c r="F418">
        <v>7.2</v>
      </c>
      <c r="G418">
        <v>8.4</v>
      </c>
      <c r="H418">
        <v>0.85714287</v>
      </c>
      <c r="I418">
        <v>0.14285712</v>
      </c>
      <c r="J418">
        <v>0.53846150000000004</v>
      </c>
    </row>
    <row r="419" spans="1:10" x14ac:dyDescent="0.3">
      <c r="A419">
        <v>417</v>
      </c>
      <c r="B419">
        <v>6623</v>
      </c>
      <c r="C419" t="b">
        <v>1</v>
      </c>
      <c r="D419">
        <v>8042</v>
      </c>
      <c r="E419">
        <v>8123</v>
      </c>
      <c r="F419">
        <v>6.8</v>
      </c>
      <c r="G419">
        <v>8.4</v>
      </c>
      <c r="H419">
        <v>0.80952389999999996</v>
      </c>
      <c r="I419">
        <v>0.19047612999999999</v>
      </c>
      <c r="J419">
        <v>0.55263156000000002</v>
      </c>
    </row>
    <row r="420" spans="1:10" x14ac:dyDescent="0.3">
      <c r="A420">
        <v>418</v>
      </c>
      <c r="B420">
        <v>6638</v>
      </c>
      <c r="C420" t="b">
        <v>1</v>
      </c>
      <c r="D420">
        <v>8037</v>
      </c>
      <c r="E420">
        <v>8123</v>
      </c>
      <c r="F420">
        <v>6</v>
      </c>
      <c r="G420">
        <v>8.4</v>
      </c>
      <c r="H420">
        <v>0.71428572999999995</v>
      </c>
      <c r="I420">
        <v>0.28571424000000001</v>
      </c>
      <c r="J420">
        <v>0.58333330000000005</v>
      </c>
    </row>
    <row r="421" spans="1:10" x14ac:dyDescent="0.3">
      <c r="A421">
        <v>419</v>
      </c>
      <c r="B421">
        <v>6654</v>
      </c>
      <c r="C421" t="b">
        <v>1</v>
      </c>
      <c r="D421">
        <v>8037</v>
      </c>
      <c r="E421">
        <v>8117</v>
      </c>
      <c r="F421">
        <v>5.2</v>
      </c>
      <c r="G421">
        <v>8.4</v>
      </c>
      <c r="H421">
        <v>0.61904764000000001</v>
      </c>
      <c r="I421">
        <v>0.38095240000000002</v>
      </c>
      <c r="J421">
        <v>0.61764704999999998</v>
      </c>
    </row>
    <row r="422" spans="1:10" x14ac:dyDescent="0.3">
      <c r="A422">
        <v>420</v>
      </c>
      <c r="B422">
        <v>6670</v>
      </c>
      <c r="C422" t="b">
        <v>1</v>
      </c>
      <c r="D422">
        <v>8037</v>
      </c>
      <c r="E422">
        <v>8117</v>
      </c>
      <c r="F422">
        <v>4.0666665999999996</v>
      </c>
      <c r="G422">
        <v>8.8000000000000007</v>
      </c>
      <c r="H422">
        <v>0.46212120000000001</v>
      </c>
      <c r="I422">
        <v>0.53787879999999999</v>
      </c>
      <c r="J422">
        <v>0.68393784999999996</v>
      </c>
    </row>
    <row r="423" spans="1:10" x14ac:dyDescent="0.3">
      <c r="A423">
        <v>421</v>
      </c>
      <c r="B423">
        <v>6686</v>
      </c>
      <c r="C423" t="b">
        <v>1</v>
      </c>
      <c r="D423">
        <v>8042</v>
      </c>
      <c r="E423">
        <v>8117</v>
      </c>
      <c r="F423">
        <v>3.7333333</v>
      </c>
      <c r="G423">
        <v>8</v>
      </c>
      <c r="H423">
        <v>0.46666667000000001</v>
      </c>
      <c r="I423">
        <v>0.53333330000000001</v>
      </c>
      <c r="J423">
        <v>0.68181820000000004</v>
      </c>
    </row>
    <row r="424" spans="1:10" x14ac:dyDescent="0.3">
      <c r="A424">
        <v>422</v>
      </c>
      <c r="B424">
        <v>6702</v>
      </c>
      <c r="C424" t="b">
        <v>1</v>
      </c>
      <c r="D424">
        <v>8037</v>
      </c>
      <c r="E424">
        <v>8117</v>
      </c>
      <c r="F424">
        <v>3.4</v>
      </c>
      <c r="G424">
        <v>7.2</v>
      </c>
      <c r="H424">
        <v>0.47222224000000002</v>
      </c>
      <c r="I424">
        <v>0.52777772999999994</v>
      </c>
      <c r="J424">
        <v>0.67924523000000003</v>
      </c>
    </row>
    <row r="425" spans="1:10" x14ac:dyDescent="0.3">
      <c r="A425">
        <v>423</v>
      </c>
      <c r="B425">
        <v>6718</v>
      </c>
      <c r="C425" t="b">
        <v>1</v>
      </c>
      <c r="D425">
        <v>8048</v>
      </c>
      <c r="E425">
        <v>8117</v>
      </c>
      <c r="F425">
        <v>3.0666666</v>
      </c>
      <c r="G425">
        <v>6.8</v>
      </c>
      <c r="H425">
        <v>0.45098037000000002</v>
      </c>
      <c r="I425">
        <v>0.54901962999999998</v>
      </c>
      <c r="J425">
        <v>0.68918919999999995</v>
      </c>
    </row>
    <row r="426" spans="1:10" x14ac:dyDescent="0.3">
      <c r="A426">
        <v>424</v>
      </c>
      <c r="B426">
        <v>6733</v>
      </c>
      <c r="C426" t="b">
        <v>1</v>
      </c>
      <c r="D426">
        <v>8048</v>
      </c>
      <c r="E426">
        <v>8117</v>
      </c>
      <c r="F426">
        <v>3.0666666</v>
      </c>
      <c r="G426">
        <v>6.4</v>
      </c>
      <c r="H426">
        <v>0.47916666000000002</v>
      </c>
      <c r="I426">
        <v>0.5208334</v>
      </c>
      <c r="J426">
        <v>0.67605630000000005</v>
      </c>
    </row>
    <row r="427" spans="1:10" x14ac:dyDescent="0.3">
      <c r="A427">
        <v>425</v>
      </c>
      <c r="B427">
        <v>6749</v>
      </c>
      <c r="C427" t="b">
        <v>1</v>
      </c>
      <c r="D427">
        <v>8048</v>
      </c>
      <c r="E427">
        <v>8123</v>
      </c>
      <c r="F427">
        <v>3.4666667000000002</v>
      </c>
      <c r="G427">
        <v>6</v>
      </c>
      <c r="H427">
        <v>0.57777780000000001</v>
      </c>
      <c r="I427">
        <v>0.42222222999999998</v>
      </c>
      <c r="J427">
        <v>0.6338028</v>
      </c>
    </row>
    <row r="428" spans="1:10" x14ac:dyDescent="0.3">
      <c r="A428">
        <v>426</v>
      </c>
      <c r="B428">
        <v>6765</v>
      </c>
      <c r="C428" t="b">
        <v>1</v>
      </c>
      <c r="D428">
        <v>8048</v>
      </c>
      <c r="E428">
        <v>8123</v>
      </c>
      <c r="F428">
        <v>3.8666665999999998</v>
      </c>
      <c r="G428">
        <v>5.6</v>
      </c>
      <c r="H428">
        <v>0.69047619999999998</v>
      </c>
      <c r="I428">
        <v>0.30952382000000001</v>
      </c>
      <c r="J428">
        <v>0.59154934000000003</v>
      </c>
    </row>
    <row r="429" spans="1:10" x14ac:dyDescent="0.3">
      <c r="A429">
        <v>427</v>
      </c>
      <c r="B429">
        <v>6781</v>
      </c>
      <c r="C429" t="b">
        <v>1</v>
      </c>
      <c r="D429">
        <v>8048</v>
      </c>
      <c r="E429">
        <v>8123</v>
      </c>
      <c r="F429">
        <v>3.8666665999999998</v>
      </c>
      <c r="G429">
        <v>5.6</v>
      </c>
      <c r="H429">
        <v>0.69047619999999998</v>
      </c>
      <c r="I429">
        <v>0.30952382000000001</v>
      </c>
      <c r="J429">
        <v>0.59154934000000003</v>
      </c>
    </row>
    <row r="430" spans="1:10" x14ac:dyDescent="0.3">
      <c r="A430">
        <v>428</v>
      </c>
      <c r="B430">
        <v>6797</v>
      </c>
      <c r="C430" t="b">
        <v>1</v>
      </c>
      <c r="D430">
        <v>8048</v>
      </c>
      <c r="E430">
        <v>8123</v>
      </c>
      <c r="F430">
        <v>3.8666665999999998</v>
      </c>
      <c r="G430">
        <v>5.6</v>
      </c>
      <c r="H430">
        <v>0.69047619999999998</v>
      </c>
      <c r="I430">
        <v>0.30952382000000001</v>
      </c>
      <c r="J430">
        <v>0.59154934000000003</v>
      </c>
    </row>
    <row r="431" spans="1:10" x14ac:dyDescent="0.3">
      <c r="A431">
        <v>429</v>
      </c>
      <c r="B431">
        <v>6813</v>
      </c>
      <c r="C431" t="b">
        <v>1</v>
      </c>
      <c r="D431">
        <v>8048</v>
      </c>
      <c r="E431">
        <v>8123</v>
      </c>
      <c r="F431">
        <v>3.8666665999999998</v>
      </c>
      <c r="G431">
        <v>5.6</v>
      </c>
      <c r="H431">
        <v>0.69047619999999998</v>
      </c>
      <c r="I431">
        <v>0.30952382000000001</v>
      </c>
      <c r="J431">
        <v>0.59154934000000003</v>
      </c>
    </row>
    <row r="432" spans="1:10" x14ac:dyDescent="0.3">
      <c r="A432">
        <v>430</v>
      </c>
      <c r="B432">
        <v>6829</v>
      </c>
      <c r="C432" t="b">
        <v>1</v>
      </c>
      <c r="D432">
        <v>8048</v>
      </c>
      <c r="E432">
        <v>8123</v>
      </c>
      <c r="F432">
        <v>3.8666665999999998</v>
      </c>
      <c r="G432">
        <v>5.6</v>
      </c>
      <c r="H432">
        <v>0.69047619999999998</v>
      </c>
      <c r="I432">
        <v>0.30952382000000001</v>
      </c>
      <c r="J432">
        <v>0.59154934000000003</v>
      </c>
    </row>
    <row r="433" spans="1:10" x14ac:dyDescent="0.3">
      <c r="A433">
        <v>431</v>
      </c>
      <c r="B433">
        <v>6845</v>
      </c>
      <c r="C433" t="b">
        <v>1</v>
      </c>
      <c r="D433">
        <v>8042</v>
      </c>
      <c r="E433">
        <v>8123</v>
      </c>
      <c r="F433">
        <v>3.8666665999999998</v>
      </c>
      <c r="G433">
        <v>5.6</v>
      </c>
      <c r="H433">
        <v>0.69047619999999998</v>
      </c>
      <c r="I433">
        <v>0.30952382000000001</v>
      </c>
      <c r="J433">
        <v>0.59154934000000003</v>
      </c>
    </row>
    <row r="434" spans="1:10" x14ac:dyDescent="0.3">
      <c r="A434">
        <v>432</v>
      </c>
      <c r="B434">
        <v>6861</v>
      </c>
      <c r="C434" t="b">
        <v>1</v>
      </c>
      <c r="D434">
        <v>8042</v>
      </c>
      <c r="E434">
        <v>8123</v>
      </c>
      <c r="F434">
        <v>3.8666665999999998</v>
      </c>
      <c r="G434">
        <v>5.6</v>
      </c>
      <c r="H434">
        <v>0.69047619999999998</v>
      </c>
      <c r="I434">
        <v>0.30952382000000001</v>
      </c>
      <c r="J434">
        <v>0.59154934000000003</v>
      </c>
    </row>
    <row r="435" spans="1:10" x14ac:dyDescent="0.3">
      <c r="A435">
        <v>433</v>
      </c>
      <c r="B435">
        <v>6876</v>
      </c>
      <c r="C435" t="b">
        <v>1</v>
      </c>
      <c r="D435">
        <v>8048</v>
      </c>
      <c r="E435">
        <v>8123</v>
      </c>
      <c r="F435">
        <v>4.266667</v>
      </c>
      <c r="G435">
        <v>5.6</v>
      </c>
      <c r="H435">
        <v>0.76190484000000003</v>
      </c>
      <c r="I435">
        <v>0.23809517999999999</v>
      </c>
      <c r="J435">
        <v>0.5675675</v>
      </c>
    </row>
    <row r="436" spans="1:10" x14ac:dyDescent="0.3">
      <c r="A436">
        <v>434</v>
      </c>
      <c r="B436">
        <v>6892</v>
      </c>
      <c r="C436" t="b">
        <v>1</v>
      </c>
      <c r="D436">
        <v>8048</v>
      </c>
      <c r="E436">
        <v>8123</v>
      </c>
      <c r="F436">
        <v>4.6666664999999998</v>
      </c>
      <c r="G436">
        <v>5.6</v>
      </c>
      <c r="H436">
        <v>0.83333330000000005</v>
      </c>
      <c r="I436">
        <v>0.16666669000000001</v>
      </c>
      <c r="J436">
        <v>0.54545456000000003</v>
      </c>
    </row>
    <row r="437" spans="1:10" x14ac:dyDescent="0.3">
      <c r="A437">
        <v>435</v>
      </c>
      <c r="B437">
        <v>6909</v>
      </c>
      <c r="C437" t="b">
        <v>1</v>
      </c>
      <c r="D437">
        <v>8048</v>
      </c>
      <c r="E437">
        <v>8123</v>
      </c>
      <c r="F437">
        <v>5.4</v>
      </c>
      <c r="G437">
        <v>5.6</v>
      </c>
      <c r="H437">
        <v>0.96428572999999995</v>
      </c>
      <c r="I437">
        <v>3.5714254000000001E-2</v>
      </c>
      <c r="J437">
        <v>0.50909090000000001</v>
      </c>
    </row>
    <row r="438" spans="1:10" x14ac:dyDescent="0.3">
      <c r="A438">
        <v>436</v>
      </c>
      <c r="B438">
        <v>6924</v>
      </c>
      <c r="C438" t="b">
        <v>1</v>
      </c>
      <c r="D438">
        <v>8048</v>
      </c>
      <c r="E438">
        <v>8123</v>
      </c>
      <c r="F438">
        <v>6.1333330000000004</v>
      </c>
      <c r="G438">
        <v>6</v>
      </c>
      <c r="H438">
        <v>1.0222222000000001</v>
      </c>
      <c r="I438">
        <v>-2.2222200000000001E-2</v>
      </c>
      <c r="J438">
        <v>0.49450549999999999</v>
      </c>
    </row>
    <row r="439" spans="1:10" x14ac:dyDescent="0.3">
      <c r="A439">
        <v>437</v>
      </c>
      <c r="B439">
        <v>6940</v>
      </c>
      <c r="C439" t="b">
        <v>1</v>
      </c>
      <c r="D439">
        <v>8042</v>
      </c>
      <c r="E439">
        <v>8117</v>
      </c>
      <c r="F439">
        <v>6.8666669999999996</v>
      </c>
      <c r="G439">
        <v>6.4</v>
      </c>
      <c r="H439">
        <v>1.0729166000000001</v>
      </c>
      <c r="I439">
        <v>-7.2916670000000003E-2</v>
      </c>
      <c r="J439">
        <v>0.48241207000000003</v>
      </c>
    </row>
    <row r="440" spans="1:10" x14ac:dyDescent="0.3">
      <c r="A440">
        <v>438</v>
      </c>
      <c r="B440">
        <v>6956</v>
      </c>
      <c r="C440" t="b">
        <v>1</v>
      </c>
      <c r="D440">
        <v>8048</v>
      </c>
      <c r="E440">
        <v>8129</v>
      </c>
      <c r="F440">
        <v>7.6</v>
      </c>
      <c r="G440">
        <v>6.8</v>
      </c>
      <c r="H440">
        <v>1.1176470000000001</v>
      </c>
      <c r="I440">
        <v>-0.11764701499999999</v>
      </c>
      <c r="J440">
        <v>0.47222224000000002</v>
      </c>
    </row>
    <row r="441" spans="1:10" x14ac:dyDescent="0.3">
      <c r="A441">
        <v>439</v>
      </c>
      <c r="B441">
        <v>6972</v>
      </c>
      <c r="C441" t="b">
        <v>1</v>
      </c>
      <c r="D441">
        <v>8042</v>
      </c>
      <c r="E441">
        <v>8123</v>
      </c>
      <c r="F441">
        <v>8</v>
      </c>
      <c r="G441">
        <v>7.2</v>
      </c>
      <c r="H441">
        <v>1.1111112000000001</v>
      </c>
      <c r="I441">
        <v>-0.11111114</v>
      </c>
      <c r="J441">
        <v>0.4736842</v>
      </c>
    </row>
    <row r="442" spans="1:10" x14ac:dyDescent="0.3">
      <c r="A442">
        <v>440</v>
      </c>
      <c r="B442">
        <v>6988</v>
      </c>
      <c r="C442" t="b">
        <v>1</v>
      </c>
      <c r="D442">
        <v>8048</v>
      </c>
      <c r="E442">
        <v>8123</v>
      </c>
      <c r="F442">
        <v>8</v>
      </c>
      <c r="G442">
        <v>7.6</v>
      </c>
      <c r="H442">
        <v>1.0526316</v>
      </c>
      <c r="I442">
        <v>-5.2631589999999999E-2</v>
      </c>
      <c r="J442">
        <v>0.48717946000000001</v>
      </c>
    </row>
    <row r="443" spans="1:10" x14ac:dyDescent="0.3">
      <c r="A443">
        <v>441</v>
      </c>
      <c r="B443">
        <v>7004</v>
      </c>
      <c r="C443" t="b">
        <v>1</v>
      </c>
      <c r="D443">
        <v>8048</v>
      </c>
      <c r="E443">
        <v>8123</v>
      </c>
      <c r="F443">
        <v>8</v>
      </c>
      <c r="G443">
        <v>8</v>
      </c>
      <c r="H443">
        <v>1</v>
      </c>
      <c r="I443">
        <v>0</v>
      </c>
      <c r="J443">
        <v>0.5</v>
      </c>
    </row>
    <row r="444" spans="1:10" x14ac:dyDescent="0.3">
      <c r="A444">
        <v>442</v>
      </c>
      <c r="B444">
        <v>7020</v>
      </c>
      <c r="C444" t="b">
        <v>1</v>
      </c>
      <c r="D444">
        <v>8054</v>
      </c>
      <c r="E444">
        <v>8129</v>
      </c>
      <c r="F444">
        <v>8</v>
      </c>
      <c r="G444">
        <v>8</v>
      </c>
      <c r="H444">
        <v>1</v>
      </c>
      <c r="I444">
        <v>0</v>
      </c>
      <c r="J444">
        <v>0.5</v>
      </c>
    </row>
    <row r="445" spans="1:10" x14ac:dyDescent="0.3">
      <c r="A445">
        <v>443</v>
      </c>
      <c r="B445">
        <v>7035</v>
      </c>
      <c r="C445" t="b">
        <v>1</v>
      </c>
      <c r="D445">
        <v>8054</v>
      </c>
      <c r="E445">
        <v>8123</v>
      </c>
      <c r="F445">
        <v>8</v>
      </c>
      <c r="G445">
        <v>8</v>
      </c>
      <c r="H445">
        <v>1</v>
      </c>
      <c r="I445">
        <v>0</v>
      </c>
      <c r="J445">
        <v>0.5</v>
      </c>
    </row>
    <row r="446" spans="1:10" x14ac:dyDescent="0.3">
      <c r="A446">
        <v>444</v>
      </c>
      <c r="B446">
        <v>7051</v>
      </c>
      <c r="C446" t="b">
        <v>1</v>
      </c>
      <c r="D446">
        <v>8048</v>
      </c>
      <c r="E446">
        <v>8123</v>
      </c>
      <c r="F446">
        <v>8</v>
      </c>
      <c r="G446">
        <v>8</v>
      </c>
      <c r="H446">
        <v>1</v>
      </c>
      <c r="I446">
        <v>0</v>
      </c>
      <c r="J446">
        <v>0.5</v>
      </c>
    </row>
    <row r="447" spans="1:10" x14ac:dyDescent="0.3">
      <c r="A447">
        <v>445</v>
      </c>
      <c r="B447">
        <v>7067</v>
      </c>
      <c r="C447" t="b">
        <v>1</v>
      </c>
      <c r="D447">
        <v>8054</v>
      </c>
      <c r="E447">
        <v>8123</v>
      </c>
      <c r="F447">
        <v>8.4</v>
      </c>
      <c r="G447">
        <v>8</v>
      </c>
      <c r="H447">
        <v>1.05</v>
      </c>
      <c r="I447">
        <v>-4.9999952E-2</v>
      </c>
      <c r="J447">
        <v>0.48780489999999999</v>
      </c>
    </row>
    <row r="448" spans="1:10" x14ac:dyDescent="0.3">
      <c r="A448">
        <v>446</v>
      </c>
      <c r="B448">
        <v>7083</v>
      </c>
      <c r="C448" t="b">
        <v>1</v>
      </c>
      <c r="D448">
        <v>8048</v>
      </c>
      <c r="E448">
        <v>8123</v>
      </c>
      <c r="F448">
        <v>8.8000000000000007</v>
      </c>
      <c r="G448">
        <v>8</v>
      </c>
      <c r="H448">
        <v>1.1000000000000001</v>
      </c>
      <c r="I448">
        <v>-0.10000002400000001</v>
      </c>
      <c r="J448">
        <v>0.47619050000000002</v>
      </c>
    </row>
    <row r="449" spans="1:10" x14ac:dyDescent="0.3">
      <c r="A449">
        <v>447</v>
      </c>
      <c r="B449">
        <v>7099</v>
      </c>
      <c r="C449" t="b">
        <v>1</v>
      </c>
      <c r="D449">
        <v>8054</v>
      </c>
      <c r="E449">
        <v>8129</v>
      </c>
      <c r="F449">
        <v>9.1999999999999993</v>
      </c>
      <c r="G449">
        <v>8</v>
      </c>
      <c r="H449">
        <v>1.1499999999999999</v>
      </c>
      <c r="I449">
        <v>-0.14999998</v>
      </c>
      <c r="J449">
        <v>0.46511626</v>
      </c>
    </row>
    <row r="450" spans="1:10" x14ac:dyDescent="0.3">
      <c r="A450">
        <v>448</v>
      </c>
      <c r="B450">
        <v>7114</v>
      </c>
      <c r="C450" t="b">
        <v>1</v>
      </c>
      <c r="D450">
        <v>8054</v>
      </c>
      <c r="E450">
        <v>8129</v>
      </c>
      <c r="F450">
        <v>9.6</v>
      </c>
      <c r="G450">
        <v>8</v>
      </c>
      <c r="H450">
        <v>1.2</v>
      </c>
      <c r="I450">
        <v>-0.20000005000000001</v>
      </c>
      <c r="J450">
        <v>0.45454544000000002</v>
      </c>
    </row>
    <row r="451" spans="1:10" x14ac:dyDescent="0.3">
      <c r="A451">
        <v>449</v>
      </c>
      <c r="B451">
        <v>7131</v>
      </c>
      <c r="C451" t="b">
        <v>1</v>
      </c>
      <c r="D451">
        <v>8048</v>
      </c>
      <c r="E451">
        <v>8123</v>
      </c>
      <c r="F451">
        <v>10</v>
      </c>
      <c r="G451">
        <v>8</v>
      </c>
      <c r="H451">
        <v>1.25</v>
      </c>
      <c r="I451">
        <v>-0.25</v>
      </c>
      <c r="J451">
        <v>0.44444444999999999</v>
      </c>
    </row>
    <row r="452" spans="1:10" x14ac:dyDescent="0.3">
      <c r="A452">
        <v>450</v>
      </c>
      <c r="B452">
        <v>7147</v>
      </c>
      <c r="C452" t="b">
        <v>1</v>
      </c>
      <c r="D452">
        <v>8048</v>
      </c>
      <c r="E452">
        <v>8129</v>
      </c>
      <c r="F452">
        <v>10</v>
      </c>
      <c r="G452">
        <v>8.4</v>
      </c>
      <c r="H452">
        <v>1.1904763</v>
      </c>
      <c r="I452">
        <v>-0.19047623999999999</v>
      </c>
      <c r="J452">
        <v>0.45652172000000002</v>
      </c>
    </row>
    <row r="453" spans="1:10" x14ac:dyDescent="0.3">
      <c r="A453">
        <v>451</v>
      </c>
      <c r="B453">
        <v>7162</v>
      </c>
      <c r="C453" t="b">
        <v>1</v>
      </c>
      <c r="D453">
        <v>8048</v>
      </c>
      <c r="E453">
        <v>8123</v>
      </c>
      <c r="F453">
        <v>10</v>
      </c>
      <c r="G453">
        <v>8.8000000000000007</v>
      </c>
      <c r="H453">
        <v>1.1363635999999999</v>
      </c>
      <c r="I453">
        <v>-0.13636361</v>
      </c>
      <c r="J453">
        <v>0.46808514000000001</v>
      </c>
    </row>
    <row r="454" spans="1:10" x14ac:dyDescent="0.3">
      <c r="A454">
        <v>452</v>
      </c>
      <c r="B454">
        <v>7178</v>
      </c>
      <c r="C454" t="b">
        <v>1</v>
      </c>
      <c r="D454">
        <v>8048</v>
      </c>
      <c r="E454">
        <v>8123</v>
      </c>
      <c r="F454">
        <v>10</v>
      </c>
      <c r="G454">
        <v>8.8000000000000007</v>
      </c>
      <c r="H454">
        <v>1.1363635999999999</v>
      </c>
      <c r="I454">
        <v>-0.13636361</v>
      </c>
      <c r="J454">
        <v>0.46808514000000001</v>
      </c>
    </row>
    <row r="455" spans="1:10" x14ac:dyDescent="0.3">
      <c r="A455">
        <v>453</v>
      </c>
      <c r="B455">
        <v>7194</v>
      </c>
      <c r="C455" t="b">
        <v>1</v>
      </c>
      <c r="D455">
        <v>8042</v>
      </c>
      <c r="E455">
        <v>8129</v>
      </c>
      <c r="F455">
        <v>10</v>
      </c>
      <c r="G455">
        <v>8.8000000000000007</v>
      </c>
      <c r="H455">
        <v>1.1363635999999999</v>
      </c>
      <c r="I455">
        <v>-0.13636361</v>
      </c>
      <c r="J455">
        <v>0.46808514000000001</v>
      </c>
    </row>
    <row r="456" spans="1:10" x14ac:dyDescent="0.3">
      <c r="A456">
        <v>454</v>
      </c>
      <c r="B456">
        <v>7210</v>
      </c>
      <c r="C456" t="b">
        <v>1</v>
      </c>
      <c r="D456">
        <v>8048</v>
      </c>
      <c r="E456">
        <v>8123</v>
      </c>
      <c r="F456">
        <v>10</v>
      </c>
      <c r="G456">
        <v>8.8000000000000007</v>
      </c>
      <c r="H456">
        <v>1.1363635999999999</v>
      </c>
      <c r="I456">
        <v>-0.13636361</v>
      </c>
      <c r="J456">
        <v>0.46808514000000001</v>
      </c>
    </row>
    <row r="457" spans="1:10" x14ac:dyDescent="0.3">
      <c r="A457">
        <v>455</v>
      </c>
      <c r="B457">
        <v>7226</v>
      </c>
      <c r="C457" t="b">
        <v>1</v>
      </c>
      <c r="D457">
        <v>8048</v>
      </c>
      <c r="E457">
        <v>8134</v>
      </c>
      <c r="F457">
        <v>10</v>
      </c>
      <c r="G457">
        <v>8.8000000000000007</v>
      </c>
      <c r="H457">
        <v>1.1363635999999999</v>
      </c>
      <c r="I457">
        <v>-0.13636361</v>
      </c>
      <c r="J457">
        <v>0.46808514000000001</v>
      </c>
    </row>
    <row r="458" spans="1:10" x14ac:dyDescent="0.3">
      <c r="A458">
        <v>456</v>
      </c>
      <c r="B458">
        <v>7242</v>
      </c>
      <c r="C458" t="b">
        <v>1</v>
      </c>
      <c r="D458">
        <v>8048</v>
      </c>
      <c r="E458">
        <v>8123</v>
      </c>
      <c r="F458">
        <v>10</v>
      </c>
      <c r="G458">
        <v>8.8000000000000007</v>
      </c>
      <c r="H458">
        <v>1.1363635999999999</v>
      </c>
      <c r="I458">
        <v>-0.13636361</v>
      </c>
      <c r="J458">
        <v>0.46808514000000001</v>
      </c>
    </row>
    <row r="459" spans="1:10" x14ac:dyDescent="0.3">
      <c r="A459">
        <v>457</v>
      </c>
      <c r="B459">
        <v>7258</v>
      </c>
      <c r="C459" t="b">
        <v>1</v>
      </c>
      <c r="D459">
        <v>8042</v>
      </c>
      <c r="E459">
        <v>8123</v>
      </c>
      <c r="F459">
        <v>10</v>
      </c>
      <c r="G459">
        <v>8.8000000000000007</v>
      </c>
      <c r="H459">
        <v>1.1363635999999999</v>
      </c>
      <c r="I459">
        <v>-0.13636361</v>
      </c>
      <c r="J459">
        <v>0.46808514000000001</v>
      </c>
    </row>
    <row r="460" spans="1:10" x14ac:dyDescent="0.3">
      <c r="A460">
        <v>458</v>
      </c>
      <c r="B460">
        <v>7273</v>
      </c>
      <c r="C460" t="b">
        <v>1</v>
      </c>
      <c r="D460">
        <v>8042</v>
      </c>
      <c r="E460">
        <v>8123</v>
      </c>
      <c r="F460">
        <v>10</v>
      </c>
      <c r="G460">
        <v>8.8000000000000007</v>
      </c>
      <c r="H460">
        <v>1.1363635999999999</v>
      </c>
      <c r="I460">
        <v>-0.13636361</v>
      </c>
      <c r="J460">
        <v>0.46808514000000001</v>
      </c>
    </row>
    <row r="461" spans="1:10" x14ac:dyDescent="0.3">
      <c r="A461">
        <v>459</v>
      </c>
      <c r="B461">
        <v>7289</v>
      </c>
      <c r="C461" t="b">
        <v>1</v>
      </c>
      <c r="D461">
        <v>8048</v>
      </c>
      <c r="E461">
        <v>8123</v>
      </c>
      <c r="F461">
        <v>10</v>
      </c>
      <c r="G461">
        <v>8.8000000000000007</v>
      </c>
      <c r="H461">
        <v>1.1363635999999999</v>
      </c>
      <c r="I461">
        <v>-0.13636361</v>
      </c>
      <c r="J461">
        <v>0.46808514000000001</v>
      </c>
    </row>
    <row r="462" spans="1:10" x14ac:dyDescent="0.3">
      <c r="A462">
        <v>460</v>
      </c>
      <c r="B462">
        <v>7305</v>
      </c>
      <c r="C462" t="b">
        <v>1</v>
      </c>
      <c r="D462">
        <v>8048</v>
      </c>
      <c r="E462">
        <v>8123</v>
      </c>
      <c r="F462">
        <v>9.6</v>
      </c>
      <c r="G462">
        <v>8.8000000000000007</v>
      </c>
      <c r="H462">
        <v>1.0909091</v>
      </c>
      <c r="I462">
        <v>-9.0909110000000001E-2</v>
      </c>
      <c r="J462">
        <v>0.47826084000000002</v>
      </c>
    </row>
    <row r="463" spans="1:10" x14ac:dyDescent="0.3">
      <c r="A463">
        <v>461</v>
      </c>
      <c r="B463">
        <v>7321</v>
      </c>
      <c r="C463" t="b">
        <v>1</v>
      </c>
      <c r="D463">
        <v>8048</v>
      </c>
      <c r="E463">
        <v>8123</v>
      </c>
      <c r="F463">
        <v>9.1999999999999993</v>
      </c>
      <c r="G463">
        <v>8.8000000000000007</v>
      </c>
      <c r="H463">
        <v>1.0454545</v>
      </c>
      <c r="I463">
        <v>-4.5454502000000001E-2</v>
      </c>
      <c r="J463">
        <v>0.48888890000000002</v>
      </c>
    </row>
    <row r="464" spans="1:10" x14ac:dyDescent="0.3">
      <c r="A464">
        <v>462</v>
      </c>
      <c r="B464">
        <v>7337</v>
      </c>
      <c r="C464" t="b">
        <v>1</v>
      </c>
      <c r="D464">
        <v>8048</v>
      </c>
      <c r="E464">
        <v>8123</v>
      </c>
      <c r="F464">
        <v>8.8000000000000007</v>
      </c>
      <c r="G464">
        <v>8.8000000000000007</v>
      </c>
      <c r="H464">
        <v>1</v>
      </c>
      <c r="I464">
        <v>0</v>
      </c>
      <c r="J464">
        <v>0.5</v>
      </c>
    </row>
    <row r="465" spans="1:10" x14ac:dyDescent="0.3">
      <c r="A465">
        <v>463</v>
      </c>
      <c r="B465">
        <v>7353</v>
      </c>
      <c r="C465" t="b">
        <v>1</v>
      </c>
      <c r="D465">
        <v>8048</v>
      </c>
      <c r="E465">
        <v>8117</v>
      </c>
      <c r="F465">
        <v>8.4</v>
      </c>
      <c r="G465">
        <v>8.8000000000000007</v>
      </c>
      <c r="H465">
        <v>0.95454539999999999</v>
      </c>
      <c r="I465">
        <v>4.5454609999999999E-2</v>
      </c>
      <c r="J465">
        <v>0.51162790000000002</v>
      </c>
    </row>
    <row r="466" spans="1:10" x14ac:dyDescent="0.3">
      <c r="A466">
        <v>464</v>
      </c>
      <c r="B466">
        <v>7369</v>
      </c>
      <c r="C466" t="b">
        <v>1</v>
      </c>
      <c r="D466">
        <v>8048</v>
      </c>
      <c r="E466">
        <v>8117</v>
      </c>
      <c r="F466">
        <v>8</v>
      </c>
      <c r="G466">
        <v>8.8000000000000007</v>
      </c>
      <c r="H466">
        <v>0.90909090000000004</v>
      </c>
      <c r="I466">
        <v>9.0909110000000001E-2</v>
      </c>
      <c r="J466">
        <v>0.52380954999999996</v>
      </c>
    </row>
    <row r="467" spans="1:10" x14ac:dyDescent="0.3">
      <c r="A467">
        <v>465</v>
      </c>
      <c r="B467">
        <v>7384</v>
      </c>
      <c r="C467" t="b">
        <v>1</v>
      </c>
      <c r="D467">
        <v>8054</v>
      </c>
      <c r="E467">
        <v>8117</v>
      </c>
      <c r="F467">
        <v>8</v>
      </c>
      <c r="G467">
        <v>8</v>
      </c>
      <c r="H467">
        <v>1</v>
      </c>
      <c r="I467">
        <v>0</v>
      </c>
      <c r="J467">
        <v>0.5</v>
      </c>
    </row>
    <row r="468" spans="1:10" x14ac:dyDescent="0.3">
      <c r="A468">
        <v>466</v>
      </c>
      <c r="B468">
        <v>7400</v>
      </c>
      <c r="C468" t="b">
        <v>1</v>
      </c>
      <c r="D468">
        <v>8048</v>
      </c>
      <c r="E468">
        <v>8117</v>
      </c>
      <c r="F468">
        <v>8</v>
      </c>
      <c r="G468">
        <v>7.2</v>
      </c>
      <c r="H468">
        <v>1.1111112000000001</v>
      </c>
      <c r="I468">
        <v>-0.11111114</v>
      </c>
      <c r="J468">
        <v>0.4736842</v>
      </c>
    </row>
    <row r="469" spans="1:10" x14ac:dyDescent="0.3">
      <c r="A469">
        <v>467</v>
      </c>
      <c r="B469">
        <v>7416</v>
      </c>
      <c r="C469" t="b">
        <v>1</v>
      </c>
      <c r="D469">
        <v>8054</v>
      </c>
      <c r="E469">
        <v>8117</v>
      </c>
      <c r="F469">
        <v>8</v>
      </c>
      <c r="G469">
        <v>6.8</v>
      </c>
      <c r="H469">
        <v>1.1764705</v>
      </c>
      <c r="I469">
        <v>-0.17647055</v>
      </c>
      <c r="J469">
        <v>0.45945944999999999</v>
      </c>
    </row>
    <row r="470" spans="1:10" x14ac:dyDescent="0.3">
      <c r="A470">
        <v>468</v>
      </c>
      <c r="B470">
        <v>7431</v>
      </c>
      <c r="C470" t="b">
        <v>1</v>
      </c>
      <c r="D470">
        <v>8048</v>
      </c>
      <c r="E470">
        <v>8123</v>
      </c>
      <c r="F470">
        <v>8</v>
      </c>
      <c r="G470">
        <v>6.4</v>
      </c>
      <c r="H470">
        <v>1.25</v>
      </c>
      <c r="I470">
        <v>-0.24999999000000001</v>
      </c>
      <c r="J470">
        <v>0.44444447999999998</v>
      </c>
    </row>
    <row r="471" spans="1:10" x14ac:dyDescent="0.3">
      <c r="A471">
        <v>469</v>
      </c>
      <c r="B471">
        <v>7447</v>
      </c>
      <c r="C471" t="b">
        <v>1</v>
      </c>
      <c r="D471">
        <v>8048</v>
      </c>
      <c r="E471">
        <v>8123</v>
      </c>
      <c r="F471">
        <v>8</v>
      </c>
      <c r="G471">
        <v>6</v>
      </c>
      <c r="H471">
        <v>1.3333333999999999</v>
      </c>
      <c r="I471">
        <v>-0.33333333999999998</v>
      </c>
      <c r="J471">
        <v>0.42857142999999998</v>
      </c>
    </row>
    <row r="472" spans="1:10" x14ac:dyDescent="0.3">
      <c r="A472">
        <v>470</v>
      </c>
      <c r="B472">
        <v>7463</v>
      </c>
      <c r="C472" t="b">
        <v>1</v>
      </c>
      <c r="D472">
        <v>8042</v>
      </c>
      <c r="E472">
        <v>8123</v>
      </c>
      <c r="F472">
        <v>8</v>
      </c>
      <c r="G472">
        <v>6</v>
      </c>
      <c r="H472">
        <v>1.3333333999999999</v>
      </c>
      <c r="I472">
        <v>-0.33333333999999998</v>
      </c>
      <c r="J472">
        <v>0.42857142999999998</v>
      </c>
    </row>
    <row r="473" spans="1:10" x14ac:dyDescent="0.3">
      <c r="A473">
        <v>471</v>
      </c>
      <c r="B473">
        <v>7479</v>
      </c>
      <c r="C473" t="b">
        <v>1</v>
      </c>
      <c r="D473">
        <v>8042</v>
      </c>
      <c r="E473">
        <v>8123</v>
      </c>
      <c r="F473">
        <v>8</v>
      </c>
      <c r="G473">
        <v>6</v>
      </c>
      <c r="H473">
        <v>1.3333333999999999</v>
      </c>
      <c r="I473">
        <v>-0.33333333999999998</v>
      </c>
      <c r="J473">
        <v>0.42857142999999998</v>
      </c>
    </row>
    <row r="474" spans="1:10" x14ac:dyDescent="0.3">
      <c r="A474">
        <v>472</v>
      </c>
      <c r="B474">
        <v>7495</v>
      </c>
      <c r="C474" t="b">
        <v>1</v>
      </c>
      <c r="D474">
        <v>8042</v>
      </c>
      <c r="E474">
        <v>8123</v>
      </c>
      <c r="F474">
        <v>7.6</v>
      </c>
      <c r="G474">
        <v>6</v>
      </c>
      <c r="H474">
        <v>1.2666667</v>
      </c>
      <c r="I474">
        <v>-0.26666665000000001</v>
      </c>
      <c r="J474">
        <v>0.44117644</v>
      </c>
    </row>
    <row r="475" spans="1:10" x14ac:dyDescent="0.3">
      <c r="A475">
        <v>473</v>
      </c>
      <c r="B475">
        <v>7511</v>
      </c>
      <c r="C475" t="b">
        <v>1</v>
      </c>
      <c r="D475">
        <v>8048</v>
      </c>
      <c r="E475">
        <v>8123</v>
      </c>
      <c r="F475">
        <v>7.2</v>
      </c>
      <c r="G475">
        <v>6</v>
      </c>
      <c r="H475">
        <v>1.1999998999999999</v>
      </c>
      <c r="I475">
        <v>-0.19999997</v>
      </c>
      <c r="J475">
        <v>0.45454547000000001</v>
      </c>
    </row>
    <row r="476" spans="1:10" x14ac:dyDescent="0.3">
      <c r="A476">
        <v>474</v>
      </c>
      <c r="B476">
        <v>7527</v>
      </c>
      <c r="C476" t="b">
        <v>1</v>
      </c>
      <c r="D476">
        <v>8054</v>
      </c>
      <c r="E476">
        <v>8123</v>
      </c>
      <c r="F476">
        <v>6.8</v>
      </c>
      <c r="G476">
        <v>6</v>
      </c>
      <c r="H476">
        <v>1.1333333000000001</v>
      </c>
      <c r="I476">
        <v>-0.13333337000000001</v>
      </c>
      <c r="J476">
        <v>0.46875</v>
      </c>
    </row>
    <row r="477" spans="1:10" x14ac:dyDescent="0.3">
      <c r="A477">
        <v>475</v>
      </c>
      <c r="B477">
        <v>7543</v>
      </c>
      <c r="C477" t="b">
        <v>1</v>
      </c>
      <c r="D477">
        <v>8054</v>
      </c>
      <c r="E477">
        <v>8123</v>
      </c>
      <c r="F477">
        <v>6.8</v>
      </c>
      <c r="G477">
        <v>6</v>
      </c>
      <c r="H477">
        <v>1.1333333000000001</v>
      </c>
      <c r="I477">
        <v>-0.13333337000000001</v>
      </c>
      <c r="J477">
        <v>0.46875</v>
      </c>
    </row>
    <row r="478" spans="1:10" x14ac:dyDescent="0.3">
      <c r="A478">
        <v>476</v>
      </c>
      <c r="B478">
        <v>7558</v>
      </c>
      <c r="C478" t="b">
        <v>1</v>
      </c>
      <c r="D478">
        <v>8054</v>
      </c>
      <c r="E478">
        <v>8123</v>
      </c>
      <c r="F478">
        <v>7.2</v>
      </c>
      <c r="G478">
        <v>6</v>
      </c>
      <c r="H478">
        <v>1.1999998999999999</v>
      </c>
      <c r="I478">
        <v>-0.19999997</v>
      </c>
      <c r="J478">
        <v>0.45454547000000001</v>
      </c>
    </row>
    <row r="479" spans="1:10" x14ac:dyDescent="0.3">
      <c r="A479">
        <v>477</v>
      </c>
      <c r="B479">
        <v>7574</v>
      </c>
      <c r="C479" t="b">
        <v>1</v>
      </c>
      <c r="D479">
        <v>8054</v>
      </c>
      <c r="E479">
        <v>8129</v>
      </c>
      <c r="F479">
        <v>7.6</v>
      </c>
      <c r="G479">
        <v>6</v>
      </c>
      <c r="H479">
        <v>1.2666667</v>
      </c>
      <c r="I479">
        <v>-0.26666665000000001</v>
      </c>
      <c r="J479">
        <v>0.44117644</v>
      </c>
    </row>
    <row r="480" spans="1:10" x14ac:dyDescent="0.3">
      <c r="A480">
        <v>478</v>
      </c>
      <c r="B480">
        <v>7590</v>
      </c>
      <c r="C480" t="b">
        <v>1</v>
      </c>
      <c r="D480">
        <v>8054</v>
      </c>
      <c r="E480">
        <v>8123</v>
      </c>
      <c r="F480">
        <v>8</v>
      </c>
      <c r="G480">
        <v>6</v>
      </c>
      <c r="H480">
        <v>1.3333333999999999</v>
      </c>
      <c r="I480">
        <v>-0.33333333999999998</v>
      </c>
      <c r="J480">
        <v>0.42857142999999998</v>
      </c>
    </row>
    <row r="481" spans="1:10" x14ac:dyDescent="0.3">
      <c r="A481">
        <v>479</v>
      </c>
      <c r="B481">
        <v>7606</v>
      </c>
      <c r="C481" t="b">
        <v>1</v>
      </c>
      <c r="D481">
        <v>8054</v>
      </c>
      <c r="E481">
        <v>8129</v>
      </c>
      <c r="F481">
        <v>8.4</v>
      </c>
      <c r="G481">
        <v>6</v>
      </c>
      <c r="H481">
        <v>1.4</v>
      </c>
      <c r="I481">
        <v>-0.39999994999999999</v>
      </c>
      <c r="J481">
        <v>0.4166667</v>
      </c>
    </row>
    <row r="482" spans="1:10" x14ac:dyDescent="0.3">
      <c r="A482">
        <v>480</v>
      </c>
      <c r="B482">
        <v>7622</v>
      </c>
      <c r="C482" t="b">
        <v>1</v>
      </c>
      <c r="D482">
        <v>8054</v>
      </c>
      <c r="E482">
        <v>8123</v>
      </c>
      <c r="F482">
        <v>8.8000000000000007</v>
      </c>
      <c r="G482">
        <v>6.4</v>
      </c>
      <c r="H482">
        <v>1.375</v>
      </c>
      <c r="I482">
        <v>-0.375</v>
      </c>
      <c r="J482">
        <v>0.4210526</v>
      </c>
    </row>
    <row r="483" spans="1:10" x14ac:dyDescent="0.3">
      <c r="A483">
        <v>481</v>
      </c>
      <c r="B483">
        <v>7637</v>
      </c>
      <c r="C483" t="b">
        <v>1</v>
      </c>
      <c r="D483">
        <v>8048</v>
      </c>
      <c r="E483">
        <v>8123</v>
      </c>
      <c r="F483">
        <v>9.1999999999999993</v>
      </c>
      <c r="G483">
        <v>6.8</v>
      </c>
      <c r="H483">
        <v>1.3529412000000001</v>
      </c>
      <c r="I483">
        <v>-0.35294110000000001</v>
      </c>
      <c r="J483">
        <v>0.42499999999999999</v>
      </c>
    </row>
    <row r="484" spans="1:10" x14ac:dyDescent="0.3">
      <c r="A484">
        <v>482</v>
      </c>
      <c r="B484">
        <v>7653</v>
      </c>
      <c r="C484" t="b">
        <v>1</v>
      </c>
      <c r="D484">
        <v>8048</v>
      </c>
      <c r="E484">
        <v>8129</v>
      </c>
      <c r="F484">
        <v>9.6</v>
      </c>
      <c r="G484">
        <v>7.2</v>
      </c>
      <c r="H484">
        <v>1.3333333999999999</v>
      </c>
      <c r="I484">
        <v>-0.33333342999999999</v>
      </c>
      <c r="J484">
        <v>0.42857142999999998</v>
      </c>
    </row>
    <row r="485" spans="1:10" x14ac:dyDescent="0.3">
      <c r="A485">
        <v>483</v>
      </c>
      <c r="B485">
        <v>7669</v>
      </c>
      <c r="C485" t="b">
        <v>1</v>
      </c>
      <c r="D485">
        <v>8048</v>
      </c>
      <c r="E485">
        <v>8123</v>
      </c>
      <c r="F485">
        <v>9.6</v>
      </c>
      <c r="G485">
        <v>7.6</v>
      </c>
      <c r="H485">
        <v>1.263158</v>
      </c>
      <c r="I485">
        <v>-0.26315796000000002</v>
      </c>
      <c r="J485">
        <v>0.44186044000000002</v>
      </c>
    </row>
    <row r="486" spans="1:10" x14ac:dyDescent="0.3">
      <c r="A486">
        <v>484</v>
      </c>
      <c r="B486">
        <v>7685</v>
      </c>
      <c r="C486" t="b">
        <v>1</v>
      </c>
      <c r="D486">
        <v>8048</v>
      </c>
      <c r="E486">
        <v>8123</v>
      </c>
      <c r="F486">
        <v>9.6</v>
      </c>
      <c r="G486">
        <v>8</v>
      </c>
      <c r="H486">
        <v>1.2</v>
      </c>
      <c r="I486">
        <v>-0.20000005000000001</v>
      </c>
      <c r="J486">
        <v>0.45454544000000002</v>
      </c>
    </row>
    <row r="487" spans="1:10" x14ac:dyDescent="0.3">
      <c r="A487">
        <v>485</v>
      </c>
      <c r="B487">
        <v>7701</v>
      </c>
      <c r="C487" t="b">
        <v>1</v>
      </c>
      <c r="D487">
        <v>8048</v>
      </c>
      <c r="E487">
        <v>8129</v>
      </c>
      <c r="F487">
        <v>9.6</v>
      </c>
      <c r="G487">
        <v>8</v>
      </c>
      <c r="H487">
        <v>1.2</v>
      </c>
      <c r="I487">
        <v>-0.20000005000000001</v>
      </c>
      <c r="J487">
        <v>0.45454544000000002</v>
      </c>
    </row>
    <row r="488" spans="1:10" x14ac:dyDescent="0.3">
      <c r="A488">
        <v>486</v>
      </c>
      <c r="B488">
        <v>7716</v>
      </c>
      <c r="C488" t="b">
        <v>1</v>
      </c>
      <c r="D488">
        <v>8042</v>
      </c>
      <c r="E488">
        <v>8129</v>
      </c>
      <c r="F488">
        <v>9.6</v>
      </c>
      <c r="G488">
        <v>8.4</v>
      </c>
      <c r="H488">
        <v>1.1428571999999999</v>
      </c>
      <c r="I488">
        <v>-0.14285724</v>
      </c>
      <c r="J488">
        <v>0.46666664000000002</v>
      </c>
    </row>
    <row r="489" spans="1:10" x14ac:dyDescent="0.3">
      <c r="A489">
        <v>487</v>
      </c>
      <c r="B489">
        <v>7732</v>
      </c>
      <c r="C489" t="b">
        <v>1</v>
      </c>
      <c r="D489">
        <v>8048</v>
      </c>
      <c r="E489">
        <v>8123</v>
      </c>
      <c r="F489">
        <v>10</v>
      </c>
      <c r="G489">
        <v>8.4</v>
      </c>
      <c r="H489">
        <v>1.1904763</v>
      </c>
      <c r="I489">
        <v>-0.19047623999999999</v>
      </c>
      <c r="J489">
        <v>0.45652172000000002</v>
      </c>
    </row>
    <row r="490" spans="1:10" x14ac:dyDescent="0.3">
      <c r="A490">
        <v>488</v>
      </c>
      <c r="B490">
        <v>7748</v>
      </c>
      <c r="C490" t="b">
        <v>1</v>
      </c>
      <c r="D490">
        <v>8048</v>
      </c>
      <c r="E490">
        <v>8123</v>
      </c>
      <c r="F490">
        <v>10.4</v>
      </c>
      <c r="G490">
        <v>8.4</v>
      </c>
      <c r="H490">
        <v>1.2380952999999999</v>
      </c>
      <c r="I490">
        <v>-0.23809525000000001</v>
      </c>
      <c r="J490">
        <v>0.44680851999999999</v>
      </c>
    </row>
    <row r="491" spans="1:10" x14ac:dyDescent="0.3">
      <c r="A491">
        <v>489</v>
      </c>
      <c r="B491">
        <v>7763</v>
      </c>
      <c r="C491" t="b">
        <v>1</v>
      </c>
      <c r="D491">
        <v>8048</v>
      </c>
      <c r="E491">
        <v>8123</v>
      </c>
      <c r="F491">
        <v>10.8</v>
      </c>
      <c r="G491">
        <v>8.4</v>
      </c>
      <c r="H491">
        <v>1.2857144</v>
      </c>
      <c r="I491">
        <v>-0.28571436</v>
      </c>
      <c r="J491">
        <v>0.43749997000000002</v>
      </c>
    </row>
    <row r="492" spans="1:10" x14ac:dyDescent="0.3">
      <c r="A492">
        <v>490</v>
      </c>
      <c r="B492">
        <v>7779</v>
      </c>
      <c r="C492" t="b">
        <v>1</v>
      </c>
      <c r="D492">
        <v>8042</v>
      </c>
      <c r="E492">
        <v>8123</v>
      </c>
      <c r="F492">
        <v>10.8</v>
      </c>
      <c r="G492">
        <v>8.4</v>
      </c>
      <c r="H492">
        <v>1.2857144</v>
      </c>
      <c r="I492">
        <v>-0.28571436</v>
      </c>
      <c r="J492">
        <v>0.43749997000000002</v>
      </c>
    </row>
    <row r="493" spans="1:10" x14ac:dyDescent="0.3">
      <c r="A493">
        <v>491</v>
      </c>
      <c r="B493">
        <v>7794</v>
      </c>
      <c r="C493" t="b">
        <v>1</v>
      </c>
      <c r="D493">
        <v>8048</v>
      </c>
      <c r="E493">
        <v>8123</v>
      </c>
      <c r="F493">
        <v>10.4</v>
      </c>
      <c r="G493">
        <v>8.4</v>
      </c>
      <c r="H493">
        <v>1.2380952999999999</v>
      </c>
      <c r="I493">
        <v>-0.23809525000000001</v>
      </c>
      <c r="J493">
        <v>0.44680851999999999</v>
      </c>
    </row>
    <row r="494" spans="1:10" x14ac:dyDescent="0.3">
      <c r="A494">
        <v>492</v>
      </c>
      <c r="B494">
        <v>7810</v>
      </c>
      <c r="C494" t="b">
        <v>1</v>
      </c>
      <c r="D494">
        <v>8042</v>
      </c>
      <c r="E494">
        <v>8123</v>
      </c>
      <c r="F494">
        <v>10</v>
      </c>
      <c r="G494">
        <v>8.4</v>
      </c>
      <c r="H494">
        <v>1.1904763</v>
      </c>
      <c r="I494">
        <v>-0.19047623999999999</v>
      </c>
      <c r="J494">
        <v>0.45652172000000002</v>
      </c>
    </row>
    <row r="495" spans="1:10" x14ac:dyDescent="0.3">
      <c r="A495">
        <v>493</v>
      </c>
      <c r="B495">
        <v>7826</v>
      </c>
      <c r="C495" t="b">
        <v>1</v>
      </c>
      <c r="D495">
        <v>8048</v>
      </c>
      <c r="E495">
        <v>8123</v>
      </c>
      <c r="F495">
        <v>9.6</v>
      </c>
      <c r="G495">
        <v>8.4</v>
      </c>
      <c r="H495">
        <v>1.1428571999999999</v>
      </c>
      <c r="I495">
        <v>-0.14285724</v>
      </c>
      <c r="J495">
        <v>0.46666664000000002</v>
      </c>
    </row>
    <row r="496" spans="1:10" x14ac:dyDescent="0.3">
      <c r="A496">
        <v>494</v>
      </c>
      <c r="B496">
        <v>7842</v>
      </c>
      <c r="C496" t="b">
        <v>1</v>
      </c>
      <c r="D496">
        <v>8048</v>
      </c>
      <c r="E496">
        <v>8123</v>
      </c>
      <c r="F496">
        <v>9.1999999999999993</v>
      </c>
      <c r="G496">
        <v>8.4</v>
      </c>
      <c r="H496">
        <v>1.0952381</v>
      </c>
      <c r="I496">
        <v>-9.5238119999999996E-2</v>
      </c>
      <c r="J496">
        <v>0.47727275000000002</v>
      </c>
    </row>
    <row r="497" spans="1:10" x14ac:dyDescent="0.3">
      <c r="A497">
        <v>495</v>
      </c>
      <c r="B497">
        <v>7857</v>
      </c>
      <c r="C497" t="b">
        <v>1</v>
      </c>
      <c r="D497">
        <v>8048</v>
      </c>
      <c r="E497">
        <v>8123</v>
      </c>
      <c r="F497">
        <v>8.8000000000000007</v>
      </c>
      <c r="G497">
        <v>8.4</v>
      </c>
      <c r="H497">
        <v>1.0476190999999999</v>
      </c>
      <c r="I497">
        <v>-4.7619120000000001E-2</v>
      </c>
      <c r="J497">
        <v>0.48837206</v>
      </c>
    </row>
    <row r="498" spans="1:10" x14ac:dyDescent="0.3">
      <c r="A498">
        <v>496</v>
      </c>
      <c r="B498">
        <v>7873</v>
      </c>
      <c r="C498" t="b">
        <v>1</v>
      </c>
      <c r="D498">
        <v>8048</v>
      </c>
      <c r="E498">
        <v>8123</v>
      </c>
      <c r="F498">
        <v>8.4</v>
      </c>
      <c r="G498">
        <v>8.4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7889</v>
      </c>
      <c r="C499" t="b">
        <v>1</v>
      </c>
      <c r="D499">
        <v>8048</v>
      </c>
      <c r="E499">
        <v>8123</v>
      </c>
      <c r="F499">
        <v>8</v>
      </c>
      <c r="G499">
        <v>8.4</v>
      </c>
      <c r="H499">
        <v>0.95238100000000003</v>
      </c>
      <c r="I499">
        <v>4.7619003999999999E-2</v>
      </c>
      <c r="J499">
        <v>0.51219510000000001</v>
      </c>
    </row>
    <row r="500" spans="1:10" x14ac:dyDescent="0.3">
      <c r="A500">
        <v>498</v>
      </c>
      <c r="B500">
        <v>7905</v>
      </c>
      <c r="C500" t="b">
        <v>1</v>
      </c>
      <c r="D500">
        <v>8048</v>
      </c>
      <c r="E500">
        <v>8129</v>
      </c>
      <c r="F500">
        <v>8</v>
      </c>
      <c r="G500">
        <v>8.4</v>
      </c>
      <c r="H500">
        <v>0.95238100000000003</v>
      </c>
      <c r="I500">
        <v>4.7619003999999999E-2</v>
      </c>
      <c r="J500">
        <v>0.51219510000000001</v>
      </c>
    </row>
    <row r="501" spans="1:10" x14ac:dyDescent="0.3">
      <c r="A501">
        <v>499</v>
      </c>
      <c r="B501">
        <v>7920</v>
      </c>
      <c r="C501" t="b">
        <v>1</v>
      </c>
      <c r="D501">
        <v>8042</v>
      </c>
      <c r="E501">
        <v>8123</v>
      </c>
      <c r="F501">
        <v>8</v>
      </c>
      <c r="G501">
        <v>8.4</v>
      </c>
      <c r="H501">
        <v>0.95238100000000003</v>
      </c>
      <c r="I501">
        <v>4.7619003999999999E-2</v>
      </c>
      <c r="J501">
        <v>0.51219510000000001</v>
      </c>
    </row>
    <row r="502" spans="1:10" x14ac:dyDescent="0.3">
      <c r="A502">
        <v>500</v>
      </c>
      <c r="B502">
        <v>7936</v>
      </c>
      <c r="C502" t="b">
        <v>1</v>
      </c>
      <c r="D502">
        <v>8048</v>
      </c>
      <c r="E502">
        <v>8123</v>
      </c>
      <c r="F502">
        <v>8</v>
      </c>
      <c r="G502">
        <v>8.4</v>
      </c>
      <c r="H502">
        <v>0.95238100000000003</v>
      </c>
      <c r="I502">
        <v>4.7619003999999999E-2</v>
      </c>
      <c r="J502">
        <v>0.51219510000000001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354F-2604-4B3F-9591-BE573F4A92D2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22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37</v>
      </c>
      <c r="C4" t="b">
        <v>1</v>
      </c>
      <c r="D4">
        <v>8054</v>
      </c>
      <c r="E4">
        <v>8129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53</v>
      </c>
      <c r="C5" t="b">
        <v>1</v>
      </c>
      <c r="D5">
        <v>8054</v>
      </c>
      <c r="E5">
        <v>8123</v>
      </c>
      <c r="F5">
        <v>9.5</v>
      </c>
      <c r="G5">
        <v>8</v>
      </c>
      <c r="H5">
        <v>1.1875</v>
      </c>
      <c r="I5">
        <v>-0.1875</v>
      </c>
      <c r="J5">
        <v>0.45714285999999998</v>
      </c>
    </row>
    <row r="6" spans="1:10" x14ac:dyDescent="0.3">
      <c r="A6">
        <v>4</v>
      </c>
      <c r="B6">
        <v>69</v>
      </c>
      <c r="C6" t="b">
        <v>1</v>
      </c>
      <c r="D6">
        <v>8054</v>
      </c>
      <c r="E6">
        <v>8129</v>
      </c>
      <c r="F6">
        <v>10.4</v>
      </c>
      <c r="G6">
        <v>8</v>
      </c>
      <c r="H6">
        <v>1.3</v>
      </c>
      <c r="I6">
        <v>-0.29999995000000002</v>
      </c>
      <c r="J6">
        <v>0.43478262000000001</v>
      </c>
    </row>
    <row r="7" spans="1:10" x14ac:dyDescent="0.3">
      <c r="A7">
        <v>5</v>
      </c>
      <c r="B7">
        <v>86</v>
      </c>
      <c r="C7" t="b">
        <v>1</v>
      </c>
      <c r="D7">
        <v>8054</v>
      </c>
      <c r="E7">
        <v>8123</v>
      </c>
      <c r="F7">
        <v>11</v>
      </c>
      <c r="G7">
        <v>8</v>
      </c>
      <c r="H7">
        <v>1.375</v>
      </c>
      <c r="I7">
        <v>-0.375</v>
      </c>
      <c r="J7">
        <v>0.42105262999999998</v>
      </c>
    </row>
    <row r="8" spans="1:10" x14ac:dyDescent="0.3">
      <c r="A8">
        <v>6</v>
      </c>
      <c r="B8">
        <v>102</v>
      </c>
      <c r="C8" t="b">
        <v>1</v>
      </c>
      <c r="D8">
        <v>8048</v>
      </c>
      <c r="E8">
        <v>8129</v>
      </c>
      <c r="F8">
        <v>11.428572000000001</v>
      </c>
      <c r="G8">
        <v>8.8571419999999996</v>
      </c>
      <c r="H8">
        <v>1.2903226999999999</v>
      </c>
      <c r="I8">
        <v>-0.29032266000000001</v>
      </c>
      <c r="J8">
        <v>0.43661972999999998</v>
      </c>
    </row>
    <row r="9" spans="1:10" x14ac:dyDescent="0.3">
      <c r="A9">
        <v>7</v>
      </c>
      <c r="B9">
        <v>117</v>
      </c>
      <c r="C9" t="b">
        <v>1</v>
      </c>
      <c r="D9">
        <v>8054</v>
      </c>
      <c r="E9">
        <v>8123</v>
      </c>
      <c r="F9">
        <v>11.75</v>
      </c>
      <c r="G9">
        <v>8.75</v>
      </c>
      <c r="H9">
        <v>1.3428571</v>
      </c>
      <c r="I9">
        <v>-0.34285715</v>
      </c>
      <c r="J9">
        <v>0.42682927999999998</v>
      </c>
    </row>
    <row r="10" spans="1:10" x14ac:dyDescent="0.3">
      <c r="A10">
        <v>8</v>
      </c>
      <c r="B10">
        <v>133</v>
      </c>
      <c r="C10" t="b">
        <v>1</v>
      </c>
      <c r="D10">
        <v>8048</v>
      </c>
      <c r="E10">
        <v>8134</v>
      </c>
      <c r="F10">
        <v>12</v>
      </c>
      <c r="G10">
        <v>9.3333329999999997</v>
      </c>
      <c r="H10">
        <v>1.2857144</v>
      </c>
      <c r="I10">
        <v>-0.28571433000000002</v>
      </c>
      <c r="J10">
        <v>0.4375</v>
      </c>
    </row>
    <row r="11" spans="1:10" x14ac:dyDescent="0.3">
      <c r="A11">
        <v>9</v>
      </c>
      <c r="B11">
        <v>149</v>
      </c>
      <c r="C11" t="b">
        <v>1</v>
      </c>
      <c r="D11">
        <v>8054</v>
      </c>
      <c r="E11">
        <v>8129</v>
      </c>
      <c r="F11">
        <v>12.2</v>
      </c>
      <c r="G11">
        <v>9.8000000000000007</v>
      </c>
      <c r="H11">
        <v>1.2448980000000001</v>
      </c>
      <c r="I11">
        <v>-0.24489791999999999</v>
      </c>
      <c r="J11">
        <v>0.44545456999999999</v>
      </c>
    </row>
    <row r="12" spans="1:10" x14ac:dyDescent="0.3">
      <c r="A12">
        <v>10</v>
      </c>
      <c r="B12">
        <v>165</v>
      </c>
      <c r="C12" t="b">
        <v>1</v>
      </c>
      <c r="D12">
        <v>8048</v>
      </c>
      <c r="E12">
        <v>8129</v>
      </c>
      <c r="F12">
        <v>11.818182</v>
      </c>
      <c r="G12">
        <v>10.181818</v>
      </c>
      <c r="H12">
        <v>1.1607143</v>
      </c>
      <c r="I12">
        <v>-0.16071432999999999</v>
      </c>
      <c r="J12">
        <v>0.46280991999999999</v>
      </c>
    </row>
    <row r="13" spans="1:10" x14ac:dyDescent="0.3">
      <c r="A13">
        <v>11</v>
      </c>
      <c r="B13">
        <v>181</v>
      </c>
      <c r="C13" t="b">
        <v>1</v>
      </c>
      <c r="D13">
        <v>8048</v>
      </c>
      <c r="E13">
        <v>8129</v>
      </c>
      <c r="F13">
        <v>11.5</v>
      </c>
      <c r="G13">
        <v>10.5</v>
      </c>
      <c r="H13">
        <v>1.0952381</v>
      </c>
      <c r="I13">
        <v>-9.5238100000000006E-2</v>
      </c>
      <c r="J13">
        <v>0.47727271999999998</v>
      </c>
    </row>
    <row r="14" spans="1:10" x14ac:dyDescent="0.3">
      <c r="A14">
        <v>12</v>
      </c>
      <c r="B14">
        <v>197</v>
      </c>
      <c r="C14" t="b">
        <v>1</v>
      </c>
      <c r="D14">
        <v>8048</v>
      </c>
      <c r="E14">
        <v>8123</v>
      </c>
      <c r="F14">
        <v>11.230769</v>
      </c>
      <c r="G14">
        <v>10.769231</v>
      </c>
      <c r="H14">
        <v>1.0428572</v>
      </c>
      <c r="I14">
        <v>-4.285713E-2</v>
      </c>
      <c r="J14">
        <v>0.48951050000000002</v>
      </c>
    </row>
    <row r="15" spans="1:10" x14ac:dyDescent="0.3">
      <c r="A15">
        <v>13</v>
      </c>
      <c r="B15">
        <v>213</v>
      </c>
      <c r="C15" t="b">
        <v>1</v>
      </c>
      <c r="D15">
        <v>8048</v>
      </c>
      <c r="E15">
        <v>8123</v>
      </c>
      <c r="F15">
        <v>11</v>
      </c>
      <c r="G15">
        <v>11</v>
      </c>
      <c r="H15">
        <v>1</v>
      </c>
      <c r="I15">
        <v>0</v>
      </c>
      <c r="J15">
        <v>0.5</v>
      </c>
    </row>
    <row r="16" spans="1:10" x14ac:dyDescent="0.3">
      <c r="A16">
        <v>14</v>
      </c>
      <c r="B16">
        <v>229</v>
      </c>
      <c r="C16" t="b">
        <v>1</v>
      </c>
      <c r="D16">
        <v>8048</v>
      </c>
      <c r="E16">
        <v>8129</v>
      </c>
      <c r="F16">
        <v>10.8</v>
      </c>
      <c r="G16">
        <v>11.2</v>
      </c>
      <c r="H16">
        <v>0.96428572999999995</v>
      </c>
      <c r="I16">
        <v>3.5714254000000001E-2</v>
      </c>
      <c r="J16">
        <v>0.50909090000000001</v>
      </c>
    </row>
    <row r="17" spans="1:10" x14ac:dyDescent="0.3">
      <c r="A17">
        <v>15</v>
      </c>
      <c r="B17">
        <v>245</v>
      </c>
      <c r="C17" t="b">
        <v>1</v>
      </c>
      <c r="D17">
        <v>8048</v>
      </c>
      <c r="E17">
        <v>8123</v>
      </c>
      <c r="F17">
        <v>10.8</v>
      </c>
      <c r="G17">
        <v>11.2</v>
      </c>
      <c r="H17">
        <v>0.96428572999999995</v>
      </c>
      <c r="I17">
        <v>3.5714254000000001E-2</v>
      </c>
      <c r="J17">
        <v>0.50909090000000001</v>
      </c>
    </row>
    <row r="18" spans="1:10" x14ac:dyDescent="0.3">
      <c r="A18">
        <v>16</v>
      </c>
      <c r="B18">
        <v>261</v>
      </c>
      <c r="C18" t="b">
        <v>1</v>
      </c>
      <c r="D18">
        <v>8042</v>
      </c>
      <c r="E18">
        <v>8123</v>
      </c>
      <c r="F18">
        <v>10.8</v>
      </c>
      <c r="G18">
        <v>11.2</v>
      </c>
      <c r="H18">
        <v>0.96428572999999995</v>
      </c>
      <c r="I18">
        <v>3.5714254000000001E-2</v>
      </c>
      <c r="J18">
        <v>0.50909090000000001</v>
      </c>
    </row>
    <row r="19" spans="1:10" x14ac:dyDescent="0.3">
      <c r="A19">
        <v>17</v>
      </c>
      <c r="B19">
        <v>277</v>
      </c>
      <c r="C19" t="b">
        <v>1</v>
      </c>
      <c r="D19">
        <v>8042</v>
      </c>
      <c r="E19">
        <v>8123</v>
      </c>
      <c r="F19">
        <v>10.8</v>
      </c>
      <c r="G19">
        <v>11.2</v>
      </c>
      <c r="H19">
        <v>0.96428572999999995</v>
      </c>
      <c r="I19">
        <v>3.5714254000000001E-2</v>
      </c>
      <c r="J19">
        <v>0.50909090000000001</v>
      </c>
    </row>
    <row r="20" spans="1:10" x14ac:dyDescent="0.3">
      <c r="A20">
        <v>18</v>
      </c>
      <c r="B20">
        <v>292</v>
      </c>
      <c r="C20" t="b">
        <v>1</v>
      </c>
      <c r="D20">
        <v>8048</v>
      </c>
      <c r="E20">
        <v>8123</v>
      </c>
      <c r="F20">
        <v>10.4</v>
      </c>
      <c r="G20">
        <v>11.2</v>
      </c>
      <c r="H20">
        <v>0.92857140000000005</v>
      </c>
      <c r="I20">
        <v>7.142859E-2</v>
      </c>
      <c r="J20">
        <v>0.51851857000000001</v>
      </c>
    </row>
    <row r="21" spans="1:10" x14ac:dyDescent="0.3">
      <c r="A21">
        <v>19</v>
      </c>
      <c r="B21">
        <v>308</v>
      </c>
      <c r="C21" t="b">
        <v>1</v>
      </c>
      <c r="D21">
        <v>8048</v>
      </c>
      <c r="E21">
        <v>8123</v>
      </c>
      <c r="F21">
        <v>10</v>
      </c>
      <c r="G21">
        <v>11.2</v>
      </c>
      <c r="H21">
        <v>0.89285713</v>
      </c>
      <c r="I21">
        <v>0.10714284</v>
      </c>
      <c r="J21">
        <v>0.52830184000000002</v>
      </c>
    </row>
    <row r="22" spans="1:10" x14ac:dyDescent="0.3">
      <c r="A22">
        <v>20</v>
      </c>
      <c r="B22">
        <v>324</v>
      </c>
      <c r="C22" t="b">
        <v>1</v>
      </c>
      <c r="D22">
        <v>8048</v>
      </c>
      <c r="E22">
        <v>8123</v>
      </c>
      <c r="F22">
        <v>9.6</v>
      </c>
      <c r="G22">
        <v>11.2</v>
      </c>
      <c r="H22">
        <v>0.85714290000000004</v>
      </c>
      <c r="I22">
        <v>0.14285708999999999</v>
      </c>
      <c r="J22">
        <v>0.53846156999999994</v>
      </c>
    </row>
    <row r="23" spans="1:10" x14ac:dyDescent="0.3">
      <c r="A23">
        <v>21</v>
      </c>
      <c r="B23">
        <v>340</v>
      </c>
      <c r="C23" t="b">
        <v>1</v>
      </c>
      <c r="D23">
        <v>8048</v>
      </c>
      <c r="E23">
        <v>8129</v>
      </c>
      <c r="F23">
        <v>9.1999999999999993</v>
      </c>
      <c r="G23">
        <v>10.8</v>
      </c>
      <c r="H23">
        <v>0.85185180000000005</v>
      </c>
      <c r="I23">
        <v>0.14814817999999999</v>
      </c>
      <c r="J23">
        <v>0.54</v>
      </c>
    </row>
    <row r="24" spans="1:10" x14ac:dyDescent="0.3">
      <c r="A24">
        <v>22</v>
      </c>
      <c r="B24">
        <v>355</v>
      </c>
      <c r="C24" t="b">
        <v>1</v>
      </c>
      <c r="D24">
        <v>8048</v>
      </c>
      <c r="E24">
        <v>8123</v>
      </c>
      <c r="F24">
        <v>8.8000000000000007</v>
      </c>
      <c r="G24">
        <v>10.8</v>
      </c>
      <c r="H24">
        <v>0.81481479999999995</v>
      </c>
      <c r="I24">
        <v>0.18518518</v>
      </c>
      <c r="J24">
        <v>0.55102039999999997</v>
      </c>
    </row>
    <row r="25" spans="1:10" x14ac:dyDescent="0.3">
      <c r="A25">
        <v>23</v>
      </c>
      <c r="B25">
        <v>371</v>
      </c>
      <c r="C25" t="b">
        <v>1</v>
      </c>
      <c r="D25">
        <v>8048</v>
      </c>
      <c r="E25">
        <v>8123</v>
      </c>
      <c r="F25">
        <v>8.4</v>
      </c>
      <c r="G25">
        <v>10.4</v>
      </c>
      <c r="H25">
        <v>0.80769230000000003</v>
      </c>
      <c r="I25">
        <v>0.1923077</v>
      </c>
      <c r="J25">
        <v>0.55319149999999995</v>
      </c>
    </row>
    <row r="26" spans="1:10" x14ac:dyDescent="0.3">
      <c r="A26">
        <v>24</v>
      </c>
      <c r="B26">
        <v>387</v>
      </c>
      <c r="C26" t="b">
        <v>1</v>
      </c>
      <c r="D26">
        <v>8048</v>
      </c>
      <c r="E26">
        <v>8129</v>
      </c>
      <c r="F26">
        <v>8</v>
      </c>
      <c r="G26">
        <v>10</v>
      </c>
      <c r="H26">
        <v>0.8</v>
      </c>
      <c r="I26">
        <v>0.2</v>
      </c>
      <c r="J26">
        <v>0.55555560000000004</v>
      </c>
    </row>
    <row r="27" spans="1:10" x14ac:dyDescent="0.3">
      <c r="A27">
        <v>25</v>
      </c>
      <c r="B27">
        <v>403</v>
      </c>
      <c r="C27" t="b">
        <v>1</v>
      </c>
      <c r="D27">
        <v>8048</v>
      </c>
      <c r="E27">
        <v>8123</v>
      </c>
      <c r="F27">
        <v>8</v>
      </c>
      <c r="G27">
        <v>9.6</v>
      </c>
      <c r="H27">
        <v>0.83333330000000005</v>
      </c>
      <c r="I27">
        <v>0.1666667</v>
      </c>
      <c r="J27">
        <v>0.54545456000000003</v>
      </c>
    </row>
    <row r="28" spans="1:10" x14ac:dyDescent="0.3">
      <c r="A28">
        <v>26</v>
      </c>
      <c r="B28">
        <v>419</v>
      </c>
      <c r="C28" t="b">
        <v>1</v>
      </c>
      <c r="D28">
        <v>8042</v>
      </c>
      <c r="E28">
        <v>8123</v>
      </c>
      <c r="F28">
        <v>8</v>
      </c>
      <c r="G28">
        <v>9.1999999999999993</v>
      </c>
      <c r="H28">
        <v>0.86956524999999996</v>
      </c>
      <c r="I28">
        <v>0.13043477000000001</v>
      </c>
      <c r="J28">
        <v>0.53488369999999996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8123</v>
      </c>
      <c r="F29">
        <v>8</v>
      </c>
      <c r="G29">
        <v>8.8000000000000007</v>
      </c>
      <c r="H29">
        <v>0.90909090000000004</v>
      </c>
      <c r="I29">
        <v>9.0909110000000001E-2</v>
      </c>
      <c r="J29">
        <v>0.52380954999999996</v>
      </c>
    </row>
    <row r="30" spans="1:10" x14ac:dyDescent="0.3">
      <c r="A30">
        <v>28</v>
      </c>
      <c r="B30">
        <v>451</v>
      </c>
      <c r="C30" t="b">
        <v>1</v>
      </c>
      <c r="D30">
        <v>8042</v>
      </c>
      <c r="E30">
        <v>8123</v>
      </c>
      <c r="F30">
        <v>8</v>
      </c>
      <c r="G30">
        <v>8.4</v>
      </c>
      <c r="H30">
        <v>0.95238100000000003</v>
      </c>
      <c r="I30">
        <v>4.7619003999999999E-2</v>
      </c>
      <c r="J30">
        <v>0.51219510000000001</v>
      </c>
    </row>
    <row r="31" spans="1:10" x14ac:dyDescent="0.3">
      <c r="A31">
        <v>29</v>
      </c>
      <c r="B31">
        <v>467</v>
      </c>
      <c r="C31" t="b">
        <v>1</v>
      </c>
      <c r="D31">
        <v>8048</v>
      </c>
      <c r="E31">
        <v>8117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482</v>
      </c>
      <c r="C32" t="b">
        <v>1</v>
      </c>
      <c r="D32">
        <v>8048</v>
      </c>
      <c r="E32">
        <v>8123</v>
      </c>
      <c r="F32">
        <v>8</v>
      </c>
      <c r="G32">
        <v>8</v>
      </c>
      <c r="H32">
        <v>1</v>
      </c>
      <c r="I32">
        <v>0</v>
      </c>
      <c r="J32">
        <v>0.5</v>
      </c>
    </row>
    <row r="33" spans="1:10" x14ac:dyDescent="0.3">
      <c r="A33">
        <v>31</v>
      </c>
      <c r="B33">
        <v>498</v>
      </c>
      <c r="C33" t="b">
        <v>1</v>
      </c>
      <c r="D33">
        <v>8048</v>
      </c>
      <c r="E33">
        <v>8123</v>
      </c>
      <c r="F33">
        <v>8</v>
      </c>
      <c r="G33">
        <v>8</v>
      </c>
      <c r="H33">
        <v>1</v>
      </c>
      <c r="I33">
        <v>0</v>
      </c>
      <c r="J33">
        <v>0.5</v>
      </c>
    </row>
    <row r="34" spans="1:10" x14ac:dyDescent="0.3">
      <c r="A34">
        <v>32</v>
      </c>
      <c r="B34">
        <v>514</v>
      </c>
      <c r="C34" t="b">
        <v>1</v>
      </c>
      <c r="D34">
        <v>8054</v>
      </c>
      <c r="E34">
        <v>8134</v>
      </c>
      <c r="F34">
        <v>8</v>
      </c>
      <c r="G34">
        <v>8</v>
      </c>
      <c r="H34">
        <v>1</v>
      </c>
      <c r="I34">
        <v>0</v>
      </c>
      <c r="J34">
        <v>0.5</v>
      </c>
    </row>
    <row r="35" spans="1:10" x14ac:dyDescent="0.3">
      <c r="A35">
        <v>33</v>
      </c>
      <c r="B35">
        <v>530</v>
      </c>
      <c r="C35" t="b">
        <v>1</v>
      </c>
      <c r="D35">
        <v>8054</v>
      </c>
      <c r="E35">
        <v>8129</v>
      </c>
      <c r="F35">
        <v>8</v>
      </c>
      <c r="G35">
        <v>8</v>
      </c>
      <c r="H35">
        <v>1</v>
      </c>
      <c r="I35">
        <v>0</v>
      </c>
      <c r="J35">
        <v>0.5</v>
      </c>
    </row>
    <row r="36" spans="1:10" x14ac:dyDescent="0.3">
      <c r="A36">
        <v>34</v>
      </c>
      <c r="B36">
        <v>545</v>
      </c>
      <c r="C36" t="b">
        <v>1</v>
      </c>
      <c r="D36">
        <v>8054</v>
      </c>
      <c r="E36">
        <v>8129</v>
      </c>
      <c r="F36">
        <v>8.4</v>
      </c>
      <c r="G36">
        <v>8.4</v>
      </c>
      <c r="H36">
        <v>1</v>
      </c>
      <c r="I36">
        <v>0</v>
      </c>
      <c r="J36">
        <v>0.5</v>
      </c>
    </row>
    <row r="37" spans="1:10" x14ac:dyDescent="0.3">
      <c r="A37">
        <v>35</v>
      </c>
      <c r="B37">
        <v>561</v>
      </c>
      <c r="C37" t="b">
        <v>1</v>
      </c>
      <c r="D37">
        <v>8054</v>
      </c>
      <c r="E37">
        <v>8129</v>
      </c>
      <c r="F37">
        <v>8.8000000000000007</v>
      </c>
      <c r="G37">
        <v>8.8000000000000007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577</v>
      </c>
      <c r="C38" t="b">
        <v>1</v>
      </c>
      <c r="D38">
        <v>8054</v>
      </c>
      <c r="E38">
        <v>8123</v>
      </c>
      <c r="F38">
        <v>9.1999999999999993</v>
      </c>
      <c r="G38">
        <v>9.1999999999999993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593</v>
      </c>
      <c r="C39" t="b">
        <v>1</v>
      </c>
      <c r="D39">
        <v>8048</v>
      </c>
      <c r="E39">
        <v>8129</v>
      </c>
      <c r="F39">
        <v>9.6</v>
      </c>
      <c r="G39">
        <v>9.6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609</v>
      </c>
      <c r="C40" t="b">
        <v>1</v>
      </c>
      <c r="D40">
        <v>8054</v>
      </c>
      <c r="E40">
        <v>8123</v>
      </c>
      <c r="F40">
        <v>10</v>
      </c>
      <c r="G40">
        <v>10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624</v>
      </c>
      <c r="C41" t="b">
        <v>1</v>
      </c>
      <c r="D41">
        <v>8048</v>
      </c>
      <c r="E41">
        <v>8123</v>
      </c>
      <c r="F41">
        <v>10.4</v>
      </c>
      <c r="G41">
        <v>10</v>
      </c>
      <c r="H41">
        <v>1.04</v>
      </c>
      <c r="I41">
        <v>-3.9999960000000001E-2</v>
      </c>
      <c r="J41">
        <v>0.49019607999999998</v>
      </c>
    </row>
    <row r="42" spans="1:10" x14ac:dyDescent="0.3">
      <c r="A42">
        <v>40</v>
      </c>
      <c r="B42">
        <v>640</v>
      </c>
      <c r="C42" t="b">
        <v>1</v>
      </c>
      <c r="D42">
        <v>8048</v>
      </c>
      <c r="E42">
        <v>8123</v>
      </c>
      <c r="F42">
        <v>10.4</v>
      </c>
      <c r="G42">
        <v>10</v>
      </c>
      <c r="H42">
        <v>1.04</v>
      </c>
      <c r="I42">
        <v>-3.9999960000000001E-2</v>
      </c>
      <c r="J42">
        <v>0.49019607999999998</v>
      </c>
    </row>
    <row r="43" spans="1:10" x14ac:dyDescent="0.3">
      <c r="A43">
        <v>41</v>
      </c>
      <c r="B43">
        <v>656</v>
      </c>
      <c r="C43" t="b">
        <v>1</v>
      </c>
      <c r="D43">
        <v>8048</v>
      </c>
      <c r="E43">
        <v>8129</v>
      </c>
      <c r="F43">
        <v>10.4</v>
      </c>
      <c r="G43">
        <v>10</v>
      </c>
      <c r="H43">
        <v>1.04</v>
      </c>
      <c r="I43">
        <v>-3.9999960000000001E-2</v>
      </c>
      <c r="J43">
        <v>0.49019607999999998</v>
      </c>
    </row>
    <row r="44" spans="1:10" x14ac:dyDescent="0.3">
      <c r="A44">
        <v>42</v>
      </c>
      <c r="B44">
        <v>672</v>
      </c>
      <c r="C44" t="b">
        <v>1</v>
      </c>
      <c r="D44">
        <v>8042</v>
      </c>
      <c r="E44">
        <v>8129</v>
      </c>
      <c r="F44">
        <v>10.4</v>
      </c>
      <c r="G44">
        <v>10</v>
      </c>
      <c r="H44">
        <v>1.04</v>
      </c>
      <c r="I44">
        <v>-3.9999960000000001E-2</v>
      </c>
      <c r="J44">
        <v>0.49019607999999998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8134</v>
      </c>
      <c r="F45">
        <v>10.4</v>
      </c>
      <c r="G45">
        <v>10.4</v>
      </c>
      <c r="H45">
        <v>1</v>
      </c>
      <c r="I45">
        <v>0</v>
      </c>
      <c r="J45">
        <v>0.5</v>
      </c>
    </row>
    <row r="46" spans="1:10" x14ac:dyDescent="0.3">
      <c r="A46">
        <v>44</v>
      </c>
      <c r="B46">
        <v>703</v>
      </c>
      <c r="C46" t="b">
        <v>1</v>
      </c>
      <c r="D46">
        <v>8042</v>
      </c>
      <c r="E46">
        <v>8129</v>
      </c>
      <c r="F46">
        <v>10.4</v>
      </c>
      <c r="G46">
        <v>10.8</v>
      </c>
      <c r="H46">
        <v>0.96296289999999996</v>
      </c>
      <c r="I46">
        <v>3.7037090000000002E-2</v>
      </c>
      <c r="J46">
        <v>0.5094339</v>
      </c>
    </row>
    <row r="47" spans="1:10" x14ac:dyDescent="0.3">
      <c r="A47">
        <v>45</v>
      </c>
      <c r="B47">
        <v>719</v>
      </c>
      <c r="C47" t="b">
        <v>1</v>
      </c>
      <c r="D47">
        <v>8048</v>
      </c>
      <c r="E47">
        <v>8123</v>
      </c>
      <c r="F47">
        <v>10.4</v>
      </c>
      <c r="G47">
        <v>11.2</v>
      </c>
      <c r="H47">
        <v>0.92857140000000005</v>
      </c>
      <c r="I47">
        <v>7.142859E-2</v>
      </c>
      <c r="J47">
        <v>0.51851857000000001</v>
      </c>
    </row>
    <row r="48" spans="1:10" x14ac:dyDescent="0.3">
      <c r="A48">
        <v>46</v>
      </c>
      <c r="B48">
        <v>735</v>
      </c>
      <c r="C48" t="b">
        <v>1</v>
      </c>
      <c r="D48">
        <v>8048</v>
      </c>
      <c r="E48">
        <v>8129</v>
      </c>
      <c r="F48">
        <v>10.4</v>
      </c>
      <c r="G48">
        <v>11.6</v>
      </c>
      <c r="H48">
        <v>0.89655167000000002</v>
      </c>
      <c r="I48">
        <v>0.10344834</v>
      </c>
      <c r="J48">
        <v>0.52727276000000001</v>
      </c>
    </row>
    <row r="49" spans="1:10" x14ac:dyDescent="0.3">
      <c r="A49">
        <v>47</v>
      </c>
      <c r="B49">
        <v>751</v>
      </c>
      <c r="C49" t="b">
        <v>1</v>
      </c>
      <c r="D49">
        <v>8048</v>
      </c>
      <c r="E49">
        <v>8129</v>
      </c>
      <c r="F49">
        <v>10.4</v>
      </c>
      <c r="G49">
        <v>12</v>
      </c>
      <c r="H49">
        <v>0.86666659999999995</v>
      </c>
      <c r="I49">
        <v>0.13333337000000001</v>
      </c>
      <c r="J49">
        <v>0.53571427000000005</v>
      </c>
    </row>
    <row r="50" spans="1:10" x14ac:dyDescent="0.3">
      <c r="A50">
        <v>48</v>
      </c>
      <c r="B50">
        <v>767</v>
      </c>
      <c r="C50" t="b">
        <v>1</v>
      </c>
      <c r="D50">
        <v>8048</v>
      </c>
      <c r="E50">
        <v>8123</v>
      </c>
      <c r="F50">
        <v>10.4</v>
      </c>
      <c r="G50">
        <v>12.4</v>
      </c>
      <c r="H50">
        <v>0.83870964999999997</v>
      </c>
      <c r="I50">
        <v>0.16129033000000001</v>
      </c>
      <c r="J50">
        <v>0.54385965999999997</v>
      </c>
    </row>
    <row r="51" spans="1:10" x14ac:dyDescent="0.3">
      <c r="A51">
        <v>49</v>
      </c>
      <c r="B51">
        <v>783</v>
      </c>
      <c r="C51" t="b">
        <v>1</v>
      </c>
      <c r="D51">
        <v>8048</v>
      </c>
      <c r="E51">
        <v>8123</v>
      </c>
      <c r="F51">
        <v>10</v>
      </c>
      <c r="G51">
        <v>12</v>
      </c>
      <c r="H51">
        <v>0.83333330000000005</v>
      </c>
      <c r="I51">
        <v>0.16666666999999999</v>
      </c>
      <c r="J51">
        <v>0.54545456000000003</v>
      </c>
    </row>
    <row r="52" spans="1:10" x14ac:dyDescent="0.3">
      <c r="A52">
        <v>50</v>
      </c>
      <c r="B52">
        <v>799</v>
      </c>
      <c r="C52" t="b">
        <v>1</v>
      </c>
      <c r="D52">
        <v>8048</v>
      </c>
      <c r="E52">
        <v>8123</v>
      </c>
      <c r="F52">
        <v>9.6</v>
      </c>
      <c r="G52">
        <v>11.6</v>
      </c>
      <c r="H52">
        <v>0.82758622999999998</v>
      </c>
      <c r="I52">
        <v>0.17241377999999999</v>
      </c>
      <c r="J52">
        <v>0.54716980000000004</v>
      </c>
    </row>
    <row r="53" spans="1:10" x14ac:dyDescent="0.3">
      <c r="A53">
        <v>51</v>
      </c>
      <c r="B53">
        <v>815</v>
      </c>
      <c r="C53" t="b">
        <v>1</v>
      </c>
      <c r="D53">
        <v>8042</v>
      </c>
      <c r="E53">
        <v>8134</v>
      </c>
      <c r="F53">
        <v>9.1999999999999993</v>
      </c>
      <c r="G53">
        <v>11.2</v>
      </c>
      <c r="H53">
        <v>0.82142859999999995</v>
      </c>
      <c r="I53">
        <v>0.17857143</v>
      </c>
      <c r="J53">
        <v>0.54901962999999998</v>
      </c>
    </row>
    <row r="54" spans="1:10" x14ac:dyDescent="0.3">
      <c r="A54">
        <v>52</v>
      </c>
      <c r="B54">
        <v>831</v>
      </c>
      <c r="C54" t="b">
        <v>1</v>
      </c>
      <c r="D54">
        <v>8048</v>
      </c>
      <c r="E54">
        <v>8123</v>
      </c>
      <c r="F54">
        <v>8.8000000000000007</v>
      </c>
      <c r="G54">
        <v>10.8</v>
      </c>
      <c r="H54">
        <v>0.81481479999999995</v>
      </c>
      <c r="I54">
        <v>0.18518518</v>
      </c>
      <c r="J54">
        <v>0.55102039999999997</v>
      </c>
    </row>
    <row r="55" spans="1:10" x14ac:dyDescent="0.3">
      <c r="A55">
        <v>53</v>
      </c>
      <c r="B55">
        <v>847</v>
      </c>
      <c r="C55" t="b">
        <v>1</v>
      </c>
      <c r="D55">
        <v>8048</v>
      </c>
      <c r="E55">
        <v>8123</v>
      </c>
      <c r="F55">
        <v>8.4</v>
      </c>
      <c r="G55">
        <v>10.4</v>
      </c>
      <c r="H55">
        <v>0.80769230000000003</v>
      </c>
      <c r="I55">
        <v>0.1923077</v>
      </c>
      <c r="J55">
        <v>0.55319149999999995</v>
      </c>
    </row>
    <row r="56" spans="1:10" x14ac:dyDescent="0.3">
      <c r="A56">
        <v>54</v>
      </c>
      <c r="B56">
        <v>863</v>
      </c>
      <c r="C56" t="b">
        <v>1</v>
      </c>
      <c r="D56">
        <v>8048</v>
      </c>
      <c r="E56">
        <v>8123</v>
      </c>
      <c r="F56">
        <v>8</v>
      </c>
      <c r="G56">
        <v>10.4</v>
      </c>
      <c r="H56">
        <v>0.76923079999999999</v>
      </c>
      <c r="I56">
        <v>0.23076920000000001</v>
      </c>
      <c r="J56">
        <v>0.56521739999999998</v>
      </c>
    </row>
    <row r="57" spans="1:10" x14ac:dyDescent="0.3">
      <c r="A57">
        <v>55</v>
      </c>
      <c r="B57">
        <v>878</v>
      </c>
      <c r="C57" t="b">
        <v>1</v>
      </c>
      <c r="D57">
        <v>8048</v>
      </c>
      <c r="E57">
        <v>8129</v>
      </c>
      <c r="F57">
        <v>8</v>
      </c>
      <c r="G57">
        <v>10.4</v>
      </c>
      <c r="H57">
        <v>0.76923079999999999</v>
      </c>
      <c r="I57">
        <v>0.23076920000000001</v>
      </c>
      <c r="J57">
        <v>0.56521739999999998</v>
      </c>
    </row>
    <row r="58" spans="1:10" x14ac:dyDescent="0.3">
      <c r="A58">
        <v>56</v>
      </c>
      <c r="B58">
        <v>894</v>
      </c>
      <c r="C58" t="b">
        <v>1</v>
      </c>
      <c r="D58">
        <v>8048</v>
      </c>
      <c r="E58">
        <v>8123</v>
      </c>
      <c r="F58">
        <v>8</v>
      </c>
      <c r="G58">
        <v>10.4</v>
      </c>
      <c r="H58">
        <v>0.76923079999999999</v>
      </c>
      <c r="I58">
        <v>0.23076920000000001</v>
      </c>
      <c r="J58">
        <v>0.56521739999999998</v>
      </c>
    </row>
    <row r="59" spans="1:10" x14ac:dyDescent="0.3">
      <c r="A59">
        <v>57</v>
      </c>
      <c r="B59">
        <v>910</v>
      </c>
      <c r="C59" t="b">
        <v>1</v>
      </c>
      <c r="D59">
        <v>8048</v>
      </c>
      <c r="E59">
        <v>8129</v>
      </c>
      <c r="F59">
        <v>8</v>
      </c>
      <c r="G59">
        <v>10.4</v>
      </c>
      <c r="H59">
        <v>0.76923079999999999</v>
      </c>
      <c r="I59">
        <v>0.23076920000000001</v>
      </c>
      <c r="J59">
        <v>0.56521739999999998</v>
      </c>
    </row>
    <row r="60" spans="1:10" x14ac:dyDescent="0.3">
      <c r="A60">
        <v>58</v>
      </c>
      <c r="B60">
        <v>926</v>
      </c>
      <c r="C60" t="b">
        <v>1</v>
      </c>
      <c r="D60">
        <v>8048</v>
      </c>
      <c r="E60">
        <v>8123</v>
      </c>
      <c r="F60">
        <v>8</v>
      </c>
      <c r="G60">
        <v>10</v>
      </c>
      <c r="H60">
        <v>0.8</v>
      </c>
      <c r="I60">
        <v>0.2</v>
      </c>
      <c r="J60">
        <v>0.55555560000000004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8123</v>
      </c>
      <c r="F61">
        <v>8</v>
      </c>
      <c r="G61">
        <v>9.6</v>
      </c>
      <c r="H61">
        <v>0.83333330000000005</v>
      </c>
      <c r="I61">
        <v>0.1666667</v>
      </c>
      <c r="J61">
        <v>0.54545456000000003</v>
      </c>
    </row>
    <row r="62" spans="1:10" x14ac:dyDescent="0.3">
      <c r="A62">
        <v>60</v>
      </c>
      <c r="B62">
        <v>957</v>
      </c>
      <c r="C62" t="b">
        <v>1</v>
      </c>
      <c r="D62">
        <v>8048</v>
      </c>
      <c r="E62">
        <v>8129</v>
      </c>
      <c r="F62">
        <v>8</v>
      </c>
      <c r="G62">
        <v>9.1999999999999993</v>
      </c>
      <c r="H62">
        <v>0.86956524999999996</v>
      </c>
      <c r="I62">
        <v>0.13043477000000001</v>
      </c>
      <c r="J62">
        <v>0.53488369999999996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8.8000000000000007</v>
      </c>
      <c r="H63">
        <v>0.90909090000000004</v>
      </c>
      <c r="I63">
        <v>9.0909110000000001E-2</v>
      </c>
      <c r="J63">
        <v>0.52380954999999996</v>
      </c>
    </row>
    <row r="64" spans="1:10" x14ac:dyDescent="0.3">
      <c r="A64">
        <v>62</v>
      </c>
      <c r="B64">
        <v>988</v>
      </c>
      <c r="C64" t="b">
        <v>1</v>
      </c>
      <c r="D64">
        <v>8048</v>
      </c>
      <c r="E64">
        <v>8123</v>
      </c>
      <c r="F64">
        <v>8</v>
      </c>
      <c r="G64">
        <v>8.4</v>
      </c>
      <c r="H64">
        <v>0.95238100000000003</v>
      </c>
      <c r="I64">
        <v>4.7619003999999999E-2</v>
      </c>
      <c r="J64">
        <v>0.51219510000000001</v>
      </c>
    </row>
    <row r="65" spans="1:10" x14ac:dyDescent="0.3">
      <c r="A65">
        <v>63</v>
      </c>
      <c r="B65">
        <v>1004</v>
      </c>
      <c r="C65" t="b">
        <v>1</v>
      </c>
      <c r="D65">
        <v>8048</v>
      </c>
      <c r="E65">
        <v>8123</v>
      </c>
      <c r="F65">
        <v>8</v>
      </c>
      <c r="G65">
        <v>8</v>
      </c>
      <c r="H65">
        <v>1</v>
      </c>
      <c r="I65">
        <v>0</v>
      </c>
      <c r="J65">
        <v>0.5</v>
      </c>
    </row>
    <row r="66" spans="1:10" x14ac:dyDescent="0.3">
      <c r="A66">
        <v>64</v>
      </c>
      <c r="B66">
        <v>1020</v>
      </c>
      <c r="C66" t="b">
        <v>1</v>
      </c>
      <c r="D66">
        <v>8048</v>
      </c>
      <c r="E66">
        <v>8123</v>
      </c>
      <c r="F66">
        <v>8</v>
      </c>
      <c r="G66">
        <v>8</v>
      </c>
      <c r="H66">
        <v>1</v>
      </c>
      <c r="I66">
        <v>0</v>
      </c>
      <c r="J66">
        <v>0.5</v>
      </c>
    </row>
    <row r="67" spans="1:10" x14ac:dyDescent="0.3">
      <c r="A67">
        <v>65</v>
      </c>
      <c r="B67">
        <v>1036</v>
      </c>
      <c r="C67" t="b">
        <v>1</v>
      </c>
      <c r="D67">
        <v>8048</v>
      </c>
      <c r="E67">
        <v>8123</v>
      </c>
      <c r="F67">
        <v>8</v>
      </c>
      <c r="G67">
        <v>8</v>
      </c>
      <c r="H67">
        <v>1</v>
      </c>
      <c r="I67">
        <v>0</v>
      </c>
      <c r="J67">
        <v>0.5</v>
      </c>
    </row>
    <row r="68" spans="1:10" x14ac:dyDescent="0.3">
      <c r="A68">
        <v>66</v>
      </c>
      <c r="B68">
        <v>1052</v>
      </c>
      <c r="C68" t="b">
        <v>1</v>
      </c>
      <c r="D68">
        <v>8048</v>
      </c>
      <c r="E68">
        <v>8123</v>
      </c>
      <c r="F68">
        <v>8</v>
      </c>
      <c r="G68">
        <v>8</v>
      </c>
      <c r="H68">
        <v>1</v>
      </c>
      <c r="I68">
        <v>0</v>
      </c>
      <c r="J68">
        <v>0.5</v>
      </c>
    </row>
    <row r="69" spans="1:10" x14ac:dyDescent="0.3">
      <c r="A69">
        <v>67</v>
      </c>
      <c r="B69">
        <v>1068</v>
      </c>
      <c r="C69" t="b">
        <v>1</v>
      </c>
      <c r="D69">
        <v>8048</v>
      </c>
      <c r="E69">
        <v>8129</v>
      </c>
      <c r="F69">
        <v>8</v>
      </c>
      <c r="G69">
        <v>8</v>
      </c>
      <c r="H69">
        <v>1</v>
      </c>
      <c r="I69">
        <v>0</v>
      </c>
      <c r="J69">
        <v>0.5</v>
      </c>
    </row>
    <row r="70" spans="1:10" x14ac:dyDescent="0.3">
      <c r="A70">
        <v>68</v>
      </c>
      <c r="B70">
        <v>1084</v>
      </c>
      <c r="C70" t="b">
        <v>1</v>
      </c>
      <c r="D70">
        <v>8054</v>
      </c>
      <c r="E70">
        <v>8123</v>
      </c>
      <c r="F70">
        <v>8</v>
      </c>
      <c r="G70">
        <v>8</v>
      </c>
      <c r="H70">
        <v>1</v>
      </c>
      <c r="I70">
        <v>0</v>
      </c>
      <c r="J70">
        <v>0.5</v>
      </c>
    </row>
    <row r="71" spans="1:10" x14ac:dyDescent="0.3">
      <c r="A71">
        <v>69</v>
      </c>
      <c r="B71">
        <v>1116</v>
      </c>
      <c r="C71" t="b">
        <v>1</v>
      </c>
      <c r="D71">
        <v>8048</v>
      </c>
      <c r="E71">
        <v>8123</v>
      </c>
      <c r="F71">
        <v>8</v>
      </c>
      <c r="G71">
        <v>8</v>
      </c>
      <c r="H71">
        <v>1</v>
      </c>
      <c r="I71">
        <v>0</v>
      </c>
      <c r="J71">
        <v>0.5</v>
      </c>
    </row>
    <row r="72" spans="1:10" x14ac:dyDescent="0.3">
      <c r="A72">
        <v>70</v>
      </c>
      <c r="B72">
        <v>1131</v>
      </c>
      <c r="C72" t="b">
        <v>1</v>
      </c>
      <c r="D72">
        <v>8048</v>
      </c>
      <c r="E72">
        <v>8129</v>
      </c>
      <c r="F72">
        <v>8</v>
      </c>
      <c r="G72">
        <v>8</v>
      </c>
      <c r="H72">
        <v>1</v>
      </c>
      <c r="I72">
        <v>0</v>
      </c>
      <c r="J72">
        <v>0.5</v>
      </c>
    </row>
    <row r="73" spans="1:10" x14ac:dyDescent="0.3">
      <c r="A73">
        <v>71</v>
      </c>
      <c r="B73">
        <v>1147</v>
      </c>
      <c r="C73" t="b">
        <v>1</v>
      </c>
      <c r="D73">
        <v>8048</v>
      </c>
      <c r="E73">
        <v>8123</v>
      </c>
      <c r="F73">
        <v>8</v>
      </c>
      <c r="G73">
        <v>8</v>
      </c>
      <c r="H73">
        <v>1</v>
      </c>
      <c r="I73">
        <v>0</v>
      </c>
      <c r="J73">
        <v>0.5</v>
      </c>
    </row>
    <row r="74" spans="1:10" x14ac:dyDescent="0.3">
      <c r="A74">
        <v>72</v>
      </c>
      <c r="B74">
        <v>1163</v>
      </c>
      <c r="C74" t="b">
        <v>1</v>
      </c>
      <c r="D74">
        <v>8048</v>
      </c>
      <c r="E74">
        <v>8123</v>
      </c>
      <c r="F74">
        <v>8</v>
      </c>
      <c r="G74">
        <v>8</v>
      </c>
      <c r="H74">
        <v>1</v>
      </c>
      <c r="I74">
        <v>0</v>
      </c>
      <c r="J74">
        <v>0.5</v>
      </c>
    </row>
    <row r="75" spans="1:10" x14ac:dyDescent="0.3">
      <c r="A75">
        <v>73</v>
      </c>
      <c r="B75">
        <v>1179</v>
      </c>
      <c r="C75" t="b">
        <v>1</v>
      </c>
      <c r="D75">
        <v>8048</v>
      </c>
      <c r="E75">
        <v>8123</v>
      </c>
      <c r="F75">
        <v>8</v>
      </c>
      <c r="G75">
        <v>8</v>
      </c>
      <c r="H75">
        <v>1</v>
      </c>
      <c r="I75">
        <v>0</v>
      </c>
      <c r="J75">
        <v>0.5</v>
      </c>
    </row>
    <row r="76" spans="1:10" x14ac:dyDescent="0.3">
      <c r="A76">
        <v>74</v>
      </c>
      <c r="B76">
        <v>1195</v>
      </c>
      <c r="C76" t="b">
        <v>1</v>
      </c>
      <c r="D76">
        <v>8048</v>
      </c>
      <c r="E76">
        <v>8123</v>
      </c>
      <c r="F76">
        <v>8</v>
      </c>
      <c r="G76">
        <v>8</v>
      </c>
      <c r="H76">
        <v>1</v>
      </c>
      <c r="I76">
        <v>0</v>
      </c>
      <c r="J76">
        <v>0.5</v>
      </c>
    </row>
    <row r="77" spans="1:10" x14ac:dyDescent="0.3">
      <c r="A77">
        <v>75</v>
      </c>
      <c r="B77">
        <v>1211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1227</v>
      </c>
      <c r="C78" t="b">
        <v>1</v>
      </c>
      <c r="D78">
        <v>8037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1242</v>
      </c>
      <c r="C79" t="b">
        <v>1</v>
      </c>
      <c r="D79">
        <v>8042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1258</v>
      </c>
      <c r="C80" t="b">
        <v>1</v>
      </c>
      <c r="D80">
        <v>8042</v>
      </c>
      <c r="E80">
        <v>8123</v>
      </c>
      <c r="F80">
        <v>7.6</v>
      </c>
      <c r="G80">
        <v>8</v>
      </c>
      <c r="H80">
        <v>0.95</v>
      </c>
      <c r="I80">
        <v>5.0000012000000003E-2</v>
      </c>
      <c r="J80">
        <v>0.51282050000000001</v>
      </c>
    </row>
    <row r="81" spans="1:10" x14ac:dyDescent="0.3">
      <c r="A81">
        <v>79</v>
      </c>
      <c r="B81">
        <v>1274</v>
      </c>
      <c r="C81" t="b">
        <v>1</v>
      </c>
      <c r="D81">
        <v>8042</v>
      </c>
      <c r="E81">
        <v>8123</v>
      </c>
      <c r="F81">
        <v>7.2</v>
      </c>
      <c r="G81">
        <v>8</v>
      </c>
      <c r="H81">
        <v>0.9</v>
      </c>
      <c r="I81">
        <v>0.10000002400000001</v>
      </c>
      <c r="J81">
        <v>0.5263158</v>
      </c>
    </row>
    <row r="82" spans="1:10" x14ac:dyDescent="0.3">
      <c r="A82">
        <v>80</v>
      </c>
      <c r="B82">
        <v>1290</v>
      </c>
      <c r="C82" t="b">
        <v>1</v>
      </c>
      <c r="D82">
        <v>8042</v>
      </c>
      <c r="E82">
        <v>8123</v>
      </c>
      <c r="F82">
        <v>6.8</v>
      </c>
      <c r="G82">
        <v>8</v>
      </c>
      <c r="H82">
        <v>0.85</v>
      </c>
      <c r="I82">
        <v>0.14999998</v>
      </c>
      <c r="J82">
        <v>0.54054049999999998</v>
      </c>
    </row>
    <row r="83" spans="1:10" x14ac:dyDescent="0.3">
      <c r="A83">
        <v>81</v>
      </c>
      <c r="B83">
        <v>1306</v>
      </c>
      <c r="C83" t="b">
        <v>1</v>
      </c>
      <c r="D83">
        <v>8042</v>
      </c>
      <c r="E83">
        <v>8129</v>
      </c>
      <c r="F83">
        <v>6.4</v>
      </c>
      <c r="G83">
        <v>8</v>
      </c>
      <c r="H83">
        <v>0.8</v>
      </c>
      <c r="I83">
        <v>0.19999998999999999</v>
      </c>
      <c r="J83">
        <v>0.55555560000000004</v>
      </c>
    </row>
    <row r="84" spans="1:10" x14ac:dyDescent="0.3">
      <c r="A84">
        <v>82</v>
      </c>
      <c r="B84">
        <v>1322</v>
      </c>
      <c r="C84" t="b">
        <v>1</v>
      </c>
      <c r="D84">
        <v>8048</v>
      </c>
      <c r="E84">
        <v>8129</v>
      </c>
      <c r="F84">
        <v>6</v>
      </c>
      <c r="G84">
        <v>8</v>
      </c>
      <c r="H84">
        <v>0.75</v>
      </c>
      <c r="I84">
        <v>0.25</v>
      </c>
      <c r="J84">
        <v>0.57142859999999995</v>
      </c>
    </row>
    <row r="85" spans="1:10" x14ac:dyDescent="0.3">
      <c r="A85">
        <v>83</v>
      </c>
      <c r="B85">
        <v>1338</v>
      </c>
      <c r="C85" t="b">
        <v>1</v>
      </c>
      <c r="D85">
        <v>8048</v>
      </c>
      <c r="E85">
        <v>8123</v>
      </c>
      <c r="F85">
        <v>5.6</v>
      </c>
      <c r="G85">
        <v>8</v>
      </c>
      <c r="H85">
        <v>0.7</v>
      </c>
      <c r="I85">
        <v>0.3</v>
      </c>
      <c r="J85">
        <v>0.58823526000000004</v>
      </c>
    </row>
    <row r="86" spans="1:10" x14ac:dyDescent="0.3">
      <c r="A86">
        <v>84</v>
      </c>
      <c r="B86">
        <v>1354</v>
      </c>
      <c r="C86" t="b">
        <v>1</v>
      </c>
      <c r="D86">
        <v>8048</v>
      </c>
      <c r="E86">
        <v>8123</v>
      </c>
      <c r="F86">
        <v>5.6</v>
      </c>
      <c r="G86">
        <v>8</v>
      </c>
      <c r="H86">
        <v>0.7</v>
      </c>
      <c r="I86">
        <v>0.3</v>
      </c>
      <c r="J86">
        <v>0.58823526000000004</v>
      </c>
    </row>
    <row r="87" spans="1:10" x14ac:dyDescent="0.3">
      <c r="A87">
        <v>85</v>
      </c>
      <c r="B87">
        <v>1370</v>
      </c>
      <c r="C87" t="b">
        <v>1</v>
      </c>
      <c r="D87">
        <v>8048</v>
      </c>
      <c r="E87">
        <v>8117</v>
      </c>
      <c r="F87">
        <v>5.6</v>
      </c>
      <c r="G87">
        <v>8</v>
      </c>
      <c r="H87">
        <v>0.7</v>
      </c>
      <c r="I87">
        <v>0.3</v>
      </c>
      <c r="J87">
        <v>0.58823526000000004</v>
      </c>
    </row>
    <row r="88" spans="1:10" x14ac:dyDescent="0.3">
      <c r="A88">
        <v>86</v>
      </c>
      <c r="B88">
        <v>1386</v>
      </c>
      <c r="C88" t="b">
        <v>1</v>
      </c>
      <c r="D88">
        <v>8048</v>
      </c>
      <c r="E88">
        <v>8117</v>
      </c>
      <c r="F88">
        <v>5.6</v>
      </c>
      <c r="G88">
        <v>8</v>
      </c>
      <c r="H88">
        <v>0.7</v>
      </c>
      <c r="I88">
        <v>0.3</v>
      </c>
      <c r="J88">
        <v>0.58823526000000004</v>
      </c>
    </row>
    <row r="89" spans="1:10" x14ac:dyDescent="0.3">
      <c r="A89">
        <v>87</v>
      </c>
      <c r="B89">
        <v>1402</v>
      </c>
      <c r="C89" t="b">
        <v>1</v>
      </c>
      <c r="D89">
        <v>8048</v>
      </c>
      <c r="E89">
        <v>8117</v>
      </c>
      <c r="F89">
        <v>5.6</v>
      </c>
      <c r="G89">
        <v>7.6</v>
      </c>
      <c r="H89">
        <v>0.73684210000000006</v>
      </c>
      <c r="I89">
        <v>0.2631579</v>
      </c>
      <c r="J89">
        <v>0.57575756</v>
      </c>
    </row>
    <row r="90" spans="1:10" x14ac:dyDescent="0.3">
      <c r="A90">
        <v>88</v>
      </c>
      <c r="B90">
        <v>1418</v>
      </c>
      <c r="C90" t="b">
        <v>1</v>
      </c>
      <c r="D90">
        <v>8048</v>
      </c>
      <c r="E90">
        <v>8117</v>
      </c>
      <c r="F90">
        <v>5.6</v>
      </c>
      <c r="G90">
        <v>7.2</v>
      </c>
      <c r="H90">
        <v>0.77777779999999996</v>
      </c>
      <c r="I90">
        <v>0.22222221</v>
      </c>
      <c r="J90">
        <v>0.5625</v>
      </c>
    </row>
    <row r="91" spans="1:10" x14ac:dyDescent="0.3">
      <c r="A91">
        <v>89</v>
      </c>
      <c r="B91">
        <v>1434</v>
      </c>
      <c r="C91" t="b">
        <v>1</v>
      </c>
      <c r="D91">
        <v>8048</v>
      </c>
      <c r="E91">
        <v>8117</v>
      </c>
      <c r="F91">
        <v>5.6</v>
      </c>
      <c r="G91">
        <v>6.8</v>
      </c>
      <c r="H91">
        <v>0.82352935999999999</v>
      </c>
      <c r="I91">
        <v>0.17647061999999999</v>
      </c>
      <c r="J91">
        <v>0.54838710000000002</v>
      </c>
    </row>
    <row r="92" spans="1:10" x14ac:dyDescent="0.3">
      <c r="A92">
        <v>90</v>
      </c>
      <c r="B92">
        <v>1450</v>
      </c>
      <c r="C92" t="b">
        <v>1</v>
      </c>
      <c r="D92">
        <v>8048</v>
      </c>
      <c r="E92">
        <v>8117</v>
      </c>
      <c r="F92">
        <v>5.6</v>
      </c>
      <c r="G92">
        <v>6.4</v>
      </c>
      <c r="H92">
        <v>0.875</v>
      </c>
      <c r="I92">
        <v>0.12500003000000001</v>
      </c>
      <c r="J92">
        <v>0.53333335999999998</v>
      </c>
    </row>
    <row r="93" spans="1:10" x14ac:dyDescent="0.3">
      <c r="A93">
        <v>91</v>
      </c>
      <c r="B93">
        <v>1466</v>
      </c>
      <c r="C93" t="b">
        <v>1</v>
      </c>
      <c r="D93">
        <v>8048</v>
      </c>
      <c r="E93">
        <v>8117</v>
      </c>
      <c r="F93">
        <v>5.6</v>
      </c>
      <c r="G93">
        <v>6</v>
      </c>
      <c r="H93">
        <v>0.93333334000000001</v>
      </c>
      <c r="I93">
        <v>6.6666685000000003E-2</v>
      </c>
      <c r="J93">
        <v>0.51724135999999998</v>
      </c>
    </row>
    <row r="94" spans="1:10" x14ac:dyDescent="0.3">
      <c r="A94">
        <v>92</v>
      </c>
      <c r="B94">
        <v>1482</v>
      </c>
      <c r="C94" t="b">
        <v>1</v>
      </c>
      <c r="D94">
        <v>8048</v>
      </c>
      <c r="E94">
        <v>8129</v>
      </c>
      <c r="F94">
        <v>5.6</v>
      </c>
      <c r="G94">
        <v>5.6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1497</v>
      </c>
      <c r="C95" t="b">
        <v>1</v>
      </c>
      <c r="D95">
        <v>8042</v>
      </c>
      <c r="E95">
        <v>8129</v>
      </c>
      <c r="F95">
        <v>6</v>
      </c>
      <c r="G95">
        <v>5.2</v>
      </c>
      <c r="H95">
        <v>1.1538461</v>
      </c>
      <c r="I95">
        <v>-0.15384618999999999</v>
      </c>
      <c r="J95">
        <v>0.46428570000000002</v>
      </c>
    </row>
    <row r="96" spans="1:10" x14ac:dyDescent="0.3">
      <c r="A96">
        <v>94</v>
      </c>
      <c r="B96">
        <v>1513</v>
      </c>
      <c r="C96" t="b">
        <v>1</v>
      </c>
      <c r="D96">
        <v>8048</v>
      </c>
      <c r="E96">
        <v>8129</v>
      </c>
      <c r="F96">
        <v>6.4</v>
      </c>
      <c r="G96">
        <v>5.6</v>
      </c>
      <c r="H96">
        <v>1.1428571999999999</v>
      </c>
      <c r="I96">
        <v>-0.14285718</v>
      </c>
      <c r="J96">
        <v>0.46666667000000001</v>
      </c>
    </row>
    <row r="97" spans="1:10" x14ac:dyDescent="0.3">
      <c r="A97">
        <v>95</v>
      </c>
      <c r="B97">
        <v>1529</v>
      </c>
      <c r="C97" t="b">
        <v>1</v>
      </c>
      <c r="D97">
        <v>8048</v>
      </c>
      <c r="E97">
        <v>8123</v>
      </c>
      <c r="F97">
        <v>6.8</v>
      </c>
      <c r="G97">
        <v>6</v>
      </c>
      <c r="H97">
        <v>1.1333333000000001</v>
      </c>
      <c r="I97">
        <v>-0.13333337000000001</v>
      </c>
      <c r="J97">
        <v>0.46875</v>
      </c>
    </row>
    <row r="98" spans="1:10" x14ac:dyDescent="0.3">
      <c r="A98">
        <v>96</v>
      </c>
      <c r="B98">
        <v>1545</v>
      </c>
      <c r="C98" t="b">
        <v>1</v>
      </c>
      <c r="D98">
        <v>8048</v>
      </c>
      <c r="E98">
        <v>8123</v>
      </c>
      <c r="F98">
        <v>7.2</v>
      </c>
      <c r="G98">
        <v>6.4</v>
      </c>
      <c r="H98">
        <v>1.125</v>
      </c>
      <c r="I98">
        <v>-0.124999955</v>
      </c>
      <c r="J98">
        <v>0.47058823999999999</v>
      </c>
    </row>
    <row r="99" spans="1:10" x14ac:dyDescent="0.3">
      <c r="A99">
        <v>97</v>
      </c>
      <c r="B99">
        <v>1561</v>
      </c>
      <c r="C99" t="b">
        <v>1</v>
      </c>
      <c r="D99">
        <v>8042</v>
      </c>
      <c r="E99">
        <v>8123</v>
      </c>
      <c r="F99">
        <v>7.6</v>
      </c>
      <c r="G99">
        <v>6.4</v>
      </c>
      <c r="H99">
        <v>1.1875</v>
      </c>
      <c r="I99">
        <v>-0.18749996999999999</v>
      </c>
      <c r="J99">
        <v>0.45714285999999998</v>
      </c>
    </row>
    <row r="100" spans="1:10" x14ac:dyDescent="0.3">
      <c r="A100">
        <v>98</v>
      </c>
      <c r="B100">
        <v>1577</v>
      </c>
      <c r="C100" t="b">
        <v>1</v>
      </c>
      <c r="D100">
        <v>8048</v>
      </c>
      <c r="E100">
        <v>8123</v>
      </c>
      <c r="F100">
        <v>8</v>
      </c>
      <c r="G100">
        <v>6.4</v>
      </c>
      <c r="H100">
        <v>1.25</v>
      </c>
      <c r="I100">
        <v>-0.24999999000000001</v>
      </c>
      <c r="J100">
        <v>0.44444447999999998</v>
      </c>
    </row>
    <row r="101" spans="1:10" x14ac:dyDescent="0.3">
      <c r="A101">
        <v>99</v>
      </c>
      <c r="B101">
        <v>1593</v>
      </c>
      <c r="C101" t="b">
        <v>1</v>
      </c>
      <c r="D101">
        <v>8048</v>
      </c>
      <c r="E101">
        <v>8129</v>
      </c>
      <c r="F101">
        <v>8</v>
      </c>
      <c r="G101">
        <v>6.4</v>
      </c>
      <c r="H101">
        <v>1.25</v>
      </c>
      <c r="I101">
        <v>-0.24999999000000001</v>
      </c>
      <c r="J101">
        <v>0.44444447999999998</v>
      </c>
    </row>
    <row r="102" spans="1:10" x14ac:dyDescent="0.3">
      <c r="A102">
        <v>100</v>
      </c>
      <c r="B102">
        <v>1609</v>
      </c>
      <c r="C102" t="b">
        <v>1</v>
      </c>
      <c r="D102">
        <v>8048</v>
      </c>
      <c r="E102">
        <v>8123</v>
      </c>
      <c r="F102">
        <v>8</v>
      </c>
      <c r="G102">
        <v>6.4</v>
      </c>
      <c r="H102">
        <v>1.25</v>
      </c>
      <c r="I102">
        <v>-0.24999999000000001</v>
      </c>
      <c r="J102">
        <v>0.44444447999999998</v>
      </c>
    </row>
    <row r="103" spans="1:10" x14ac:dyDescent="0.3">
      <c r="A103">
        <v>101</v>
      </c>
      <c r="B103">
        <v>1625</v>
      </c>
      <c r="C103" t="b">
        <v>1</v>
      </c>
      <c r="D103">
        <v>8042</v>
      </c>
      <c r="E103">
        <v>8129</v>
      </c>
      <c r="F103">
        <v>8</v>
      </c>
      <c r="G103">
        <v>6.4</v>
      </c>
      <c r="H103">
        <v>1.25</v>
      </c>
      <c r="I103">
        <v>-0.24999999000000001</v>
      </c>
      <c r="J103">
        <v>0.44444447999999998</v>
      </c>
    </row>
    <row r="104" spans="1:10" x14ac:dyDescent="0.3">
      <c r="A104">
        <v>102</v>
      </c>
      <c r="B104">
        <v>1641</v>
      </c>
      <c r="C104" t="b">
        <v>1</v>
      </c>
      <c r="D104">
        <v>8042</v>
      </c>
      <c r="E104">
        <v>8123</v>
      </c>
      <c r="F104">
        <v>8</v>
      </c>
      <c r="G104">
        <v>6.8</v>
      </c>
      <c r="H104">
        <v>1.1764705</v>
      </c>
      <c r="I104">
        <v>-0.17647055</v>
      </c>
      <c r="J104">
        <v>0.45945944999999999</v>
      </c>
    </row>
    <row r="105" spans="1:10" x14ac:dyDescent="0.3">
      <c r="A105">
        <v>103</v>
      </c>
      <c r="B105">
        <v>1656</v>
      </c>
      <c r="C105" t="b">
        <v>1</v>
      </c>
      <c r="D105">
        <v>8048</v>
      </c>
      <c r="E105">
        <v>8123</v>
      </c>
      <c r="F105">
        <v>8</v>
      </c>
      <c r="G105">
        <v>7.2</v>
      </c>
      <c r="H105">
        <v>1.1111112000000001</v>
      </c>
      <c r="I105">
        <v>-0.11111114</v>
      </c>
      <c r="J105">
        <v>0.4736842</v>
      </c>
    </row>
    <row r="106" spans="1:10" x14ac:dyDescent="0.3">
      <c r="A106">
        <v>104</v>
      </c>
      <c r="B106">
        <v>1672</v>
      </c>
      <c r="C106" t="b">
        <v>1</v>
      </c>
      <c r="D106">
        <v>8042</v>
      </c>
      <c r="E106">
        <v>8129</v>
      </c>
      <c r="F106">
        <v>7.6</v>
      </c>
      <c r="G106">
        <v>7.6</v>
      </c>
      <c r="H106">
        <v>1</v>
      </c>
      <c r="I106">
        <v>0</v>
      </c>
      <c r="J106">
        <v>0.5</v>
      </c>
    </row>
    <row r="107" spans="1:10" x14ac:dyDescent="0.3">
      <c r="A107">
        <v>105</v>
      </c>
      <c r="B107">
        <v>1688</v>
      </c>
      <c r="C107" t="b">
        <v>1</v>
      </c>
      <c r="D107">
        <v>8042</v>
      </c>
      <c r="E107">
        <v>8123</v>
      </c>
      <c r="F107">
        <v>7.2</v>
      </c>
      <c r="G107">
        <v>8</v>
      </c>
      <c r="H107">
        <v>0.9</v>
      </c>
      <c r="I107">
        <v>0.10000002400000001</v>
      </c>
      <c r="J107">
        <v>0.5263158</v>
      </c>
    </row>
    <row r="108" spans="1:10" x14ac:dyDescent="0.3">
      <c r="A108">
        <v>106</v>
      </c>
      <c r="B108">
        <v>1704</v>
      </c>
      <c r="C108" t="b">
        <v>1</v>
      </c>
      <c r="D108">
        <v>8042</v>
      </c>
      <c r="E108">
        <v>8123</v>
      </c>
      <c r="F108">
        <v>6.8</v>
      </c>
      <c r="G108">
        <v>8.4</v>
      </c>
      <c r="H108">
        <v>0.80952389999999996</v>
      </c>
      <c r="I108">
        <v>0.19047612999999999</v>
      </c>
      <c r="J108">
        <v>0.55263156000000002</v>
      </c>
    </row>
    <row r="109" spans="1:10" x14ac:dyDescent="0.3">
      <c r="A109">
        <v>107</v>
      </c>
      <c r="B109">
        <v>1720</v>
      </c>
      <c r="C109" t="b">
        <v>1</v>
      </c>
      <c r="D109">
        <v>8042</v>
      </c>
      <c r="E109">
        <v>8129</v>
      </c>
      <c r="F109">
        <v>6.4</v>
      </c>
      <c r="G109">
        <v>8.8000000000000007</v>
      </c>
      <c r="H109">
        <v>0.72727275000000002</v>
      </c>
      <c r="I109">
        <v>0.27272728000000002</v>
      </c>
      <c r="J109">
        <v>0.57894736999999996</v>
      </c>
    </row>
    <row r="110" spans="1:10" x14ac:dyDescent="0.3">
      <c r="A110">
        <v>108</v>
      </c>
      <c r="B110">
        <v>1736</v>
      </c>
      <c r="C110" t="b">
        <v>1</v>
      </c>
      <c r="D110">
        <v>8054</v>
      </c>
      <c r="E110">
        <v>8123</v>
      </c>
      <c r="F110">
        <v>6</v>
      </c>
      <c r="G110">
        <v>9.1999999999999993</v>
      </c>
      <c r="H110">
        <v>0.65217393999999995</v>
      </c>
      <c r="I110">
        <v>0.34782605999999999</v>
      </c>
      <c r="J110">
        <v>0.6052632</v>
      </c>
    </row>
    <row r="111" spans="1:10" x14ac:dyDescent="0.3">
      <c r="A111">
        <v>109</v>
      </c>
      <c r="B111">
        <v>1752</v>
      </c>
      <c r="C111" t="b">
        <v>1</v>
      </c>
      <c r="D111">
        <v>8048</v>
      </c>
      <c r="E111">
        <v>8123</v>
      </c>
      <c r="F111">
        <v>5.6</v>
      </c>
      <c r="G111">
        <v>8.8000000000000007</v>
      </c>
      <c r="H111">
        <v>0.63636360000000003</v>
      </c>
      <c r="I111">
        <v>0.36363636999999999</v>
      </c>
      <c r="J111">
        <v>0.61111115999999999</v>
      </c>
    </row>
    <row r="112" spans="1:10" x14ac:dyDescent="0.3">
      <c r="A112">
        <v>110</v>
      </c>
      <c r="B112">
        <v>1768</v>
      </c>
      <c r="C112" t="b">
        <v>1</v>
      </c>
      <c r="D112">
        <v>8048</v>
      </c>
      <c r="E112">
        <v>8123</v>
      </c>
      <c r="F112">
        <v>5.6</v>
      </c>
      <c r="G112">
        <v>8.4</v>
      </c>
      <c r="H112">
        <v>0.66666669999999995</v>
      </c>
      <c r="I112">
        <v>0.3333333</v>
      </c>
      <c r="J112">
        <v>0.59999996</v>
      </c>
    </row>
    <row r="113" spans="1:10" x14ac:dyDescent="0.3">
      <c r="A113">
        <v>111</v>
      </c>
      <c r="B113">
        <v>1784</v>
      </c>
      <c r="C113" t="b">
        <v>1</v>
      </c>
      <c r="D113">
        <v>8048</v>
      </c>
      <c r="E113">
        <v>8129</v>
      </c>
      <c r="F113">
        <v>5.6</v>
      </c>
      <c r="G113">
        <v>8</v>
      </c>
      <c r="H113">
        <v>0.7</v>
      </c>
      <c r="I113">
        <v>0.3</v>
      </c>
      <c r="J113">
        <v>0.58823526000000004</v>
      </c>
    </row>
    <row r="114" spans="1:10" x14ac:dyDescent="0.3">
      <c r="A114">
        <v>112</v>
      </c>
      <c r="B114">
        <v>1800</v>
      </c>
      <c r="C114" t="b">
        <v>1</v>
      </c>
      <c r="D114">
        <v>8048</v>
      </c>
      <c r="E114">
        <v>8129</v>
      </c>
      <c r="F114">
        <v>5.6</v>
      </c>
      <c r="G114">
        <v>8</v>
      </c>
      <c r="H114">
        <v>0.7</v>
      </c>
      <c r="I114">
        <v>0.3</v>
      </c>
      <c r="J114">
        <v>0.58823526000000004</v>
      </c>
    </row>
    <row r="115" spans="1:10" x14ac:dyDescent="0.3">
      <c r="A115">
        <v>113</v>
      </c>
      <c r="B115">
        <v>1816</v>
      </c>
      <c r="C115" t="b">
        <v>1</v>
      </c>
      <c r="D115">
        <v>8048</v>
      </c>
      <c r="E115">
        <v>8123</v>
      </c>
      <c r="F115">
        <v>5.6</v>
      </c>
      <c r="G115">
        <v>8</v>
      </c>
      <c r="H115">
        <v>0.7</v>
      </c>
      <c r="I115">
        <v>0.3</v>
      </c>
      <c r="J115">
        <v>0.58823526000000004</v>
      </c>
    </row>
    <row r="116" spans="1:10" x14ac:dyDescent="0.3">
      <c r="A116">
        <v>114</v>
      </c>
      <c r="B116">
        <v>1832</v>
      </c>
      <c r="C116" t="b">
        <v>1</v>
      </c>
      <c r="D116">
        <v>8042</v>
      </c>
      <c r="E116">
        <v>8123</v>
      </c>
      <c r="F116">
        <v>5.6</v>
      </c>
      <c r="G116">
        <v>8</v>
      </c>
      <c r="H116">
        <v>0.7</v>
      </c>
      <c r="I116">
        <v>0.3</v>
      </c>
      <c r="J116">
        <v>0.58823526000000004</v>
      </c>
    </row>
    <row r="117" spans="1:10" x14ac:dyDescent="0.3">
      <c r="A117">
        <v>115</v>
      </c>
      <c r="B117">
        <v>1848</v>
      </c>
      <c r="C117" t="b">
        <v>1</v>
      </c>
      <c r="D117">
        <v>8048</v>
      </c>
      <c r="E117">
        <v>8123</v>
      </c>
      <c r="F117">
        <v>5.6</v>
      </c>
      <c r="G117">
        <v>8</v>
      </c>
      <c r="H117">
        <v>0.7</v>
      </c>
      <c r="I117">
        <v>0.3</v>
      </c>
      <c r="J117">
        <v>0.58823526000000004</v>
      </c>
    </row>
    <row r="118" spans="1:10" x14ac:dyDescent="0.3">
      <c r="A118">
        <v>116</v>
      </c>
      <c r="B118">
        <v>1864</v>
      </c>
      <c r="C118" t="b">
        <v>1</v>
      </c>
      <c r="D118">
        <v>8048</v>
      </c>
      <c r="E118">
        <v>8123</v>
      </c>
      <c r="F118">
        <v>5.6</v>
      </c>
      <c r="G118">
        <v>8</v>
      </c>
      <c r="H118">
        <v>0.7</v>
      </c>
      <c r="I118">
        <v>0.3</v>
      </c>
      <c r="J118">
        <v>0.58823526000000004</v>
      </c>
    </row>
    <row r="119" spans="1:10" x14ac:dyDescent="0.3">
      <c r="A119">
        <v>117</v>
      </c>
      <c r="B119">
        <v>1879</v>
      </c>
      <c r="C119" t="b">
        <v>1</v>
      </c>
      <c r="D119">
        <v>8048</v>
      </c>
      <c r="E119">
        <v>8123</v>
      </c>
      <c r="F119">
        <v>5.6</v>
      </c>
      <c r="G119">
        <v>8</v>
      </c>
      <c r="H119">
        <v>0.7</v>
      </c>
      <c r="I119">
        <v>0.3</v>
      </c>
      <c r="J119">
        <v>0.58823526000000004</v>
      </c>
    </row>
    <row r="120" spans="1:10" x14ac:dyDescent="0.3">
      <c r="A120">
        <v>118</v>
      </c>
      <c r="B120">
        <v>1895</v>
      </c>
      <c r="C120" t="b">
        <v>1</v>
      </c>
      <c r="D120">
        <v>8048</v>
      </c>
      <c r="E120">
        <v>8129</v>
      </c>
      <c r="F120">
        <v>5.6</v>
      </c>
      <c r="G120">
        <v>8</v>
      </c>
      <c r="H120">
        <v>0.7</v>
      </c>
      <c r="I120">
        <v>0.3</v>
      </c>
      <c r="J120">
        <v>0.58823526000000004</v>
      </c>
    </row>
    <row r="121" spans="1:10" x14ac:dyDescent="0.3">
      <c r="A121">
        <v>119</v>
      </c>
      <c r="B121">
        <v>1911</v>
      </c>
      <c r="C121" t="b">
        <v>1</v>
      </c>
      <c r="D121">
        <v>8048</v>
      </c>
      <c r="E121">
        <v>8129</v>
      </c>
      <c r="F121">
        <v>6</v>
      </c>
      <c r="G121">
        <v>8</v>
      </c>
      <c r="H121">
        <v>0.75</v>
      </c>
      <c r="I121">
        <v>0.25</v>
      </c>
      <c r="J121">
        <v>0.57142859999999995</v>
      </c>
    </row>
    <row r="122" spans="1:10" x14ac:dyDescent="0.3">
      <c r="A122">
        <v>120</v>
      </c>
      <c r="B122">
        <v>1927</v>
      </c>
      <c r="C122" t="b">
        <v>1</v>
      </c>
      <c r="D122">
        <v>8048</v>
      </c>
      <c r="E122">
        <v>8123</v>
      </c>
      <c r="F122">
        <v>6.4</v>
      </c>
      <c r="G122">
        <v>8</v>
      </c>
      <c r="H122">
        <v>0.8</v>
      </c>
      <c r="I122">
        <v>0.19999998999999999</v>
      </c>
      <c r="J122">
        <v>0.55555560000000004</v>
      </c>
    </row>
    <row r="123" spans="1:10" x14ac:dyDescent="0.3">
      <c r="A123">
        <v>121</v>
      </c>
      <c r="B123">
        <v>1943</v>
      </c>
      <c r="C123" t="b">
        <v>1</v>
      </c>
      <c r="D123">
        <v>8048</v>
      </c>
      <c r="E123">
        <v>8123</v>
      </c>
      <c r="F123">
        <v>6.8</v>
      </c>
      <c r="G123">
        <v>8</v>
      </c>
      <c r="H123">
        <v>0.85</v>
      </c>
      <c r="I123">
        <v>0.14999998</v>
      </c>
      <c r="J123">
        <v>0.54054049999999998</v>
      </c>
    </row>
    <row r="124" spans="1:10" x14ac:dyDescent="0.3">
      <c r="A124">
        <v>122</v>
      </c>
      <c r="B124">
        <v>1959</v>
      </c>
      <c r="C124" t="b">
        <v>1</v>
      </c>
      <c r="D124">
        <v>8048</v>
      </c>
      <c r="E124">
        <v>8123</v>
      </c>
      <c r="F124">
        <v>7.2</v>
      </c>
      <c r="G124">
        <v>8</v>
      </c>
      <c r="H124">
        <v>0.9</v>
      </c>
      <c r="I124">
        <v>0.10000002400000001</v>
      </c>
      <c r="J124">
        <v>0.5263158</v>
      </c>
    </row>
    <row r="125" spans="1:10" x14ac:dyDescent="0.3">
      <c r="A125">
        <v>123</v>
      </c>
      <c r="B125">
        <v>1975</v>
      </c>
      <c r="C125" t="b">
        <v>1</v>
      </c>
      <c r="D125">
        <v>8054</v>
      </c>
      <c r="E125">
        <v>8129</v>
      </c>
      <c r="F125">
        <v>7.6</v>
      </c>
      <c r="G125">
        <v>8</v>
      </c>
      <c r="H125">
        <v>0.95</v>
      </c>
      <c r="I125">
        <v>5.0000012000000003E-2</v>
      </c>
      <c r="J125">
        <v>0.51282050000000001</v>
      </c>
    </row>
    <row r="126" spans="1:10" x14ac:dyDescent="0.3">
      <c r="A126">
        <v>124</v>
      </c>
      <c r="B126">
        <v>1991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2007</v>
      </c>
      <c r="C127" t="b">
        <v>1</v>
      </c>
      <c r="D127">
        <v>8048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2023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2039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2055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2071</v>
      </c>
      <c r="C131" t="b">
        <v>1</v>
      </c>
      <c r="D131">
        <v>8048</v>
      </c>
      <c r="E131">
        <v>8129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2087</v>
      </c>
      <c r="C132" t="b">
        <v>1</v>
      </c>
      <c r="D132">
        <v>8048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2103</v>
      </c>
      <c r="C133" t="b">
        <v>1</v>
      </c>
      <c r="D133">
        <v>8048</v>
      </c>
      <c r="E133">
        <v>8134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2119</v>
      </c>
      <c r="C134" t="b">
        <v>1</v>
      </c>
      <c r="D134">
        <v>8048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2134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2150</v>
      </c>
      <c r="C136" t="b">
        <v>1</v>
      </c>
      <c r="D136">
        <v>8042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2166</v>
      </c>
      <c r="C137" t="b">
        <v>1</v>
      </c>
      <c r="D137">
        <v>8048</v>
      </c>
      <c r="E137">
        <v>8117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2182</v>
      </c>
      <c r="C138" t="b">
        <v>1</v>
      </c>
      <c r="D138">
        <v>8048</v>
      </c>
      <c r="E138">
        <v>8117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2198</v>
      </c>
      <c r="C139" t="b">
        <v>1</v>
      </c>
      <c r="D139">
        <v>8048</v>
      </c>
      <c r="E139">
        <v>8117</v>
      </c>
      <c r="F139">
        <v>8</v>
      </c>
      <c r="G139">
        <v>7.6</v>
      </c>
      <c r="H139">
        <v>1.0526316</v>
      </c>
      <c r="I139">
        <v>-5.2631589999999999E-2</v>
      </c>
      <c r="J139">
        <v>0.48717946000000001</v>
      </c>
    </row>
    <row r="140" spans="1:10" x14ac:dyDescent="0.3">
      <c r="A140">
        <v>138</v>
      </c>
      <c r="B140">
        <v>2214</v>
      </c>
      <c r="C140" t="b">
        <v>1</v>
      </c>
      <c r="D140">
        <v>8048</v>
      </c>
      <c r="E140">
        <v>8123</v>
      </c>
      <c r="F140">
        <v>8</v>
      </c>
      <c r="G140">
        <v>7.2</v>
      </c>
      <c r="H140">
        <v>1.1111112000000001</v>
      </c>
      <c r="I140">
        <v>-0.11111114</v>
      </c>
      <c r="J140">
        <v>0.4736842</v>
      </c>
    </row>
    <row r="141" spans="1:10" x14ac:dyDescent="0.3">
      <c r="A141">
        <v>139</v>
      </c>
      <c r="B141">
        <v>2229</v>
      </c>
      <c r="C141" t="b">
        <v>1</v>
      </c>
      <c r="D141">
        <v>8042</v>
      </c>
      <c r="E141">
        <v>8117</v>
      </c>
      <c r="F141">
        <v>8</v>
      </c>
      <c r="G141">
        <v>6.8</v>
      </c>
      <c r="H141">
        <v>1.1764705</v>
      </c>
      <c r="I141">
        <v>-0.17647055</v>
      </c>
      <c r="J141">
        <v>0.45945944999999999</v>
      </c>
    </row>
    <row r="142" spans="1:10" x14ac:dyDescent="0.3">
      <c r="A142">
        <v>140</v>
      </c>
      <c r="B142">
        <v>2245</v>
      </c>
      <c r="C142" t="b">
        <v>1</v>
      </c>
      <c r="D142">
        <v>8042</v>
      </c>
      <c r="E142">
        <v>8123</v>
      </c>
      <c r="F142">
        <v>8</v>
      </c>
      <c r="G142">
        <v>6.4</v>
      </c>
      <c r="H142">
        <v>1.25</v>
      </c>
      <c r="I142">
        <v>-0.24999999000000001</v>
      </c>
      <c r="J142">
        <v>0.44444447999999998</v>
      </c>
    </row>
    <row r="143" spans="1:10" x14ac:dyDescent="0.3">
      <c r="A143">
        <v>141</v>
      </c>
      <c r="B143">
        <v>2261</v>
      </c>
      <c r="C143" t="b">
        <v>1</v>
      </c>
      <c r="D143">
        <v>8042</v>
      </c>
      <c r="E143">
        <v>8123</v>
      </c>
      <c r="F143">
        <v>7.6</v>
      </c>
      <c r="G143">
        <v>6.4</v>
      </c>
      <c r="H143">
        <v>1.1875</v>
      </c>
      <c r="I143">
        <v>-0.18749996999999999</v>
      </c>
      <c r="J143">
        <v>0.45714285999999998</v>
      </c>
    </row>
    <row r="144" spans="1:10" x14ac:dyDescent="0.3">
      <c r="A144">
        <v>142</v>
      </c>
      <c r="B144">
        <v>2277</v>
      </c>
      <c r="C144" t="b">
        <v>1</v>
      </c>
      <c r="D144">
        <v>8042</v>
      </c>
      <c r="E144">
        <v>8129</v>
      </c>
      <c r="F144">
        <v>7.2</v>
      </c>
      <c r="G144">
        <v>6.4</v>
      </c>
      <c r="H144">
        <v>1.125</v>
      </c>
      <c r="I144">
        <v>-0.124999955</v>
      </c>
      <c r="J144">
        <v>0.47058823999999999</v>
      </c>
    </row>
    <row r="145" spans="1:10" x14ac:dyDescent="0.3">
      <c r="A145">
        <v>143</v>
      </c>
      <c r="B145">
        <v>2293</v>
      </c>
      <c r="C145" t="b">
        <v>1</v>
      </c>
      <c r="D145">
        <v>8042</v>
      </c>
      <c r="E145">
        <v>8123</v>
      </c>
      <c r="F145">
        <v>6.8</v>
      </c>
      <c r="G145">
        <v>6.4</v>
      </c>
      <c r="H145">
        <v>1.0625</v>
      </c>
      <c r="I145">
        <v>-6.2500015000000006E-2</v>
      </c>
      <c r="J145">
        <v>0.48484846999999998</v>
      </c>
    </row>
    <row r="146" spans="1:10" x14ac:dyDescent="0.3">
      <c r="A146">
        <v>144</v>
      </c>
      <c r="B146">
        <v>2309</v>
      </c>
      <c r="C146" t="b">
        <v>1</v>
      </c>
      <c r="D146">
        <v>8042</v>
      </c>
      <c r="E146">
        <v>8123</v>
      </c>
      <c r="F146">
        <v>6.4</v>
      </c>
      <c r="G146">
        <v>6.4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2325</v>
      </c>
      <c r="C147" t="b">
        <v>1</v>
      </c>
      <c r="D147">
        <v>8042</v>
      </c>
      <c r="E147">
        <v>8123</v>
      </c>
      <c r="F147">
        <v>6</v>
      </c>
      <c r="G147">
        <v>6.4</v>
      </c>
      <c r="H147">
        <v>0.9375</v>
      </c>
      <c r="I147">
        <v>6.2500015000000006E-2</v>
      </c>
      <c r="J147">
        <v>0.51612910000000001</v>
      </c>
    </row>
    <row r="148" spans="1:10" x14ac:dyDescent="0.3">
      <c r="A148">
        <v>146</v>
      </c>
      <c r="B148">
        <v>2340</v>
      </c>
      <c r="C148" t="b">
        <v>1</v>
      </c>
      <c r="D148">
        <v>8048</v>
      </c>
      <c r="E148">
        <v>8129</v>
      </c>
      <c r="F148">
        <v>5.6</v>
      </c>
      <c r="G148">
        <v>6.4</v>
      </c>
      <c r="H148">
        <v>0.875</v>
      </c>
      <c r="I148">
        <v>0.12500003000000001</v>
      </c>
      <c r="J148">
        <v>0.53333335999999998</v>
      </c>
    </row>
    <row r="149" spans="1:10" x14ac:dyDescent="0.3">
      <c r="A149">
        <v>147</v>
      </c>
      <c r="B149">
        <v>2357</v>
      </c>
      <c r="C149" t="b">
        <v>1</v>
      </c>
      <c r="D149">
        <v>8048</v>
      </c>
      <c r="E149">
        <v>8123</v>
      </c>
      <c r="F149">
        <v>5.2</v>
      </c>
      <c r="G149">
        <v>6.4</v>
      </c>
      <c r="H149">
        <v>0.81249994000000003</v>
      </c>
      <c r="I149">
        <v>0.18750004000000001</v>
      </c>
      <c r="J149">
        <v>0.55172414000000003</v>
      </c>
    </row>
    <row r="150" spans="1:10" x14ac:dyDescent="0.3">
      <c r="A150">
        <v>148</v>
      </c>
      <c r="B150">
        <v>2372</v>
      </c>
      <c r="C150" t="b">
        <v>1</v>
      </c>
      <c r="D150">
        <v>8048</v>
      </c>
      <c r="E150">
        <v>8123</v>
      </c>
      <c r="F150">
        <v>5.2</v>
      </c>
      <c r="G150">
        <v>6.4</v>
      </c>
      <c r="H150">
        <v>0.81249994000000003</v>
      </c>
      <c r="I150">
        <v>0.18750004000000001</v>
      </c>
      <c r="J150">
        <v>0.55172414000000003</v>
      </c>
    </row>
    <row r="151" spans="1:10" x14ac:dyDescent="0.3">
      <c r="A151">
        <v>149</v>
      </c>
      <c r="B151">
        <v>2388</v>
      </c>
      <c r="C151" t="b">
        <v>1</v>
      </c>
      <c r="D151">
        <v>8048</v>
      </c>
      <c r="E151">
        <v>8117</v>
      </c>
      <c r="F151">
        <v>5.2</v>
      </c>
      <c r="G151">
        <v>6.4</v>
      </c>
      <c r="H151">
        <v>0.81249994000000003</v>
      </c>
      <c r="I151">
        <v>0.18750004000000001</v>
      </c>
      <c r="J151">
        <v>0.55172414000000003</v>
      </c>
    </row>
    <row r="152" spans="1:10" x14ac:dyDescent="0.3">
      <c r="A152">
        <v>150</v>
      </c>
      <c r="B152">
        <v>2404</v>
      </c>
      <c r="C152" t="b">
        <v>1</v>
      </c>
      <c r="D152">
        <v>8048</v>
      </c>
      <c r="E152">
        <v>8123</v>
      </c>
      <c r="F152">
        <v>5.2</v>
      </c>
      <c r="G152">
        <v>6.4</v>
      </c>
      <c r="H152">
        <v>0.81249994000000003</v>
      </c>
      <c r="I152">
        <v>0.18750004000000001</v>
      </c>
      <c r="J152">
        <v>0.55172414000000003</v>
      </c>
    </row>
    <row r="153" spans="1:10" x14ac:dyDescent="0.3">
      <c r="A153">
        <v>151</v>
      </c>
      <c r="B153">
        <v>2420</v>
      </c>
      <c r="C153" t="b">
        <v>1</v>
      </c>
      <c r="D153">
        <v>8048</v>
      </c>
      <c r="E153">
        <v>8123</v>
      </c>
      <c r="F153">
        <v>5.2</v>
      </c>
      <c r="G153">
        <v>6.4</v>
      </c>
      <c r="H153">
        <v>0.81249994000000003</v>
      </c>
      <c r="I153">
        <v>0.18750004000000001</v>
      </c>
      <c r="J153">
        <v>0.55172414000000003</v>
      </c>
    </row>
    <row r="154" spans="1:10" x14ac:dyDescent="0.3">
      <c r="A154">
        <v>152</v>
      </c>
      <c r="B154">
        <v>2435</v>
      </c>
      <c r="C154" t="b">
        <v>1</v>
      </c>
      <c r="D154">
        <v>8042</v>
      </c>
      <c r="E154">
        <v>8129</v>
      </c>
      <c r="F154">
        <v>5.2</v>
      </c>
      <c r="G154">
        <v>6.8</v>
      </c>
      <c r="H154">
        <v>0.76470583999999997</v>
      </c>
      <c r="I154">
        <v>0.23529416</v>
      </c>
      <c r="J154">
        <v>0.56666665999999999</v>
      </c>
    </row>
    <row r="155" spans="1:10" x14ac:dyDescent="0.3">
      <c r="A155">
        <v>153</v>
      </c>
      <c r="B155">
        <v>2451</v>
      </c>
      <c r="C155" t="b">
        <v>1</v>
      </c>
      <c r="D155">
        <v>8042</v>
      </c>
      <c r="E155">
        <v>8129</v>
      </c>
      <c r="F155">
        <v>5.2</v>
      </c>
      <c r="G155">
        <v>7.2</v>
      </c>
      <c r="H155">
        <v>0.72222220000000004</v>
      </c>
      <c r="I155">
        <v>0.27777780000000002</v>
      </c>
      <c r="J155">
        <v>0.58064514</v>
      </c>
    </row>
    <row r="156" spans="1:10" x14ac:dyDescent="0.3">
      <c r="A156">
        <v>154</v>
      </c>
      <c r="B156">
        <v>2467</v>
      </c>
      <c r="C156" t="b">
        <v>1</v>
      </c>
      <c r="D156">
        <v>8048</v>
      </c>
      <c r="E156">
        <v>8123</v>
      </c>
      <c r="F156">
        <v>5.2</v>
      </c>
      <c r="G156">
        <v>7.6</v>
      </c>
      <c r="H156">
        <v>0.68421054000000003</v>
      </c>
      <c r="I156">
        <v>0.3157895</v>
      </c>
      <c r="J156">
        <v>0.59375</v>
      </c>
    </row>
    <row r="157" spans="1:10" x14ac:dyDescent="0.3">
      <c r="A157">
        <v>155</v>
      </c>
      <c r="B157">
        <v>2483</v>
      </c>
      <c r="C157" t="b">
        <v>1</v>
      </c>
      <c r="D157">
        <v>8048</v>
      </c>
      <c r="E157">
        <v>8123</v>
      </c>
      <c r="F157">
        <v>5.2</v>
      </c>
      <c r="G157">
        <v>8</v>
      </c>
      <c r="H157">
        <v>0.65</v>
      </c>
      <c r="I157">
        <v>0.35000002000000002</v>
      </c>
      <c r="J157">
        <v>0.60606059999999995</v>
      </c>
    </row>
    <row r="158" spans="1:10" x14ac:dyDescent="0.3">
      <c r="A158">
        <v>156</v>
      </c>
      <c r="B158">
        <v>2499</v>
      </c>
      <c r="C158" t="b">
        <v>1</v>
      </c>
      <c r="D158">
        <v>8048</v>
      </c>
      <c r="E158">
        <v>8129</v>
      </c>
      <c r="F158">
        <v>5.6</v>
      </c>
      <c r="G158">
        <v>8.4</v>
      </c>
      <c r="H158">
        <v>0.66666669999999995</v>
      </c>
      <c r="I158">
        <v>0.3333333</v>
      </c>
      <c r="J158">
        <v>0.59999996</v>
      </c>
    </row>
    <row r="159" spans="1:10" x14ac:dyDescent="0.3">
      <c r="A159">
        <v>157</v>
      </c>
      <c r="B159">
        <v>2515</v>
      </c>
      <c r="C159" t="b">
        <v>1</v>
      </c>
      <c r="D159">
        <v>8048</v>
      </c>
      <c r="E159">
        <v>8129</v>
      </c>
      <c r="F159">
        <v>6</v>
      </c>
      <c r="G159">
        <v>8.8000000000000007</v>
      </c>
      <c r="H159">
        <v>0.68181820000000004</v>
      </c>
      <c r="I159">
        <v>0.31818183999999999</v>
      </c>
      <c r="J159">
        <v>0.59459459999999997</v>
      </c>
    </row>
    <row r="160" spans="1:10" x14ac:dyDescent="0.3">
      <c r="A160">
        <v>158</v>
      </c>
      <c r="B160">
        <v>2531</v>
      </c>
      <c r="C160" t="b">
        <v>1</v>
      </c>
      <c r="D160">
        <v>8048</v>
      </c>
      <c r="E160">
        <v>8129</v>
      </c>
      <c r="F160">
        <v>6.4</v>
      </c>
      <c r="G160">
        <v>9.1999999999999993</v>
      </c>
      <c r="H160">
        <v>0.69565220000000005</v>
      </c>
      <c r="I160">
        <v>0.3043478</v>
      </c>
      <c r="J160">
        <v>0.58974355000000001</v>
      </c>
    </row>
    <row r="161" spans="1:10" x14ac:dyDescent="0.3">
      <c r="A161">
        <v>159</v>
      </c>
      <c r="B161">
        <v>2547</v>
      </c>
      <c r="C161" t="b">
        <v>1</v>
      </c>
      <c r="D161">
        <v>8048</v>
      </c>
      <c r="E161">
        <v>8123</v>
      </c>
      <c r="F161">
        <v>6.8</v>
      </c>
      <c r="G161">
        <v>9.6</v>
      </c>
      <c r="H161">
        <v>0.70833330000000005</v>
      </c>
      <c r="I161">
        <v>0.2916667</v>
      </c>
      <c r="J161">
        <v>0.58536582999999998</v>
      </c>
    </row>
    <row r="162" spans="1:10" x14ac:dyDescent="0.3">
      <c r="A162">
        <v>160</v>
      </c>
      <c r="B162">
        <v>2563</v>
      </c>
      <c r="C162" t="b">
        <v>1</v>
      </c>
      <c r="D162">
        <v>8048</v>
      </c>
      <c r="E162">
        <v>8129</v>
      </c>
      <c r="F162">
        <v>7.2</v>
      </c>
      <c r="G162">
        <v>10</v>
      </c>
      <c r="H162">
        <v>0.71999997000000004</v>
      </c>
      <c r="I162">
        <v>0.28000003000000001</v>
      </c>
      <c r="J162">
        <v>0.58139529999999995</v>
      </c>
    </row>
    <row r="163" spans="1:10" x14ac:dyDescent="0.3">
      <c r="A163">
        <v>161</v>
      </c>
      <c r="B163">
        <v>2578</v>
      </c>
      <c r="C163" t="b">
        <v>1</v>
      </c>
      <c r="D163">
        <v>8048</v>
      </c>
      <c r="E163">
        <v>8123</v>
      </c>
      <c r="F163">
        <v>7.6</v>
      </c>
      <c r="G163">
        <v>10.4</v>
      </c>
      <c r="H163">
        <v>0.73076929999999996</v>
      </c>
      <c r="I163">
        <v>0.26923075000000002</v>
      </c>
      <c r="J163">
        <v>0.57777774000000004</v>
      </c>
    </row>
    <row r="164" spans="1:10" x14ac:dyDescent="0.3">
      <c r="A164">
        <v>162</v>
      </c>
      <c r="B164">
        <v>2594</v>
      </c>
      <c r="C164" t="b">
        <v>1</v>
      </c>
      <c r="D164">
        <v>8048</v>
      </c>
      <c r="E164">
        <v>8123</v>
      </c>
      <c r="F164">
        <v>8</v>
      </c>
      <c r="G164">
        <v>10.4</v>
      </c>
      <c r="H164">
        <v>0.76923079999999999</v>
      </c>
      <c r="I164">
        <v>0.23076920000000001</v>
      </c>
      <c r="J164">
        <v>0.56521739999999998</v>
      </c>
    </row>
    <row r="165" spans="1:10" x14ac:dyDescent="0.3">
      <c r="A165">
        <v>163</v>
      </c>
      <c r="B165">
        <v>2610</v>
      </c>
      <c r="C165" t="b">
        <v>1</v>
      </c>
      <c r="D165">
        <v>8048</v>
      </c>
      <c r="E165">
        <v>8123</v>
      </c>
      <c r="F165">
        <v>8</v>
      </c>
      <c r="G165">
        <v>10.4</v>
      </c>
      <c r="H165">
        <v>0.76923079999999999</v>
      </c>
      <c r="I165">
        <v>0.23076920000000001</v>
      </c>
      <c r="J165">
        <v>0.56521739999999998</v>
      </c>
    </row>
    <row r="166" spans="1:10" x14ac:dyDescent="0.3">
      <c r="A166">
        <v>164</v>
      </c>
      <c r="B166">
        <v>2626</v>
      </c>
      <c r="C166" t="b">
        <v>1</v>
      </c>
      <c r="D166">
        <v>8048</v>
      </c>
      <c r="E166">
        <v>8129</v>
      </c>
      <c r="F166">
        <v>8</v>
      </c>
      <c r="G166">
        <v>10.4</v>
      </c>
      <c r="H166">
        <v>0.76923079999999999</v>
      </c>
      <c r="I166">
        <v>0.23076920000000001</v>
      </c>
      <c r="J166">
        <v>0.56521739999999998</v>
      </c>
    </row>
    <row r="167" spans="1:10" x14ac:dyDescent="0.3">
      <c r="A167">
        <v>165</v>
      </c>
      <c r="B167">
        <v>2642</v>
      </c>
      <c r="C167" t="b">
        <v>1</v>
      </c>
      <c r="D167">
        <v>8048</v>
      </c>
      <c r="E167">
        <v>8129</v>
      </c>
      <c r="F167">
        <v>8</v>
      </c>
      <c r="G167">
        <v>10.4</v>
      </c>
      <c r="H167">
        <v>0.76923079999999999</v>
      </c>
      <c r="I167">
        <v>0.23076920000000001</v>
      </c>
      <c r="J167">
        <v>0.56521739999999998</v>
      </c>
    </row>
    <row r="168" spans="1:10" x14ac:dyDescent="0.3">
      <c r="A168">
        <v>166</v>
      </c>
      <c r="B168">
        <v>2658</v>
      </c>
      <c r="C168" t="b">
        <v>1</v>
      </c>
      <c r="D168">
        <v>8048</v>
      </c>
      <c r="E168">
        <v>8129</v>
      </c>
      <c r="F168">
        <v>8</v>
      </c>
      <c r="G168">
        <v>10.8</v>
      </c>
      <c r="H168">
        <v>0.74074070000000003</v>
      </c>
      <c r="I168">
        <v>0.25925927999999998</v>
      </c>
      <c r="J168">
        <v>0.57446814000000002</v>
      </c>
    </row>
    <row r="169" spans="1:10" x14ac:dyDescent="0.3">
      <c r="A169">
        <v>167</v>
      </c>
      <c r="B169">
        <v>2674</v>
      </c>
      <c r="C169" t="b">
        <v>1</v>
      </c>
      <c r="D169">
        <v>8048</v>
      </c>
      <c r="E169">
        <v>8134</v>
      </c>
      <c r="F169">
        <v>8</v>
      </c>
      <c r="G169">
        <v>11.2</v>
      </c>
      <c r="H169">
        <v>0.71428572999999995</v>
      </c>
      <c r="I169">
        <v>0.28571426999999999</v>
      </c>
      <c r="J169">
        <v>0.58333330000000005</v>
      </c>
    </row>
    <row r="170" spans="1:10" x14ac:dyDescent="0.3">
      <c r="A170">
        <v>168</v>
      </c>
      <c r="B170">
        <v>2690</v>
      </c>
      <c r="C170" t="b">
        <v>1</v>
      </c>
      <c r="D170">
        <v>8042</v>
      </c>
      <c r="E170">
        <v>8123</v>
      </c>
      <c r="F170">
        <v>8</v>
      </c>
      <c r="G170">
        <v>11.6</v>
      </c>
      <c r="H170">
        <v>0.68965509999999997</v>
      </c>
      <c r="I170">
        <v>0.31034485000000001</v>
      </c>
      <c r="J170">
        <v>0.59183675000000002</v>
      </c>
    </row>
    <row r="171" spans="1:10" x14ac:dyDescent="0.3">
      <c r="A171">
        <v>169</v>
      </c>
      <c r="B171">
        <v>2705</v>
      </c>
      <c r="C171" t="b">
        <v>1</v>
      </c>
      <c r="D171">
        <v>8048</v>
      </c>
      <c r="E171">
        <v>8123</v>
      </c>
      <c r="F171">
        <v>8</v>
      </c>
      <c r="G171">
        <v>12</v>
      </c>
      <c r="H171">
        <v>0.66666669999999995</v>
      </c>
      <c r="I171">
        <v>0.33333333999999998</v>
      </c>
      <c r="J171">
        <v>0.6</v>
      </c>
    </row>
    <row r="172" spans="1:10" x14ac:dyDescent="0.3">
      <c r="A172">
        <v>170</v>
      </c>
      <c r="B172">
        <v>2721</v>
      </c>
      <c r="C172" t="b">
        <v>1</v>
      </c>
      <c r="D172">
        <v>8042</v>
      </c>
      <c r="E172">
        <v>8129</v>
      </c>
      <c r="F172">
        <v>8</v>
      </c>
      <c r="G172">
        <v>12.4</v>
      </c>
      <c r="H172">
        <v>0.64516132999999998</v>
      </c>
      <c r="I172">
        <v>0.35483870000000001</v>
      </c>
      <c r="J172">
        <v>0.60784309999999997</v>
      </c>
    </row>
    <row r="173" spans="1:10" x14ac:dyDescent="0.3">
      <c r="A173">
        <v>171</v>
      </c>
      <c r="B173">
        <v>2737</v>
      </c>
      <c r="C173" t="b">
        <v>1</v>
      </c>
      <c r="D173">
        <v>8048</v>
      </c>
      <c r="E173">
        <v>8123</v>
      </c>
      <c r="F173">
        <v>8</v>
      </c>
      <c r="G173">
        <v>12</v>
      </c>
      <c r="H173">
        <v>0.66666669999999995</v>
      </c>
      <c r="I173">
        <v>0.33333333999999998</v>
      </c>
      <c r="J173">
        <v>0.6</v>
      </c>
    </row>
    <row r="174" spans="1:10" x14ac:dyDescent="0.3">
      <c r="A174">
        <v>172</v>
      </c>
      <c r="B174">
        <v>2752</v>
      </c>
      <c r="C174" t="b">
        <v>1</v>
      </c>
      <c r="D174">
        <v>8048</v>
      </c>
      <c r="E174">
        <v>8123</v>
      </c>
      <c r="F174">
        <v>8</v>
      </c>
      <c r="G174">
        <v>11.6</v>
      </c>
      <c r="H174">
        <v>0.68965509999999997</v>
      </c>
      <c r="I174">
        <v>0.31034485000000001</v>
      </c>
      <c r="J174">
        <v>0.59183675000000002</v>
      </c>
    </row>
    <row r="175" spans="1:10" x14ac:dyDescent="0.3">
      <c r="A175">
        <v>173</v>
      </c>
      <c r="B175">
        <v>2768</v>
      </c>
      <c r="C175" t="b">
        <v>1</v>
      </c>
      <c r="D175">
        <v>8048</v>
      </c>
      <c r="E175">
        <v>8123</v>
      </c>
      <c r="F175">
        <v>8</v>
      </c>
      <c r="G175">
        <v>11.2</v>
      </c>
      <c r="H175">
        <v>0.71428572999999995</v>
      </c>
      <c r="I175">
        <v>0.28571426999999999</v>
      </c>
      <c r="J175">
        <v>0.58333330000000005</v>
      </c>
    </row>
    <row r="176" spans="1:10" x14ac:dyDescent="0.3">
      <c r="A176">
        <v>174</v>
      </c>
      <c r="B176">
        <v>2784</v>
      </c>
      <c r="C176" t="b">
        <v>1</v>
      </c>
      <c r="D176">
        <v>8048</v>
      </c>
      <c r="E176">
        <v>8123</v>
      </c>
      <c r="F176">
        <v>8</v>
      </c>
      <c r="G176">
        <v>10.8</v>
      </c>
      <c r="H176">
        <v>0.74074070000000003</v>
      </c>
      <c r="I176">
        <v>0.25925927999999998</v>
      </c>
      <c r="J176">
        <v>0.57446814000000002</v>
      </c>
    </row>
    <row r="177" spans="1:10" x14ac:dyDescent="0.3">
      <c r="A177">
        <v>175</v>
      </c>
      <c r="B177">
        <v>2800</v>
      </c>
      <c r="C177" t="b">
        <v>1</v>
      </c>
      <c r="D177">
        <v>8048</v>
      </c>
      <c r="E177">
        <v>8123</v>
      </c>
      <c r="F177">
        <v>8</v>
      </c>
      <c r="G177">
        <v>10.4</v>
      </c>
      <c r="H177">
        <v>0.76923079999999999</v>
      </c>
      <c r="I177">
        <v>0.23076920000000001</v>
      </c>
      <c r="J177">
        <v>0.56521739999999998</v>
      </c>
    </row>
    <row r="178" spans="1:10" x14ac:dyDescent="0.3">
      <c r="A178">
        <v>176</v>
      </c>
      <c r="B178">
        <v>2816</v>
      </c>
      <c r="C178" t="b">
        <v>1</v>
      </c>
      <c r="D178">
        <v>8048</v>
      </c>
      <c r="E178">
        <v>8123</v>
      </c>
      <c r="F178">
        <v>8</v>
      </c>
      <c r="G178">
        <v>10</v>
      </c>
      <c r="H178">
        <v>0.8</v>
      </c>
      <c r="I178">
        <v>0.2</v>
      </c>
      <c r="J178">
        <v>0.55555560000000004</v>
      </c>
    </row>
    <row r="179" spans="1:10" x14ac:dyDescent="0.3">
      <c r="A179">
        <v>177</v>
      </c>
      <c r="B179">
        <v>2831</v>
      </c>
      <c r="C179" t="b">
        <v>1</v>
      </c>
      <c r="D179">
        <v>8048</v>
      </c>
      <c r="E179">
        <v>8123</v>
      </c>
      <c r="F179">
        <v>8</v>
      </c>
      <c r="G179">
        <v>10</v>
      </c>
      <c r="H179">
        <v>0.8</v>
      </c>
      <c r="I179">
        <v>0.2</v>
      </c>
      <c r="J179">
        <v>0.55555560000000004</v>
      </c>
    </row>
    <row r="180" spans="1:10" x14ac:dyDescent="0.3">
      <c r="A180">
        <v>178</v>
      </c>
      <c r="B180">
        <v>2847</v>
      </c>
      <c r="C180" t="b">
        <v>1</v>
      </c>
      <c r="D180">
        <v>8037</v>
      </c>
      <c r="E180">
        <v>8123</v>
      </c>
      <c r="F180">
        <v>8</v>
      </c>
      <c r="G180">
        <v>10</v>
      </c>
      <c r="H180">
        <v>0.8</v>
      </c>
      <c r="I180">
        <v>0.2</v>
      </c>
      <c r="J180">
        <v>0.55555560000000004</v>
      </c>
    </row>
    <row r="181" spans="1:10" x14ac:dyDescent="0.3">
      <c r="A181">
        <v>179</v>
      </c>
      <c r="B181">
        <v>2863</v>
      </c>
      <c r="C181" t="b">
        <v>1</v>
      </c>
      <c r="D181">
        <v>8037</v>
      </c>
      <c r="E181">
        <v>8123</v>
      </c>
      <c r="F181">
        <v>8</v>
      </c>
      <c r="G181">
        <v>10</v>
      </c>
      <c r="H181">
        <v>0.8</v>
      </c>
      <c r="I181">
        <v>0.2</v>
      </c>
      <c r="J181">
        <v>0.55555560000000004</v>
      </c>
    </row>
    <row r="182" spans="1:10" x14ac:dyDescent="0.3">
      <c r="A182">
        <v>180</v>
      </c>
      <c r="B182">
        <v>2879</v>
      </c>
      <c r="C182" t="b">
        <v>1</v>
      </c>
      <c r="D182">
        <v>8042</v>
      </c>
      <c r="E182">
        <v>8123</v>
      </c>
      <c r="F182">
        <v>7.6</v>
      </c>
      <c r="G182">
        <v>10</v>
      </c>
      <c r="H182">
        <v>0.76</v>
      </c>
      <c r="I182">
        <v>0.24000001000000001</v>
      </c>
      <c r="J182">
        <v>0.56818179999999996</v>
      </c>
    </row>
    <row r="183" spans="1:10" x14ac:dyDescent="0.3">
      <c r="A183">
        <v>181</v>
      </c>
      <c r="B183">
        <v>2894</v>
      </c>
      <c r="C183" t="b">
        <v>1</v>
      </c>
      <c r="D183">
        <v>8042</v>
      </c>
      <c r="E183">
        <v>8129</v>
      </c>
      <c r="F183">
        <v>7.2</v>
      </c>
      <c r="G183">
        <v>9.6</v>
      </c>
      <c r="H183">
        <v>0.74999994000000003</v>
      </c>
      <c r="I183">
        <v>0.25000006000000002</v>
      </c>
      <c r="J183">
        <v>0.57142859999999995</v>
      </c>
    </row>
    <row r="184" spans="1:10" x14ac:dyDescent="0.3">
      <c r="A184">
        <v>182</v>
      </c>
      <c r="B184">
        <v>2910</v>
      </c>
      <c r="C184" t="b">
        <v>1</v>
      </c>
      <c r="D184">
        <v>8042</v>
      </c>
      <c r="E184">
        <v>8123</v>
      </c>
      <c r="F184">
        <v>6.8</v>
      </c>
      <c r="G184">
        <v>9.1999999999999993</v>
      </c>
      <c r="H184">
        <v>0.73913050000000002</v>
      </c>
      <c r="I184">
        <v>0.26086953000000002</v>
      </c>
      <c r="J184">
        <v>0.57499999999999996</v>
      </c>
    </row>
    <row r="185" spans="1:10" x14ac:dyDescent="0.3">
      <c r="A185">
        <v>183</v>
      </c>
      <c r="B185">
        <v>2925</v>
      </c>
      <c r="C185" t="b">
        <v>1</v>
      </c>
      <c r="D185">
        <v>8042</v>
      </c>
      <c r="E185">
        <v>8123</v>
      </c>
      <c r="F185">
        <v>6.4</v>
      </c>
      <c r="G185">
        <v>8.8000000000000007</v>
      </c>
      <c r="H185">
        <v>0.72727275000000002</v>
      </c>
      <c r="I185">
        <v>0.27272728000000002</v>
      </c>
      <c r="J185">
        <v>0.57894736999999996</v>
      </c>
    </row>
    <row r="186" spans="1:10" x14ac:dyDescent="0.3">
      <c r="A186">
        <v>184</v>
      </c>
      <c r="B186">
        <v>2942</v>
      </c>
      <c r="C186" t="b">
        <v>1</v>
      </c>
      <c r="D186">
        <v>8048</v>
      </c>
      <c r="E186">
        <v>8129</v>
      </c>
      <c r="F186">
        <v>6</v>
      </c>
      <c r="G186">
        <v>8.4</v>
      </c>
      <c r="H186">
        <v>0.71428572999999995</v>
      </c>
      <c r="I186">
        <v>0.28571424000000001</v>
      </c>
      <c r="J186">
        <v>0.58333330000000005</v>
      </c>
    </row>
    <row r="187" spans="1:10" x14ac:dyDescent="0.3">
      <c r="A187">
        <v>185</v>
      </c>
      <c r="B187">
        <v>2957</v>
      </c>
      <c r="C187" t="b">
        <v>1</v>
      </c>
      <c r="D187">
        <v>8048</v>
      </c>
      <c r="E187">
        <v>8123</v>
      </c>
      <c r="F187">
        <v>5.6</v>
      </c>
      <c r="G187">
        <v>8</v>
      </c>
      <c r="H187">
        <v>0.7</v>
      </c>
      <c r="I187">
        <v>0.3</v>
      </c>
      <c r="J187">
        <v>0.58823526000000004</v>
      </c>
    </row>
    <row r="188" spans="1:10" x14ac:dyDescent="0.3">
      <c r="A188">
        <v>186</v>
      </c>
      <c r="B188">
        <v>2973</v>
      </c>
      <c r="C188" t="b">
        <v>1</v>
      </c>
      <c r="D188">
        <v>8048</v>
      </c>
      <c r="E188">
        <v>8123</v>
      </c>
      <c r="F188">
        <v>5.6</v>
      </c>
      <c r="G188">
        <v>8</v>
      </c>
      <c r="H188">
        <v>0.7</v>
      </c>
      <c r="I188">
        <v>0.3</v>
      </c>
      <c r="J188">
        <v>0.58823526000000004</v>
      </c>
    </row>
    <row r="189" spans="1:10" x14ac:dyDescent="0.3">
      <c r="A189">
        <v>187</v>
      </c>
      <c r="B189">
        <v>2989</v>
      </c>
      <c r="C189" t="b">
        <v>1</v>
      </c>
      <c r="D189">
        <v>8048</v>
      </c>
      <c r="E189">
        <v>8123</v>
      </c>
      <c r="F189">
        <v>5.6</v>
      </c>
      <c r="G189">
        <v>8</v>
      </c>
      <c r="H189">
        <v>0.7</v>
      </c>
      <c r="I189">
        <v>0.3</v>
      </c>
      <c r="J189">
        <v>0.58823526000000004</v>
      </c>
    </row>
    <row r="190" spans="1:10" x14ac:dyDescent="0.3">
      <c r="A190">
        <v>188</v>
      </c>
      <c r="B190">
        <v>3005</v>
      </c>
      <c r="C190" t="b">
        <v>1</v>
      </c>
      <c r="D190">
        <v>8048</v>
      </c>
      <c r="E190">
        <v>8123</v>
      </c>
      <c r="F190">
        <v>5.6</v>
      </c>
      <c r="G190">
        <v>8</v>
      </c>
      <c r="H190">
        <v>0.7</v>
      </c>
      <c r="I190">
        <v>0.3</v>
      </c>
      <c r="J190">
        <v>0.58823526000000004</v>
      </c>
    </row>
    <row r="191" spans="1:10" x14ac:dyDescent="0.3">
      <c r="A191">
        <v>189</v>
      </c>
      <c r="B191">
        <v>3021</v>
      </c>
      <c r="C191" t="b">
        <v>1</v>
      </c>
      <c r="D191">
        <v>8048</v>
      </c>
      <c r="E191">
        <v>8129</v>
      </c>
      <c r="F191">
        <v>5.6</v>
      </c>
      <c r="G191">
        <v>8</v>
      </c>
      <c r="H191">
        <v>0.7</v>
      </c>
      <c r="I191">
        <v>0.3</v>
      </c>
      <c r="J191">
        <v>0.58823526000000004</v>
      </c>
    </row>
    <row r="192" spans="1:10" x14ac:dyDescent="0.3">
      <c r="A192">
        <v>190</v>
      </c>
      <c r="B192">
        <v>3037</v>
      </c>
      <c r="C192" t="b">
        <v>1</v>
      </c>
      <c r="D192">
        <v>8048</v>
      </c>
      <c r="E192">
        <v>8123</v>
      </c>
      <c r="F192">
        <v>5.6</v>
      </c>
      <c r="G192">
        <v>8</v>
      </c>
      <c r="H192">
        <v>0.7</v>
      </c>
      <c r="I192">
        <v>0.3</v>
      </c>
      <c r="J192">
        <v>0.58823526000000004</v>
      </c>
    </row>
    <row r="193" spans="1:10" x14ac:dyDescent="0.3">
      <c r="A193">
        <v>191</v>
      </c>
      <c r="B193">
        <v>3052</v>
      </c>
      <c r="C193" t="b">
        <v>1</v>
      </c>
      <c r="D193">
        <v>8048</v>
      </c>
      <c r="E193">
        <v>8123</v>
      </c>
      <c r="F193">
        <v>5.6</v>
      </c>
      <c r="G193">
        <v>8</v>
      </c>
      <c r="H193">
        <v>0.7</v>
      </c>
      <c r="I193">
        <v>0.3</v>
      </c>
      <c r="J193">
        <v>0.58823526000000004</v>
      </c>
    </row>
    <row r="194" spans="1:10" x14ac:dyDescent="0.3">
      <c r="A194">
        <v>192</v>
      </c>
      <c r="B194">
        <v>3067</v>
      </c>
      <c r="C194" t="b">
        <v>1</v>
      </c>
      <c r="D194">
        <v>8054</v>
      </c>
      <c r="E194">
        <v>8123</v>
      </c>
      <c r="F194">
        <v>5.6</v>
      </c>
      <c r="G194">
        <v>8</v>
      </c>
      <c r="H194">
        <v>0.7</v>
      </c>
      <c r="I194">
        <v>0.3</v>
      </c>
      <c r="J194">
        <v>0.58823526000000004</v>
      </c>
    </row>
    <row r="195" spans="1:10" x14ac:dyDescent="0.3">
      <c r="A195">
        <v>193</v>
      </c>
      <c r="B195">
        <v>3083</v>
      </c>
      <c r="C195" t="b">
        <v>1</v>
      </c>
      <c r="D195">
        <v>8048</v>
      </c>
      <c r="E195">
        <v>8129</v>
      </c>
      <c r="F195">
        <v>5.6</v>
      </c>
      <c r="G195">
        <v>8</v>
      </c>
      <c r="H195">
        <v>0.7</v>
      </c>
      <c r="I195">
        <v>0.3</v>
      </c>
      <c r="J195">
        <v>0.58823526000000004</v>
      </c>
    </row>
    <row r="196" spans="1:10" x14ac:dyDescent="0.3">
      <c r="A196">
        <v>194</v>
      </c>
      <c r="B196">
        <v>3099</v>
      </c>
      <c r="C196" t="b">
        <v>1</v>
      </c>
      <c r="D196">
        <v>8048</v>
      </c>
      <c r="E196">
        <v>8123</v>
      </c>
      <c r="F196">
        <v>5.6</v>
      </c>
      <c r="G196">
        <v>8</v>
      </c>
      <c r="H196">
        <v>0.7</v>
      </c>
      <c r="I196">
        <v>0.3</v>
      </c>
      <c r="J196">
        <v>0.58823526000000004</v>
      </c>
    </row>
    <row r="197" spans="1:10" x14ac:dyDescent="0.3">
      <c r="A197">
        <v>195</v>
      </c>
      <c r="B197">
        <v>3115</v>
      </c>
      <c r="C197" t="b">
        <v>1</v>
      </c>
      <c r="D197">
        <v>8054</v>
      </c>
      <c r="E197">
        <v>8123</v>
      </c>
      <c r="F197">
        <v>6</v>
      </c>
      <c r="G197">
        <v>8</v>
      </c>
      <c r="H197">
        <v>0.75</v>
      </c>
      <c r="I197">
        <v>0.25</v>
      </c>
      <c r="J197">
        <v>0.57142859999999995</v>
      </c>
    </row>
    <row r="198" spans="1:10" x14ac:dyDescent="0.3">
      <c r="A198">
        <v>196</v>
      </c>
      <c r="B198">
        <v>3130</v>
      </c>
      <c r="C198" t="b">
        <v>1</v>
      </c>
      <c r="D198">
        <v>8054</v>
      </c>
      <c r="E198">
        <v>8123</v>
      </c>
      <c r="F198">
        <v>6.8</v>
      </c>
      <c r="G198">
        <v>8</v>
      </c>
      <c r="H198">
        <v>0.85</v>
      </c>
      <c r="I198">
        <v>0.14999998</v>
      </c>
      <c r="J198">
        <v>0.54054049999999998</v>
      </c>
    </row>
    <row r="199" spans="1:10" x14ac:dyDescent="0.3">
      <c r="A199">
        <v>197</v>
      </c>
      <c r="B199">
        <v>3146</v>
      </c>
      <c r="C199" t="b">
        <v>1</v>
      </c>
      <c r="D199">
        <v>8048</v>
      </c>
      <c r="E199">
        <v>8123</v>
      </c>
      <c r="F199">
        <v>7.2</v>
      </c>
      <c r="G199">
        <v>8</v>
      </c>
      <c r="H199">
        <v>0.9</v>
      </c>
      <c r="I199">
        <v>0.10000002400000001</v>
      </c>
      <c r="J199">
        <v>0.5263158</v>
      </c>
    </row>
    <row r="200" spans="1:10" x14ac:dyDescent="0.3">
      <c r="A200">
        <v>198</v>
      </c>
      <c r="B200">
        <v>3162</v>
      </c>
      <c r="C200" t="b">
        <v>1</v>
      </c>
      <c r="D200">
        <v>8048</v>
      </c>
      <c r="E200">
        <v>8129</v>
      </c>
      <c r="F200">
        <v>7.6</v>
      </c>
      <c r="G200">
        <v>8</v>
      </c>
      <c r="H200">
        <v>0.95</v>
      </c>
      <c r="I200">
        <v>5.0000012000000003E-2</v>
      </c>
      <c r="J200">
        <v>0.51282050000000001</v>
      </c>
    </row>
    <row r="201" spans="1:10" x14ac:dyDescent="0.3">
      <c r="A201">
        <v>199</v>
      </c>
      <c r="B201">
        <v>3178</v>
      </c>
      <c r="C201" t="b">
        <v>1</v>
      </c>
      <c r="D201">
        <v>8048</v>
      </c>
      <c r="E201">
        <v>8129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3193</v>
      </c>
      <c r="C202" t="b">
        <v>1</v>
      </c>
      <c r="D202">
        <v>8048</v>
      </c>
      <c r="E202">
        <v>8134</v>
      </c>
      <c r="F202">
        <v>8.4</v>
      </c>
      <c r="G202">
        <v>8.4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3209</v>
      </c>
      <c r="C203" t="b">
        <v>1</v>
      </c>
      <c r="D203">
        <v>8048</v>
      </c>
      <c r="E203">
        <v>8123</v>
      </c>
      <c r="F203">
        <v>8.4</v>
      </c>
      <c r="G203">
        <v>8.8000000000000007</v>
      </c>
      <c r="H203">
        <v>0.95454539999999999</v>
      </c>
      <c r="I203">
        <v>4.5454609999999999E-2</v>
      </c>
      <c r="J203">
        <v>0.51162790000000002</v>
      </c>
    </row>
    <row r="204" spans="1:10" x14ac:dyDescent="0.3">
      <c r="A204">
        <v>202</v>
      </c>
      <c r="B204">
        <v>3225</v>
      </c>
      <c r="C204" t="b">
        <v>1</v>
      </c>
      <c r="D204">
        <v>8048</v>
      </c>
      <c r="E204">
        <v>8129</v>
      </c>
      <c r="F204">
        <v>8.4</v>
      </c>
      <c r="G204">
        <v>9.1999999999999993</v>
      </c>
      <c r="H204">
        <v>0.91304344000000004</v>
      </c>
      <c r="I204">
        <v>8.6956545999999996E-2</v>
      </c>
      <c r="J204">
        <v>0.52272730000000001</v>
      </c>
    </row>
    <row r="205" spans="1:10" x14ac:dyDescent="0.3">
      <c r="A205">
        <v>203</v>
      </c>
      <c r="B205">
        <v>3241</v>
      </c>
      <c r="C205" t="b">
        <v>1</v>
      </c>
      <c r="D205">
        <v>8048</v>
      </c>
      <c r="E205">
        <v>8117</v>
      </c>
      <c r="F205">
        <v>8.4</v>
      </c>
      <c r="G205">
        <v>9.6</v>
      </c>
      <c r="H205">
        <v>0.87499994000000003</v>
      </c>
      <c r="I205">
        <v>0.12500006999999999</v>
      </c>
      <c r="J205">
        <v>0.53333335999999998</v>
      </c>
    </row>
    <row r="206" spans="1:10" x14ac:dyDescent="0.3">
      <c r="A206">
        <v>204</v>
      </c>
      <c r="B206">
        <v>3256</v>
      </c>
      <c r="C206" t="b">
        <v>1</v>
      </c>
      <c r="D206">
        <v>8042</v>
      </c>
      <c r="E206">
        <v>8123</v>
      </c>
      <c r="F206">
        <v>8.4</v>
      </c>
      <c r="G206">
        <v>9.6</v>
      </c>
      <c r="H206">
        <v>0.87499994000000003</v>
      </c>
      <c r="I206">
        <v>0.12500006999999999</v>
      </c>
      <c r="J206">
        <v>0.53333335999999998</v>
      </c>
    </row>
    <row r="207" spans="1:10" x14ac:dyDescent="0.3">
      <c r="A207">
        <v>205</v>
      </c>
      <c r="B207">
        <v>3272</v>
      </c>
      <c r="C207" t="b">
        <v>1</v>
      </c>
      <c r="D207">
        <v>8048</v>
      </c>
      <c r="E207">
        <v>8123</v>
      </c>
      <c r="F207">
        <v>8.4</v>
      </c>
      <c r="G207">
        <v>9.6</v>
      </c>
      <c r="H207">
        <v>0.87499994000000003</v>
      </c>
      <c r="I207">
        <v>0.12500006999999999</v>
      </c>
      <c r="J207">
        <v>0.53333335999999998</v>
      </c>
    </row>
    <row r="208" spans="1:10" x14ac:dyDescent="0.3">
      <c r="A208">
        <v>206</v>
      </c>
      <c r="B208">
        <v>3288</v>
      </c>
      <c r="C208" t="b">
        <v>1</v>
      </c>
      <c r="D208">
        <v>8042</v>
      </c>
      <c r="E208">
        <v>8123</v>
      </c>
      <c r="F208">
        <v>8.4</v>
      </c>
      <c r="G208">
        <v>9.6</v>
      </c>
      <c r="H208">
        <v>0.87499994000000003</v>
      </c>
      <c r="I208">
        <v>0.12500006999999999</v>
      </c>
      <c r="J208">
        <v>0.53333335999999998</v>
      </c>
    </row>
    <row r="209" spans="1:10" x14ac:dyDescent="0.3">
      <c r="A209">
        <v>207</v>
      </c>
      <c r="B209">
        <v>3303</v>
      </c>
      <c r="C209" t="b">
        <v>1</v>
      </c>
      <c r="D209">
        <v>8048</v>
      </c>
      <c r="E209">
        <v>8123</v>
      </c>
      <c r="F209">
        <v>8.4</v>
      </c>
      <c r="G209">
        <v>9.6</v>
      </c>
      <c r="H209">
        <v>0.87499994000000003</v>
      </c>
      <c r="I209">
        <v>0.12500006999999999</v>
      </c>
      <c r="J209">
        <v>0.53333335999999998</v>
      </c>
    </row>
    <row r="210" spans="1:10" x14ac:dyDescent="0.3">
      <c r="A210">
        <v>208</v>
      </c>
      <c r="B210">
        <v>3319</v>
      </c>
      <c r="C210" t="b">
        <v>1</v>
      </c>
      <c r="D210">
        <v>8042</v>
      </c>
      <c r="E210">
        <v>8123</v>
      </c>
      <c r="F210">
        <v>8</v>
      </c>
      <c r="G210">
        <v>9.6</v>
      </c>
      <c r="H210">
        <v>0.83333330000000005</v>
      </c>
      <c r="I210">
        <v>0.1666667</v>
      </c>
      <c r="J210">
        <v>0.54545456000000003</v>
      </c>
    </row>
    <row r="211" spans="1:10" x14ac:dyDescent="0.3">
      <c r="A211">
        <v>209</v>
      </c>
      <c r="B211">
        <v>3335</v>
      </c>
      <c r="C211" t="b">
        <v>1</v>
      </c>
      <c r="D211">
        <v>8048</v>
      </c>
      <c r="E211">
        <v>8123</v>
      </c>
      <c r="F211">
        <v>8</v>
      </c>
      <c r="G211">
        <v>9.6</v>
      </c>
      <c r="H211">
        <v>0.83333330000000005</v>
      </c>
      <c r="I211">
        <v>0.1666667</v>
      </c>
      <c r="J211">
        <v>0.54545456000000003</v>
      </c>
    </row>
    <row r="212" spans="1:10" x14ac:dyDescent="0.3">
      <c r="A212">
        <v>210</v>
      </c>
      <c r="B212">
        <v>3351</v>
      </c>
      <c r="C212" t="b">
        <v>1</v>
      </c>
      <c r="D212">
        <v>8048</v>
      </c>
      <c r="E212">
        <v>8123</v>
      </c>
      <c r="F212">
        <v>8</v>
      </c>
      <c r="G212">
        <v>9.6</v>
      </c>
      <c r="H212">
        <v>0.83333330000000005</v>
      </c>
      <c r="I212">
        <v>0.1666667</v>
      </c>
      <c r="J212">
        <v>0.54545456000000003</v>
      </c>
    </row>
    <row r="213" spans="1:10" x14ac:dyDescent="0.3">
      <c r="A213">
        <v>211</v>
      </c>
      <c r="B213">
        <v>3367</v>
      </c>
      <c r="C213" t="b">
        <v>1</v>
      </c>
      <c r="D213">
        <v>8048</v>
      </c>
      <c r="E213">
        <v>8117</v>
      </c>
      <c r="F213">
        <v>7.6</v>
      </c>
      <c r="G213">
        <v>9.6</v>
      </c>
      <c r="H213">
        <v>0.7916666</v>
      </c>
      <c r="I213">
        <v>0.20833336999999999</v>
      </c>
      <c r="J213">
        <v>0.55813950000000001</v>
      </c>
    </row>
    <row r="214" spans="1:10" x14ac:dyDescent="0.3">
      <c r="A214">
        <v>212</v>
      </c>
      <c r="B214">
        <v>3382</v>
      </c>
      <c r="C214" t="b">
        <v>1</v>
      </c>
      <c r="D214">
        <v>8048</v>
      </c>
      <c r="E214">
        <v>8117</v>
      </c>
      <c r="F214">
        <v>7.6</v>
      </c>
      <c r="G214">
        <v>9.6</v>
      </c>
      <c r="H214">
        <v>0.7916666</v>
      </c>
      <c r="I214">
        <v>0.20833336999999999</v>
      </c>
      <c r="J214">
        <v>0.55813950000000001</v>
      </c>
    </row>
    <row r="215" spans="1:10" x14ac:dyDescent="0.3">
      <c r="A215">
        <v>213</v>
      </c>
      <c r="B215">
        <v>3398</v>
      </c>
      <c r="C215" t="b">
        <v>1</v>
      </c>
      <c r="D215">
        <v>8048</v>
      </c>
      <c r="E215">
        <v>8123</v>
      </c>
      <c r="F215">
        <v>7.6</v>
      </c>
      <c r="G215">
        <v>9.6</v>
      </c>
      <c r="H215">
        <v>0.7916666</v>
      </c>
      <c r="I215">
        <v>0.20833336999999999</v>
      </c>
      <c r="J215">
        <v>0.55813950000000001</v>
      </c>
    </row>
    <row r="216" spans="1:10" x14ac:dyDescent="0.3">
      <c r="A216">
        <v>214</v>
      </c>
      <c r="B216">
        <v>3414</v>
      </c>
      <c r="C216" t="b">
        <v>1</v>
      </c>
      <c r="D216">
        <v>8048</v>
      </c>
      <c r="E216">
        <v>8129</v>
      </c>
      <c r="F216">
        <v>7.6</v>
      </c>
      <c r="G216">
        <v>9.6</v>
      </c>
      <c r="H216">
        <v>0.7916666</v>
      </c>
      <c r="I216">
        <v>0.20833336999999999</v>
      </c>
      <c r="J216">
        <v>0.55813950000000001</v>
      </c>
    </row>
    <row r="217" spans="1:10" x14ac:dyDescent="0.3">
      <c r="A217">
        <v>215</v>
      </c>
      <c r="B217">
        <v>3430</v>
      </c>
      <c r="C217" t="b">
        <v>1</v>
      </c>
      <c r="D217">
        <v>8048</v>
      </c>
      <c r="E217">
        <v>8123</v>
      </c>
      <c r="F217">
        <v>7.6</v>
      </c>
      <c r="G217">
        <v>9.1999999999999993</v>
      </c>
      <c r="H217">
        <v>0.82608694000000005</v>
      </c>
      <c r="I217">
        <v>0.17391303</v>
      </c>
      <c r="J217">
        <v>0.54761903999999995</v>
      </c>
    </row>
    <row r="218" spans="1:10" x14ac:dyDescent="0.3">
      <c r="A218">
        <v>216</v>
      </c>
      <c r="B218">
        <v>3446</v>
      </c>
      <c r="C218" t="b">
        <v>1</v>
      </c>
      <c r="D218">
        <v>8048</v>
      </c>
      <c r="E218">
        <v>8123</v>
      </c>
      <c r="F218">
        <v>7.6</v>
      </c>
      <c r="G218">
        <v>8.8000000000000007</v>
      </c>
      <c r="H218">
        <v>0.86363630000000002</v>
      </c>
      <c r="I218">
        <v>0.13636366999999999</v>
      </c>
      <c r="J218">
        <v>0.53658539999999999</v>
      </c>
    </row>
    <row r="219" spans="1:10" x14ac:dyDescent="0.3">
      <c r="A219">
        <v>217</v>
      </c>
      <c r="B219">
        <v>3462</v>
      </c>
      <c r="C219" t="b">
        <v>1</v>
      </c>
      <c r="D219">
        <v>8048</v>
      </c>
      <c r="E219">
        <v>8123</v>
      </c>
      <c r="F219">
        <v>7.6</v>
      </c>
      <c r="G219">
        <v>8.4</v>
      </c>
      <c r="H219">
        <v>0.90476190000000001</v>
      </c>
      <c r="I219">
        <v>9.5238069999999994E-2</v>
      </c>
      <c r="J219">
        <v>0.52500000000000002</v>
      </c>
    </row>
    <row r="220" spans="1:10" x14ac:dyDescent="0.3">
      <c r="A220">
        <v>218</v>
      </c>
      <c r="B220">
        <v>3478</v>
      </c>
      <c r="C220" t="b">
        <v>1</v>
      </c>
      <c r="D220">
        <v>8048</v>
      </c>
      <c r="E220">
        <v>8117</v>
      </c>
      <c r="F220">
        <v>7.6</v>
      </c>
      <c r="G220">
        <v>8</v>
      </c>
      <c r="H220">
        <v>0.95</v>
      </c>
      <c r="I220">
        <v>5.0000012000000003E-2</v>
      </c>
      <c r="J220">
        <v>0.51282050000000001</v>
      </c>
    </row>
    <row r="221" spans="1:10" x14ac:dyDescent="0.3">
      <c r="A221">
        <v>219</v>
      </c>
      <c r="B221">
        <v>3493</v>
      </c>
      <c r="C221" t="b">
        <v>1</v>
      </c>
      <c r="D221">
        <v>8048</v>
      </c>
      <c r="E221">
        <v>8123</v>
      </c>
      <c r="F221">
        <v>7.6</v>
      </c>
      <c r="G221">
        <v>8</v>
      </c>
      <c r="H221">
        <v>0.95</v>
      </c>
      <c r="I221">
        <v>5.0000012000000003E-2</v>
      </c>
      <c r="J221">
        <v>0.51282050000000001</v>
      </c>
    </row>
    <row r="222" spans="1:10" x14ac:dyDescent="0.3">
      <c r="A222">
        <v>220</v>
      </c>
      <c r="B222">
        <v>3509</v>
      </c>
      <c r="C222" t="b">
        <v>1</v>
      </c>
      <c r="D222">
        <v>8048</v>
      </c>
      <c r="E222">
        <v>8129</v>
      </c>
      <c r="F222">
        <v>7.6</v>
      </c>
      <c r="G222">
        <v>8</v>
      </c>
      <c r="H222">
        <v>0.95</v>
      </c>
      <c r="I222">
        <v>5.0000012000000003E-2</v>
      </c>
      <c r="J222">
        <v>0.51282050000000001</v>
      </c>
    </row>
    <row r="223" spans="1:10" x14ac:dyDescent="0.3">
      <c r="A223">
        <v>221</v>
      </c>
      <c r="B223">
        <v>3525</v>
      </c>
      <c r="C223" t="b">
        <v>1</v>
      </c>
      <c r="D223">
        <v>8042</v>
      </c>
      <c r="E223">
        <v>8117</v>
      </c>
      <c r="F223">
        <v>7.6</v>
      </c>
      <c r="G223">
        <v>8</v>
      </c>
      <c r="H223">
        <v>0.95</v>
      </c>
      <c r="I223">
        <v>5.0000012000000003E-2</v>
      </c>
      <c r="J223">
        <v>0.51282050000000001</v>
      </c>
    </row>
    <row r="224" spans="1:10" x14ac:dyDescent="0.3">
      <c r="A224">
        <v>222</v>
      </c>
      <c r="B224">
        <v>3541</v>
      </c>
      <c r="C224" t="b">
        <v>1</v>
      </c>
      <c r="D224">
        <v>8048</v>
      </c>
      <c r="E224">
        <v>8129</v>
      </c>
      <c r="F224">
        <v>7.6</v>
      </c>
      <c r="G224">
        <v>8</v>
      </c>
      <c r="H224">
        <v>0.95</v>
      </c>
      <c r="I224">
        <v>5.0000012000000003E-2</v>
      </c>
      <c r="J224">
        <v>0.51282050000000001</v>
      </c>
    </row>
    <row r="225" spans="1:10" x14ac:dyDescent="0.3">
      <c r="A225">
        <v>223</v>
      </c>
      <c r="B225">
        <v>3556</v>
      </c>
      <c r="C225" t="b">
        <v>1</v>
      </c>
      <c r="D225">
        <v>8048</v>
      </c>
      <c r="E225">
        <v>8134</v>
      </c>
      <c r="F225">
        <v>8</v>
      </c>
      <c r="G225">
        <v>8.4</v>
      </c>
      <c r="H225">
        <v>0.95238100000000003</v>
      </c>
      <c r="I225">
        <v>4.7619003999999999E-2</v>
      </c>
      <c r="J225">
        <v>0.51219510000000001</v>
      </c>
    </row>
    <row r="226" spans="1:10" x14ac:dyDescent="0.3">
      <c r="A226">
        <v>224</v>
      </c>
      <c r="B226">
        <v>3572</v>
      </c>
      <c r="C226" t="b">
        <v>1</v>
      </c>
      <c r="D226">
        <v>8048</v>
      </c>
      <c r="E226">
        <v>8123</v>
      </c>
      <c r="F226">
        <v>8</v>
      </c>
      <c r="G226">
        <v>8.8000000000000007</v>
      </c>
      <c r="H226">
        <v>0.90909090000000004</v>
      </c>
      <c r="I226">
        <v>9.0909110000000001E-2</v>
      </c>
      <c r="J226">
        <v>0.52380954999999996</v>
      </c>
    </row>
    <row r="227" spans="1:10" x14ac:dyDescent="0.3">
      <c r="A227">
        <v>225</v>
      </c>
      <c r="B227">
        <v>3588</v>
      </c>
      <c r="C227" t="b">
        <v>1</v>
      </c>
      <c r="D227">
        <v>8048</v>
      </c>
      <c r="E227">
        <v>8123</v>
      </c>
      <c r="F227">
        <v>8</v>
      </c>
      <c r="G227">
        <v>8.8000000000000007</v>
      </c>
      <c r="H227">
        <v>0.90909090000000004</v>
      </c>
      <c r="I227">
        <v>9.0909110000000001E-2</v>
      </c>
      <c r="J227">
        <v>0.52380954999999996</v>
      </c>
    </row>
    <row r="228" spans="1:10" x14ac:dyDescent="0.3">
      <c r="A228">
        <v>226</v>
      </c>
      <c r="B228">
        <v>3604</v>
      </c>
      <c r="C228" t="b">
        <v>1</v>
      </c>
      <c r="D228">
        <v>8042</v>
      </c>
      <c r="E228">
        <v>8123</v>
      </c>
      <c r="F228">
        <v>8</v>
      </c>
      <c r="G228">
        <v>8.8000000000000007</v>
      </c>
      <c r="H228">
        <v>0.90909090000000004</v>
      </c>
      <c r="I228">
        <v>9.0909110000000001E-2</v>
      </c>
      <c r="J228">
        <v>0.52380954999999996</v>
      </c>
    </row>
    <row r="229" spans="1:10" x14ac:dyDescent="0.3">
      <c r="A229">
        <v>227</v>
      </c>
      <c r="B229">
        <v>3619</v>
      </c>
      <c r="C229" t="b">
        <v>1</v>
      </c>
      <c r="D229">
        <v>8048</v>
      </c>
      <c r="E229">
        <v>8129</v>
      </c>
      <c r="F229">
        <v>8</v>
      </c>
      <c r="G229">
        <v>8.8000000000000007</v>
      </c>
      <c r="H229">
        <v>0.90909090000000004</v>
      </c>
      <c r="I229">
        <v>9.0909110000000001E-2</v>
      </c>
      <c r="J229">
        <v>0.52380954999999996</v>
      </c>
    </row>
    <row r="230" spans="1:10" x14ac:dyDescent="0.3">
      <c r="A230">
        <v>228</v>
      </c>
      <c r="B230">
        <v>3635</v>
      </c>
      <c r="C230" t="b">
        <v>1</v>
      </c>
      <c r="D230">
        <v>8048</v>
      </c>
      <c r="E230">
        <v>8123</v>
      </c>
      <c r="F230">
        <v>8</v>
      </c>
      <c r="G230">
        <v>8.8000000000000007</v>
      </c>
      <c r="H230">
        <v>0.90909090000000004</v>
      </c>
      <c r="I230">
        <v>9.0909110000000001E-2</v>
      </c>
      <c r="J230">
        <v>0.52380954999999996</v>
      </c>
    </row>
    <row r="231" spans="1:10" x14ac:dyDescent="0.3">
      <c r="A231">
        <v>229</v>
      </c>
      <c r="B231">
        <v>3651</v>
      </c>
      <c r="C231" t="b">
        <v>1</v>
      </c>
      <c r="D231">
        <v>8042</v>
      </c>
      <c r="E231">
        <v>8123</v>
      </c>
      <c r="F231">
        <v>8</v>
      </c>
      <c r="G231">
        <v>8.8000000000000007</v>
      </c>
      <c r="H231">
        <v>0.90909090000000004</v>
      </c>
      <c r="I231">
        <v>9.0909110000000001E-2</v>
      </c>
      <c r="J231">
        <v>0.52380954999999996</v>
      </c>
    </row>
    <row r="232" spans="1:10" x14ac:dyDescent="0.3">
      <c r="A232">
        <v>230</v>
      </c>
      <c r="B232">
        <v>3667</v>
      </c>
      <c r="C232" t="b">
        <v>1</v>
      </c>
      <c r="D232">
        <v>8042</v>
      </c>
      <c r="E232">
        <v>8129</v>
      </c>
      <c r="F232">
        <v>7.6</v>
      </c>
      <c r="G232">
        <v>8.8000000000000007</v>
      </c>
      <c r="H232">
        <v>0.86363630000000002</v>
      </c>
      <c r="I232">
        <v>0.13636366999999999</v>
      </c>
      <c r="J232">
        <v>0.53658539999999999</v>
      </c>
    </row>
    <row r="233" spans="1:10" x14ac:dyDescent="0.3">
      <c r="A233">
        <v>231</v>
      </c>
      <c r="B233">
        <v>3683</v>
      </c>
      <c r="C233" t="b">
        <v>1</v>
      </c>
      <c r="D233">
        <v>8037</v>
      </c>
      <c r="E233">
        <v>8123</v>
      </c>
      <c r="F233">
        <v>7.2</v>
      </c>
      <c r="G233">
        <v>8.8000000000000007</v>
      </c>
      <c r="H233">
        <v>0.81818175000000004</v>
      </c>
      <c r="I233">
        <v>0.18181822</v>
      </c>
      <c r="J233">
        <v>0.55000000000000004</v>
      </c>
    </row>
    <row r="234" spans="1:10" x14ac:dyDescent="0.3">
      <c r="A234">
        <v>232</v>
      </c>
      <c r="B234">
        <v>3699</v>
      </c>
      <c r="C234" t="b">
        <v>1</v>
      </c>
      <c r="D234">
        <v>8042</v>
      </c>
      <c r="E234">
        <v>8123</v>
      </c>
      <c r="F234">
        <v>6.8</v>
      </c>
      <c r="G234">
        <v>8.8000000000000007</v>
      </c>
      <c r="H234">
        <v>0.77272724999999998</v>
      </c>
      <c r="I234">
        <v>0.22727272000000001</v>
      </c>
      <c r="J234">
        <v>0.56410260000000001</v>
      </c>
    </row>
    <row r="235" spans="1:10" x14ac:dyDescent="0.3">
      <c r="A235">
        <v>233</v>
      </c>
      <c r="B235">
        <v>3715</v>
      </c>
      <c r="C235" t="b">
        <v>1</v>
      </c>
      <c r="D235">
        <v>8042</v>
      </c>
      <c r="E235">
        <v>8123</v>
      </c>
      <c r="F235">
        <v>6.4</v>
      </c>
      <c r="G235">
        <v>8.8000000000000007</v>
      </c>
      <c r="H235">
        <v>0.72727275000000002</v>
      </c>
      <c r="I235">
        <v>0.27272728000000002</v>
      </c>
      <c r="J235">
        <v>0.57894736999999996</v>
      </c>
    </row>
    <row r="236" spans="1:10" x14ac:dyDescent="0.3">
      <c r="A236">
        <v>234</v>
      </c>
      <c r="B236">
        <v>3730</v>
      </c>
      <c r="C236" t="b">
        <v>1</v>
      </c>
      <c r="D236">
        <v>8042</v>
      </c>
      <c r="E236">
        <v>8123</v>
      </c>
      <c r="F236">
        <v>6</v>
      </c>
      <c r="G236">
        <v>8.8000000000000007</v>
      </c>
      <c r="H236">
        <v>0.68181820000000004</v>
      </c>
      <c r="I236">
        <v>0.31818183999999999</v>
      </c>
      <c r="J236">
        <v>0.59459459999999997</v>
      </c>
    </row>
    <row r="237" spans="1:10" x14ac:dyDescent="0.3">
      <c r="A237">
        <v>235</v>
      </c>
      <c r="B237">
        <v>3746</v>
      </c>
      <c r="C237" t="b">
        <v>1</v>
      </c>
      <c r="D237">
        <v>8042</v>
      </c>
      <c r="E237">
        <v>8123</v>
      </c>
      <c r="F237">
        <v>5.6</v>
      </c>
      <c r="G237">
        <v>8.8000000000000007</v>
      </c>
      <c r="H237">
        <v>0.63636360000000003</v>
      </c>
      <c r="I237">
        <v>0.36363636999999999</v>
      </c>
      <c r="J237">
        <v>0.61111115999999999</v>
      </c>
    </row>
    <row r="238" spans="1:10" x14ac:dyDescent="0.3">
      <c r="A238">
        <v>236</v>
      </c>
      <c r="B238">
        <v>3762</v>
      </c>
      <c r="C238" t="b">
        <v>1</v>
      </c>
      <c r="D238">
        <v>8048</v>
      </c>
      <c r="E238">
        <v>8129</v>
      </c>
      <c r="F238">
        <v>5.2</v>
      </c>
      <c r="G238">
        <v>8.8000000000000007</v>
      </c>
      <c r="H238">
        <v>0.59090905999999999</v>
      </c>
      <c r="I238">
        <v>0.40909094000000001</v>
      </c>
      <c r="J238">
        <v>0.62857145000000003</v>
      </c>
    </row>
    <row r="239" spans="1:10" x14ac:dyDescent="0.3">
      <c r="A239">
        <v>237</v>
      </c>
      <c r="B239">
        <v>3778</v>
      </c>
      <c r="C239" t="b">
        <v>1</v>
      </c>
      <c r="D239">
        <v>8042</v>
      </c>
      <c r="E239">
        <v>8129</v>
      </c>
      <c r="F239">
        <v>4.8</v>
      </c>
      <c r="G239">
        <v>8.8000000000000007</v>
      </c>
      <c r="H239">
        <v>0.54545456000000003</v>
      </c>
      <c r="I239">
        <v>0.45454544000000002</v>
      </c>
      <c r="J239">
        <v>0.64705884000000002</v>
      </c>
    </row>
    <row r="240" spans="1:10" x14ac:dyDescent="0.3">
      <c r="A240">
        <v>238</v>
      </c>
      <c r="B240">
        <v>3793</v>
      </c>
      <c r="C240" t="b">
        <v>1</v>
      </c>
      <c r="D240">
        <v>8042</v>
      </c>
      <c r="E240">
        <v>8129</v>
      </c>
      <c r="F240">
        <v>4.4000000000000004</v>
      </c>
      <c r="G240">
        <v>8.8000000000000007</v>
      </c>
      <c r="H240">
        <v>0.5</v>
      </c>
      <c r="I240">
        <v>0.5</v>
      </c>
      <c r="J240">
        <v>0.6666666</v>
      </c>
    </row>
    <row r="241" spans="1:10" x14ac:dyDescent="0.3">
      <c r="A241">
        <v>239</v>
      </c>
      <c r="B241">
        <v>3809</v>
      </c>
      <c r="C241" t="b">
        <v>1</v>
      </c>
      <c r="D241">
        <v>8048</v>
      </c>
      <c r="E241">
        <v>8129</v>
      </c>
      <c r="F241">
        <v>4</v>
      </c>
      <c r="G241">
        <v>8.8000000000000007</v>
      </c>
      <c r="H241">
        <v>0.45454544000000002</v>
      </c>
      <c r="I241">
        <v>0.54545456000000003</v>
      </c>
      <c r="J241">
        <v>0.6875</v>
      </c>
    </row>
    <row r="242" spans="1:10" x14ac:dyDescent="0.3">
      <c r="A242">
        <v>240</v>
      </c>
      <c r="B242">
        <v>3825</v>
      </c>
      <c r="C242" t="b">
        <v>1</v>
      </c>
      <c r="D242">
        <v>8048</v>
      </c>
      <c r="E242">
        <v>8129</v>
      </c>
      <c r="F242">
        <v>4</v>
      </c>
      <c r="G242">
        <v>9.1999999999999993</v>
      </c>
      <c r="H242">
        <v>0.43478262000000001</v>
      </c>
      <c r="I242">
        <v>0.56521739999999998</v>
      </c>
      <c r="J242">
        <v>0.69696970000000003</v>
      </c>
    </row>
    <row r="243" spans="1:10" x14ac:dyDescent="0.3">
      <c r="A243">
        <v>241</v>
      </c>
      <c r="B243">
        <v>3841</v>
      </c>
      <c r="C243" t="b">
        <v>1</v>
      </c>
      <c r="D243">
        <v>8048</v>
      </c>
      <c r="E243">
        <v>8123</v>
      </c>
      <c r="F243">
        <v>4</v>
      </c>
      <c r="G243">
        <v>9.6</v>
      </c>
      <c r="H243">
        <v>0.41666666000000002</v>
      </c>
      <c r="I243">
        <v>0.5833334</v>
      </c>
      <c r="J243">
        <v>0.70588240000000002</v>
      </c>
    </row>
    <row r="244" spans="1:10" x14ac:dyDescent="0.3">
      <c r="A244">
        <v>242</v>
      </c>
      <c r="B244">
        <v>3856</v>
      </c>
      <c r="C244" t="b">
        <v>1</v>
      </c>
      <c r="D244">
        <v>8037</v>
      </c>
      <c r="E244">
        <v>8123</v>
      </c>
      <c r="F244">
        <v>4</v>
      </c>
      <c r="G244">
        <v>10</v>
      </c>
      <c r="H244">
        <v>0.4</v>
      </c>
      <c r="I244">
        <v>0.6</v>
      </c>
      <c r="J244">
        <v>0.71428572999999995</v>
      </c>
    </row>
    <row r="245" spans="1:10" x14ac:dyDescent="0.3">
      <c r="A245">
        <v>243</v>
      </c>
      <c r="B245">
        <v>3872</v>
      </c>
      <c r="C245" t="b">
        <v>1</v>
      </c>
      <c r="D245">
        <v>8042</v>
      </c>
      <c r="E245">
        <v>8123</v>
      </c>
      <c r="F245">
        <v>4</v>
      </c>
      <c r="G245">
        <v>10</v>
      </c>
      <c r="H245">
        <v>0.4</v>
      </c>
      <c r="I245">
        <v>0.6</v>
      </c>
      <c r="J245">
        <v>0.71428572999999995</v>
      </c>
    </row>
    <row r="246" spans="1:10" x14ac:dyDescent="0.3">
      <c r="A246">
        <v>244</v>
      </c>
      <c r="B246">
        <v>3888</v>
      </c>
      <c r="C246" t="b">
        <v>1</v>
      </c>
      <c r="D246">
        <v>8042</v>
      </c>
      <c r="E246">
        <v>8123</v>
      </c>
      <c r="F246">
        <v>3.6</v>
      </c>
      <c r="G246">
        <v>10</v>
      </c>
      <c r="H246">
        <v>0.35999998</v>
      </c>
      <c r="I246">
        <v>0.64</v>
      </c>
      <c r="J246">
        <v>0.73529409999999995</v>
      </c>
    </row>
    <row r="247" spans="1:10" x14ac:dyDescent="0.3">
      <c r="A247">
        <v>245</v>
      </c>
      <c r="B247">
        <v>3903</v>
      </c>
      <c r="C247" t="b">
        <v>1</v>
      </c>
      <c r="D247">
        <v>8042</v>
      </c>
      <c r="E247">
        <v>8123</v>
      </c>
      <c r="F247">
        <v>3.6</v>
      </c>
      <c r="G247">
        <v>10</v>
      </c>
      <c r="H247">
        <v>0.35999998</v>
      </c>
      <c r="I247">
        <v>0.64</v>
      </c>
      <c r="J247">
        <v>0.73529409999999995</v>
      </c>
    </row>
    <row r="248" spans="1:10" x14ac:dyDescent="0.3">
      <c r="A248">
        <v>246</v>
      </c>
      <c r="B248">
        <v>3919</v>
      </c>
      <c r="C248" t="b">
        <v>1</v>
      </c>
      <c r="D248">
        <v>8042</v>
      </c>
      <c r="E248">
        <v>8123</v>
      </c>
      <c r="F248">
        <v>3.6</v>
      </c>
      <c r="G248">
        <v>10</v>
      </c>
      <c r="H248">
        <v>0.35999998</v>
      </c>
      <c r="I248">
        <v>0.64</v>
      </c>
      <c r="J248">
        <v>0.73529409999999995</v>
      </c>
    </row>
    <row r="249" spans="1:10" x14ac:dyDescent="0.3">
      <c r="A249">
        <v>247</v>
      </c>
      <c r="B249">
        <v>3935</v>
      </c>
      <c r="C249" t="b">
        <v>1</v>
      </c>
      <c r="D249">
        <v>8042</v>
      </c>
      <c r="E249">
        <v>8129</v>
      </c>
      <c r="F249">
        <v>3.6</v>
      </c>
      <c r="G249">
        <v>10</v>
      </c>
      <c r="H249">
        <v>0.35999998</v>
      </c>
      <c r="I249">
        <v>0.64</v>
      </c>
      <c r="J249">
        <v>0.73529409999999995</v>
      </c>
    </row>
    <row r="250" spans="1:10" x14ac:dyDescent="0.3">
      <c r="A250">
        <v>248</v>
      </c>
      <c r="B250">
        <v>3951</v>
      </c>
      <c r="C250" t="b">
        <v>1</v>
      </c>
      <c r="D250">
        <v>8042</v>
      </c>
      <c r="E250">
        <v>8129</v>
      </c>
      <c r="F250">
        <v>3.6</v>
      </c>
      <c r="G250">
        <v>10</v>
      </c>
      <c r="H250">
        <v>0.35999998</v>
      </c>
      <c r="I250">
        <v>0.64</v>
      </c>
      <c r="J250">
        <v>0.73529409999999995</v>
      </c>
    </row>
    <row r="251" spans="1:10" x14ac:dyDescent="0.3">
      <c r="A251">
        <v>249</v>
      </c>
      <c r="B251">
        <v>3966</v>
      </c>
      <c r="C251" t="b">
        <v>1</v>
      </c>
      <c r="D251">
        <v>8048</v>
      </c>
      <c r="E251">
        <v>8123</v>
      </c>
      <c r="F251">
        <v>3.6</v>
      </c>
      <c r="G251">
        <v>10</v>
      </c>
      <c r="H251">
        <v>0.35999998</v>
      </c>
      <c r="I251">
        <v>0.64</v>
      </c>
      <c r="J251">
        <v>0.73529409999999995</v>
      </c>
    </row>
    <row r="252" spans="1:10" x14ac:dyDescent="0.3">
      <c r="A252">
        <v>250</v>
      </c>
      <c r="B252">
        <v>3982</v>
      </c>
      <c r="C252" t="b">
        <v>1</v>
      </c>
      <c r="D252">
        <v>8048</v>
      </c>
      <c r="E252">
        <v>8123</v>
      </c>
      <c r="F252">
        <v>3.6</v>
      </c>
      <c r="G252">
        <v>10</v>
      </c>
      <c r="H252">
        <v>0.35999998</v>
      </c>
      <c r="I252">
        <v>0.64</v>
      </c>
      <c r="J252">
        <v>0.73529409999999995</v>
      </c>
    </row>
    <row r="253" spans="1:10" x14ac:dyDescent="0.3">
      <c r="A253">
        <v>251</v>
      </c>
      <c r="B253">
        <v>3998</v>
      </c>
      <c r="C253" t="b">
        <v>1</v>
      </c>
      <c r="D253">
        <v>8048</v>
      </c>
      <c r="E253">
        <v>8123</v>
      </c>
      <c r="F253">
        <v>4</v>
      </c>
      <c r="G253">
        <v>10</v>
      </c>
      <c r="H253">
        <v>0.4</v>
      </c>
      <c r="I253">
        <v>0.6</v>
      </c>
      <c r="J253">
        <v>0.71428572999999995</v>
      </c>
    </row>
    <row r="254" spans="1:10" x14ac:dyDescent="0.3">
      <c r="A254">
        <v>252</v>
      </c>
      <c r="B254">
        <v>4014</v>
      </c>
      <c r="C254" t="b">
        <v>1</v>
      </c>
      <c r="D254">
        <v>8048</v>
      </c>
      <c r="E254">
        <v>8129</v>
      </c>
      <c r="F254">
        <v>4.4000000000000004</v>
      </c>
      <c r="G254">
        <v>10</v>
      </c>
      <c r="H254">
        <v>0.44</v>
      </c>
      <c r="I254">
        <v>0.56000000000000005</v>
      </c>
      <c r="J254">
        <v>0.69444450000000002</v>
      </c>
    </row>
    <row r="255" spans="1:10" x14ac:dyDescent="0.3">
      <c r="A255">
        <v>253</v>
      </c>
      <c r="B255">
        <v>4030</v>
      </c>
      <c r="C255" t="b">
        <v>1</v>
      </c>
      <c r="D255">
        <v>8048</v>
      </c>
      <c r="E255">
        <v>8123</v>
      </c>
      <c r="F255">
        <v>4.8</v>
      </c>
      <c r="G255">
        <v>9.6</v>
      </c>
      <c r="H255">
        <v>0.5</v>
      </c>
      <c r="I255">
        <v>0.5</v>
      </c>
      <c r="J255">
        <v>0.66666669999999995</v>
      </c>
    </row>
    <row r="256" spans="1:10" x14ac:dyDescent="0.3">
      <c r="A256">
        <v>254</v>
      </c>
      <c r="B256">
        <v>4046</v>
      </c>
      <c r="C256" t="b">
        <v>1</v>
      </c>
      <c r="D256">
        <v>8042</v>
      </c>
      <c r="E256">
        <v>8123</v>
      </c>
      <c r="F256">
        <v>5.2</v>
      </c>
      <c r="G256">
        <v>9.1999999999999993</v>
      </c>
      <c r="H256">
        <v>0.56521739999999998</v>
      </c>
      <c r="I256">
        <v>0.43478262000000001</v>
      </c>
      <c r="J256">
        <v>0.63888889999999998</v>
      </c>
    </row>
    <row r="257" spans="1:10" x14ac:dyDescent="0.3">
      <c r="A257">
        <v>255</v>
      </c>
      <c r="B257">
        <v>4062</v>
      </c>
      <c r="C257" t="b">
        <v>1</v>
      </c>
      <c r="D257">
        <v>8048</v>
      </c>
      <c r="E257">
        <v>8123</v>
      </c>
      <c r="F257">
        <v>5.2</v>
      </c>
      <c r="G257">
        <v>8.8000000000000007</v>
      </c>
      <c r="H257">
        <v>0.59090905999999999</v>
      </c>
      <c r="I257">
        <v>0.40909094000000001</v>
      </c>
      <c r="J257">
        <v>0.62857145000000003</v>
      </c>
    </row>
    <row r="258" spans="1:10" x14ac:dyDescent="0.3">
      <c r="A258">
        <v>256</v>
      </c>
      <c r="B258">
        <v>4078</v>
      </c>
      <c r="C258" t="b">
        <v>1</v>
      </c>
      <c r="D258">
        <v>8048</v>
      </c>
      <c r="E258">
        <v>8123</v>
      </c>
      <c r="F258">
        <v>5.2</v>
      </c>
      <c r="G258">
        <v>8.4</v>
      </c>
      <c r="H258">
        <v>0.61904764000000001</v>
      </c>
      <c r="I258">
        <v>0.38095240000000002</v>
      </c>
      <c r="J258">
        <v>0.61764704999999998</v>
      </c>
    </row>
    <row r="259" spans="1:10" x14ac:dyDescent="0.3">
      <c r="A259">
        <v>257</v>
      </c>
      <c r="B259">
        <v>4094</v>
      </c>
      <c r="C259" t="b">
        <v>1</v>
      </c>
      <c r="D259">
        <v>8048</v>
      </c>
      <c r="E259">
        <v>8123</v>
      </c>
      <c r="F259">
        <v>5.2</v>
      </c>
      <c r="G259">
        <v>8</v>
      </c>
      <c r="H259">
        <v>0.65</v>
      </c>
      <c r="I259">
        <v>0.35000002000000002</v>
      </c>
      <c r="J259">
        <v>0.60606059999999995</v>
      </c>
    </row>
    <row r="260" spans="1:10" x14ac:dyDescent="0.3">
      <c r="A260">
        <v>258</v>
      </c>
      <c r="B260">
        <v>4110</v>
      </c>
      <c r="C260" t="b">
        <v>1</v>
      </c>
      <c r="D260">
        <v>8048</v>
      </c>
      <c r="E260">
        <v>8123</v>
      </c>
      <c r="F260">
        <v>5.2</v>
      </c>
      <c r="G260">
        <v>8</v>
      </c>
      <c r="H260">
        <v>0.65</v>
      </c>
      <c r="I260">
        <v>0.35000002000000002</v>
      </c>
      <c r="J260">
        <v>0.60606059999999995</v>
      </c>
    </row>
    <row r="261" spans="1:10" x14ac:dyDescent="0.3">
      <c r="A261">
        <v>259</v>
      </c>
      <c r="B261">
        <v>4126</v>
      </c>
      <c r="C261" t="b">
        <v>1</v>
      </c>
      <c r="D261">
        <v>8048</v>
      </c>
      <c r="E261">
        <v>8129</v>
      </c>
      <c r="F261">
        <v>5.6</v>
      </c>
      <c r="G261">
        <v>8</v>
      </c>
      <c r="H261">
        <v>0.7</v>
      </c>
      <c r="I261">
        <v>0.3</v>
      </c>
      <c r="J261">
        <v>0.58823526000000004</v>
      </c>
    </row>
    <row r="262" spans="1:10" x14ac:dyDescent="0.3">
      <c r="A262">
        <v>260</v>
      </c>
      <c r="B262">
        <v>4142</v>
      </c>
      <c r="C262" t="b">
        <v>1</v>
      </c>
      <c r="D262">
        <v>8048</v>
      </c>
      <c r="E262">
        <v>8123</v>
      </c>
      <c r="F262">
        <v>6</v>
      </c>
      <c r="G262">
        <v>8</v>
      </c>
      <c r="H262">
        <v>0.75</v>
      </c>
      <c r="I262">
        <v>0.25</v>
      </c>
      <c r="J262">
        <v>0.57142859999999995</v>
      </c>
    </row>
    <row r="263" spans="1:10" x14ac:dyDescent="0.3">
      <c r="A263">
        <v>261</v>
      </c>
      <c r="B263">
        <v>4158</v>
      </c>
      <c r="C263" t="b">
        <v>1</v>
      </c>
      <c r="D263">
        <v>8048</v>
      </c>
      <c r="E263">
        <v>8123</v>
      </c>
      <c r="F263">
        <v>6.4</v>
      </c>
      <c r="G263">
        <v>8</v>
      </c>
      <c r="H263">
        <v>0.8</v>
      </c>
      <c r="I263">
        <v>0.19999998999999999</v>
      </c>
      <c r="J263">
        <v>0.55555560000000004</v>
      </c>
    </row>
    <row r="264" spans="1:10" x14ac:dyDescent="0.3">
      <c r="A264">
        <v>262</v>
      </c>
      <c r="B264">
        <v>4174</v>
      </c>
      <c r="C264" t="b">
        <v>1</v>
      </c>
      <c r="D264">
        <v>8048</v>
      </c>
      <c r="E264">
        <v>8123</v>
      </c>
      <c r="F264">
        <v>6.8</v>
      </c>
      <c r="G264">
        <v>8</v>
      </c>
      <c r="H264">
        <v>0.85</v>
      </c>
      <c r="I264">
        <v>0.14999998</v>
      </c>
      <c r="J264">
        <v>0.54054049999999998</v>
      </c>
    </row>
    <row r="265" spans="1:10" x14ac:dyDescent="0.3">
      <c r="A265">
        <v>263</v>
      </c>
      <c r="B265">
        <v>4190</v>
      </c>
      <c r="C265" t="b">
        <v>1</v>
      </c>
      <c r="D265">
        <v>8048</v>
      </c>
      <c r="E265">
        <v>8129</v>
      </c>
      <c r="F265">
        <v>7.2</v>
      </c>
      <c r="G265">
        <v>8</v>
      </c>
      <c r="H265">
        <v>0.9</v>
      </c>
      <c r="I265">
        <v>0.10000002400000001</v>
      </c>
      <c r="J265">
        <v>0.5263158</v>
      </c>
    </row>
    <row r="266" spans="1:10" x14ac:dyDescent="0.3">
      <c r="A266">
        <v>264</v>
      </c>
      <c r="B266">
        <v>4206</v>
      </c>
      <c r="C266" t="b">
        <v>1</v>
      </c>
      <c r="D266">
        <v>8042</v>
      </c>
      <c r="E266">
        <v>8123</v>
      </c>
      <c r="F266">
        <v>7.6</v>
      </c>
      <c r="G266">
        <v>8</v>
      </c>
      <c r="H266">
        <v>0.95</v>
      </c>
      <c r="I266">
        <v>5.0000012000000003E-2</v>
      </c>
      <c r="J266">
        <v>0.51282050000000001</v>
      </c>
    </row>
    <row r="267" spans="1:10" x14ac:dyDescent="0.3">
      <c r="A267">
        <v>265</v>
      </c>
      <c r="B267">
        <v>4222</v>
      </c>
      <c r="C267" t="b">
        <v>1</v>
      </c>
      <c r="D267">
        <v>8042</v>
      </c>
      <c r="E267">
        <v>8123</v>
      </c>
      <c r="F267">
        <v>8</v>
      </c>
      <c r="G267">
        <v>8</v>
      </c>
      <c r="H267">
        <v>1</v>
      </c>
      <c r="I267">
        <v>0</v>
      </c>
      <c r="J267">
        <v>0.5</v>
      </c>
    </row>
    <row r="268" spans="1:10" x14ac:dyDescent="0.3">
      <c r="A268">
        <v>266</v>
      </c>
      <c r="B268">
        <v>4238</v>
      </c>
      <c r="C268" t="b">
        <v>1</v>
      </c>
      <c r="D268">
        <v>8048</v>
      </c>
      <c r="E268">
        <v>8123</v>
      </c>
      <c r="F268">
        <v>8</v>
      </c>
      <c r="G268">
        <v>8</v>
      </c>
      <c r="H268">
        <v>1</v>
      </c>
      <c r="I268">
        <v>0</v>
      </c>
      <c r="J268">
        <v>0.5</v>
      </c>
    </row>
    <row r="269" spans="1:10" x14ac:dyDescent="0.3">
      <c r="A269">
        <v>267</v>
      </c>
      <c r="B269">
        <v>4254</v>
      </c>
      <c r="C269" t="b">
        <v>1</v>
      </c>
      <c r="D269">
        <v>8048</v>
      </c>
      <c r="E269">
        <v>8129</v>
      </c>
      <c r="F269">
        <v>8</v>
      </c>
      <c r="G269">
        <v>8</v>
      </c>
      <c r="H269">
        <v>1</v>
      </c>
      <c r="I269">
        <v>0</v>
      </c>
      <c r="J269">
        <v>0.5</v>
      </c>
    </row>
    <row r="270" spans="1:10" x14ac:dyDescent="0.3">
      <c r="A270">
        <v>268</v>
      </c>
      <c r="B270">
        <v>4269</v>
      </c>
      <c r="C270" t="b">
        <v>1</v>
      </c>
      <c r="D270">
        <v>8048</v>
      </c>
      <c r="E270">
        <v>8123</v>
      </c>
      <c r="F270">
        <v>8</v>
      </c>
      <c r="G270">
        <v>8</v>
      </c>
      <c r="H270">
        <v>1</v>
      </c>
      <c r="I270">
        <v>0</v>
      </c>
      <c r="J270">
        <v>0.5</v>
      </c>
    </row>
    <row r="271" spans="1:10" x14ac:dyDescent="0.3">
      <c r="A271">
        <v>269</v>
      </c>
      <c r="B271">
        <v>4285</v>
      </c>
      <c r="C271" t="b">
        <v>1</v>
      </c>
      <c r="D271">
        <v>8048</v>
      </c>
      <c r="E271">
        <v>8123</v>
      </c>
      <c r="F271">
        <v>8</v>
      </c>
      <c r="G271">
        <v>8</v>
      </c>
      <c r="H271">
        <v>1</v>
      </c>
      <c r="I271">
        <v>0</v>
      </c>
      <c r="J271">
        <v>0.5</v>
      </c>
    </row>
    <row r="272" spans="1:10" x14ac:dyDescent="0.3">
      <c r="A272">
        <v>270</v>
      </c>
      <c r="B272">
        <v>4302</v>
      </c>
      <c r="C272" t="b">
        <v>1</v>
      </c>
      <c r="D272">
        <v>8042</v>
      </c>
      <c r="E272">
        <v>8123</v>
      </c>
      <c r="F272">
        <v>8</v>
      </c>
      <c r="G272">
        <v>8</v>
      </c>
      <c r="H272">
        <v>1</v>
      </c>
      <c r="I272">
        <v>0</v>
      </c>
      <c r="J272">
        <v>0.5</v>
      </c>
    </row>
    <row r="273" spans="1:10" x14ac:dyDescent="0.3">
      <c r="A273">
        <v>271</v>
      </c>
      <c r="B273">
        <v>4317</v>
      </c>
      <c r="C273" t="b">
        <v>1</v>
      </c>
      <c r="D273">
        <v>8048</v>
      </c>
      <c r="E273">
        <v>8117</v>
      </c>
      <c r="F273">
        <v>8</v>
      </c>
      <c r="G273">
        <v>8</v>
      </c>
      <c r="H273">
        <v>1</v>
      </c>
      <c r="I273">
        <v>0</v>
      </c>
      <c r="J273">
        <v>0.5</v>
      </c>
    </row>
    <row r="274" spans="1:10" x14ac:dyDescent="0.3">
      <c r="A274">
        <v>272</v>
      </c>
      <c r="B274">
        <v>4333</v>
      </c>
      <c r="C274" t="b">
        <v>1</v>
      </c>
      <c r="D274">
        <v>8042</v>
      </c>
      <c r="E274">
        <v>8123</v>
      </c>
      <c r="F274">
        <v>8</v>
      </c>
      <c r="G274">
        <v>8</v>
      </c>
      <c r="H274">
        <v>1</v>
      </c>
      <c r="I274">
        <v>0</v>
      </c>
      <c r="J274">
        <v>0.5</v>
      </c>
    </row>
    <row r="275" spans="1:10" x14ac:dyDescent="0.3">
      <c r="A275">
        <v>273</v>
      </c>
      <c r="B275">
        <v>4349</v>
      </c>
      <c r="C275" t="b">
        <v>1</v>
      </c>
      <c r="D275">
        <v>8048</v>
      </c>
      <c r="E275">
        <v>8123</v>
      </c>
      <c r="F275">
        <v>8</v>
      </c>
      <c r="G275">
        <v>8</v>
      </c>
      <c r="H275">
        <v>1</v>
      </c>
      <c r="I275">
        <v>0</v>
      </c>
      <c r="J275">
        <v>0.5</v>
      </c>
    </row>
    <row r="276" spans="1:10" x14ac:dyDescent="0.3">
      <c r="A276">
        <v>274</v>
      </c>
      <c r="B276">
        <v>4365</v>
      </c>
      <c r="C276" t="b">
        <v>1</v>
      </c>
      <c r="D276">
        <v>8048</v>
      </c>
      <c r="E276">
        <v>8117</v>
      </c>
      <c r="F276">
        <v>8</v>
      </c>
      <c r="G276">
        <v>8</v>
      </c>
      <c r="H276">
        <v>1</v>
      </c>
      <c r="I276">
        <v>0</v>
      </c>
      <c r="J276">
        <v>0.5</v>
      </c>
    </row>
    <row r="277" spans="1:10" x14ac:dyDescent="0.3">
      <c r="A277">
        <v>275</v>
      </c>
      <c r="B277">
        <v>4381</v>
      </c>
      <c r="C277" t="b">
        <v>1</v>
      </c>
      <c r="D277">
        <v>8048</v>
      </c>
      <c r="E277">
        <v>8123</v>
      </c>
      <c r="F277">
        <v>8</v>
      </c>
      <c r="G277">
        <v>8</v>
      </c>
      <c r="H277">
        <v>1</v>
      </c>
      <c r="I277">
        <v>0</v>
      </c>
      <c r="J277">
        <v>0.5</v>
      </c>
    </row>
    <row r="278" spans="1:10" x14ac:dyDescent="0.3">
      <c r="A278">
        <v>276</v>
      </c>
      <c r="B278">
        <v>4397</v>
      </c>
      <c r="C278" t="b">
        <v>1</v>
      </c>
      <c r="D278">
        <v>8048</v>
      </c>
      <c r="E278">
        <v>8123</v>
      </c>
      <c r="F278">
        <v>8</v>
      </c>
      <c r="G278">
        <v>8</v>
      </c>
      <c r="H278">
        <v>1</v>
      </c>
      <c r="I278">
        <v>0</v>
      </c>
      <c r="J278">
        <v>0.5</v>
      </c>
    </row>
    <row r="279" spans="1:10" x14ac:dyDescent="0.3">
      <c r="A279">
        <v>277</v>
      </c>
      <c r="B279">
        <v>4413</v>
      </c>
      <c r="C279" t="b">
        <v>1</v>
      </c>
      <c r="D279">
        <v>8048</v>
      </c>
      <c r="E279">
        <v>8123</v>
      </c>
      <c r="F279">
        <v>8</v>
      </c>
      <c r="G279">
        <v>8</v>
      </c>
      <c r="H279">
        <v>1</v>
      </c>
      <c r="I279">
        <v>0</v>
      </c>
      <c r="J279">
        <v>0.5</v>
      </c>
    </row>
    <row r="280" spans="1:10" x14ac:dyDescent="0.3">
      <c r="A280">
        <v>278</v>
      </c>
      <c r="B280">
        <v>4429</v>
      </c>
      <c r="C280" t="b">
        <v>1</v>
      </c>
      <c r="D280">
        <v>8048</v>
      </c>
      <c r="E280">
        <v>8123</v>
      </c>
      <c r="F280">
        <v>8</v>
      </c>
      <c r="G280">
        <v>8</v>
      </c>
      <c r="H280">
        <v>1</v>
      </c>
      <c r="I280">
        <v>0</v>
      </c>
      <c r="J280">
        <v>0.5</v>
      </c>
    </row>
    <row r="281" spans="1:10" x14ac:dyDescent="0.3">
      <c r="A281">
        <v>279</v>
      </c>
      <c r="B281">
        <v>4445</v>
      </c>
      <c r="C281" t="b">
        <v>1</v>
      </c>
      <c r="D281">
        <v>8048</v>
      </c>
      <c r="E281">
        <v>8123</v>
      </c>
      <c r="F281">
        <v>8</v>
      </c>
      <c r="G281">
        <v>8</v>
      </c>
      <c r="H281">
        <v>1</v>
      </c>
      <c r="I281">
        <v>0</v>
      </c>
      <c r="J281">
        <v>0.5</v>
      </c>
    </row>
    <row r="282" spans="1:10" x14ac:dyDescent="0.3">
      <c r="A282">
        <v>280</v>
      </c>
      <c r="B282">
        <v>4461</v>
      </c>
      <c r="C282" t="b">
        <v>1</v>
      </c>
      <c r="D282">
        <v>8048</v>
      </c>
      <c r="E282">
        <v>8123</v>
      </c>
      <c r="F282">
        <v>8</v>
      </c>
      <c r="G282">
        <v>8</v>
      </c>
      <c r="H282">
        <v>1</v>
      </c>
      <c r="I282">
        <v>0</v>
      </c>
      <c r="J282">
        <v>0.5</v>
      </c>
    </row>
    <row r="283" spans="1:10" x14ac:dyDescent="0.3">
      <c r="A283">
        <v>281</v>
      </c>
      <c r="B283">
        <v>4477</v>
      </c>
      <c r="C283" t="b">
        <v>1</v>
      </c>
      <c r="D283">
        <v>8042</v>
      </c>
      <c r="E283">
        <v>8123</v>
      </c>
      <c r="F283">
        <v>8</v>
      </c>
      <c r="G283">
        <v>8</v>
      </c>
      <c r="H283">
        <v>1</v>
      </c>
      <c r="I283">
        <v>0</v>
      </c>
      <c r="J283">
        <v>0.5</v>
      </c>
    </row>
    <row r="284" spans="1:10" x14ac:dyDescent="0.3">
      <c r="A284">
        <v>282</v>
      </c>
      <c r="B284">
        <v>4493</v>
      </c>
      <c r="C284" t="b">
        <v>1</v>
      </c>
      <c r="D284">
        <v>8042</v>
      </c>
      <c r="E284">
        <v>8123</v>
      </c>
      <c r="F284">
        <v>8</v>
      </c>
      <c r="G284">
        <v>8</v>
      </c>
      <c r="H284">
        <v>1</v>
      </c>
      <c r="I284">
        <v>0</v>
      </c>
      <c r="J284">
        <v>0.5</v>
      </c>
    </row>
    <row r="285" spans="1:10" x14ac:dyDescent="0.3">
      <c r="A285">
        <v>283</v>
      </c>
      <c r="B285">
        <v>4509</v>
      </c>
      <c r="C285" t="b">
        <v>1</v>
      </c>
      <c r="D285">
        <v>8042</v>
      </c>
      <c r="E285">
        <v>8123</v>
      </c>
      <c r="F285">
        <v>7.6</v>
      </c>
      <c r="G285">
        <v>8</v>
      </c>
      <c r="H285">
        <v>0.95</v>
      </c>
      <c r="I285">
        <v>5.0000012000000003E-2</v>
      </c>
      <c r="J285">
        <v>0.51282050000000001</v>
      </c>
    </row>
    <row r="286" spans="1:10" x14ac:dyDescent="0.3">
      <c r="A286">
        <v>284</v>
      </c>
      <c r="B286">
        <v>4525</v>
      </c>
      <c r="C286" t="b">
        <v>1</v>
      </c>
      <c r="D286">
        <v>8048</v>
      </c>
      <c r="E286">
        <v>8123</v>
      </c>
      <c r="F286">
        <v>7.2</v>
      </c>
      <c r="G286">
        <v>8</v>
      </c>
      <c r="H286">
        <v>0.9</v>
      </c>
      <c r="I286">
        <v>0.10000002400000001</v>
      </c>
      <c r="J286">
        <v>0.5263158</v>
      </c>
    </row>
    <row r="287" spans="1:10" x14ac:dyDescent="0.3">
      <c r="A287">
        <v>285</v>
      </c>
      <c r="B287">
        <v>4540</v>
      </c>
      <c r="C287" t="b">
        <v>1</v>
      </c>
      <c r="D287">
        <v>8048</v>
      </c>
      <c r="E287">
        <v>8129</v>
      </c>
      <c r="F287">
        <v>6.8</v>
      </c>
      <c r="G287">
        <v>8</v>
      </c>
      <c r="H287">
        <v>0.85</v>
      </c>
      <c r="I287">
        <v>0.14999998</v>
      </c>
      <c r="J287">
        <v>0.54054049999999998</v>
      </c>
    </row>
    <row r="288" spans="1:10" x14ac:dyDescent="0.3">
      <c r="A288">
        <v>286</v>
      </c>
      <c r="B288">
        <v>4556</v>
      </c>
      <c r="C288" t="b">
        <v>1</v>
      </c>
      <c r="D288">
        <v>8048</v>
      </c>
      <c r="E288">
        <v>8129</v>
      </c>
      <c r="F288">
        <v>6.8</v>
      </c>
      <c r="G288">
        <v>8</v>
      </c>
      <c r="H288">
        <v>0.85</v>
      </c>
      <c r="I288">
        <v>0.14999998</v>
      </c>
      <c r="J288">
        <v>0.54054049999999998</v>
      </c>
    </row>
    <row r="289" spans="1:10" x14ac:dyDescent="0.3">
      <c r="A289">
        <v>287</v>
      </c>
      <c r="B289">
        <v>4572</v>
      </c>
      <c r="C289" t="b">
        <v>1</v>
      </c>
      <c r="D289">
        <v>8048</v>
      </c>
      <c r="E289">
        <v>8123</v>
      </c>
      <c r="F289">
        <v>6.8</v>
      </c>
      <c r="G289">
        <v>8</v>
      </c>
      <c r="H289">
        <v>0.85</v>
      </c>
      <c r="I289">
        <v>0.14999998</v>
      </c>
      <c r="J289">
        <v>0.54054049999999998</v>
      </c>
    </row>
    <row r="290" spans="1:10" x14ac:dyDescent="0.3">
      <c r="A290">
        <v>288</v>
      </c>
      <c r="B290">
        <v>4588</v>
      </c>
      <c r="C290" t="b">
        <v>1</v>
      </c>
      <c r="D290">
        <v>8048</v>
      </c>
      <c r="E290">
        <v>8123</v>
      </c>
      <c r="F290">
        <v>6.8</v>
      </c>
      <c r="G290">
        <v>8</v>
      </c>
      <c r="H290">
        <v>0.85</v>
      </c>
      <c r="I290">
        <v>0.14999998</v>
      </c>
      <c r="J290">
        <v>0.54054049999999998</v>
      </c>
    </row>
    <row r="291" spans="1:10" x14ac:dyDescent="0.3">
      <c r="A291">
        <v>289</v>
      </c>
      <c r="B291">
        <v>4604</v>
      </c>
      <c r="C291" t="b">
        <v>1</v>
      </c>
      <c r="D291">
        <v>8048</v>
      </c>
      <c r="E291">
        <v>8123</v>
      </c>
      <c r="F291">
        <v>6.8</v>
      </c>
      <c r="G291">
        <v>8</v>
      </c>
      <c r="H291">
        <v>0.85</v>
      </c>
      <c r="I291">
        <v>0.14999998</v>
      </c>
      <c r="J291">
        <v>0.54054049999999998</v>
      </c>
    </row>
    <row r="292" spans="1:10" x14ac:dyDescent="0.3">
      <c r="A292">
        <v>290</v>
      </c>
      <c r="B292">
        <v>4620</v>
      </c>
      <c r="C292" t="b">
        <v>1</v>
      </c>
      <c r="D292">
        <v>8048</v>
      </c>
      <c r="E292">
        <v>8123</v>
      </c>
      <c r="F292">
        <v>6.8</v>
      </c>
      <c r="G292">
        <v>8</v>
      </c>
      <c r="H292">
        <v>0.85</v>
      </c>
      <c r="I292">
        <v>0.14999998</v>
      </c>
      <c r="J292">
        <v>0.54054049999999998</v>
      </c>
    </row>
    <row r="293" spans="1:10" x14ac:dyDescent="0.3">
      <c r="A293">
        <v>291</v>
      </c>
      <c r="B293">
        <v>4636</v>
      </c>
      <c r="C293" t="b">
        <v>1</v>
      </c>
      <c r="D293">
        <v>8042</v>
      </c>
      <c r="E293">
        <v>8123</v>
      </c>
      <c r="F293">
        <v>6.8</v>
      </c>
      <c r="G293">
        <v>8</v>
      </c>
      <c r="H293">
        <v>0.85</v>
      </c>
      <c r="I293">
        <v>0.14999998</v>
      </c>
      <c r="J293">
        <v>0.54054049999999998</v>
      </c>
    </row>
    <row r="294" spans="1:10" x14ac:dyDescent="0.3">
      <c r="A294">
        <v>292</v>
      </c>
      <c r="B294">
        <v>4652</v>
      </c>
      <c r="C294" t="b">
        <v>1</v>
      </c>
      <c r="D294">
        <v>8048</v>
      </c>
      <c r="E294">
        <v>8123</v>
      </c>
      <c r="F294">
        <v>6.8</v>
      </c>
      <c r="G294">
        <v>8</v>
      </c>
      <c r="H294">
        <v>0.85</v>
      </c>
      <c r="I294">
        <v>0.14999998</v>
      </c>
      <c r="J294">
        <v>0.54054049999999998</v>
      </c>
    </row>
    <row r="295" spans="1:10" x14ac:dyDescent="0.3">
      <c r="A295">
        <v>293</v>
      </c>
      <c r="B295">
        <v>4668</v>
      </c>
      <c r="C295" t="b">
        <v>1</v>
      </c>
      <c r="D295">
        <v>8042</v>
      </c>
      <c r="E295">
        <v>8129</v>
      </c>
      <c r="F295">
        <v>6.8</v>
      </c>
      <c r="G295">
        <v>8</v>
      </c>
      <c r="H295">
        <v>0.85</v>
      </c>
      <c r="I295">
        <v>0.14999998</v>
      </c>
      <c r="J295">
        <v>0.54054049999999998</v>
      </c>
    </row>
    <row r="296" spans="1:10" x14ac:dyDescent="0.3">
      <c r="A296">
        <v>294</v>
      </c>
      <c r="B296">
        <v>4684</v>
      </c>
      <c r="C296" t="b">
        <v>1</v>
      </c>
      <c r="D296">
        <v>8048</v>
      </c>
      <c r="E296">
        <v>8123</v>
      </c>
      <c r="F296">
        <v>6.8</v>
      </c>
      <c r="G296">
        <v>8</v>
      </c>
      <c r="H296">
        <v>0.85</v>
      </c>
      <c r="I296">
        <v>0.14999998</v>
      </c>
      <c r="J296">
        <v>0.54054049999999998</v>
      </c>
    </row>
    <row r="297" spans="1:10" x14ac:dyDescent="0.3">
      <c r="A297">
        <v>295</v>
      </c>
      <c r="B297">
        <v>4700</v>
      </c>
      <c r="C297" t="b">
        <v>1</v>
      </c>
      <c r="D297">
        <v>8048</v>
      </c>
      <c r="E297">
        <v>8123</v>
      </c>
      <c r="F297">
        <v>6.8</v>
      </c>
      <c r="G297">
        <v>8</v>
      </c>
      <c r="H297">
        <v>0.85</v>
      </c>
      <c r="I297">
        <v>0.14999998</v>
      </c>
      <c r="J297">
        <v>0.54054049999999998</v>
      </c>
    </row>
    <row r="298" spans="1:10" x14ac:dyDescent="0.3">
      <c r="A298">
        <v>296</v>
      </c>
      <c r="B298">
        <v>4716</v>
      </c>
      <c r="C298" t="b">
        <v>1</v>
      </c>
      <c r="D298">
        <v>8048</v>
      </c>
      <c r="E298">
        <v>8129</v>
      </c>
      <c r="F298">
        <v>6.8</v>
      </c>
      <c r="G298">
        <v>8</v>
      </c>
      <c r="H298">
        <v>0.85</v>
      </c>
      <c r="I298">
        <v>0.14999998</v>
      </c>
      <c r="J298">
        <v>0.54054049999999998</v>
      </c>
    </row>
    <row r="299" spans="1:10" x14ac:dyDescent="0.3">
      <c r="A299">
        <v>297</v>
      </c>
      <c r="B299">
        <v>4732</v>
      </c>
      <c r="C299" t="b">
        <v>1</v>
      </c>
      <c r="D299">
        <v>8048</v>
      </c>
      <c r="E299">
        <v>8129</v>
      </c>
      <c r="F299">
        <v>6.8</v>
      </c>
      <c r="G299">
        <v>8.4</v>
      </c>
      <c r="H299">
        <v>0.80952389999999996</v>
      </c>
      <c r="I299">
        <v>0.19047612999999999</v>
      </c>
      <c r="J299">
        <v>0.55263156000000002</v>
      </c>
    </row>
    <row r="300" spans="1:10" x14ac:dyDescent="0.3">
      <c r="A300">
        <v>298</v>
      </c>
      <c r="B300">
        <v>4748</v>
      </c>
      <c r="C300" t="b">
        <v>1</v>
      </c>
      <c r="D300">
        <v>8048</v>
      </c>
      <c r="E300">
        <v>8123</v>
      </c>
      <c r="F300">
        <v>7.2</v>
      </c>
      <c r="G300">
        <v>8.4</v>
      </c>
      <c r="H300">
        <v>0.85714287</v>
      </c>
      <c r="I300">
        <v>0.14285712</v>
      </c>
      <c r="J300">
        <v>0.53846150000000004</v>
      </c>
    </row>
    <row r="301" spans="1:10" x14ac:dyDescent="0.3">
      <c r="A301">
        <v>299</v>
      </c>
      <c r="B301">
        <v>4763</v>
      </c>
      <c r="C301" t="b">
        <v>1</v>
      </c>
      <c r="D301">
        <v>8048</v>
      </c>
      <c r="E301">
        <v>8123</v>
      </c>
      <c r="F301">
        <v>7.6</v>
      </c>
      <c r="G301">
        <v>8.4</v>
      </c>
      <c r="H301">
        <v>0.90476190000000001</v>
      </c>
      <c r="I301">
        <v>9.5238069999999994E-2</v>
      </c>
      <c r="J301">
        <v>0.52500000000000002</v>
      </c>
    </row>
    <row r="302" spans="1:10" x14ac:dyDescent="0.3">
      <c r="A302">
        <v>300</v>
      </c>
      <c r="B302">
        <v>4779</v>
      </c>
      <c r="C302" t="b">
        <v>1</v>
      </c>
      <c r="D302">
        <v>8048</v>
      </c>
      <c r="E302">
        <v>8129</v>
      </c>
      <c r="F302">
        <v>8</v>
      </c>
      <c r="G302">
        <v>8.8000000000000007</v>
      </c>
      <c r="H302">
        <v>0.90909090000000004</v>
      </c>
      <c r="I302">
        <v>9.0909110000000001E-2</v>
      </c>
      <c r="J302">
        <v>0.52380954999999996</v>
      </c>
    </row>
    <row r="303" spans="1:10" x14ac:dyDescent="0.3">
      <c r="A303">
        <v>301</v>
      </c>
      <c r="B303">
        <v>4795</v>
      </c>
      <c r="C303" t="b">
        <v>1</v>
      </c>
      <c r="D303">
        <v>8048</v>
      </c>
      <c r="E303">
        <v>8123</v>
      </c>
      <c r="F303">
        <v>8</v>
      </c>
      <c r="G303">
        <v>8.8000000000000007</v>
      </c>
      <c r="H303">
        <v>0.90909090000000004</v>
      </c>
      <c r="I303">
        <v>9.0909110000000001E-2</v>
      </c>
      <c r="J303">
        <v>0.52380954999999996</v>
      </c>
    </row>
    <row r="304" spans="1:10" x14ac:dyDescent="0.3">
      <c r="A304">
        <v>302</v>
      </c>
      <c r="B304">
        <v>4811</v>
      </c>
      <c r="C304" t="b">
        <v>1</v>
      </c>
      <c r="D304">
        <v>8048</v>
      </c>
      <c r="E304">
        <v>8129</v>
      </c>
      <c r="F304">
        <v>8</v>
      </c>
      <c r="G304">
        <v>8.8000000000000007</v>
      </c>
      <c r="H304">
        <v>0.90909090000000004</v>
      </c>
      <c r="I304">
        <v>9.0909110000000001E-2</v>
      </c>
      <c r="J304">
        <v>0.52380954999999996</v>
      </c>
    </row>
    <row r="305" spans="1:10" x14ac:dyDescent="0.3">
      <c r="A305">
        <v>303</v>
      </c>
      <c r="B305">
        <v>4827</v>
      </c>
      <c r="C305" t="b">
        <v>1</v>
      </c>
      <c r="D305">
        <v>8048</v>
      </c>
      <c r="E305">
        <v>8123</v>
      </c>
      <c r="F305">
        <v>8</v>
      </c>
      <c r="G305">
        <v>8.8000000000000007</v>
      </c>
      <c r="H305">
        <v>0.90909090000000004</v>
      </c>
      <c r="I305">
        <v>9.0909110000000001E-2</v>
      </c>
      <c r="J305">
        <v>0.52380954999999996</v>
      </c>
    </row>
    <row r="306" spans="1:10" x14ac:dyDescent="0.3">
      <c r="A306">
        <v>304</v>
      </c>
      <c r="B306">
        <v>4843</v>
      </c>
      <c r="C306" t="b">
        <v>1</v>
      </c>
      <c r="D306">
        <v>8048</v>
      </c>
      <c r="E306">
        <v>8123</v>
      </c>
      <c r="F306">
        <v>8</v>
      </c>
      <c r="G306">
        <v>8.8000000000000007</v>
      </c>
      <c r="H306">
        <v>0.90909090000000004</v>
      </c>
      <c r="I306">
        <v>9.0909110000000001E-2</v>
      </c>
      <c r="J306">
        <v>0.52380954999999996</v>
      </c>
    </row>
    <row r="307" spans="1:10" x14ac:dyDescent="0.3">
      <c r="A307">
        <v>305</v>
      </c>
      <c r="B307">
        <v>4859</v>
      </c>
      <c r="C307" t="b">
        <v>1</v>
      </c>
      <c r="D307">
        <v>8048</v>
      </c>
      <c r="E307">
        <v>8123</v>
      </c>
      <c r="F307">
        <v>8</v>
      </c>
      <c r="G307">
        <v>8.8000000000000007</v>
      </c>
      <c r="H307">
        <v>0.90909090000000004</v>
      </c>
      <c r="I307">
        <v>9.0909110000000001E-2</v>
      </c>
      <c r="J307">
        <v>0.52380954999999996</v>
      </c>
    </row>
    <row r="308" spans="1:10" x14ac:dyDescent="0.3">
      <c r="A308">
        <v>306</v>
      </c>
      <c r="B308">
        <v>4875</v>
      </c>
      <c r="C308" t="b">
        <v>1</v>
      </c>
      <c r="D308">
        <v>8042</v>
      </c>
      <c r="E308">
        <v>8123</v>
      </c>
      <c r="F308">
        <v>8</v>
      </c>
      <c r="G308">
        <v>8.8000000000000007</v>
      </c>
      <c r="H308">
        <v>0.90909090000000004</v>
      </c>
      <c r="I308">
        <v>9.0909110000000001E-2</v>
      </c>
      <c r="J308">
        <v>0.52380954999999996</v>
      </c>
    </row>
    <row r="309" spans="1:10" x14ac:dyDescent="0.3">
      <c r="A309">
        <v>307</v>
      </c>
      <c r="B309">
        <v>4891</v>
      </c>
      <c r="C309" t="b">
        <v>1</v>
      </c>
      <c r="D309">
        <v>8042</v>
      </c>
      <c r="E309">
        <v>8123</v>
      </c>
      <c r="F309">
        <v>8</v>
      </c>
      <c r="G309">
        <v>8.8000000000000007</v>
      </c>
      <c r="H309">
        <v>0.90909090000000004</v>
      </c>
      <c r="I309">
        <v>9.0909110000000001E-2</v>
      </c>
      <c r="J309">
        <v>0.52380954999999996</v>
      </c>
    </row>
    <row r="310" spans="1:10" x14ac:dyDescent="0.3">
      <c r="A310">
        <v>308</v>
      </c>
      <c r="B310">
        <v>4906</v>
      </c>
      <c r="C310" t="b">
        <v>1</v>
      </c>
      <c r="D310">
        <v>8048</v>
      </c>
      <c r="E310">
        <v>8123</v>
      </c>
      <c r="F310">
        <v>8</v>
      </c>
      <c r="G310">
        <v>8.8000000000000007</v>
      </c>
      <c r="H310">
        <v>0.90909090000000004</v>
      </c>
      <c r="I310">
        <v>9.0909110000000001E-2</v>
      </c>
      <c r="J310">
        <v>0.52380954999999996</v>
      </c>
    </row>
    <row r="311" spans="1:10" x14ac:dyDescent="0.3">
      <c r="A311">
        <v>309</v>
      </c>
      <c r="B311">
        <v>4922</v>
      </c>
      <c r="C311" t="b">
        <v>1</v>
      </c>
      <c r="D311">
        <v>8048</v>
      </c>
      <c r="E311">
        <v>8123</v>
      </c>
      <c r="F311">
        <v>8</v>
      </c>
      <c r="G311">
        <v>8.8000000000000007</v>
      </c>
      <c r="H311">
        <v>0.90909090000000004</v>
      </c>
      <c r="I311">
        <v>9.0909110000000001E-2</v>
      </c>
      <c r="J311">
        <v>0.52380954999999996</v>
      </c>
    </row>
    <row r="312" spans="1:10" x14ac:dyDescent="0.3">
      <c r="A312">
        <v>310</v>
      </c>
      <c r="B312">
        <v>4938</v>
      </c>
      <c r="C312" t="b">
        <v>1</v>
      </c>
      <c r="D312">
        <v>8048</v>
      </c>
      <c r="E312">
        <v>8123</v>
      </c>
      <c r="F312">
        <v>8</v>
      </c>
      <c r="G312">
        <v>8.8000000000000007</v>
      </c>
      <c r="H312">
        <v>0.90909090000000004</v>
      </c>
      <c r="I312">
        <v>9.0909110000000001E-2</v>
      </c>
      <c r="J312">
        <v>0.52380954999999996</v>
      </c>
    </row>
    <row r="313" spans="1:10" x14ac:dyDescent="0.3">
      <c r="A313">
        <v>311</v>
      </c>
      <c r="B313">
        <v>4954</v>
      </c>
      <c r="C313" t="b">
        <v>1</v>
      </c>
      <c r="D313">
        <v>8048</v>
      </c>
      <c r="E313">
        <v>8129</v>
      </c>
      <c r="F313">
        <v>8</v>
      </c>
      <c r="G313">
        <v>8.8000000000000007</v>
      </c>
      <c r="H313">
        <v>0.90909090000000004</v>
      </c>
      <c r="I313">
        <v>9.0909110000000001E-2</v>
      </c>
      <c r="J313">
        <v>0.52380954999999996</v>
      </c>
    </row>
    <row r="314" spans="1:10" x14ac:dyDescent="0.3">
      <c r="A314">
        <v>312</v>
      </c>
      <c r="B314">
        <v>4970</v>
      </c>
      <c r="C314" t="b">
        <v>1</v>
      </c>
      <c r="D314">
        <v>8048</v>
      </c>
      <c r="E314">
        <v>8123</v>
      </c>
      <c r="F314">
        <v>8</v>
      </c>
      <c r="G314">
        <v>8.4</v>
      </c>
      <c r="H314">
        <v>0.95238100000000003</v>
      </c>
      <c r="I314">
        <v>4.7619003999999999E-2</v>
      </c>
      <c r="J314">
        <v>0.51219510000000001</v>
      </c>
    </row>
    <row r="315" spans="1:10" x14ac:dyDescent="0.3">
      <c r="A315">
        <v>313</v>
      </c>
      <c r="B315">
        <v>4986</v>
      </c>
      <c r="C315" t="b">
        <v>1</v>
      </c>
      <c r="D315">
        <v>8048</v>
      </c>
      <c r="E315">
        <v>8123</v>
      </c>
      <c r="F315">
        <v>8</v>
      </c>
      <c r="G315">
        <v>8.4</v>
      </c>
      <c r="H315">
        <v>0.95238100000000003</v>
      </c>
      <c r="I315">
        <v>4.7619003999999999E-2</v>
      </c>
      <c r="J315">
        <v>0.51219510000000001</v>
      </c>
    </row>
    <row r="316" spans="1:10" x14ac:dyDescent="0.3">
      <c r="A316">
        <v>314</v>
      </c>
      <c r="B316">
        <v>5001</v>
      </c>
      <c r="C316" t="b">
        <v>1</v>
      </c>
      <c r="D316">
        <v>8048</v>
      </c>
      <c r="E316">
        <v>8129</v>
      </c>
      <c r="F316">
        <v>8</v>
      </c>
      <c r="G316">
        <v>8.4</v>
      </c>
      <c r="H316">
        <v>0.95238100000000003</v>
      </c>
      <c r="I316">
        <v>4.7619003999999999E-2</v>
      </c>
      <c r="J316">
        <v>0.51219510000000001</v>
      </c>
    </row>
    <row r="317" spans="1:10" x14ac:dyDescent="0.3">
      <c r="A317">
        <v>315</v>
      </c>
      <c r="B317">
        <v>5017</v>
      </c>
      <c r="C317" t="b">
        <v>1</v>
      </c>
      <c r="D317">
        <v>8048</v>
      </c>
      <c r="E317">
        <v>8123</v>
      </c>
      <c r="F317">
        <v>8</v>
      </c>
      <c r="G317">
        <v>8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5033</v>
      </c>
      <c r="C318" t="b">
        <v>1</v>
      </c>
      <c r="D318">
        <v>8042</v>
      </c>
      <c r="E318">
        <v>8123</v>
      </c>
      <c r="F318">
        <v>8</v>
      </c>
      <c r="G318">
        <v>8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5049</v>
      </c>
      <c r="C319" t="b">
        <v>1</v>
      </c>
      <c r="D319">
        <v>8048</v>
      </c>
      <c r="E319">
        <v>8123</v>
      </c>
      <c r="F319">
        <v>8</v>
      </c>
      <c r="G319">
        <v>8</v>
      </c>
      <c r="H319">
        <v>1</v>
      </c>
      <c r="I319">
        <v>0</v>
      </c>
      <c r="J319">
        <v>0.5</v>
      </c>
    </row>
    <row r="320" spans="1:10" x14ac:dyDescent="0.3">
      <c r="A320">
        <v>318</v>
      </c>
      <c r="B320">
        <v>5065</v>
      </c>
      <c r="C320" t="b">
        <v>1</v>
      </c>
      <c r="D320">
        <v>8048</v>
      </c>
      <c r="E320">
        <v>8117</v>
      </c>
      <c r="F320">
        <v>8</v>
      </c>
      <c r="G320">
        <v>8</v>
      </c>
      <c r="H320">
        <v>1</v>
      </c>
      <c r="I320">
        <v>0</v>
      </c>
      <c r="J320">
        <v>0.5</v>
      </c>
    </row>
    <row r="321" spans="1:10" x14ac:dyDescent="0.3">
      <c r="A321">
        <v>319</v>
      </c>
      <c r="B321">
        <v>5081</v>
      </c>
      <c r="C321" t="b">
        <v>1</v>
      </c>
      <c r="D321">
        <v>8042</v>
      </c>
      <c r="E321">
        <v>8123</v>
      </c>
      <c r="F321">
        <v>8</v>
      </c>
      <c r="G321">
        <v>8</v>
      </c>
      <c r="H321">
        <v>1</v>
      </c>
      <c r="I321">
        <v>0</v>
      </c>
      <c r="J321">
        <v>0.5</v>
      </c>
    </row>
    <row r="322" spans="1:10" x14ac:dyDescent="0.3">
      <c r="A322">
        <v>320</v>
      </c>
      <c r="B322">
        <v>5097</v>
      </c>
      <c r="C322" t="b">
        <v>1</v>
      </c>
      <c r="D322">
        <v>8048</v>
      </c>
      <c r="E322">
        <v>8129</v>
      </c>
      <c r="F322">
        <v>8</v>
      </c>
      <c r="G322">
        <v>8</v>
      </c>
      <c r="H322">
        <v>1</v>
      </c>
      <c r="I322">
        <v>0</v>
      </c>
      <c r="J322">
        <v>0.5</v>
      </c>
    </row>
    <row r="323" spans="1:10" x14ac:dyDescent="0.3">
      <c r="A323">
        <v>321</v>
      </c>
      <c r="B323">
        <v>5113</v>
      </c>
      <c r="C323" t="b">
        <v>1</v>
      </c>
      <c r="D323">
        <v>8048</v>
      </c>
      <c r="E323">
        <v>8117</v>
      </c>
      <c r="F323">
        <v>8</v>
      </c>
      <c r="G323">
        <v>8</v>
      </c>
      <c r="H323">
        <v>1</v>
      </c>
      <c r="I323">
        <v>0</v>
      </c>
      <c r="J323">
        <v>0.5</v>
      </c>
    </row>
    <row r="324" spans="1:10" x14ac:dyDescent="0.3">
      <c r="A324">
        <v>322</v>
      </c>
      <c r="B324">
        <v>5129</v>
      </c>
      <c r="C324" t="b">
        <v>1</v>
      </c>
      <c r="D324">
        <v>8042</v>
      </c>
      <c r="E324">
        <v>8117</v>
      </c>
      <c r="F324">
        <v>8</v>
      </c>
      <c r="G324">
        <v>7.6</v>
      </c>
      <c r="H324">
        <v>1.0526316</v>
      </c>
      <c r="I324">
        <v>-5.2631589999999999E-2</v>
      </c>
      <c r="J324">
        <v>0.48717946000000001</v>
      </c>
    </row>
    <row r="325" spans="1:10" x14ac:dyDescent="0.3">
      <c r="A325">
        <v>323</v>
      </c>
      <c r="B325">
        <v>5145</v>
      </c>
      <c r="C325" t="b">
        <v>1</v>
      </c>
      <c r="D325">
        <v>8048</v>
      </c>
      <c r="E325">
        <v>8117</v>
      </c>
      <c r="F325">
        <v>8</v>
      </c>
      <c r="G325">
        <v>7.2</v>
      </c>
      <c r="H325">
        <v>1.1111112000000001</v>
      </c>
      <c r="I325">
        <v>-0.11111114</v>
      </c>
      <c r="J325">
        <v>0.4736842</v>
      </c>
    </row>
    <row r="326" spans="1:10" x14ac:dyDescent="0.3">
      <c r="A326">
        <v>324</v>
      </c>
      <c r="B326">
        <v>5161</v>
      </c>
      <c r="C326" t="b">
        <v>1</v>
      </c>
      <c r="D326">
        <v>8042</v>
      </c>
      <c r="E326">
        <v>8123</v>
      </c>
      <c r="F326">
        <v>8</v>
      </c>
      <c r="G326">
        <v>6.8</v>
      </c>
      <c r="H326">
        <v>1.1764705</v>
      </c>
      <c r="I326">
        <v>-0.17647055</v>
      </c>
      <c r="J326">
        <v>0.45945944999999999</v>
      </c>
    </row>
    <row r="327" spans="1:10" x14ac:dyDescent="0.3">
      <c r="A327">
        <v>325</v>
      </c>
      <c r="B327">
        <v>5177</v>
      </c>
      <c r="C327" t="b">
        <v>1</v>
      </c>
      <c r="D327">
        <v>8048</v>
      </c>
      <c r="E327">
        <v>8123</v>
      </c>
      <c r="F327">
        <v>8</v>
      </c>
      <c r="G327">
        <v>6.4</v>
      </c>
      <c r="H327">
        <v>1.25</v>
      </c>
      <c r="I327">
        <v>-0.24999999000000001</v>
      </c>
      <c r="J327">
        <v>0.44444447999999998</v>
      </c>
    </row>
    <row r="328" spans="1:10" x14ac:dyDescent="0.3">
      <c r="A328">
        <v>326</v>
      </c>
      <c r="B328">
        <v>5193</v>
      </c>
      <c r="C328" t="b">
        <v>1</v>
      </c>
      <c r="D328">
        <v>8042</v>
      </c>
      <c r="E328">
        <v>8117</v>
      </c>
      <c r="F328">
        <v>7.6</v>
      </c>
      <c r="G328">
        <v>6</v>
      </c>
      <c r="H328">
        <v>1.2666667</v>
      </c>
      <c r="I328">
        <v>-0.26666665000000001</v>
      </c>
      <c r="J328">
        <v>0.44117644</v>
      </c>
    </row>
    <row r="329" spans="1:10" x14ac:dyDescent="0.3">
      <c r="A329">
        <v>327</v>
      </c>
      <c r="B329">
        <v>5208</v>
      </c>
      <c r="C329" t="b">
        <v>1</v>
      </c>
      <c r="D329">
        <v>8048</v>
      </c>
      <c r="E329">
        <v>8123</v>
      </c>
      <c r="F329">
        <v>7.6</v>
      </c>
      <c r="G329">
        <v>6</v>
      </c>
      <c r="H329">
        <v>1.2666667</v>
      </c>
      <c r="I329">
        <v>-0.26666665000000001</v>
      </c>
      <c r="J329">
        <v>0.44117644</v>
      </c>
    </row>
    <row r="330" spans="1:10" x14ac:dyDescent="0.3">
      <c r="A330">
        <v>328</v>
      </c>
      <c r="B330">
        <v>5224</v>
      </c>
      <c r="C330" t="b">
        <v>1</v>
      </c>
      <c r="D330">
        <v>8048</v>
      </c>
      <c r="E330">
        <v>8123</v>
      </c>
      <c r="F330">
        <v>7.6</v>
      </c>
      <c r="G330">
        <v>6</v>
      </c>
      <c r="H330">
        <v>1.2666667</v>
      </c>
      <c r="I330">
        <v>-0.26666665000000001</v>
      </c>
      <c r="J330">
        <v>0.44117644</v>
      </c>
    </row>
    <row r="331" spans="1:10" x14ac:dyDescent="0.3">
      <c r="A331">
        <v>329</v>
      </c>
      <c r="B331">
        <v>5240</v>
      </c>
      <c r="C331" t="b">
        <v>1</v>
      </c>
      <c r="D331">
        <v>8048</v>
      </c>
      <c r="E331">
        <v>8123</v>
      </c>
      <c r="F331">
        <v>7.6</v>
      </c>
      <c r="G331">
        <v>6</v>
      </c>
      <c r="H331">
        <v>1.2666667</v>
      </c>
      <c r="I331">
        <v>-0.26666665000000001</v>
      </c>
      <c r="J331">
        <v>0.44117644</v>
      </c>
    </row>
    <row r="332" spans="1:10" x14ac:dyDescent="0.3">
      <c r="A332">
        <v>330</v>
      </c>
      <c r="B332">
        <v>5256</v>
      </c>
      <c r="C332" t="b">
        <v>1</v>
      </c>
      <c r="D332">
        <v>8048</v>
      </c>
      <c r="E332">
        <v>8123</v>
      </c>
      <c r="F332">
        <v>7.6</v>
      </c>
      <c r="G332">
        <v>6</v>
      </c>
      <c r="H332">
        <v>1.2666667</v>
      </c>
      <c r="I332">
        <v>-0.26666665000000001</v>
      </c>
      <c r="J332">
        <v>0.44117644</v>
      </c>
    </row>
    <row r="333" spans="1:10" x14ac:dyDescent="0.3">
      <c r="A333">
        <v>331</v>
      </c>
      <c r="B333">
        <v>5272</v>
      </c>
      <c r="C333" t="b">
        <v>1</v>
      </c>
      <c r="D333">
        <v>8048</v>
      </c>
      <c r="E333">
        <v>8123</v>
      </c>
      <c r="F333">
        <v>7.6</v>
      </c>
      <c r="G333">
        <v>6</v>
      </c>
      <c r="H333">
        <v>1.2666667</v>
      </c>
      <c r="I333">
        <v>-0.26666665000000001</v>
      </c>
      <c r="J333">
        <v>0.44117644</v>
      </c>
    </row>
    <row r="334" spans="1:10" x14ac:dyDescent="0.3">
      <c r="A334">
        <v>332</v>
      </c>
      <c r="B334">
        <v>5288</v>
      </c>
      <c r="C334" t="b">
        <v>1</v>
      </c>
      <c r="D334">
        <v>8054</v>
      </c>
      <c r="E334">
        <v>8117</v>
      </c>
      <c r="F334">
        <v>7.6</v>
      </c>
      <c r="G334">
        <v>6</v>
      </c>
      <c r="H334">
        <v>1.2666667</v>
      </c>
      <c r="I334">
        <v>-0.26666665000000001</v>
      </c>
      <c r="J334">
        <v>0.44117644</v>
      </c>
    </row>
    <row r="335" spans="1:10" x14ac:dyDescent="0.3">
      <c r="A335">
        <v>333</v>
      </c>
      <c r="B335">
        <v>5304</v>
      </c>
      <c r="C335" t="b">
        <v>1</v>
      </c>
      <c r="D335">
        <v>8048</v>
      </c>
      <c r="E335">
        <v>8123</v>
      </c>
      <c r="F335">
        <v>7.6</v>
      </c>
      <c r="G335">
        <v>6</v>
      </c>
      <c r="H335">
        <v>1.2666667</v>
      </c>
      <c r="I335">
        <v>-0.26666665000000001</v>
      </c>
      <c r="J335">
        <v>0.44117644</v>
      </c>
    </row>
    <row r="336" spans="1:10" x14ac:dyDescent="0.3">
      <c r="A336">
        <v>334</v>
      </c>
      <c r="B336">
        <v>5319</v>
      </c>
      <c r="C336" t="b">
        <v>1</v>
      </c>
      <c r="D336">
        <v>8042</v>
      </c>
      <c r="E336">
        <v>8123</v>
      </c>
      <c r="F336">
        <v>7.6</v>
      </c>
      <c r="G336">
        <v>6</v>
      </c>
      <c r="H336">
        <v>1.2666667</v>
      </c>
      <c r="I336">
        <v>-0.26666665000000001</v>
      </c>
      <c r="J336">
        <v>0.44117644</v>
      </c>
    </row>
    <row r="337" spans="1:10" x14ac:dyDescent="0.3">
      <c r="A337">
        <v>335</v>
      </c>
      <c r="B337">
        <v>5335</v>
      </c>
      <c r="C337" t="b">
        <v>1</v>
      </c>
      <c r="D337">
        <v>8048</v>
      </c>
      <c r="E337">
        <v>8123</v>
      </c>
      <c r="F337">
        <v>7.6</v>
      </c>
      <c r="G337">
        <v>6</v>
      </c>
      <c r="H337">
        <v>1.2666667</v>
      </c>
      <c r="I337">
        <v>-0.26666665000000001</v>
      </c>
      <c r="J337">
        <v>0.44117644</v>
      </c>
    </row>
    <row r="338" spans="1:10" x14ac:dyDescent="0.3">
      <c r="A338">
        <v>336</v>
      </c>
      <c r="B338">
        <v>5351</v>
      </c>
      <c r="C338" t="b">
        <v>1</v>
      </c>
      <c r="D338">
        <v>8048</v>
      </c>
      <c r="E338">
        <v>8134</v>
      </c>
      <c r="F338">
        <v>7.6</v>
      </c>
      <c r="G338">
        <v>6</v>
      </c>
      <c r="H338">
        <v>1.2666667</v>
      </c>
      <c r="I338">
        <v>-0.26666665000000001</v>
      </c>
      <c r="J338">
        <v>0.44117644</v>
      </c>
    </row>
    <row r="339" spans="1:10" x14ac:dyDescent="0.3">
      <c r="A339">
        <v>337</v>
      </c>
      <c r="B339">
        <v>5367</v>
      </c>
      <c r="C339" t="b">
        <v>1</v>
      </c>
      <c r="D339">
        <v>8048</v>
      </c>
      <c r="E339">
        <v>8134</v>
      </c>
      <c r="F339">
        <v>7.6</v>
      </c>
      <c r="G339">
        <v>6.4</v>
      </c>
      <c r="H339">
        <v>1.1875</v>
      </c>
      <c r="I339">
        <v>-0.18749996999999999</v>
      </c>
      <c r="J339">
        <v>0.45714285999999998</v>
      </c>
    </row>
    <row r="340" spans="1:10" x14ac:dyDescent="0.3">
      <c r="A340">
        <v>338</v>
      </c>
      <c r="B340">
        <v>5383</v>
      </c>
      <c r="C340" t="b">
        <v>1</v>
      </c>
      <c r="D340">
        <v>8048</v>
      </c>
      <c r="E340">
        <v>8123</v>
      </c>
      <c r="F340">
        <v>7.6</v>
      </c>
      <c r="G340">
        <v>6.8</v>
      </c>
      <c r="H340">
        <v>1.1176470000000001</v>
      </c>
      <c r="I340">
        <v>-0.11764701499999999</v>
      </c>
      <c r="J340">
        <v>0.47222224000000002</v>
      </c>
    </row>
    <row r="341" spans="1:10" x14ac:dyDescent="0.3">
      <c r="A341">
        <v>339</v>
      </c>
      <c r="B341">
        <v>5399</v>
      </c>
      <c r="C341" t="b">
        <v>1</v>
      </c>
      <c r="D341">
        <v>8048</v>
      </c>
      <c r="E341">
        <v>8129</v>
      </c>
      <c r="F341">
        <v>7.6</v>
      </c>
      <c r="G341">
        <v>7.6</v>
      </c>
      <c r="H341">
        <v>1</v>
      </c>
      <c r="I341">
        <v>0</v>
      </c>
      <c r="J341">
        <v>0.5</v>
      </c>
    </row>
    <row r="342" spans="1:10" x14ac:dyDescent="0.3">
      <c r="A342">
        <v>340</v>
      </c>
      <c r="B342">
        <v>5414</v>
      </c>
      <c r="C342" t="b">
        <v>1</v>
      </c>
      <c r="D342">
        <v>8048</v>
      </c>
      <c r="E342">
        <v>8123</v>
      </c>
      <c r="F342">
        <v>7.6</v>
      </c>
      <c r="G342">
        <v>8.4</v>
      </c>
      <c r="H342">
        <v>0.90476190000000001</v>
      </c>
      <c r="I342">
        <v>9.5238069999999994E-2</v>
      </c>
      <c r="J342">
        <v>0.52500000000000002</v>
      </c>
    </row>
    <row r="343" spans="1:10" x14ac:dyDescent="0.3">
      <c r="A343">
        <v>341</v>
      </c>
      <c r="B343">
        <v>5430</v>
      </c>
      <c r="C343" t="b">
        <v>1</v>
      </c>
      <c r="D343">
        <v>8048</v>
      </c>
      <c r="E343">
        <v>8123</v>
      </c>
      <c r="F343">
        <v>8</v>
      </c>
      <c r="G343">
        <v>8.8000000000000007</v>
      </c>
      <c r="H343">
        <v>0.90909090000000004</v>
      </c>
      <c r="I343">
        <v>9.0909110000000001E-2</v>
      </c>
      <c r="J343">
        <v>0.52380954999999996</v>
      </c>
    </row>
    <row r="344" spans="1:10" x14ac:dyDescent="0.3">
      <c r="A344">
        <v>342</v>
      </c>
      <c r="B344">
        <v>5446</v>
      </c>
      <c r="C344" t="b">
        <v>1</v>
      </c>
      <c r="D344">
        <v>8048</v>
      </c>
      <c r="E344">
        <v>8123</v>
      </c>
      <c r="F344">
        <v>8</v>
      </c>
      <c r="G344">
        <v>8.8000000000000007</v>
      </c>
      <c r="H344">
        <v>0.90909090000000004</v>
      </c>
      <c r="I344">
        <v>9.0909110000000001E-2</v>
      </c>
      <c r="J344">
        <v>0.52380954999999996</v>
      </c>
    </row>
    <row r="345" spans="1:10" x14ac:dyDescent="0.3">
      <c r="A345">
        <v>343</v>
      </c>
      <c r="B345">
        <v>5462</v>
      </c>
      <c r="C345" t="b">
        <v>1</v>
      </c>
      <c r="D345">
        <v>8048</v>
      </c>
      <c r="E345">
        <v>8123</v>
      </c>
      <c r="F345">
        <v>8</v>
      </c>
      <c r="G345">
        <v>8.8000000000000007</v>
      </c>
      <c r="H345">
        <v>0.90909090000000004</v>
      </c>
      <c r="I345">
        <v>9.0909110000000001E-2</v>
      </c>
      <c r="J345">
        <v>0.52380954999999996</v>
      </c>
    </row>
    <row r="346" spans="1:10" x14ac:dyDescent="0.3">
      <c r="A346">
        <v>344</v>
      </c>
      <c r="B346">
        <v>5478</v>
      </c>
      <c r="C346" t="b">
        <v>1</v>
      </c>
      <c r="D346">
        <v>8048</v>
      </c>
      <c r="E346">
        <v>8123</v>
      </c>
      <c r="F346">
        <v>8</v>
      </c>
      <c r="G346">
        <v>8.8000000000000007</v>
      </c>
      <c r="H346">
        <v>0.90909090000000004</v>
      </c>
      <c r="I346">
        <v>9.0909110000000001E-2</v>
      </c>
      <c r="J346">
        <v>0.52380954999999996</v>
      </c>
    </row>
    <row r="347" spans="1:10" x14ac:dyDescent="0.3">
      <c r="A347">
        <v>345</v>
      </c>
      <c r="B347">
        <v>5493</v>
      </c>
      <c r="C347" t="b">
        <v>1</v>
      </c>
      <c r="D347">
        <v>8048</v>
      </c>
      <c r="E347">
        <v>8129</v>
      </c>
      <c r="F347">
        <v>8</v>
      </c>
      <c r="G347">
        <v>8.8000000000000007</v>
      </c>
      <c r="H347">
        <v>0.90909090000000004</v>
      </c>
      <c r="I347">
        <v>9.0909110000000001E-2</v>
      </c>
      <c r="J347">
        <v>0.52380954999999996</v>
      </c>
    </row>
    <row r="348" spans="1:10" x14ac:dyDescent="0.3">
      <c r="A348">
        <v>346</v>
      </c>
      <c r="B348">
        <v>5509</v>
      </c>
      <c r="C348" t="b">
        <v>1</v>
      </c>
      <c r="D348">
        <v>8042</v>
      </c>
      <c r="E348">
        <v>8123</v>
      </c>
      <c r="F348">
        <v>8</v>
      </c>
      <c r="G348">
        <v>8.8000000000000007</v>
      </c>
      <c r="H348">
        <v>0.90909090000000004</v>
      </c>
      <c r="I348">
        <v>9.0909110000000001E-2</v>
      </c>
      <c r="J348">
        <v>0.52380954999999996</v>
      </c>
    </row>
    <row r="349" spans="1:10" x14ac:dyDescent="0.3">
      <c r="A349">
        <v>347</v>
      </c>
      <c r="B349">
        <v>5525</v>
      </c>
      <c r="C349" t="b">
        <v>1</v>
      </c>
      <c r="D349">
        <v>8042</v>
      </c>
      <c r="E349">
        <v>8129</v>
      </c>
      <c r="F349">
        <v>8</v>
      </c>
      <c r="G349">
        <v>8.8000000000000007</v>
      </c>
      <c r="H349">
        <v>0.90909090000000004</v>
      </c>
      <c r="I349">
        <v>9.0909110000000001E-2</v>
      </c>
      <c r="J349">
        <v>0.52380954999999996</v>
      </c>
    </row>
    <row r="350" spans="1:10" x14ac:dyDescent="0.3">
      <c r="A350">
        <v>348</v>
      </c>
      <c r="B350">
        <v>5541</v>
      </c>
      <c r="C350" t="b">
        <v>1</v>
      </c>
      <c r="D350">
        <v>8048</v>
      </c>
      <c r="E350">
        <v>8123</v>
      </c>
      <c r="F350">
        <v>8</v>
      </c>
      <c r="G350">
        <v>8.8000000000000007</v>
      </c>
      <c r="H350">
        <v>0.90909090000000004</v>
      </c>
      <c r="I350">
        <v>9.0909110000000001E-2</v>
      </c>
      <c r="J350">
        <v>0.52380954999999996</v>
      </c>
    </row>
    <row r="351" spans="1:10" x14ac:dyDescent="0.3">
      <c r="A351">
        <v>349</v>
      </c>
      <c r="B351">
        <v>5557</v>
      </c>
      <c r="C351" t="b">
        <v>1</v>
      </c>
      <c r="D351">
        <v>8048</v>
      </c>
      <c r="E351">
        <v>8123</v>
      </c>
      <c r="F351">
        <v>8</v>
      </c>
      <c r="G351">
        <v>8.8000000000000007</v>
      </c>
      <c r="H351">
        <v>0.90909090000000004</v>
      </c>
      <c r="I351">
        <v>9.0909110000000001E-2</v>
      </c>
      <c r="J351">
        <v>0.52380954999999996</v>
      </c>
    </row>
    <row r="352" spans="1:10" x14ac:dyDescent="0.3">
      <c r="A352">
        <v>350</v>
      </c>
      <c r="B352">
        <v>5573</v>
      </c>
      <c r="C352" t="b">
        <v>1</v>
      </c>
      <c r="D352">
        <v>8048</v>
      </c>
      <c r="E352">
        <v>8129</v>
      </c>
      <c r="F352">
        <v>8</v>
      </c>
      <c r="G352">
        <v>8.8000000000000007</v>
      </c>
      <c r="H352">
        <v>0.90909090000000004</v>
      </c>
      <c r="I352">
        <v>9.0909110000000001E-2</v>
      </c>
      <c r="J352">
        <v>0.52380954999999996</v>
      </c>
    </row>
    <row r="353" spans="1:10" x14ac:dyDescent="0.3">
      <c r="A353">
        <v>351</v>
      </c>
      <c r="B353">
        <v>5589</v>
      </c>
      <c r="C353" t="b">
        <v>1</v>
      </c>
      <c r="D353">
        <v>8048</v>
      </c>
      <c r="E353">
        <v>8123</v>
      </c>
      <c r="F353">
        <v>8</v>
      </c>
      <c r="G353">
        <v>8.8000000000000007</v>
      </c>
      <c r="H353">
        <v>0.90909090000000004</v>
      </c>
      <c r="I353">
        <v>9.0909110000000001E-2</v>
      </c>
      <c r="J353">
        <v>0.52380954999999996</v>
      </c>
    </row>
    <row r="354" spans="1:10" x14ac:dyDescent="0.3">
      <c r="A354">
        <v>352</v>
      </c>
      <c r="B354">
        <v>5604</v>
      </c>
      <c r="C354" t="b">
        <v>1</v>
      </c>
      <c r="D354">
        <v>8042</v>
      </c>
      <c r="E354">
        <v>8123</v>
      </c>
      <c r="F354">
        <v>8</v>
      </c>
      <c r="G354">
        <v>8.8000000000000007</v>
      </c>
      <c r="H354">
        <v>0.90909090000000004</v>
      </c>
      <c r="I354">
        <v>9.0909110000000001E-2</v>
      </c>
      <c r="J354">
        <v>0.52380954999999996</v>
      </c>
    </row>
    <row r="355" spans="1:10" x14ac:dyDescent="0.3">
      <c r="A355">
        <v>353</v>
      </c>
      <c r="B355">
        <v>5620</v>
      </c>
      <c r="C355" t="b">
        <v>1</v>
      </c>
      <c r="D355">
        <v>8042</v>
      </c>
      <c r="E355">
        <v>8117</v>
      </c>
      <c r="F355">
        <v>8</v>
      </c>
      <c r="G355">
        <v>8.8000000000000007</v>
      </c>
      <c r="H355">
        <v>0.90909090000000004</v>
      </c>
      <c r="I355">
        <v>9.0909110000000001E-2</v>
      </c>
      <c r="J355">
        <v>0.52380954999999996</v>
      </c>
    </row>
    <row r="356" spans="1:10" x14ac:dyDescent="0.3">
      <c r="A356">
        <v>354</v>
      </c>
      <c r="B356">
        <v>5636</v>
      </c>
      <c r="C356" t="b">
        <v>1</v>
      </c>
      <c r="D356">
        <v>8042</v>
      </c>
      <c r="E356">
        <v>8123</v>
      </c>
      <c r="F356">
        <v>7.6</v>
      </c>
      <c r="G356">
        <v>8.4</v>
      </c>
      <c r="H356">
        <v>0.90476190000000001</v>
      </c>
      <c r="I356">
        <v>9.5238069999999994E-2</v>
      </c>
      <c r="J356">
        <v>0.52500000000000002</v>
      </c>
    </row>
    <row r="357" spans="1:10" x14ac:dyDescent="0.3">
      <c r="A357">
        <v>355</v>
      </c>
      <c r="B357">
        <v>5652</v>
      </c>
      <c r="C357" t="b">
        <v>1</v>
      </c>
      <c r="D357">
        <v>8048</v>
      </c>
      <c r="E357">
        <v>8123</v>
      </c>
      <c r="F357">
        <v>7.2</v>
      </c>
      <c r="G357">
        <v>8</v>
      </c>
      <c r="H357">
        <v>0.9</v>
      </c>
      <c r="I357">
        <v>0.10000002400000001</v>
      </c>
      <c r="J357">
        <v>0.5263158</v>
      </c>
    </row>
    <row r="358" spans="1:10" x14ac:dyDescent="0.3">
      <c r="A358">
        <v>356</v>
      </c>
      <c r="B358">
        <v>5668</v>
      </c>
      <c r="C358" t="b">
        <v>1</v>
      </c>
      <c r="D358">
        <v>8048</v>
      </c>
      <c r="E358">
        <v>8123</v>
      </c>
      <c r="F358">
        <v>6.8</v>
      </c>
      <c r="G358">
        <v>8</v>
      </c>
      <c r="H358">
        <v>0.85</v>
      </c>
      <c r="I358">
        <v>0.14999998</v>
      </c>
      <c r="J358">
        <v>0.54054049999999998</v>
      </c>
    </row>
    <row r="359" spans="1:10" x14ac:dyDescent="0.3">
      <c r="A359">
        <v>357</v>
      </c>
      <c r="B359">
        <v>5684</v>
      </c>
      <c r="C359" t="b">
        <v>1</v>
      </c>
      <c r="D359">
        <v>8042</v>
      </c>
      <c r="E359">
        <v>8123</v>
      </c>
      <c r="F359">
        <v>6.4</v>
      </c>
      <c r="G359">
        <v>8</v>
      </c>
      <c r="H359">
        <v>0.8</v>
      </c>
      <c r="I359">
        <v>0.19999998999999999</v>
      </c>
      <c r="J359">
        <v>0.55555560000000004</v>
      </c>
    </row>
    <row r="360" spans="1:10" x14ac:dyDescent="0.3">
      <c r="A360">
        <v>358</v>
      </c>
      <c r="B360">
        <v>5700</v>
      </c>
      <c r="C360" t="b">
        <v>1</v>
      </c>
      <c r="D360">
        <v>8042</v>
      </c>
      <c r="E360">
        <v>8123</v>
      </c>
      <c r="F360">
        <v>6</v>
      </c>
      <c r="G360">
        <v>8</v>
      </c>
      <c r="H360">
        <v>0.75</v>
      </c>
      <c r="I360">
        <v>0.25</v>
      </c>
      <c r="J360">
        <v>0.57142859999999995</v>
      </c>
    </row>
    <row r="361" spans="1:10" x14ac:dyDescent="0.3">
      <c r="A361">
        <v>359</v>
      </c>
      <c r="B361">
        <v>5716</v>
      </c>
      <c r="C361" t="b">
        <v>1</v>
      </c>
      <c r="D361">
        <v>8037</v>
      </c>
      <c r="E361">
        <v>8123</v>
      </c>
      <c r="F361">
        <v>5.6</v>
      </c>
      <c r="G361">
        <v>8</v>
      </c>
      <c r="H361">
        <v>0.7</v>
      </c>
      <c r="I361">
        <v>0.3</v>
      </c>
      <c r="J361">
        <v>0.58823526000000004</v>
      </c>
    </row>
    <row r="362" spans="1:10" x14ac:dyDescent="0.3">
      <c r="A362">
        <v>360</v>
      </c>
      <c r="B362">
        <v>5731</v>
      </c>
      <c r="C362" t="b">
        <v>1</v>
      </c>
      <c r="D362">
        <v>8042</v>
      </c>
      <c r="E362">
        <v>8123</v>
      </c>
      <c r="F362">
        <v>5.2</v>
      </c>
      <c r="G362">
        <v>8</v>
      </c>
      <c r="H362">
        <v>0.65</v>
      </c>
      <c r="I362">
        <v>0.35000002000000002</v>
      </c>
      <c r="J362">
        <v>0.60606059999999995</v>
      </c>
    </row>
    <row r="363" spans="1:10" x14ac:dyDescent="0.3">
      <c r="A363">
        <v>361</v>
      </c>
      <c r="B363">
        <v>5747</v>
      </c>
      <c r="C363" t="b">
        <v>1</v>
      </c>
      <c r="D363">
        <v>8042</v>
      </c>
      <c r="E363">
        <v>8129</v>
      </c>
      <c r="F363">
        <v>4.8</v>
      </c>
      <c r="G363">
        <v>8</v>
      </c>
      <c r="H363">
        <v>0.6</v>
      </c>
      <c r="I363">
        <v>0.39999997999999998</v>
      </c>
      <c r="J363">
        <v>0.625</v>
      </c>
    </row>
    <row r="364" spans="1:10" x14ac:dyDescent="0.3">
      <c r="A364">
        <v>362</v>
      </c>
      <c r="B364">
        <v>5763</v>
      </c>
      <c r="C364" t="b">
        <v>1</v>
      </c>
      <c r="D364">
        <v>8037</v>
      </c>
      <c r="E364">
        <v>8123</v>
      </c>
      <c r="F364">
        <v>4.4000000000000004</v>
      </c>
      <c r="G364">
        <v>8</v>
      </c>
      <c r="H364">
        <v>0.55000000000000004</v>
      </c>
      <c r="I364">
        <v>0.45</v>
      </c>
      <c r="J364">
        <v>0.64516132999999998</v>
      </c>
    </row>
    <row r="365" spans="1:10" x14ac:dyDescent="0.3">
      <c r="A365">
        <v>363</v>
      </c>
      <c r="B365">
        <v>5779</v>
      </c>
      <c r="C365" t="b">
        <v>1</v>
      </c>
      <c r="D365">
        <v>8048</v>
      </c>
      <c r="E365">
        <v>8129</v>
      </c>
      <c r="F365">
        <v>4</v>
      </c>
      <c r="G365">
        <v>8</v>
      </c>
      <c r="H365">
        <v>0.5</v>
      </c>
      <c r="I365">
        <v>0.5</v>
      </c>
      <c r="J365">
        <v>0.66666669999999995</v>
      </c>
    </row>
    <row r="366" spans="1:10" x14ac:dyDescent="0.3">
      <c r="A366">
        <v>364</v>
      </c>
      <c r="B366">
        <v>5795</v>
      </c>
      <c r="C366" t="b">
        <v>1</v>
      </c>
      <c r="D366">
        <v>8054</v>
      </c>
      <c r="E366">
        <v>8123</v>
      </c>
      <c r="F366">
        <v>3.6</v>
      </c>
      <c r="G366">
        <v>8</v>
      </c>
      <c r="H366">
        <v>0.45</v>
      </c>
      <c r="I366">
        <v>0.55000000000000004</v>
      </c>
      <c r="J366">
        <v>0.68965509999999997</v>
      </c>
    </row>
    <row r="367" spans="1:10" x14ac:dyDescent="0.3">
      <c r="A367">
        <v>365</v>
      </c>
      <c r="B367">
        <v>5811</v>
      </c>
      <c r="C367" t="b">
        <v>1</v>
      </c>
      <c r="D367">
        <v>8054</v>
      </c>
      <c r="E367">
        <v>8123</v>
      </c>
      <c r="F367">
        <v>3.6</v>
      </c>
      <c r="G367">
        <v>8</v>
      </c>
      <c r="H367">
        <v>0.45</v>
      </c>
      <c r="I367">
        <v>0.55000000000000004</v>
      </c>
      <c r="J367">
        <v>0.68965509999999997</v>
      </c>
    </row>
    <row r="368" spans="1:10" x14ac:dyDescent="0.3">
      <c r="A368">
        <v>366</v>
      </c>
      <c r="B368">
        <v>5827</v>
      </c>
      <c r="C368" t="b">
        <v>1</v>
      </c>
      <c r="D368">
        <v>8054</v>
      </c>
      <c r="E368">
        <v>8123</v>
      </c>
      <c r="F368">
        <v>4</v>
      </c>
      <c r="G368">
        <v>8</v>
      </c>
      <c r="H368">
        <v>0.5</v>
      </c>
      <c r="I368">
        <v>0.5</v>
      </c>
      <c r="J368">
        <v>0.66666669999999995</v>
      </c>
    </row>
    <row r="369" spans="1:10" x14ac:dyDescent="0.3">
      <c r="A369">
        <v>367</v>
      </c>
      <c r="B369">
        <v>5843</v>
      </c>
      <c r="C369" t="b">
        <v>1</v>
      </c>
      <c r="D369">
        <v>8054</v>
      </c>
      <c r="E369">
        <v>8129</v>
      </c>
      <c r="F369">
        <v>4.4000000000000004</v>
      </c>
      <c r="G369">
        <v>8</v>
      </c>
      <c r="H369">
        <v>0.55000000000000004</v>
      </c>
      <c r="I369">
        <v>0.45</v>
      </c>
      <c r="J369">
        <v>0.64516132999999998</v>
      </c>
    </row>
    <row r="370" spans="1:10" x14ac:dyDescent="0.3">
      <c r="A370">
        <v>368</v>
      </c>
      <c r="B370">
        <v>5859</v>
      </c>
      <c r="C370" t="b">
        <v>1</v>
      </c>
      <c r="D370">
        <v>8054</v>
      </c>
      <c r="E370">
        <v>8123</v>
      </c>
      <c r="F370">
        <v>4.8</v>
      </c>
      <c r="G370">
        <v>8</v>
      </c>
      <c r="H370">
        <v>0.6</v>
      </c>
      <c r="I370">
        <v>0.39999997999999998</v>
      </c>
      <c r="J370">
        <v>0.625</v>
      </c>
    </row>
    <row r="371" spans="1:10" x14ac:dyDescent="0.3">
      <c r="A371">
        <v>369</v>
      </c>
      <c r="B371">
        <v>5875</v>
      </c>
      <c r="C371" t="b">
        <v>1</v>
      </c>
      <c r="D371">
        <v>8054</v>
      </c>
      <c r="E371">
        <v>8123</v>
      </c>
      <c r="F371">
        <v>5.6</v>
      </c>
      <c r="G371">
        <v>8</v>
      </c>
      <c r="H371">
        <v>0.7</v>
      </c>
      <c r="I371">
        <v>0.3</v>
      </c>
      <c r="J371">
        <v>0.58823526000000004</v>
      </c>
    </row>
    <row r="372" spans="1:10" x14ac:dyDescent="0.3">
      <c r="A372">
        <v>370</v>
      </c>
      <c r="B372">
        <v>5891</v>
      </c>
      <c r="C372" t="b">
        <v>1</v>
      </c>
      <c r="D372">
        <v>8042</v>
      </c>
      <c r="E372">
        <v>8123</v>
      </c>
      <c r="F372">
        <v>6.4</v>
      </c>
      <c r="G372">
        <v>8</v>
      </c>
      <c r="H372">
        <v>0.8</v>
      </c>
      <c r="I372">
        <v>0.19999998999999999</v>
      </c>
      <c r="J372">
        <v>0.55555560000000004</v>
      </c>
    </row>
    <row r="373" spans="1:10" x14ac:dyDescent="0.3">
      <c r="A373">
        <v>371</v>
      </c>
      <c r="B373">
        <v>5907</v>
      </c>
      <c r="C373" t="b">
        <v>1</v>
      </c>
      <c r="D373">
        <v>8042</v>
      </c>
      <c r="E373">
        <v>8123</v>
      </c>
      <c r="F373">
        <v>7.2</v>
      </c>
      <c r="G373">
        <v>8</v>
      </c>
      <c r="H373">
        <v>0.9</v>
      </c>
      <c r="I373">
        <v>0.10000002400000001</v>
      </c>
      <c r="J373">
        <v>0.5263158</v>
      </c>
    </row>
    <row r="374" spans="1:10" x14ac:dyDescent="0.3">
      <c r="A374">
        <v>372</v>
      </c>
      <c r="B374">
        <v>5923</v>
      </c>
      <c r="C374" t="b">
        <v>1</v>
      </c>
      <c r="D374">
        <v>8037</v>
      </c>
      <c r="E374">
        <v>8123</v>
      </c>
      <c r="F374">
        <v>7.2</v>
      </c>
      <c r="G374">
        <v>8</v>
      </c>
      <c r="H374">
        <v>0.9</v>
      </c>
      <c r="I374">
        <v>0.10000002400000001</v>
      </c>
      <c r="J374">
        <v>0.5263158</v>
      </c>
    </row>
    <row r="375" spans="1:10" x14ac:dyDescent="0.3">
      <c r="A375">
        <v>373</v>
      </c>
      <c r="B375">
        <v>5938</v>
      </c>
      <c r="C375" t="b">
        <v>1</v>
      </c>
      <c r="D375">
        <v>8042</v>
      </c>
      <c r="E375">
        <v>8123</v>
      </c>
      <c r="F375">
        <v>7.2</v>
      </c>
      <c r="G375">
        <v>8</v>
      </c>
      <c r="H375">
        <v>0.9</v>
      </c>
      <c r="I375">
        <v>0.10000002400000001</v>
      </c>
      <c r="J375">
        <v>0.5263158</v>
      </c>
    </row>
    <row r="376" spans="1:10" x14ac:dyDescent="0.3">
      <c r="A376">
        <v>374</v>
      </c>
      <c r="B376">
        <v>5954</v>
      </c>
      <c r="C376" t="b">
        <v>1</v>
      </c>
      <c r="D376">
        <v>8042</v>
      </c>
      <c r="E376">
        <v>8123</v>
      </c>
      <c r="F376">
        <v>7.2</v>
      </c>
      <c r="G376">
        <v>8</v>
      </c>
      <c r="H376">
        <v>0.9</v>
      </c>
      <c r="I376">
        <v>0.10000002400000001</v>
      </c>
      <c r="J376">
        <v>0.5263158</v>
      </c>
    </row>
    <row r="377" spans="1:10" x14ac:dyDescent="0.3">
      <c r="A377">
        <v>375</v>
      </c>
      <c r="B377">
        <v>5970</v>
      </c>
      <c r="C377" t="b">
        <v>1</v>
      </c>
      <c r="D377">
        <v>8042</v>
      </c>
      <c r="E377">
        <v>8123</v>
      </c>
      <c r="F377">
        <v>7.2</v>
      </c>
      <c r="G377">
        <v>8</v>
      </c>
      <c r="H377">
        <v>0.9</v>
      </c>
      <c r="I377">
        <v>0.10000002400000001</v>
      </c>
      <c r="J377">
        <v>0.5263158</v>
      </c>
    </row>
    <row r="378" spans="1:10" x14ac:dyDescent="0.3">
      <c r="A378">
        <v>376</v>
      </c>
      <c r="B378">
        <v>5986</v>
      </c>
      <c r="C378" t="b">
        <v>1</v>
      </c>
      <c r="D378">
        <v>8048</v>
      </c>
      <c r="E378">
        <v>8123</v>
      </c>
      <c r="F378">
        <v>7.2</v>
      </c>
      <c r="G378">
        <v>8</v>
      </c>
      <c r="H378">
        <v>0.9</v>
      </c>
      <c r="I378">
        <v>0.10000002400000001</v>
      </c>
      <c r="J378">
        <v>0.5263158</v>
      </c>
    </row>
    <row r="379" spans="1:10" x14ac:dyDescent="0.3">
      <c r="A379">
        <v>377</v>
      </c>
      <c r="B379">
        <v>6002</v>
      </c>
      <c r="C379" t="b">
        <v>1</v>
      </c>
      <c r="D379">
        <v>8048</v>
      </c>
      <c r="E379">
        <v>8123</v>
      </c>
      <c r="F379">
        <v>7.2</v>
      </c>
      <c r="G379">
        <v>8</v>
      </c>
      <c r="H379">
        <v>0.9</v>
      </c>
      <c r="I379">
        <v>0.10000002400000001</v>
      </c>
      <c r="J379">
        <v>0.5263158</v>
      </c>
    </row>
    <row r="380" spans="1:10" x14ac:dyDescent="0.3">
      <c r="A380">
        <v>378</v>
      </c>
      <c r="B380">
        <v>6018</v>
      </c>
      <c r="C380" t="b">
        <v>1</v>
      </c>
      <c r="D380">
        <v>8048</v>
      </c>
      <c r="E380">
        <v>8123</v>
      </c>
      <c r="F380">
        <v>7.6</v>
      </c>
      <c r="G380">
        <v>8</v>
      </c>
      <c r="H380">
        <v>0.95</v>
      </c>
      <c r="I380">
        <v>5.0000012000000003E-2</v>
      </c>
      <c r="J380">
        <v>0.51282050000000001</v>
      </c>
    </row>
    <row r="381" spans="1:10" x14ac:dyDescent="0.3">
      <c r="A381">
        <v>379</v>
      </c>
      <c r="B381">
        <v>6034</v>
      </c>
      <c r="C381" t="b">
        <v>1</v>
      </c>
      <c r="D381">
        <v>8048</v>
      </c>
      <c r="E381">
        <v>8117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6050</v>
      </c>
      <c r="C382" t="b">
        <v>1</v>
      </c>
      <c r="D382">
        <v>8048</v>
      </c>
      <c r="E382">
        <v>8117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6066</v>
      </c>
      <c r="C383" t="b">
        <v>1</v>
      </c>
      <c r="D383">
        <v>8048</v>
      </c>
      <c r="E383">
        <v>8117</v>
      </c>
      <c r="F383">
        <v>7.6</v>
      </c>
      <c r="G383">
        <v>7.6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6082</v>
      </c>
      <c r="C384" t="b">
        <v>1</v>
      </c>
      <c r="D384">
        <v>8048</v>
      </c>
      <c r="E384">
        <v>8117</v>
      </c>
      <c r="F384">
        <v>7.2</v>
      </c>
      <c r="G384">
        <v>7.2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6098</v>
      </c>
      <c r="C385" t="b">
        <v>1</v>
      </c>
      <c r="D385">
        <v>8042</v>
      </c>
      <c r="E385">
        <v>8123</v>
      </c>
      <c r="F385">
        <v>6.8</v>
      </c>
      <c r="G385">
        <v>6.8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6114</v>
      </c>
      <c r="C386" t="b">
        <v>1</v>
      </c>
      <c r="D386">
        <v>8048</v>
      </c>
      <c r="E386">
        <v>8129</v>
      </c>
      <c r="F386">
        <v>6.4</v>
      </c>
      <c r="G386">
        <v>6.4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6130</v>
      </c>
      <c r="C387" t="b">
        <v>1</v>
      </c>
      <c r="D387">
        <v>8048</v>
      </c>
      <c r="E387">
        <v>8123</v>
      </c>
      <c r="F387">
        <v>6</v>
      </c>
      <c r="G387">
        <v>6.4</v>
      </c>
      <c r="H387">
        <v>0.9375</v>
      </c>
      <c r="I387">
        <v>6.2500015000000006E-2</v>
      </c>
      <c r="J387">
        <v>0.51612910000000001</v>
      </c>
    </row>
    <row r="388" spans="1:10" x14ac:dyDescent="0.3">
      <c r="A388">
        <v>386</v>
      </c>
      <c r="B388">
        <v>6146</v>
      </c>
      <c r="C388" t="b">
        <v>1</v>
      </c>
      <c r="D388">
        <v>8048</v>
      </c>
      <c r="E388">
        <v>8123</v>
      </c>
      <c r="F388">
        <v>5.6</v>
      </c>
      <c r="G388">
        <v>6.4</v>
      </c>
      <c r="H388">
        <v>0.875</v>
      </c>
      <c r="I388">
        <v>0.12500003000000001</v>
      </c>
      <c r="J388">
        <v>0.53333335999999998</v>
      </c>
    </row>
    <row r="389" spans="1:10" x14ac:dyDescent="0.3">
      <c r="A389">
        <v>387</v>
      </c>
      <c r="B389">
        <v>6162</v>
      </c>
      <c r="C389" t="b">
        <v>1</v>
      </c>
      <c r="D389">
        <v>8042</v>
      </c>
      <c r="E389">
        <v>8123</v>
      </c>
      <c r="F389">
        <v>6</v>
      </c>
      <c r="G389">
        <v>6.4</v>
      </c>
      <c r="H389">
        <v>0.9375</v>
      </c>
      <c r="I389">
        <v>6.2500015000000006E-2</v>
      </c>
      <c r="J389">
        <v>0.51612910000000001</v>
      </c>
    </row>
    <row r="390" spans="1:10" x14ac:dyDescent="0.3">
      <c r="A390">
        <v>388</v>
      </c>
      <c r="B390">
        <v>6178</v>
      </c>
      <c r="C390" t="b">
        <v>1</v>
      </c>
      <c r="D390">
        <v>8048</v>
      </c>
      <c r="E390">
        <v>8129</v>
      </c>
      <c r="F390">
        <v>6.4</v>
      </c>
      <c r="G390">
        <v>6.4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6194</v>
      </c>
      <c r="C391" t="b">
        <v>1</v>
      </c>
      <c r="D391">
        <v>8048</v>
      </c>
      <c r="E391">
        <v>8117</v>
      </c>
      <c r="F391">
        <v>6.8</v>
      </c>
      <c r="G391">
        <v>6.4</v>
      </c>
      <c r="H391">
        <v>1.0625</v>
      </c>
      <c r="I391">
        <v>-6.2500015000000006E-2</v>
      </c>
      <c r="J391">
        <v>0.48484846999999998</v>
      </c>
    </row>
    <row r="392" spans="1:10" x14ac:dyDescent="0.3">
      <c r="A392">
        <v>390</v>
      </c>
      <c r="B392">
        <v>6210</v>
      </c>
      <c r="C392" t="b">
        <v>1</v>
      </c>
      <c r="D392">
        <v>8048</v>
      </c>
      <c r="E392">
        <v>8117</v>
      </c>
      <c r="F392">
        <v>7.2</v>
      </c>
      <c r="G392">
        <v>6.4</v>
      </c>
      <c r="H392">
        <v>1.125</v>
      </c>
      <c r="I392">
        <v>-0.124999955</v>
      </c>
      <c r="J392">
        <v>0.47058823999999999</v>
      </c>
    </row>
    <row r="393" spans="1:10" x14ac:dyDescent="0.3">
      <c r="A393">
        <v>391</v>
      </c>
      <c r="B393">
        <v>6225</v>
      </c>
      <c r="C393" t="b">
        <v>1</v>
      </c>
      <c r="D393">
        <v>8048</v>
      </c>
      <c r="E393">
        <v>8117</v>
      </c>
      <c r="F393">
        <v>7.6</v>
      </c>
      <c r="G393">
        <v>6</v>
      </c>
      <c r="H393">
        <v>1.2666667</v>
      </c>
      <c r="I393">
        <v>-0.26666665000000001</v>
      </c>
      <c r="J393">
        <v>0.44117644</v>
      </c>
    </row>
    <row r="394" spans="1:10" x14ac:dyDescent="0.3">
      <c r="A394">
        <v>392</v>
      </c>
      <c r="B394">
        <v>6241</v>
      </c>
      <c r="C394" t="b">
        <v>1</v>
      </c>
      <c r="D394">
        <v>8048</v>
      </c>
      <c r="E394">
        <v>8111</v>
      </c>
      <c r="F394">
        <v>8</v>
      </c>
      <c r="G394">
        <v>5.6</v>
      </c>
      <c r="H394">
        <v>1.4285715000000001</v>
      </c>
      <c r="I394">
        <v>-0.42857146000000002</v>
      </c>
      <c r="J394">
        <v>0.41176467999999999</v>
      </c>
    </row>
    <row r="395" spans="1:10" x14ac:dyDescent="0.3">
      <c r="A395">
        <v>393</v>
      </c>
      <c r="B395">
        <v>6257</v>
      </c>
      <c r="C395" t="b">
        <v>1</v>
      </c>
      <c r="D395">
        <v>8048</v>
      </c>
      <c r="E395">
        <v>8117</v>
      </c>
      <c r="F395">
        <v>8</v>
      </c>
      <c r="G395">
        <v>5.2</v>
      </c>
      <c r="H395">
        <v>1.5384616</v>
      </c>
      <c r="I395">
        <v>-0.53846156999999994</v>
      </c>
      <c r="J395">
        <v>0.39393938000000001</v>
      </c>
    </row>
    <row r="396" spans="1:10" x14ac:dyDescent="0.3">
      <c r="A396">
        <v>394</v>
      </c>
      <c r="B396">
        <v>6273</v>
      </c>
      <c r="C396" t="b">
        <v>1</v>
      </c>
      <c r="D396">
        <v>8048</v>
      </c>
      <c r="E396">
        <v>8117</v>
      </c>
      <c r="F396">
        <v>8</v>
      </c>
      <c r="G396">
        <v>4.8</v>
      </c>
      <c r="H396">
        <v>1.6666666000000001</v>
      </c>
      <c r="I396">
        <v>-0.6666666</v>
      </c>
      <c r="J396">
        <v>0.375</v>
      </c>
    </row>
    <row r="397" spans="1:10" x14ac:dyDescent="0.3">
      <c r="A397">
        <v>395</v>
      </c>
      <c r="B397">
        <v>6289</v>
      </c>
      <c r="C397" t="b">
        <v>1</v>
      </c>
      <c r="D397">
        <v>8048</v>
      </c>
      <c r="E397">
        <v>8117</v>
      </c>
      <c r="F397">
        <v>8</v>
      </c>
      <c r="G397">
        <v>4.4000000000000004</v>
      </c>
      <c r="H397">
        <v>1.8181818000000001</v>
      </c>
      <c r="I397">
        <v>-0.81818175000000004</v>
      </c>
      <c r="J397">
        <v>0.35483872999999999</v>
      </c>
    </row>
    <row r="398" spans="1:10" x14ac:dyDescent="0.3">
      <c r="A398">
        <v>396</v>
      </c>
      <c r="B398">
        <v>6305</v>
      </c>
      <c r="C398" t="b">
        <v>1</v>
      </c>
      <c r="D398">
        <v>8048</v>
      </c>
      <c r="E398">
        <v>8134</v>
      </c>
      <c r="F398">
        <v>8</v>
      </c>
      <c r="G398">
        <v>4.4000000000000004</v>
      </c>
      <c r="H398">
        <v>1.8181818000000001</v>
      </c>
      <c r="I398">
        <v>-0.81818175000000004</v>
      </c>
      <c r="J398">
        <v>0.35483872999999999</v>
      </c>
    </row>
    <row r="399" spans="1:10" x14ac:dyDescent="0.3">
      <c r="A399">
        <v>397</v>
      </c>
      <c r="B399">
        <v>6320</v>
      </c>
      <c r="C399" t="b">
        <v>1</v>
      </c>
      <c r="D399">
        <v>8042</v>
      </c>
      <c r="E399">
        <v>8129</v>
      </c>
      <c r="F399">
        <v>8</v>
      </c>
      <c r="G399">
        <v>4.4000000000000004</v>
      </c>
      <c r="H399">
        <v>1.8181818000000001</v>
      </c>
      <c r="I399">
        <v>-0.81818175000000004</v>
      </c>
      <c r="J399">
        <v>0.35483872999999999</v>
      </c>
    </row>
    <row r="400" spans="1:10" x14ac:dyDescent="0.3">
      <c r="A400">
        <v>398</v>
      </c>
      <c r="B400">
        <v>6336</v>
      </c>
      <c r="C400" t="b">
        <v>1</v>
      </c>
      <c r="D400">
        <v>8048</v>
      </c>
      <c r="E400">
        <v>8129</v>
      </c>
      <c r="F400">
        <v>8</v>
      </c>
      <c r="G400">
        <v>5.2</v>
      </c>
      <c r="H400">
        <v>1.5384616</v>
      </c>
      <c r="I400">
        <v>-0.53846156999999994</v>
      </c>
      <c r="J400">
        <v>0.39393938000000001</v>
      </c>
    </row>
    <row r="401" spans="1:10" x14ac:dyDescent="0.3">
      <c r="A401">
        <v>399</v>
      </c>
      <c r="B401">
        <v>6352</v>
      </c>
      <c r="C401" t="b">
        <v>1</v>
      </c>
      <c r="D401">
        <v>8042</v>
      </c>
      <c r="E401">
        <v>8129</v>
      </c>
      <c r="F401">
        <v>8</v>
      </c>
      <c r="G401">
        <v>6</v>
      </c>
      <c r="H401">
        <v>1.3333333999999999</v>
      </c>
      <c r="I401">
        <v>-0.33333333999999998</v>
      </c>
      <c r="J401">
        <v>0.42857142999999998</v>
      </c>
    </row>
    <row r="402" spans="1:10" x14ac:dyDescent="0.3">
      <c r="A402">
        <v>400</v>
      </c>
      <c r="B402">
        <v>6368</v>
      </c>
      <c r="C402" t="b">
        <v>1</v>
      </c>
      <c r="D402">
        <v>8042</v>
      </c>
      <c r="E402">
        <v>8129</v>
      </c>
      <c r="F402">
        <v>7.6</v>
      </c>
      <c r="G402">
        <v>6.4</v>
      </c>
      <c r="H402">
        <v>1.1875</v>
      </c>
      <c r="I402">
        <v>-0.18749996999999999</v>
      </c>
      <c r="J402">
        <v>0.45714285999999998</v>
      </c>
    </row>
    <row r="403" spans="1:10" x14ac:dyDescent="0.3">
      <c r="A403">
        <v>401</v>
      </c>
      <c r="B403">
        <v>6384</v>
      </c>
      <c r="C403" t="b">
        <v>1</v>
      </c>
      <c r="D403">
        <v>8048</v>
      </c>
      <c r="E403">
        <v>8129</v>
      </c>
      <c r="F403">
        <v>7.2</v>
      </c>
      <c r="G403">
        <v>6.8</v>
      </c>
      <c r="H403">
        <v>1.0588234999999999</v>
      </c>
      <c r="I403">
        <v>-5.8823470000000003E-2</v>
      </c>
      <c r="J403">
        <v>0.48571429999999999</v>
      </c>
    </row>
    <row r="404" spans="1:10" x14ac:dyDescent="0.3">
      <c r="A404">
        <v>402</v>
      </c>
      <c r="B404">
        <v>6400</v>
      </c>
      <c r="C404" t="b">
        <v>1</v>
      </c>
      <c r="D404">
        <v>8042</v>
      </c>
      <c r="E404">
        <v>8117</v>
      </c>
      <c r="F404">
        <v>6.8</v>
      </c>
      <c r="G404">
        <v>7.2</v>
      </c>
      <c r="H404">
        <v>0.94444450000000002</v>
      </c>
      <c r="I404">
        <v>5.5555503999999999E-2</v>
      </c>
      <c r="J404">
        <v>0.51428569999999996</v>
      </c>
    </row>
    <row r="405" spans="1:10" x14ac:dyDescent="0.3">
      <c r="A405">
        <v>403</v>
      </c>
      <c r="B405">
        <v>6416</v>
      </c>
      <c r="C405" t="b">
        <v>1</v>
      </c>
      <c r="D405">
        <v>8048</v>
      </c>
      <c r="E405">
        <v>8123</v>
      </c>
      <c r="F405">
        <v>6.4</v>
      </c>
      <c r="G405">
        <v>7.6</v>
      </c>
      <c r="H405">
        <v>0.84210527000000002</v>
      </c>
      <c r="I405">
        <v>0.15789471999999999</v>
      </c>
      <c r="J405">
        <v>0.54285709999999998</v>
      </c>
    </row>
    <row r="406" spans="1:10" x14ac:dyDescent="0.3">
      <c r="A406">
        <v>404</v>
      </c>
      <c r="B406">
        <v>6432</v>
      </c>
      <c r="C406" t="b">
        <v>1</v>
      </c>
      <c r="D406">
        <v>8048</v>
      </c>
      <c r="E406">
        <v>8117</v>
      </c>
      <c r="F406">
        <v>6.4</v>
      </c>
      <c r="G406">
        <v>7.6</v>
      </c>
      <c r="H406">
        <v>0.84210527000000002</v>
      </c>
      <c r="I406">
        <v>0.15789471999999999</v>
      </c>
      <c r="J406">
        <v>0.54285709999999998</v>
      </c>
    </row>
    <row r="407" spans="1:10" x14ac:dyDescent="0.3">
      <c r="A407">
        <v>405</v>
      </c>
      <c r="B407">
        <v>6448</v>
      </c>
      <c r="C407" t="b">
        <v>1</v>
      </c>
      <c r="D407">
        <v>8048</v>
      </c>
      <c r="E407">
        <v>8123</v>
      </c>
      <c r="F407">
        <v>6.4</v>
      </c>
      <c r="G407">
        <v>7.6</v>
      </c>
      <c r="H407">
        <v>0.84210527000000002</v>
      </c>
      <c r="I407">
        <v>0.15789471999999999</v>
      </c>
      <c r="J407">
        <v>0.54285709999999998</v>
      </c>
    </row>
    <row r="408" spans="1:10" x14ac:dyDescent="0.3">
      <c r="A408">
        <v>406</v>
      </c>
      <c r="B408">
        <v>6464</v>
      </c>
      <c r="C408" t="b">
        <v>1</v>
      </c>
      <c r="D408">
        <v>8048</v>
      </c>
      <c r="E408">
        <v>8123</v>
      </c>
      <c r="F408">
        <v>6.4</v>
      </c>
      <c r="G408">
        <v>8</v>
      </c>
      <c r="H408">
        <v>0.8</v>
      </c>
      <c r="I408">
        <v>0.19999998999999999</v>
      </c>
      <c r="J408">
        <v>0.55555560000000004</v>
      </c>
    </row>
    <row r="409" spans="1:10" x14ac:dyDescent="0.3">
      <c r="A409">
        <v>407</v>
      </c>
      <c r="B409">
        <v>6480</v>
      </c>
      <c r="C409" t="b">
        <v>1</v>
      </c>
      <c r="D409">
        <v>8048</v>
      </c>
      <c r="E409">
        <v>8117</v>
      </c>
      <c r="F409">
        <v>6.4</v>
      </c>
      <c r="G409">
        <v>8.4</v>
      </c>
      <c r="H409">
        <v>0.76190484000000003</v>
      </c>
      <c r="I409">
        <v>0.23809520000000001</v>
      </c>
      <c r="J409">
        <v>0.56756759999999995</v>
      </c>
    </row>
    <row r="410" spans="1:10" x14ac:dyDescent="0.3">
      <c r="A410">
        <v>408</v>
      </c>
      <c r="B410">
        <v>6496</v>
      </c>
      <c r="C410" t="b">
        <v>1</v>
      </c>
      <c r="D410">
        <v>8042</v>
      </c>
      <c r="E410">
        <v>8123</v>
      </c>
      <c r="F410">
        <v>6.4</v>
      </c>
      <c r="G410">
        <v>8.8000000000000007</v>
      </c>
      <c r="H410">
        <v>0.72727275000000002</v>
      </c>
      <c r="I410">
        <v>0.27272728000000002</v>
      </c>
      <c r="J410">
        <v>0.57894736999999996</v>
      </c>
    </row>
    <row r="411" spans="1:10" x14ac:dyDescent="0.3">
      <c r="A411">
        <v>409</v>
      </c>
      <c r="B411">
        <v>6512</v>
      </c>
      <c r="C411" t="b">
        <v>1</v>
      </c>
      <c r="D411">
        <v>8042</v>
      </c>
      <c r="E411">
        <v>8123</v>
      </c>
      <c r="F411">
        <v>6.4</v>
      </c>
      <c r="G411">
        <v>9.1999999999999993</v>
      </c>
      <c r="H411">
        <v>0.69565220000000005</v>
      </c>
      <c r="I411">
        <v>0.3043478</v>
      </c>
      <c r="J411">
        <v>0.58974355000000001</v>
      </c>
    </row>
    <row r="412" spans="1:10" x14ac:dyDescent="0.3">
      <c r="A412">
        <v>410</v>
      </c>
      <c r="B412">
        <v>6527</v>
      </c>
      <c r="C412" t="b">
        <v>1</v>
      </c>
      <c r="D412">
        <v>8037</v>
      </c>
      <c r="E412">
        <v>8129</v>
      </c>
      <c r="F412">
        <v>6</v>
      </c>
      <c r="G412">
        <v>9.6</v>
      </c>
      <c r="H412">
        <v>0.625</v>
      </c>
      <c r="I412">
        <v>0.37500002999999998</v>
      </c>
      <c r="J412">
        <v>0.61538464000000004</v>
      </c>
    </row>
    <row r="413" spans="1:10" x14ac:dyDescent="0.3">
      <c r="A413">
        <v>411</v>
      </c>
      <c r="B413">
        <v>6543</v>
      </c>
      <c r="C413" t="b">
        <v>1</v>
      </c>
      <c r="D413">
        <v>8037</v>
      </c>
      <c r="E413">
        <v>8129</v>
      </c>
      <c r="F413">
        <v>5.6</v>
      </c>
      <c r="G413">
        <v>10</v>
      </c>
      <c r="H413">
        <v>0.56000000000000005</v>
      </c>
      <c r="I413">
        <v>0.44</v>
      </c>
      <c r="J413">
        <v>0.64102559999999997</v>
      </c>
    </row>
    <row r="414" spans="1:10" x14ac:dyDescent="0.3">
      <c r="A414">
        <v>412</v>
      </c>
      <c r="B414">
        <v>6559</v>
      </c>
      <c r="C414" t="b">
        <v>1</v>
      </c>
      <c r="D414">
        <v>8037</v>
      </c>
      <c r="E414">
        <v>8129</v>
      </c>
      <c r="F414">
        <v>4.8666669999999996</v>
      </c>
      <c r="G414">
        <v>10.8</v>
      </c>
      <c r="H414">
        <v>0.45061728000000001</v>
      </c>
      <c r="I414">
        <v>0.5493827</v>
      </c>
      <c r="J414">
        <v>0.68936169999999997</v>
      </c>
    </row>
    <row r="415" spans="1:10" x14ac:dyDescent="0.3">
      <c r="A415">
        <v>413</v>
      </c>
      <c r="B415">
        <v>6575</v>
      </c>
      <c r="C415" t="b">
        <v>1</v>
      </c>
      <c r="D415">
        <v>8042</v>
      </c>
      <c r="E415">
        <v>8123</v>
      </c>
      <c r="F415">
        <v>4.1333330000000004</v>
      </c>
      <c r="G415">
        <v>10.8</v>
      </c>
      <c r="H415">
        <v>0.38271602999999998</v>
      </c>
      <c r="I415">
        <v>0.61728393999999998</v>
      </c>
      <c r="J415">
        <v>0.72321427000000005</v>
      </c>
    </row>
    <row r="416" spans="1:10" x14ac:dyDescent="0.3">
      <c r="A416">
        <v>414</v>
      </c>
      <c r="B416">
        <v>6590</v>
      </c>
      <c r="C416" t="b">
        <v>1</v>
      </c>
      <c r="D416">
        <v>8048</v>
      </c>
      <c r="E416">
        <v>8117</v>
      </c>
      <c r="F416">
        <v>3.4</v>
      </c>
      <c r="G416">
        <v>10.8</v>
      </c>
      <c r="H416">
        <v>0.31481480000000001</v>
      </c>
      <c r="I416">
        <v>0.68518520000000005</v>
      </c>
      <c r="J416">
        <v>0.7605634</v>
      </c>
    </row>
    <row r="417" spans="1:10" x14ac:dyDescent="0.3">
      <c r="A417">
        <v>415</v>
      </c>
      <c r="B417">
        <v>6606</v>
      </c>
      <c r="C417" t="b">
        <v>1</v>
      </c>
      <c r="D417">
        <v>8042</v>
      </c>
      <c r="E417">
        <v>8117</v>
      </c>
      <c r="F417">
        <v>3.4</v>
      </c>
      <c r="G417">
        <v>10.4</v>
      </c>
      <c r="H417">
        <v>0.32692310000000002</v>
      </c>
      <c r="I417">
        <v>0.67307689999999998</v>
      </c>
      <c r="J417">
        <v>0.75362320000000005</v>
      </c>
    </row>
    <row r="418" spans="1:10" x14ac:dyDescent="0.3">
      <c r="A418">
        <v>416</v>
      </c>
      <c r="B418">
        <v>6622</v>
      </c>
      <c r="C418" t="b">
        <v>1</v>
      </c>
      <c r="D418">
        <v>8048</v>
      </c>
      <c r="E418">
        <v>8117</v>
      </c>
      <c r="F418">
        <v>3.4</v>
      </c>
      <c r="G418">
        <v>9.6</v>
      </c>
      <c r="H418">
        <v>0.35416666000000002</v>
      </c>
      <c r="I418">
        <v>0.64583330000000005</v>
      </c>
      <c r="J418">
        <v>0.73846155000000002</v>
      </c>
    </row>
    <row r="419" spans="1:10" x14ac:dyDescent="0.3">
      <c r="A419">
        <v>417</v>
      </c>
      <c r="B419">
        <v>6638</v>
      </c>
      <c r="C419" t="b">
        <v>1</v>
      </c>
      <c r="D419">
        <v>8048</v>
      </c>
      <c r="E419">
        <v>8117</v>
      </c>
      <c r="F419">
        <v>3.8</v>
      </c>
      <c r="G419">
        <v>8.8000000000000007</v>
      </c>
      <c r="H419">
        <v>0.43181816000000001</v>
      </c>
      <c r="I419">
        <v>0.56818179999999996</v>
      </c>
      <c r="J419">
        <v>0.6984127</v>
      </c>
    </row>
    <row r="420" spans="1:10" x14ac:dyDescent="0.3">
      <c r="A420">
        <v>418</v>
      </c>
      <c r="B420">
        <v>6654</v>
      </c>
      <c r="C420" t="b">
        <v>1</v>
      </c>
      <c r="D420">
        <v>8048</v>
      </c>
      <c r="E420">
        <v>8117</v>
      </c>
      <c r="F420">
        <v>4.2</v>
      </c>
      <c r="G420">
        <v>8</v>
      </c>
      <c r="H420">
        <v>0.52500000000000002</v>
      </c>
      <c r="I420">
        <v>0.47500002000000002</v>
      </c>
      <c r="J420">
        <v>0.65573769999999998</v>
      </c>
    </row>
    <row r="421" spans="1:10" x14ac:dyDescent="0.3">
      <c r="A421">
        <v>419</v>
      </c>
      <c r="B421">
        <v>6670</v>
      </c>
      <c r="C421" t="b">
        <v>1</v>
      </c>
      <c r="D421">
        <v>8042</v>
      </c>
      <c r="E421">
        <v>8123</v>
      </c>
      <c r="F421">
        <v>4.2</v>
      </c>
      <c r="G421">
        <v>7.6</v>
      </c>
      <c r="H421">
        <v>0.55263156000000002</v>
      </c>
      <c r="I421">
        <v>0.44736843999999998</v>
      </c>
      <c r="J421">
        <v>0.64406779999999997</v>
      </c>
    </row>
    <row r="422" spans="1:10" x14ac:dyDescent="0.3">
      <c r="A422">
        <v>420</v>
      </c>
      <c r="B422">
        <v>6685</v>
      </c>
      <c r="C422" t="b">
        <v>1</v>
      </c>
      <c r="D422">
        <v>8048</v>
      </c>
      <c r="E422">
        <v>8129</v>
      </c>
      <c r="F422">
        <v>4.2</v>
      </c>
      <c r="G422">
        <v>7.2</v>
      </c>
      <c r="H422">
        <v>0.58333330000000005</v>
      </c>
      <c r="I422">
        <v>0.4166667</v>
      </c>
      <c r="J422">
        <v>0.63157890000000005</v>
      </c>
    </row>
    <row r="423" spans="1:10" x14ac:dyDescent="0.3">
      <c r="A423">
        <v>421</v>
      </c>
      <c r="B423">
        <v>6701</v>
      </c>
      <c r="C423" t="b">
        <v>1</v>
      </c>
      <c r="D423">
        <v>8042</v>
      </c>
      <c r="E423">
        <v>8123</v>
      </c>
      <c r="F423">
        <v>4.2</v>
      </c>
      <c r="G423">
        <v>7.2</v>
      </c>
      <c r="H423">
        <v>0.58333330000000005</v>
      </c>
      <c r="I423">
        <v>0.4166667</v>
      </c>
      <c r="J423">
        <v>0.63157890000000005</v>
      </c>
    </row>
    <row r="424" spans="1:10" x14ac:dyDescent="0.3">
      <c r="A424">
        <v>422</v>
      </c>
      <c r="B424">
        <v>6717</v>
      </c>
      <c r="C424" t="b">
        <v>1</v>
      </c>
      <c r="D424">
        <v>8042</v>
      </c>
      <c r="E424">
        <v>8123</v>
      </c>
      <c r="F424">
        <v>3.8</v>
      </c>
      <c r="G424">
        <v>7.2</v>
      </c>
      <c r="H424">
        <v>0.52777779999999996</v>
      </c>
      <c r="I424">
        <v>0.47222219999999998</v>
      </c>
      <c r="J424">
        <v>0.65454540000000005</v>
      </c>
    </row>
    <row r="425" spans="1:10" x14ac:dyDescent="0.3">
      <c r="A425">
        <v>423</v>
      </c>
      <c r="B425">
        <v>6733</v>
      </c>
      <c r="C425" t="b">
        <v>1</v>
      </c>
      <c r="D425">
        <v>8048</v>
      </c>
      <c r="E425">
        <v>8123</v>
      </c>
      <c r="F425">
        <v>3.4</v>
      </c>
      <c r="G425">
        <v>7.2</v>
      </c>
      <c r="H425">
        <v>0.47222224000000002</v>
      </c>
      <c r="I425">
        <v>0.52777772999999994</v>
      </c>
      <c r="J425">
        <v>0.67924523000000003</v>
      </c>
    </row>
    <row r="426" spans="1:10" x14ac:dyDescent="0.3">
      <c r="A426">
        <v>424</v>
      </c>
      <c r="B426">
        <v>6749</v>
      </c>
      <c r="C426" t="b">
        <v>1</v>
      </c>
      <c r="D426">
        <v>8042</v>
      </c>
      <c r="E426">
        <v>8129</v>
      </c>
      <c r="F426">
        <v>3</v>
      </c>
      <c r="G426">
        <v>7.2</v>
      </c>
      <c r="H426">
        <v>0.4166667</v>
      </c>
      <c r="I426">
        <v>0.58333330000000005</v>
      </c>
      <c r="J426">
        <v>0.70588240000000002</v>
      </c>
    </row>
    <row r="427" spans="1:10" x14ac:dyDescent="0.3">
      <c r="A427">
        <v>425</v>
      </c>
      <c r="B427">
        <v>6764</v>
      </c>
      <c r="C427" t="b">
        <v>1</v>
      </c>
      <c r="D427">
        <v>8048</v>
      </c>
      <c r="E427">
        <v>8117</v>
      </c>
      <c r="F427">
        <v>3</v>
      </c>
      <c r="G427">
        <v>7.2</v>
      </c>
      <c r="H427">
        <v>0.4166667</v>
      </c>
      <c r="I427">
        <v>0.58333330000000005</v>
      </c>
      <c r="J427">
        <v>0.70588240000000002</v>
      </c>
    </row>
    <row r="428" spans="1:10" x14ac:dyDescent="0.3">
      <c r="A428">
        <v>426</v>
      </c>
      <c r="B428">
        <v>6780</v>
      </c>
      <c r="C428" t="b">
        <v>1</v>
      </c>
      <c r="D428">
        <v>8048</v>
      </c>
      <c r="E428">
        <v>8123</v>
      </c>
      <c r="F428">
        <v>3.4</v>
      </c>
      <c r="G428">
        <v>7.2</v>
      </c>
      <c r="H428">
        <v>0.47222224000000002</v>
      </c>
      <c r="I428">
        <v>0.52777772999999994</v>
      </c>
      <c r="J428">
        <v>0.67924523000000003</v>
      </c>
    </row>
    <row r="429" spans="1:10" x14ac:dyDescent="0.3">
      <c r="A429">
        <v>427</v>
      </c>
      <c r="B429">
        <v>6796</v>
      </c>
      <c r="C429" t="b">
        <v>1</v>
      </c>
      <c r="D429">
        <v>8048</v>
      </c>
      <c r="E429">
        <v>8123</v>
      </c>
      <c r="F429">
        <v>4.1333330000000004</v>
      </c>
      <c r="G429">
        <v>6.8</v>
      </c>
      <c r="H429">
        <v>0.60784309999999997</v>
      </c>
      <c r="I429">
        <v>0.39215689999999997</v>
      </c>
      <c r="J429">
        <v>0.62195120000000004</v>
      </c>
    </row>
    <row r="430" spans="1:10" x14ac:dyDescent="0.3">
      <c r="A430">
        <v>428</v>
      </c>
      <c r="B430">
        <v>6812</v>
      </c>
      <c r="C430" t="b">
        <v>1</v>
      </c>
      <c r="D430">
        <v>8048</v>
      </c>
      <c r="E430">
        <v>8123</v>
      </c>
      <c r="F430">
        <v>4.8666669999999996</v>
      </c>
      <c r="G430">
        <v>6.4</v>
      </c>
      <c r="H430">
        <v>0.76041669999999995</v>
      </c>
      <c r="I430">
        <v>0.23958333000000001</v>
      </c>
      <c r="J430">
        <v>0.56804734000000001</v>
      </c>
    </row>
    <row r="431" spans="1:10" x14ac:dyDescent="0.3">
      <c r="A431">
        <v>429</v>
      </c>
      <c r="B431">
        <v>6828</v>
      </c>
      <c r="C431" t="b">
        <v>1</v>
      </c>
      <c r="D431">
        <v>8048</v>
      </c>
      <c r="E431">
        <v>8129</v>
      </c>
      <c r="F431">
        <v>5.6</v>
      </c>
      <c r="G431">
        <v>6</v>
      </c>
      <c r="H431">
        <v>0.93333334000000001</v>
      </c>
      <c r="I431">
        <v>6.6666685000000003E-2</v>
      </c>
      <c r="J431">
        <v>0.51724135999999998</v>
      </c>
    </row>
    <row r="432" spans="1:10" x14ac:dyDescent="0.3">
      <c r="A432">
        <v>430</v>
      </c>
      <c r="B432">
        <v>6844</v>
      </c>
      <c r="C432" t="b">
        <v>1</v>
      </c>
      <c r="D432">
        <v>8048</v>
      </c>
      <c r="E432">
        <v>8123</v>
      </c>
      <c r="F432">
        <v>6</v>
      </c>
      <c r="G432">
        <v>6</v>
      </c>
      <c r="H432">
        <v>1</v>
      </c>
      <c r="I432">
        <v>0</v>
      </c>
      <c r="J432">
        <v>0.5</v>
      </c>
    </row>
    <row r="433" spans="1:10" x14ac:dyDescent="0.3">
      <c r="A433">
        <v>431</v>
      </c>
      <c r="B433">
        <v>6860</v>
      </c>
      <c r="C433" t="b">
        <v>1</v>
      </c>
      <c r="D433">
        <v>8048</v>
      </c>
      <c r="E433">
        <v>8123</v>
      </c>
      <c r="F433">
        <v>6.4</v>
      </c>
      <c r="G433">
        <v>6.4</v>
      </c>
      <c r="H433">
        <v>1</v>
      </c>
      <c r="I433">
        <v>0</v>
      </c>
      <c r="J433">
        <v>0.5</v>
      </c>
    </row>
    <row r="434" spans="1:10" x14ac:dyDescent="0.3">
      <c r="A434">
        <v>432</v>
      </c>
      <c r="B434">
        <v>6876</v>
      </c>
      <c r="C434" t="b">
        <v>1</v>
      </c>
      <c r="D434">
        <v>8048</v>
      </c>
      <c r="E434">
        <v>8117</v>
      </c>
      <c r="F434">
        <v>6.4</v>
      </c>
      <c r="G434">
        <v>6.8</v>
      </c>
      <c r="H434">
        <v>0.94117649999999997</v>
      </c>
      <c r="I434">
        <v>5.8823540000000001E-2</v>
      </c>
      <c r="J434">
        <v>0.51515149999999998</v>
      </c>
    </row>
    <row r="435" spans="1:10" x14ac:dyDescent="0.3">
      <c r="A435">
        <v>433</v>
      </c>
      <c r="B435">
        <v>6891</v>
      </c>
      <c r="C435" t="b">
        <v>1</v>
      </c>
      <c r="D435">
        <v>8048</v>
      </c>
      <c r="E435">
        <v>8129</v>
      </c>
      <c r="F435">
        <v>6.4</v>
      </c>
      <c r="G435">
        <v>7.2</v>
      </c>
      <c r="H435">
        <v>0.88888895999999995</v>
      </c>
      <c r="I435">
        <v>0.111111075</v>
      </c>
      <c r="J435">
        <v>0.52941172999999997</v>
      </c>
    </row>
    <row r="436" spans="1:10" x14ac:dyDescent="0.3">
      <c r="A436">
        <v>434</v>
      </c>
      <c r="B436">
        <v>6907</v>
      </c>
      <c r="C436" t="b">
        <v>1</v>
      </c>
      <c r="D436">
        <v>8048</v>
      </c>
      <c r="E436">
        <v>8134</v>
      </c>
      <c r="F436">
        <v>6.4</v>
      </c>
      <c r="G436">
        <v>7.6</v>
      </c>
      <c r="H436">
        <v>0.84210527000000002</v>
      </c>
      <c r="I436">
        <v>0.15789471999999999</v>
      </c>
      <c r="J436">
        <v>0.54285709999999998</v>
      </c>
    </row>
    <row r="437" spans="1:10" x14ac:dyDescent="0.3">
      <c r="A437">
        <v>435</v>
      </c>
      <c r="B437">
        <v>6923</v>
      </c>
      <c r="C437" t="b">
        <v>1</v>
      </c>
      <c r="D437">
        <v>8048</v>
      </c>
      <c r="E437">
        <v>8123</v>
      </c>
      <c r="F437">
        <v>6.4</v>
      </c>
      <c r="G437">
        <v>8</v>
      </c>
      <c r="H437">
        <v>0.8</v>
      </c>
      <c r="I437">
        <v>0.19999998999999999</v>
      </c>
      <c r="J437">
        <v>0.55555560000000004</v>
      </c>
    </row>
    <row r="438" spans="1:10" x14ac:dyDescent="0.3">
      <c r="A438">
        <v>436</v>
      </c>
      <c r="B438">
        <v>6938</v>
      </c>
      <c r="C438" t="b">
        <v>1</v>
      </c>
      <c r="D438">
        <v>8042</v>
      </c>
      <c r="E438">
        <v>8123</v>
      </c>
      <c r="F438">
        <v>6.4</v>
      </c>
      <c r="G438">
        <v>8</v>
      </c>
      <c r="H438">
        <v>0.8</v>
      </c>
      <c r="I438">
        <v>0.19999998999999999</v>
      </c>
      <c r="J438">
        <v>0.55555560000000004</v>
      </c>
    </row>
    <row r="439" spans="1:10" x14ac:dyDescent="0.3">
      <c r="A439">
        <v>437</v>
      </c>
      <c r="B439">
        <v>6954</v>
      </c>
      <c r="C439" t="b">
        <v>1</v>
      </c>
      <c r="D439">
        <v>8048</v>
      </c>
      <c r="E439">
        <v>8123</v>
      </c>
      <c r="F439">
        <v>6.8</v>
      </c>
      <c r="G439">
        <v>8</v>
      </c>
      <c r="H439">
        <v>0.85</v>
      </c>
      <c r="I439">
        <v>0.14999998</v>
      </c>
      <c r="J439">
        <v>0.54054049999999998</v>
      </c>
    </row>
    <row r="440" spans="1:10" x14ac:dyDescent="0.3">
      <c r="A440">
        <v>438</v>
      </c>
      <c r="B440">
        <v>6970</v>
      </c>
      <c r="C440" t="b">
        <v>1</v>
      </c>
      <c r="D440">
        <v>8048</v>
      </c>
      <c r="E440">
        <v>8123</v>
      </c>
      <c r="F440">
        <v>7.2</v>
      </c>
      <c r="G440">
        <v>8</v>
      </c>
      <c r="H440">
        <v>0.9</v>
      </c>
      <c r="I440">
        <v>0.10000002400000001</v>
      </c>
      <c r="J440">
        <v>0.5263158</v>
      </c>
    </row>
    <row r="441" spans="1:10" x14ac:dyDescent="0.3">
      <c r="A441">
        <v>439</v>
      </c>
      <c r="B441">
        <v>6986</v>
      </c>
      <c r="C441" t="b">
        <v>1</v>
      </c>
      <c r="D441">
        <v>8042</v>
      </c>
      <c r="E441">
        <v>8123</v>
      </c>
      <c r="F441">
        <v>7.6</v>
      </c>
      <c r="G441">
        <v>8</v>
      </c>
      <c r="H441">
        <v>0.95</v>
      </c>
      <c r="I441">
        <v>5.0000012000000003E-2</v>
      </c>
      <c r="J441">
        <v>0.51282050000000001</v>
      </c>
    </row>
    <row r="442" spans="1:10" x14ac:dyDescent="0.3">
      <c r="A442">
        <v>440</v>
      </c>
      <c r="B442">
        <v>7002</v>
      </c>
      <c r="C442" t="b">
        <v>1</v>
      </c>
      <c r="D442">
        <v>8048</v>
      </c>
      <c r="E442">
        <v>8123</v>
      </c>
      <c r="F442">
        <v>8</v>
      </c>
      <c r="G442">
        <v>8</v>
      </c>
      <c r="H442">
        <v>1</v>
      </c>
      <c r="I442">
        <v>0</v>
      </c>
      <c r="J442">
        <v>0.5</v>
      </c>
    </row>
    <row r="443" spans="1:10" x14ac:dyDescent="0.3">
      <c r="A443">
        <v>441</v>
      </c>
      <c r="B443">
        <v>7018</v>
      </c>
      <c r="C443" t="b">
        <v>1</v>
      </c>
      <c r="D443">
        <v>8048</v>
      </c>
      <c r="E443">
        <v>8123</v>
      </c>
      <c r="F443">
        <v>8</v>
      </c>
      <c r="G443">
        <v>8</v>
      </c>
      <c r="H443">
        <v>1</v>
      </c>
      <c r="I443">
        <v>0</v>
      </c>
      <c r="J443">
        <v>0.5</v>
      </c>
    </row>
    <row r="444" spans="1:10" x14ac:dyDescent="0.3">
      <c r="A444">
        <v>442</v>
      </c>
      <c r="B444">
        <v>7034</v>
      </c>
      <c r="C444" t="b">
        <v>1</v>
      </c>
      <c r="D444">
        <v>8042</v>
      </c>
      <c r="E444">
        <v>8123</v>
      </c>
      <c r="F444">
        <v>8</v>
      </c>
      <c r="G444">
        <v>8</v>
      </c>
      <c r="H444">
        <v>1</v>
      </c>
      <c r="I444">
        <v>0</v>
      </c>
      <c r="J444">
        <v>0.5</v>
      </c>
    </row>
    <row r="445" spans="1:10" x14ac:dyDescent="0.3">
      <c r="A445">
        <v>443</v>
      </c>
      <c r="B445">
        <v>7049</v>
      </c>
      <c r="C445" t="b">
        <v>1</v>
      </c>
      <c r="D445">
        <v>8048</v>
      </c>
      <c r="E445">
        <v>8123</v>
      </c>
      <c r="F445">
        <v>8</v>
      </c>
      <c r="G445">
        <v>8</v>
      </c>
      <c r="H445">
        <v>1</v>
      </c>
      <c r="I445">
        <v>0</v>
      </c>
      <c r="J445">
        <v>0.5</v>
      </c>
    </row>
    <row r="446" spans="1:10" x14ac:dyDescent="0.3">
      <c r="A446">
        <v>444</v>
      </c>
      <c r="B446">
        <v>7065</v>
      </c>
      <c r="C446" t="b">
        <v>1</v>
      </c>
      <c r="D446">
        <v>8042</v>
      </c>
      <c r="E446">
        <v>8123</v>
      </c>
      <c r="F446">
        <v>8</v>
      </c>
      <c r="G446">
        <v>8</v>
      </c>
      <c r="H446">
        <v>1</v>
      </c>
      <c r="I446">
        <v>0</v>
      </c>
      <c r="J446">
        <v>0.5</v>
      </c>
    </row>
    <row r="447" spans="1:10" x14ac:dyDescent="0.3">
      <c r="A447">
        <v>445</v>
      </c>
      <c r="B447">
        <v>7081</v>
      </c>
      <c r="C447" t="b">
        <v>1</v>
      </c>
      <c r="D447">
        <v>8048</v>
      </c>
      <c r="E447">
        <v>8129</v>
      </c>
      <c r="F447">
        <v>8</v>
      </c>
      <c r="G447">
        <v>8</v>
      </c>
      <c r="H447">
        <v>1</v>
      </c>
      <c r="I447">
        <v>0</v>
      </c>
      <c r="J447">
        <v>0.5</v>
      </c>
    </row>
    <row r="448" spans="1:10" x14ac:dyDescent="0.3">
      <c r="A448">
        <v>446</v>
      </c>
      <c r="B448">
        <v>7097</v>
      </c>
      <c r="C448" t="b">
        <v>1</v>
      </c>
      <c r="D448">
        <v>8048</v>
      </c>
      <c r="E448">
        <v>8129</v>
      </c>
      <c r="F448">
        <v>8</v>
      </c>
      <c r="G448">
        <v>8</v>
      </c>
      <c r="H448">
        <v>1</v>
      </c>
      <c r="I448">
        <v>0</v>
      </c>
      <c r="J448">
        <v>0.5</v>
      </c>
    </row>
    <row r="449" spans="1:10" x14ac:dyDescent="0.3">
      <c r="A449">
        <v>447</v>
      </c>
      <c r="B449">
        <v>7113</v>
      </c>
      <c r="C449" t="b">
        <v>1</v>
      </c>
      <c r="D449">
        <v>8048</v>
      </c>
      <c r="E449">
        <v>8134</v>
      </c>
      <c r="F449">
        <v>8</v>
      </c>
      <c r="G449">
        <v>8.4</v>
      </c>
      <c r="H449">
        <v>0.95238100000000003</v>
      </c>
      <c r="I449">
        <v>4.7619003999999999E-2</v>
      </c>
      <c r="J449">
        <v>0.51219510000000001</v>
      </c>
    </row>
    <row r="450" spans="1:10" x14ac:dyDescent="0.3">
      <c r="A450">
        <v>448</v>
      </c>
      <c r="B450">
        <v>7129</v>
      </c>
      <c r="C450" t="b">
        <v>1</v>
      </c>
      <c r="D450">
        <v>8048</v>
      </c>
      <c r="E450">
        <v>8129</v>
      </c>
      <c r="F450">
        <v>8</v>
      </c>
      <c r="G450">
        <v>8.8000000000000007</v>
      </c>
      <c r="H450">
        <v>0.90909090000000004</v>
      </c>
      <c r="I450">
        <v>9.0909110000000001E-2</v>
      </c>
      <c r="J450">
        <v>0.52380954999999996</v>
      </c>
    </row>
    <row r="451" spans="1:10" x14ac:dyDescent="0.3">
      <c r="A451">
        <v>449</v>
      </c>
      <c r="B451">
        <v>7145</v>
      </c>
      <c r="C451" t="b">
        <v>1</v>
      </c>
      <c r="D451">
        <v>8054</v>
      </c>
      <c r="E451">
        <v>8123</v>
      </c>
      <c r="F451">
        <v>8</v>
      </c>
      <c r="G451">
        <v>9.1999999999999993</v>
      </c>
      <c r="H451">
        <v>0.86956524999999996</v>
      </c>
      <c r="I451">
        <v>0.13043477000000001</v>
      </c>
      <c r="J451">
        <v>0.53488369999999996</v>
      </c>
    </row>
    <row r="452" spans="1:10" x14ac:dyDescent="0.3">
      <c r="A452">
        <v>450</v>
      </c>
      <c r="B452">
        <v>7160</v>
      </c>
      <c r="C452" t="b">
        <v>1</v>
      </c>
      <c r="D452">
        <v>8048</v>
      </c>
      <c r="E452">
        <v>8129</v>
      </c>
      <c r="F452">
        <v>8</v>
      </c>
      <c r="G452">
        <v>9.6</v>
      </c>
      <c r="H452">
        <v>0.83333330000000005</v>
      </c>
      <c r="I452">
        <v>0.1666667</v>
      </c>
      <c r="J452">
        <v>0.54545456000000003</v>
      </c>
    </row>
    <row r="453" spans="1:10" x14ac:dyDescent="0.3">
      <c r="A453">
        <v>451</v>
      </c>
      <c r="B453">
        <v>7176</v>
      </c>
      <c r="C453" t="b">
        <v>1</v>
      </c>
      <c r="D453">
        <v>8042</v>
      </c>
      <c r="E453">
        <v>8129</v>
      </c>
      <c r="F453">
        <v>8</v>
      </c>
      <c r="G453">
        <v>10</v>
      </c>
      <c r="H453">
        <v>0.8</v>
      </c>
      <c r="I453">
        <v>0.2</v>
      </c>
      <c r="J453">
        <v>0.55555560000000004</v>
      </c>
    </row>
    <row r="454" spans="1:10" x14ac:dyDescent="0.3">
      <c r="A454">
        <v>452</v>
      </c>
      <c r="B454">
        <v>7192</v>
      </c>
      <c r="C454" t="b">
        <v>1</v>
      </c>
      <c r="D454">
        <v>8048</v>
      </c>
      <c r="E454">
        <v>8129</v>
      </c>
      <c r="F454">
        <v>8</v>
      </c>
      <c r="G454">
        <v>10.4</v>
      </c>
      <c r="H454">
        <v>0.76923079999999999</v>
      </c>
      <c r="I454">
        <v>0.23076920000000001</v>
      </c>
      <c r="J454">
        <v>0.56521739999999998</v>
      </c>
    </row>
    <row r="455" spans="1:10" x14ac:dyDescent="0.3">
      <c r="A455">
        <v>453</v>
      </c>
      <c r="B455">
        <v>7208</v>
      </c>
      <c r="C455" t="b">
        <v>1</v>
      </c>
      <c r="D455">
        <v>8048</v>
      </c>
      <c r="E455">
        <v>8123</v>
      </c>
      <c r="F455">
        <v>8</v>
      </c>
      <c r="G455">
        <v>10.8</v>
      </c>
      <c r="H455">
        <v>0.74074070000000003</v>
      </c>
      <c r="I455">
        <v>0.25925927999999998</v>
      </c>
      <c r="J455">
        <v>0.57446814000000002</v>
      </c>
    </row>
    <row r="456" spans="1:10" x14ac:dyDescent="0.3">
      <c r="A456">
        <v>454</v>
      </c>
      <c r="B456">
        <v>7223</v>
      </c>
      <c r="C456" t="b">
        <v>1</v>
      </c>
      <c r="D456">
        <v>8048</v>
      </c>
      <c r="E456">
        <v>8123</v>
      </c>
      <c r="F456">
        <v>8</v>
      </c>
      <c r="G456">
        <v>11.2</v>
      </c>
      <c r="H456">
        <v>0.71428572999999995</v>
      </c>
      <c r="I456">
        <v>0.28571426999999999</v>
      </c>
      <c r="J456">
        <v>0.58333330000000005</v>
      </c>
    </row>
    <row r="457" spans="1:10" x14ac:dyDescent="0.3">
      <c r="A457">
        <v>455</v>
      </c>
      <c r="B457">
        <v>7239</v>
      </c>
      <c r="C457" t="b">
        <v>1</v>
      </c>
      <c r="D457">
        <v>8048</v>
      </c>
      <c r="E457">
        <v>8123</v>
      </c>
      <c r="F457">
        <v>8</v>
      </c>
      <c r="G457">
        <v>11.2</v>
      </c>
      <c r="H457">
        <v>0.71428572999999995</v>
      </c>
      <c r="I457">
        <v>0.28571426999999999</v>
      </c>
      <c r="J457">
        <v>0.58333330000000005</v>
      </c>
    </row>
    <row r="458" spans="1:10" x14ac:dyDescent="0.3">
      <c r="A458">
        <v>456</v>
      </c>
      <c r="B458">
        <v>7254</v>
      </c>
      <c r="C458" t="b">
        <v>1</v>
      </c>
      <c r="D458">
        <v>8048</v>
      </c>
      <c r="E458">
        <v>8123</v>
      </c>
      <c r="F458">
        <v>8</v>
      </c>
      <c r="G458">
        <v>11.2</v>
      </c>
      <c r="H458">
        <v>0.71428572999999995</v>
      </c>
      <c r="I458">
        <v>0.28571426999999999</v>
      </c>
      <c r="J458">
        <v>0.58333330000000005</v>
      </c>
    </row>
    <row r="459" spans="1:10" x14ac:dyDescent="0.3">
      <c r="A459">
        <v>457</v>
      </c>
      <c r="B459">
        <v>7270</v>
      </c>
      <c r="C459" t="b">
        <v>1</v>
      </c>
      <c r="D459">
        <v>8048</v>
      </c>
      <c r="E459">
        <v>8123</v>
      </c>
      <c r="F459">
        <v>8</v>
      </c>
      <c r="G459">
        <v>11.2</v>
      </c>
      <c r="H459">
        <v>0.71428572999999995</v>
      </c>
      <c r="I459">
        <v>0.28571426999999999</v>
      </c>
      <c r="J459">
        <v>0.58333330000000005</v>
      </c>
    </row>
    <row r="460" spans="1:10" x14ac:dyDescent="0.3">
      <c r="A460">
        <v>458</v>
      </c>
      <c r="B460">
        <v>7286</v>
      </c>
      <c r="C460" t="b">
        <v>1</v>
      </c>
      <c r="D460">
        <v>8048</v>
      </c>
      <c r="E460">
        <v>8123</v>
      </c>
      <c r="F460">
        <v>8</v>
      </c>
      <c r="G460">
        <v>11.2</v>
      </c>
      <c r="H460">
        <v>0.71428572999999995</v>
      </c>
      <c r="I460">
        <v>0.28571426999999999</v>
      </c>
      <c r="J460">
        <v>0.58333330000000005</v>
      </c>
    </row>
    <row r="461" spans="1:10" x14ac:dyDescent="0.3">
      <c r="A461">
        <v>459</v>
      </c>
      <c r="B461">
        <v>7302</v>
      </c>
      <c r="C461" t="b">
        <v>1</v>
      </c>
      <c r="D461">
        <v>8048</v>
      </c>
      <c r="E461">
        <v>8123</v>
      </c>
      <c r="F461">
        <v>8</v>
      </c>
      <c r="G461">
        <v>11.2</v>
      </c>
      <c r="H461">
        <v>0.71428572999999995</v>
      </c>
      <c r="I461">
        <v>0.28571426999999999</v>
      </c>
      <c r="J461">
        <v>0.58333330000000005</v>
      </c>
    </row>
    <row r="462" spans="1:10" x14ac:dyDescent="0.3">
      <c r="A462">
        <v>460</v>
      </c>
      <c r="B462">
        <v>7318</v>
      </c>
      <c r="C462" t="b">
        <v>1</v>
      </c>
      <c r="D462">
        <v>8048</v>
      </c>
      <c r="E462">
        <v>8123</v>
      </c>
      <c r="F462">
        <v>8</v>
      </c>
      <c r="G462">
        <v>11.2</v>
      </c>
      <c r="H462">
        <v>0.71428572999999995</v>
      </c>
      <c r="I462">
        <v>0.28571426999999999</v>
      </c>
      <c r="J462">
        <v>0.58333330000000005</v>
      </c>
    </row>
    <row r="463" spans="1:10" x14ac:dyDescent="0.3">
      <c r="A463">
        <v>461</v>
      </c>
      <c r="B463">
        <v>7333</v>
      </c>
      <c r="C463" t="b">
        <v>1</v>
      </c>
      <c r="D463">
        <v>8048</v>
      </c>
      <c r="E463">
        <v>8123</v>
      </c>
      <c r="F463">
        <v>8</v>
      </c>
      <c r="G463">
        <v>11.2</v>
      </c>
      <c r="H463">
        <v>0.71428572999999995</v>
      </c>
      <c r="I463">
        <v>0.28571426999999999</v>
      </c>
      <c r="J463">
        <v>0.58333330000000005</v>
      </c>
    </row>
    <row r="464" spans="1:10" x14ac:dyDescent="0.3">
      <c r="A464">
        <v>462</v>
      </c>
      <c r="B464">
        <v>7349</v>
      </c>
      <c r="C464" t="b">
        <v>1</v>
      </c>
      <c r="D464">
        <v>8048</v>
      </c>
      <c r="E464">
        <v>8129</v>
      </c>
      <c r="F464">
        <v>8</v>
      </c>
      <c r="G464">
        <v>10.8</v>
      </c>
      <c r="H464">
        <v>0.74074070000000003</v>
      </c>
      <c r="I464">
        <v>0.25925927999999998</v>
      </c>
      <c r="J464">
        <v>0.57446814000000002</v>
      </c>
    </row>
    <row r="465" spans="1:10" x14ac:dyDescent="0.3">
      <c r="A465">
        <v>463</v>
      </c>
      <c r="B465">
        <v>7365</v>
      </c>
      <c r="C465" t="b">
        <v>1</v>
      </c>
      <c r="D465">
        <v>8048</v>
      </c>
      <c r="E465">
        <v>8129</v>
      </c>
      <c r="F465">
        <v>8</v>
      </c>
      <c r="G465">
        <v>10.4</v>
      </c>
      <c r="H465">
        <v>0.76923079999999999</v>
      </c>
      <c r="I465">
        <v>0.23076920000000001</v>
      </c>
      <c r="J465">
        <v>0.56521739999999998</v>
      </c>
    </row>
    <row r="466" spans="1:10" x14ac:dyDescent="0.3">
      <c r="A466">
        <v>464</v>
      </c>
      <c r="B466">
        <v>7381</v>
      </c>
      <c r="C466" t="b">
        <v>1</v>
      </c>
      <c r="D466">
        <v>8048</v>
      </c>
      <c r="E466">
        <v>8129</v>
      </c>
      <c r="F466">
        <v>8</v>
      </c>
      <c r="G466">
        <v>10.4</v>
      </c>
      <c r="H466">
        <v>0.76923079999999999</v>
      </c>
      <c r="I466">
        <v>0.23076920000000001</v>
      </c>
      <c r="J466">
        <v>0.56521739999999998</v>
      </c>
    </row>
    <row r="467" spans="1:10" x14ac:dyDescent="0.3">
      <c r="A467">
        <v>465</v>
      </c>
      <c r="B467">
        <v>7397</v>
      </c>
      <c r="C467" t="b">
        <v>1</v>
      </c>
      <c r="D467">
        <v>8048</v>
      </c>
      <c r="E467">
        <v>8123</v>
      </c>
      <c r="F467">
        <v>8</v>
      </c>
      <c r="G467">
        <v>10.4</v>
      </c>
      <c r="H467">
        <v>0.76923079999999999</v>
      </c>
      <c r="I467">
        <v>0.23076920000000001</v>
      </c>
      <c r="J467">
        <v>0.56521739999999998</v>
      </c>
    </row>
    <row r="468" spans="1:10" x14ac:dyDescent="0.3">
      <c r="A468">
        <v>466</v>
      </c>
      <c r="B468">
        <v>7413</v>
      </c>
      <c r="C468" t="b">
        <v>1</v>
      </c>
      <c r="D468">
        <v>8048</v>
      </c>
      <c r="E468">
        <v>8123</v>
      </c>
      <c r="F468">
        <v>8</v>
      </c>
      <c r="G468">
        <v>10.4</v>
      </c>
      <c r="H468">
        <v>0.76923079999999999</v>
      </c>
      <c r="I468">
        <v>0.23076920000000001</v>
      </c>
      <c r="J468">
        <v>0.56521739999999998</v>
      </c>
    </row>
    <row r="469" spans="1:10" x14ac:dyDescent="0.3">
      <c r="A469">
        <v>467</v>
      </c>
      <c r="B469">
        <v>7429</v>
      </c>
      <c r="C469" t="b">
        <v>1</v>
      </c>
      <c r="D469">
        <v>8048</v>
      </c>
      <c r="E469">
        <v>8123</v>
      </c>
      <c r="F469">
        <v>8</v>
      </c>
      <c r="G469">
        <v>10</v>
      </c>
      <c r="H469">
        <v>0.8</v>
      </c>
      <c r="I469">
        <v>0.2</v>
      </c>
      <c r="J469">
        <v>0.55555560000000004</v>
      </c>
    </row>
    <row r="470" spans="1:10" x14ac:dyDescent="0.3">
      <c r="A470">
        <v>468</v>
      </c>
      <c r="B470">
        <v>7445</v>
      </c>
      <c r="C470" t="b">
        <v>1</v>
      </c>
      <c r="D470">
        <v>8048</v>
      </c>
      <c r="E470">
        <v>8123</v>
      </c>
      <c r="F470">
        <v>8</v>
      </c>
      <c r="G470">
        <v>9.6</v>
      </c>
      <c r="H470">
        <v>0.83333330000000005</v>
      </c>
      <c r="I470">
        <v>0.1666667</v>
      </c>
      <c r="J470">
        <v>0.54545456000000003</v>
      </c>
    </row>
    <row r="471" spans="1:10" x14ac:dyDescent="0.3">
      <c r="A471">
        <v>469</v>
      </c>
      <c r="B471">
        <v>7461</v>
      </c>
      <c r="C471" t="b">
        <v>1</v>
      </c>
      <c r="D471">
        <v>8048</v>
      </c>
      <c r="E471">
        <v>8129</v>
      </c>
      <c r="F471">
        <v>8</v>
      </c>
      <c r="G471">
        <v>9.1999999999999993</v>
      </c>
      <c r="H471">
        <v>0.86956524999999996</v>
      </c>
      <c r="I471">
        <v>0.13043477000000001</v>
      </c>
      <c r="J471">
        <v>0.53488369999999996</v>
      </c>
    </row>
    <row r="472" spans="1:10" x14ac:dyDescent="0.3">
      <c r="A472">
        <v>470</v>
      </c>
      <c r="B472">
        <v>7477</v>
      </c>
      <c r="C472" t="b">
        <v>1</v>
      </c>
      <c r="D472">
        <v>8048</v>
      </c>
      <c r="E472">
        <v>8129</v>
      </c>
      <c r="F472">
        <v>8</v>
      </c>
      <c r="G472">
        <v>9.1999999999999993</v>
      </c>
      <c r="H472">
        <v>0.86956524999999996</v>
      </c>
      <c r="I472">
        <v>0.13043477000000001</v>
      </c>
      <c r="J472">
        <v>0.53488369999999996</v>
      </c>
    </row>
    <row r="473" spans="1:10" x14ac:dyDescent="0.3">
      <c r="A473">
        <v>471</v>
      </c>
      <c r="B473">
        <v>7493</v>
      </c>
      <c r="C473" t="b">
        <v>1</v>
      </c>
      <c r="D473">
        <v>8054</v>
      </c>
      <c r="E473">
        <v>8129</v>
      </c>
      <c r="F473">
        <v>8</v>
      </c>
      <c r="G473">
        <v>9.6</v>
      </c>
      <c r="H473">
        <v>0.83333330000000005</v>
      </c>
      <c r="I473">
        <v>0.1666667</v>
      </c>
      <c r="J473">
        <v>0.54545456000000003</v>
      </c>
    </row>
    <row r="474" spans="1:10" x14ac:dyDescent="0.3">
      <c r="A474">
        <v>472</v>
      </c>
      <c r="B474">
        <v>7509</v>
      </c>
      <c r="C474" t="b">
        <v>1</v>
      </c>
      <c r="D474">
        <v>8042</v>
      </c>
      <c r="E474">
        <v>8129</v>
      </c>
      <c r="F474">
        <v>8</v>
      </c>
      <c r="G474">
        <v>10</v>
      </c>
      <c r="H474">
        <v>0.8</v>
      </c>
      <c r="I474">
        <v>0.2</v>
      </c>
      <c r="J474">
        <v>0.55555560000000004</v>
      </c>
    </row>
    <row r="475" spans="1:10" x14ac:dyDescent="0.3">
      <c r="A475">
        <v>473</v>
      </c>
      <c r="B475">
        <v>7525</v>
      </c>
      <c r="C475" t="b">
        <v>1</v>
      </c>
      <c r="D475">
        <v>8042</v>
      </c>
      <c r="E475">
        <v>8123</v>
      </c>
      <c r="F475">
        <v>8</v>
      </c>
      <c r="G475">
        <v>10.4</v>
      </c>
      <c r="H475">
        <v>0.76923079999999999</v>
      </c>
      <c r="I475">
        <v>0.23076920000000001</v>
      </c>
      <c r="J475">
        <v>0.56521739999999998</v>
      </c>
    </row>
    <row r="476" spans="1:10" x14ac:dyDescent="0.3">
      <c r="A476">
        <v>474</v>
      </c>
      <c r="B476">
        <v>7540</v>
      </c>
      <c r="C476" t="b">
        <v>1</v>
      </c>
      <c r="D476">
        <v>8042</v>
      </c>
      <c r="E476">
        <v>8129</v>
      </c>
      <c r="F476">
        <v>7.6</v>
      </c>
      <c r="G476">
        <v>10.8</v>
      </c>
      <c r="H476">
        <v>0.70370370000000004</v>
      </c>
      <c r="I476">
        <v>0.29629633</v>
      </c>
      <c r="J476">
        <v>0.58695655999999996</v>
      </c>
    </row>
    <row r="477" spans="1:10" x14ac:dyDescent="0.3">
      <c r="A477">
        <v>475</v>
      </c>
      <c r="B477">
        <v>7556</v>
      </c>
      <c r="C477" t="b">
        <v>1</v>
      </c>
      <c r="D477">
        <v>8042</v>
      </c>
      <c r="E477">
        <v>8123</v>
      </c>
      <c r="F477">
        <v>7.2</v>
      </c>
      <c r="G477">
        <v>11.2</v>
      </c>
      <c r="H477">
        <v>0.64285713</v>
      </c>
      <c r="I477">
        <v>0.35714287</v>
      </c>
      <c r="J477">
        <v>0.6086956</v>
      </c>
    </row>
    <row r="478" spans="1:10" x14ac:dyDescent="0.3">
      <c r="A478">
        <v>476</v>
      </c>
      <c r="B478">
        <v>7572</v>
      </c>
      <c r="C478" t="b">
        <v>1</v>
      </c>
      <c r="D478">
        <v>8042</v>
      </c>
      <c r="E478">
        <v>8123</v>
      </c>
      <c r="F478">
        <v>6.8</v>
      </c>
      <c r="G478">
        <v>11.2</v>
      </c>
      <c r="H478">
        <v>0.60714287</v>
      </c>
      <c r="I478">
        <v>0.39285710000000001</v>
      </c>
      <c r="J478">
        <v>0.62222219999999995</v>
      </c>
    </row>
    <row r="479" spans="1:10" x14ac:dyDescent="0.3">
      <c r="A479">
        <v>477</v>
      </c>
      <c r="B479">
        <v>7587</v>
      </c>
      <c r="C479" t="b">
        <v>1</v>
      </c>
      <c r="D479">
        <v>8042</v>
      </c>
      <c r="E479">
        <v>8129</v>
      </c>
      <c r="F479">
        <v>6.4</v>
      </c>
      <c r="G479">
        <v>11.2</v>
      </c>
      <c r="H479">
        <v>0.57142859999999995</v>
      </c>
      <c r="I479">
        <v>0.42857139999999999</v>
      </c>
      <c r="J479">
        <v>0.63636360000000003</v>
      </c>
    </row>
    <row r="480" spans="1:10" x14ac:dyDescent="0.3">
      <c r="A480">
        <v>478</v>
      </c>
      <c r="B480">
        <v>7604</v>
      </c>
      <c r="C480" t="b">
        <v>1</v>
      </c>
      <c r="D480">
        <v>8042</v>
      </c>
      <c r="E480">
        <v>8123</v>
      </c>
      <c r="F480">
        <v>6</v>
      </c>
      <c r="G480">
        <v>11.2</v>
      </c>
      <c r="H480">
        <v>0.53571427000000005</v>
      </c>
      <c r="I480">
        <v>0.46428570000000002</v>
      </c>
      <c r="J480">
        <v>0.65116273999999996</v>
      </c>
    </row>
    <row r="481" spans="1:10" x14ac:dyDescent="0.3">
      <c r="A481">
        <v>479</v>
      </c>
      <c r="B481">
        <v>7620</v>
      </c>
      <c r="C481" t="b">
        <v>1</v>
      </c>
      <c r="D481">
        <v>8042</v>
      </c>
      <c r="E481">
        <v>8123</v>
      </c>
      <c r="F481">
        <v>5.6</v>
      </c>
      <c r="G481">
        <v>10.8</v>
      </c>
      <c r="H481">
        <v>0.51851849999999999</v>
      </c>
      <c r="I481">
        <v>0.48148150000000001</v>
      </c>
      <c r="J481">
        <v>0.65853660000000003</v>
      </c>
    </row>
    <row r="482" spans="1:10" x14ac:dyDescent="0.3">
      <c r="A482">
        <v>480</v>
      </c>
      <c r="B482">
        <v>7635</v>
      </c>
      <c r="C482" t="b">
        <v>1</v>
      </c>
      <c r="D482">
        <v>8042</v>
      </c>
      <c r="E482">
        <v>8123</v>
      </c>
      <c r="F482">
        <v>5.2</v>
      </c>
      <c r="G482">
        <v>10.4</v>
      </c>
      <c r="H482">
        <v>0.5</v>
      </c>
      <c r="I482">
        <v>0.5</v>
      </c>
      <c r="J482">
        <v>0.66666669999999995</v>
      </c>
    </row>
    <row r="483" spans="1:10" x14ac:dyDescent="0.3">
      <c r="A483">
        <v>481</v>
      </c>
      <c r="B483">
        <v>7651</v>
      </c>
      <c r="C483" t="b">
        <v>1</v>
      </c>
      <c r="D483">
        <v>8042</v>
      </c>
      <c r="E483">
        <v>8123</v>
      </c>
      <c r="F483">
        <v>4.8</v>
      </c>
      <c r="G483">
        <v>10</v>
      </c>
      <c r="H483">
        <v>0.48000002000000003</v>
      </c>
      <c r="I483">
        <v>0.52</v>
      </c>
      <c r="J483">
        <v>0.67567569999999999</v>
      </c>
    </row>
    <row r="484" spans="1:10" x14ac:dyDescent="0.3">
      <c r="A484">
        <v>482</v>
      </c>
      <c r="B484">
        <v>7667</v>
      </c>
      <c r="C484" t="b">
        <v>1</v>
      </c>
      <c r="D484">
        <v>8048</v>
      </c>
      <c r="E484">
        <v>8123</v>
      </c>
      <c r="F484">
        <v>4.4000000000000004</v>
      </c>
      <c r="G484">
        <v>10</v>
      </c>
      <c r="H484">
        <v>0.44</v>
      </c>
      <c r="I484">
        <v>0.56000000000000005</v>
      </c>
      <c r="J484">
        <v>0.69444450000000002</v>
      </c>
    </row>
    <row r="485" spans="1:10" x14ac:dyDescent="0.3">
      <c r="A485">
        <v>483</v>
      </c>
      <c r="B485">
        <v>7683</v>
      </c>
      <c r="C485" t="b">
        <v>1</v>
      </c>
      <c r="D485">
        <v>8042</v>
      </c>
      <c r="E485">
        <v>8123</v>
      </c>
      <c r="F485">
        <v>4</v>
      </c>
      <c r="G485">
        <v>10</v>
      </c>
      <c r="H485">
        <v>0.4</v>
      </c>
      <c r="I485">
        <v>0.6</v>
      </c>
      <c r="J485">
        <v>0.71428572999999995</v>
      </c>
    </row>
    <row r="486" spans="1:10" x14ac:dyDescent="0.3">
      <c r="A486">
        <v>484</v>
      </c>
      <c r="B486">
        <v>7699</v>
      </c>
      <c r="C486" t="b">
        <v>1</v>
      </c>
      <c r="D486">
        <v>8048</v>
      </c>
      <c r="E486">
        <v>8123</v>
      </c>
      <c r="F486">
        <v>3.6</v>
      </c>
      <c r="G486">
        <v>10</v>
      </c>
      <c r="H486">
        <v>0.35999998</v>
      </c>
      <c r="I486">
        <v>0.64</v>
      </c>
      <c r="J486">
        <v>0.73529409999999995</v>
      </c>
    </row>
    <row r="487" spans="1:10" x14ac:dyDescent="0.3">
      <c r="A487">
        <v>485</v>
      </c>
      <c r="B487">
        <v>7715</v>
      </c>
      <c r="C487" t="b">
        <v>1</v>
      </c>
      <c r="D487">
        <v>8048</v>
      </c>
      <c r="E487">
        <v>8123</v>
      </c>
      <c r="F487">
        <v>3.6</v>
      </c>
      <c r="G487">
        <v>10</v>
      </c>
      <c r="H487">
        <v>0.35999998</v>
      </c>
      <c r="I487">
        <v>0.64</v>
      </c>
      <c r="J487">
        <v>0.73529409999999995</v>
      </c>
    </row>
    <row r="488" spans="1:10" x14ac:dyDescent="0.3">
      <c r="A488">
        <v>486</v>
      </c>
      <c r="B488">
        <v>7731</v>
      </c>
      <c r="C488" t="b">
        <v>1</v>
      </c>
      <c r="D488">
        <v>8048</v>
      </c>
      <c r="E488">
        <v>8123</v>
      </c>
      <c r="F488">
        <v>3.6</v>
      </c>
      <c r="G488">
        <v>9.6</v>
      </c>
      <c r="H488">
        <v>0.37499997000000002</v>
      </c>
      <c r="I488">
        <v>0.625</v>
      </c>
      <c r="J488">
        <v>0.72727269999999999</v>
      </c>
    </row>
    <row r="489" spans="1:10" x14ac:dyDescent="0.3">
      <c r="A489">
        <v>487</v>
      </c>
      <c r="B489">
        <v>7747</v>
      </c>
      <c r="C489" t="b">
        <v>1</v>
      </c>
      <c r="D489">
        <v>8042</v>
      </c>
      <c r="E489">
        <v>8123</v>
      </c>
      <c r="F489">
        <v>3.6</v>
      </c>
      <c r="G489">
        <v>9.1999999999999993</v>
      </c>
      <c r="H489">
        <v>0.39130433999999997</v>
      </c>
      <c r="I489">
        <v>0.6086956</v>
      </c>
      <c r="J489">
        <v>0.71875</v>
      </c>
    </row>
    <row r="490" spans="1:10" x14ac:dyDescent="0.3">
      <c r="A490">
        <v>488</v>
      </c>
      <c r="B490">
        <v>7763</v>
      </c>
      <c r="C490" t="b">
        <v>1</v>
      </c>
      <c r="D490">
        <v>8048</v>
      </c>
      <c r="E490">
        <v>8123</v>
      </c>
      <c r="F490">
        <v>3.6</v>
      </c>
      <c r="G490">
        <v>8.8000000000000007</v>
      </c>
      <c r="H490">
        <v>0.40909087999999999</v>
      </c>
      <c r="I490">
        <v>0.59090909999999996</v>
      </c>
      <c r="J490">
        <v>0.70967745999999998</v>
      </c>
    </row>
    <row r="491" spans="1:10" x14ac:dyDescent="0.3">
      <c r="A491">
        <v>489</v>
      </c>
      <c r="B491">
        <v>7779</v>
      </c>
      <c r="C491" t="b">
        <v>1</v>
      </c>
      <c r="D491">
        <v>8048</v>
      </c>
      <c r="E491">
        <v>8123</v>
      </c>
      <c r="F491">
        <v>4</v>
      </c>
      <c r="G491">
        <v>8.4</v>
      </c>
      <c r="H491">
        <v>0.47619050000000002</v>
      </c>
      <c r="I491">
        <v>0.52380950000000004</v>
      </c>
      <c r="J491">
        <v>0.67741936000000003</v>
      </c>
    </row>
    <row r="492" spans="1:10" x14ac:dyDescent="0.3">
      <c r="A492">
        <v>490</v>
      </c>
      <c r="B492">
        <v>7795</v>
      </c>
      <c r="C492" t="b">
        <v>1</v>
      </c>
      <c r="D492">
        <v>8048</v>
      </c>
      <c r="E492">
        <v>8123</v>
      </c>
      <c r="F492">
        <v>4.4000000000000004</v>
      </c>
      <c r="G492">
        <v>8</v>
      </c>
      <c r="H492">
        <v>0.55000000000000004</v>
      </c>
      <c r="I492">
        <v>0.45</v>
      </c>
      <c r="J492">
        <v>0.64516132999999998</v>
      </c>
    </row>
    <row r="493" spans="1:10" x14ac:dyDescent="0.3">
      <c r="A493">
        <v>491</v>
      </c>
      <c r="B493">
        <v>7811</v>
      </c>
      <c r="C493" t="b">
        <v>1</v>
      </c>
      <c r="D493">
        <v>8048</v>
      </c>
      <c r="E493">
        <v>8129</v>
      </c>
      <c r="F493">
        <v>4.8</v>
      </c>
      <c r="G493">
        <v>8</v>
      </c>
      <c r="H493">
        <v>0.6</v>
      </c>
      <c r="I493">
        <v>0.39999997999999998</v>
      </c>
      <c r="J493">
        <v>0.625</v>
      </c>
    </row>
    <row r="494" spans="1:10" x14ac:dyDescent="0.3">
      <c r="A494">
        <v>492</v>
      </c>
      <c r="B494">
        <v>7826</v>
      </c>
      <c r="C494" t="b">
        <v>1</v>
      </c>
      <c r="D494">
        <v>8054</v>
      </c>
      <c r="E494">
        <v>8123</v>
      </c>
      <c r="F494">
        <v>5.2</v>
      </c>
      <c r="G494">
        <v>8</v>
      </c>
      <c r="H494">
        <v>0.65</v>
      </c>
      <c r="I494">
        <v>0.35000002000000002</v>
      </c>
      <c r="J494">
        <v>0.60606059999999995</v>
      </c>
    </row>
    <row r="495" spans="1:10" x14ac:dyDescent="0.3">
      <c r="A495">
        <v>493</v>
      </c>
      <c r="B495">
        <v>7843</v>
      </c>
      <c r="C495" t="b">
        <v>1</v>
      </c>
      <c r="D495">
        <v>8048</v>
      </c>
      <c r="E495">
        <v>8123</v>
      </c>
      <c r="F495">
        <v>5.6</v>
      </c>
      <c r="G495">
        <v>8</v>
      </c>
      <c r="H495">
        <v>0.7</v>
      </c>
      <c r="I495">
        <v>0.3</v>
      </c>
      <c r="J495">
        <v>0.58823526000000004</v>
      </c>
    </row>
    <row r="496" spans="1:10" x14ac:dyDescent="0.3">
      <c r="A496">
        <v>494</v>
      </c>
      <c r="B496">
        <v>7858</v>
      </c>
      <c r="C496" t="b">
        <v>1</v>
      </c>
      <c r="D496">
        <v>8048</v>
      </c>
      <c r="E496">
        <v>8123</v>
      </c>
      <c r="F496">
        <v>6</v>
      </c>
      <c r="G496">
        <v>8</v>
      </c>
      <c r="H496">
        <v>0.75</v>
      </c>
      <c r="I496">
        <v>0.25</v>
      </c>
      <c r="J496">
        <v>0.57142859999999995</v>
      </c>
    </row>
    <row r="497" spans="1:10" x14ac:dyDescent="0.3">
      <c r="A497">
        <v>495</v>
      </c>
      <c r="B497">
        <v>7874</v>
      </c>
      <c r="C497" t="b">
        <v>1</v>
      </c>
      <c r="D497">
        <v>8048</v>
      </c>
      <c r="E497">
        <v>8129</v>
      </c>
      <c r="F497">
        <v>6.4</v>
      </c>
      <c r="G497">
        <v>8</v>
      </c>
      <c r="H497">
        <v>0.8</v>
      </c>
      <c r="I497">
        <v>0.19999998999999999</v>
      </c>
      <c r="J497">
        <v>0.55555560000000004</v>
      </c>
    </row>
    <row r="498" spans="1:10" x14ac:dyDescent="0.3">
      <c r="A498">
        <v>496</v>
      </c>
      <c r="B498">
        <v>7890</v>
      </c>
      <c r="C498" t="b">
        <v>1</v>
      </c>
      <c r="D498">
        <v>8048</v>
      </c>
      <c r="E498">
        <v>8123</v>
      </c>
      <c r="F498">
        <v>6.8</v>
      </c>
      <c r="G498">
        <v>8</v>
      </c>
      <c r="H498">
        <v>0.85</v>
      </c>
      <c r="I498">
        <v>0.14999998</v>
      </c>
      <c r="J498">
        <v>0.54054049999999998</v>
      </c>
    </row>
    <row r="499" spans="1:10" x14ac:dyDescent="0.3">
      <c r="A499">
        <v>497</v>
      </c>
      <c r="B499">
        <v>7905</v>
      </c>
      <c r="C499" t="b">
        <v>1</v>
      </c>
      <c r="D499">
        <v>8048</v>
      </c>
      <c r="E499">
        <v>8123</v>
      </c>
      <c r="F499">
        <v>7.2</v>
      </c>
      <c r="G499">
        <v>8</v>
      </c>
      <c r="H499">
        <v>0.9</v>
      </c>
      <c r="I499">
        <v>0.10000002400000001</v>
      </c>
      <c r="J499">
        <v>0.5263158</v>
      </c>
    </row>
    <row r="500" spans="1:10" x14ac:dyDescent="0.3">
      <c r="A500">
        <v>498</v>
      </c>
      <c r="B500">
        <v>7921</v>
      </c>
      <c r="C500" t="b">
        <v>1</v>
      </c>
      <c r="D500">
        <v>8048</v>
      </c>
      <c r="E500">
        <v>8123</v>
      </c>
      <c r="F500">
        <v>7.6</v>
      </c>
      <c r="G500">
        <v>8</v>
      </c>
      <c r="H500">
        <v>0.95</v>
      </c>
      <c r="I500">
        <v>5.0000012000000003E-2</v>
      </c>
      <c r="J500">
        <v>0.51282050000000001</v>
      </c>
    </row>
    <row r="501" spans="1:10" x14ac:dyDescent="0.3">
      <c r="A501">
        <v>499</v>
      </c>
      <c r="B501">
        <v>7937</v>
      </c>
      <c r="C501" t="b">
        <v>1</v>
      </c>
      <c r="D501">
        <v>8048</v>
      </c>
      <c r="E501">
        <v>8134</v>
      </c>
      <c r="F501">
        <v>8</v>
      </c>
      <c r="G501">
        <v>8</v>
      </c>
      <c r="H501">
        <v>1</v>
      </c>
      <c r="I501">
        <v>0</v>
      </c>
      <c r="J501">
        <v>0.5</v>
      </c>
    </row>
    <row r="502" spans="1:10" x14ac:dyDescent="0.3">
      <c r="A502">
        <v>500</v>
      </c>
      <c r="B502">
        <v>7953</v>
      </c>
      <c r="C502" t="b">
        <v>1</v>
      </c>
      <c r="D502">
        <v>8048</v>
      </c>
      <c r="E502">
        <v>8123</v>
      </c>
      <c r="F502">
        <v>8</v>
      </c>
      <c r="G502">
        <v>8</v>
      </c>
      <c r="H502">
        <v>1</v>
      </c>
      <c r="I502">
        <v>0</v>
      </c>
      <c r="J502">
        <v>0.5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B637-8E8E-4ED8-B7C6-DCBA0DE51A6A}">
  <dimension ref="A1:J505"/>
  <sheetViews>
    <sheetView topLeftCell="A485" workbookViewId="0">
      <selection activeCell="E508" sqref="E508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18</v>
      </c>
      <c r="C3" t="b">
        <v>1</v>
      </c>
      <c r="D3">
        <v>8048</v>
      </c>
      <c r="E3">
        <v>8129</v>
      </c>
      <c r="F3">
        <v>8</v>
      </c>
      <c r="G3">
        <v>11</v>
      </c>
      <c r="H3">
        <v>0.72727275000000002</v>
      </c>
      <c r="I3">
        <v>0.27272728000000002</v>
      </c>
      <c r="J3">
        <v>0.57894736999999996</v>
      </c>
    </row>
    <row r="4" spans="1:10" x14ac:dyDescent="0.3">
      <c r="A4">
        <v>2</v>
      </c>
      <c r="B4">
        <v>33</v>
      </c>
      <c r="C4" t="b">
        <v>1</v>
      </c>
      <c r="D4">
        <v>8048</v>
      </c>
      <c r="E4">
        <v>8134</v>
      </c>
      <c r="F4">
        <v>8</v>
      </c>
      <c r="G4">
        <v>12</v>
      </c>
      <c r="H4">
        <v>0.66666669999999995</v>
      </c>
      <c r="I4">
        <v>0.33333333999999998</v>
      </c>
      <c r="J4">
        <v>0.6</v>
      </c>
    </row>
    <row r="5" spans="1:10" x14ac:dyDescent="0.3">
      <c r="A5">
        <v>3</v>
      </c>
      <c r="B5">
        <v>49</v>
      </c>
      <c r="C5" t="b">
        <v>1</v>
      </c>
      <c r="D5">
        <v>8048</v>
      </c>
      <c r="E5">
        <v>8123</v>
      </c>
      <c r="F5">
        <v>8</v>
      </c>
      <c r="G5">
        <v>12.5</v>
      </c>
      <c r="H5">
        <v>0.64</v>
      </c>
      <c r="I5">
        <v>0.36</v>
      </c>
      <c r="J5">
        <v>0.60975610000000002</v>
      </c>
    </row>
    <row r="6" spans="1:10" x14ac:dyDescent="0.3">
      <c r="A6">
        <v>4</v>
      </c>
      <c r="B6">
        <v>65</v>
      </c>
      <c r="C6" t="b">
        <v>1</v>
      </c>
      <c r="D6">
        <v>8048</v>
      </c>
      <c r="E6">
        <v>8134</v>
      </c>
      <c r="F6">
        <v>8</v>
      </c>
      <c r="G6">
        <v>12.8</v>
      </c>
      <c r="H6">
        <v>0.625</v>
      </c>
      <c r="I6">
        <v>0.375</v>
      </c>
      <c r="J6">
        <v>0.61538464000000004</v>
      </c>
    </row>
    <row r="7" spans="1:10" x14ac:dyDescent="0.3">
      <c r="A7">
        <v>5</v>
      </c>
      <c r="B7">
        <v>81</v>
      </c>
      <c r="C7" t="b">
        <v>1</v>
      </c>
      <c r="D7">
        <v>8042</v>
      </c>
      <c r="E7">
        <v>8134</v>
      </c>
      <c r="F7">
        <v>8</v>
      </c>
      <c r="G7">
        <v>13.833333</v>
      </c>
      <c r="H7">
        <v>0.57831330000000003</v>
      </c>
      <c r="I7">
        <v>0.42168674</v>
      </c>
      <c r="J7">
        <v>0.63358784000000001</v>
      </c>
    </row>
    <row r="8" spans="1:10" x14ac:dyDescent="0.3">
      <c r="A8">
        <v>6</v>
      </c>
      <c r="B8">
        <v>97</v>
      </c>
      <c r="C8" t="b">
        <v>1</v>
      </c>
      <c r="D8">
        <v>8048</v>
      </c>
      <c r="E8">
        <v>8129</v>
      </c>
      <c r="F8">
        <v>8</v>
      </c>
      <c r="G8">
        <v>14.571427999999999</v>
      </c>
      <c r="H8">
        <v>0.54901962999999998</v>
      </c>
      <c r="I8">
        <v>0.4509804</v>
      </c>
      <c r="J8">
        <v>0.64556959999999997</v>
      </c>
    </row>
    <row r="9" spans="1:10" x14ac:dyDescent="0.3">
      <c r="A9">
        <v>7</v>
      </c>
      <c r="B9">
        <v>113</v>
      </c>
      <c r="C9" t="b">
        <v>1</v>
      </c>
      <c r="D9">
        <v>8048</v>
      </c>
      <c r="E9">
        <v>8129</v>
      </c>
      <c r="F9">
        <v>8</v>
      </c>
      <c r="G9">
        <v>14.5</v>
      </c>
      <c r="H9">
        <v>0.55172414000000003</v>
      </c>
      <c r="I9">
        <v>0.44827586000000003</v>
      </c>
      <c r="J9">
        <v>0.64444447000000005</v>
      </c>
    </row>
    <row r="10" spans="1:10" x14ac:dyDescent="0.3">
      <c r="A10">
        <v>8</v>
      </c>
      <c r="B10">
        <v>129</v>
      </c>
      <c r="C10" t="b">
        <v>1</v>
      </c>
      <c r="D10">
        <v>8048</v>
      </c>
      <c r="E10">
        <v>8123</v>
      </c>
      <c r="F10">
        <v>8</v>
      </c>
      <c r="G10">
        <v>14.444445</v>
      </c>
      <c r="H10">
        <v>0.55384610000000001</v>
      </c>
      <c r="I10">
        <v>0.44615385000000002</v>
      </c>
      <c r="J10">
        <v>0.64356433999999996</v>
      </c>
    </row>
    <row r="11" spans="1:10" x14ac:dyDescent="0.3">
      <c r="A11">
        <v>9</v>
      </c>
      <c r="B11">
        <v>145</v>
      </c>
      <c r="C11" t="b">
        <v>1</v>
      </c>
      <c r="D11">
        <v>8048</v>
      </c>
      <c r="E11">
        <v>8123</v>
      </c>
      <c r="F11">
        <v>8</v>
      </c>
      <c r="G11">
        <v>14.4</v>
      </c>
      <c r="H11">
        <v>0.55555560000000004</v>
      </c>
      <c r="I11">
        <v>0.44444442000000001</v>
      </c>
      <c r="J11">
        <v>0.64285713</v>
      </c>
    </row>
    <row r="12" spans="1:10" x14ac:dyDescent="0.3">
      <c r="A12">
        <v>10</v>
      </c>
      <c r="B12">
        <v>161</v>
      </c>
      <c r="C12" t="b">
        <v>1</v>
      </c>
      <c r="D12">
        <v>8048</v>
      </c>
      <c r="E12">
        <v>8123</v>
      </c>
      <c r="F12">
        <v>8</v>
      </c>
      <c r="G12">
        <v>13.818182</v>
      </c>
      <c r="H12">
        <v>0.57894736999999996</v>
      </c>
      <c r="I12">
        <v>0.42105262999999998</v>
      </c>
      <c r="J12">
        <v>0.63333329999999999</v>
      </c>
    </row>
    <row r="13" spans="1:10" x14ac:dyDescent="0.3">
      <c r="A13">
        <v>11</v>
      </c>
      <c r="B13">
        <v>176</v>
      </c>
      <c r="C13" t="b">
        <v>1</v>
      </c>
      <c r="D13">
        <v>8042</v>
      </c>
      <c r="E13">
        <v>8123</v>
      </c>
      <c r="F13">
        <v>8</v>
      </c>
      <c r="G13">
        <v>13.333333</v>
      </c>
      <c r="H13">
        <v>0.6</v>
      </c>
      <c r="I13">
        <v>0.39999997999999998</v>
      </c>
      <c r="J13">
        <v>0.625</v>
      </c>
    </row>
    <row r="14" spans="1:10" x14ac:dyDescent="0.3">
      <c r="A14">
        <v>12</v>
      </c>
      <c r="B14">
        <v>192</v>
      </c>
      <c r="C14" t="b">
        <v>1</v>
      </c>
      <c r="D14">
        <v>8048</v>
      </c>
      <c r="E14">
        <v>8134</v>
      </c>
      <c r="F14">
        <v>8</v>
      </c>
      <c r="G14">
        <v>12.923076999999999</v>
      </c>
      <c r="H14">
        <v>0.61904764000000001</v>
      </c>
      <c r="I14">
        <v>0.38095235999999999</v>
      </c>
      <c r="J14">
        <v>0.61764704999999998</v>
      </c>
    </row>
    <row r="15" spans="1:10" x14ac:dyDescent="0.3">
      <c r="A15">
        <v>13</v>
      </c>
      <c r="B15">
        <v>208</v>
      </c>
      <c r="C15" t="b">
        <v>1</v>
      </c>
      <c r="D15">
        <v>8048</v>
      </c>
      <c r="E15">
        <v>8123</v>
      </c>
      <c r="F15">
        <v>8</v>
      </c>
      <c r="G15">
        <v>12.571427999999999</v>
      </c>
      <c r="H15">
        <v>0.63636360000000003</v>
      </c>
      <c r="I15">
        <v>0.36363634</v>
      </c>
      <c r="J15">
        <v>0.61111110000000002</v>
      </c>
    </row>
    <row r="16" spans="1:10" x14ac:dyDescent="0.3">
      <c r="A16">
        <v>14</v>
      </c>
      <c r="B16">
        <v>224</v>
      </c>
      <c r="C16" t="b">
        <v>1</v>
      </c>
      <c r="D16">
        <v>8048</v>
      </c>
      <c r="E16">
        <v>8123</v>
      </c>
      <c r="F16">
        <v>8</v>
      </c>
      <c r="G16">
        <v>12.266666000000001</v>
      </c>
      <c r="H16">
        <v>0.65217393999999995</v>
      </c>
      <c r="I16">
        <v>0.34782605999999999</v>
      </c>
      <c r="J16">
        <v>0.6052632</v>
      </c>
    </row>
    <row r="17" spans="1:10" x14ac:dyDescent="0.3">
      <c r="A17">
        <v>15</v>
      </c>
      <c r="B17">
        <v>240</v>
      </c>
      <c r="C17" t="b">
        <v>1</v>
      </c>
      <c r="D17">
        <v>8042</v>
      </c>
      <c r="E17">
        <v>8123</v>
      </c>
      <c r="F17">
        <v>8</v>
      </c>
      <c r="G17">
        <v>12.266666000000001</v>
      </c>
      <c r="H17">
        <v>0.65217393999999995</v>
      </c>
      <c r="I17">
        <v>0.34782605999999999</v>
      </c>
      <c r="J17">
        <v>0.6052632</v>
      </c>
    </row>
    <row r="18" spans="1:10" x14ac:dyDescent="0.3">
      <c r="A18">
        <v>16</v>
      </c>
      <c r="B18">
        <v>255</v>
      </c>
      <c r="C18" t="b">
        <v>1</v>
      </c>
      <c r="D18">
        <v>8042</v>
      </c>
      <c r="E18">
        <v>8123</v>
      </c>
      <c r="F18">
        <v>8</v>
      </c>
      <c r="G18">
        <v>11.866667</v>
      </c>
      <c r="H18">
        <v>0.67415729999999996</v>
      </c>
      <c r="I18">
        <v>0.32584269999999999</v>
      </c>
      <c r="J18">
        <v>0.59731542999999998</v>
      </c>
    </row>
    <row r="19" spans="1:10" x14ac:dyDescent="0.3">
      <c r="A19">
        <v>17</v>
      </c>
      <c r="B19">
        <v>271</v>
      </c>
      <c r="C19" t="b">
        <v>1</v>
      </c>
      <c r="D19">
        <v>8042</v>
      </c>
      <c r="E19">
        <v>8123</v>
      </c>
      <c r="F19">
        <v>7.6</v>
      </c>
      <c r="G19">
        <v>11.466666</v>
      </c>
      <c r="H19">
        <v>0.66279069999999995</v>
      </c>
      <c r="I19">
        <v>0.33720928</v>
      </c>
      <c r="J19">
        <v>0.60139860000000001</v>
      </c>
    </row>
    <row r="20" spans="1:10" x14ac:dyDescent="0.3">
      <c r="A20">
        <v>18</v>
      </c>
      <c r="B20">
        <v>287</v>
      </c>
      <c r="C20" t="b">
        <v>1</v>
      </c>
      <c r="D20">
        <v>8048</v>
      </c>
      <c r="E20">
        <v>8123</v>
      </c>
      <c r="F20">
        <v>7.2</v>
      </c>
      <c r="G20">
        <v>11.066667000000001</v>
      </c>
      <c r="H20">
        <v>0.65060240000000003</v>
      </c>
      <c r="I20">
        <v>0.34939759999999997</v>
      </c>
      <c r="J20">
        <v>0.60583942999999996</v>
      </c>
    </row>
    <row r="21" spans="1:10" x14ac:dyDescent="0.3">
      <c r="A21">
        <v>19</v>
      </c>
      <c r="B21">
        <v>303</v>
      </c>
      <c r="C21" t="b">
        <v>1</v>
      </c>
      <c r="D21">
        <v>8042</v>
      </c>
      <c r="E21">
        <v>8123</v>
      </c>
      <c r="F21">
        <v>6.8</v>
      </c>
      <c r="G21">
        <v>10.666667</v>
      </c>
      <c r="H21">
        <v>0.63749999999999996</v>
      </c>
      <c r="I21">
        <v>0.36249999999999999</v>
      </c>
      <c r="J21">
        <v>0.61068699999999998</v>
      </c>
    </row>
    <row r="22" spans="1:10" x14ac:dyDescent="0.3">
      <c r="A22">
        <v>20</v>
      </c>
      <c r="B22">
        <v>319</v>
      </c>
      <c r="C22" t="b">
        <v>1</v>
      </c>
      <c r="D22">
        <v>8048</v>
      </c>
      <c r="E22">
        <v>8123</v>
      </c>
      <c r="F22">
        <v>6.4</v>
      </c>
      <c r="G22">
        <v>9.9333329999999993</v>
      </c>
      <c r="H22">
        <v>0.64429533000000005</v>
      </c>
      <c r="I22">
        <v>0.35570469999999998</v>
      </c>
      <c r="J22">
        <v>0.60816323999999999</v>
      </c>
    </row>
    <row r="23" spans="1:10" x14ac:dyDescent="0.3">
      <c r="A23">
        <v>21</v>
      </c>
      <c r="B23">
        <v>335</v>
      </c>
      <c r="C23" t="b">
        <v>1</v>
      </c>
      <c r="D23">
        <v>8048</v>
      </c>
      <c r="E23">
        <v>8129</v>
      </c>
      <c r="F23">
        <v>6.4</v>
      </c>
      <c r="G23">
        <v>9.1999999999999993</v>
      </c>
      <c r="H23">
        <v>0.69565220000000005</v>
      </c>
      <c r="I23">
        <v>0.3043478</v>
      </c>
      <c r="J23">
        <v>0.58974355000000001</v>
      </c>
    </row>
    <row r="24" spans="1:10" x14ac:dyDescent="0.3">
      <c r="A24">
        <v>22</v>
      </c>
      <c r="B24">
        <v>351</v>
      </c>
      <c r="C24" t="b">
        <v>1</v>
      </c>
      <c r="D24">
        <v>8048</v>
      </c>
      <c r="E24">
        <v>8129</v>
      </c>
      <c r="F24">
        <v>6.4</v>
      </c>
      <c r="G24">
        <v>8.8000000000000007</v>
      </c>
      <c r="H24">
        <v>0.72727275000000002</v>
      </c>
      <c r="I24">
        <v>0.27272728000000002</v>
      </c>
      <c r="J24">
        <v>0.57894736999999996</v>
      </c>
    </row>
    <row r="25" spans="1:10" x14ac:dyDescent="0.3">
      <c r="A25">
        <v>23</v>
      </c>
      <c r="B25">
        <v>367</v>
      </c>
      <c r="C25" t="b">
        <v>1</v>
      </c>
      <c r="D25">
        <v>8042</v>
      </c>
      <c r="E25">
        <v>8123</v>
      </c>
      <c r="F25">
        <v>6.4</v>
      </c>
      <c r="G25">
        <v>8.4</v>
      </c>
      <c r="H25">
        <v>0.76190484000000003</v>
      </c>
      <c r="I25">
        <v>0.23809520000000001</v>
      </c>
      <c r="J25">
        <v>0.56756759999999995</v>
      </c>
    </row>
    <row r="26" spans="1:10" x14ac:dyDescent="0.3">
      <c r="A26">
        <v>24</v>
      </c>
      <c r="B26">
        <v>383</v>
      </c>
      <c r="C26" t="b">
        <v>1</v>
      </c>
      <c r="D26">
        <v>8048</v>
      </c>
      <c r="E26">
        <v>8123</v>
      </c>
      <c r="F26">
        <v>6.4</v>
      </c>
      <c r="G26">
        <v>8</v>
      </c>
      <c r="H26">
        <v>0.8</v>
      </c>
      <c r="I26">
        <v>0.19999998999999999</v>
      </c>
      <c r="J26">
        <v>0.55555560000000004</v>
      </c>
    </row>
    <row r="27" spans="1:10" x14ac:dyDescent="0.3">
      <c r="A27">
        <v>25</v>
      </c>
      <c r="B27">
        <v>399</v>
      </c>
      <c r="C27" t="b">
        <v>1</v>
      </c>
      <c r="D27">
        <v>8042</v>
      </c>
      <c r="E27">
        <v>8123</v>
      </c>
      <c r="F27">
        <v>6.4</v>
      </c>
      <c r="G27">
        <v>8</v>
      </c>
      <c r="H27">
        <v>0.8</v>
      </c>
      <c r="I27">
        <v>0.19999998999999999</v>
      </c>
      <c r="J27">
        <v>0.55555560000000004</v>
      </c>
    </row>
    <row r="28" spans="1:10" x14ac:dyDescent="0.3">
      <c r="A28">
        <v>26</v>
      </c>
      <c r="B28">
        <v>415</v>
      </c>
      <c r="C28" t="b">
        <v>1</v>
      </c>
      <c r="D28">
        <v>8048</v>
      </c>
      <c r="E28">
        <v>8123</v>
      </c>
      <c r="F28">
        <v>6.4</v>
      </c>
      <c r="G28">
        <v>8</v>
      </c>
      <c r="H28">
        <v>0.8</v>
      </c>
      <c r="I28">
        <v>0.19999998999999999</v>
      </c>
      <c r="J28">
        <v>0.55555560000000004</v>
      </c>
    </row>
    <row r="29" spans="1:10" x14ac:dyDescent="0.3">
      <c r="A29">
        <v>27</v>
      </c>
      <c r="B29">
        <v>431</v>
      </c>
      <c r="C29" t="b">
        <v>1</v>
      </c>
      <c r="D29">
        <v>8042</v>
      </c>
      <c r="E29">
        <v>8123</v>
      </c>
      <c r="F29">
        <v>6</v>
      </c>
      <c r="G29">
        <v>8</v>
      </c>
      <c r="H29">
        <v>0.75</v>
      </c>
      <c r="I29">
        <v>0.25</v>
      </c>
      <c r="J29">
        <v>0.57142859999999995</v>
      </c>
    </row>
    <row r="30" spans="1:10" x14ac:dyDescent="0.3">
      <c r="A30">
        <v>28</v>
      </c>
      <c r="B30">
        <v>447</v>
      </c>
      <c r="C30" t="b">
        <v>1</v>
      </c>
      <c r="D30">
        <v>8048</v>
      </c>
      <c r="E30">
        <v>8129</v>
      </c>
      <c r="F30">
        <v>6</v>
      </c>
      <c r="G30">
        <v>8</v>
      </c>
      <c r="H30">
        <v>0.75</v>
      </c>
      <c r="I30">
        <v>0.25</v>
      </c>
      <c r="J30">
        <v>0.57142859999999995</v>
      </c>
    </row>
    <row r="31" spans="1:10" x14ac:dyDescent="0.3">
      <c r="A31">
        <v>29</v>
      </c>
      <c r="B31">
        <v>462</v>
      </c>
      <c r="C31" t="b">
        <v>1</v>
      </c>
      <c r="D31">
        <v>8042</v>
      </c>
      <c r="E31">
        <v>8123</v>
      </c>
      <c r="F31">
        <v>5.6</v>
      </c>
      <c r="G31">
        <v>8</v>
      </c>
      <c r="H31">
        <v>0.7</v>
      </c>
      <c r="I31">
        <v>0.3</v>
      </c>
      <c r="J31">
        <v>0.58823526000000004</v>
      </c>
    </row>
    <row r="32" spans="1:10" x14ac:dyDescent="0.3">
      <c r="A32">
        <v>30</v>
      </c>
      <c r="B32">
        <v>478</v>
      </c>
      <c r="C32" t="b">
        <v>1</v>
      </c>
      <c r="D32">
        <v>8048</v>
      </c>
      <c r="E32">
        <v>8123</v>
      </c>
      <c r="F32">
        <v>5.6</v>
      </c>
      <c r="G32">
        <v>8</v>
      </c>
      <c r="H32">
        <v>0.7</v>
      </c>
      <c r="I32">
        <v>0.3</v>
      </c>
      <c r="J32">
        <v>0.58823526000000004</v>
      </c>
    </row>
    <row r="33" spans="1:10" x14ac:dyDescent="0.3">
      <c r="A33">
        <v>31</v>
      </c>
      <c r="B33">
        <v>494</v>
      </c>
      <c r="C33" t="b">
        <v>1</v>
      </c>
      <c r="D33">
        <v>8042</v>
      </c>
      <c r="E33">
        <v>8129</v>
      </c>
      <c r="F33">
        <v>5.2</v>
      </c>
      <c r="G33">
        <v>8</v>
      </c>
      <c r="H33">
        <v>0.65</v>
      </c>
      <c r="I33">
        <v>0.35000002000000002</v>
      </c>
      <c r="J33">
        <v>0.60606059999999995</v>
      </c>
    </row>
    <row r="34" spans="1:10" x14ac:dyDescent="0.3">
      <c r="A34">
        <v>32</v>
      </c>
      <c r="B34">
        <v>510</v>
      </c>
      <c r="C34" t="b">
        <v>1</v>
      </c>
      <c r="D34">
        <v>8048</v>
      </c>
      <c r="E34">
        <v>8123</v>
      </c>
      <c r="F34">
        <v>5.6</v>
      </c>
      <c r="G34">
        <v>8</v>
      </c>
      <c r="H34">
        <v>0.7</v>
      </c>
      <c r="I34">
        <v>0.3</v>
      </c>
      <c r="J34">
        <v>0.58823526000000004</v>
      </c>
    </row>
    <row r="35" spans="1:10" x14ac:dyDescent="0.3">
      <c r="A35">
        <v>33</v>
      </c>
      <c r="B35">
        <v>526</v>
      </c>
      <c r="C35" t="b">
        <v>1</v>
      </c>
      <c r="D35">
        <v>8048</v>
      </c>
      <c r="E35">
        <v>8123</v>
      </c>
      <c r="F35">
        <v>6</v>
      </c>
      <c r="G35">
        <v>8</v>
      </c>
      <c r="H35">
        <v>0.75</v>
      </c>
      <c r="I35">
        <v>0.25</v>
      </c>
      <c r="J35">
        <v>0.57142859999999995</v>
      </c>
    </row>
    <row r="36" spans="1:10" x14ac:dyDescent="0.3">
      <c r="A36">
        <v>34</v>
      </c>
      <c r="B36">
        <v>542</v>
      </c>
      <c r="C36" t="b">
        <v>1</v>
      </c>
      <c r="D36">
        <v>8048</v>
      </c>
      <c r="E36">
        <v>8123</v>
      </c>
      <c r="F36">
        <v>6.4</v>
      </c>
      <c r="G36">
        <v>8</v>
      </c>
      <c r="H36">
        <v>0.8</v>
      </c>
      <c r="I36">
        <v>0.19999998999999999</v>
      </c>
      <c r="J36">
        <v>0.55555560000000004</v>
      </c>
    </row>
    <row r="37" spans="1:10" x14ac:dyDescent="0.3">
      <c r="A37">
        <v>35</v>
      </c>
      <c r="B37">
        <v>558</v>
      </c>
      <c r="C37" t="b">
        <v>1</v>
      </c>
      <c r="D37">
        <v>8048</v>
      </c>
      <c r="E37">
        <v>8123</v>
      </c>
      <c r="F37">
        <v>6.8</v>
      </c>
      <c r="G37">
        <v>8</v>
      </c>
      <c r="H37">
        <v>0.85</v>
      </c>
      <c r="I37">
        <v>0.14999998</v>
      </c>
      <c r="J37">
        <v>0.54054049999999998</v>
      </c>
    </row>
    <row r="38" spans="1:10" x14ac:dyDescent="0.3">
      <c r="A38">
        <v>36</v>
      </c>
      <c r="B38">
        <v>573</v>
      </c>
      <c r="C38" t="b">
        <v>1</v>
      </c>
      <c r="D38">
        <v>8042</v>
      </c>
      <c r="E38">
        <v>8123</v>
      </c>
      <c r="F38">
        <v>6.8</v>
      </c>
      <c r="G38">
        <v>8</v>
      </c>
      <c r="H38">
        <v>0.85</v>
      </c>
      <c r="I38">
        <v>0.14999998</v>
      </c>
      <c r="J38">
        <v>0.54054049999999998</v>
      </c>
    </row>
    <row r="39" spans="1:10" x14ac:dyDescent="0.3">
      <c r="A39">
        <v>37</v>
      </c>
      <c r="B39">
        <v>589</v>
      </c>
      <c r="C39" t="b">
        <v>1</v>
      </c>
      <c r="D39">
        <v>8048</v>
      </c>
      <c r="E39">
        <v>8123</v>
      </c>
      <c r="F39">
        <v>6.8</v>
      </c>
      <c r="G39">
        <v>8</v>
      </c>
      <c r="H39">
        <v>0.85</v>
      </c>
      <c r="I39">
        <v>0.14999998</v>
      </c>
      <c r="J39">
        <v>0.54054049999999998</v>
      </c>
    </row>
    <row r="40" spans="1:10" x14ac:dyDescent="0.3">
      <c r="A40">
        <v>38</v>
      </c>
      <c r="B40">
        <v>605</v>
      </c>
      <c r="C40" t="b">
        <v>1</v>
      </c>
      <c r="D40">
        <v>8048</v>
      </c>
      <c r="E40">
        <v>8129</v>
      </c>
      <c r="F40">
        <v>6.8</v>
      </c>
      <c r="G40">
        <v>8</v>
      </c>
      <c r="H40">
        <v>0.85</v>
      </c>
      <c r="I40">
        <v>0.14999998</v>
      </c>
      <c r="J40">
        <v>0.54054049999999998</v>
      </c>
    </row>
    <row r="41" spans="1:10" x14ac:dyDescent="0.3">
      <c r="A41">
        <v>39</v>
      </c>
      <c r="B41">
        <v>621</v>
      </c>
      <c r="C41" t="b">
        <v>1</v>
      </c>
      <c r="D41">
        <v>8048</v>
      </c>
      <c r="E41">
        <v>8129</v>
      </c>
      <c r="F41">
        <v>6.8</v>
      </c>
      <c r="G41">
        <v>8</v>
      </c>
      <c r="H41">
        <v>0.85</v>
      </c>
      <c r="I41">
        <v>0.14999998</v>
      </c>
      <c r="J41">
        <v>0.54054049999999998</v>
      </c>
    </row>
    <row r="42" spans="1:10" x14ac:dyDescent="0.3">
      <c r="A42">
        <v>40</v>
      </c>
      <c r="B42">
        <v>637</v>
      </c>
      <c r="C42" t="b">
        <v>1</v>
      </c>
      <c r="D42">
        <v>8042</v>
      </c>
      <c r="E42">
        <v>8129</v>
      </c>
      <c r="F42">
        <v>6.8</v>
      </c>
      <c r="G42">
        <v>8.4</v>
      </c>
      <c r="H42">
        <v>0.80952389999999996</v>
      </c>
      <c r="I42">
        <v>0.19047612999999999</v>
      </c>
      <c r="J42">
        <v>0.55263156000000002</v>
      </c>
    </row>
    <row r="43" spans="1:10" x14ac:dyDescent="0.3">
      <c r="A43">
        <v>41</v>
      </c>
      <c r="B43">
        <v>652</v>
      </c>
      <c r="C43" t="b">
        <v>1</v>
      </c>
      <c r="D43">
        <v>8042</v>
      </c>
      <c r="E43">
        <v>8129</v>
      </c>
      <c r="F43">
        <v>6.8</v>
      </c>
      <c r="G43">
        <v>8.8000000000000007</v>
      </c>
      <c r="H43">
        <v>0.77272724999999998</v>
      </c>
      <c r="I43">
        <v>0.22727272000000001</v>
      </c>
      <c r="J43">
        <v>0.56410260000000001</v>
      </c>
    </row>
    <row r="44" spans="1:10" x14ac:dyDescent="0.3">
      <c r="A44">
        <v>42</v>
      </c>
      <c r="B44">
        <v>669</v>
      </c>
      <c r="C44" t="b">
        <v>1</v>
      </c>
      <c r="D44">
        <v>8048</v>
      </c>
      <c r="E44">
        <v>8123</v>
      </c>
      <c r="F44">
        <v>7.2</v>
      </c>
      <c r="G44">
        <v>9.1999999999999993</v>
      </c>
      <c r="H44">
        <v>0.78260870000000005</v>
      </c>
      <c r="I44">
        <v>0.21739131</v>
      </c>
      <c r="J44">
        <v>0.56097560000000002</v>
      </c>
    </row>
    <row r="45" spans="1:10" x14ac:dyDescent="0.3">
      <c r="A45">
        <v>43</v>
      </c>
      <c r="B45">
        <v>684</v>
      </c>
      <c r="C45" t="b">
        <v>1</v>
      </c>
      <c r="D45">
        <v>8048</v>
      </c>
      <c r="E45">
        <v>8129</v>
      </c>
      <c r="F45">
        <v>7.2</v>
      </c>
      <c r="G45">
        <v>9.6</v>
      </c>
      <c r="H45">
        <v>0.74999994000000003</v>
      </c>
      <c r="I45">
        <v>0.25000006000000002</v>
      </c>
      <c r="J45">
        <v>0.57142859999999995</v>
      </c>
    </row>
    <row r="46" spans="1:10" x14ac:dyDescent="0.3">
      <c r="A46">
        <v>44</v>
      </c>
      <c r="B46">
        <v>700</v>
      </c>
      <c r="C46" t="b">
        <v>1</v>
      </c>
      <c r="D46">
        <v>8042</v>
      </c>
      <c r="E46">
        <v>8134</v>
      </c>
      <c r="F46">
        <v>7.2</v>
      </c>
      <c r="G46">
        <v>10</v>
      </c>
      <c r="H46">
        <v>0.71999997000000004</v>
      </c>
      <c r="I46">
        <v>0.28000003000000001</v>
      </c>
      <c r="J46">
        <v>0.58139529999999995</v>
      </c>
    </row>
    <row r="47" spans="1:10" x14ac:dyDescent="0.3">
      <c r="A47">
        <v>45</v>
      </c>
      <c r="B47">
        <v>716</v>
      </c>
      <c r="C47" t="b">
        <v>1</v>
      </c>
      <c r="D47">
        <v>8042</v>
      </c>
      <c r="E47">
        <v>8123</v>
      </c>
      <c r="F47">
        <v>6.8</v>
      </c>
      <c r="G47">
        <v>10.4</v>
      </c>
      <c r="H47">
        <v>0.65384620000000004</v>
      </c>
      <c r="I47">
        <v>0.34615380000000001</v>
      </c>
      <c r="J47">
        <v>0.6046511</v>
      </c>
    </row>
    <row r="48" spans="1:10" x14ac:dyDescent="0.3">
      <c r="A48">
        <v>46</v>
      </c>
      <c r="B48">
        <v>732</v>
      </c>
      <c r="C48" t="b">
        <v>1</v>
      </c>
      <c r="D48">
        <v>8042</v>
      </c>
      <c r="E48">
        <v>8123</v>
      </c>
      <c r="F48">
        <v>6.8</v>
      </c>
      <c r="G48">
        <v>10.4</v>
      </c>
      <c r="H48">
        <v>0.65384620000000004</v>
      </c>
      <c r="I48">
        <v>0.34615380000000001</v>
      </c>
      <c r="J48">
        <v>0.6046511</v>
      </c>
    </row>
    <row r="49" spans="1:10" x14ac:dyDescent="0.3">
      <c r="A49">
        <v>47</v>
      </c>
      <c r="B49">
        <v>748</v>
      </c>
      <c r="C49" t="b">
        <v>1</v>
      </c>
      <c r="D49">
        <v>8048</v>
      </c>
      <c r="E49">
        <v>8123</v>
      </c>
      <c r="F49">
        <v>6.4</v>
      </c>
      <c r="G49">
        <v>10.4</v>
      </c>
      <c r="H49">
        <v>0.61538464000000004</v>
      </c>
      <c r="I49">
        <v>0.38461536000000002</v>
      </c>
      <c r="J49">
        <v>0.61904764000000001</v>
      </c>
    </row>
    <row r="50" spans="1:10" x14ac:dyDescent="0.3">
      <c r="A50">
        <v>48</v>
      </c>
      <c r="B50">
        <v>763</v>
      </c>
      <c r="C50" t="b">
        <v>1</v>
      </c>
      <c r="D50">
        <v>8048</v>
      </c>
      <c r="E50">
        <v>8123</v>
      </c>
      <c r="F50">
        <v>6</v>
      </c>
      <c r="G50">
        <v>10.4</v>
      </c>
      <c r="H50">
        <v>0.57692310000000002</v>
      </c>
      <c r="I50">
        <v>0.42307689999999998</v>
      </c>
      <c r="J50">
        <v>0.63414632999999998</v>
      </c>
    </row>
    <row r="51" spans="1:10" x14ac:dyDescent="0.3">
      <c r="A51">
        <v>49</v>
      </c>
      <c r="B51">
        <v>779</v>
      </c>
      <c r="C51" t="b">
        <v>1</v>
      </c>
      <c r="D51">
        <v>8048</v>
      </c>
      <c r="E51">
        <v>8134</v>
      </c>
      <c r="F51">
        <v>6</v>
      </c>
      <c r="G51">
        <v>10.4</v>
      </c>
      <c r="H51">
        <v>0.57692310000000002</v>
      </c>
      <c r="I51">
        <v>0.42307689999999998</v>
      </c>
      <c r="J51">
        <v>0.63414632999999998</v>
      </c>
    </row>
    <row r="52" spans="1:10" x14ac:dyDescent="0.3">
      <c r="A52">
        <v>50</v>
      </c>
      <c r="B52">
        <v>795</v>
      </c>
      <c r="C52" t="b">
        <v>1</v>
      </c>
      <c r="D52">
        <v>8042</v>
      </c>
      <c r="E52">
        <v>8134</v>
      </c>
      <c r="F52">
        <v>6</v>
      </c>
      <c r="G52">
        <v>10.4</v>
      </c>
      <c r="H52">
        <v>0.57692310000000002</v>
      </c>
      <c r="I52">
        <v>0.42307689999999998</v>
      </c>
      <c r="J52">
        <v>0.63414632999999998</v>
      </c>
    </row>
    <row r="53" spans="1:10" x14ac:dyDescent="0.3">
      <c r="A53">
        <v>51</v>
      </c>
      <c r="B53">
        <v>811</v>
      </c>
      <c r="C53" t="b">
        <v>1</v>
      </c>
      <c r="D53">
        <v>8048</v>
      </c>
      <c r="E53">
        <v>8134</v>
      </c>
      <c r="F53">
        <v>6</v>
      </c>
      <c r="G53">
        <v>11.133333</v>
      </c>
      <c r="H53">
        <v>0.53892220000000002</v>
      </c>
      <c r="I53">
        <v>0.46107784000000002</v>
      </c>
      <c r="J53">
        <v>0.64980539999999998</v>
      </c>
    </row>
    <row r="54" spans="1:10" x14ac:dyDescent="0.3">
      <c r="A54">
        <v>52</v>
      </c>
      <c r="B54">
        <v>827</v>
      </c>
      <c r="C54" t="b">
        <v>1</v>
      </c>
      <c r="D54">
        <v>8048</v>
      </c>
      <c r="E54">
        <v>8123</v>
      </c>
      <c r="F54">
        <v>6</v>
      </c>
      <c r="G54">
        <v>11.866667</v>
      </c>
      <c r="H54">
        <v>0.50561800000000001</v>
      </c>
      <c r="I54">
        <v>0.49438201999999998</v>
      </c>
      <c r="J54">
        <v>0.66417910000000002</v>
      </c>
    </row>
    <row r="55" spans="1:10" x14ac:dyDescent="0.3">
      <c r="A55">
        <v>53</v>
      </c>
      <c r="B55">
        <v>843</v>
      </c>
      <c r="C55" t="b">
        <v>1</v>
      </c>
      <c r="D55">
        <v>8048</v>
      </c>
      <c r="E55">
        <v>8129</v>
      </c>
      <c r="F55">
        <v>6</v>
      </c>
      <c r="G55">
        <v>12.6</v>
      </c>
      <c r="H55">
        <v>0.47619044999999999</v>
      </c>
      <c r="I55">
        <v>0.52380954999999996</v>
      </c>
      <c r="J55">
        <v>0.67741936000000003</v>
      </c>
    </row>
    <row r="56" spans="1:10" x14ac:dyDescent="0.3">
      <c r="A56">
        <v>54</v>
      </c>
      <c r="B56">
        <v>858</v>
      </c>
      <c r="C56" t="b">
        <v>1</v>
      </c>
      <c r="D56">
        <v>8048</v>
      </c>
      <c r="E56">
        <v>8123</v>
      </c>
      <c r="F56">
        <v>6</v>
      </c>
      <c r="G56">
        <v>13</v>
      </c>
      <c r="H56">
        <v>0.46153845999999998</v>
      </c>
      <c r="I56">
        <v>0.53846156999999994</v>
      </c>
      <c r="J56">
        <v>0.68421054000000003</v>
      </c>
    </row>
    <row r="57" spans="1:10" x14ac:dyDescent="0.3">
      <c r="A57">
        <v>55</v>
      </c>
      <c r="B57">
        <v>874</v>
      </c>
      <c r="C57" t="b">
        <v>1</v>
      </c>
      <c r="D57">
        <v>8048</v>
      </c>
      <c r="E57">
        <v>8134</v>
      </c>
      <c r="F57">
        <v>6</v>
      </c>
      <c r="G57">
        <v>13</v>
      </c>
      <c r="H57">
        <v>0.46153845999999998</v>
      </c>
      <c r="I57">
        <v>0.53846156999999994</v>
      </c>
      <c r="J57">
        <v>0.68421054000000003</v>
      </c>
    </row>
    <row r="58" spans="1:10" x14ac:dyDescent="0.3">
      <c r="A58">
        <v>56</v>
      </c>
      <c r="B58">
        <v>890</v>
      </c>
      <c r="C58" t="b">
        <v>1</v>
      </c>
      <c r="D58">
        <v>8048</v>
      </c>
      <c r="E58">
        <v>8134</v>
      </c>
      <c r="F58">
        <v>6</v>
      </c>
      <c r="G58">
        <v>13</v>
      </c>
      <c r="H58">
        <v>0.46153845999999998</v>
      </c>
      <c r="I58">
        <v>0.53846156999999994</v>
      </c>
      <c r="J58">
        <v>0.68421054000000003</v>
      </c>
    </row>
    <row r="59" spans="1:10" x14ac:dyDescent="0.3">
      <c r="A59">
        <v>57</v>
      </c>
      <c r="B59">
        <v>906</v>
      </c>
      <c r="C59" t="b">
        <v>1</v>
      </c>
      <c r="D59">
        <v>8048</v>
      </c>
      <c r="E59">
        <v>8123</v>
      </c>
      <c r="F59">
        <v>6</v>
      </c>
      <c r="G59">
        <v>13</v>
      </c>
      <c r="H59">
        <v>0.46153845999999998</v>
      </c>
      <c r="I59">
        <v>0.53846156999999994</v>
      </c>
      <c r="J59">
        <v>0.68421054000000003</v>
      </c>
    </row>
    <row r="60" spans="1:10" x14ac:dyDescent="0.3">
      <c r="A60">
        <v>58</v>
      </c>
      <c r="B60">
        <v>922</v>
      </c>
      <c r="C60" t="b">
        <v>1</v>
      </c>
      <c r="D60">
        <v>8048</v>
      </c>
      <c r="E60">
        <v>8123</v>
      </c>
      <c r="F60">
        <v>6</v>
      </c>
      <c r="G60">
        <v>12.6</v>
      </c>
      <c r="H60">
        <v>0.47619044999999999</v>
      </c>
      <c r="I60">
        <v>0.52380954999999996</v>
      </c>
      <c r="J60">
        <v>0.67741936000000003</v>
      </c>
    </row>
    <row r="61" spans="1:10" x14ac:dyDescent="0.3">
      <c r="A61">
        <v>59</v>
      </c>
      <c r="B61">
        <v>938</v>
      </c>
      <c r="C61" t="b">
        <v>1</v>
      </c>
      <c r="D61">
        <v>8048</v>
      </c>
      <c r="E61">
        <v>8123</v>
      </c>
      <c r="F61">
        <v>6.4</v>
      </c>
      <c r="G61">
        <v>12.2</v>
      </c>
      <c r="H61">
        <v>0.52459020000000001</v>
      </c>
      <c r="I61">
        <v>0.47540979999999999</v>
      </c>
      <c r="J61">
        <v>0.65591394999999997</v>
      </c>
    </row>
    <row r="62" spans="1:10" x14ac:dyDescent="0.3">
      <c r="A62">
        <v>60</v>
      </c>
      <c r="B62">
        <v>954</v>
      </c>
      <c r="C62" t="b">
        <v>1</v>
      </c>
      <c r="D62">
        <v>8054</v>
      </c>
      <c r="E62">
        <v>8123</v>
      </c>
      <c r="F62">
        <v>6.8</v>
      </c>
      <c r="G62">
        <v>11.8</v>
      </c>
      <c r="H62">
        <v>0.57627119999999998</v>
      </c>
      <c r="I62">
        <v>0.42372880000000002</v>
      </c>
      <c r="J62">
        <v>0.63440859999999999</v>
      </c>
    </row>
    <row r="63" spans="1:10" x14ac:dyDescent="0.3">
      <c r="A63">
        <v>61</v>
      </c>
      <c r="B63">
        <v>970</v>
      </c>
      <c r="C63" t="b">
        <v>1</v>
      </c>
      <c r="D63">
        <v>8048</v>
      </c>
      <c r="E63">
        <v>8123</v>
      </c>
      <c r="F63">
        <v>7.2</v>
      </c>
      <c r="G63">
        <v>11.8</v>
      </c>
      <c r="H63">
        <v>0.61016950000000003</v>
      </c>
      <c r="I63">
        <v>0.38983053000000001</v>
      </c>
      <c r="J63">
        <v>0.62105259999999995</v>
      </c>
    </row>
    <row r="64" spans="1:10" x14ac:dyDescent="0.3">
      <c r="A64">
        <v>62</v>
      </c>
      <c r="B64">
        <v>985</v>
      </c>
      <c r="C64" t="b">
        <v>1</v>
      </c>
      <c r="D64">
        <v>8054</v>
      </c>
      <c r="E64">
        <v>8129</v>
      </c>
      <c r="F64">
        <v>7.6</v>
      </c>
      <c r="G64">
        <v>11.8</v>
      </c>
      <c r="H64">
        <v>0.64406775999999999</v>
      </c>
      <c r="I64">
        <v>0.35593224000000001</v>
      </c>
      <c r="J64">
        <v>0.60824745999999996</v>
      </c>
    </row>
    <row r="65" spans="1:10" x14ac:dyDescent="0.3">
      <c r="A65">
        <v>63</v>
      </c>
      <c r="B65">
        <v>1017</v>
      </c>
      <c r="C65" t="b">
        <v>1</v>
      </c>
      <c r="D65">
        <v>8054</v>
      </c>
      <c r="E65">
        <v>8134</v>
      </c>
      <c r="F65">
        <v>8.4</v>
      </c>
      <c r="G65">
        <v>11.8</v>
      </c>
      <c r="H65">
        <v>0.71186435000000003</v>
      </c>
      <c r="I65">
        <v>0.28813565000000002</v>
      </c>
      <c r="J65">
        <v>0.58415839999999997</v>
      </c>
    </row>
    <row r="66" spans="1:10" x14ac:dyDescent="0.3">
      <c r="A66">
        <v>64</v>
      </c>
      <c r="B66">
        <v>1033</v>
      </c>
      <c r="C66" t="b">
        <v>1</v>
      </c>
      <c r="D66">
        <v>8060</v>
      </c>
      <c r="E66">
        <v>8129</v>
      </c>
      <c r="F66">
        <v>8.8000000000000007</v>
      </c>
      <c r="G66">
        <v>12.2</v>
      </c>
      <c r="H66">
        <v>0.72131149999999999</v>
      </c>
      <c r="I66">
        <v>0.27868850000000001</v>
      </c>
      <c r="J66">
        <v>0.58095235000000001</v>
      </c>
    </row>
    <row r="67" spans="1:10" x14ac:dyDescent="0.3">
      <c r="A67">
        <v>65</v>
      </c>
      <c r="B67">
        <v>1049</v>
      </c>
      <c r="C67" t="b">
        <v>1</v>
      </c>
      <c r="D67">
        <v>8048</v>
      </c>
      <c r="E67">
        <v>8123</v>
      </c>
      <c r="F67">
        <v>9.1999999999999993</v>
      </c>
      <c r="G67">
        <v>12.6</v>
      </c>
      <c r="H67">
        <v>0.73015870000000005</v>
      </c>
      <c r="I67">
        <v>0.26984130000000001</v>
      </c>
      <c r="J67">
        <v>0.57798170000000004</v>
      </c>
    </row>
    <row r="68" spans="1:10" x14ac:dyDescent="0.3">
      <c r="A68">
        <v>66</v>
      </c>
      <c r="B68">
        <v>1065</v>
      </c>
      <c r="C68" t="b">
        <v>1</v>
      </c>
      <c r="D68">
        <v>8042</v>
      </c>
      <c r="E68">
        <v>8134</v>
      </c>
      <c r="F68">
        <v>9.6</v>
      </c>
      <c r="G68">
        <v>12.266666000000001</v>
      </c>
      <c r="H68">
        <v>0.78260874999999996</v>
      </c>
      <c r="I68">
        <v>0.21739125000000001</v>
      </c>
      <c r="J68">
        <v>0.56097560000000002</v>
      </c>
    </row>
    <row r="69" spans="1:10" x14ac:dyDescent="0.3">
      <c r="A69">
        <v>67</v>
      </c>
      <c r="B69">
        <v>1081</v>
      </c>
      <c r="C69" t="b">
        <v>1</v>
      </c>
      <c r="D69">
        <v>8054</v>
      </c>
      <c r="E69">
        <v>8123</v>
      </c>
      <c r="F69">
        <v>10</v>
      </c>
      <c r="G69">
        <v>11.933332999999999</v>
      </c>
      <c r="H69">
        <v>0.83798879999999998</v>
      </c>
      <c r="I69">
        <v>0.16201118</v>
      </c>
      <c r="J69">
        <v>0.54407289999999997</v>
      </c>
    </row>
    <row r="70" spans="1:10" x14ac:dyDescent="0.3">
      <c r="A70">
        <v>68</v>
      </c>
      <c r="B70">
        <v>1097</v>
      </c>
      <c r="C70" t="b">
        <v>1</v>
      </c>
      <c r="D70">
        <v>8048</v>
      </c>
      <c r="E70">
        <v>8129</v>
      </c>
      <c r="F70">
        <v>10</v>
      </c>
      <c r="G70">
        <v>11.6</v>
      </c>
      <c r="H70">
        <v>0.86206894999999994</v>
      </c>
      <c r="I70">
        <v>0.13793105999999999</v>
      </c>
      <c r="J70">
        <v>0.53703710000000004</v>
      </c>
    </row>
    <row r="71" spans="1:10" x14ac:dyDescent="0.3">
      <c r="A71">
        <v>69</v>
      </c>
      <c r="B71">
        <v>1112</v>
      </c>
      <c r="C71" t="b">
        <v>1</v>
      </c>
      <c r="D71">
        <v>8042</v>
      </c>
      <c r="E71">
        <v>8123</v>
      </c>
      <c r="F71">
        <v>10</v>
      </c>
      <c r="G71">
        <v>11.2</v>
      </c>
      <c r="H71">
        <v>0.89285713</v>
      </c>
      <c r="I71">
        <v>0.10714284</v>
      </c>
      <c r="J71">
        <v>0.52830184000000002</v>
      </c>
    </row>
    <row r="72" spans="1:10" x14ac:dyDescent="0.3">
      <c r="A72">
        <v>70</v>
      </c>
      <c r="B72">
        <v>1128</v>
      </c>
      <c r="C72" t="b">
        <v>1</v>
      </c>
      <c r="D72">
        <v>8042</v>
      </c>
      <c r="E72">
        <v>8134</v>
      </c>
      <c r="F72">
        <v>9.6</v>
      </c>
      <c r="G72">
        <v>11.2</v>
      </c>
      <c r="H72">
        <v>0.85714290000000004</v>
      </c>
      <c r="I72">
        <v>0.14285708999999999</v>
      </c>
      <c r="J72">
        <v>0.53846156999999994</v>
      </c>
    </row>
    <row r="73" spans="1:10" x14ac:dyDescent="0.3">
      <c r="A73">
        <v>71</v>
      </c>
      <c r="B73">
        <v>1144</v>
      </c>
      <c r="C73" t="b">
        <v>1</v>
      </c>
      <c r="D73">
        <v>8048</v>
      </c>
      <c r="E73">
        <v>8123</v>
      </c>
      <c r="F73">
        <v>9.6</v>
      </c>
      <c r="G73">
        <v>10.8</v>
      </c>
      <c r="H73">
        <v>0.88888889999999998</v>
      </c>
      <c r="I73">
        <v>0.11111109</v>
      </c>
      <c r="J73">
        <v>0.52941172999999997</v>
      </c>
    </row>
    <row r="74" spans="1:10" x14ac:dyDescent="0.3">
      <c r="A74">
        <v>72</v>
      </c>
      <c r="B74">
        <v>1160</v>
      </c>
      <c r="C74" t="b">
        <v>1</v>
      </c>
      <c r="D74">
        <v>8048</v>
      </c>
      <c r="E74">
        <v>8123</v>
      </c>
      <c r="F74">
        <v>9.6</v>
      </c>
      <c r="G74">
        <v>10.4</v>
      </c>
      <c r="H74">
        <v>0.92307700000000004</v>
      </c>
      <c r="I74">
        <v>7.6923005000000003E-2</v>
      </c>
      <c r="J74">
        <v>0.52</v>
      </c>
    </row>
    <row r="75" spans="1:10" x14ac:dyDescent="0.3">
      <c r="A75">
        <v>73</v>
      </c>
      <c r="B75">
        <v>1176</v>
      </c>
      <c r="C75" t="b">
        <v>1</v>
      </c>
      <c r="D75">
        <v>8048</v>
      </c>
      <c r="E75">
        <v>8129</v>
      </c>
      <c r="F75">
        <v>9.6</v>
      </c>
      <c r="G75">
        <v>10.4</v>
      </c>
      <c r="H75">
        <v>0.92307700000000004</v>
      </c>
      <c r="I75">
        <v>7.6923005000000003E-2</v>
      </c>
      <c r="J75">
        <v>0.52</v>
      </c>
    </row>
    <row r="76" spans="1:10" x14ac:dyDescent="0.3">
      <c r="A76">
        <v>74</v>
      </c>
      <c r="B76">
        <v>1192</v>
      </c>
      <c r="C76" t="b">
        <v>1</v>
      </c>
      <c r="D76">
        <v>8048</v>
      </c>
      <c r="E76">
        <v>8129</v>
      </c>
      <c r="F76">
        <v>9.6</v>
      </c>
      <c r="G76">
        <v>10.8</v>
      </c>
      <c r="H76">
        <v>0.88888889999999998</v>
      </c>
      <c r="I76">
        <v>0.11111109</v>
      </c>
      <c r="J76">
        <v>0.52941172999999997</v>
      </c>
    </row>
    <row r="77" spans="1:10" x14ac:dyDescent="0.3">
      <c r="A77">
        <v>75</v>
      </c>
      <c r="B77">
        <v>1208</v>
      </c>
      <c r="C77" t="b">
        <v>1</v>
      </c>
      <c r="D77">
        <v>8042</v>
      </c>
      <c r="E77">
        <v>8123</v>
      </c>
      <c r="F77">
        <v>9.6</v>
      </c>
      <c r="G77">
        <v>10.8</v>
      </c>
      <c r="H77">
        <v>0.88888889999999998</v>
      </c>
      <c r="I77">
        <v>0.11111109</v>
      </c>
      <c r="J77">
        <v>0.52941172999999997</v>
      </c>
    </row>
    <row r="78" spans="1:10" x14ac:dyDescent="0.3">
      <c r="A78">
        <v>76</v>
      </c>
      <c r="B78">
        <v>1224</v>
      </c>
      <c r="C78" t="b">
        <v>1</v>
      </c>
      <c r="D78">
        <v>8048</v>
      </c>
      <c r="E78">
        <v>8134</v>
      </c>
      <c r="F78">
        <v>9.6</v>
      </c>
      <c r="G78">
        <v>11.2</v>
      </c>
      <c r="H78">
        <v>0.85714290000000004</v>
      </c>
      <c r="I78">
        <v>0.14285708999999999</v>
      </c>
      <c r="J78">
        <v>0.53846156999999994</v>
      </c>
    </row>
    <row r="79" spans="1:10" x14ac:dyDescent="0.3">
      <c r="A79">
        <v>77</v>
      </c>
      <c r="B79">
        <v>1239</v>
      </c>
      <c r="C79" t="b">
        <v>1</v>
      </c>
      <c r="D79">
        <v>8042</v>
      </c>
      <c r="E79">
        <v>8134</v>
      </c>
      <c r="F79">
        <v>9.6</v>
      </c>
      <c r="G79">
        <v>11.6</v>
      </c>
      <c r="H79">
        <v>0.82758622999999998</v>
      </c>
      <c r="I79">
        <v>0.17241377999999999</v>
      </c>
      <c r="J79">
        <v>0.54716980000000004</v>
      </c>
    </row>
    <row r="80" spans="1:10" x14ac:dyDescent="0.3">
      <c r="A80">
        <v>78</v>
      </c>
      <c r="B80">
        <v>1255</v>
      </c>
      <c r="C80" t="b">
        <v>1</v>
      </c>
      <c r="D80">
        <v>8042</v>
      </c>
      <c r="E80">
        <v>8129</v>
      </c>
      <c r="F80">
        <v>8.8000000000000007</v>
      </c>
      <c r="G80">
        <v>12</v>
      </c>
      <c r="H80">
        <v>0.73333334999999999</v>
      </c>
      <c r="I80">
        <v>0.26666665000000001</v>
      </c>
      <c r="J80">
        <v>0.57692310000000002</v>
      </c>
    </row>
    <row r="81" spans="1:10" x14ac:dyDescent="0.3">
      <c r="A81">
        <v>79</v>
      </c>
      <c r="B81">
        <v>1271</v>
      </c>
      <c r="C81" t="b">
        <v>1</v>
      </c>
      <c r="D81">
        <v>8048</v>
      </c>
      <c r="E81">
        <v>8123</v>
      </c>
      <c r="F81">
        <v>8</v>
      </c>
      <c r="G81">
        <v>12</v>
      </c>
      <c r="H81">
        <v>0.66666669999999995</v>
      </c>
      <c r="I81">
        <v>0.33333333999999998</v>
      </c>
      <c r="J81">
        <v>0.6</v>
      </c>
    </row>
    <row r="82" spans="1:10" x14ac:dyDescent="0.3">
      <c r="A82">
        <v>80</v>
      </c>
      <c r="B82">
        <v>1287</v>
      </c>
      <c r="C82" t="b">
        <v>1</v>
      </c>
      <c r="D82">
        <v>8042</v>
      </c>
      <c r="E82">
        <v>8129</v>
      </c>
      <c r="F82">
        <v>7.2</v>
      </c>
      <c r="G82">
        <v>12</v>
      </c>
      <c r="H82">
        <v>0.59999996</v>
      </c>
      <c r="I82">
        <v>0.4</v>
      </c>
      <c r="J82">
        <v>0.625</v>
      </c>
    </row>
    <row r="83" spans="1:10" x14ac:dyDescent="0.3">
      <c r="A83">
        <v>81</v>
      </c>
      <c r="B83">
        <v>1303</v>
      </c>
      <c r="C83" t="b">
        <v>1</v>
      </c>
      <c r="D83">
        <v>8042</v>
      </c>
      <c r="E83">
        <v>8123</v>
      </c>
      <c r="F83">
        <v>6.4</v>
      </c>
      <c r="G83">
        <v>12</v>
      </c>
      <c r="H83">
        <v>0.53333335999999998</v>
      </c>
      <c r="I83">
        <v>0.46666667000000001</v>
      </c>
      <c r="J83">
        <v>0.65217393999999995</v>
      </c>
    </row>
    <row r="84" spans="1:10" x14ac:dyDescent="0.3">
      <c r="A84">
        <v>82</v>
      </c>
      <c r="B84">
        <v>1319</v>
      </c>
      <c r="C84" t="b">
        <v>1</v>
      </c>
      <c r="D84">
        <v>8048</v>
      </c>
      <c r="E84">
        <v>8123</v>
      </c>
      <c r="F84">
        <v>5.6</v>
      </c>
      <c r="G84">
        <v>11.6</v>
      </c>
      <c r="H84">
        <v>0.48275859999999998</v>
      </c>
      <c r="I84">
        <v>0.51724139999999996</v>
      </c>
      <c r="J84">
        <v>0.67441857000000005</v>
      </c>
    </row>
    <row r="85" spans="1:10" x14ac:dyDescent="0.3">
      <c r="A85">
        <v>83</v>
      </c>
      <c r="B85">
        <v>1335</v>
      </c>
      <c r="C85" t="b">
        <v>1</v>
      </c>
      <c r="D85">
        <v>8048</v>
      </c>
      <c r="E85">
        <v>8129</v>
      </c>
      <c r="F85">
        <v>5.6</v>
      </c>
      <c r="G85">
        <v>11.2</v>
      </c>
      <c r="H85">
        <v>0.5</v>
      </c>
      <c r="I85">
        <v>0.5</v>
      </c>
      <c r="J85">
        <v>0.66666669999999995</v>
      </c>
    </row>
    <row r="86" spans="1:10" x14ac:dyDescent="0.3">
      <c r="A86">
        <v>84</v>
      </c>
      <c r="B86">
        <v>1351</v>
      </c>
      <c r="C86" t="b">
        <v>1</v>
      </c>
      <c r="D86">
        <v>8048</v>
      </c>
      <c r="E86">
        <v>8123</v>
      </c>
      <c r="F86">
        <v>5.6</v>
      </c>
      <c r="G86">
        <v>11.2</v>
      </c>
      <c r="H86">
        <v>0.5</v>
      </c>
      <c r="I86">
        <v>0.5</v>
      </c>
      <c r="J86">
        <v>0.66666669999999995</v>
      </c>
    </row>
    <row r="87" spans="1:10" x14ac:dyDescent="0.3">
      <c r="A87">
        <v>85</v>
      </c>
      <c r="B87">
        <v>1367</v>
      </c>
      <c r="C87" t="b">
        <v>1</v>
      </c>
      <c r="D87">
        <v>8048</v>
      </c>
      <c r="E87">
        <v>8129</v>
      </c>
      <c r="F87">
        <v>6</v>
      </c>
      <c r="G87">
        <v>10.8</v>
      </c>
      <c r="H87">
        <v>0.55555549999999998</v>
      </c>
      <c r="I87">
        <v>0.44444444999999999</v>
      </c>
      <c r="J87">
        <v>0.64285720000000002</v>
      </c>
    </row>
    <row r="88" spans="1:10" x14ac:dyDescent="0.3">
      <c r="A88">
        <v>86</v>
      </c>
      <c r="B88">
        <v>1383</v>
      </c>
      <c r="C88" t="b">
        <v>1</v>
      </c>
      <c r="D88">
        <v>8048</v>
      </c>
      <c r="E88">
        <v>8129</v>
      </c>
      <c r="F88">
        <v>6</v>
      </c>
      <c r="G88">
        <v>11.2</v>
      </c>
      <c r="H88">
        <v>0.53571427000000005</v>
      </c>
      <c r="I88">
        <v>0.46428570000000002</v>
      </c>
      <c r="J88">
        <v>0.65116273999999996</v>
      </c>
    </row>
    <row r="89" spans="1:10" x14ac:dyDescent="0.3">
      <c r="A89">
        <v>87</v>
      </c>
      <c r="B89">
        <v>1399</v>
      </c>
      <c r="C89" t="b">
        <v>1</v>
      </c>
      <c r="D89">
        <v>8048</v>
      </c>
      <c r="E89">
        <v>8123</v>
      </c>
      <c r="F89">
        <v>6</v>
      </c>
      <c r="G89">
        <v>11.6</v>
      </c>
      <c r="H89">
        <v>0.51724135999999998</v>
      </c>
      <c r="I89">
        <v>0.48275864000000002</v>
      </c>
      <c r="J89">
        <v>0.65909094000000001</v>
      </c>
    </row>
    <row r="90" spans="1:10" x14ac:dyDescent="0.3">
      <c r="A90">
        <v>88</v>
      </c>
      <c r="B90">
        <v>1415</v>
      </c>
      <c r="C90" t="b">
        <v>1</v>
      </c>
      <c r="D90">
        <v>8048</v>
      </c>
      <c r="E90">
        <v>8123</v>
      </c>
      <c r="F90">
        <v>6</v>
      </c>
      <c r="G90">
        <v>11.6</v>
      </c>
      <c r="H90">
        <v>0.51724135999999998</v>
      </c>
      <c r="I90">
        <v>0.48275864000000002</v>
      </c>
      <c r="J90">
        <v>0.65909094000000001</v>
      </c>
    </row>
    <row r="91" spans="1:10" x14ac:dyDescent="0.3">
      <c r="A91">
        <v>89</v>
      </c>
      <c r="B91">
        <v>1431</v>
      </c>
      <c r="C91" t="b">
        <v>1</v>
      </c>
      <c r="D91">
        <v>8042</v>
      </c>
      <c r="E91">
        <v>8123</v>
      </c>
      <c r="F91">
        <v>6</v>
      </c>
      <c r="G91">
        <v>11.2</v>
      </c>
      <c r="H91">
        <v>0.53571427000000005</v>
      </c>
      <c r="I91">
        <v>0.46428570000000002</v>
      </c>
      <c r="J91">
        <v>0.65116273999999996</v>
      </c>
    </row>
    <row r="92" spans="1:10" x14ac:dyDescent="0.3">
      <c r="A92">
        <v>90</v>
      </c>
      <c r="B92">
        <v>1447</v>
      </c>
      <c r="C92" t="b">
        <v>1</v>
      </c>
      <c r="D92">
        <v>8042</v>
      </c>
      <c r="E92">
        <v>8123</v>
      </c>
      <c r="F92">
        <v>6</v>
      </c>
      <c r="G92">
        <v>11.2</v>
      </c>
      <c r="H92">
        <v>0.53571427000000005</v>
      </c>
      <c r="I92">
        <v>0.46428570000000002</v>
      </c>
      <c r="J92">
        <v>0.65116273999999996</v>
      </c>
    </row>
    <row r="93" spans="1:10" x14ac:dyDescent="0.3">
      <c r="A93">
        <v>91</v>
      </c>
      <c r="B93">
        <v>1463</v>
      </c>
      <c r="C93" t="b">
        <v>1</v>
      </c>
      <c r="D93">
        <v>8048</v>
      </c>
      <c r="E93">
        <v>8123</v>
      </c>
      <c r="F93">
        <v>6</v>
      </c>
      <c r="G93">
        <v>10.8</v>
      </c>
      <c r="H93">
        <v>0.55555549999999998</v>
      </c>
      <c r="I93">
        <v>0.44444444999999999</v>
      </c>
      <c r="J93">
        <v>0.64285720000000002</v>
      </c>
    </row>
    <row r="94" spans="1:10" x14ac:dyDescent="0.3">
      <c r="A94">
        <v>92</v>
      </c>
      <c r="B94">
        <v>1479</v>
      </c>
      <c r="C94" t="b">
        <v>1</v>
      </c>
      <c r="D94">
        <v>8042</v>
      </c>
      <c r="E94">
        <v>8123</v>
      </c>
      <c r="F94">
        <v>5.6</v>
      </c>
      <c r="G94">
        <v>10.4</v>
      </c>
      <c r="H94">
        <v>0.53846156999999994</v>
      </c>
      <c r="I94">
        <v>0.46153845999999998</v>
      </c>
      <c r="J94">
        <v>0.65</v>
      </c>
    </row>
    <row r="95" spans="1:10" x14ac:dyDescent="0.3">
      <c r="A95">
        <v>93</v>
      </c>
      <c r="B95">
        <v>1494</v>
      </c>
      <c r="C95" t="b">
        <v>1</v>
      </c>
      <c r="D95">
        <v>8054</v>
      </c>
      <c r="E95">
        <v>8123</v>
      </c>
      <c r="F95">
        <v>5.6</v>
      </c>
      <c r="G95">
        <v>10</v>
      </c>
      <c r="H95">
        <v>0.56000000000000005</v>
      </c>
      <c r="I95">
        <v>0.44</v>
      </c>
      <c r="J95">
        <v>0.64102559999999997</v>
      </c>
    </row>
    <row r="96" spans="1:10" x14ac:dyDescent="0.3">
      <c r="A96">
        <v>94</v>
      </c>
      <c r="B96">
        <v>1511</v>
      </c>
      <c r="C96" t="b">
        <v>1</v>
      </c>
      <c r="D96">
        <v>8048</v>
      </c>
      <c r="E96">
        <v>8129</v>
      </c>
      <c r="F96">
        <v>6</v>
      </c>
      <c r="G96">
        <v>9.6</v>
      </c>
      <c r="H96">
        <v>0.625</v>
      </c>
      <c r="I96">
        <v>0.37500002999999998</v>
      </c>
      <c r="J96">
        <v>0.61538464000000004</v>
      </c>
    </row>
    <row r="97" spans="1:10" x14ac:dyDescent="0.3">
      <c r="A97">
        <v>95</v>
      </c>
      <c r="B97">
        <v>1527</v>
      </c>
      <c r="C97" t="b">
        <v>1</v>
      </c>
      <c r="D97">
        <v>8048</v>
      </c>
      <c r="E97">
        <v>8134</v>
      </c>
      <c r="F97">
        <v>6.4</v>
      </c>
      <c r="G97">
        <v>9.1999999999999993</v>
      </c>
      <c r="H97">
        <v>0.69565220000000005</v>
      </c>
      <c r="I97">
        <v>0.3043478</v>
      </c>
      <c r="J97">
        <v>0.58974355000000001</v>
      </c>
    </row>
    <row r="98" spans="1:10" x14ac:dyDescent="0.3">
      <c r="A98">
        <v>96</v>
      </c>
      <c r="B98">
        <v>1542</v>
      </c>
      <c r="C98" t="b">
        <v>1</v>
      </c>
      <c r="D98">
        <v>8042</v>
      </c>
      <c r="E98">
        <v>8129</v>
      </c>
      <c r="F98">
        <v>6.8</v>
      </c>
      <c r="G98">
        <v>9.1999999999999993</v>
      </c>
      <c r="H98">
        <v>0.73913050000000002</v>
      </c>
      <c r="I98">
        <v>0.26086953000000002</v>
      </c>
      <c r="J98">
        <v>0.57499999999999996</v>
      </c>
    </row>
    <row r="99" spans="1:10" x14ac:dyDescent="0.3">
      <c r="A99">
        <v>97</v>
      </c>
      <c r="B99">
        <v>1558</v>
      </c>
      <c r="C99" t="b">
        <v>1</v>
      </c>
      <c r="D99">
        <v>8048</v>
      </c>
      <c r="E99">
        <v>8129</v>
      </c>
      <c r="F99">
        <v>7.2</v>
      </c>
      <c r="G99">
        <v>9.6</v>
      </c>
      <c r="H99">
        <v>0.74999994000000003</v>
      </c>
      <c r="I99">
        <v>0.25000006000000002</v>
      </c>
      <c r="J99">
        <v>0.57142859999999995</v>
      </c>
    </row>
    <row r="100" spans="1:10" x14ac:dyDescent="0.3">
      <c r="A100">
        <v>98</v>
      </c>
      <c r="B100">
        <v>1574</v>
      </c>
      <c r="C100" t="b">
        <v>1</v>
      </c>
      <c r="D100">
        <v>8048</v>
      </c>
      <c r="E100">
        <v>8129</v>
      </c>
      <c r="F100">
        <v>7.2</v>
      </c>
      <c r="G100">
        <v>10</v>
      </c>
      <c r="H100">
        <v>0.71999997000000004</v>
      </c>
      <c r="I100">
        <v>0.28000003000000001</v>
      </c>
      <c r="J100">
        <v>0.58139529999999995</v>
      </c>
    </row>
    <row r="101" spans="1:10" x14ac:dyDescent="0.3">
      <c r="A101">
        <v>99</v>
      </c>
      <c r="B101">
        <v>1591</v>
      </c>
      <c r="C101" t="b">
        <v>1</v>
      </c>
      <c r="D101">
        <v>8042</v>
      </c>
      <c r="E101">
        <v>8123</v>
      </c>
      <c r="F101">
        <v>7.2</v>
      </c>
      <c r="G101">
        <v>10.4</v>
      </c>
      <c r="H101">
        <v>0.69230769999999997</v>
      </c>
      <c r="I101">
        <v>0.30769229999999997</v>
      </c>
      <c r="J101">
        <v>0.59090909999999996</v>
      </c>
    </row>
    <row r="102" spans="1:10" x14ac:dyDescent="0.3">
      <c r="A102">
        <v>100</v>
      </c>
      <c r="B102">
        <v>1607</v>
      </c>
      <c r="C102" t="b">
        <v>1</v>
      </c>
      <c r="D102">
        <v>8042</v>
      </c>
      <c r="E102">
        <v>8123</v>
      </c>
      <c r="F102">
        <v>6.8</v>
      </c>
      <c r="G102">
        <v>10.8</v>
      </c>
      <c r="H102">
        <v>0.62962960000000001</v>
      </c>
      <c r="I102">
        <v>0.37037036000000001</v>
      </c>
      <c r="J102">
        <v>0.61363639999999997</v>
      </c>
    </row>
    <row r="103" spans="1:10" x14ac:dyDescent="0.3">
      <c r="A103">
        <v>101</v>
      </c>
      <c r="B103">
        <v>1622</v>
      </c>
      <c r="C103" t="b">
        <v>1</v>
      </c>
      <c r="D103">
        <v>8048</v>
      </c>
      <c r="E103">
        <v>8123</v>
      </c>
      <c r="F103">
        <v>6.8</v>
      </c>
      <c r="G103">
        <v>10.4</v>
      </c>
      <c r="H103">
        <v>0.65384620000000004</v>
      </c>
      <c r="I103">
        <v>0.34615380000000001</v>
      </c>
      <c r="J103">
        <v>0.6046511</v>
      </c>
    </row>
    <row r="104" spans="1:10" x14ac:dyDescent="0.3">
      <c r="A104">
        <v>102</v>
      </c>
      <c r="B104">
        <v>1638</v>
      </c>
      <c r="C104" t="b">
        <v>1</v>
      </c>
      <c r="D104">
        <v>8048</v>
      </c>
      <c r="E104">
        <v>8123</v>
      </c>
      <c r="F104">
        <v>6.8</v>
      </c>
      <c r="G104">
        <v>10</v>
      </c>
      <c r="H104">
        <v>0.68</v>
      </c>
      <c r="I104">
        <v>0.32</v>
      </c>
      <c r="J104">
        <v>0.59523815000000002</v>
      </c>
    </row>
    <row r="105" spans="1:10" x14ac:dyDescent="0.3">
      <c r="A105">
        <v>103</v>
      </c>
      <c r="B105">
        <v>1654</v>
      </c>
      <c r="C105" t="b">
        <v>1</v>
      </c>
      <c r="D105">
        <v>8048</v>
      </c>
      <c r="E105">
        <v>8129</v>
      </c>
      <c r="F105">
        <v>6.8</v>
      </c>
      <c r="G105">
        <v>10</v>
      </c>
      <c r="H105">
        <v>0.68</v>
      </c>
      <c r="I105">
        <v>0.32</v>
      </c>
      <c r="J105">
        <v>0.59523815000000002</v>
      </c>
    </row>
    <row r="106" spans="1:10" x14ac:dyDescent="0.3">
      <c r="A106">
        <v>104</v>
      </c>
      <c r="B106">
        <v>1670</v>
      </c>
      <c r="C106" t="b">
        <v>1</v>
      </c>
      <c r="D106">
        <v>8048</v>
      </c>
      <c r="E106">
        <v>8123</v>
      </c>
      <c r="F106">
        <v>6.8</v>
      </c>
      <c r="G106">
        <v>10</v>
      </c>
      <c r="H106">
        <v>0.68</v>
      </c>
      <c r="I106">
        <v>0.32</v>
      </c>
      <c r="J106">
        <v>0.59523815000000002</v>
      </c>
    </row>
    <row r="107" spans="1:10" x14ac:dyDescent="0.3">
      <c r="A107">
        <v>105</v>
      </c>
      <c r="B107">
        <v>1686</v>
      </c>
      <c r="C107" t="b">
        <v>1</v>
      </c>
      <c r="D107">
        <v>8042</v>
      </c>
      <c r="E107">
        <v>8123</v>
      </c>
      <c r="F107">
        <v>6.8</v>
      </c>
      <c r="G107">
        <v>10</v>
      </c>
      <c r="H107">
        <v>0.68</v>
      </c>
      <c r="I107">
        <v>0.32</v>
      </c>
      <c r="J107">
        <v>0.59523815000000002</v>
      </c>
    </row>
    <row r="108" spans="1:10" x14ac:dyDescent="0.3">
      <c r="A108">
        <v>106</v>
      </c>
      <c r="B108">
        <v>1702</v>
      </c>
      <c r="C108" t="b">
        <v>1</v>
      </c>
      <c r="D108">
        <v>8048</v>
      </c>
      <c r="E108">
        <v>8117</v>
      </c>
      <c r="F108">
        <v>6.8</v>
      </c>
      <c r="G108">
        <v>10</v>
      </c>
      <c r="H108">
        <v>0.68</v>
      </c>
      <c r="I108">
        <v>0.32</v>
      </c>
      <c r="J108">
        <v>0.59523815000000002</v>
      </c>
    </row>
    <row r="109" spans="1:10" x14ac:dyDescent="0.3">
      <c r="A109">
        <v>107</v>
      </c>
      <c r="B109">
        <v>1717</v>
      </c>
      <c r="C109" t="b">
        <v>1</v>
      </c>
      <c r="D109">
        <v>8048</v>
      </c>
      <c r="E109">
        <v>8117</v>
      </c>
      <c r="F109">
        <v>7.2</v>
      </c>
      <c r="G109">
        <v>10</v>
      </c>
      <c r="H109">
        <v>0.71999997000000004</v>
      </c>
      <c r="I109">
        <v>0.28000003000000001</v>
      </c>
      <c r="J109">
        <v>0.58139529999999995</v>
      </c>
    </row>
    <row r="110" spans="1:10" x14ac:dyDescent="0.3">
      <c r="A110">
        <v>108</v>
      </c>
      <c r="B110">
        <v>1734</v>
      </c>
      <c r="C110" t="b">
        <v>1</v>
      </c>
      <c r="D110">
        <v>8048</v>
      </c>
      <c r="E110">
        <v>8117</v>
      </c>
      <c r="F110">
        <v>7.6</v>
      </c>
      <c r="G110">
        <v>9.6</v>
      </c>
      <c r="H110">
        <v>0.7916666</v>
      </c>
      <c r="I110">
        <v>0.20833336999999999</v>
      </c>
      <c r="J110">
        <v>0.55813950000000001</v>
      </c>
    </row>
    <row r="111" spans="1:10" x14ac:dyDescent="0.3">
      <c r="A111">
        <v>109</v>
      </c>
      <c r="B111">
        <v>1749</v>
      </c>
      <c r="C111" t="b">
        <v>1</v>
      </c>
      <c r="D111">
        <v>8048</v>
      </c>
      <c r="E111">
        <v>8117</v>
      </c>
      <c r="F111">
        <v>7.6</v>
      </c>
      <c r="G111">
        <v>9.1999999999999993</v>
      </c>
      <c r="H111">
        <v>0.82608694000000005</v>
      </c>
      <c r="I111">
        <v>0.17391303</v>
      </c>
      <c r="J111">
        <v>0.54761903999999995</v>
      </c>
    </row>
    <row r="112" spans="1:10" x14ac:dyDescent="0.3">
      <c r="A112">
        <v>110</v>
      </c>
      <c r="B112">
        <v>1765</v>
      </c>
      <c r="C112" t="b">
        <v>1</v>
      </c>
      <c r="D112">
        <v>8048</v>
      </c>
      <c r="E112">
        <v>8117</v>
      </c>
      <c r="F112">
        <v>7.6</v>
      </c>
      <c r="G112">
        <v>8.8000000000000007</v>
      </c>
      <c r="H112">
        <v>0.86363630000000002</v>
      </c>
      <c r="I112">
        <v>0.13636366999999999</v>
      </c>
      <c r="J112">
        <v>0.53658539999999999</v>
      </c>
    </row>
    <row r="113" spans="1:10" x14ac:dyDescent="0.3">
      <c r="A113">
        <v>111</v>
      </c>
      <c r="B113">
        <v>1781</v>
      </c>
      <c r="C113" t="b">
        <v>1</v>
      </c>
      <c r="D113">
        <v>8048</v>
      </c>
      <c r="E113">
        <v>8117</v>
      </c>
      <c r="F113">
        <v>7.6</v>
      </c>
      <c r="G113">
        <v>8</v>
      </c>
      <c r="H113">
        <v>0.95</v>
      </c>
      <c r="I113">
        <v>5.0000012000000003E-2</v>
      </c>
      <c r="J113">
        <v>0.51282050000000001</v>
      </c>
    </row>
    <row r="114" spans="1:10" x14ac:dyDescent="0.3">
      <c r="A114">
        <v>112</v>
      </c>
      <c r="B114">
        <v>1797</v>
      </c>
      <c r="C114" t="b">
        <v>1</v>
      </c>
      <c r="D114">
        <v>8048</v>
      </c>
      <c r="E114">
        <v>8117</v>
      </c>
      <c r="F114">
        <v>7.6</v>
      </c>
      <c r="G114">
        <v>7.2</v>
      </c>
      <c r="H114">
        <v>1.0555555999999999</v>
      </c>
      <c r="I114">
        <v>-5.5555569999999999E-2</v>
      </c>
      <c r="J114">
        <v>0.48648649999999999</v>
      </c>
    </row>
    <row r="115" spans="1:10" x14ac:dyDescent="0.3">
      <c r="A115">
        <v>113</v>
      </c>
      <c r="B115">
        <v>1813</v>
      </c>
      <c r="C115" t="b">
        <v>1</v>
      </c>
      <c r="D115">
        <v>8042</v>
      </c>
      <c r="E115">
        <v>8129</v>
      </c>
      <c r="F115">
        <v>7.6</v>
      </c>
      <c r="G115">
        <v>6.4</v>
      </c>
      <c r="H115">
        <v>1.1875</v>
      </c>
      <c r="I115">
        <v>-0.18749996999999999</v>
      </c>
      <c r="J115">
        <v>0.45714285999999998</v>
      </c>
    </row>
    <row r="116" spans="1:10" x14ac:dyDescent="0.3">
      <c r="A116">
        <v>114</v>
      </c>
      <c r="B116">
        <v>1829</v>
      </c>
      <c r="C116" t="b">
        <v>1</v>
      </c>
      <c r="D116">
        <v>8048</v>
      </c>
      <c r="E116">
        <v>8123</v>
      </c>
      <c r="F116">
        <v>7.6</v>
      </c>
      <c r="G116">
        <v>5.6</v>
      </c>
      <c r="H116">
        <v>1.3571428000000001</v>
      </c>
      <c r="I116">
        <v>-0.35714287</v>
      </c>
      <c r="J116">
        <v>0.42424244</v>
      </c>
    </row>
    <row r="117" spans="1:10" x14ac:dyDescent="0.3">
      <c r="A117">
        <v>115</v>
      </c>
      <c r="B117">
        <v>1845</v>
      </c>
      <c r="C117" t="b">
        <v>1</v>
      </c>
      <c r="D117">
        <v>8042</v>
      </c>
      <c r="E117">
        <v>8123</v>
      </c>
      <c r="F117">
        <v>8</v>
      </c>
      <c r="G117">
        <v>5.2</v>
      </c>
      <c r="H117">
        <v>1.5384616</v>
      </c>
      <c r="I117">
        <v>-0.53846156999999994</v>
      </c>
      <c r="J117">
        <v>0.39393938000000001</v>
      </c>
    </row>
    <row r="118" spans="1:10" x14ac:dyDescent="0.3">
      <c r="A118">
        <v>116</v>
      </c>
      <c r="B118">
        <v>1861</v>
      </c>
      <c r="C118" t="b">
        <v>1</v>
      </c>
      <c r="D118">
        <v>8048</v>
      </c>
      <c r="E118">
        <v>8123</v>
      </c>
      <c r="F118">
        <v>8</v>
      </c>
      <c r="G118">
        <v>5.2</v>
      </c>
      <c r="H118">
        <v>1.5384616</v>
      </c>
      <c r="I118">
        <v>-0.53846156999999994</v>
      </c>
      <c r="J118">
        <v>0.39393938000000001</v>
      </c>
    </row>
    <row r="119" spans="1:10" x14ac:dyDescent="0.3">
      <c r="A119">
        <v>117</v>
      </c>
      <c r="B119">
        <v>1876</v>
      </c>
      <c r="C119" t="b">
        <v>1</v>
      </c>
      <c r="D119">
        <v>8048</v>
      </c>
      <c r="E119">
        <v>8129</v>
      </c>
      <c r="F119">
        <v>8</v>
      </c>
      <c r="G119">
        <v>5.2</v>
      </c>
      <c r="H119">
        <v>1.5384616</v>
      </c>
      <c r="I119">
        <v>-0.53846156999999994</v>
      </c>
      <c r="J119">
        <v>0.39393938000000001</v>
      </c>
    </row>
    <row r="120" spans="1:10" x14ac:dyDescent="0.3">
      <c r="A120">
        <v>118</v>
      </c>
      <c r="B120">
        <v>1893</v>
      </c>
      <c r="C120" t="b">
        <v>1</v>
      </c>
      <c r="D120">
        <v>8048</v>
      </c>
      <c r="E120">
        <v>8123</v>
      </c>
      <c r="F120">
        <v>8</v>
      </c>
      <c r="G120">
        <v>5.2</v>
      </c>
      <c r="H120">
        <v>1.5384616</v>
      </c>
      <c r="I120">
        <v>-0.53846156999999994</v>
      </c>
      <c r="J120">
        <v>0.39393938000000001</v>
      </c>
    </row>
    <row r="121" spans="1:10" x14ac:dyDescent="0.3">
      <c r="A121">
        <v>119</v>
      </c>
      <c r="B121">
        <v>1908</v>
      </c>
      <c r="C121" t="b">
        <v>1</v>
      </c>
      <c r="D121">
        <v>8042</v>
      </c>
      <c r="E121">
        <v>8123</v>
      </c>
      <c r="F121">
        <v>8</v>
      </c>
      <c r="G121">
        <v>5.2</v>
      </c>
      <c r="H121">
        <v>1.5384616</v>
      </c>
      <c r="I121">
        <v>-0.53846156999999994</v>
      </c>
      <c r="J121">
        <v>0.39393938000000001</v>
      </c>
    </row>
    <row r="122" spans="1:10" x14ac:dyDescent="0.3">
      <c r="A122">
        <v>120</v>
      </c>
      <c r="B122">
        <v>1924</v>
      </c>
      <c r="C122" t="b">
        <v>1</v>
      </c>
      <c r="D122">
        <v>8048</v>
      </c>
      <c r="E122">
        <v>8123</v>
      </c>
      <c r="F122">
        <v>8</v>
      </c>
      <c r="G122">
        <v>5.2</v>
      </c>
      <c r="H122">
        <v>1.5384616</v>
      </c>
      <c r="I122">
        <v>-0.53846156999999994</v>
      </c>
      <c r="J122">
        <v>0.39393938000000001</v>
      </c>
    </row>
    <row r="123" spans="1:10" x14ac:dyDescent="0.3">
      <c r="A123">
        <v>121</v>
      </c>
      <c r="B123">
        <v>1940</v>
      </c>
      <c r="C123" t="b">
        <v>1</v>
      </c>
      <c r="D123">
        <v>8048</v>
      </c>
      <c r="E123">
        <v>8134</v>
      </c>
      <c r="F123">
        <v>8</v>
      </c>
      <c r="G123">
        <v>5.2</v>
      </c>
      <c r="H123">
        <v>1.5384616</v>
      </c>
      <c r="I123">
        <v>-0.53846156999999994</v>
      </c>
      <c r="J123">
        <v>0.39393938000000001</v>
      </c>
    </row>
    <row r="124" spans="1:10" x14ac:dyDescent="0.3">
      <c r="A124">
        <v>122</v>
      </c>
      <c r="B124">
        <v>1956</v>
      </c>
      <c r="C124" t="b">
        <v>1</v>
      </c>
      <c r="D124">
        <v>8048</v>
      </c>
      <c r="E124">
        <v>8123</v>
      </c>
      <c r="F124">
        <v>8</v>
      </c>
      <c r="G124">
        <v>5.2</v>
      </c>
      <c r="H124">
        <v>1.5384616</v>
      </c>
      <c r="I124">
        <v>-0.53846156999999994</v>
      </c>
      <c r="J124">
        <v>0.39393938000000001</v>
      </c>
    </row>
    <row r="125" spans="1:10" x14ac:dyDescent="0.3">
      <c r="A125">
        <v>123</v>
      </c>
      <c r="B125">
        <v>1972</v>
      </c>
      <c r="C125" t="b">
        <v>1</v>
      </c>
      <c r="D125">
        <v>8042</v>
      </c>
      <c r="E125">
        <v>8129</v>
      </c>
      <c r="F125">
        <v>8</v>
      </c>
      <c r="G125">
        <v>5.6</v>
      </c>
      <c r="H125">
        <v>1.4285715000000001</v>
      </c>
      <c r="I125">
        <v>-0.42857146000000002</v>
      </c>
      <c r="J125">
        <v>0.41176467999999999</v>
      </c>
    </row>
    <row r="126" spans="1:10" x14ac:dyDescent="0.3">
      <c r="A126">
        <v>124</v>
      </c>
      <c r="B126">
        <v>1988</v>
      </c>
      <c r="C126" t="b">
        <v>1</v>
      </c>
      <c r="D126">
        <v>8042</v>
      </c>
      <c r="E126">
        <v>8129</v>
      </c>
      <c r="F126">
        <v>8</v>
      </c>
      <c r="G126">
        <v>6.4</v>
      </c>
      <c r="H126">
        <v>1.25</v>
      </c>
      <c r="I126">
        <v>-0.24999999000000001</v>
      </c>
      <c r="J126">
        <v>0.44444447999999998</v>
      </c>
    </row>
    <row r="127" spans="1:10" x14ac:dyDescent="0.3">
      <c r="A127">
        <v>125</v>
      </c>
      <c r="B127">
        <v>2004</v>
      </c>
      <c r="C127" t="b">
        <v>1</v>
      </c>
      <c r="D127">
        <v>8048</v>
      </c>
      <c r="E127">
        <v>8129</v>
      </c>
      <c r="F127">
        <v>8</v>
      </c>
      <c r="G127">
        <v>7.2</v>
      </c>
      <c r="H127">
        <v>1.1111112000000001</v>
      </c>
      <c r="I127">
        <v>-0.11111114</v>
      </c>
      <c r="J127">
        <v>0.4736842</v>
      </c>
    </row>
    <row r="128" spans="1:10" x14ac:dyDescent="0.3">
      <c r="A128">
        <v>126</v>
      </c>
      <c r="B128">
        <v>2020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2036</v>
      </c>
      <c r="C129" t="b">
        <v>1</v>
      </c>
      <c r="D129">
        <v>8042</v>
      </c>
      <c r="E129">
        <v>8123</v>
      </c>
      <c r="F129">
        <v>7.6</v>
      </c>
      <c r="G129">
        <v>8.8000000000000007</v>
      </c>
      <c r="H129">
        <v>0.86363630000000002</v>
      </c>
      <c r="I129">
        <v>0.13636366999999999</v>
      </c>
      <c r="J129">
        <v>0.53658539999999999</v>
      </c>
    </row>
    <row r="130" spans="1:10" x14ac:dyDescent="0.3">
      <c r="A130">
        <v>128</v>
      </c>
      <c r="B130">
        <v>2051</v>
      </c>
      <c r="C130" t="b">
        <v>1</v>
      </c>
      <c r="D130">
        <v>8042</v>
      </c>
      <c r="E130">
        <v>8129</v>
      </c>
      <c r="F130">
        <v>7.2</v>
      </c>
      <c r="G130">
        <v>9.6</v>
      </c>
      <c r="H130">
        <v>0.74999994000000003</v>
      </c>
      <c r="I130">
        <v>0.25000006000000002</v>
      </c>
      <c r="J130">
        <v>0.57142859999999995</v>
      </c>
    </row>
    <row r="131" spans="1:10" x14ac:dyDescent="0.3">
      <c r="A131">
        <v>129</v>
      </c>
      <c r="B131">
        <v>2067</v>
      </c>
      <c r="C131" t="b">
        <v>1</v>
      </c>
      <c r="D131">
        <v>8054</v>
      </c>
      <c r="E131">
        <v>8129</v>
      </c>
      <c r="F131">
        <v>7.2</v>
      </c>
      <c r="G131">
        <v>10.4</v>
      </c>
      <c r="H131">
        <v>0.69230769999999997</v>
      </c>
      <c r="I131">
        <v>0.30769229999999997</v>
      </c>
      <c r="J131">
        <v>0.59090909999999996</v>
      </c>
    </row>
    <row r="132" spans="1:10" x14ac:dyDescent="0.3">
      <c r="A132">
        <v>130</v>
      </c>
      <c r="B132">
        <v>2083</v>
      </c>
      <c r="C132" t="b">
        <v>1</v>
      </c>
      <c r="D132">
        <v>8048</v>
      </c>
      <c r="E132">
        <v>8129</v>
      </c>
      <c r="F132">
        <v>7.2</v>
      </c>
      <c r="G132">
        <v>10.8</v>
      </c>
      <c r="H132">
        <v>0.6666666</v>
      </c>
      <c r="I132">
        <v>0.33333337000000002</v>
      </c>
      <c r="J132">
        <v>0.6</v>
      </c>
    </row>
    <row r="133" spans="1:10" x14ac:dyDescent="0.3">
      <c r="A133">
        <v>131</v>
      </c>
      <c r="B133">
        <v>2099</v>
      </c>
      <c r="C133" t="b">
        <v>1</v>
      </c>
      <c r="D133">
        <v>8048</v>
      </c>
      <c r="E133">
        <v>8123</v>
      </c>
      <c r="F133">
        <v>7.2</v>
      </c>
      <c r="G133">
        <v>11.2</v>
      </c>
      <c r="H133">
        <v>0.64285713</v>
      </c>
      <c r="I133">
        <v>0.35714287</v>
      </c>
      <c r="J133">
        <v>0.6086956</v>
      </c>
    </row>
    <row r="134" spans="1:10" x14ac:dyDescent="0.3">
      <c r="A134">
        <v>132</v>
      </c>
      <c r="B134">
        <v>2115</v>
      </c>
      <c r="C134" t="b">
        <v>1</v>
      </c>
      <c r="D134">
        <v>8048</v>
      </c>
      <c r="E134">
        <v>8134</v>
      </c>
      <c r="F134">
        <v>7.2</v>
      </c>
      <c r="G134">
        <v>11.6</v>
      </c>
      <c r="H134">
        <v>0.62068962999999999</v>
      </c>
      <c r="I134">
        <v>0.37931037000000001</v>
      </c>
      <c r="J134">
        <v>0.61702129999999999</v>
      </c>
    </row>
    <row r="135" spans="1:10" x14ac:dyDescent="0.3">
      <c r="A135">
        <v>133</v>
      </c>
      <c r="B135">
        <v>2131</v>
      </c>
      <c r="C135" t="b">
        <v>1</v>
      </c>
      <c r="D135">
        <v>8042</v>
      </c>
      <c r="E135">
        <v>8123</v>
      </c>
      <c r="F135">
        <v>7.2</v>
      </c>
      <c r="G135">
        <v>12</v>
      </c>
      <c r="H135">
        <v>0.59999996</v>
      </c>
      <c r="I135">
        <v>0.4</v>
      </c>
      <c r="J135">
        <v>0.625</v>
      </c>
    </row>
    <row r="136" spans="1:10" x14ac:dyDescent="0.3">
      <c r="A136">
        <v>134</v>
      </c>
      <c r="B136">
        <v>2147</v>
      </c>
      <c r="C136" t="b">
        <v>1</v>
      </c>
      <c r="D136">
        <v>8048</v>
      </c>
      <c r="E136">
        <v>8123</v>
      </c>
      <c r="F136">
        <v>7.2</v>
      </c>
      <c r="G136">
        <v>12</v>
      </c>
      <c r="H136">
        <v>0.59999996</v>
      </c>
      <c r="I136">
        <v>0.4</v>
      </c>
      <c r="J136">
        <v>0.625</v>
      </c>
    </row>
    <row r="137" spans="1:10" x14ac:dyDescent="0.3">
      <c r="A137">
        <v>135</v>
      </c>
      <c r="B137">
        <v>2163</v>
      </c>
      <c r="C137" t="b">
        <v>1</v>
      </c>
      <c r="D137">
        <v>8042</v>
      </c>
      <c r="E137">
        <v>8123</v>
      </c>
      <c r="F137">
        <v>7.2</v>
      </c>
      <c r="G137">
        <v>12</v>
      </c>
      <c r="H137">
        <v>0.59999996</v>
      </c>
      <c r="I137">
        <v>0.4</v>
      </c>
      <c r="J137">
        <v>0.625</v>
      </c>
    </row>
    <row r="138" spans="1:10" x14ac:dyDescent="0.3">
      <c r="A138">
        <v>136</v>
      </c>
      <c r="B138">
        <v>2179</v>
      </c>
      <c r="C138" t="b">
        <v>1</v>
      </c>
      <c r="D138">
        <v>8042</v>
      </c>
      <c r="E138">
        <v>8123</v>
      </c>
      <c r="F138">
        <v>6.8</v>
      </c>
      <c r="G138">
        <v>12</v>
      </c>
      <c r="H138">
        <v>0.56666665999999999</v>
      </c>
      <c r="I138">
        <v>0.43333329999999998</v>
      </c>
      <c r="J138">
        <v>0.63829789999999997</v>
      </c>
    </row>
    <row r="139" spans="1:10" x14ac:dyDescent="0.3">
      <c r="A139">
        <v>137</v>
      </c>
      <c r="B139">
        <v>2195</v>
      </c>
      <c r="C139" t="b">
        <v>1</v>
      </c>
      <c r="D139">
        <v>8042</v>
      </c>
      <c r="E139">
        <v>8123</v>
      </c>
      <c r="F139">
        <v>6.4</v>
      </c>
      <c r="G139">
        <v>12</v>
      </c>
      <c r="H139">
        <v>0.53333335999999998</v>
      </c>
      <c r="I139">
        <v>0.46666667000000001</v>
      </c>
      <c r="J139">
        <v>0.65217393999999995</v>
      </c>
    </row>
    <row r="140" spans="1:10" x14ac:dyDescent="0.3">
      <c r="A140">
        <v>138</v>
      </c>
      <c r="B140">
        <v>2211</v>
      </c>
      <c r="C140" t="b">
        <v>1</v>
      </c>
      <c r="D140">
        <v>8048</v>
      </c>
      <c r="E140">
        <v>8123</v>
      </c>
      <c r="F140">
        <v>6</v>
      </c>
      <c r="G140">
        <v>12</v>
      </c>
      <c r="H140">
        <v>0.5</v>
      </c>
      <c r="I140">
        <v>0.5</v>
      </c>
      <c r="J140">
        <v>0.66666669999999995</v>
      </c>
    </row>
    <row r="141" spans="1:10" x14ac:dyDescent="0.3">
      <c r="A141">
        <v>139</v>
      </c>
      <c r="B141">
        <v>2226</v>
      </c>
      <c r="C141" t="b">
        <v>1</v>
      </c>
      <c r="D141">
        <v>8042</v>
      </c>
      <c r="E141">
        <v>8129</v>
      </c>
      <c r="F141">
        <v>5.6</v>
      </c>
      <c r="G141">
        <v>11.6</v>
      </c>
      <c r="H141">
        <v>0.48275859999999998</v>
      </c>
      <c r="I141">
        <v>0.51724139999999996</v>
      </c>
      <c r="J141">
        <v>0.67441857000000005</v>
      </c>
    </row>
    <row r="142" spans="1:10" x14ac:dyDescent="0.3">
      <c r="A142">
        <v>140</v>
      </c>
      <c r="B142">
        <v>2242</v>
      </c>
      <c r="C142" t="b">
        <v>1</v>
      </c>
      <c r="D142">
        <v>8048</v>
      </c>
      <c r="E142">
        <v>8123</v>
      </c>
      <c r="F142">
        <v>5.2</v>
      </c>
      <c r="G142">
        <v>11.2</v>
      </c>
      <c r="H142">
        <v>0.46428570000000002</v>
      </c>
      <c r="I142">
        <v>0.53571427000000005</v>
      </c>
      <c r="J142">
        <v>0.68292682999999998</v>
      </c>
    </row>
    <row r="143" spans="1:10" x14ac:dyDescent="0.3">
      <c r="A143">
        <v>141</v>
      </c>
      <c r="B143">
        <v>2258</v>
      </c>
      <c r="C143" t="b">
        <v>1</v>
      </c>
      <c r="D143">
        <v>8048</v>
      </c>
      <c r="E143">
        <v>8123</v>
      </c>
      <c r="F143">
        <v>5.2</v>
      </c>
      <c r="G143">
        <v>10.8</v>
      </c>
      <c r="H143">
        <v>0.48148146000000003</v>
      </c>
      <c r="I143">
        <v>0.51851857000000001</v>
      </c>
      <c r="J143">
        <v>0.67500000000000004</v>
      </c>
    </row>
    <row r="144" spans="1:10" x14ac:dyDescent="0.3">
      <c r="A144">
        <v>142</v>
      </c>
      <c r="B144">
        <v>2274</v>
      </c>
      <c r="C144" t="b">
        <v>1</v>
      </c>
      <c r="D144">
        <v>8054</v>
      </c>
      <c r="E144">
        <v>8123</v>
      </c>
      <c r="F144">
        <v>5.6</v>
      </c>
      <c r="G144">
        <v>10.4</v>
      </c>
      <c r="H144">
        <v>0.53846156999999994</v>
      </c>
      <c r="I144">
        <v>0.46153845999999998</v>
      </c>
      <c r="J144">
        <v>0.65</v>
      </c>
    </row>
    <row r="145" spans="1:10" x14ac:dyDescent="0.3">
      <c r="A145">
        <v>143</v>
      </c>
      <c r="B145">
        <v>2290</v>
      </c>
      <c r="C145" t="b">
        <v>1</v>
      </c>
      <c r="D145">
        <v>8054</v>
      </c>
      <c r="E145">
        <v>8134</v>
      </c>
      <c r="F145">
        <v>6</v>
      </c>
      <c r="G145">
        <v>10</v>
      </c>
      <c r="H145">
        <v>0.6</v>
      </c>
      <c r="I145">
        <v>0.4</v>
      </c>
      <c r="J145">
        <v>0.625</v>
      </c>
    </row>
    <row r="146" spans="1:10" x14ac:dyDescent="0.3">
      <c r="A146">
        <v>144</v>
      </c>
      <c r="B146">
        <v>2306</v>
      </c>
      <c r="C146" t="b">
        <v>1</v>
      </c>
      <c r="D146">
        <v>8054</v>
      </c>
      <c r="E146">
        <v>8123</v>
      </c>
      <c r="F146">
        <v>6.4</v>
      </c>
      <c r="G146">
        <v>9.6</v>
      </c>
      <c r="H146">
        <v>0.6666666</v>
      </c>
      <c r="I146">
        <v>0.33333333999999998</v>
      </c>
      <c r="J146">
        <v>0.6</v>
      </c>
    </row>
    <row r="147" spans="1:10" x14ac:dyDescent="0.3">
      <c r="A147">
        <v>145</v>
      </c>
      <c r="B147">
        <v>2322</v>
      </c>
      <c r="C147" t="b">
        <v>1</v>
      </c>
      <c r="D147">
        <v>8054</v>
      </c>
      <c r="E147">
        <v>8129</v>
      </c>
      <c r="F147">
        <v>6.8</v>
      </c>
      <c r="G147">
        <v>9.1999999999999993</v>
      </c>
      <c r="H147">
        <v>0.73913050000000002</v>
      </c>
      <c r="I147">
        <v>0.26086953000000002</v>
      </c>
      <c r="J147">
        <v>0.57499999999999996</v>
      </c>
    </row>
    <row r="148" spans="1:10" x14ac:dyDescent="0.3">
      <c r="A148">
        <v>146</v>
      </c>
      <c r="B148">
        <v>2338</v>
      </c>
      <c r="C148" t="b">
        <v>1</v>
      </c>
      <c r="D148">
        <v>8048</v>
      </c>
      <c r="E148">
        <v>8129</v>
      </c>
      <c r="F148">
        <v>7.2</v>
      </c>
      <c r="G148">
        <v>9.1999999999999993</v>
      </c>
      <c r="H148">
        <v>0.78260870000000005</v>
      </c>
      <c r="I148">
        <v>0.21739131</v>
      </c>
      <c r="J148">
        <v>0.56097560000000002</v>
      </c>
    </row>
    <row r="149" spans="1:10" x14ac:dyDescent="0.3">
      <c r="A149">
        <v>147</v>
      </c>
      <c r="B149">
        <v>2353</v>
      </c>
      <c r="C149" t="b">
        <v>1</v>
      </c>
      <c r="D149">
        <v>8054</v>
      </c>
      <c r="E149">
        <v>8129</v>
      </c>
      <c r="F149">
        <v>7.6</v>
      </c>
      <c r="G149">
        <v>9.1999999999999993</v>
      </c>
      <c r="H149">
        <v>0.82608694000000005</v>
      </c>
      <c r="I149">
        <v>0.17391303</v>
      </c>
      <c r="J149">
        <v>0.54761903999999995</v>
      </c>
    </row>
    <row r="150" spans="1:10" x14ac:dyDescent="0.3">
      <c r="A150">
        <v>148</v>
      </c>
      <c r="B150">
        <v>2369</v>
      </c>
      <c r="C150" t="b">
        <v>1</v>
      </c>
      <c r="D150">
        <v>8042</v>
      </c>
      <c r="E150">
        <v>8129</v>
      </c>
      <c r="F150">
        <v>8</v>
      </c>
      <c r="G150">
        <v>9.1999999999999993</v>
      </c>
      <c r="H150">
        <v>0.86956524999999996</v>
      </c>
      <c r="I150">
        <v>0.13043477000000001</v>
      </c>
      <c r="J150">
        <v>0.53488369999999996</v>
      </c>
    </row>
    <row r="151" spans="1:10" x14ac:dyDescent="0.3">
      <c r="A151">
        <v>149</v>
      </c>
      <c r="B151">
        <v>2385</v>
      </c>
      <c r="C151" t="b">
        <v>1</v>
      </c>
      <c r="D151">
        <v>8042</v>
      </c>
      <c r="E151">
        <v>8123</v>
      </c>
      <c r="F151">
        <v>8</v>
      </c>
      <c r="G151">
        <v>9.6</v>
      </c>
      <c r="H151">
        <v>0.83333330000000005</v>
      </c>
      <c r="I151">
        <v>0.1666667</v>
      </c>
      <c r="J151">
        <v>0.54545456000000003</v>
      </c>
    </row>
    <row r="152" spans="1:10" x14ac:dyDescent="0.3">
      <c r="A152">
        <v>150</v>
      </c>
      <c r="B152">
        <v>2401</v>
      </c>
      <c r="C152" t="b">
        <v>1</v>
      </c>
      <c r="D152">
        <v>8042</v>
      </c>
      <c r="E152">
        <v>8123</v>
      </c>
      <c r="F152">
        <v>7.6</v>
      </c>
      <c r="G152">
        <v>10</v>
      </c>
      <c r="H152">
        <v>0.76</v>
      </c>
      <c r="I152">
        <v>0.24000001000000001</v>
      </c>
      <c r="J152">
        <v>0.56818179999999996</v>
      </c>
    </row>
    <row r="153" spans="1:10" x14ac:dyDescent="0.3">
      <c r="A153">
        <v>151</v>
      </c>
      <c r="B153">
        <v>2417</v>
      </c>
      <c r="C153" t="b">
        <v>1</v>
      </c>
      <c r="D153">
        <v>8042</v>
      </c>
      <c r="E153">
        <v>8123</v>
      </c>
      <c r="F153">
        <v>7.6</v>
      </c>
      <c r="G153">
        <v>10</v>
      </c>
      <c r="H153">
        <v>0.76</v>
      </c>
      <c r="I153">
        <v>0.24000001000000001</v>
      </c>
      <c r="J153">
        <v>0.56818179999999996</v>
      </c>
    </row>
    <row r="154" spans="1:10" x14ac:dyDescent="0.3">
      <c r="A154">
        <v>152</v>
      </c>
      <c r="B154">
        <v>2433</v>
      </c>
      <c r="C154" t="b">
        <v>1</v>
      </c>
      <c r="D154">
        <v>8042</v>
      </c>
      <c r="E154">
        <v>8123</v>
      </c>
      <c r="F154">
        <v>7.6</v>
      </c>
      <c r="G154">
        <v>10</v>
      </c>
      <c r="H154">
        <v>0.76</v>
      </c>
      <c r="I154">
        <v>0.24000001000000001</v>
      </c>
      <c r="J154">
        <v>0.56818179999999996</v>
      </c>
    </row>
    <row r="155" spans="1:10" x14ac:dyDescent="0.3">
      <c r="A155">
        <v>153</v>
      </c>
      <c r="B155">
        <v>2449</v>
      </c>
      <c r="C155" t="b">
        <v>1</v>
      </c>
      <c r="D155">
        <v>8048</v>
      </c>
      <c r="E155">
        <v>8123</v>
      </c>
      <c r="F155">
        <v>7.6</v>
      </c>
      <c r="G155">
        <v>10</v>
      </c>
      <c r="H155">
        <v>0.76</v>
      </c>
      <c r="I155">
        <v>0.24000001000000001</v>
      </c>
      <c r="J155">
        <v>0.56818179999999996</v>
      </c>
    </row>
    <row r="156" spans="1:10" x14ac:dyDescent="0.3">
      <c r="A156">
        <v>154</v>
      </c>
      <c r="B156">
        <v>2464</v>
      </c>
      <c r="C156" t="b">
        <v>1</v>
      </c>
      <c r="D156">
        <v>8042</v>
      </c>
      <c r="E156">
        <v>8123</v>
      </c>
      <c r="F156">
        <v>7.6</v>
      </c>
      <c r="G156">
        <v>10</v>
      </c>
      <c r="H156">
        <v>0.76</v>
      </c>
      <c r="I156">
        <v>0.24000001000000001</v>
      </c>
      <c r="J156">
        <v>0.56818179999999996</v>
      </c>
    </row>
    <row r="157" spans="1:10" x14ac:dyDescent="0.3">
      <c r="A157">
        <v>155</v>
      </c>
      <c r="B157">
        <v>2480</v>
      </c>
      <c r="C157" t="b">
        <v>1</v>
      </c>
      <c r="D157">
        <v>8048</v>
      </c>
      <c r="E157">
        <v>8117</v>
      </c>
      <c r="F157">
        <v>7.6</v>
      </c>
      <c r="G157">
        <v>10</v>
      </c>
      <c r="H157">
        <v>0.76</v>
      </c>
      <c r="I157">
        <v>0.24000001000000001</v>
      </c>
      <c r="J157">
        <v>0.56818179999999996</v>
      </c>
    </row>
    <row r="158" spans="1:10" x14ac:dyDescent="0.3">
      <c r="A158">
        <v>156</v>
      </c>
      <c r="B158">
        <v>2496</v>
      </c>
      <c r="C158" t="b">
        <v>1</v>
      </c>
      <c r="D158">
        <v>8048</v>
      </c>
      <c r="E158">
        <v>8123</v>
      </c>
      <c r="F158">
        <v>7.6</v>
      </c>
      <c r="G158">
        <v>10</v>
      </c>
      <c r="H158">
        <v>0.76</v>
      </c>
      <c r="I158">
        <v>0.24000001000000001</v>
      </c>
      <c r="J158">
        <v>0.56818179999999996</v>
      </c>
    </row>
    <row r="159" spans="1:10" x14ac:dyDescent="0.3">
      <c r="A159">
        <v>157</v>
      </c>
      <c r="B159">
        <v>2512</v>
      </c>
      <c r="C159" t="b">
        <v>1</v>
      </c>
      <c r="D159">
        <v>8048</v>
      </c>
      <c r="E159">
        <v>8123</v>
      </c>
      <c r="F159">
        <v>7.6</v>
      </c>
      <c r="G159">
        <v>10</v>
      </c>
      <c r="H159">
        <v>0.76</v>
      </c>
      <c r="I159">
        <v>0.24000001000000001</v>
      </c>
      <c r="J159">
        <v>0.56818179999999996</v>
      </c>
    </row>
    <row r="160" spans="1:10" x14ac:dyDescent="0.3">
      <c r="A160">
        <v>158</v>
      </c>
      <c r="B160">
        <v>2528</v>
      </c>
      <c r="C160" t="b">
        <v>1</v>
      </c>
      <c r="D160">
        <v>8048</v>
      </c>
      <c r="E160">
        <v>8123</v>
      </c>
      <c r="F160">
        <v>7.6</v>
      </c>
      <c r="G160">
        <v>10</v>
      </c>
      <c r="H160">
        <v>0.76</v>
      </c>
      <c r="I160">
        <v>0.24000001000000001</v>
      </c>
      <c r="J160">
        <v>0.56818179999999996</v>
      </c>
    </row>
    <row r="161" spans="1:10" x14ac:dyDescent="0.3">
      <c r="A161">
        <v>159</v>
      </c>
      <c r="B161">
        <v>2543</v>
      </c>
      <c r="C161" t="b">
        <v>1</v>
      </c>
      <c r="D161">
        <v>8048</v>
      </c>
      <c r="E161">
        <v>8117</v>
      </c>
      <c r="F161">
        <v>7.2</v>
      </c>
      <c r="G161">
        <v>10</v>
      </c>
      <c r="H161">
        <v>0.71999997000000004</v>
      </c>
      <c r="I161">
        <v>0.28000003000000001</v>
      </c>
      <c r="J161">
        <v>0.58139529999999995</v>
      </c>
    </row>
    <row r="162" spans="1:10" x14ac:dyDescent="0.3">
      <c r="A162">
        <v>160</v>
      </c>
      <c r="B162">
        <v>2559</v>
      </c>
      <c r="C162" t="b">
        <v>1</v>
      </c>
      <c r="D162">
        <v>8042</v>
      </c>
      <c r="E162">
        <v>8123</v>
      </c>
      <c r="F162">
        <v>6.8</v>
      </c>
      <c r="G162">
        <v>10</v>
      </c>
      <c r="H162">
        <v>0.68</v>
      </c>
      <c r="I162">
        <v>0.32</v>
      </c>
      <c r="J162">
        <v>0.59523815000000002</v>
      </c>
    </row>
    <row r="163" spans="1:10" x14ac:dyDescent="0.3">
      <c r="A163">
        <v>161</v>
      </c>
      <c r="B163">
        <v>2575</v>
      </c>
      <c r="C163" t="b">
        <v>1</v>
      </c>
      <c r="D163">
        <v>8048</v>
      </c>
      <c r="E163">
        <v>8123</v>
      </c>
      <c r="F163">
        <v>6.4</v>
      </c>
      <c r="G163">
        <v>9.6</v>
      </c>
      <c r="H163">
        <v>0.6666666</v>
      </c>
      <c r="I163">
        <v>0.33333333999999998</v>
      </c>
      <c r="J163">
        <v>0.6</v>
      </c>
    </row>
    <row r="164" spans="1:10" x14ac:dyDescent="0.3">
      <c r="A164">
        <v>162</v>
      </c>
      <c r="B164">
        <v>2591</v>
      </c>
      <c r="C164" t="b">
        <v>1</v>
      </c>
      <c r="D164">
        <v>8048</v>
      </c>
      <c r="E164">
        <v>8129</v>
      </c>
      <c r="F164">
        <v>6</v>
      </c>
      <c r="G164">
        <v>9.1999999999999993</v>
      </c>
      <c r="H164">
        <v>0.65217393999999995</v>
      </c>
      <c r="I164">
        <v>0.34782605999999999</v>
      </c>
      <c r="J164">
        <v>0.6052632</v>
      </c>
    </row>
    <row r="165" spans="1:10" x14ac:dyDescent="0.3">
      <c r="A165">
        <v>163</v>
      </c>
      <c r="B165">
        <v>2607</v>
      </c>
      <c r="C165" t="b">
        <v>1</v>
      </c>
      <c r="D165">
        <v>8048</v>
      </c>
      <c r="E165">
        <v>8123</v>
      </c>
      <c r="F165">
        <v>5.6</v>
      </c>
      <c r="G165">
        <v>8.8000000000000007</v>
      </c>
      <c r="H165">
        <v>0.63636360000000003</v>
      </c>
      <c r="I165">
        <v>0.36363636999999999</v>
      </c>
      <c r="J165">
        <v>0.61111115999999999</v>
      </c>
    </row>
    <row r="166" spans="1:10" x14ac:dyDescent="0.3">
      <c r="A166">
        <v>164</v>
      </c>
      <c r="B166">
        <v>2623</v>
      </c>
      <c r="C166" t="b">
        <v>1</v>
      </c>
      <c r="D166">
        <v>8048</v>
      </c>
      <c r="E166">
        <v>8134</v>
      </c>
      <c r="F166">
        <v>5.6</v>
      </c>
      <c r="G166">
        <v>8.4</v>
      </c>
      <c r="H166">
        <v>0.66666669999999995</v>
      </c>
      <c r="I166">
        <v>0.3333333</v>
      </c>
      <c r="J166">
        <v>0.59999996</v>
      </c>
    </row>
    <row r="167" spans="1:10" x14ac:dyDescent="0.3">
      <c r="A167">
        <v>165</v>
      </c>
      <c r="B167">
        <v>2639</v>
      </c>
      <c r="C167" t="b">
        <v>1</v>
      </c>
      <c r="D167">
        <v>8048</v>
      </c>
      <c r="E167">
        <v>8129</v>
      </c>
      <c r="F167">
        <v>6</v>
      </c>
      <c r="G167">
        <v>8.4</v>
      </c>
      <c r="H167">
        <v>0.71428572999999995</v>
      </c>
      <c r="I167">
        <v>0.28571424000000001</v>
      </c>
      <c r="J167">
        <v>0.58333330000000005</v>
      </c>
    </row>
    <row r="168" spans="1:10" x14ac:dyDescent="0.3">
      <c r="A168">
        <v>166</v>
      </c>
      <c r="B168">
        <v>2655</v>
      </c>
      <c r="C168" t="b">
        <v>1</v>
      </c>
      <c r="D168">
        <v>8042</v>
      </c>
      <c r="E168">
        <v>8123</v>
      </c>
      <c r="F168">
        <v>6.4</v>
      </c>
      <c r="G168">
        <v>8.8000000000000007</v>
      </c>
      <c r="H168">
        <v>0.72727275000000002</v>
      </c>
      <c r="I168">
        <v>0.27272728000000002</v>
      </c>
      <c r="J168">
        <v>0.57894736999999996</v>
      </c>
    </row>
    <row r="169" spans="1:10" x14ac:dyDescent="0.3">
      <c r="A169">
        <v>167</v>
      </c>
      <c r="B169">
        <v>2671</v>
      </c>
      <c r="C169" t="b">
        <v>1</v>
      </c>
      <c r="D169">
        <v>8048</v>
      </c>
      <c r="E169">
        <v>8123</v>
      </c>
      <c r="F169">
        <v>6.8</v>
      </c>
      <c r="G169">
        <v>8.8000000000000007</v>
      </c>
      <c r="H169">
        <v>0.77272724999999998</v>
      </c>
      <c r="I169">
        <v>0.22727272000000001</v>
      </c>
      <c r="J169">
        <v>0.56410260000000001</v>
      </c>
    </row>
    <row r="170" spans="1:10" x14ac:dyDescent="0.3">
      <c r="A170">
        <v>168</v>
      </c>
      <c r="B170">
        <v>2686</v>
      </c>
      <c r="C170" t="b">
        <v>1</v>
      </c>
      <c r="D170">
        <v>8048</v>
      </c>
      <c r="E170">
        <v>8123</v>
      </c>
      <c r="F170">
        <v>7.2</v>
      </c>
      <c r="G170">
        <v>8.8000000000000007</v>
      </c>
      <c r="H170">
        <v>0.81818175000000004</v>
      </c>
      <c r="I170">
        <v>0.18181822</v>
      </c>
      <c r="J170">
        <v>0.55000000000000004</v>
      </c>
    </row>
    <row r="171" spans="1:10" x14ac:dyDescent="0.3">
      <c r="A171">
        <v>169</v>
      </c>
      <c r="B171">
        <v>2703</v>
      </c>
      <c r="C171" t="b">
        <v>1</v>
      </c>
      <c r="D171">
        <v>8048</v>
      </c>
      <c r="E171">
        <v>8129</v>
      </c>
      <c r="F171">
        <v>7.6</v>
      </c>
      <c r="G171">
        <v>8.8000000000000007</v>
      </c>
      <c r="H171">
        <v>0.86363630000000002</v>
      </c>
      <c r="I171">
        <v>0.13636366999999999</v>
      </c>
      <c r="J171">
        <v>0.53658539999999999</v>
      </c>
    </row>
    <row r="172" spans="1:10" x14ac:dyDescent="0.3">
      <c r="A172">
        <v>170</v>
      </c>
      <c r="B172">
        <v>2718</v>
      </c>
      <c r="C172" t="b">
        <v>1</v>
      </c>
      <c r="D172">
        <v>8054</v>
      </c>
      <c r="E172">
        <v>8123</v>
      </c>
      <c r="F172">
        <v>8</v>
      </c>
      <c r="G172">
        <v>8.8000000000000007</v>
      </c>
      <c r="H172">
        <v>0.90909090000000004</v>
      </c>
      <c r="I172">
        <v>9.0909110000000001E-2</v>
      </c>
      <c r="J172">
        <v>0.52380954999999996</v>
      </c>
    </row>
    <row r="173" spans="1:10" x14ac:dyDescent="0.3">
      <c r="A173">
        <v>171</v>
      </c>
      <c r="B173">
        <v>2734</v>
      </c>
      <c r="C173" t="b">
        <v>1</v>
      </c>
      <c r="D173">
        <v>8054</v>
      </c>
      <c r="E173">
        <v>8129</v>
      </c>
      <c r="F173">
        <v>8</v>
      </c>
      <c r="G173">
        <v>8.8000000000000007</v>
      </c>
      <c r="H173">
        <v>0.90909090000000004</v>
      </c>
      <c r="I173">
        <v>9.0909110000000001E-2</v>
      </c>
      <c r="J173">
        <v>0.52380954999999996</v>
      </c>
    </row>
    <row r="174" spans="1:10" x14ac:dyDescent="0.3">
      <c r="A174">
        <v>172</v>
      </c>
      <c r="B174">
        <v>2750</v>
      </c>
      <c r="C174" t="b">
        <v>1</v>
      </c>
      <c r="D174">
        <v>8054</v>
      </c>
      <c r="E174">
        <v>8123</v>
      </c>
      <c r="F174">
        <v>8.4</v>
      </c>
      <c r="G174">
        <v>8.8000000000000007</v>
      </c>
      <c r="H174">
        <v>0.95454539999999999</v>
      </c>
      <c r="I174">
        <v>4.5454609999999999E-2</v>
      </c>
      <c r="J174">
        <v>0.51162790000000002</v>
      </c>
    </row>
    <row r="175" spans="1:10" x14ac:dyDescent="0.3">
      <c r="A175">
        <v>173</v>
      </c>
      <c r="B175">
        <v>2766</v>
      </c>
      <c r="C175" t="b">
        <v>1</v>
      </c>
      <c r="D175">
        <v>8054</v>
      </c>
      <c r="E175">
        <v>8123</v>
      </c>
      <c r="F175">
        <v>8.8000000000000007</v>
      </c>
      <c r="G175">
        <v>8.8000000000000007</v>
      </c>
      <c r="H175">
        <v>1</v>
      </c>
      <c r="I175">
        <v>0</v>
      </c>
      <c r="J175">
        <v>0.5</v>
      </c>
    </row>
    <row r="176" spans="1:10" x14ac:dyDescent="0.3">
      <c r="A176">
        <v>174</v>
      </c>
      <c r="B176">
        <v>2782</v>
      </c>
      <c r="C176" t="b">
        <v>1</v>
      </c>
      <c r="D176">
        <v>8048</v>
      </c>
      <c r="E176">
        <v>8123</v>
      </c>
      <c r="F176">
        <v>9.1999999999999993</v>
      </c>
      <c r="G176">
        <v>8.8000000000000007</v>
      </c>
      <c r="H176">
        <v>1.0454545</v>
      </c>
      <c r="I176">
        <v>-4.5454502000000001E-2</v>
      </c>
      <c r="J176">
        <v>0.48888890000000002</v>
      </c>
    </row>
    <row r="177" spans="1:10" x14ac:dyDescent="0.3">
      <c r="A177">
        <v>175</v>
      </c>
      <c r="B177">
        <v>2798</v>
      </c>
      <c r="C177" t="b">
        <v>1</v>
      </c>
      <c r="D177">
        <v>8048</v>
      </c>
      <c r="E177">
        <v>8123</v>
      </c>
      <c r="F177">
        <v>9.6</v>
      </c>
      <c r="G177">
        <v>8.8000000000000007</v>
      </c>
      <c r="H177">
        <v>1.0909091</v>
      </c>
      <c r="I177">
        <v>-9.0909110000000001E-2</v>
      </c>
      <c r="J177">
        <v>0.47826084000000002</v>
      </c>
    </row>
    <row r="178" spans="1:10" x14ac:dyDescent="0.3">
      <c r="A178">
        <v>176</v>
      </c>
      <c r="B178">
        <v>2814</v>
      </c>
      <c r="C178" t="b">
        <v>1</v>
      </c>
      <c r="D178">
        <v>8048</v>
      </c>
      <c r="E178">
        <v>8123</v>
      </c>
      <c r="F178">
        <v>9.6</v>
      </c>
      <c r="G178">
        <v>8.8000000000000007</v>
      </c>
      <c r="H178">
        <v>1.0909091</v>
      </c>
      <c r="I178">
        <v>-9.0909110000000001E-2</v>
      </c>
      <c r="J178">
        <v>0.47826084000000002</v>
      </c>
    </row>
    <row r="179" spans="1:10" x14ac:dyDescent="0.3">
      <c r="A179">
        <v>177</v>
      </c>
      <c r="B179">
        <v>2830</v>
      </c>
      <c r="C179" t="b">
        <v>1</v>
      </c>
      <c r="D179">
        <v>8042</v>
      </c>
      <c r="E179">
        <v>8129</v>
      </c>
      <c r="F179">
        <v>9.6</v>
      </c>
      <c r="G179">
        <v>8.8000000000000007</v>
      </c>
      <c r="H179">
        <v>1.0909091</v>
      </c>
      <c r="I179">
        <v>-9.0909110000000001E-2</v>
      </c>
      <c r="J179">
        <v>0.47826084000000002</v>
      </c>
    </row>
    <row r="180" spans="1:10" x14ac:dyDescent="0.3">
      <c r="A180">
        <v>178</v>
      </c>
      <c r="B180">
        <v>2846</v>
      </c>
      <c r="C180" t="b">
        <v>1</v>
      </c>
      <c r="D180">
        <v>8048</v>
      </c>
      <c r="E180">
        <v>8123</v>
      </c>
      <c r="F180">
        <v>9.6</v>
      </c>
      <c r="G180">
        <v>8.8000000000000007</v>
      </c>
      <c r="H180">
        <v>1.0909091</v>
      </c>
      <c r="I180">
        <v>-9.0909110000000001E-2</v>
      </c>
      <c r="J180">
        <v>0.47826084000000002</v>
      </c>
    </row>
    <row r="181" spans="1:10" x14ac:dyDescent="0.3">
      <c r="A181">
        <v>179</v>
      </c>
      <c r="B181">
        <v>2861</v>
      </c>
      <c r="C181" t="b">
        <v>1</v>
      </c>
      <c r="D181">
        <v>8048</v>
      </c>
      <c r="E181">
        <v>8123</v>
      </c>
      <c r="F181">
        <v>9.6</v>
      </c>
      <c r="G181">
        <v>8.8000000000000007</v>
      </c>
      <c r="H181">
        <v>1.0909091</v>
      </c>
      <c r="I181">
        <v>-9.0909110000000001E-2</v>
      </c>
      <c r="J181">
        <v>0.47826084000000002</v>
      </c>
    </row>
    <row r="182" spans="1:10" x14ac:dyDescent="0.3">
      <c r="A182">
        <v>180</v>
      </c>
      <c r="B182">
        <v>2877</v>
      </c>
      <c r="C182" t="b">
        <v>1</v>
      </c>
      <c r="D182">
        <v>8048</v>
      </c>
      <c r="E182">
        <v>8129</v>
      </c>
      <c r="F182">
        <v>9.6</v>
      </c>
      <c r="G182">
        <v>8.4</v>
      </c>
      <c r="H182">
        <v>1.1428571999999999</v>
      </c>
      <c r="I182">
        <v>-0.14285724</v>
      </c>
      <c r="J182">
        <v>0.46666664000000002</v>
      </c>
    </row>
    <row r="183" spans="1:10" x14ac:dyDescent="0.3">
      <c r="A183">
        <v>181</v>
      </c>
      <c r="B183">
        <v>2893</v>
      </c>
      <c r="C183" t="b">
        <v>1</v>
      </c>
      <c r="D183">
        <v>8048</v>
      </c>
      <c r="E183">
        <v>8129</v>
      </c>
      <c r="F183">
        <v>9.6</v>
      </c>
      <c r="G183">
        <v>8.4</v>
      </c>
      <c r="H183">
        <v>1.1428571999999999</v>
      </c>
      <c r="I183">
        <v>-0.14285724</v>
      </c>
      <c r="J183">
        <v>0.46666664000000002</v>
      </c>
    </row>
    <row r="184" spans="1:10" x14ac:dyDescent="0.3">
      <c r="A184">
        <v>182</v>
      </c>
      <c r="B184">
        <v>2909</v>
      </c>
      <c r="C184" t="b">
        <v>1</v>
      </c>
      <c r="D184">
        <v>8048</v>
      </c>
      <c r="E184">
        <v>8129</v>
      </c>
      <c r="F184">
        <v>9.6</v>
      </c>
      <c r="G184">
        <v>8.8000000000000007</v>
      </c>
      <c r="H184">
        <v>1.0909091</v>
      </c>
      <c r="I184">
        <v>-9.0909110000000001E-2</v>
      </c>
      <c r="J184">
        <v>0.47826084000000002</v>
      </c>
    </row>
    <row r="185" spans="1:10" x14ac:dyDescent="0.3">
      <c r="A185">
        <v>183</v>
      </c>
      <c r="B185">
        <v>2925</v>
      </c>
      <c r="C185" t="b">
        <v>1</v>
      </c>
      <c r="D185">
        <v>8048</v>
      </c>
      <c r="E185">
        <v>8134</v>
      </c>
      <c r="F185">
        <v>9.6</v>
      </c>
      <c r="G185">
        <v>9.1999999999999993</v>
      </c>
      <c r="H185">
        <v>1.0434783999999999</v>
      </c>
      <c r="I185">
        <v>-4.3478324999999998E-2</v>
      </c>
      <c r="J185">
        <v>0.48936170000000001</v>
      </c>
    </row>
    <row r="186" spans="1:10" x14ac:dyDescent="0.3">
      <c r="A186">
        <v>184</v>
      </c>
      <c r="B186">
        <v>2941</v>
      </c>
      <c r="C186" t="b">
        <v>1</v>
      </c>
      <c r="D186">
        <v>8048</v>
      </c>
      <c r="E186">
        <v>8123</v>
      </c>
      <c r="F186">
        <v>9.6</v>
      </c>
      <c r="G186">
        <v>9.6</v>
      </c>
      <c r="H186">
        <v>1</v>
      </c>
      <c r="I186">
        <v>0</v>
      </c>
      <c r="J186">
        <v>0.5</v>
      </c>
    </row>
    <row r="187" spans="1:10" x14ac:dyDescent="0.3">
      <c r="A187">
        <v>185</v>
      </c>
      <c r="B187">
        <v>2957</v>
      </c>
      <c r="C187" t="b">
        <v>1</v>
      </c>
      <c r="D187">
        <v>8048</v>
      </c>
      <c r="E187">
        <v>8123</v>
      </c>
      <c r="F187">
        <v>9.6</v>
      </c>
      <c r="G187">
        <v>10</v>
      </c>
      <c r="H187">
        <v>0.96000004000000005</v>
      </c>
      <c r="I187">
        <v>3.9999960000000001E-2</v>
      </c>
      <c r="J187">
        <v>0.51020410000000005</v>
      </c>
    </row>
    <row r="188" spans="1:10" x14ac:dyDescent="0.3">
      <c r="A188">
        <v>186</v>
      </c>
      <c r="B188">
        <v>2973</v>
      </c>
      <c r="C188" t="b">
        <v>1</v>
      </c>
      <c r="D188">
        <v>8042</v>
      </c>
      <c r="E188">
        <v>8123</v>
      </c>
      <c r="F188">
        <v>9.6</v>
      </c>
      <c r="G188">
        <v>10</v>
      </c>
      <c r="H188">
        <v>0.96000004000000005</v>
      </c>
      <c r="I188">
        <v>3.9999960000000001E-2</v>
      </c>
      <c r="J188">
        <v>0.51020410000000005</v>
      </c>
    </row>
    <row r="189" spans="1:10" x14ac:dyDescent="0.3">
      <c r="A189">
        <v>187</v>
      </c>
      <c r="B189">
        <v>2989</v>
      </c>
      <c r="C189" t="b">
        <v>1</v>
      </c>
      <c r="D189">
        <v>8048</v>
      </c>
      <c r="E189">
        <v>8123</v>
      </c>
      <c r="F189">
        <v>9.1999999999999993</v>
      </c>
      <c r="G189">
        <v>10</v>
      </c>
      <c r="H189">
        <v>0.91999995999999995</v>
      </c>
      <c r="I189">
        <v>8.0000020000000005E-2</v>
      </c>
      <c r="J189">
        <v>0.52083330000000005</v>
      </c>
    </row>
    <row r="190" spans="1:10" x14ac:dyDescent="0.3">
      <c r="A190">
        <v>188</v>
      </c>
      <c r="B190">
        <v>3005</v>
      </c>
      <c r="C190" t="b">
        <v>1</v>
      </c>
      <c r="D190">
        <v>8048</v>
      </c>
      <c r="E190">
        <v>8123</v>
      </c>
      <c r="F190">
        <v>8.8000000000000007</v>
      </c>
      <c r="G190">
        <v>10</v>
      </c>
      <c r="H190">
        <v>0.88</v>
      </c>
      <c r="I190">
        <v>0.11999998000000001</v>
      </c>
      <c r="J190">
        <v>0.53191489999999997</v>
      </c>
    </row>
    <row r="191" spans="1:10" x14ac:dyDescent="0.3">
      <c r="A191">
        <v>189</v>
      </c>
      <c r="B191">
        <v>3020</v>
      </c>
      <c r="C191" t="b">
        <v>1</v>
      </c>
      <c r="D191">
        <v>8042</v>
      </c>
      <c r="E191">
        <v>8123</v>
      </c>
      <c r="F191">
        <v>8.4</v>
      </c>
      <c r="G191">
        <v>10</v>
      </c>
      <c r="H191">
        <v>0.84</v>
      </c>
      <c r="I191">
        <v>0.16000004000000001</v>
      </c>
      <c r="J191">
        <v>0.54347825000000005</v>
      </c>
    </row>
    <row r="192" spans="1:10" x14ac:dyDescent="0.3">
      <c r="A192">
        <v>190</v>
      </c>
      <c r="B192">
        <v>3036</v>
      </c>
      <c r="C192" t="b">
        <v>1</v>
      </c>
      <c r="D192">
        <v>8048</v>
      </c>
      <c r="E192">
        <v>8123</v>
      </c>
      <c r="F192">
        <v>8</v>
      </c>
      <c r="G192">
        <v>10</v>
      </c>
      <c r="H192">
        <v>0.8</v>
      </c>
      <c r="I192">
        <v>0.2</v>
      </c>
      <c r="J192">
        <v>0.55555560000000004</v>
      </c>
    </row>
    <row r="193" spans="1:10" x14ac:dyDescent="0.3">
      <c r="A193">
        <v>191</v>
      </c>
      <c r="B193">
        <v>3052</v>
      </c>
      <c r="C193" t="b">
        <v>1</v>
      </c>
      <c r="D193">
        <v>8048</v>
      </c>
      <c r="E193">
        <v>8123</v>
      </c>
      <c r="F193">
        <v>8</v>
      </c>
      <c r="G193">
        <v>10</v>
      </c>
      <c r="H193">
        <v>0.8</v>
      </c>
      <c r="I193">
        <v>0.2</v>
      </c>
      <c r="J193">
        <v>0.55555560000000004</v>
      </c>
    </row>
    <row r="194" spans="1:10" x14ac:dyDescent="0.3">
      <c r="A194">
        <v>192</v>
      </c>
      <c r="B194">
        <v>3068</v>
      </c>
      <c r="C194" t="b">
        <v>1</v>
      </c>
      <c r="D194">
        <v>8042</v>
      </c>
      <c r="E194">
        <v>8123</v>
      </c>
      <c r="F194">
        <v>8</v>
      </c>
      <c r="G194">
        <v>10</v>
      </c>
      <c r="H194">
        <v>0.8</v>
      </c>
      <c r="I194">
        <v>0.2</v>
      </c>
      <c r="J194">
        <v>0.55555560000000004</v>
      </c>
    </row>
    <row r="195" spans="1:10" x14ac:dyDescent="0.3">
      <c r="A195">
        <v>193</v>
      </c>
      <c r="B195">
        <v>3084</v>
      </c>
      <c r="C195" t="b">
        <v>1</v>
      </c>
      <c r="D195">
        <v>8042</v>
      </c>
      <c r="E195">
        <v>8123</v>
      </c>
      <c r="F195">
        <v>7.6</v>
      </c>
      <c r="G195">
        <v>10</v>
      </c>
      <c r="H195">
        <v>0.76</v>
      </c>
      <c r="I195">
        <v>0.24000001000000001</v>
      </c>
      <c r="J195">
        <v>0.56818179999999996</v>
      </c>
    </row>
    <row r="196" spans="1:10" x14ac:dyDescent="0.3">
      <c r="A196">
        <v>194</v>
      </c>
      <c r="B196">
        <v>3100</v>
      </c>
      <c r="C196" t="b">
        <v>1</v>
      </c>
      <c r="D196">
        <v>8042</v>
      </c>
      <c r="E196">
        <v>8123</v>
      </c>
      <c r="F196">
        <v>7.2</v>
      </c>
      <c r="G196">
        <v>10</v>
      </c>
      <c r="H196">
        <v>0.71999997000000004</v>
      </c>
      <c r="I196">
        <v>0.28000003000000001</v>
      </c>
      <c r="J196">
        <v>0.58139529999999995</v>
      </c>
    </row>
    <row r="197" spans="1:10" x14ac:dyDescent="0.3">
      <c r="A197">
        <v>195</v>
      </c>
      <c r="B197">
        <v>3116</v>
      </c>
      <c r="C197" t="b">
        <v>1</v>
      </c>
      <c r="D197">
        <v>8042</v>
      </c>
      <c r="E197">
        <v>8123</v>
      </c>
      <c r="F197">
        <v>6.8</v>
      </c>
      <c r="G197">
        <v>10</v>
      </c>
      <c r="H197">
        <v>0.68</v>
      </c>
      <c r="I197">
        <v>0.32</v>
      </c>
      <c r="J197">
        <v>0.59523815000000002</v>
      </c>
    </row>
    <row r="198" spans="1:10" x14ac:dyDescent="0.3">
      <c r="A198">
        <v>196</v>
      </c>
      <c r="B198">
        <v>3132</v>
      </c>
      <c r="C198" t="b">
        <v>1</v>
      </c>
      <c r="D198">
        <v>8042</v>
      </c>
      <c r="E198">
        <v>8123</v>
      </c>
      <c r="F198">
        <v>6.4</v>
      </c>
      <c r="G198">
        <v>9.6</v>
      </c>
      <c r="H198">
        <v>0.6666666</v>
      </c>
      <c r="I198">
        <v>0.33333333999999998</v>
      </c>
      <c r="J198">
        <v>0.6</v>
      </c>
    </row>
    <row r="199" spans="1:10" x14ac:dyDescent="0.3">
      <c r="A199">
        <v>197</v>
      </c>
      <c r="B199">
        <v>3148</v>
      </c>
      <c r="C199" t="b">
        <v>1</v>
      </c>
      <c r="D199">
        <v>8042</v>
      </c>
      <c r="E199">
        <v>8123</v>
      </c>
      <c r="F199">
        <v>6</v>
      </c>
      <c r="G199">
        <v>9.1999999999999993</v>
      </c>
      <c r="H199">
        <v>0.65217393999999995</v>
      </c>
      <c r="I199">
        <v>0.34782605999999999</v>
      </c>
      <c r="J199">
        <v>0.6052632</v>
      </c>
    </row>
    <row r="200" spans="1:10" x14ac:dyDescent="0.3">
      <c r="A200">
        <v>198</v>
      </c>
      <c r="B200">
        <v>3164</v>
      </c>
      <c r="C200" t="b">
        <v>1</v>
      </c>
      <c r="D200">
        <v>8048</v>
      </c>
      <c r="E200">
        <v>8123</v>
      </c>
      <c r="F200">
        <v>5.6</v>
      </c>
      <c r="G200">
        <v>8.8000000000000007</v>
      </c>
      <c r="H200">
        <v>0.63636360000000003</v>
      </c>
      <c r="I200">
        <v>0.36363636999999999</v>
      </c>
      <c r="J200">
        <v>0.61111115999999999</v>
      </c>
    </row>
    <row r="201" spans="1:10" x14ac:dyDescent="0.3">
      <c r="A201">
        <v>199</v>
      </c>
      <c r="B201">
        <v>3180</v>
      </c>
      <c r="C201" t="b">
        <v>1</v>
      </c>
      <c r="D201">
        <v>8048</v>
      </c>
      <c r="E201">
        <v>8129</v>
      </c>
      <c r="F201">
        <v>5.2</v>
      </c>
      <c r="G201">
        <v>8.4</v>
      </c>
      <c r="H201">
        <v>0.61904764000000001</v>
      </c>
      <c r="I201">
        <v>0.38095240000000002</v>
      </c>
      <c r="J201">
        <v>0.61764704999999998</v>
      </c>
    </row>
    <row r="202" spans="1:10" x14ac:dyDescent="0.3">
      <c r="A202">
        <v>200</v>
      </c>
      <c r="B202">
        <v>3196</v>
      </c>
      <c r="C202" t="b">
        <v>1</v>
      </c>
      <c r="D202">
        <v>8054</v>
      </c>
      <c r="E202">
        <v>8123</v>
      </c>
      <c r="F202">
        <v>5.2</v>
      </c>
      <c r="G202">
        <v>8</v>
      </c>
      <c r="H202">
        <v>0.65</v>
      </c>
      <c r="I202">
        <v>0.35000002000000002</v>
      </c>
      <c r="J202">
        <v>0.60606059999999995</v>
      </c>
    </row>
    <row r="203" spans="1:10" x14ac:dyDescent="0.3">
      <c r="A203">
        <v>201</v>
      </c>
      <c r="B203">
        <v>3212</v>
      </c>
      <c r="C203" t="b">
        <v>1</v>
      </c>
      <c r="D203">
        <v>8048</v>
      </c>
      <c r="E203">
        <v>8129</v>
      </c>
      <c r="F203">
        <v>5.2</v>
      </c>
      <c r="G203">
        <v>8</v>
      </c>
      <c r="H203">
        <v>0.65</v>
      </c>
      <c r="I203">
        <v>0.35000002000000002</v>
      </c>
      <c r="J203">
        <v>0.60606059999999995</v>
      </c>
    </row>
    <row r="204" spans="1:10" x14ac:dyDescent="0.3">
      <c r="A204">
        <v>202</v>
      </c>
      <c r="B204">
        <v>3228</v>
      </c>
      <c r="C204" t="b">
        <v>1</v>
      </c>
      <c r="D204">
        <v>8054</v>
      </c>
      <c r="E204">
        <v>8129</v>
      </c>
      <c r="F204">
        <v>5.2</v>
      </c>
      <c r="G204">
        <v>8.4</v>
      </c>
      <c r="H204">
        <v>0.61904764000000001</v>
      </c>
      <c r="I204">
        <v>0.38095240000000002</v>
      </c>
      <c r="J204">
        <v>0.61764704999999998</v>
      </c>
    </row>
    <row r="205" spans="1:10" x14ac:dyDescent="0.3">
      <c r="A205">
        <v>203</v>
      </c>
      <c r="B205">
        <v>3244</v>
      </c>
      <c r="C205" t="b">
        <v>1</v>
      </c>
      <c r="D205">
        <v>8054</v>
      </c>
      <c r="E205">
        <v>8123</v>
      </c>
      <c r="F205">
        <v>5.6</v>
      </c>
      <c r="G205">
        <v>8.8000000000000007</v>
      </c>
      <c r="H205">
        <v>0.63636360000000003</v>
      </c>
      <c r="I205">
        <v>0.36363636999999999</v>
      </c>
      <c r="J205">
        <v>0.61111115999999999</v>
      </c>
    </row>
    <row r="206" spans="1:10" x14ac:dyDescent="0.3">
      <c r="A206">
        <v>204</v>
      </c>
      <c r="B206">
        <v>3260</v>
      </c>
      <c r="C206" t="b">
        <v>1</v>
      </c>
      <c r="D206">
        <v>8054</v>
      </c>
      <c r="E206">
        <v>8123</v>
      </c>
      <c r="F206">
        <v>6</v>
      </c>
      <c r="G206">
        <v>8.8000000000000007</v>
      </c>
      <c r="H206">
        <v>0.68181820000000004</v>
      </c>
      <c r="I206">
        <v>0.31818183999999999</v>
      </c>
      <c r="J206">
        <v>0.59459459999999997</v>
      </c>
    </row>
    <row r="207" spans="1:10" x14ac:dyDescent="0.3">
      <c r="A207">
        <v>205</v>
      </c>
      <c r="B207">
        <v>3276</v>
      </c>
      <c r="C207" t="b">
        <v>1</v>
      </c>
      <c r="D207">
        <v>8037</v>
      </c>
      <c r="E207">
        <v>8123</v>
      </c>
      <c r="F207">
        <v>6.4</v>
      </c>
      <c r="G207">
        <v>8.8000000000000007</v>
      </c>
      <c r="H207">
        <v>0.72727275000000002</v>
      </c>
      <c r="I207">
        <v>0.27272728000000002</v>
      </c>
      <c r="J207">
        <v>0.57894736999999996</v>
      </c>
    </row>
    <row r="208" spans="1:10" x14ac:dyDescent="0.3">
      <c r="A208">
        <v>206</v>
      </c>
      <c r="B208">
        <v>3292</v>
      </c>
      <c r="C208" t="b">
        <v>1</v>
      </c>
      <c r="D208">
        <v>8042</v>
      </c>
      <c r="E208">
        <v>8123</v>
      </c>
      <c r="F208">
        <v>6.8</v>
      </c>
      <c r="G208">
        <v>8.8000000000000007</v>
      </c>
      <c r="H208">
        <v>0.77272724999999998</v>
      </c>
      <c r="I208">
        <v>0.22727272000000001</v>
      </c>
      <c r="J208">
        <v>0.56410260000000001</v>
      </c>
    </row>
    <row r="209" spans="1:10" x14ac:dyDescent="0.3">
      <c r="A209">
        <v>207</v>
      </c>
      <c r="B209">
        <v>3308</v>
      </c>
      <c r="C209" t="b">
        <v>1</v>
      </c>
      <c r="D209">
        <v>8037</v>
      </c>
      <c r="E209">
        <v>8123</v>
      </c>
      <c r="F209">
        <v>6.4</v>
      </c>
      <c r="G209">
        <v>8.8000000000000007</v>
      </c>
      <c r="H209">
        <v>0.72727275000000002</v>
      </c>
      <c r="I209">
        <v>0.27272728000000002</v>
      </c>
      <c r="J209">
        <v>0.57894736999999996</v>
      </c>
    </row>
    <row r="210" spans="1:10" x14ac:dyDescent="0.3">
      <c r="A210">
        <v>208</v>
      </c>
      <c r="B210">
        <v>3324</v>
      </c>
      <c r="C210" t="b">
        <v>1</v>
      </c>
      <c r="D210">
        <v>8037</v>
      </c>
      <c r="E210">
        <v>8123</v>
      </c>
      <c r="F210">
        <v>6.0666665999999996</v>
      </c>
      <c r="G210">
        <v>8.8000000000000007</v>
      </c>
      <c r="H210">
        <v>0.68939393999999998</v>
      </c>
      <c r="I210">
        <v>0.3106061</v>
      </c>
      <c r="J210">
        <v>0.59192823999999999</v>
      </c>
    </row>
    <row r="211" spans="1:10" x14ac:dyDescent="0.3">
      <c r="A211">
        <v>209</v>
      </c>
      <c r="B211">
        <v>3339</v>
      </c>
      <c r="C211" t="b">
        <v>1</v>
      </c>
      <c r="D211">
        <v>8042</v>
      </c>
      <c r="E211">
        <v>8129</v>
      </c>
      <c r="F211">
        <v>5.733333</v>
      </c>
      <c r="G211">
        <v>8.8000000000000007</v>
      </c>
      <c r="H211">
        <v>0.65151510000000001</v>
      </c>
      <c r="I211">
        <v>0.34848487</v>
      </c>
      <c r="J211">
        <v>0.60550462999999999</v>
      </c>
    </row>
    <row r="212" spans="1:10" x14ac:dyDescent="0.3">
      <c r="A212">
        <v>210</v>
      </c>
      <c r="B212">
        <v>3355</v>
      </c>
      <c r="C212" t="b">
        <v>1</v>
      </c>
      <c r="D212">
        <v>8037</v>
      </c>
      <c r="E212">
        <v>8123</v>
      </c>
      <c r="F212">
        <v>5.4</v>
      </c>
      <c r="G212">
        <v>8.8000000000000007</v>
      </c>
      <c r="H212">
        <v>0.61363639999999997</v>
      </c>
      <c r="I212">
        <v>0.38636363000000001</v>
      </c>
      <c r="J212">
        <v>0.61971830000000006</v>
      </c>
    </row>
    <row r="213" spans="1:10" x14ac:dyDescent="0.3">
      <c r="A213">
        <v>211</v>
      </c>
      <c r="B213">
        <v>3372</v>
      </c>
      <c r="C213" t="b">
        <v>1</v>
      </c>
      <c r="D213">
        <v>8042</v>
      </c>
      <c r="E213">
        <v>8129</v>
      </c>
      <c r="F213">
        <v>5.0666665999999996</v>
      </c>
      <c r="G213">
        <v>8.8000000000000007</v>
      </c>
      <c r="H213">
        <v>0.57575756</v>
      </c>
      <c r="I213">
        <v>0.42424244</v>
      </c>
      <c r="J213">
        <v>0.63461540000000005</v>
      </c>
    </row>
    <row r="214" spans="1:10" x14ac:dyDescent="0.3">
      <c r="A214">
        <v>212</v>
      </c>
      <c r="B214">
        <v>3388</v>
      </c>
      <c r="C214" t="b">
        <v>1</v>
      </c>
      <c r="D214">
        <v>8048</v>
      </c>
      <c r="E214">
        <v>8123</v>
      </c>
      <c r="F214">
        <v>5.0666665999999996</v>
      </c>
      <c r="G214">
        <v>8.8000000000000007</v>
      </c>
      <c r="H214">
        <v>0.57575756</v>
      </c>
      <c r="I214">
        <v>0.42424244</v>
      </c>
      <c r="J214">
        <v>0.63461540000000005</v>
      </c>
    </row>
    <row r="215" spans="1:10" x14ac:dyDescent="0.3">
      <c r="A215">
        <v>213</v>
      </c>
      <c r="B215">
        <v>3404</v>
      </c>
      <c r="C215" t="b">
        <v>1</v>
      </c>
      <c r="D215">
        <v>8048</v>
      </c>
      <c r="E215">
        <v>8123</v>
      </c>
      <c r="F215">
        <v>5.0666665999999996</v>
      </c>
      <c r="G215">
        <v>8.8000000000000007</v>
      </c>
      <c r="H215">
        <v>0.57575756</v>
      </c>
      <c r="I215">
        <v>0.42424244</v>
      </c>
      <c r="J215">
        <v>0.63461540000000005</v>
      </c>
    </row>
    <row r="216" spans="1:10" x14ac:dyDescent="0.3">
      <c r="A216">
        <v>214</v>
      </c>
      <c r="B216">
        <v>3419</v>
      </c>
      <c r="C216" t="b">
        <v>1</v>
      </c>
      <c r="D216">
        <v>8042</v>
      </c>
      <c r="E216">
        <v>8129</v>
      </c>
      <c r="F216">
        <v>5.0666665999999996</v>
      </c>
      <c r="G216">
        <v>8.8000000000000007</v>
      </c>
      <c r="H216">
        <v>0.57575756</v>
      </c>
      <c r="I216">
        <v>0.42424244</v>
      </c>
      <c r="J216">
        <v>0.63461540000000005</v>
      </c>
    </row>
    <row r="217" spans="1:10" x14ac:dyDescent="0.3">
      <c r="A217">
        <v>215</v>
      </c>
      <c r="B217">
        <v>3435</v>
      </c>
      <c r="C217" t="b">
        <v>1</v>
      </c>
      <c r="D217">
        <v>8048</v>
      </c>
      <c r="E217">
        <v>8123</v>
      </c>
      <c r="F217">
        <v>5.0666665999999996</v>
      </c>
      <c r="G217">
        <v>8.8000000000000007</v>
      </c>
      <c r="H217">
        <v>0.57575756</v>
      </c>
      <c r="I217">
        <v>0.42424244</v>
      </c>
      <c r="J217">
        <v>0.63461540000000005</v>
      </c>
    </row>
    <row r="218" spans="1:10" x14ac:dyDescent="0.3">
      <c r="A218">
        <v>216</v>
      </c>
      <c r="B218">
        <v>3451</v>
      </c>
      <c r="C218" t="b">
        <v>1</v>
      </c>
      <c r="D218">
        <v>8048</v>
      </c>
      <c r="E218">
        <v>8123</v>
      </c>
      <c r="F218">
        <v>5.0666665999999996</v>
      </c>
      <c r="G218">
        <v>8.8000000000000007</v>
      </c>
      <c r="H218">
        <v>0.57575756</v>
      </c>
      <c r="I218">
        <v>0.42424244</v>
      </c>
      <c r="J218">
        <v>0.63461540000000005</v>
      </c>
    </row>
    <row r="219" spans="1:10" x14ac:dyDescent="0.3">
      <c r="A219">
        <v>217</v>
      </c>
      <c r="B219">
        <v>3467</v>
      </c>
      <c r="C219" t="b">
        <v>1</v>
      </c>
      <c r="D219">
        <v>8048</v>
      </c>
      <c r="E219">
        <v>8129</v>
      </c>
      <c r="F219">
        <v>5.0666665999999996</v>
      </c>
      <c r="G219">
        <v>8.4</v>
      </c>
      <c r="H219">
        <v>0.60317460000000001</v>
      </c>
      <c r="I219">
        <v>0.39682537000000001</v>
      </c>
      <c r="J219">
        <v>0.62376237000000001</v>
      </c>
    </row>
    <row r="220" spans="1:10" x14ac:dyDescent="0.3">
      <c r="A220">
        <v>218</v>
      </c>
      <c r="B220">
        <v>3483</v>
      </c>
      <c r="C220" t="b">
        <v>1</v>
      </c>
      <c r="D220">
        <v>8048</v>
      </c>
      <c r="E220">
        <v>8129</v>
      </c>
      <c r="F220">
        <v>4.6666664999999998</v>
      </c>
      <c r="G220">
        <v>8.4</v>
      </c>
      <c r="H220">
        <v>0.55555560000000004</v>
      </c>
      <c r="I220">
        <v>0.44444444999999999</v>
      </c>
      <c r="J220">
        <v>0.64285713</v>
      </c>
    </row>
    <row r="221" spans="1:10" x14ac:dyDescent="0.3">
      <c r="A221">
        <v>219</v>
      </c>
      <c r="B221">
        <v>3498</v>
      </c>
      <c r="C221" t="b">
        <v>1</v>
      </c>
      <c r="D221">
        <v>8048</v>
      </c>
      <c r="E221">
        <v>8123</v>
      </c>
      <c r="F221">
        <v>4.266667</v>
      </c>
      <c r="G221">
        <v>8.4</v>
      </c>
      <c r="H221">
        <v>0.50793653999999999</v>
      </c>
      <c r="I221">
        <v>0.49206343000000002</v>
      </c>
      <c r="J221">
        <v>0.66315789999999997</v>
      </c>
    </row>
    <row r="222" spans="1:10" x14ac:dyDescent="0.3">
      <c r="A222">
        <v>220</v>
      </c>
      <c r="B222">
        <v>3513</v>
      </c>
      <c r="C222" t="b">
        <v>1</v>
      </c>
      <c r="D222">
        <v>8048</v>
      </c>
      <c r="E222">
        <v>8123</v>
      </c>
      <c r="F222">
        <v>3.8666665999999998</v>
      </c>
      <c r="G222">
        <v>8.4</v>
      </c>
      <c r="H222">
        <v>0.46031746000000001</v>
      </c>
      <c r="I222">
        <v>0.53968249999999995</v>
      </c>
      <c r="J222">
        <v>0.68478256000000004</v>
      </c>
    </row>
    <row r="223" spans="1:10" x14ac:dyDescent="0.3">
      <c r="A223">
        <v>221</v>
      </c>
      <c r="B223">
        <v>3529</v>
      </c>
      <c r="C223" t="b">
        <v>1</v>
      </c>
      <c r="D223">
        <v>8048</v>
      </c>
      <c r="E223">
        <v>8123</v>
      </c>
      <c r="F223">
        <v>3.4666667000000002</v>
      </c>
      <c r="G223">
        <v>8.4</v>
      </c>
      <c r="H223">
        <v>0.41269844999999999</v>
      </c>
      <c r="I223">
        <v>0.58730154999999995</v>
      </c>
      <c r="J223">
        <v>0.70786510000000002</v>
      </c>
    </row>
    <row r="224" spans="1:10" x14ac:dyDescent="0.3">
      <c r="A224">
        <v>222</v>
      </c>
      <c r="B224">
        <v>3545</v>
      </c>
      <c r="C224" t="b">
        <v>1</v>
      </c>
      <c r="D224">
        <v>8048</v>
      </c>
      <c r="E224">
        <v>8123</v>
      </c>
      <c r="F224">
        <v>3.8666665999999998</v>
      </c>
      <c r="G224">
        <v>8.4</v>
      </c>
      <c r="H224">
        <v>0.46031746000000001</v>
      </c>
      <c r="I224">
        <v>0.53968249999999995</v>
      </c>
      <c r="J224">
        <v>0.68478256000000004</v>
      </c>
    </row>
    <row r="225" spans="1:10" x14ac:dyDescent="0.3">
      <c r="A225">
        <v>223</v>
      </c>
      <c r="B225">
        <v>3561</v>
      </c>
      <c r="C225" t="b">
        <v>1</v>
      </c>
      <c r="D225">
        <v>8042</v>
      </c>
      <c r="E225">
        <v>8123</v>
      </c>
      <c r="F225">
        <v>4.5999999999999996</v>
      </c>
      <c r="G225">
        <v>8.4</v>
      </c>
      <c r="H225">
        <v>0.54761903999999995</v>
      </c>
      <c r="I225">
        <v>0.45238093000000001</v>
      </c>
      <c r="J225">
        <v>0.6461538</v>
      </c>
    </row>
    <row r="226" spans="1:10" x14ac:dyDescent="0.3">
      <c r="A226">
        <v>224</v>
      </c>
      <c r="B226">
        <v>3577</v>
      </c>
      <c r="C226" t="b">
        <v>1</v>
      </c>
      <c r="D226">
        <v>8042</v>
      </c>
      <c r="E226">
        <v>8129</v>
      </c>
      <c r="F226">
        <v>5.3333335000000002</v>
      </c>
      <c r="G226">
        <v>8.4</v>
      </c>
      <c r="H226">
        <v>0.63492066000000003</v>
      </c>
      <c r="I226">
        <v>0.3650793</v>
      </c>
      <c r="J226">
        <v>0.61165046999999995</v>
      </c>
    </row>
    <row r="227" spans="1:10" x14ac:dyDescent="0.3">
      <c r="A227">
        <v>225</v>
      </c>
      <c r="B227">
        <v>3592</v>
      </c>
      <c r="C227" t="b">
        <v>1</v>
      </c>
      <c r="D227">
        <v>8048</v>
      </c>
      <c r="E227">
        <v>8129</v>
      </c>
      <c r="F227">
        <v>6.0666665999999996</v>
      </c>
      <c r="G227">
        <v>8.4</v>
      </c>
      <c r="H227">
        <v>0.72222227000000006</v>
      </c>
      <c r="I227">
        <v>0.27777775999999998</v>
      </c>
      <c r="J227">
        <v>0.58064514</v>
      </c>
    </row>
    <row r="228" spans="1:10" x14ac:dyDescent="0.3">
      <c r="A228">
        <v>226</v>
      </c>
      <c r="B228">
        <v>3608</v>
      </c>
      <c r="C228" t="b">
        <v>1</v>
      </c>
      <c r="D228">
        <v>8048</v>
      </c>
      <c r="E228">
        <v>8129</v>
      </c>
      <c r="F228">
        <v>6.8</v>
      </c>
      <c r="G228">
        <v>8.8000000000000007</v>
      </c>
      <c r="H228">
        <v>0.77272724999999998</v>
      </c>
      <c r="I228">
        <v>0.22727272000000001</v>
      </c>
      <c r="J228">
        <v>0.56410260000000001</v>
      </c>
    </row>
    <row r="229" spans="1:10" x14ac:dyDescent="0.3">
      <c r="A229">
        <v>227</v>
      </c>
      <c r="B229">
        <v>3624</v>
      </c>
      <c r="C229" t="b">
        <v>1</v>
      </c>
      <c r="D229">
        <v>8048</v>
      </c>
      <c r="E229">
        <v>8129</v>
      </c>
      <c r="F229">
        <v>7.2</v>
      </c>
      <c r="G229">
        <v>9.1999999999999993</v>
      </c>
      <c r="H229">
        <v>0.78260870000000005</v>
      </c>
      <c r="I229">
        <v>0.21739131</v>
      </c>
      <c r="J229">
        <v>0.56097560000000002</v>
      </c>
    </row>
    <row r="230" spans="1:10" x14ac:dyDescent="0.3">
      <c r="A230">
        <v>228</v>
      </c>
      <c r="B230">
        <v>3640</v>
      </c>
      <c r="C230" t="b">
        <v>1</v>
      </c>
      <c r="D230">
        <v>8048</v>
      </c>
      <c r="E230">
        <v>8123</v>
      </c>
      <c r="F230">
        <v>7.6</v>
      </c>
      <c r="G230">
        <v>9.6</v>
      </c>
      <c r="H230">
        <v>0.7916666</v>
      </c>
      <c r="I230">
        <v>0.20833336999999999</v>
      </c>
      <c r="J230">
        <v>0.55813950000000001</v>
      </c>
    </row>
    <row r="231" spans="1:10" x14ac:dyDescent="0.3">
      <c r="A231">
        <v>229</v>
      </c>
      <c r="B231">
        <v>3655</v>
      </c>
      <c r="C231" t="b">
        <v>1</v>
      </c>
      <c r="D231">
        <v>8048</v>
      </c>
      <c r="E231">
        <v>8123</v>
      </c>
      <c r="F231">
        <v>8</v>
      </c>
      <c r="G231">
        <v>10</v>
      </c>
      <c r="H231">
        <v>0.8</v>
      </c>
      <c r="I231">
        <v>0.2</v>
      </c>
      <c r="J231">
        <v>0.55555560000000004</v>
      </c>
    </row>
    <row r="232" spans="1:10" x14ac:dyDescent="0.3">
      <c r="A232">
        <v>230</v>
      </c>
      <c r="B232">
        <v>3670</v>
      </c>
      <c r="C232" t="b">
        <v>1</v>
      </c>
      <c r="D232">
        <v>8048</v>
      </c>
      <c r="E232">
        <v>8123</v>
      </c>
      <c r="F232">
        <v>8</v>
      </c>
      <c r="G232">
        <v>10</v>
      </c>
      <c r="H232">
        <v>0.8</v>
      </c>
      <c r="I232">
        <v>0.2</v>
      </c>
      <c r="J232">
        <v>0.55555560000000004</v>
      </c>
    </row>
    <row r="233" spans="1:10" x14ac:dyDescent="0.3">
      <c r="A233">
        <v>231</v>
      </c>
      <c r="B233">
        <v>3686</v>
      </c>
      <c r="C233" t="b">
        <v>1</v>
      </c>
      <c r="D233">
        <v>8048</v>
      </c>
      <c r="E233">
        <v>8117</v>
      </c>
      <c r="F233">
        <v>8</v>
      </c>
      <c r="G233">
        <v>10</v>
      </c>
      <c r="H233">
        <v>0.8</v>
      </c>
      <c r="I233">
        <v>0.2</v>
      </c>
      <c r="J233">
        <v>0.55555560000000004</v>
      </c>
    </row>
    <row r="234" spans="1:10" x14ac:dyDescent="0.3">
      <c r="A234">
        <v>232</v>
      </c>
      <c r="B234">
        <v>3702</v>
      </c>
      <c r="C234" t="b">
        <v>1</v>
      </c>
      <c r="D234">
        <v>8042</v>
      </c>
      <c r="E234">
        <v>8123</v>
      </c>
      <c r="F234">
        <v>8</v>
      </c>
      <c r="G234">
        <v>10</v>
      </c>
      <c r="H234">
        <v>0.8</v>
      </c>
      <c r="I234">
        <v>0.2</v>
      </c>
      <c r="J234">
        <v>0.55555560000000004</v>
      </c>
    </row>
    <row r="235" spans="1:10" x14ac:dyDescent="0.3">
      <c r="A235">
        <v>233</v>
      </c>
      <c r="B235">
        <v>3718</v>
      </c>
      <c r="C235" t="b">
        <v>1</v>
      </c>
      <c r="D235">
        <v>8042</v>
      </c>
      <c r="E235">
        <v>8123</v>
      </c>
      <c r="F235">
        <v>8</v>
      </c>
      <c r="G235">
        <v>9.6</v>
      </c>
      <c r="H235">
        <v>0.83333330000000005</v>
      </c>
      <c r="I235">
        <v>0.1666667</v>
      </c>
      <c r="J235">
        <v>0.54545456000000003</v>
      </c>
    </row>
    <row r="236" spans="1:10" x14ac:dyDescent="0.3">
      <c r="A236">
        <v>234</v>
      </c>
      <c r="B236">
        <v>3733</v>
      </c>
      <c r="C236" t="b">
        <v>1</v>
      </c>
      <c r="D236">
        <v>8048</v>
      </c>
      <c r="E236">
        <v>8123</v>
      </c>
      <c r="F236">
        <v>8</v>
      </c>
      <c r="G236">
        <v>9.6</v>
      </c>
      <c r="H236">
        <v>0.83333330000000005</v>
      </c>
      <c r="I236">
        <v>0.1666667</v>
      </c>
      <c r="J236">
        <v>0.54545456000000003</v>
      </c>
    </row>
    <row r="237" spans="1:10" x14ac:dyDescent="0.3">
      <c r="A237">
        <v>235</v>
      </c>
      <c r="B237">
        <v>3749</v>
      </c>
      <c r="C237" t="b">
        <v>1</v>
      </c>
      <c r="D237">
        <v>8048</v>
      </c>
      <c r="E237">
        <v>8123</v>
      </c>
      <c r="F237">
        <v>8</v>
      </c>
      <c r="G237">
        <v>9.6</v>
      </c>
      <c r="H237">
        <v>0.83333330000000005</v>
      </c>
      <c r="I237">
        <v>0.1666667</v>
      </c>
      <c r="J237">
        <v>0.54545456000000003</v>
      </c>
    </row>
    <row r="238" spans="1:10" x14ac:dyDescent="0.3">
      <c r="A238">
        <v>236</v>
      </c>
      <c r="B238">
        <v>3765</v>
      </c>
      <c r="C238" t="b">
        <v>1</v>
      </c>
      <c r="D238">
        <v>8048</v>
      </c>
      <c r="E238">
        <v>8129</v>
      </c>
      <c r="F238">
        <v>8</v>
      </c>
      <c r="G238">
        <v>9.6</v>
      </c>
      <c r="H238">
        <v>0.83333330000000005</v>
      </c>
      <c r="I238">
        <v>0.1666667</v>
      </c>
      <c r="J238">
        <v>0.54545456000000003</v>
      </c>
    </row>
    <row r="239" spans="1:10" x14ac:dyDescent="0.3">
      <c r="A239">
        <v>237</v>
      </c>
      <c r="B239">
        <v>3781</v>
      </c>
      <c r="C239" t="b">
        <v>1</v>
      </c>
      <c r="D239">
        <v>8048</v>
      </c>
      <c r="E239">
        <v>8134</v>
      </c>
      <c r="F239">
        <v>8</v>
      </c>
      <c r="G239">
        <v>9.6</v>
      </c>
      <c r="H239">
        <v>0.83333330000000005</v>
      </c>
      <c r="I239">
        <v>0.1666667</v>
      </c>
      <c r="J239">
        <v>0.54545456000000003</v>
      </c>
    </row>
    <row r="240" spans="1:10" x14ac:dyDescent="0.3">
      <c r="A240">
        <v>238</v>
      </c>
      <c r="B240">
        <v>3796</v>
      </c>
      <c r="C240" t="b">
        <v>1</v>
      </c>
      <c r="D240">
        <v>8048</v>
      </c>
      <c r="E240">
        <v>8129</v>
      </c>
      <c r="F240">
        <v>8</v>
      </c>
      <c r="G240">
        <v>10</v>
      </c>
      <c r="H240">
        <v>0.8</v>
      </c>
      <c r="I240">
        <v>0.2</v>
      </c>
      <c r="J240">
        <v>0.55555560000000004</v>
      </c>
    </row>
    <row r="241" spans="1:10" x14ac:dyDescent="0.3">
      <c r="A241">
        <v>239</v>
      </c>
      <c r="B241">
        <v>3812</v>
      </c>
      <c r="C241" t="b">
        <v>1</v>
      </c>
      <c r="D241">
        <v>8048</v>
      </c>
      <c r="E241">
        <v>8129</v>
      </c>
      <c r="F241">
        <v>8</v>
      </c>
      <c r="G241">
        <v>10.4</v>
      </c>
      <c r="H241">
        <v>0.76923079999999999</v>
      </c>
      <c r="I241">
        <v>0.23076920000000001</v>
      </c>
      <c r="J241">
        <v>0.56521739999999998</v>
      </c>
    </row>
    <row r="242" spans="1:10" x14ac:dyDescent="0.3">
      <c r="A242">
        <v>240</v>
      </c>
      <c r="B242">
        <v>3827</v>
      </c>
      <c r="C242" t="b">
        <v>1</v>
      </c>
      <c r="D242">
        <v>8048</v>
      </c>
      <c r="E242">
        <v>8129</v>
      </c>
      <c r="F242">
        <v>8</v>
      </c>
      <c r="G242">
        <v>10.8</v>
      </c>
      <c r="H242">
        <v>0.74074070000000003</v>
      </c>
      <c r="I242">
        <v>0.25925927999999998</v>
      </c>
      <c r="J242">
        <v>0.57446814000000002</v>
      </c>
    </row>
    <row r="243" spans="1:10" x14ac:dyDescent="0.3">
      <c r="A243">
        <v>241</v>
      </c>
      <c r="B243">
        <v>3842</v>
      </c>
      <c r="C243" t="b">
        <v>1</v>
      </c>
      <c r="D243">
        <v>8048</v>
      </c>
      <c r="E243">
        <v>8129</v>
      </c>
      <c r="F243">
        <v>8</v>
      </c>
      <c r="G243">
        <v>10.8</v>
      </c>
      <c r="H243">
        <v>0.74074070000000003</v>
      </c>
      <c r="I243">
        <v>0.25925927999999998</v>
      </c>
      <c r="J243">
        <v>0.57446814000000002</v>
      </c>
    </row>
    <row r="244" spans="1:10" x14ac:dyDescent="0.3">
      <c r="A244">
        <v>242</v>
      </c>
      <c r="B244">
        <v>3858</v>
      </c>
      <c r="C244" t="b">
        <v>1</v>
      </c>
      <c r="D244">
        <v>8048</v>
      </c>
      <c r="E244">
        <v>8129</v>
      </c>
      <c r="F244">
        <v>8</v>
      </c>
      <c r="G244">
        <v>10.8</v>
      </c>
      <c r="H244">
        <v>0.74074070000000003</v>
      </c>
      <c r="I244">
        <v>0.25925927999999998</v>
      </c>
      <c r="J244">
        <v>0.57446814000000002</v>
      </c>
    </row>
    <row r="245" spans="1:10" x14ac:dyDescent="0.3">
      <c r="A245">
        <v>243</v>
      </c>
      <c r="B245">
        <v>3874</v>
      </c>
      <c r="C245" t="b">
        <v>1</v>
      </c>
      <c r="D245">
        <v>8048</v>
      </c>
      <c r="E245">
        <v>8117</v>
      </c>
      <c r="F245">
        <v>8</v>
      </c>
      <c r="G245">
        <v>10.8</v>
      </c>
      <c r="H245">
        <v>0.74074070000000003</v>
      </c>
      <c r="I245">
        <v>0.25925927999999998</v>
      </c>
      <c r="J245">
        <v>0.57446814000000002</v>
      </c>
    </row>
    <row r="246" spans="1:10" x14ac:dyDescent="0.3">
      <c r="A246">
        <v>244</v>
      </c>
      <c r="B246">
        <v>3890</v>
      </c>
      <c r="C246" t="b">
        <v>1</v>
      </c>
      <c r="D246">
        <v>8042</v>
      </c>
      <c r="E246">
        <v>8129</v>
      </c>
      <c r="F246">
        <v>8</v>
      </c>
      <c r="G246">
        <v>10.8</v>
      </c>
      <c r="H246">
        <v>0.74074070000000003</v>
      </c>
      <c r="I246">
        <v>0.25925927999999998</v>
      </c>
      <c r="J246">
        <v>0.57446814000000002</v>
      </c>
    </row>
    <row r="247" spans="1:10" x14ac:dyDescent="0.3">
      <c r="A247">
        <v>245</v>
      </c>
      <c r="B247">
        <v>3905</v>
      </c>
      <c r="C247" t="b">
        <v>1</v>
      </c>
      <c r="D247">
        <v>8048</v>
      </c>
      <c r="E247">
        <v>8111</v>
      </c>
      <c r="F247">
        <v>8</v>
      </c>
      <c r="G247">
        <v>11.2</v>
      </c>
      <c r="H247">
        <v>0.71428572999999995</v>
      </c>
      <c r="I247">
        <v>0.28571426999999999</v>
      </c>
      <c r="J247">
        <v>0.58333330000000005</v>
      </c>
    </row>
    <row r="248" spans="1:10" x14ac:dyDescent="0.3">
      <c r="A248">
        <v>246</v>
      </c>
      <c r="B248">
        <v>3921</v>
      </c>
      <c r="C248" t="b">
        <v>1</v>
      </c>
      <c r="D248">
        <v>8048</v>
      </c>
      <c r="E248">
        <v>8123</v>
      </c>
      <c r="F248">
        <v>8</v>
      </c>
      <c r="G248">
        <v>11.2</v>
      </c>
      <c r="H248">
        <v>0.71428572999999995</v>
      </c>
      <c r="I248">
        <v>0.28571426999999999</v>
      </c>
      <c r="J248">
        <v>0.58333330000000005</v>
      </c>
    </row>
    <row r="249" spans="1:10" x14ac:dyDescent="0.3">
      <c r="A249">
        <v>247</v>
      </c>
      <c r="B249">
        <v>3937</v>
      </c>
      <c r="C249" t="b">
        <v>1</v>
      </c>
      <c r="D249">
        <v>8042</v>
      </c>
      <c r="E249">
        <v>8117</v>
      </c>
      <c r="F249">
        <v>8</v>
      </c>
      <c r="G249">
        <v>10.8</v>
      </c>
      <c r="H249">
        <v>0.74074070000000003</v>
      </c>
      <c r="I249">
        <v>0.25925927999999998</v>
      </c>
      <c r="J249">
        <v>0.57446814000000002</v>
      </c>
    </row>
    <row r="250" spans="1:10" x14ac:dyDescent="0.3">
      <c r="A250">
        <v>248</v>
      </c>
      <c r="B250">
        <v>3953</v>
      </c>
      <c r="C250" t="b">
        <v>1</v>
      </c>
      <c r="D250">
        <v>8042</v>
      </c>
      <c r="E250">
        <v>8117</v>
      </c>
      <c r="F250">
        <v>7.6</v>
      </c>
      <c r="G250">
        <v>10.4</v>
      </c>
      <c r="H250">
        <v>0.73076929999999996</v>
      </c>
      <c r="I250">
        <v>0.26923075000000002</v>
      </c>
      <c r="J250">
        <v>0.57777774000000004</v>
      </c>
    </row>
    <row r="251" spans="1:10" x14ac:dyDescent="0.3">
      <c r="A251">
        <v>249</v>
      </c>
      <c r="B251">
        <v>3969</v>
      </c>
      <c r="C251" t="b">
        <v>1</v>
      </c>
      <c r="D251">
        <v>8042</v>
      </c>
      <c r="E251">
        <v>8123</v>
      </c>
      <c r="F251">
        <v>7.2</v>
      </c>
      <c r="G251">
        <v>10</v>
      </c>
      <c r="H251">
        <v>0.71999997000000004</v>
      </c>
      <c r="I251">
        <v>0.28000003000000001</v>
      </c>
      <c r="J251">
        <v>0.58139529999999995</v>
      </c>
    </row>
    <row r="252" spans="1:10" x14ac:dyDescent="0.3">
      <c r="A252">
        <v>250</v>
      </c>
      <c r="B252">
        <v>3984</v>
      </c>
      <c r="C252" t="b">
        <v>1</v>
      </c>
      <c r="D252">
        <v>8048</v>
      </c>
      <c r="E252">
        <v>8123</v>
      </c>
      <c r="F252">
        <v>6.8</v>
      </c>
      <c r="G252">
        <v>10</v>
      </c>
      <c r="H252">
        <v>0.68</v>
      </c>
      <c r="I252">
        <v>0.32</v>
      </c>
      <c r="J252">
        <v>0.59523815000000002</v>
      </c>
    </row>
    <row r="253" spans="1:10" x14ac:dyDescent="0.3">
      <c r="A253">
        <v>251</v>
      </c>
      <c r="B253">
        <v>4000</v>
      </c>
      <c r="C253" t="b">
        <v>1</v>
      </c>
      <c r="D253">
        <v>8048</v>
      </c>
      <c r="E253">
        <v>8123</v>
      </c>
      <c r="F253">
        <v>6.4</v>
      </c>
      <c r="G253">
        <v>10</v>
      </c>
      <c r="H253">
        <v>0.64</v>
      </c>
      <c r="I253">
        <v>0.35999998</v>
      </c>
      <c r="J253">
        <v>0.60975610000000002</v>
      </c>
    </row>
    <row r="254" spans="1:10" x14ac:dyDescent="0.3">
      <c r="A254">
        <v>252</v>
      </c>
      <c r="B254">
        <v>4015</v>
      </c>
      <c r="C254" t="b">
        <v>1</v>
      </c>
      <c r="D254">
        <v>8048</v>
      </c>
      <c r="E254">
        <v>8123</v>
      </c>
      <c r="F254">
        <v>6.4</v>
      </c>
      <c r="G254">
        <v>10</v>
      </c>
      <c r="H254">
        <v>0.64</v>
      </c>
      <c r="I254">
        <v>0.35999998</v>
      </c>
      <c r="J254">
        <v>0.60975610000000002</v>
      </c>
    </row>
    <row r="255" spans="1:10" x14ac:dyDescent="0.3">
      <c r="A255">
        <v>253</v>
      </c>
      <c r="B255">
        <v>4031</v>
      </c>
      <c r="C255" t="b">
        <v>1</v>
      </c>
      <c r="D255">
        <v>8048</v>
      </c>
      <c r="E255">
        <v>8123</v>
      </c>
      <c r="F255">
        <v>6.4</v>
      </c>
      <c r="G255">
        <v>9.6</v>
      </c>
      <c r="H255">
        <v>0.6666666</v>
      </c>
      <c r="I255">
        <v>0.33333333999999998</v>
      </c>
      <c r="J255">
        <v>0.6</v>
      </c>
    </row>
    <row r="256" spans="1:10" x14ac:dyDescent="0.3">
      <c r="A256">
        <v>254</v>
      </c>
      <c r="B256">
        <v>4047</v>
      </c>
      <c r="C256" t="b">
        <v>1</v>
      </c>
      <c r="D256">
        <v>8048</v>
      </c>
      <c r="E256">
        <v>8123</v>
      </c>
      <c r="F256">
        <v>6.4</v>
      </c>
      <c r="G256">
        <v>9.1999999999999993</v>
      </c>
      <c r="H256">
        <v>0.69565220000000005</v>
      </c>
      <c r="I256">
        <v>0.3043478</v>
      </c>
      <c r="J256">
        <v>0.58974355000000001</v>
      </c>
    </row>
    <row r="257" spans="1:10" x14ac:dyDescent="0.3">
      <c r="A257">
        <v>255</v>
      </c>
      <c r="B257">
        <v>4063</v>
      </c>
      <c r="C257" t="b">
        <v>1</v>
      </c>
      <c r="D257">
        <v>8042</v>
      </c>
      <c r="E257">
        <v>8129</v>
      </c>
      <c r="F257">
        <v>6.4</v>
      </c>
      <c r="G257">
        <v>8.8000000000000007</v>
      </c>
      <c r="H257">
        <v>0.72727275000000002</v>
      </c>
      <c r="I257">
        <v>0.27272728000000002</v>
      </c>
      <c r="J257">
        <v>0.57894736999999996</v>
      </c>
    </row>
    <row r="258" spans="1:10" x14ac:dyDescent="0.3">
      <c r="A258">
        <v>256</v>
      </c>
      <c r="B258">
        <v>4079</v>
      </c>
      <c r="C258" t="b">
        <v>1</v>
      </c>
      <c r="D258">
        <v>8048</v>
      </c>
      <c r="E258">
        <v>8129</v>
      </c>
      <c r="F258">
        <v>6.4</v>
      </c>
      <c r="G258">
        <v>8.4</v>
      </c>
      <c r="H258">
        <v>0.76190484000000003</v>
      </c>
      <c r="I258">
        <v>0.23809520000000001</v>
      </c>
      <c r="J258">
        <v>0.56756759999999995</v>
      </c>
    </row>
    <row r="259" spans="1:10" x14ac:dyDescent="0.3">
      <c r="A259">
        <v>257</v>
      </c>
      <c r="B259">
        <v>4094</v>
      </c>
      <c r="C259" t="b">
        <v>1</v>
      </c>
      <c r="D259">
        <v>8048</v>
      </c>
      <c r="E259">
        <v>8129</v>
      </c>
      <c r="F259">
        <v>6.4</v>
      </c>
      <c r="G259">
        <v>8.4</v>
      </c>
      <c r="H259">
        <v>0.76190484000000003</v>
      </c>
      <c r="I259">
        <v>0.23809520000000001</v>
      </c>
      <c r="J259">
        <v>0.56756759999999995</v>
      </c>
    </row>
    <row r="260" spans="1:10" x14ac:dyDescent="0.3">
      <c r="A260">
        <v>258</v>
      </c>
      <c r="B260">
        <v>4110</v>
      </c>
      <c r="C260" t="b">
        <v>1</v>
      </c>
      <c r="D260">
        <v>8048</v>
      </c>
      <c r="E260">
        <v>8129</v>
      </c>
      <c r="F260">
        <v>6.4</v>
      </c>
      <c r="G260">
        <v>8.4</v>
      </c>
      <c r="H260">
        <v>0.76190484000000003</v>
      </c>
      <c r="I260">
        <v>0.23809520000000001</v>
      </c>
      <c r="J260">
        <v>0.56756759999999995</v>
      </c>
    </row>
    <row r="261" spans="1:10" x14ac:dyDescent="0.3">
      <c r="A261">
        <v>259</v>
      </c>
      <c r="B261">
        <v>4126</v>
      </c>
      <c r="C261" t="b">
        <v>1</v>
      </c>
      <c r="D261">
        <v>8042</v>
      </c>
      <c r="E261">
        <v>8129</v>
      </c>
      <c r="F261">
        <v>6.4</v>
      </c>
      <c r="G261">
        <v>8.4</v>
      </c>
      <c r="H261">
        <v>0.76190484000000003</v>
      </c>
      <c r="I261">
        <v>0.23809520000000001</v>
      </c>
      <c r="J261">
        <v>0.56756759999999995</v>
      </c>
    </row>
    <row r="262" spans="1:10" x14ac:dyDescent="0.3">
      <c r="A262">
        <v>260</v>
      </c>
      <c r="B262">
        <v>4142</v>
      </c>
      <c r="C262" t="b">
        <v>1</v>
      </c>
      <c r="D262">
        <v>8042</v>
      </c>
      <c r="E262">
        <v>8134</v>
      </c>
      <c r="F262">
        <v>6.4</v>
      </c>
      <c r="G262">
        <v>8.4</v>
      </c>
      <c r="H262">
        <v>0.76190484000000003</v>
      </c>
      <c r="I262">
        <v>0.23809520000000001</v>
      </c>
      <c r="J262">
        <v>0.56756759999999995</v>
      </c>
    </row>
    <row r="263" spans="1:10" x14ac:dyDescent="0.3">
      <c r="A263">
        <v>261</v>
      </c>
      <c r="B263">
        <v>4158</v>
      </c>
      <c r="C263" t="b">
        <v>1</v>
      </c>
      <c r="D263">
        <v>8048</v>
      </c>
      <c r="E263">
        <v>8134</v>
      </c>
      <c r="F263">
        <v>6.4</v>
      </c>
      <c r="G263">
        <v>8.8000000000000007</v>
      </c>
      <c r="H263">
        <v>0.72727275000000002</v>
      </c>
      <c r="I263">
        <v>0.27272728000000002</v>
      </c>
      <c r="J263">
        <v>0.57894736999999996</v>
      </c>
    </row>
    <row r="264" spans="1:10" x14ac:dyDescent="0.3">
      <c r="A264">
        <v>262</v>
      </c>
      <c r="B264">
        <v>4174</v>
      </c>
      <c r="C264" t="b">
        <v>1</v>
      </c>
      <c r="D264">
        <v>8048</v>
      </c>
      <c r="E264">
        <v>8123</v>
      </c>
      <c r="F264">
        <v>6.4</v>
      </c>
      <c r="G264">
        <v>9.6</v>
      </c>
      <c r="H264">
        <v>0.6666666</v>
      </c>
      <c r="I264">
        <v>0.33333333999999998</v>
      </c>
      <c r="J264">
        <v>0.6</v>
      </c>
    </row>
    <row r="265" spans="1:10" x14ac:dyDescent="0.3">
      <c r="A265">
        <v>263</v>
      </c>
      <c r="B265">
        <v>4190</v>
      </c>
      <c r="C265" t="b">
        <v>1</v>
      </c>
      <c r="D265">
        <v>8048</v>
      </c>
      <c r="E265">
        <v>8123</v>
      </c>
      <c r="F265">
        <v>6.8</v>
      </c>
      <c r="G265">
        <v>10.4</v>
      </c>
      <c r="H265">
        <v>0.65384620000000004</v>
      </c>
      <c r="I265">
        <v>0.34615380000000001</v>
      </c>
      <c r="J265">
        <v>0.6046511</v>
      </c>
    </row>
    <row r="266" spans="1:10" x14ac:dyDescent="0.3">
      <c r="A266">
        <v>264</v>
      </c>
      <c r="B266">
        <v>4207</v>
      </c>
      <c r="C266" t="b">
        <v>1</v>
      </c>
      <c r="D266">
        <v>8054</v>
      </c>
      <c r="E266">
        <v>8123</v>
      </c>
      <c r="F266">
        <v>7.2</v>
      </c>
      <c r="G266">
        <v>10.8</v>
      </c>
      <c r="H266">
        <v>0.6666666</v>
      </c>
      <c r="I266">
        <v>0.33333337000000002</v>
      </c>
      <c r="J266">
        <v>0.6</v>
      </c>
    </row>
    <row r="267" spans="1:10" x14ac:dyDescent="0.3">
      <c r="A267">
        <v>265</v>
      </c>
      <c r="B267">
        <v>4222</v>
      </c>
      <c r="C267" t="b">
        <v>1</v>
      </c>
      <c r="D267">
        <v>8054</v>
      </c>
      <c r="E267">
        <v>8123</v>
      </c>
      <c r="F267">
        <v>7.6</v>
      </c>
      <c r="G267">
        <v>10.8</v>
      </c>
      <c r="H267">
        <v>0.70370370000000004</v>
      </c>
      <c r="I267">
        <v>0.29629633</v>
      </c>
      <c r="J267">
        <v>0.58695655999999996</v>
      </c>
    </row>
    <row r="268" spans="1:10" x14ac:dyDescent="0.3">
      <c r="A268">
        <v>266</v>
      </c>
      <c r="B268">
        <v>4238</v>
      </c>
      <c r="C268" t="b">
        <v>1</v>
      </c>
      <c r="D268">
        <v>8048</v>
      </c>
      <c r="E268">
        <v>8123</v>
      </c>
      <c r="F268">
        <v>8</v>
      </c>
      <c r="G268">
        <v>10.8</v>
      </c>
      <c r="H268">
        <v>0.74074070000000003</v>
      </c>
      <c r="I268">
        <v>0.25925927999999998</v>
      </c>
      <c r="J268">
        <v>0.57446814000000002</v>
      </c>
    </row>
    <row r="269" spans="1:10" x14ac:dyDescent="0.3">
      <c r="A269">
        <v>267</v>
      </c>
      <c r="B269">
        <v>4254</v>
      </c>
      <c r="C269" t="b">
        <v>1</v>
      </c>
      <c r="D269">
        <v>8054</v>
      </c>
      <c r="E269">
        <v>8123</v>
      </c>
      <c r="F269">
        <v>8.4</v>
      </c>
      <c r="G269">
        <v>10.8</v>
      </c>
      <c r="H269">
        <v>0.77777772999999994</v>
      </c>
      <c r="I269">
        <v>0.22222227</v>
      </c>
      <c r="J269">
        <v>0.5625</v>
      </c>
    </row>
    <row r="270" spans="1:10" x14ac:dyDescent="0.3">
      <c r="A270">
        <v>268</v>
      </c>
      <c r="B270">
        <v>4270</v>
      </c>
      <c r="C270" t="b">
        <v>1</v>
      </c>
      <c r="D270">
        <v>8054</v>
      </c>
      <c r="E270">
        <v>8117</v>
      </c>
      <c r="F270">
        <v>8.8000000000000007</v>
      </c>
      <c r="G270">
        <v>10.8</v>
      </c>
      <c r="H270">
        <v>0.81481479999999995</v>
      </c>
      <c r="I270">
        <v>0.18518518</v>
      </c>
      <c r="J270">
        <v>0.55102039999999997</v>
      </c>
    </row>
    <row r="271" spans="1:10" x14ac:dyDescent="0.3">
      <c r="A271">
        <v>269</v>
      </c>
      <c r="B271">
        <v>4286</v>
      </c>
      <c r="C271" t="b">
        <v>1</v>
      </c>
      <c r="D271">
        <v>8042</v>
      </c>
      <c r="E271">
        <v>8117</v>
      </c>
      <c r="F271">
        <v>9.1999999999999993</v>
      </c>
      <c r="G271">
        <v>10.8</v>
      </c>
      <c r="H271">
        <v>0.85185180000000005</v>
      </c>
      <c r="I271">
        <v>0.14814817999999999</v>
      </c>
      <c r="J271">
        <v>0.54</v>
      </c>
    </row>
    <row r="272" spans="1:10" x14ac:dyDescent="0.3">
      <c r="A272">
        <v>270</v>
      </c>
      <c r="B272">
        <v>4302</v>
      </c>
      <c r="C272" t="b">
        <v>1</v>
      </c>
      <c r="D272">
        <v>8042</v>
      </c>
      <c r="E272">
        <v>8123</v>
      </c>
      <c r="F272">
        <v>9.1999999999999993</v>
      </c>
      <c r="G272">
        <v>10.8</v>
      </c>
      <c r="H272">
        <v>0.85185180000000005</v>
      </c>
      <c r="I272">
        <v>0.14814817999999999</v>
      </c>
      <c r="J272">
        <v>0.54</v>
      </c>
    </row>
    <row r="273" spans="1:10" x14ac:dyDescent="0.3">
      <c r="A273">
        <v>271</v>
      </c>
      <c r="B273">
        <v>4318</v>
      </c>
      <c r="C273" t="b">
        <v>1</v>
      </c>
      <c r="D273">
        <v>8048</v>
      </c>
      <c r="E273">
        <v>8117</v>
      </c>
      <c r="F273">
        <v>9.1999999999999993</v>
      </c>
      <c r="G273">
        <v>10.4</v>
      </c>
      <c r="H273">
        <v>0.88461540000000005</v>
      </c>
      <c r="I273">
        <v>0.1153846</v>
      </c>
      <c r="J273">
        <v>0.53061230000000004</v>
      </c>
    </row>
    <row r="274" spans="1:10" x14ac:dyDescent="0.3">
      <c r="A274">
        <v>272</v>
      </c>
      <c r="B274">
        <v>4334</v>
      </c>
      <c r="C274" t="b">
        <v>1</v>
      </c>
      <c r="D274">
        <v>8048</v>
      </c>
      <c r="E274">
        <v>8117</v>
      </c>
      <c r="F274">
        <v>9.1999999999999993</v>
      </c>
      <c r="G274">
        <v>9.6</v>
      </c>
      <c r="H274">
        <v>0.95833325000000003</v>
      </c>
      <c r="I274">
        <v>4.1666724000000002E-2</v>
      </c>
      <c r="J274">
        <v>0.51063835999999996</v>
      </c>
    </row>
    <row r="275" spans="1:10" x14ac:dyDescent="0.3">
      <c r="A275">
        <v>273</v>
      </c>
      <c r="B275">
        <v>4350</v>
      </c>
      <c r="C275" t="b">
        <v>1</v>
      </c>
      <c r="D275">
        <v>8042</v>
      </c>
      <c r="E275">
        <v>8123</v>
      </c>
      <c r="F275">
        <v>8.8000000000000007</v>
      </c>
      <c r="G275">
        <v>8.8000000000000007</v>
      </c>
      <c r="H275">
        <v>1</v>
      </c>
      <c r="I275">
        <v>0</v>
      </c>
      <c r="J275">
        <v>0.5</v>
      </c>
    </row>
    <row r="276" spans="1:10" x14ac:dyDescent="0.3">
      <c r="A276">
        <v>274</v>
      </c>
      <c r="B276">
        <v>4366</v>
      </c>
      <c r="C276" t="b">
        <v>1</v>
      </c>
      <c r="D276">
        <v>8048</v>
      </c>
      <c r="E276">
        <v>8123</v>
      </c>
      <c r="F276">
        <v>8.8000000000000007</v>
      </c>
      <c r="G276">
        <v>8.4</v>
      </c>
      <c r="H276">
        <v>1.0476190999999999</v>
      </c>
      <c r="I276">
        <v>-4.7619120000000001E-2</v>
      </c>
      <c r="J276">
        <v>0.48837206</v>
      </c>
    </row>
    <row r="277" spans="1:10" x14ac:dyDescent="0.3">
      <c r="A277">
        <v>275</v>
      </c>
      <c r="B277">
        <v>4381</v>
      </c>
      <c r="C277" t="b">
        <v>1</v>
      </c>
      <c r="D277">
        <v>8048</v>
      </c>
      <c r="E277">
        <v>8123</v>
      </c>
      <c r="F277">
        <v>8.8000000000000007</v>
      </c>
      <c r="G277">
        <v>8</v>
      </c>
      <c r="H277">
        <v>1.1000000000000001</v>
      </c>
      <c r="I277">
        <v>-0.10000002400000001</v>
      </c>
      <c r="J277">
        <v>0.47619050000000002</v>
      </c>
    </row>
    <row r="278" spans="1:10" x14ac:dyDescent="0.3">
      <c r="A278">
        <v>276</v>
      </c>
      <c r="B278">
        <v>4397</v>
      </c>
      <c r="C278" t="b">
        <v>1</v>
      </c>
      <c r="D278">
        <v>8048</v>
      </c>
      <c r="E278">
        <v>8117</v>
      </c>
      <c r="F278">
        <v>8.8000000000000007</v>
      </c>
      <c r="G278">
        <v>7.6</v>
      </c>
      <c r="H278">
        <v>1.1578946999999999</v>
      </c>
      <c r="I278">
        <v>-0.15789478000000001</v>
      </c>
      <c r="J278">
        <v>0.46341463999999999</v>
      </c>
    </row>
    <row r="279" spans="1:10" x14ac:dyDescent="0.3">
      <c r="A279">
        <v>277</v>
      </c>
      <c r="B279">
        <v>4413</v>
      </c>
      <c r="C279" t="b">
        <v>1</v>
      </c>
      <c r="D279">
        <v>8042</v>
      </c>
      <c r="E279">
        <v>8123</v>
      </c>
      <c r="F279">
        <v>8.8000000000000007</v>
      </c>
      <c r="G279">
        <v>7.2</v>
      </c>
      <c r="H279">
        <v>1.2222223000000001</v>
      </c>
      <c r="I279">
        <v>-0.22222227999999999</v>
      </c>
      <c r="J279">
        <v>0.45</v>
      </c>
    </row>
    <row r="280" spans="1:10" x14ac:dyDescent="0.3">
      <c r="A280">
        <v>278</v>
      </c>
      <c r="B280">
        <v>4429</v>
      </c>
      <c r="C280" t="b">
        <v>1</v>
      </c>
      <c r="D280">
        <v>8048</v>
      </c>
      <c r="E280">
        <v>8117</v>
      </c>
      <c r="F280">
        <v>8.8000000000000007</v>
      </c>
      <c r="G280">
        <v>6.8</v>
      </c>
      <c r="H280">
        <v>1.2941176999999999</v>
      </c>
      <c r="I280">
        <v>-0.29411763000000002</v>
      </c>
      <c r="J280">
        <v>0.43589744000000002</v>
      </c>
    </row>
    <row r="281" spans="1:10" x14ac:dyDescent="0.3">
      <c r="A281">
        <v>279</v>
      </c>
      <c r="B281">
        <v>4445</v>
      </c>
      <c r="C281" t="b">
        <v>1</v>
      </c>
      <c r="D281">
        <v>8048</v>
      </c>
      <c r="E281">
        <v>8117</v>
      </c>
      <c r="F281">
        <v>8.8000000000000007</v>
      </c>
      <c r="G281">
        <v>6.4</v>
      </c>
      <c r="H281">
        <v>1.375</v>
      </c>
      <c r="I281">
        <v>-0.375</v>
      </c>
      <c r="J281">
        <v>0.4210526</v>
      </c>
    </row>
    <row r="282" spans="1:10" x14ac:dyDescent="0.3">
      <c r="A282">
        <v>280</v>
      </c>
      <c r="B282">
        <v>4461</v>
      </c>
      <c r="C282" t="b">
        <v>1</v>
      </c>
      <c r="D282">
        <v>8042</v>
      </c>
      <c r="E282">
        <v>8123</v>
      </c>
      <c r="F282">
        <v>8.8000000000000007</v>
      </c>
      <c r="G282">
        <v>6</v>
      </c>
      <c r="H282">
        <v>1.4666667</v>
      </c>
      <c r="I282">
        <v>-0.46666669999999999</v>
      </c>
      <c r="J282">
        <v>0.40540540000000003</v>
      </c>
    </row>
    <row r="283" spans="1:10" x14ac:dyDescent="0.3">
      <c r="A283">
        <v>281</v>
      </c>
      <c r="B283">
        <v>4477</v>
      </c>
      <c r="C283" t="b">
        <v>1</v>
      </c>
      <c r="D283">
        <v>8048</v>
      </c>
      <c r="E283">
        <v>8129</v>
      </c>
      <c r="F283">
        <v>8.8000000000000007</v>
      </c>
      <c r="G283">
        <v>6</v>
      </c>
      <c r="H283">
        <v>1.4666667</v>
      </c>
      <c r="I283">
        <v>-0.46666669999999999</v>
      </c>
      <c r="J283">
        <v>0.40540540000000003</v>
      </c>
    </row>
    <row r="284" spans="1:10" x14ac:dyDescent="0.3">
      <c r="A284">
        <v>282</v>
      </c>
      <c r="B284">
        <v>4492</v>
      </c>
      <c r="C284" t="b">
        <v>1</v>
      </c>
      <c r="D284">
        <v>8042</v>
      </c>
      <c r="E284">
        <v>8129</v>
      </c>
      <c r="F284">
        <v>8.4</v>
      </c>
      <c r="G284">
        <v>6</v>
      </c>
      <c r="H284">
        <v>1.4</v>
      </c>
      <c r="I284">
        <v>-0.39999994999999999</v>
      </c>
      <c r="J284">
        <v>0.4166667</v>
      </c>
    </row>
    <row r="285" spans="1:10" x14ac:dyDescent="0.3">
      <c r="A285">
        <v>283</v>
      </c>
      <c r="B285">
        <v>4508</v>
      </c>
      <c r="C285" t="b">
        <v>1</v>
      </c>
      <c r="D285">
        <v>8042</v>
      </c>
      <c r="E285">
        <v>8123</v>
      </c>
      <c r="F285">
        <v>7.6</v>
      </c>
      <c r="G285">
        <v>6</v>
      </c>
      <c r="H285">
        <v>1.2666667</v>
      </c>
      <c r="I285">
        <v>-0.26666665000000001</v>
      </c>
      <c r="J285">
        <v>0.44117644</v>
      </c>
    </row>
    <row r="286" spans="1:10" x14ac:dyDescent="0.3">
      <c r="A286">
        <v>284</v>
      </c>
      <c r="B286">
        <v>4524</v>
      </c>
      <c r="C286" t="b">
        <v>1</v>
      </c>
      <c r="D286">
        <v>8042</v>
      </c>
      <c r="E286">
        <v>8129</v>
      </c>
      <c r="F286">
        <v>6.8</v>
      </c>
      <c r="G286">
        <v>6.4</v>
      </c>
      <c r="H286">
        <v>1.0625</v>
      </c>
      <c r="I286">
        <v>-6.2500015000000006E-2</v>
      </c>
      <c r="J286">
        <v>0.48484846999999998</v>
      </c>
    </row>
    <row r="287" spans="1:10" x14ac:dyDescent="0.3">
      <c r="A287">
        <v>285</v>
      </c>
      <c r="B287">
        <v>4540</v>
      </c>
      <c r="C287" t="b">
        <v>1</v>
      </c>
      <c r="D287">
        <v>8048</v>
      </c>
      <c r="E287">
        <v>8129</v>
      </c>
      <c r="F287">
        <v>6.4</v>
      </c>
      <c r="G287">
        <v>6.8</v>
      </c>
      <c r="H287">
        <v>0.94117649999999997</v>
      </c>
      <c r="I287">
        <v>5.8823540000000001E-2</v>
      </c>
      <c r="J287">
        <v>0.51515149999999998</v>
      </c>
    </row>
    <row r="288" spans="1:10" x14ac:dyDescent="0.3">
      <c r="A288">
        <v>286</v>
      </c>
      <c r="B288">
        <v>4556</v>
      </c>
      <c r="C288" t="b">
        <v>1</v>
      </c>
      <c r="D288">
        <v>8048</v>
      </c>
      <c r="E288">
        <v>8134</v>
      </c>
      <c r="F288">
        <v>6</v>
      </c>
      <c r="G288">
        <v>7.6</v>
      </c>
      <c r="H288">
        <v>0.78947369999999994</v>
      </c>
      <c r="I288">
        <v>0.2105263</v>
      </c>
      <c r="J288">
        <v>0.55882350000000003</v>
      </c>
    </row>
    <row r="289" spans="1:10" x14ac:dyDescent="0.3">
      <c r="A289">
        <v>287</v>
      </c>
      <c r="B289">
        <v>4572</v>
      </c>
      <c r="C289" t="b">
        <v>1</v>
      </c>
      <c r="D289">
        <v>8048</v>
      </c>
      <c r="E289">
        <v>8129</v>
      </c>
      <c r="F289">
        <v>6</v>
      </c>
      <c r="G289">
        <v>8.4</v>
      </c>
      <c r="H289">
        <v>0.71428572999999995</v>
      </c>
      <c r="I289">
        <v>0.28571424000000001</v>
      </c>
      <c r="J289">
        <v>0.58333330000000005</v>
      </c>
    </row>
    <row r="290" spans="1:10" x14ac:dyDescent="0.3">
      <c r="A290">
        <v>288</v>
      </c>
      <c r="B290">
        <v>4588</v>
      </c>
      <c r="C290" t="b">
        <v>1</v>
      </c>
      <c r="D290">
        <v>8048</v>
      </c>
      <c r="E290">
        <v>8123</v>
      </c>
      <c r="F290">
        <v>6.4</v>
      </c>
      <c r="G290">
        <v>9.1999999999999993</v>
      </c>
      <c r="H290">
        <v>0.69565220000000005</v>
      </c>
      <c r="I290">
        <v>0.3043478</v>
      </c>
      <c r="J290">
        <v>0.58974355000000001</v>
      </c>
    </row>
    <row r="291" spans="1:10" x14ac:dyDescent="0.3">
      <c r="A291">
        <v>289</v>
      </c>
      <c r="B291">
        <v>4604</v>
      </c>
      <c r="C291" t="b">
        <v>1</v>
      </c>
      <c r="D291">
        <v>8042</v>
      </c>
      <c r="E291">
        <v>8129</v>
      </c>
      <c r="F291">
        <v>6.4</v>
      </c>
      <c r="G291">
        <v>9.6</v>
      </c>
      <c r="H291">
        <v>0.6666666</v>
      </c>
      <c r="I291">
        <v>0.33333333999999998</v>
      </c>
      <c r="J291">
        <v>0.6</v>
      </c>
    </row>
    <row r="292" spans="1:10" x14ac:dyDescent="0.3">
      <c r="A292">
        <v>290</v>
      </c>
      <c r="B292">
        <v>4620</v>
      </c>
      <c r="C292" t="b">
        <v>1</v>
      </c>
      <c r="D292">
        <v>8048</v>
      </c>
      <c r="E292">
        <v>8123</v>
      </c>
      <c r="F292">
        <v>6.4</v>
      </c>
      <c r="G292">
        <v>10</v>
      </c>
      <c r="H292">
        <v>0.64</v>
      </c>
      <c r="I292">
        <v>0.35999998</v>
      </c>
      <c r="J292">
        <v>0.60975610000000002</v>
      </c>
    </row>
    <row r="293" spans="1:10" x14ac:dyDescent="0.3">
      <c r="A293">
        <v>291</v>
      </c>
      <c r="B293">
        <v>4636</v>
      </c>
      <c r="C293" t="b">
        <v>1</v>
      </c>
      <c r="D293">
        <v>8042</v>
      </c>
      <c r="E293">
        <v>8134</v>
      </c>
      <c r="F293">
        <v>6.4</v>
      </c>
      <c r="G293">
        <v>10.4</v>
      </c>
      <c r="H293">
        <v>0.61538464000000004</v>
      </c>
      <c r="I293">
        <v>0.38461536000000002</v>
      </c>
      <c r="J293">
        <v>0.61904764000000001</v>
      </c>
    </row>
    <row r="294" spans="1:10" x14ac:dyDescent="0.3">
      <c r="A294">
        <v>292</v>
      </c>
      <c r="B294">
        <v>4651</v>
      </c>
      <c r="C294" t="b">
        <v>1</v>
      </c>
      <c r="D294">
        <v>8042</v>
      </c>
      <c r="E294">
        <v>8134</v>
      </c>
      <c r="F294">
        <v>6</v>
      </c>
      <c r="G294">
        <v>10.8</v>
      </c>
      <c r="H294">
        <v>0.55555549999999998</v>
      </c>
      <c r="I294">
        <v>0.44444444999999999</v>
      </c>
      <c r="J294">
        <v>0.64285720000000002</v>
      </c>
    </row>
    <row r="295" spans="1:10" x14ac:dyDescent="0.3">
      <c r="A295">
        <v>293</v>
      </c>
      <c r="B295">
        <v>4667</v>
      </c>
      <c r="C295" t="b">
        <v>1</v>
      </c>
      <c r="D295">
        <v>8042</v>
      </c>
      <c r="E295">
        <v>8123</v>
      </c>
      <c r="F295">
        <v>5.6</v>
      </c>
      <c r="G295">
        <v>11.2</v>
      </c>
      <c r="H295">
        <v>0.5</v>
      </c>
      <c r="I295">
        <v>0.5</v>
      </c>
      <c r="J295">
        <v>0.66666669999999995</v>
      </c>
    </row>
    <row r="296" spans="1:10" x14ac:dyDescent="0.3">
      <c r="A296">
        <v>294</v>
      </c>
      <c r="B296">
        <v>4683</v>
      </c>
      <c r="C296" t="b">
        <v>1</v>
      </c>
      <c r="D296">
        <v>8042</v>
      </c>
      <c r="E296">
        <v>8123</v>
      </c>
      <c r="F296">
        <v>5.2</v>
      </c>
      <c r="G296">
        <v>11.6</v>
      </c>
      <c r="H296">
        <v>0.44827582999999999</v>
      </c>
      <c r="I296">
        <v>0.5517242</v>
      </c>
      <c r="J296">
        <v>0.69047623999999996</v>
      </c>
    </row>
    <row r="297" spans="1:10" x14ac:dyDescent="0.3">
      <c r="A297">
        <v>295</v>
      </c>
      <c r="B297">
        <v>4699</v>
      </c>
      <c r="C297" t="b">
        <v>1</v>
      </c>
      <c r="D297">
        <v>8048</v>
      </c>
      <c r="E297">
        <v>8123</v>
      </c>
      <c r="F297">
        <v>4.8</v>
      </c>
      <c r="G297">
        <v>12</v>
      </c>
      <c r="H297">
        <v>0.4</v>
      </c>
      <c r="I297">
        <v>0.59999996</v>
      </c>
      <c r="J297">
        <v>0.71428572999999995</v>
      </c>
    </row>
    <row r="298" spans="1:10" x14ac:dyDescent="0.3">
      <c r="A298">
        <v>296</v>
      </c>
      <c r="B298">
        <v>4715</v>
      </c>
      <c r="C298" t="b">
        <v>1</v>
      </c>
      <c r="D298">
        <v>8042</v>
      </c>
      <c r="E298">
        <v>8123</v>
      </c>
      <c r="F298">
        <v>4.4000000000000004</v>
      </c>
      <c r="G298">
        <v>12</v>
      </c>
      <c r="H298">
        <v>0.36666666999999997</v>
      </c>
      <c r="I298">
        <v>0.63333329999999999</v>
      </c>
      <c r="J298">
        <v>0.73170732999999999</v>
      </c>
    </row>
    <row r="299" spans="1:10" x14ac:dyDescent="0.3">
      <c r="A299">
        <v>297</v>
      </c>
      <c r="B299">
        <v>4730</v>
      </c>
      <c r="C299" t="b">
        <v>1</v>
      </c>
      <c r="D299">
        <v>8048</v>
      </c>
      <c r="E299">
        <v>8123</v>
      </c>
      <c r="F299">
        <v>4</v>
      </c>
      <c r="G299">
        <v>12</v>
      </c>
      <c r="H299">
        <v>0.33333333999999998</v>
      </c>
      <c r="I299">
        <v>0.66666669999999995</v>
      </c>
      <c r="J299">
        <v>0.75</v>
      </c>
    </row>
    <row r="300" spans="1:10" x14ac:dyDescent="0.3">
      <c r="A300">
        <v>298</v>
      </c>
      <c r="B300">
        <v>4746</v>
      </c>
      <c r="C300" t="b">
        <v>1</v>
      </c>
      <c r="D300">
        <v>8048</v>
      </c>
      <c r="E300">
        <v>8123</v>
      </c>
      <c r="F300">
        <v>4.4000000000000004</v>
      </c>
      <c r="G300">
        <v>12</v>
      </c>
      <c r="H300">
        <v>0.36666666999999997</v>
      </c>
      <c r="I300">
        <v>0.63333329999999999</v>
      </c>
      <c r="J300">
        <v>0.73170732999999999</v>
      </c>
    </row>
    <row r="301" spans="1:10" x14ac:dyDescent="0.3">
      <c r="A301">
        <v>299</v>
      </c>
      <c r="B301">
        <v>4762</v>
      </c>
      <c r="C301" t="b">
        <v>1</v>
      </c>
      <c r="D301">
        <v>8042</v>
      </c>
      <c r="E301">
        <v>8123</v>
      </c>
      <c r="F301">
        <v>4.8</v>
      </c>
      <c r="G301">
        <v>11.6</v>
      </c>
      <c r="H301">
        <v>0.41379312000000001</v>
      </c>
      <c r="I301">
        <v>0.58620689999999998</v>
      </c>
      <c r="J301">
        <v>0.70731705</v>
      </c>
    </row>
    <row r="302" spans="1:10" x14ac:dyDescent="0.3">
      <c r="A302">
        <v>300</v>
      </c>
      <c r="B302">
        <v>4778</v>
      </c>
      <c r="C302" t="b">
        <v>1</v>
      </c>
      <c r="D302">
        <v>8048</v>
      </c>
      <c r="E302">
        <v>8123</v>
      </c>
      <c r="F302">
        <v>5.2</v>
      </c>
      <c r="G302">
        <v>11.2</v>
      </c>
      <c r="H302">
        <v>0.46428570000000002</v>
      </c>
      <c r="I302">
        <v>0.53571427000000005</v>
      </c>
      <c r="J302">
        <v>0.68292682999999998</v>
      </c>
    </row>
    <row r="303" spans="1:10" x14ac:dyDescent="0.3">
      <c r="A303">
        <v>301</v>
      </c>
      <c r="B303">
        <v>4794</v>
      </c>
      <c r="C303" t="b">
        <v>1</v>
      </c>
      <c r="D303">
        <v>8042</v>
      </c>
      <c r="E303">
        <v>8129</v>
      </c>
      <c r="F303">
        <v>5.6</v>
      </c>
      <c r="G303">
        <v>10.8</v>
      </c>
      <c r="H303">
        <v>0.51851849999999999</v>
      </c>
      <c r="I303">
        <v>0.48148150000000001</v>
      </c>
      <c r="J303">
        <v>0.65853660000000003</v>
      </c>
    </row>
    <row r="304" spans="1:10" x14ac:dyDescent="0.3">
      <c r="A304">
        <v>302</v>
      </c>
      <c r="B304">
        <v>4810</v>
      </c>
      <c r="C304" t="b">
        <v>1</v>
      </c>
      <c r="D304">
        <v>8042</v>
      </c>
      <c r="E304">
        <v>8123</v>
      </c>
      <c r="F304">
        <v>5.2</v>
      </c>
      <c r="G304">
        <v>10.4</v>
      </c>
      <c r="H304">
        <v>0.5</v>
      </c>
      <c r="I304">
        <v>0.5</v>
      </c>
      <c r="J304">
        <v>0.66666669999999995</v>
      </c>
    </row>
    <row r="305" spans="1:10" x14ac:dyDescent="0.3">
      <c r="A305">
        <v>303</v>
      </c>
      <c r="B305">
        <v>4825</v>
      </c>
      <c r="C305" t="b">
        <v>1</v>
      </c>
      <c r="D305">
        <v>8048</v>
      </c>
      <c r="E305">
        <v>8129</v>
      </c>
      <c r="F305">
        <v>4.8</v>
      </c>
      <c r="G305">
        <v>10</v>
      </c>
      <c r="H305">
        <v>0.48000002000000003</v>
      </c>
      <c r="I305">
        <v>0.52</v>
      </c>
      <c r="J305">
        <v>0.67567569999999999</v>
      </c>
    </row>
    <row r="306" spans="1:10" x14ac:dyDescent="0.3">
      <c r="A306">
        <v>304</v>
      </c>
      <c r="B306">
        <v>4841</v>
      </c>
      <c r="C306" t="b">
        <v>1</v>
      </c>
      <c r="D306">
        <v>8042</v>
      </c>
      <c r="E306">
        <v>8123</v>
      </c>
      <c r="F306">
        <v>4.4000000000000004</v>
      </c>
      <c r="G306">
        <v>9.6</v>
      </c>
      <c r="H306">
        <v>0.4583333</v>
      </c>
      <c r="I306">
        <v>0.54166669999999995</v>
      </c>
      <c r="J306">
        <v>0.6857143</v>
      </c>
    </row>
    <row r="307" spans="1:10" x14ac:dyDescent="0.3">
      <c r="A307">
        <v>305</v>
      </c>
      <c r="B307">
        <v>4857</v>
      </c>
      <c r="C307" t="b">
        <v>1</v>
      </c>
      <c r="D307">
        <v>8042</v>
      </c>
      <c r="E307">
        <v>8123</v>
      </c>
      <c r="F307">
        <v>4</v>
      </c>
      <c r="G307">
        <v>9.1999999999999993</v>
      </c>
      <c r="H307">
        <v>0.43478262000000001</v>
      </c>
      <c r="I307">
        <v>0.56521739999999998</v>
      </c>
      <c r="J307">
        <v>0.69696970000000003</v>
      </c>
    </row>
    <row r="308" spans="1:10" x14ac:dyDescent="0.3">
      <c r="A308">
        <v>306</v>
      </c>
      <c r="B308">
        <v>4873</v>
      </c>
      <c r="C308" t="b">
        <v>1</v>
      </c>
      <c r="D308">
        <v>8042</v>
      </c>
      <c r="E308">
        <v>8123</v>
      </c>
      <c r="F308">
        <v>3.6</v>
      </c>
      <c r="G308">
        <v>8.8000000000000007</v>
      </c>
      <c r="H308">
        <v>0.40909087999999999</v>
      </c>
      <c r="I308">
        <v>0.59090909999999996</v>
      </c>
      <c r="J308">
        <v>0.70967745999999998</v>
      </c>
    </row>
    <row r="309" spans="1:10" x14ac:dyDescent="0.3">
      <c r="A309">
        <v>307</v>
      </c>
      <c r="B309">
        <v>4889</v>
      </c>
      <c r="C309" t="b">
        <v>1</v>
      </c>
      <c r="D309">
        <v>8042</v>
      </c>
      <c r="E309">
        <v>8123</v>
      </c>
      <c r="F309">
        <v>3.6</v>
      </c>
      <c r="G309">
        <v>8.4</v>
      </c>
      <c r="H309">
        <v>0.42857142999999998</v>
      </c>
      <c r="I309">
        <v>0.57142853999999998</v>
      </c>
      <c r="J309">
        <v>0.7</v>
      </c>
    </row>
    <row r="310" spans="1:10" x14ac:dyDescent="0.3">
      <c r="A310">
        <v>308</v>
      </c>
      <c r="B310">
        <v>4905</v>
      </c>
      <c r="C310" t="b">
        <v>1</v>
      </c>
      <c r="D310">
        <v>8048</v>
      </c>
      <c r="E310">
        <v>8123</v>
      </c>
      <c r="F310">
        <v>3.6</v>
      </c>
      <c r="G310">
        <v>8</v>
      </c>
      <c r="H310">
        <v>0.45</v>
      </c>
      <c r="I310">
        <v>0.55000000000000004</v>
      </c>
      <c r="J310">
        <v>0.68965509999999997</v>
      </c>
    </row>
    <row r="311" spans="1:10" x14ac:dyDescent="0.3">
      <c r="A311">
        <v>309</v>
      </c>
      <c r="B311">
        <v>4920</v>
      </c>
      <c r="C311" t="b">
        <v>1</v>
      </c>
      <c r="D311">
        <v>8042</v>
      </c>
      <c r="E311">
        <v>8123</v>
      </c>
      <c r="F311">
        <v>3.6</v>
      </c>
      <c r="G311">
        <v>8</v>
      </c>
      <c r="H311">
        <v>0.45</v>
      </c>
      <c r="I311">
        <v>0.55000000000000004</v>
      </c>
      <c r="J311">
        <v>0.68965509999999997</v>
      </c>
    </row>
    <row r="312" spans="1:10" x14ac:dyDescent="0.3">
      <c r="A312">
        <v>310</v>
      </c>
      <c r="B312">
        <v>4936</v>
      </c>
      <c r="C312" t="b">
        <v>1</v>
      </c>
      <c r="D312">
        <v>8042</v>
      </c>
      <c r="E312">
        <v>8123</v>
      </c>
      <c r="F312">
        <v>3.6</v>
      </c>
      <c r="G312">
        <v>8</v>
      </c>
      <c r="H312">
        <v>0.45</v>
      </c>
      <c r="I312">
        <v>0.55000000000000004</v>
      </c>
      <c r="J312">
        <v>0.68965509999999997</v>
      </c>
    </row>
    <row r="313" spans="1:10" x14ac:dyDescent="0.3">
      <c r="A313">
        <v>311</v>
      </c>
      <c r="B313">
        <v>4952</v>
      </c>
      <c r="C313" t="b">
        <v>1</v>
      </c>
      <c r="D313">
        <v>8048</v>
      </c>
      <c r="E313">
        <v>8129</v>
      </c>
      <c r="F313">
        <v>3.6</v>
      </c>
      <c r="G313">
        <v>8</v>
      </c>
      <c r="H313">
        <v>0.45</v>
      </c>
      <c r="I313">
        <v>0.55000000000000004</v>
      </c>
      <c r="J313">
        <v>0.68965509999999997</v>
      </c>
    </row>
    <row r="314" spans="1:10" x14ac:dyDescent="0.3">
      <c r="A314">
        <v>312</v>
      </c>
      <c r="B314">
        <v>4968</v>
      </c>
      <c r="C314" t="b">
        <v>1</v>
      </c>
      <c r="D314">
        <v>8048</v>
      </c>
      <c r="E314">
        <v>8123</v>
      </c>
      <c r="F314">
        <v>4</v>
      </c>
      <c r="G314">
        <v>8</v>
      </c>
      <c r="H314">
        <v>0.5</v>
      </c>
      <c r="I314">
        <v>0.5</v>
      </c>
      <c r="J314">
        <v>0.66666669999999995</v>
      </c>
    </row>
    <row r="315" spans="1:10" x14ac:dyDescent="0.3">
      <c r="A315">
        <v>313</v>
      </c>
      <c r="B315">
        <v>4984</v>
      </c>
      <c r="C315" t="b">
        <v>1</v>
      </c>
      <c r="D315">
        <v>8048</v>
      </c>
      <c r="E315">
        <v>8129</v>
      </c>
      <c r="F315">
        <v>4</v>
      </c>
      <c r="G315">
        <v>8</v>
      </c>
      <c r="H315">
        <v>0.5</v>
      </c>
      <c r="I315">
        <v>0.5</v>
      </c>
      <c r="J315">
        <v>0.66666669999999995</v>
      </c>
    </row>
    <row r="316" spans="1:10" x14ac:dyDescent="0.3">
      <c r="A316">
        <v>314</v>
      </c>
      <c r="B316">
        <v>5000</v>
      </c>
      <c r="C316" t="b">
        <v>1</v>
      </c>
      <c r="D316">
        <v>8042</v>
      </c>
      <c r="E316">
        <v>8123</v>
      </c>
      <c r="F316">
        <v>4</v>
      </c>
      <c r="G316">
        <v>8</v>
      </c>
      <c r="H316">
        <v>0.5</v>
      </c>
      <c r="I316">
        <v>0.5</v>
      </c>
      <c r="J316">
        <v>0.66666669999999995</v>
      </c>
    </row>
    <row r="317" spans="1:10" x14ac:dyDescent="0.3">
      <c r="A317">
        <v>315</v>
      </c>
      <c r="B317">
        <v>5016</v>
      </c>
      <c r="C317" t="b">
        <v>1</v>
      </c>
      <c r="D317">
        <v>8048</v>
      </c>
      <c r="E317">
        <v>8129</v>
      </c>
      <c r="F317">
        <v>4</v>
      </c>
      <c r="G317">
        <v>8.4</v>
      </c>
      <c r="H317">
        <v>0.47619050000000002</v>
      </c>
      <c r="I317">
        <v>0.52380950000000004</v>
      </c>
      <c r="J317">
        <v>0.67741936000000003</v>
      </c>
    </row>
    <row r="318" spans="1:10" x14ac:dyDescent="0.3">
      <c r="A318">
        <v>316</v>
      </c>
      <c r="B318">
        <v>5032</v>
      </c>
      <c r="C318" t="b">
        <v>1</v>
      </c>
      <c r="D318">
        <v>8042</v>
      </c>
      <c r="E318">
        <v>8129</v>
      </c>
      <c r="F318">
        <v>4</v>
      </c>
      <c r="G318">
        <v>8.8000000000000007</v>
      </c>
      <c r="H318">
        <v>0.45454544000000002</v>
      </c>
      <c r="I318">
        <v>0.54545456000000003</v>
      </c>
      <c r="J318">
        <v>0.6875</v>
      </c>
    </row>
    <row r="319" spans="1:10" x14ac:dyDescent="0.3">
      <c r="A319">
        <v>317</v>
      </c>
      <c r="B319">
        <v>5048</v>
      </c>
      <c r="C319" t="b">
        <v>1</v>
      </c>
      <c r="D319">
        <v>8048</v>
      </c>
      <c r="E319">
        <v>8123</v>
      </c>
      <c r="F319">
        <v>4.4000000000000004</v>
      </c>
      <c r="G319">
        <v>9.1999999999999993</v>
      </c>
      <c r="H319">
        <v>0.47826089999999999</v>
      </c>
      <c r="I319">
        <v>0.52173910000000001</v>
      </c>
      <c r="J319">
        <v>0.67647060000000003</v>
      </c>
    </row>
    <row r="320" spans="1:10" x14ac:dyDescent="0.3">
      <c r="A320">
        <v>318</v>
      </c>
      <c r="B320">
        <v>5064</v>
      </c>
      <c r="C320" t="b">
        <v>1</v>
      </c>
      <c r="D320">
        <v>8042</v>
      </c>
      <c r="E320">
        <v>8123</v>
      </c>
      <c r="F320">
        <v>4.4000000000000004</v>
      </c>
      <c r="G320">
        <v>9.1999999999999993</v>
      </c>
      <c r="H320">
        <v>0.47826089999999999</v>
      </c>
      <c r="I320">
        <v>0.52173910000000001</v>
      </c>
      <c r="J320">
        <v>0.67647060000000003</v>
      </c>
    </row>
    <row r="321" spans="1:10" x14ac:dyDescent="0.3">
      <c r="A321">
        <v>319</v>
      </c>
      <c r="B321">
        <v>5080</v>
      </c>
      <c r="C321" t="b">
        <v>1</v>
      </c>
      <c r="D321">
        <v>8042</v>
      </c>
      <c r="E321">
        <v>8129</v>
      </c>
      <c r="F321">
        <v>4.4000000000000004</v>
      </c>
      <c r="G321">
        <v>9.6</v>
      </c>
      <c r="H321">
        <v>0.4583333</v>
      </c>
      <c r="I321">
        <v>0.54166669999999995</v>
      </c>
      <c r="J321">
        <v>0.6857143</v>
      </c>
    </row>
    <row r="322" spans="1:10" x14ac:dyDescent="0.3">
      <c r="A322">
        <v>320</v>
      </c>
      <c r="B322">
        <v>5096</v>
      </c>
      <c r="C322" t="b">
        <v>1</v>
      </c>
      <c r="D322">
        <v>8042</v>
      </c>
      <c r="E322">
        <v>8129</v>
      </c>
      <c r="F322">
        <v>4.4000000000000004</v>
      </c>
      <c r="G322">
        <v>10</v>
      </c>
      <c r="H322">
        <v>0.44</v>
      </c>
      <c r="I322">
        <v>0.56000000000000005</v>
      </c>
      <c r="J322">
        <v>0.69444450000000002</v>
      </c>
    </row>
    <row r="323" spans="1:10" x14ac:dyDescent="0.3">
      <c r="A323">
        <v>321</v>
      </c>
      <c r="B323">
        <v>5112</v>
      </c>
      <c r="C323" t="b">
        <v>1</v>
      </c>
      <c r="D323">
        <v>8048</v>
      </c>
      <c r="E323">
        <v>8129</v>
      </c>
      <c r="F323">
        <v>4.4000000000000004</v>
      </c>
      <c r="G323">
        <v>10.4</v>
      </c>
      <c r="H323">
        <v>0.42307696</v>
      </c>
      <c r="I323">
        <v>0.57692310000000002</v>
      </c>
      <c r="J323">
        <v>0.70270270000000001</v>
      </c>
    </row>
    <row r="324" spans="1:10" x14ac:dyDescent="0.3">
      <c r="A324">
        <v>322</v>
      </c>
      <c r="B324">
        <v>5128</v>
      </c>
      <c r="C324" t="b">
        <v>1</v>
      </c>
      <c r="D324">
        <v>8048</v>
      </c>
      <c r="E324">
        <v>8123</v>
      </c>
      <c r="F324">
        <v>4.4000000000000004</v>
      </c>
      <c r="G324">
        <v>10.8</v>
      </c>
      <c r="H324">
        <v>0.40740739999999998</v>
      </c>
      <c r="I324">
        <v>0.59259260000000002</v>
      </c>
      <c r="J324">
        <v>0.71052630000000006</v>
      </c>
    </row>
    <row r="325" spans="1:10" x14ac:dyDescent="0.3">
      <c r="A325">
        <v>323</v>
      </c>
      <c r="B325">
        <v>5143</v>
      </c>
      <c r="C325" t="b">
        <v>1</v>
      </c>
      <c r="D325">
        <v>8048</v>
      </c>
      <c r="E325">
        <v>8123</v>
      </c>
      <c r="F325">
        <v>4.8</v>
      </c>
      <c r="G325">
        <v>11.2</v>
      </c>
      <c r="H325">
        <v>0.42857146000000002</v>
      </c>
      <c r="I325">
        <v>0.57142853999999998</v>
      </c>
      <c r="J325">
        <v>0.7</v>
      </c>
    </row>
    <row r="326" spans="1:10" x14ac:dyDescent="0.3">
      <c r="A326">
        <v>324</v>
      </c>
      <c r="B326">
        <v>5159</v>
      </c>
      <c r="C326" t="b">
        <v>1</v>
      </c>
      <c r="D326">
        <v>8048</v>
      </c>
      <c r="E326">
        <v>8123</v>
      </c>
      <c r="F326">
        <v>5.2</v>
      </c>
      <c r="G326">
        <v>11.2</v>
      </c>
      <c r="H326">
        <v>0.46428570000000002</v>
      </c>
      <c r="I326">
        <v>0.53571427000000005</v>
      </c>
      <c r="J326">
        <v>0.68292682999999998</v>
      </c>
    </row>
    <row r="327" spans="1:10" x14ac:dyDescent="0.3">
      <c r="A327">
        <v>325</v>
      </c>
      <c r="B327">
        <v>5175</v>
      </c>
      <c r="C327" t="b">
        <v>1</v>
      </c>
      <c r="D327">
        <v>8048</v>
      </c>
      <c r="E327">
        <v>8123</v>
      </c>
      <c r="F327">
        <v>5.6</v>
      </c>
      <c r="G327">
        <v>11.2</v>
      </c>
      <c r="H327">
        <v>0.5</v>
      </c>
      <c r="I327">
        <v>0.5</v>
      </c>
      <c r="J327">
        <v>0.66666669999999995</v>
      </c>
    </row>
    <row r="328" spans="1:10" x14ac:dyDescent="0.3">
      <c r="A328">
        <v>326</v>
      </c>
      <c r="B328">
        <v>5191</v>
      </c>
      <c r="C328" t="b">
        <v>1</v>
      </c>
      <c r="D328">
        <v>8042</v>
      </c>
      <c r="E328">
        <v>8123</v>
      </c>
      <c r="F328">
        <v>6</v>
      </c>
      <c r="G328">
        <v>11.2</v>
      </c>
      <c r="H328">
        <v>0.53571427000000005</v>
      </c>
      <c r="I328">
        <v>0.46428570000000002</v>
      </c>
      <c r="J328">
        <v>0.65116273999999996</v>
      </c>
    </row>
    <row r="329" spans="1:10" x14ac:dyDescent="0.3">
      <c r="A329">
        <v>327</v>
      </c>
      <c r="B329">
        <v>5207</v>
      </c>
      <c r="C329" t="b">
        <v>1</v>
      </c>
      <c r="D329">
        <v>8042</v>
      </c>
      <c r="E329">
        <v>8129</v>
      </c>
      <c r="F329">
        <v>6</v>
      </c>
      <c r="G329">
        <v>11.2</v>
      </c>
      <c r="H329">
        <v>0.53571427000000005</v>
      </c>
      <c r="I329">
        <v>0.46428570000000002</v>
      </c>
      <c r="J329">
        <v>0.65116273999999996</v>
      </c>
    </row>
    <row r="330" spans="1:10" x14ac:dyDescent="0.3">
      <c r="A330">
        <v>328</v>
      </c>
      <c r="B330">
        <v>5223</v>
      </c>
      <c r="C330" t="b">
        <v>1</v>
      </c>
      <c r="D330">
        <v>8048</v>
      </c>
      <c r="E330">
        <v>8123</v>
      </c>
      <c r="F330">
        <v>6</v>
      </c>
      <c r="G330">
        <v>11.2</v>
      </c>
      <c r="H330">
        <v>0.53571427000000005</v>
      </c>
      <c r="I330">
        <v>0.46428570000000002</v>
      </c>
      <c r="J330">
        <v>0.65116273999999996</v>
      </c>
    </row>
    <row r="331" spans="1:10" x14ac:dyDescent="0.3">
      <c r="A331">
        <v>329</v>
      </c>
      <c r="B331">
        <v>5238</v>
      </c>
      <c r="C331" t="b">
        <v>1</v>
      </c>
      <c r="D331">
        <v>8048</v>
      </c>
      <c r="E331">
        <v>8123</v>
      </c>
      <c r="F331">
        <v>6</v>
      </c>
      <c r="G331">
        <v>11.2</v>
      </c>
      <c r="H331">
        <v>0.53571427000000005</v>
      </c>
      <c r="I331">
        <v>0.46428570000000002</v>
      </c>
      <c r="J331">
        <v>0.65116273999999996</v>
      </c>
    </row>
    <row r="332" spans="1:10" x14ac:dyDescent="0.3">
      <c r="A332">
        <v>330</v>
      </c>
      <c r="B332">
        <v>5254</v>
      </c>
      <c r="C332" t="b">
        <v>1</v>
      </c>
      <c r="D332">
        <v>8042</v>
      </c>
      <c r="E332">
        <v>8129</v>
      </c>
      <c r="F332">
        <v>5.6</v>
      </c>
      <c r="G332">
        <v>10.8</v>
      </c>
      <c r="H332">
        <v>0.51851849999999999</v>
      </c>
      <c r="I332">
        <v>0.48148150000000001</v>
      </c>
      <c r="J332">
        <v>0.65853660000000003</v>
      </c>
    </row>
    <row r="333" spans="1:10" x14ac:dyDescent="0.3">
      <c r="A333">
        <v>331</v>
      </c>
      <c r="B333">
        <v>5270</v>
      </c>
      <c r="C333" t="b">
        <v>1</v>
      </c>
      <c r="D333">
        <v>8042</v>
      </c>
      <c r="E333">
        <v>8123</v>
      </c>
      <c r="F333">
        <v>5.2</v>
      </c>
      <c r="G333">
        <v>10.4</v>
      </c>
      <c r="H333">
        <v>0.5</v>
      </c>
      <c r="I333">
        <v>0.5</v>
      </c>
      <c r="J333">
        <v>0.66666669999999995</v>
      </c>
    </row>
    <row r="334" spans="1:10" x14ac:dyDescent="0.3">
      <c r="A334">
        <v>332</v>
      </c>
      <c r="B334">
        <v>5286</v>
      </c>
      <c r="C334" t="b">
        <v>1</v>
      </c>
      <c r="D334">
        <v>8042</v>
      </c>
      <c r="E334">
        <v>8123</v>
      </c>
      <c r="F334">
        <v>4.8</v>
      </c>
      <c r="G334">
        <v>10</v>
      </c>
      <c r="H334">
        <v>0.48000002000000003</v>
      </c>
      <c r="I334">
        <v>0.52</v>
      </c>
      <c r="J334">
        <v>0.67567569999999999</v>
      </c>
    </row>
    <row r="335" spans="1:10" x14ac:dyDescent="0.3">
      <c r="A335">
        <v>333</v>
      </c>
      <c r="B335">
        <v>5302</v>
      </c>
      <c r="C335" t="b">
        <v>1</v>
      </c>
      <c r="D335">
        <v>8054</v>
      </c>
      <c r="E335">
        <v>8123</v>
      </c>
      <c r="F335">
        <v>4.8</v>
      </c>
      <c r="G335">
        <v>10</v>
      </c>
      <c r="H335">
        <v>0.48000002000000003</v>
      </c>
      <c r="I335">
        <v>0.52</v>
      </c>
      <c r="J335">
        <v>0.67567569999999999</v>
      </c>
    </row>
    <row r="336" spans="1:10" x14ac:dyDescent="0.3">
      <c r="A336">
        <v>334</v>
      </c>
      <c r="B336">
        <v>5318</v>
      </c>
      <c r="C336" t="b">
        <v>1</v>
      </c>
      <c r="D336">
        <v>8054</v>
      </c>
      <c r="E336">
        <v>8123</v>
      </c>
      <c r="F336">
        <v>4.8</v>
      </c>
      <c r="G336">
        <v>9.6</v>
      </c>
      <c r="H336">
        <v>0.5</v>
      </c>
      <c r="I336">
        <v>0.5</v>
      </c>
      <c r="J336">
        <v>0.66666669999999995</v>
      </c>
    </row>
    <row r="337" spans="1:10" x14ac:dyDescent="0.3">
      <c r="A337">
        <v>335</v>
      </c>
      <c r="B337">
        <v>5334</v>
      </c>
      <c r="C337" t="b">
        <v>1</v>
      </c>
      <c r="D337">
        <v>8054</v>
      </c>
      <c r="E337">
        <v>8129</v>
      </c>
      <c r="F337">
        <v>5.6</v>
      </c>
      <c r="G337">
        <v>9.1999999999999993</v>
      </c>
      <c r="H337">
        <v>0.6086956</v>
      </c>
      <c r="I337">
        <v>0.39130433999999997</v>
      </c>
      <c r="J337">
        <v>0.62162167000000002</v>
      </c>
    </row>
    <row r="338" spans="1:10" x14ac:dyDescent="0.3">
      <c r="A338">
        <v>336</v>
      </c>
      <c r="B338">
        <v>5350</v>
      </c>
      <c r="C338" t="b">
        <v>1</v>
      </c>
      <c r="D338">
        <v>8054</v>
      </c>
      <c r="E338">
        <v>8134</v>
      </c>
      <c r="F338">
        <v>6.4</v>
      </c>
      <c r="G338">
        <v>8.8000000000000007</v>
      </c>
      <c r="H338">
        <v>0.72727275000000002</v>
      </c>
      <c r="I338">
        <v>0.27272728000000002</v>
      </c>
      <c r="J338">
        <v>0.57894736999999996</v>
      </c>
    </row>
    <row r="339" spans="1:10" x14ac:dyDescent="0.3">
      <c r="A339">
        <v>337</v>
      </c>
      <c r="B339">
        <v>5366</v>
      </c>
      <c r="C339" t="b">
        <v>1</v>
      </c>
      <c r="D339">
        <v>8054</v>
      </c>
      <c r="E339">
        <v>8129</v>
      </c>
      <c r="F339">
        <v>7.2</v>
      </c>
      <c r="G339">
        <v>8.8000000000000007</v>
      </c>
      <c r="H339">
        <v>0.81818175000000004</v>
      </c>
      <c r="I339">
        <v>0.18181822</v>
      </c>
      <c r="J339">
        <v>0.55000000000000004</v>
      </c>
    </row>
    <row r="340" spans="1:10" x14ac:dyDescent="0.3">
      <c r="A340">
        <v>338</v>
      </c>
      <c r="B340">
        <v>5382</v>
      </c>
      <c r="C340" t="b">
        <v>1</v>
      </c>
      <c r="D340">
        <v>8054</v>
      </c>
      <c r="E340">
        <v>8134</v>
      </c>
      <c r="F340">
        <v>7.6</v>
      </c>
      <c r="G340">
        <v>8.8000000000000007</v>
      </c>
      <c r="H340">
        <v>0.86363630000000002</v>
      </c>
      <c r="I340">
        <v>0.13636366999999999</v>
      </c>
      <c r="J340">
        <v>0.53658539999999999</v>
      </c>
    </row>
    <row r="341" spans="1:10" x14ac:dyDescent="0.3">
      <c r="A341">
        <v>339</v>
      </c>
      <c r="B341">
        <v>5398</v>
      </c>
      <c r="C341" t="b">
        <v>1</v>
      </c>
      <c r="D341">
        <v>8054</v>
      </c>
      <c r="E341">
        <v>8123</v>
      </c>
      <c r="F341">
        <v>8</v>
      </c>
      <c r="G341">
        <v>9.1999999999999993</v>
      </c>
      <c r="H341">
        <v>0.86956524999999996</v>
      </c>
      <c r="I341">
        <v>0.13043477000000001</v>
      </c>
      <c r="J341">
        <v>0.53488369999999996</v>
      </c>
    </row>
    <row r="342" spans="1:10" x14ac:dyDescent="0.3">
      <c r="A342">
        <v>340</v>
      </c>
      <c r="B342">
        <v>5414</v>
      </c>
      <c r="C342" t="b">
        <v>1</v>
      </c>
      <c r="D342">
        <v>8048</v>
      </c>
      <c r="E342">
        <v>8134</v>
      </c>
      <c r="F342">
        <v>8.4</v>
      </c>
      <c r="G342">
        <v>9.9333329999999993</v>
      </c>
      <c r="H342">
        <v>0.84563756000000001</v>
      </c>
      <c r="I342">
        <v>0.15436246000000001</v>
      </c>
      <c r="J342">
        <v>0.54181820000000003</v>
      </c>
    </row>
    <row r="343" spans="1:10" x14ac:dyDescent="0.3">
      <c r="A343">
        <v>341</v>
      </c>
      <c r="B343">
        <v>5430</v>
      </c>
      <c r="C343" t="b">
        <v>1</v>
      </c>
      <c r="D343">
        <v>8048</v>
      </c>
      <c r="E343">
        <v>8129</v>
      </c>
      <c r="F343">
        <v>8.8000000000000007</v>
      </c>
      <c r="G343">
        <v>10.333333</v>
      </c>
      <c r="H343">
        <v>0.85161290000000001</v>
      </c>
      <c r="I343">
        <v>0.14838704</v>
      </c>
      <c r="J343">
        <v>0.54006969999999999</v>
      </c>
    </row>
    <row r="344" spans="1:10" x14ac:dyDescent="0.3">
      <c r="A344">
        <v>342</v>
      </c>
      <c r="B344">
        <v>5446</v>
      </c>
      <c r="C344" t="b">
        <v>1</v>
      </c>
      <c r="D344">
        <v>8042</v>
      </c>
      <c r="E344">
        <v>8129</v>
      </c>
      <c r="F344">
        <v>8.8000000000000007</v>
      </c>
      <c r="G344">
        <v>10.733333999999999</v>
      </c>
      <c r="H344">
        <v>0.81987580000000004</v>
      </c>
      <c r="I344">
        <v>0.18012422</v>
      </c>
      <c r="J344">
        <v>0.54948807</v>
      </c>
    </row>
    <row r="345" spans="1:10" x14ac:dyDescent="0.3">
      <c r="A345">
        <v>343</v>
      </c>
      <c r="B345">
        <v>5462</v>
      </c>
      <c r="C345" t="b">
        <v>1</v>
      </c>
      <c r="D345">
        <v>8048</v>
      </c>
      <c r="E345">
        <v>8129</v>
      </c>
      <c r="F345">
        <v>8.8000000000000007</v>
      </c>
      <c r="G345">
        <v>11.133333</v>
      </c>
      <c r="H345">
        <v>0.79041916000000001</v>
      </c>
      <c r="I345">
        <v>0.20958081000000001</v>
      </c>
      <c r="J345">
        <v>0.55852835999999995</v>
      </c>
    </row>
    <row r="346" spans="1:10" x14ac:dyDescent="0.3">
      <c r="A346">
        <v>344</v>
      </c>
      <c r="B346">
        <v>5477</v>
      </c>
      <c r="C346" t="b">
        <v>1</v>
      </c>
      <c r="D346">
        <v>8042</v>
      </c>
      <c r="E346">
        <v>8134</v>
      </c>
      <c r="F346">
        <v>8.8000000000000007</v>
      </c>
      <c r="G346">
        <v>11.533334</v>
      </c>
      <c r="H346">
        <v>0.76300579999999996</v>
      </c>
      <c r="I346">
        <v>0.23699423999999999</v>
      </c>
      <c r="J346">
        <v>0.56721310000000003</v>
      </c>
    </row>
    <row r="347" spans="1:10" x14ac:dyDescent="0.3">
      <c r="A347">
        <v>345</v>
      </c>
      <c r="B347">
        <v>5493</v>
      </c>
      <c r="C347" t="b">
        <v>1</v>
      </c>
      <c r="D347">
        <v>8048</v>
      </c>
      <c r="E347">
        <v>8129</v>
      </c>
      <c r="F347">
        <v>9.1999999999999993</v>
      </c>
      <c r="G347">
        <v>11.933332999999999</v>
      </c>
      <c r="H347">
        <v>0.77094969999999996</v>
      </c>
      <c r="I347">
        <v>0.22905030000000001</v>
      </c>
      <c r="J347">
        <v>0.56466879999999997</v>
      </c>
    </row>
    <row r="348" spans="1:10" x14ac:dyDescent="0.3">
      <c r="A348">
        <v>346</v>
      </c>
      <c r="B348">
        <v>5509</v>
      </c>
      <c r="C348" t="b">
        <v>1</v>
      </c>
      <c r="D348">
        <v>8048</v>
      </c>
      <c r="E348">
        <v>8129</v>
      </c>
      <c r="F348">
        <v>9.6</v>
      </c>
      <c r="G348">
        <v>12.333333</v>
      </c>
      <c r="H348">
        <v>0.77837840000000003</v>
      </c>
      <c r="I348">
        <v>0.22162156999999999</v>
      </c>
      <c r="J348">
        <v>0.56230999999999998</v>
      </c>
    </row>
    <row r="349" spans="1:10" x14ac:dyDescent="0.3">
      <c r="A349">
        <v>347</v>
      </c>
      <c r="B349">
        <v>5524</v>
      </c>
      <c r="C349" t="b">
        <v>1</v>
      </c>
      <c r="D349">
        <v>8048</v>
      </c>
      <c r="E349">
        <v>8129</v>
      </c>
      <c r="F349">
        <v>10</v>
      </c>
      <c r="G349">
        <v>12.733333999999999</v>
      </c>
      <c r="H349">
        <v>0.78534029999999999</v>
      </c>
      <c r="I349">
        <v>0.21465970000000001</v>
      </c>
      <c r="J349">
        <v>0.56011730000000004</v>
      </c>
    </row>
    <row r="350" spans="1:10" x14ac:dyDescent="0.3">
      <c r="A350">
        <v>348</v>
      </c>
      <c r="B350">
        <v>5540</v>
      </c>
      <c r="C350" t="b">
        <v>1</v>
      </c>
      <c r="D350">
        <v>8048</v>
      </c>
      <c r="E350">
        <v>8129</v>
      </c>
      <c r="F350">
        <v>10.4</v>
      </c>
      <c r="G350">
        <v>13.133333</v>
      </c>
      <c r="H350">
        <v>0.79187816</v>
      </c>
      <c r="I350">
        <v>0.20812185</v>
      </c>
      <c r="J350">
        <v>0.55807364000000004</v>
      </c>
    </row>
    <row r="351" spans="1:10" x14ac:dyDescent="0.3">
      <c r="A351">
        <v>349</v>
      </c>
      <c r="B351">
        <v>5556</v>
      </c>
      <c r="C351" t="b">
        <v>1</v>
      </c>
      <c r="D351">
        <v>8048</v>
      </c>
      <c r="E351">
        <v>8129</v>
      </c>
      <c r="F351">
        <v>10.8</v>
      </c>
      <c r="G351">
        <v>13.533334</v>
      </c>
      <c r="H351">
        <v>0.79802954000000004</v>
      </c>
      <c r="I351">
        <v>0.20197045999999999</v>
      </c>
      <c r="J351">
        <v>0.5561644</v>
      </c>
    </row>
    <row r="352" spans="1:10" x14ac:dyDescent="0.3">
      <c r="A352">
        <v>350</v>
      </c>
      <c r="B352">
        <v>5572</v>
      </c>
      <c r="C352" t="b">
        <v>1</v>
      </c>
      <c r="D352">
        <v>8048</v>
      </c>
      <c r="E352">
        <v>8123</v>
      </c>
      <c r="F352">
        <v>10.4</v>
      </c>
      <c r="G352">
        <v>13.933332999999999</v>
      </c>
      <c r="H352">
        <v>0.74641144000000004</v>
      </c>
      <c r="I352">
        <v>0.25358856000000002</v>
      </c>
      <c r="J352">
        <v>0.57260275000000005</v>
      </c>
    </row>
    <row r="353" spans="1:10" x14ac:dyDescent="0.3">
      <c r="A353">
        <v>351</v>
      </c>
      <c r="B353">
        <v>5588</v>
      </c>
      <c r="C353" t="b">
        <v>1</v>
      </c>
      <c r="D353">
        <v>8048</v>
      </c>
      <c r="E353">
        <v>8123</v>
      </c>
      <c r="F353">
        <v>10</v>
      </c>
      <c r="G353">
        <v>14.333333</v>
      </c>
      <c r="H353">
        <v>0.69767444999999995</v>
      </c>
      <c r="I353">
        <v>0.30232557999999998</v>
      </c>
      <c r="J353">
        <v>0.58904109999999998</v>
      </c>
    </row>
    <row r="354" spans="1:10" x14ac:dyDescent="0.3">
      <c r="A354">
        <v>352</v>
      </c>
      <c r="B354">
        <v>5604</v>
      </c>
      <c r="C354" t="b">
        <v>1</v>
      </c>
      <c r="D354">
        <v>8042</v>
      </c>
      <c r="E354">
        <v>8129</v>
      </c>
      <c r="F354">
        <v>9.6</v>
      </c>
      <c r="G354">
        <v>14.333333</v>
      </c>
      <c r="H354">
        <v>0.66976749999999996</v>
      </c>
      <c r="I354">
        <v>0.33023253000000002</v>
      </c>
      <c r="J354">
        <v>0.59888580000000002</v>
      </c>
    </row>
    <row r="355" spans="1:10" x14ac:dyDescent="0.3">
      <c r="A355">
        <v>353</v>
      </c>
      <c r="B355">
        <v>5620</v>
      </c>
      <c r="C355" t="b">
        <v>1</v>
      </c>
      <c r="D355">
        <v>8048</v>
      </c>
      <c r="E355">
        <v>8117</v>
      </c>
      <c r="F355">
        <v>9.1999999999999993</v>
      </c>
      <c r="G355">
        <v>13.933332999999999</v>
      </c>
      <c r="H355">
        <v>0.66028710000000002</v>
      </c>
      <c r="I355">
        <v>0.33971295000000001</v>
      </c>
      <c r="J355">
        <v>0.60230550000000005</v>
      </c>
    </row>
    <row r="356" spans="1:10" x14ac:dyDescent="0.3">
      <c r="A356">
        <v>354</v>
      </c>
      <c r="B356">
        <v>5636</v>
      </c>
      <c r="C356" t="b">
        <v>1</v>
      </c>
      <c r="D356">
        <v>8048</v>
      </c>
      <c r="E356">
        <v>8123</v>
      </c>
      <c r="F356">
        <v>8.8000000000000007</v>
      </c>
      <c r="G356">
        <v>13.533334</v>
      </c>
      <c r="H356">
        <v>0.65024630000000005</v>
      </c>
      <c r="I356">
        <v>0.3497537</v>
      </c>
      <c r="J356">
        <v>0.60597014000000005</v>
      </c>
    </row>
    <row r="357" spans="1:10" x14ac:dyDescent="0.3">
      <c r="A357">
        <v>355</v>
      </c>
      <c r="B357">
        <v>5652</v>
      </c>
      <c r="C357" t="b">
        <v>1</v>
      </c>
      <c r="D357">
        <v>8042</v>
      </c>
      <c r="E357">
        <v>8123</v>
      </c>
      <c r="F357">
        <v>8.4</v>
      </c>
      <c r="G357">
        <v>12.8</v>
      </c>
      <c r="H357">
        <v>0.65624994000000003</v>
      </c>
      <c r="I357">
        <v>0.34375002999999998</v>
      </c>
      <c r="J357">
        <v>0.60377360000000002</v>
      </c>
    </row>
    <row r="358" spans="1:10" x14ac:dyDescent="0.3">
      <c r="A358">
        <v>356</v>
      </c>
      <c r="B358">
        <v>5667</v>
      </c>
      <c r="C358" t="b">
        <v>1</v>
      </c>
      <c r="D358">
        <v>8048</v>
      </c>
      <c r="E358">
        <v>8129</v>
      </c>
      <c r="F358">
        <v>8</v>
      </c>
      <c r="G358">
        <v>12.4</v>
      </c>
      <c r="H358">
        <v>0.64516132999999998</v>
      </c>
      <c r="I358">
        <v>0.35483870000000001</v>
      </c>
      <c r="J358">
        <v>0.60784309999999997</v>
      </c>
    </row>
    <row r="359" spans="1:10" x14ac:dyDescent="0.3">
      <c r="A359">
        <v>357</v>
      </c>
      <c r="B359">
        <v>5684</v>
      </c>
      <c r="C359" t="b">
        <v>1</v>
      </c>
      <c r="D359">
        <v>8048</v>
      </c>
      <c r="E359">
        <v>8129</v>
      </c>
      <c r="F359">
        <v>8</v>
      </c>
      <c r="G359">
        <v>12</v>
      </c>
      <c r="H359">
        <v>0.66666669999999995</v>
      </c>
      <c r="I359">
        <v>0.33333333999999998</v>
      </c>
      <c r="J359">
        <v>0.6</v>
      </c>
    </row>
    <row r="360" spans="1:10" x14ac:dyDescent="0.3">
      <c r="A360">
        <v>358</v>
      </c>
      <c r="B360">
        <v>5700</v>
      </c>
      <c r="C360" t="b">
        <v>1</v>
      </c>
      <c r="D360">
        <v>8042</v>
      </c>
      <c r="E360">
        <v>8129</v>
      </c>
      <c r="F360">
        <v>8</v>
      </c>
      <c r="G360">
        <v>12</v>
      </c>
      <c r="H360">
        <v>0.66666669999999995</v>
      </c>
      <c r="I360">
        <v>0.33333333999999998</v>
      </c>
      <c r="J360">
        <v>0.6</v>
      </c>
    </row>
    <row r="361" spans="1:10" x14ac:dyDescent="0.3">
      <c r="A361">
        <v>359</v>
      </c>
      <c r="B361">
        <v>5715</v>
      </c>
      <c r="C361" t="b">
        <v>1</v>
      </c>
      <c r="D361">
        <v>8048</v>
      </c>
      <c r="E361">
        <v>8134</v>
      </c>
      <c r="F361">
        <v>8</v>
      </c>
      <c r="G361">
        <v>12</v>
      </c>
      <c r="H361">
        <v>0.66666669999999995</v>
      </c>
      <c r="I361">
        <v>0.33333333999999998</v>
      </c>
      <c r="J361">
        <v>0.6</v>
      </c>
    </row>
    <row r="362" spans="1:10" x14ac:dyDescent="0.3">
      <c r="A362">
        <v>360</v>
      </c>
      <c r="B362">
        <v>5731</v>
      </c>
      <c r="C362" t="b">
        <v>1</v>
      </c>
      <c r="D362">
        <v>8042</v>
      </c>
      <c r="E362">
        <v>8123</v>
      </c>
      <c r="F362">
        <v>8</v>
      </c>
      <c r="G362">
        <v>12</v>
      </c>
      <c r="H362">
        <v>0.66666669999999995</v>
      </c>
      <c r="I362">
        <v>0.33333333999999998</v>
      </c>
      <c r="J362">
        <v>0.6</v>
      </c>
    </row>
    <row r="363" spans="1:10" x14ac:dyDescent="0.3">
      <c r="A363">
        <v>361</v>
      </c>
      <c r="B363">
        <v>5747</v>
      </c>
      <c r="C363" t="b">
        <v>1</v>
      </c>
      <c r="D363">
        <v>8048</v>
      </c>
      <c r="E363">
        <v>8123</v>
      </c>
      <c r="F363">
        <v>8</v>
      </c>
      <c r="G363">
        <v>12</v>
      </c>
      <c r="H363">
        <v>0.66666669999999995</v>
      </c>
      <c r="I363">
        <v>0.33333333999999998</v>
      </c>
      <c r="J363">
        <v>0.6</v>
      </c>
    </row>
    <row r="364" spans="1:10" x14ac:dyDescent="0.3">
      <c r="A364">
        <v>362</v>
      </c>
      <c r="B364">
        <v>5763</v>
      </c>
      <c r="C364" t="b">
        <v>1</v>
      </c>
      <c r="D364">
        <v>8048</v>
      </c>
      <c r="E364">
        <v>8117</v>
      </c>
      <c r="F364">
        <v>8</v>
      </c>
      <c r="G364">
        <v>11.6</v>
      </c>
      <c r="H364">
        <v>0.68965509999999997</v>
      </c>
      <c r="I364">
        <v>0.31034485000000001</v>
      </c>
      <c r="J364">
        <v>0.59183675000000002</v>
      </c>
    </row>
    <row r="365" spans="1:10" x14ac:dyDescent="0.3">
      <c r="A365">
        <v>363</v>
      </c>
      <c r="B365">
        <v>5779</v>
      </c>
      <c r="C365" t="b">
        <v>1</v>
      </c>
      <c r="D365">
        <v>8048</v>
      </c>
      <c r="E365">
        <v>8117</v>
      </c>
      <c r="F365">
        <v>8</v>
      </c>
      <c r="G365">
        <v>11.2</v>
      </c>
      <c r="H365">
        <v>0.71428572999999995</v>
      </c>
      <c r="I365">
        <v>0.28571426999999999</v>
      </c>
      <c r="J365">
        <v>0.58333330000000005</v>
      </c>
    </row>
    <row r="366" spans="1:10" x14ac:dyDescent="0.3">
      <c r="A366">
        <v>364</v>
      </c>
      <c r="B366">
        <v>5794</v>
      </c>
      <c r="C366" t="b">
        <v>1</v>
      </c>
      <c r="D366">
        <v>8048</v>
      </c>
      <c r="E366">
        <v>8123</v>
      </c>
      <c r="F366">
        <v>8</v>
      </c>
      <c r="G366">
        <v>10.8</v>
      </c>
      <c r="H366">
        <v>0.74074070000000003</v>
      </c>
      <c r="I366">
        <v>0.25925927999999998</v>
      </c>
      <c r="J366">
        <v>0.57446814000000002</v>
      </c>
    </row>
    <row r="367" spans="1:10" x14ac:dyDescent="0.3">
      <c r="A367">
        <v>365</v>
      </c>
      <c r="B367">
        <v>5810</v>
      </c>
      <c r="C367" t="b">
        <v>1</v>
      </c>
      <c r="D367">
        <v>8048</v>
      </c>
      <c r="E367">
        <v>8129</v>
      </c>
      <c r="F367">
        <v>8</v>
      </c>
      <c r="G367">
        <v>10.4</v>
      </c>
      <c r="H367">
        <v>0.76923079999999999</v>
      </c>
      <c r="I367">
        <v>0.23076920000000001</v>
      </c>
      <c r="J367">
        <v>0.56521739999999998</v>
      </c>
    </row>
    <row r="368" spans="1:10" x14ac:dyDescent="0.3">
      <c r="A368">
        <v>366</v>
      </c>
      <c r="B368">
        <v>5826</v>
      </c>
      <c r="C368" t="b">
        <v>1</v>
      </c>
      <c r="D368">
        <v>8042</v>
      </c>
      <c r="E368">
        <v>8117</v>
      </c>
      <c r="F368">
        <v>8</v>
      </c>
      <c r="G368">
        <v>9.6</v>
      </c>
      <c r="H368">
        <v>0.83333330000000005</v>
      </c>
      <c r="I368">
        <v>0.1666667</v>
      </c>
      <c r="J368">
        <v>0.54545456000000003</v>
      </c>
    </row>
    <row r="369" spans="1:10" x14ac:dyDescent="0.3">
      <c r="A369">
        <v>367</v>
      </c>
      <c r="B369">
        <v>5842</v>
      </c>
      <c r="C369" t="b">
        <v>1</v>
      </c>
      <c r="D369">
        <v>8042</v>
      </c>
      <c r="E369">
        <v>8129</v>
      </c>
      <c r="F369">
        <v>8</v>
      </c>
      <c r="G369">
        <v>9.1999999999999993</v>
      </c>
      <c r="H369">
        <v>0.86956524999999996</v>
      </c>
      <c r="I369">
        <v>0.13043477000000001</v>
      </c>
      <c r="J369">
        <v>0.53488369999999996</v>
      </c>
    </row>
    <row r="370" spans="1:10" x14ac:dyDescent="0.3">
      <c r="A370">
        <v>368</v>
      </c>
      <c r="B370">
        <v>5858</v>
      </c>
      <c r="C370" t="b">
        <v>1</v>
      </c>
      <c r="D370">
        <v>8048</v>
      </c>
      <c r="E370">
        <v>8123</v>
      </c>
      <c r="F370">
        <v>8</v>
      </c>
      <c r="G370">
        <v>9.1999999999999993</v>
      </c>
      <c r="H370">
        <v>0.86956524999999996</v>
      </c>
      <c r="I370">
        <v>0.13043477000000001</v>
      </c>
      <c r="J370">
        <v>0.53488369999999996</v>
      </c>
    </row>
    <row r="371" spans="1:10" x14ac:dyDescent="0.3">
      <c r="A371">
        <v>369</v>
      </c>
      <c r="B371">
        <v>5873</v>
      </c>
      <c r="C371" t="b">
        <v>1</v>
      </c>
      <c r="D371">
        <v>8048</v>
      </c>
      <c r="E371">
        <v>8123</v>
      </c>
      <c r="F371">
        <v>8</v>
      </c>
      <c r="G371">
        <v>9.1999999999999993</v>
      </c>
      <c r="H371">
        <v>0.86956524999999996</v>
      </c>
      <c r="I371">
        <v>0.13043477000000001</v>
      </c>
      <c r="J371">
        <v>0.53488369999999996</v>
      </c>
    </row>
    <row r="372" spans="1:10" x14ac:dyDescent="0.3">
      <c r="A372">
        <v>370</v>
      </c>
      <c r="B372">
        <v>5889</v>
      </c>
      <c r="C372" t="b">
        <v>1</v>
      </c>
      <c r="D372">
        <v>8048</v>
      </c>
      <c r="E372">
        <v>8123</v>
      </c>
      <c r="F372">
        <v>8</v>
      </c>
      <c r="G372">
        <v>9.1999999999999993</v>
      </c>
      <c r="H372">
        <v>0.86956524999999996</v>
      </c>
      <c r="I372">
        <v>0.13043477000000001</v>
      </c>
      <c r="J372">
        <v>0.53488369999999996</v>
      </c>
    </row>
    <row r="373" spans="1:10" x14ac:dyDescent="0.3">
      <c r="A373">
        <v>371</v>
      </c>
      <c r="B373">
        <v>5905</v>
      </c>
      <c r="C373" t="b">
        <v>1</v>
      </c>
      <c r="D373">
        <v>8048</v>
      </c>
      <c r="E373">
        <v>8123</v>
      </c>
      <c r="F373">
        <v>8</v>
      </c>
      <c r="G373">
        <v>9.1999999999999993</v>
      </c>
      <c r="H373">
        <v>0.86956524999999996</v>
      </c>
      <c r="I373">
        <v>0.13043477000000001</v>
      </c>
      <c r="J373">
        <v>0.53488369999999996</v>
      </c>
    </row>
    <row r="374" spans="1:10" x14ac:dyDescent="0.3">
      <c r="A374">
        <v>372</v>
      </c>
      <c r="B374">
        <v>5920</v>
      </c>
      <c r="C374" t="b">
        <v>1</v>
      </c>
      <c r="D374">
        <v>8048</v>
      </c>
      <c r="E374">
        <v>8123</v>
      </c>
      <c r="F374">
        <v>8</v>
      </c>
      <c r="G374">
        <v>9.1999999999999993</v>
      </c>
      <c r="H374">
        <v>0.86956524999999996</v>
      </c>
      <c r="I374">
        <v>0.13043477000000001</v>
      </c>
      <c r="J374">
        <v>0.53488369999999996</v>
      </c>
    </row>
    <row r="375" spans="1:10" x14ac:dyDescent="0.3">
      <c r="A375">
        <v>373</v>
      </c>
      <c r="B375">
        <v>5936</v>
      </c>
      <c r="C375" t="b">
        <v>1</v>
      </c>
      <c r="D375">
        <v>8048</v>
      </c>
      <c r="E375">
        <v>8123</v>
      </c>
      <c r="F375">
        <v>8</v>
      </c>
      <c r="G375">
        <v>8.8000000000000007</v>
      </c>
      <c r="H375">
        <v>0.90909090000000004</v>
      </c>
      <c r="I375">
        <v>9.0909110000000001E-2</v>
      </c>
      <c r="J375">
        <v>0.52380954999999996</v>
      </c>
    </row>
    <row r="376" spans="1:10" x14ac:dyDescent="0.3">
      <c r="A376">
        <v>374</v>
      </c>
      <c r="B376">
        <v>5952</v>
      </c>
      <c r="C376" t="b">
        <v>1</v>
      </c>
      <c r="D376">
        <v>8048</v>
      </c>
      <c r="E376">
        <v>8123</v>
      </c>
      <c r="F376">
        <v>8</v>
      </c>
      <c r="G376">
        <v>8.4</v>
      </c>
      <c r="H376">
        <v>0.95238100000000003</v>
      </c>
      <c r="I376">
        <v>4.7619003999999999E-2</v>
      </c>
      <c r="J376">
        <v>0.51219510000000001</v>
      </c>
    </row>
    <row r="377" spans="1:10" x14ac:dyDescent="0.3">
      <c r="A377">
        <v>375</v>
      </c>
      <c r="B377">
        <v>5968</v>
      </c>
      <c r="C377" t="b">
        <v>1</v>
      </c>
      <c r="D377">
        <v>8048</v>
      </c>
      <c r="E377">
        <v>8129</v>
      </c>
      <c r="F377">
        <v>8</v>
      </c>
      <c r="G377">
        <v>8</v>
      </c>
      <c r="H377">
        <v>1</v>
      </c>
      <c r="I377">
        <v>0</v>
      </c>
      <c r="J377">
        <v>0.5</v>
      </c>
    </row>
    <row r="378" spans="1:10" x14ac:dyDescent="0.3">
      <c r="A378">
        <v>376</v>
      </c>
      <c r="B378">
        <v>5984</v>
      </c>
      <c r="C378" t="b">
        <v>1</v>
      </c>
      <c r="D378">
        <v>8048</v>
      </c>
      <c r="E378">
        <v>8129</v>
      </c>
      <c r="F378">
        <v>8</v>
      </c>
      <c r="G378">
        <v>7.6</v>
      </c>
      <c r="H378">
        <v>1.0526316</v>
      </c>
      <c r="I378">
        <v>-5.2631589999999999E-2</v>
      </c>
      <c r="J378">
        <v>0.48717946000000001</v>
      </c>
    </row>
    <row r="379" spans="1:10" x14ac:dyDescent="0.3">
      <c r="A379">
        <v>377</v>
      </c>
      <c r="B379">
        <v>6000</v>
      </c>
      <c r="C379" t="b">
        <v>1</v>
      </c>
      <c r="D379">
        <v>8042</v>
      </c>
      <c r="E379">
        <v>8123</v>
      </c>
      <c r="F379">
        <v>8</v>
      </c>
      <c r="G379">
        <v>7.6</v>
      </c>
      <c r="H379">
        <v>1.0526316</v>
      </c>
      <c r="I379">
        <v>-5.2631589999999999E-2</v>
      </c>
      <c r="J379">
        <v>0.48717946000000001</v>
      </c>
    </row>
    <row r="380" spans="1:10" x14ac:dyDescent="0.3">
      <c r="A380">
        <v>378</v>
      </c>
      <c r="B380">
        <v>6016</v>
      </c>
      <c r="C380" t="b">
        <v>1</v>
      </c>
      <c r="D380">
        <v>8042</v>
      </c>
      <c r="E380">
        <v>8123</v>
      </c>
      <c r="F380">
        <v>8</v>
      </c>
      <c r="G380">
        <v>7.6</v>
      </c>
      <c r="H380">
        <v>1.0526316</v>
      </c>
      <c r="I380">
        <v>-5.2631589999999999E-2</v>
      </c>
      <c r="J380">
        <v>0.48717946000000001</v>
      </c>
    </row>
    <row r="381" spans="1:10" x14ac:dyDescent="0.3">
      <c r="A381">
        <v>379</v>
      </c>
      <c r="B381">
        <v>6032</v>
      </c>
      <c r="C381" t="b">
        <v>1</v>
      </c>
      <c r="D381">
        <v>8048</v>
      </c>
      <c r="E381">
        <v>8123</v>
      </c>
      <c r="F381">
        <v>8</v>
      </c>
      <c r="G381">
        <v>7.6</v>
      </c>
      <c r="H381">
        <v>1.0526316</v>
      </c>
      <c r="I381">
        <v>-5.2631589999999999E-2</v>
      </c>
      <c r="J381">
        <v>0.48717946000000001</v>
      </c>
    </row>
    <row r="382" spans="1:10" x14ac:dyDescent="0.3">
      <c r="A382">
        <v>380</v>
      </c>
      <c r="B382">
        <v>6048</v>
      </c>
      <c r="C382" t="b">
        <v>1</v>
      </c>
      <c r="D382">
        <v>8048</v>
      </c>
      <c r="E382">
        <v>8123</v>
      </c>
      <c r="F382">
        <v>8</v>
      </c>
      <c r="G382">
        <v>7.6</v>
      </c>
      <c r="H382">
        <v>1.0526316</v>
      </c>
      <c r="I382">
        <v>-5.2631589999999999E-2</v>
      </c>
      <c r="J382">
        <v>0.48717946000000001</v>
      </c>
    </row>
    <row r="383" spans="1:10" x14ac:dyDescent="0.3">
      <c r="A383">
        <v>381</v>
      </c>
      <c r="B383">
        <v>6064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6080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6096</v>
      </c>
      <c r="C385" t="b">
        <v>1</v>
      </c>
      <c r="D385">
        <v>8042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6111</v>
      </c>
      <c r="C386" t="b">
        <v>1</v>
      </c>
      <c r="D386">
        <v>8048</v>
      </c>
      <c r="E386">
        <v>8129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6127</v>
      </c>
      <c r="C387" t="b">
        <v>1</v>
      </c>
      <c r="D387">
        <v>8048</v>
      </c>
      <c r="E387">
        <v>8134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6143</v>
      </c>
      <c r="C388" t="b">
        <v>1</v>
      </c>
      <c r="D388">
        <v>8048</v>
      </c>
      <c r="E388">
        <v>8117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6159</v>
      </c>
      <c r="C389" t="b">
        <v>1</v>
      </c>
      <c r="D389">
        <v>8048</v>
      </c>
      <c r="E389">
        <v>8117</v>
      </c>
      <c r="F389">
        <v>8</v>
      </c>
      <c r="G389">
        <v>8</v>
      </c>
      <c r="H389">
        <v>1</v>
      </c>
      <c r="I389">
        <v>0</v>
      </c>
      <c r="J389">
        <v>0.5</v>
      </c>
    </row>
    <row r="390" spans="1:10" x14ac:dyDescent="0.3">
      <c r="A390">
        <v>388</v>
      </c>
      <c r="B390">
        <v>6175</v>
      </c>
      <c r="C390" t="b">
        <v>1</v>
      </c>
      <c r="D390">
        <v>8042</v>
      </c>
      <c r="E390">
        <v>8117</v>
      </c>
      <c r="F390">
        <v>8</v>
      </c>
      <c r="G390">
        <v>7.6</v>
      </c>
      <c r="H390">
        <v>1.0526316</v>
      </c>
      <c r="I390">
        <v>-5.2631589999999999E-2</v>
      </c>
      <c r="J390">
        <v>0.48717946000000001</v>
      </c>
    </row>
    <row r="391" spans="1:10" x14ac:dyDescent="0.3">
      <c r="A391">
        <v>389</v>
      </c>
      <c r="B391">
        <v>6190</v>
      </c>
      <c r="C391" t="b">
        <v>1</v>
      </c>
      <c r="D391">
        <v>8042</v>
      </c>
      <c r="E391">
        <v>8117</v>
      </c>
      <c r="F391">
        <v>8</v>
      </c>
      <c r="G391">
        <v>7.2</v>
      </c>
      <c r="H391">
        <v>1.1111112000000001</v>
      </c>
      <c r="I391">
        <v>-0.11111114</v>
      </c>
      <c r="J391">
        <v>0.4736842</v>
      </c>
    </row>
    <row r="392" spans="1:10" x14ac:dyDescent="0.3">
      <c r="A392">
        <v>390</v>
      </c>
      <c r="B392">
        <v>6206</v>
      </c>
      <c r="C392" t="b">
        <v>1</v>
      </c>
      <c r="D392">
        <v>8048</v>
      </c>
      <c r="E392">
        <v>8117</v>
      </c>
      <c r="F392">
        <v>8</v>
      </c>
      <c r="G392">
        <v>6.8</v>
      </c>
      <c r="H392">
        <v>1.1764705</v>
      </c>
      <c r="I392">
        <v>-0.17647055</v>
      </c>
      <c r="J392">
        <v>0.45945944999999999</v>
      </c>
    </row>
    <row r="393" spans="1:10" x14ac:dyDescent="0.3">
      <c r="A393">
        <v>391</v>
      </c>
      <c r="B393">
        <v>6222</v>
      </c>
      <c r="C393" t="b">
        <v>1</v>
      </c>
      <c r="D393">
        <v>8048</v>
      </c>
      <c r="E393">
        <v>8123</v>
      </c>
      <c r="F393">
        <v>8</v>
      </c>
      <c r="G393">
        <v>6.4</v>
      </c>
      <c r="H393">
        <v>1.25</v>
      </c>
      <c r="I393">
        <v>-0.24999999000000001</v>
      </c>
      <c r="J393">
        <v>0.44444447999999998</v>
      </c>
    </row>
    <row r="394" spans="1:10" x14ac:dyDescent="0.3">
      <c r="A394">
        <v>392</v>
      </c>
      <c r="B394">
        <v>6238</v>
      </c>
      <c r="C394" t="b">
        <v>1</v>
      </c>
      <c r="D394">
        <v>8048</v>
      </c>
      <c r="E394">
        <v>8123</v>
      </c>
      <c r="F394">
        <v>8</v>
      </c>
      <c r="G394">
        <v>6</v>
      </c>
      <c r="H394">
        <v>1.3333333999999999</v>
      </c>
      <c r="I394">
        <v>-0.33333333999999998</v>
      </c>
      <c r="J394">
        <v>0.42857142999999998</v>
      </c>
    </row>
    <row r="395" spans="1:10" x14ac:dyDescent="0.3">
      <c r="A395">
        <v>393</v>
      </c>
      <c r="B395">
        <v>6253</v>
      </c>
      <c r="C395" t="b">
        <v>1</v>
      </c>
      <c r="D395">
        <v>8042</v>
      </c>
      <c r="E395">
        <v>8123</v>
      </c>
      <c r="F395">
        <v>8</v>
      </c>
      <c r="G395">
        <v>6</v>
      </c>
      <c r="H395">
        <v>1.3333333999999999</v>
      </c>
      <c r="I395">
        <v>-0.33333333999999998</v>
      </c>
      <c r="J395">
        <v>0.42857142999999998</v>
      </c>
    </row>
    <row r="396" spans="1:10" x14ac:dyDescent="0.3">
      <c r="A396">
        <v>394</v>
      </c>
      <c r="B396">
        <v>6269</v>
      </c>
      <c r="C396" t="b">
        <v>1</v>
      </c>
      <c r="D396">
        <v>8042</v>
      </c>
      <c r="E396">
        <v>8123</v>
      </c>
      <c r="F396">
        <v>8</v>
      </c>
      <c r="G396">
        <v>6</v>
      </c>
      <c r="H396">
        <v>1.3333333999999999</v>
      </c>
      <c r="I396">
        <v>-0.33333333999999998</v>
      </c>
      <c r="J396">
        <v>0.42857142999999998</v>
      </c>
    </row>
    <row r="397" spans="1:10" x14ac:dyDescent="0.3">
      <c r="A397">
        <v>395</v>
      </c>
      <c r="B397">
        <v>6285</v>
      </c>
      <c r="C397" t="b">
        <v>1</v>
      </c>
      <c r="D397">
        <v>8048</v>
      </c>
      <c r="E397">
        <v>8129</v>
      </c>
      <c r="F397">
        <v>8</v>
      </c>
      <c r="G397">
        <v>6</v>
      </c>
      <c r="H397">
        <v>1.3333333999999999</v>
      </c>
      <c r="I397">
        <v>-0.33333333999999998</v>
      </c>
      <c r="J397">
        <v>0.42857142999999998</v>
      </c>
    </row>
    <row r="398" spans="1:10" x14ac:dyDescent="0.3">
      <c r="A398">
        <v>396</v>
      </c>
      <c r="B398">
        <v>6301</v>
      </c>
      <c r="C398" t="b">
        <v>1</v>
      </c>
      <c r="D398">
        <v>8042</v>
      </c>
      <c r="E398">
        <v>8129</v>
      </c>
      <c r="F398">
        <v>7.6</v>
      </c>
      <c r="G398">
        <v>6</v>
      </c>
      <c r="H398">
        <v>1.2666667</v>
      </c>
      <c r="I398">
        <v>-0.26666665000000001</v>
      </c>
      <c r="J398">
        <v>0.44117644</v>
      </c>
    </row>
    <row r="399" spans="1:10" x14ac:dyDescent="0.3">
      <c r="A399">
        <v>397</v>
      </c>
      <c r="B399">
        <v>6316</v>
      </c>
      <c r="C399" t="b">
        <v>1</v>
      </c>
      <c r="D399">
        <v>8042</v>
      </c>
      <c r="E399">
        <v>8123</v>
      </c>
      <c r="F399">
        <v>7.2</v>
      </c>
      <c r="G399">
        <v>6</v>
      </c>
      <c r="H399">
        <v>1.1999998999999999</v>
      </c>
      <c r="I399">
        <v>-0.19999997</v>
      </c>
      <c r="J399">
        <v>0.45454547000000001</v>
      </c>
    </row>
    <row r="400" spans="1:10" x14ac:dyDescent="0.3">
      <c r="A400">
        <v>398</v>
      </c>
      <c r="B400">
        <v>6332</v>
      </c>
      <c r="C400" t="b">
        <v>1</v>
      </c>
      <c r="D400">
        <v>8054</v>
      </c>
      <c r="E400">
        <v>8123</v>
      </c>
      <c r="F400">
        <v>6.8</v>
      </c>
      <c r="G400">
        <v>6</v>
      </c>
      <c r="H400">
        <v>1.1333333000000001</v>
      </c>
      <c r="I400">
        <v>-0.13333337000000001</v>
      </c>
      <c r="J400">
        <v>0.46875</v>
      </c>
    </row>
    <row r="401" spans="1:10" x14ac:dyDescent="0.3">
      <c r="A401">
        <v>399</v>
      </c>
      <c r="B401">
        <v>6348</v>
      </c>
      <c r="C401" t="b">
        <v>1</v>
      </c>
      <c r="D401">
        <v>8042</v>
      </c>
      <c r="E401">
        <v>8123</v>
      </c>
      <c r="F401">
        <v>6.4</v>
      </c>
      <c r="G401">
        <v>6</v>
      </c>
      <c r="H401">
        <v>1.0666667000000001</v>
      </c>
      <c r="I401">
        <v>-6.6666685000000003E-2</v>
      </c>
      <c r="J401">
        <v>0.48387098000000001</v>
      </c>
    </row>
    <row r="402" spans="1:10" x14ac:dyDescent="0.3">
      <c r="A402">
        <v>400</v>
      </c>
      <c r="B402">
        <v>6364</v>
      </c>
      <c r="C402" t="b">
        <v>1</v>
      </c>
      <c r="D402">
        <v>8048</v>
      </c>
      <c r="E402">
        <v>8123</v>
      </c>
      <c r="F402">
        <v>6</v>
      </c>
      <c r="G402">
        <v>6</v>
      </c>
      <c r="H402">
        <v>1</v>
      </c>
      <c r="I402">
        <v>0</v>
      </c>
      <c r="J402">
        <v>0.5</v>
      </c>
    </row>
    <row r="403" spans="1:10" x14ac:dyDescent="0.3">
      <c r="A403">
        <v>401</v>
      </c>
      <c r="B403">
        <v>6379</v>
      </c>
      <c r="C403" t="b">
        <v>1</v>
      </c>
      <c r="D403">
        <v>8048</v>
      </c>
      <c r="E403">
        <v>8123</v>
      </c>
      <c r="F403">
        <v>6</v>
      </c>
      <c r="G403">
        <v>6</v>
      </c>
      <c r="H403">
        <v>1</v>
      </c>
      <c r="I403">
        <v>0</v>
      </c>
      <c r="J403">
        <v>0.5</v>
      </c>
    </row>
    <row r="404" spans="1:10" x14ac:dyDescent="0.3">
      <c r="A404">
        <v>402</v>
      </c>
      <c r="B404">
        <v>6395</v>
      </c>
      <c r="C404" t="b">
        <v>1</v>
      </c>
      <c r="D404">
        <v>8048</v>
      </c>
      <c r="E404">
        <v>8123</v>
      </c>
      <c r="F404">
        <v>6</v>
      </c>
      <c r="G404">
        <v>6</v>
      </c>
      <c r="H404">
        <v>1</v>
      </c>
      <c r="I404">
        <v>0</v>
      </c>
      <c r="J404">
        <v>0.5</v>
      </c>
    </row>
    <row r="405" spans="1:10" x14ac:dyDescent="0.3">
      <c r="A405">
        <v>403</v>
      </c>
      <c r="B405">
        <v>6411</v>
      </c>
      <c r="C405" t="b">
        <v>1</v>
      </c>
      <c r="D405">
        <v>8048</v>
      </c>
      <c r="E405">
        <v>8123</v>
      </c>
      <c r="F405">
        <v>6</v>
      </c>
      <c r="G405">
        <v>6.4</v>
      </c>
      <c r="H405">
        <v>0.9375</v>
      </c>
      <c r="I405">
        <v>6.2500015000000006E-2</v>
      </c>
      <c r="J405">
        <v>0.51612910000000001</v>
      </c>
    </row>
    <row r="406" spans="1:10" x14ac:dyDescent="0.3">
      <c r="A406">
        <v>404</v>
      </c>
      <c r="B406">
        <v>6427</v>
      </c>
      <c r="C406" t="b">
        <v>1</v>
      </c>
      <c r="D406">
        <v>8042</v>
      </c>
      <c r="E406">
        <v>8129</v>
      </c>
      <c r="F406">
        <v>6</v>
      </c>
      <c r="G406">
        <v>6.8</v>
      </c>
      <c r="H406">
        <v>0.8823529</v>
      </c>
      <c r="I406">
        <v>0.11764708</v>
      </c>
      <c r="J406">
        <v>0.53125</v>
      </c>
    </row>
    <row r="407" spans="1:10" x14ac:dyDescent="0.3">
      <c r="A407">
        <v>405</v>
      </c>
      <c r="B407">
        <v>6442</v>
      </c>
      <c r="C407" t="b">
        <v>1</v>
      </c>
      <c r="D407">
        <v>8037</v>
      </c>
      <c r="E407">
        <v>8123</v>
      </c>
      <c r="F407">
        <v>6</v>
      </c>
      <c r="G407">
        <v>7.2</v>
      </c>
      <c r="H407">
        <v>0.8333334</v>
      </c>
      <c r="I407">
        <v>0.16666664</v>
      </c>
      <c r="J407">
        <v>0.54545456000000003</v>
      </c>
    </row>
    <row r="408" spans="1:10" x14ac:dyDescent="0.3">
      <c r="A408">
        <v>406</v>
      </c>
      <c r="B408">
        <v>6458</v>
      </c>
      <c r="C408" t="b">
        <v>1</v>
      </c>
      <c r="D408">
        <v>8042</v>
      </c>
      <c r="E408">
        <v>8123</v>
      </c>
      <c r="F408">
        <v>5.6</v>
      </c>
      <c r="G408">
        <v>7.6</v>
      </c>
      <c r="H408">
        <v>0.73684210000000006</v>
      </c>
      <c r="I408">
        <v>0.2631579</v>
      </c>
      <c r="J408">
        <v>0.57575756</v>
      </c>
    </row>
    <row r="409" spans="1:10" x14ac:dyDescent="0.3">
      <c r="A409">
        <v>407</v>
      </c>
      <c r="B409">
        <v>6474</v>
      </c>
      <c r="C409" t="b">
        <v>1</v>
      </c>
      <c r="D409">
        <v>8048</v>
      </c>
      <c r="E409">
        <v>8129</v>
      </c>
      <c r="F409">
        <v>5.2</v>
      </c>
      <c r="G409">
        <v>8</v>
      </c>
      <c r="H409">
        <v>0.65</v>
      </c>
      <c r="I409">
        <v>0.35000002000000002</v>
      </c>
      <c r="J409">
        <v>0.60606059999999995</v>
      </c>
    </row>
    <row r="410" spans="1:10" x14ac:dyDescent="0.3">
      <c r="A410">
        <v>408</v>
      </c>
      <c r="B410">
        <v>6490</v>
      </c>
      <c r="C410" t="b">
        <v>1</v>
      </c>
      <c r="D410">
        <v>8048</v>
      </c>
      <c r="E410">
        <v>8129</v>
      </c>
      <c r="F410">
        <v>4.8</v>
      </c>
      <c r="G410">
        <v>8.4</v>
      </c>
      <c r="H410">
        <v>0.57142859999999995</v>
      </c>
      <c r="I410">
        <v>0.42857137000000001</v>
      </c>
      <c r="J410">
        <v>0.63636360000000003</v>
      </c>
    </row>
    <row r="411" spans="1:10" x14ac:dyDescent="0.3">
      <c r="A411">
        <v>409</v>
      </c>
      <c r="B411">
        <v>6506</v>
      </c>
      <c r="C411" t="b">
        <v>1</v>
      </c>
      <c r="D411">
        <v>8048</v>
      </c>
      <c r="E411">
        <v>8123</v>
      </c>
      <c r="F411">
        <v>4.8</v>
      </c>
      <c r="G411">
        <v>8.4</v>
      </c>
      <c r="H411">
        <v>0.57142859999999995</v>
      </c>
      <c r="I411">
        <v>0.42857137000000001</v>
      </c>
      <c r="J411">
        <v>0.63636360000000003</v>
      </c>
    </row>
    <row r="412" spans="1:10" x14ac:dyDescent="0.3">
      <c r="A412">
        <v>410</v>
      </c>
      <c r="B412">
        <v>6522</v>
      </c>
      <c r="C412" t="b">
        <v>1</v>
      </c>
      <c r="D412">
        <v>8048</v>
      </c>
      <c r="E412">
        <v>8123</v>
      </c>
      <c r="F412">
        <v>4.8</v>
      </c>
      <c r="G412">
        <v>8.4</v>
      </c>
      <c r="H412">
        <v>0.57142859999999995</v>
      </c>
      <c r="I412">
        <v>0.42857137000000001</v>
      </c>
      <c r="J412">
        <v>0.63636360000000003</v>
      </c>
    </row>
    <row r="413" spans="1:10" x14ac:dyDescent="0.3">
      <c r="A413">
        <v>411</v>
      </c>
      <c r="B413">
        <v>6537</v>
      </c>
      <c r="C413" t="b">
        <v>1</v>
      </c>
      <c r="D413">
        <v>8048</v>
      </c>
      <c r="E413">
        <v>8123</v>
      </c>
      <c r="F413">
        <v>5.2</v>
      </c>
      <c r="G413">
        <v>8.4</v>
      </c>
      <c r="H413">
        <v>0.61904764000000001</v>
      </c>
      <c r="I413">
        <v>0.38095240000000002</v>
      </c>
      <c r="J413">
        <v>0.61764704999999998</v>
      </c>
    </row>
    <row r="414" spans="1:10" x14ac:dyDescent="0.3">
      <c r="A414">
        <v>412</v>
      </c>
      <c r="B414">
        <v>6553</v>
      </c>
      <c r="C414" t="b">
        <v>1</v>
      </c>
      <c r="D414">
        <v>8048</v>
      </c>
      <c r="E414">
        <v>8123</v>
      </c>
      <c r="F414">
        <v>5.6</v>
      </c>
      <c r="G414">
        <v>8.4</v>
      </c>
      <c r="H414">
        <v>0.66666669999999995</v>
      </c>
      <c r="I414">
        <v>0.3333333</v>
      </c>
      <c r="J414">
        <v>0.59999996</v>
      </c>
    </row>
    <row r="415" spans="1:10" x14ac:dyDescent="0.3">
      <c r="A415">
        <v>413</v>
      </c>
      <c r="B415">
        <v>6569</v>
      </c>
      <c r="C415" t="b">
        <v>1</v>
      </c>
      <c r="D415">
        <v>8048</v>
      </c>
      <c r="E415">
        <v>8123</v>
      </c>
      <c r="F415">
        <v>6</v>
      </c>
      <c r="G415">
        <v>8.4</v>
      </c>
      <c r="H415">
        <v>0.71428572999999995</v>
      </c>
      <c r="I415">
        <v>0.28571424000000001</v>
      </c>
      <c r="J415">
        <v>0.58333330000000005</v>
      </c>
    </row>
    <row r="416" spans="1:10" x14ac:dyDescent="0.3">
      <c r="A416">
        <v>414</v>
      </c>
      <c r="B416">
        <v>6585</v>
      </c>
      <c r="C416" t="b">
        <v>1</v>
      </c>
      <c r="D416">
        <v>8048</v>
      </c>
      <c r="E416">
        <v>8123</v>
      </c>
      <c r="F416">
        <v>6.4</v>
      </c>
      <c r="G416">
        <v>8.4</v>
      </c>
      <c r="H416">
        <v>0.76190484000000003</v>
      </c>
      <c r="I416">
        <v>0.23809520000000001</v>
      </c>
      <c r="J416">
        <v>0.56756759999999995</v>
      </c>
    </row>
    <row r="417" spans="1:10" x14ac:dyDescent="0.3">
      <c r="A417">
        <v>415</v>
      </c>
      <c r="B417">
        <v>6601</v>
      </c>
      <c r="C417" t="b">
        <v>1</v>
      </c>
      <c r="D417">
        <v>8048</v>
      </c>
      <c r="E417">
        <v>8123</v>
      </c>
      <c r="F417">
        <v>6.8</v>
      </c>
      <c r="G417">
        <v>8.4</v>
      </c>
      <c r="H417">
        <v>0.80952389999999996</v>
      </c>
      <c r="I417">
        <v>0.19047612999999999</v>
      </c>
      <c r="J417">
        <v>0.55263156000000002</v>
      </c>
    </row>
    <row r="418" spans="1:10" x14ac:dyDescent="0.3">
      <c r="A418">
        <v>416</v>
      </c>
      <c r="B418">
        <v>6617</v>
      </c>
      <c r="C418" t="b">
        <v>1</v>
      </c>
      <c r="D418">
        <v>8048</v>
      </c>
      <c r="E418">
        <v>8123</v>
      </c>
      <c r="F418">
        <v>6.8</v>
      </c>
      <c r="G418">
        <v>8.4</v>
      </c>
      <c r="H418">
        <v>0.80952389999999996</v>
      </c>
      <c r="I418">
        <v>0.19047612999999999</v>
      </c>
      <c r="J418">
        <v>0.55263156000000002</v>
      </c>
    </row>
    <row r="419" spans="1:10" x14ac:dyDescent="0.3">
      <c r="A419">
        <v>417</v>
      </c>
      <c r="B419">
        <v>6633</v>
      </c>
      <c r="C419" t="b">
        <v>1</v>
      </c>
      <c r="D419">
        <v>8048</v>
      </c>
      <c r="E419">
        <v>8123</v>
      </c>
      <c r="F419">
        <v>6.8</v>
      </c>
      <c r="G419">
        <v>8.4</v>
      </c>
      <c r="H419">
        <v>0.80952389999999996</v>
      </c>
      <c r="I419">
        <v>0.19047612999999999</v>
      </c>
      <c r="J419">
        <v>0.55263156000000002</v>
      </c>
    </row>
    <row r="420" spans="1:10" x14ac:dyDescent="0.3">
      <c r="A420">
        <v>418</v>
      </c>
      <c r="B420">
        <v>6649</v>
      </c>
      <c r="C420" t="b">
        <v>1</v>
      </c>
      <c r="D420">
        <v>8048</v>
      </c>
      <c r="E420">
        <v>8134</v>
      </c>
      <c r="F420">
        <v>6.8</v>
      </c>
      <c r="G420">
        <v>8.4</v>
      </c>
      <c r="H420">
        <v>0.80952389999999996</v>
      </c>
      <c r="I420">
        <v>0.19047612999999999</v>
      </c>
      <c r="J420">
        <v>0.55263156000000002</v>
      </c>
    </row>
    <row r="421" spans="1:10" x14ac:dyDescent="0.3">
      <c r="A421">
        <v>419</v>
      </c>
      <c r="B421">
        <v>6665</v>
      </c>
      <c r="C421" t="b">
        <v>1</v>
      </c>
      <c r="D421">
        <v>8042</v>
      </c>
      <c r="E421">
        <v>8123</v>
      </c>
      <c r="F421">
        <v>6.8</v>
      </c>
      <c r="G421">
        <v>8.4</v>
      </c>
      <c r="H421">
        <v>0.80952389999999996</v>
      </c>
      <c r="I421">
        <v>0.19047612999999999</v>
      </c>
      <c r="J421">
        <v>0.55263156000000002</v>
      </c>
    </row>
    <row r="422" spans="1:10" x14ac:dyDescent="0.3">
      <c r="A422">
        <v>420</v>
      </c>
      <c r="B422">
        <v>6681</v>
      </c>
      <c r="C422" t="b">
        <v>1</v>
      </c>
      <c r="D422">
        <v>8048</v>
      </c>
      <c r="E422">
        <v>8123</v>
      </c>
      <c r="F422">
        <v>6.8</v>
      </c>
      <c r="G422">
        <v>8.4</v>
      </c>
      <c r="H422">
        <v>0.80952389999999996</v>
      </c>
      <c r="I422">
        <v>0.19047612999999999</v>
      </c>
      <c r="J422">
        <v>0.55263156000000002</v>
      </c>
    </row>
    <row r="423" spans="1:10" x14ac:dyDescent="0.3">
      <c r="A423">
        <v>421</v>
      </c>
      <c r="B423">
        <v>6697</v>
      </c>
      <c r="C423" t="b">
        <v>1</v>
      </c>
      <c r="D423">
        <v>8054</v>
      </c>
      <c r="E423">
        <v>8123</v>
      </c>
      <c r="F423">
        <v>7.2</v>
      </c>
      <c r="G423">
        <v>8.4</v>
      </c>
      <c r="H423">
        <v>0.85714287</v>
      </c>
      <c r="I423">
        <v>0.14285712</v>
      </c>
      <c r="J423">
        <v>0.53846150000000004</v>
      </c>
    </row>
    <row r="424" spans="1:10" x14ac:dyDescent="0.3">
      <c r="A424">
        <v>422</v>
      </c>
      <c r="B424">
        <v>6713</v>
      </c>
      <c r="C424" t="b">
        <v>1</v>
      </c>
      <c r="D424">
        <v>8048</v>
      </c>
      <c r="E424">
        <v>8123</v>
      </c>
      <c r="F424">
        <v>7.6</v>
      </c>
      <c r="G424">
        <v>8.4</v>
      </c>
      <c r="H424">
        <v>0.90476190000000001</v>
      </c>
      <c r="I424">
        <v>9.5238069999999994E-2</v>
      </c>
      <c r="J424">
        <v>0.52500000000000002</v>
      </c>
    </row>
    <row r="425" spans="1:10" x14ac:dyDescent="0.3">
      <c r="A425">
        <v>423</v>
      </c>
      <c r="B425">
        <v>6729</v>
      </c>
      <c r="C425" t="b">
        <v>1</v>
      </c>
      <c r="D425">
        <v>8042</v>
      </c>
      <c r="E425">
        <v>8123</v>
      </c>
      <c r="F425">
        <v>8</v>
      </c>
      <c r="G425">
        <v>8</v>
      </c>
      <c r="H425">
        <v>1</v>
      </c>
      <c r="I425">
        <v>0</v>
      </c>
      <c r="J425">
        <v>0.5</v>
      </c>
    </row>
    <row r="426" spans="1:10" x14ac:dyDescent="0.3">
      <c r="A426">
        <v>424</v>
      </c>
      <c r="B426">
        <v>6744</v>
      </c>
      <c r="C426" t="b">
        <v>1</v>
      </c>
      <c r="D426">
        <v>8048</v>
      </c>
      <c r="E426">
        <v>8129</v>
      </c>
      <c r="F426">
        <v>8</v>
      </c>
      <c r="G426">
        <v>8</v>
      </c>
      <c r="H426">
        <v>1</v>
      </c>
      <c r="I426">
        <v>0</v>
      </c>
      <c r="J426">
        <v>0.5</v>
      </c>
    </row>
    <row r="427" spans="1:10" x14ac:dyDescent="0.3">
      <c r="A427">
        <v>425</v>
      </c>
      <c r="B427">
        <v>6760</v>
      </c>
      <c r="C427" t="b">
        <v>1</v>
      </c>
      <c r="D427">
        <v>8048</v>
      </c>
      <c r="E427">
        <v>8123</v>
      </c>
      <c r="F427">
        <v>8</v>
      </c>
      <c r="G427">
        <v>8</v>
      </c>
      <c r="H427">
        <v>1</v>
      </c>
      <c r="I427">
        <v>0</v>
      </c>
      <c r="J427">
        <v>0.5</v>
      </c>
    </row>
    <row r="428" spans="1:10" x14ac:dyDescent="0.3">
      <c r="A428">
        <v>426</v>
      </c>
      <c r="B428">
        <v>6776</v>
      </c>
      <c r="C428" t="b">
        <v>1</v>
      </c>
      <c r="D428">
        <v>8042</v>
      </c>
      <c r="E428">
        <v>8123</v>
      </c>
      <c r="F428">
        <v>8</v>
      </c>
      <c r="G428">
        <v>8</v>
      </c>
      <c r="H428">
        <v>1</v>
      </c>
      <c r="I428">
        <v>0</v>
      </c>
      <c r="J428">
        <v>0.5</v>
      </c>
    </row>
    <row r="429" spans="1:10" x14ac:dyDescent="0.3">
      <c r="A429">
        <v>427</v>
      </c>
      <c r="B429">
        <v>6792</v>
      </c>
      <c r="C429" t="b">
        <v>1</v>
      </c>
      <c r="D429">
        <v>8042</v>
      </c>
      <c r="E429">
        <v>8123</v>
      </c>
      <c r="F429">
        <v>7.6</v>
      </c>
      <c r="G429">
        <v>8</v>
      </c>
      <c r="H429">
        <v>0.95</v>
      </c>
      <c r="I429">
        <v>5.0000012000000003E-2</v>
      </c>
      <c r="J429">
        <v>0.51282050000000001</v>
      </c>
    </row>
    <row r="430" spans="1:10" x14ac:dyDescent="0.3">
      <c r="A430">
        <v>428</v>
      </c>
      <c r="B430">
        <v>6808</v>
      </c>
      <c r="C430" t="b">
        <v>1</v>
      </c>
      <c r="D430">
        <v>8042</v>
      </c>
      <c r="E430">
        <v>8129</v>
      </c>
      <c r="F430">
        <v>7.2</v>
      </c>
      <c r="G430">
        <v>8</v>
      </c>
      <c r="H430">
        <v>0.9</v>
      </c>
      <c r="I430">
        <v>0.10000002400000001</v>
      </c>
      <c r="J430">
        <v>0.5263158</v>
      </c>
    </row>
    <row r="431" spans="1:10" x14ac:dyDescent="0.3">
      <c r="A431">
        <v>429</v>
      </c>
      <c r="B431">
        <v>6824</v>
      </c>
      <c r="C431" t="b">
        <v>1</v>
      </c>
      <c r="D431">
        <v>8048</v>
      </c>
      <c r="E431">
        <v>8129</v>
      </c>
      <c r="F431">
        <v>6.8</v>
      </c>
      <c r="G431">
        <v>8</v>
      </c>
      <c r="H431">
        <v>0.85</v>
      </c>
      <c r="I431">
        <v>0.14999998</v>
      </c>
      <c r="J431">
        <v>0.54054049999999998</v>
      </c>
    </row>
    <row r="432" spans="1:10" x14ac:dyDescent="0.3">
      <c r="A432">
        <v>430</v>
      </c>
      <c r="B432">
        <v>6839</v>
      </c>
      <c r="C432" t="b">
        <v>1</v>
      </c>
      <c r="D432">
        <v>8048</v>
      </c>
      <c r="E432">
        <v>8129</v>
      </c>
      <c r="F432">
        <v>6.4</v>
      </c>
      <c r="G432">
        <v>8.4</v>
      </c>
      <c r="H432">
        <v>0.76190484000000003</v>
      </c>
      <c r="I432">
        <v>0.23809520000000001</v>
      </c>
      <c r="J432">
        <v>0.56756759999999995</v>
      </c>
    </row>
    <row r="433" spans="1:10" x14ac:dyDescent="0.3">
      <c r="A433">
        <v>431</v>
      </c>
      <c r="B433">
        <v>6855</v>
      </c>
      <c r="C433" t="b">
        <v>1</v>
      </c>
      <c r="D433">
        <v>8048</v>
      </c>
      <c r="E433">
        <v>8129</v>
      </c>
      <c r="F433">
        <v>6.4</v>
      </c>
      <c r="G433">
        <v>8.8000000000000007</v>
      </c>
      <c r="H433">
        <v>0.72727275000000002</v>
      </c>
      <c r="I433">
        <v>0.27272728000000002</v>
      </c>
      <c r="J433">
        <v>0.57894736999999996</v>
      </c>
    </row>
    <row r="434" spans="1:10" x14ac:dyDescent="0.3">
      <c r="A434">
        <v>432</v>
      </c>
      <c r="B434">
        <v>6871</v>
      </c>
      <c r="C434" t="b">
        <v>1</v>
      </c>
      <c r="D434">
        <v>8048</v>
      </c>
      <c r="E434">
        <v>8123</v>
      </c>
      <c r="F434">
        <v>6.4</v>
      </c>
      <c r="G434">
        <v>9.1999999999999993</v>
      </c>
      <c r="H434">
        <v>0.69565220000000005</v>
      </c>
      <c r="I434">
        <v>0.3043478</v>
      </c>
      <c r="J434">
        <v>0.58974355000000001</v>
      </c>
    </row>
    <row r="435" spans="1:10" x14ac:dyDescent="0.3">
      <c r="A435">
        <v>433</v>
      </c>
      <c r="B435">
        <v>6887</v>
      </c>
      <c r="C435" t="b">
        <v>1</v>
      </c>
      <c r="D435">
        <v>8048</v>
      </c>
      <c r="E435">
        <v>8123</v>
      </c>
      <c r="F435">
        <v>6.4</v>
      </c>
      <c r="G435">
        <v>9.6</v>
      </c>
      <c r="H435">
        <v>0.6666666</v>
      </c>
      <c r="I435">
        <v>0.33333333999999998</v>
      </c>
      <c r="J435">
        <v>0.6</v>
      </c>
    </row>
    <row r="436" spans="1:10" x14ac:dyDescent="0.3">
      <c r="A436">
        <v>434</v>
      </c>
      <c r="B436">
        <v>6903</v>
      </c>
      <c r="C436" t="b">
        <v>1</v>
      </c>
      <c r="D436">
        <v>8048</v>
      </c>
      <c r="E436">
        <v>8129</v>
      </c>
      <c r="F436">
        <v>6.4</v>
      </c>
      <c r="G436">
        <v>10</v>
      </c>
      <c r="H436">
        <v>0.64</v>
      </c>
      <c r="I436">
        <v>0.35999998</v>
      </c>
      <c r="J436">
        <v>0.60975610000000002</v>
      </c>
    </row>
    <row r="437" spans="1:10" x14ac:dyDescent="0.3">
      <c r="A437">
        <v>435</v>
      </c>
      <c r="B437">
        <v>6919</v>
      </c>
      <c r="C437" t="b">
        <v>1</v>
      </c>
      <c r="D437">
        <v>8048</v>
      </c>
      <c r="E437">
        <v>8123</v>
      </c>
      <c r="F437">
        <v>6.4</v>
      </c>
      <c r="G437">
        <v>10</v>
      </c>
      <c r="H437">
        <v>0.64</v>
      </c>
      <c r="I437">
        <v>0.35999998</v>
      </c>
      <c r="J437">
        <v>0.60975610000000002</v>
      </c>
    </row>
    <row r="438" spans="1:10" x14ac:dyDescent="0.3">
      <c r="A438">
        <v>436</v>
      </c>
      <c r="B438">
        <v>6935</v>
      </c>
      <c r="C438" t="b">
        <v>1</v>
      </c>
      <c r="D438">
        <v>8042</v>
      </c>
      <c r="E438">
        <v>8123</v>
      </c>
      <c r="F438">
        <v>6.4</v>
      </c>
      <c r="G438">
        <v>10</v>
      </c>
      <c r="H438">
        <v>0.64</v>
      </c>
      <c r="I438">
        <v>0.35999998</v>
      </c>
      <c r="J438">
        <v>0.60975610000000002</v>
      </c>
    </row>
    <row r="439" spans="1:10" x14ac:dyDescent="0.3">
      <c r="A439">
        <v>437</v>
      </c>
      <c r="B439">
        <v>6951</v>
      </c>
      <c r="C439" t="b">
        <v>1</v>
      </c>
      <c r="D439">
        <v>8048</v>
      </c>
      <c r="E439">
        <v>8123</v>
      </c>
      <c r="F439">
        <v>6.4</v>
      </c>
      <c r="G439">
        <v>10</v>
      </c>
      <c r="H439">
        <v>0.64</v>
      </c>
      <c r="I439">
        <v>0.35999998</v>
      </c>
      <c r="J439">
        <v>0.60975610000000002</v>
      </c>
    </row>
    <row r="440" spans="1:10" x14ac:dyDescent="0.3">
      <c r="A440">
        <v>438</v>
      </c>
      <c r="B440">
        <v>6967</v>
      </c>
      <c r="C440" t="b">
        <v>1</v>
      </c>
      <c r="D440">
        <v>8048</v>
      </c>
      <c r="E440">
        <v>8117</v>
      </c>
      <c r="F440">
        <v>6.4</v>
      </c>
      <c r="G440">
        <v>10</v>
      </c>
      <c r="H440">
        <v>0.64</v>
      </c>
      <c r="I440">
        <v>0.35999998</v>
      </c>
      <c r="J440">
        <v>0.60975610000000002</v>
      </c>
    </row>
    <row r="441" spans="1:10" x14ac:dyDescent="0.3">
      <c r="A441">
        <v>439</v>
      </c>
      <c r="B441">
        <v>6983</v>
      </c>
      <c r="C441" t="b">
        <v>1</v>
      </c>
      <c r="D441">
        <v>8048</v>
      </c>
      <c r="E441">
        <v>8123</v>
      </c>
      <c r="F441">
        <v>6.4</v>
      </c>
      <c r="G441">
        <v>10</v>
      </c>
      <c r="H441">
        <v>0.64</v>
      </c>
      <c r="I441">
        <v>0.35999998</v>
      </c>
      <c r="J441">
        <v>0.60975610000000002</v>
      </c>
    </row>
    <row r="442" spans="1:10" x14ac:dyDescent="0.3">
      <c r="A442">
        <v>440</v>
      </c>
      <c r="B442">
        <v>6999</v>
      </c>
      <c r="C442" t="b">
        <v>1</v>
      </c>
      <c r="D442">
        <v>8048</v>
      </c>
      <c r="E442">
        <v>8123</v>
      </c>
      <c r="F442">
        <v>6.4</v>
      </c>
      <c r="G442">
        <v>10</v>
      </c>
      <c r="H442">
        <v>0.64</v>
      </c>
      <c r="I442">
        <v>0.35999998</v>
      </c>
      <c r="J442">
        <v>0.60975610000000002</v>
      </c>
    </row>
    <row r="443" spans="1:10" x14ac:dyDescent="0.3">
      <c r="A443">
        <v>441</v>
      </c>
      <c r="B443">
        <v>7015</v>
      </c>
      <c r="C443" t="b">
        <v>1</v>
      </c>
      <c r="D443">
        <v>8042</v>
      </c>
      <c r="E443">
        <v>8123</v>
      </c>
      <c r="F443">
        <v>6.4</v>
      </c>
      <c r="G443">
        <v>10</v>
      </c>
      <c r="H443">
        <v>0.64</v>
      </c>
      <c r="I443">
        <v>0.35999998</v>
      </c>
      <c r="J443">
        <v>0.60975610000000002</v>
      </c>
    </row>
    <row r="444" spans="1:10" x14ac:dyDescent="0.3">
      <c r="A444">
        <v>442</v>
      </c>
      <c r="B444">
        <v>7031</v>
      </c>
      <c r="C444" t="b">
        <v>1</v>
      </c>
      <c r="D444">
        <v>8048</v>
      </c>
      <c r="E444">
        <v>8129</v>
      </c>
      <c r="F444">
        <v>6.8</v>
      </c>
      <c r="G444">
        <v>10</v>
      </c>
      <c r="H444">
        <v>0.68</v>
      </c>
      <c r="I444">
        <v>0.32</v>
      </c>
      <c r="J444">
        <v>0.59523815000000002</v>
      </c>
    </row>
    <row r="445" spans="1:10" x14ac:dyDescent="0.3">
      <c r="A445">
        <v>443</v>
      </c>
      <c r="B445">
        <v>7047</v>
      </c>
      <c r="C445" t="b">
        <v>1</v>
      </c>
      <c r="D445">
        <v>8048</v>
      </c>
      <c r="E445">
        <v>8129</v>
      </c>
      <c r="F445">
        <v>7.2</v>
      </c>
      <c r="G445">
        <v>10</v>
      </c>
      <c r="H445">
        <v>0.71999997000000004</v>
      </c>
      <c r="I445">
        <v>0.28000003000000001</v>
      </c>
      <c r="J445">
        <v>0.58139529999999995</v>
      </c>
    </row>
    <row r="446" spans="1:10" x14ac:dyDescent="0.3">
      <c r="A446">
        <v>444</v>
      </c>
      <c r="B446">
        <v>7063</v>
      </c>
      <c r="C446" t="b">
        <v>1</v>
      </c>
      <c r="D446">
        <v>8048</v>
      </c>
      <c r="E446">
        <v>8123</v>
      </c>
      <c r="F446">
        <v>7.6</v>
      </c>
      <c r="G446">
        <v>10</v>
      </c>
      <c r="H446">
        <v>0.76</v>
      </c>
      <c r="I446">
        <v>0.24000001000000001</v>
      </c>
      <c r="J446">
        <v>0.56818179999999996</v>
      </c>
    </row>
    <row r="447" spans="1:10" x14ac:dyDescent="0.3">
      <c r="A447">
        <v>445</v>
      </c>
      <c r="B447">
        <v>7078</v>
      </c>
      <c r="C447" t="b">
        <v>1</v>
      </c>
      <c r="D447">
        <v>8048</v>
      </c>
      <c r="E447">
        <v>8129</v>
      </c>
      <c r="F447">
        <v>8</v>
      </c>
      <c r="G447">
        <v>10</v>
      </c>
      <c r="H447">
        <v>0.8</v>
      </c>
      <c r="I447">
        <v>0.2</v>
      </c>
      <c r="J447">
        <v>0.55555560000000004</v>
      </c>
    </row>
    <row r="448" spans="1:10" x14ac:dyDescent="0.3">
      <c r="A448">
        <v>446</v>
      </c>
      <c r="B448">
        <v>7094</v>
      </c>
      <c r="C448" t="b">
        <v>1</v>
      </c>
      <c r="D448">
        <v>8048</v>
      </c>
      <c r="E448">
        <v>8134</v>
      </c>
      <c r="F448">
        <v>8</v>
      </c>
      <c r="G448">
        <v>10</v>
      </c>
      <c r="H448">
        <v>0.8</v>
      </c>
      <c r="I448">
        <v>0.2</v>
      </c>
      <c r="J448">
        <v>0.55555560000000004</v>
      </c>
    </row>
    <row r="449" spans="1:10" x14ac:dyDescent="0.3">
      <c r="A449">
        <v>447</v>
      </c>
      <c r="B449">
        <v>7110</v>
      </c>
      <c r="C449" t="b">
        <v>1</v>
      </c>
      <c r="D449">
        <v>8048</v>
      </c>
      <c r="E449">
        <v>8123</v>
      </c>
      <c r="F449">
        <v>8</v>
      </c>
      <c r="G449">
        <v>10</v>
      </c>
      <c r="H449">
        <v>0.8</v>
      </c>
      <c r="I449">
        <v>0.2</v>
      </c>
      <c r="J449">
        <v>0.55555560000000004</v>
      </c>
    </row>
    <row r="450" spans="1:10" x14ac:dyDescent="0.3">
      <c r="A450">
        <v>448</v>
      </c>
      <c r="B450">
        <v>7126</v>
      </c>
      <c r="C450" t="b">
        <v>1</v>
      </c>
      <c r="D450">
        <v>8048</v>
      </c>
      <c r="E450">
        <v>8123</v>
      </c>
      <c r="F450">
        <v>8</v>
      </c>
      <c r="G450">
        <v>9.6</v>
      </c>
      <c r="H450">
        <v>0.83333330000000005</v>
      </c>
      <c r="I450">
        <v>0.1666667</v>
      </c>
      <c r="J450">
        <v>0.54545456000000003</v>
      </c>
    </row>
    <row r="451" spans="1:10" x14ac:dyDescent="0.3">
      <c r="A451">
        <v>449</v>
      </c>
      <c r="B451">
        <v>7142</v>
      </c>
      <c r="C451" t="b">
        <v>1</v>
      </c>
      <c r="D451">
        <v>8048</v>
      </c>
      <c r="E451">
        <v>8134</v>
      </c>
      <c r="F451">
        <v>8</v>
      </c>
      <c r="G451">
        <v>9.6</v>
      </c>
      <c r="H451">
        <v>0.83333330000000005</v>
      </c>
      <c r="I451">
        <v>0.1666667</v>
      </c>
      <c r="J451">
        <v>0.54545456000000003</v>
      </c>
    </row>
    <row r="452" spans="1:10" x14ac:dyDescent="0.3">
      <c r="A452">
        <v>450</v>
      </c>
      <c r="B452">
        <v>7157</v>
      </c>
      <c r="C452" t="b">
        <v>1</v>
      </c>
      <c r="D452">
        <v>8048</v>
      </c>
      <c r="E452">
        <v>8134</v>
      </c>
      <c r="F452">
        <v>8</v>
      </c>
      <c r="G452">
        <v>10.333333</v>
      </c>
      <c r="H452">
        <v>0.77419360000000004</v>
      </c>
      <c r="I452">
        <v>0.22580643</v>
      </c>
      <c r="J452">
        <v>0.56363635999999995</v>
      </c>
    </row>
    <row r="453" spans="1:10" x14ac:dyDescent="0.3">
      <c r="A453">
        <v>451</v>
      </c>
      <c r="B453">
        <v>7173</v>
      </c>
      <c r="C453" t="b">
        <v>1</v>
      </c>
      <c r="D453">
        <v>8048</v>
      </c>
      <c r="E453">
        <v>8129</v>
      </c>
      <c r="F453">
        <v>8</v>
      </c>
      <c r="G453">
        <v>10.733333999999999</v>
      </c>
      <c r="H453">
        <v>0.74534160000000005</v>
      </c>
      <c r="I453">
        <v>0.25465840000000001</v>
      </c>
      <c r="J453">
        <v>0.57295375999999998</v>
      </c>
    </row>
    <row r="454" spans="1:10" x14ac:dyDescent="0.3">
      <c r="A454">
        <v>452</v>
      </c>
      <c r="B454">
        <v>7189</v>
      </c>
      <c r="C454" t="b">
        <v>1</v>
      </c>
      <c r="D454">
        <v>8048</v>
      </c>
      <c r="E454">
        <v>8129</v>
      </c>
      <c r="F454">
        <v>8</v>
      </c>
      <c r="G454">
        <v>11.133333</v>
      </c>
      <c r="H454">
        <v>0.7185629</v>
      </c>
      <c r="I454">
        <v>0.28143712999999998</v>
      </c>
      <c r="J454">
        <v>0.58188150000000005</v>
      </c>
    </row>
    <row r="455" spans="1:10" x14ac:dyDescent="0.3">
      <c r="A455">
        <v>453</v>
      </c>
      <c r="B455">
        <v>7205</v>
      </c>
      <c r="C455" t="b">
        <v>1</v>
      </c>
      <c r="D455">
        <v>8048</v>
      </c>
      <c r="E455">
        <v>8134</v>
      </c>
      <c r="F455">
        <v>8</v>
      </c>
      <c r="G455">
        <v>11.866667</v>
      </c>
      <c r="H455">
        <v>0.67415729999999996</v>
      </c>
      <c r="I455">
        <v>0.32584269999999999</v>
      </c>
      <c r="J455">
        <v>0.59731542999999998</v>
      </c>
    </row>
    <row r="456" spans="1:10" x14ac:dyDescent="0.3">
      <c r="A456">
        <v>454</v>
      </c>
      <c r="B456">
        <v>7221</v>
      </c>
      <c r="C456" t="b">
        <v>1</v>
      </c>
      <c r="D456">
        <v>8048</v>
      </c>
      <c r="E456">
        <v>8129</v>
      </c>
      <c r="F456">
        <v>8</v>
      </c>
      <c r="G456">
        <v>12.266666000000001</v>
      </c>
      <c r="H456">
        <v>0.65217393999999995</v>
      </c>
      <c r="I456">
        <v>0.34782605999999999</v>
      </c>
      <c r="J456">
        <v>0.6052632</v>
      </c>
    </row>
    <row r="457" spans="1:10" x14ac:dyDescent="0.3">
      <c r="A457">
        <v>455</v>
      </c>
      <c r="B457">
        <v>7237</v>
      </c>
      <c r="C457" t="b">
        <v>1</v>
      </c>
      <c r="D457">
        <v>8048</v>
      </c>
      <c r="E457">
        <v>8123</v>
      </c>
      <c r="F457">
        <v>8</v>
      </c>
      <c r="G457">
        <v>12.666667</v>
      </c>
      <c r="H457">
        <v>0.63157890000000005</v>
      </c>
      <c r="I457">
        <v>0.36842108000000001</v>
      </c>
      <c r="J457">
        <v>0.61290319999999998</v>
      </c>
    </row>
    <row r="458" spans="1:10" x14ac:dyDescent="0.3">
      <c r="A458">
        <v>456</v>
      </c>
      <c r="B458">
        <v>7253</v>
      </c>
      <c r="C458" t="b">
        <v>1</v>
      </c>
      <c r="D458">
        <v>8042</v>
      </c>
      <c r="E458">
        <v>8123</v>
      </c>
      <c r="F458">
        <v>8</v>
      </c>
      <c r="G458">
        <v>13.066667000000001</v>
      </c>
      <c r="H458">
        <v>0.61224489999999998</v>
      </c>
      <c r="I458">
        <v>0.38775510000000002</v>
      </c>
      <c r="J458">
        <v>0.62025319999999995</v>
      </c>
    </row>
    <row r="459" spans="1:10" x14ac:dyDescent="0.3">
      <c r="A459">
        <v>457</v>
      </c>
      <c r="B459">
        <v>7269</v>
      </c>
      <c r="C459" t="b">
        <v>1</v>
      </c>
      <c r="D459">
        <v>8048</v>
      </c>
      <c r="E459">
        <v>8129</v>
      </c>
      <c r="F459">
        <v>8</v>
      </c>
      <c r="G459">
        <v>13.466666</v>
      </c>
      <c r="H459">
        <v>0.59405940000000002</v>
      </c>
      <c r="I459">
        <v>0.40594056000000001</v>
      </c>
      <c r="J459">
        <v>0.62732920000000003</v>
      </c>
    </row>
    <row r="460" spans="1:10" x14ac:dyDescent="0.3">
      <c r="A460">
        <v>458</v>
      </c>
      <c r="B460">
        <v>7284</v>
      </c>
      <c r="C460" t="b">
        <v>1</v>
      </c>
      <c r="D460">
        <v>8048</v>
      </c>
      <c r="E460">
        <v>8134</v>
      </c>
      <c r="F460">
        <v>8</v>
      </c>
      <c r="G460">
        <v>13.866667</v>
      </c>
      <c r="H460">
        <v>0.57692310000000002</v>
      </c>
      <c r="I460">
        <v>0.42307693000000002</v>
      </c>
      <c r="J460">
        <v>0.63414632999999998</v>
      </c>
    </row>
    <row r="461" spans="1:10" x14ac:dyDescent="0.3">
      <c r="A461">
        <v>459</v>
      </c>
      <c r="B461">
        <v>7301</v>
      </c>
      <c r="C461" t="b">
        <v>1</v>
      </c>
      <c r="D461">
        <v>8048</v>
      </c>
      <c r="E461">
        <v>8129</v>
      </c>
      <c r="F461">
        <v>8</v>
      </c>
      <c r="G461">
        <v>14.266666000000001</v>
      </c>
      <c r="H461">
        <v>0.56074769999999996</v>
      </c>
      <c r="I461">
        <v>0.43925231999999997</v>
      </c>
      <c r="J461">
        <v>0.64071860000000003</v>
      </c>
    </row>
    <row r="462" spans="1:10" x14ac:dyDescent="0.3">
      <c r="A462">
        <v>460</v>
      </c>
      <c r="B462">
        <v>7317</v>
      </c>
      <c r="C462" t="b">
        <v>1</v>
      </c>
      <c r="D462">
        <v>8048</v>
      </c>
      <c r="E462">
        <v>8123</v>
      </c>
      <c r="F462">
        <v>8</v>
      </c>
      <c r="G462">
        <v>14.266666000000001</v>
      </c>
      <c r="H462">
        <v>0.56074769999999996</v>
      </c>
      <c r="I462">
        <v>0.43925231999999997</v>
      </c>
      <c r="J462">
        <v>0.64071860000000003</v>
      </c>
    </row>
    <row r="463" spans="1:10" x14ac:dyDescent="0.3">
      <c r="A463">
        <v>461</v>
      </c>
      <c r="B463">
        <v>7333</v>
      </c>
      <c r="C463" t="b">
        <v>1</v>
      </c>
      <c r="D463">
        <v>8048</v>
      </c>
      <c r="E463">
        <v>8123</v>
      </c>
      <c r="F463">
        <v>8</v>
      </c>
      <c r="G463">
        <v>14.266666000000001</v>
      </c>
      <c r="H463">
        <v>0.56074769999999996</v>
      </c>
      <c r="I463">
        <v>0.43925231999999997</v>
      </c>
      <c r="J463">
        <v>0.64071860000000003</v>
      </c>
    </row>
    <row r="464" spans="1:10" x14ac:dyDescent="0.3">
      <c r="A464">
        <v>462</v>
      </c>
      <c r="B464">
        <v>7349</v>
      </c>
      <c r="C464" t="b">
        <v>1</v>
      </c>
      <c r="D464">
        <v>8048</v>
      </c>
      <c r="E464">
        <v>8123</v>
      </c>
      <c r="F464">
        <v>8</v>
      </c>
      <c r="G464">
        <v>13.866667</v>
      </c>
      <c r="H464">
        <v>0.57692310000000002</v>
      </c>
      <c r="I464">
        <v>0.42307693000000002</v>
      </c>
      <c r="J464">
        <v>0.63414632999999998</v>
      </c>
    </row>
    <row r="465" spans="1:10" x14ac:dyDescent="0.3">
      <c r="A465">
        <v>463</v>
      </c>
      <c r="B465">
        <v>7365</v>
      </c>
      <c r="C465" t="b">
        <v>1</v>
      </c>
      <c r="D465">
        <v>8048</v>
      </c>
      <c r="E465">
        <v>8123</v>
      </c>
      <c r="F465">
        <v>8</v>
      </c>
      <c r="G465">
        <v>13.866667</v>
      </c>
      <c r="H465">
        <v>0.57692310000000002</v>
      </c>
      <c r="I465">
        <v>0.42307693000000002</v>
      </c>
      <c r="J465">
        <v>0.63414632999999998</v>
      </c>
    </row>
    <row r="466" spans="1:10" x14ac:dyDescent="0.3">
      <c r="A466">
        <v>464</v>
      </c>
      <c r="B466">
        <v>7380</v>
      </c>
      <c r="C466" t="b">
        <v>1</v>
      </c>
      <c r="D466">
        <v>8048</v>
      </c>
      <c r="E466">
        <v>8129</v>
      </c>
      <c r="F466">
        <v>8</v>
      </c>
      <c r="G466">
        <v>13.466666</v>
      </c>
      <c r="H466">
        <v>0.59405940000000002</v>
      </c>
      <c r="I466">
        <v>0.40594056000000001</v>
      </c>
      <c r="J466">
        <v>0.62732920000000003</v>
      </c>
    </row>
    <row r="467" spans="1:10" x14ac:dyDescent="0.3">
      <c r="A467">
        <v>465</v>
      </c>
      <c r="B467">
        <v>7396</v>
      </c>
      <c r="C467" t="b">
        <v>1</v>
      </c>
      <c r="D467">
        <v>8042</v>
      </c>
      <c r="E467">
        <v>8129</v>
      </c>
      <c r="F467">
        <v>8</v>
      </c>
      <c r="G467">
        <v>12.733333999999999</v>
      </c>
      <c r="H467">
        <v>0.62827224000000004</v>
      </c>
      <c r="I467">
        <v>0.37172776000000002</v>
      </c>
      <c r="J467">
        <v>0.61414789999999997</v>
      </c>
    </row>
    <row r="468" spans="1:10" x14ac:dyDescent="0.3">
      <c r="A468">
        <v>466</v>
      </c>
      <c r="B468">
        <v>7412</v>
      </c>
      <c r="C468" t="b">
        <v>1</v>
      </c>
      <c r="D468">
        <v>8048</v>
      </c>
      <c r="E468">
        <v>8117</v>
      </c>
      <c r="F468">
        <v>8</v>
      </c>
      <c r="G468">
        <v>12.333333</v>
      </c>
      <c r="H468">
        <v>0.64864869999999997</v>
      </c>
      <c r="I468">
        <v>0.35135132000000002</v>
      </c>
      <c r="J468">
        <v>0.60655740000000002</v>
      </c>
    </row>
    <row r="469" spans="1:10" x14ac:dyDescent="0.3">
      <c r="A469">
        <v>467</v>
      </c>
      <c r="B469">
        <v>7428</v>
      </c>
      <c r="C469" t="b">
        <v>1</v>
      </c>
      <c r="D469">
        <v>8048</v>
      </c>
      <c r="E469">
        <v>8117</v>
      </c>
      <c r="F469">
        <v>8</v>
      </c>
      <c r="G469">
        <v>11.933332999999999</v>
      </c>
      <c r="H469">
        <v>0.67039110000000002</v>
      </c>
      <c r="I469">
        <v>0.32960895000000001</v>
      </c>
      <c r="J469">
        <v>0.59866220000000003</v>
      </c>
    </row>
    <row r="470" spans="1:10" x14ac:dyDescent="0.3">
      <c r="A470">
        <v>468</v>
      </c>
      <c r="B470">
        <v>7444</v>
      </c>
      <c r="C470" t="b">
        <v>1</v>
      </c>
      <c r="D470">
        <v>8042</v>
      </c>
      <c r="E470">
        <v>8117</v>
      </c>
      <c r="F470">
        <v>8</v>
      </c>
      <c r="G470">
        <v>10.8</v>
      </c>
      <c r="H470">
        <v>0.74074070000000003</v>
      </c>
      <c r="I470">
        <v>0.25925927999999998</v>
      </c>
      <c r="J470">
        <v>0.57446814000000002</v>
      </c>
    </row>
    <row r="471" spans="1:10" x14ac:dyDescent="0.3">
      <c r="A471">
        <v>469</v>
      </c>
      <c r="B471">
        <v>7460</v>
      </c>
      <c r="C471" t="b">
        <v>1</v>
      </c>
      <c r="D471">
        <v>8048</v>
      </c>
      <c r="E471">
        <v>8117</v>
      </c>
      <c r="F471">
        <v>8</v>
      </c>
      <c r="G471">
        <v>10</v>
      </c>
      <c r="H471">
        <v>0.8</v>
      </c>
      <c r="I471">
        <v>0.2</v>
      </c>
      <c r="J471">
        <v>0.55555560000000004</v>
      </c>
    </row>
    <row r="472" spans="1:10" x14ac:dyDescent="0.3">
      <c r="A472">
        <v>470</v>
      </c>
      <c r="B472">
        <v>7475</v>
      </c>
      <c r="C472" t="b">
        <v>1</v>
      </c>
      <c r="D472">
        <v>8048</v>
      </c>
      <c r="E472">
        <v>8117</v>
      </c>
      <c r="F472">
        <v>8</v>
      </c>
      <c r="G472">
        <v>9.1999999999999993</v>
      </c>
      <c r="H472">
        <v>0.86956524999999996</v>
      </c>
      <c r="I472">
        <v>0.13043477000000001</v>
      </c>
      <c r="J472">
        <v>0.53488369999999996</v>
      </c>
    </row>
    <row r="473" spans="1:10" x14ac:dyDescent="0.3">
      <c r="A473">
        <v>471</v>
      </c>
      <c r="B473">
        <v>7491</v>
      </c>
      <c r="C473" t="b">
        <v>1</v>
      </c>
      <c r="D473">
        <v>8048</v>
      </c>
      <c r="E473">
        <v>8117</v>
      </c>
      <c r="F473">
        <v>8</v>
      </c>
      <c r="G473">
        <v>8.4</v>
      </c>
      <c r="H473">
        <v>0.95238100000000003</v>
      </c>
      <c r="I473">
        <v>4.7619003999999999E-2</v>
      </c>
      <c r="J473">
        <v>0.51219510000000001</v>
      </c>
    </row>
    <row r="474" spans="1:10" x14ac:dyDescent="0.3">
      <c r="A474">
        <v>472</v>
      </c>
      <c r="B474">
        <v>7507</v>
      </c>
      <c r="C474" t="b">
        <v>1</v>
      </c>
      <c r="D474">
        <v>8048</v>
      </c>
      <c r="E474">
        <v>8123</v>
      </c>
      <c r="F474">
        <v>8</v>
      </c>
      <c r="G474">
        <v>7.6</v>
      </c>
      <c r="H474">
        <v>1.0526316</v>
      </c>
      <c r="I474">
        <v>-5.2631589999999999E-2</v>
      </c>
      <c r="J474">
        <v>0.48717946000000001</v>
      </c>
    </row>
    <row r="475" spans="1:10" x14ac:dyDescent="0.3">
      <c r="A475">
        <v>473</v>
      </c>
      <c r="B475">
        <v>7522</v>
      </c>
      <c r="C475" t="b">
        <v>1</v>
      </c>
      <c r="D475">
        <v>8048</v>
      </c>
      <c r="E475">
        <v>8129</v>
      </c>
      <c r="F475">
        <v>8</v>
      </c>
      <c r="G475">
        <v>6.8</v>
      </c>
      <c r="H475">
        <v>1.1764705</v>
      </c>
      <c r="I475">
        <v>-0.17647055</v>
      </c>
      <c r="J475">
        <v>0.45945944999999999</v>
      </c>
    </row>
    <row r="476" spans="1:10" x14ac:dyDescent="0.3">
      <c r="A476">
        <v>474</v>
      </c>
      <c r="B476">
        <v>7538</v>
      </c>
      <c r="C476" t="b">
        <v>1</v>
      </c>
      <c r="D476">
        <v>8048</v>
      </c>
      <c r="E476">
        <v>8129</v>
      </c>
      <c r="F476">
        <v>8</v>
      </c>
      <c r="G476">
        <v>6.4</v>
      </c>
      <c r="H476">
        <v>1.25</v>
      </c>
      <c r="I476">
        <v>-0.24999999000000001</v>
      </c>
      <c r="J476">
        <v>0.44444447999999998</v>
      </c>
    </row>
    <row r="477" spans="1:10" x14ac:dyDescent="0.3">
      <c r="A477">
        <v>475</v>
      </c>
      <c r="B477">
        <v>7554</v>
      </c>
      <c r="C477" t="b">
        <v>1</v>
      </c>
      <c r="D477">
        <v>8048</v>
      </c>
      <c r="E477">
        <v>8123</v>
      </c>
      <c r="F477">
        <v>8</v>
      </c>
      <c r="G477">
        <v>6</v>
      </c>
      <c r="H477">
        <v>1.3333333999999999</v>
      </c>
      <c r="I477">
        <v>-0.33333333999999998</v>
      </c>
      <c r="J477">
        <v>0.42857142999999998</v>
      </c>
    </row>
    <row r="478" spans="1:10" x14ac:dyDescent="0.3">
      <c r="A478">
        <v>476</v>
      </c>
      <c r="B478">
        <v>7570</v>
      </c>
      <c r="C478" t="b">
        <v>1</v>
      </c>
      <c r="D478">
        <v>8048</v>
      </c>
      <c r="E478">
        <v>8117</v>
      </c>
      <c r="F478">
        <v>8</v>
      </c>
      <c r="G478">
        <v>5.6</v>
      </c>
      <c r="H478">
        <v>1.4285715000000001</v>
      </c>
      <c r="I478">
        <v>-0.42857146000000002</v>
      </c>
      <c r="J478">
        <v>0.41176467999999999</v>
      </c>
    </row>
    <row r="479" spans="1:10" x14ac:dyDescent="0.3">
      <c r="A479">
        <v>477</v>
      </c>
      <c r="B479">
        <v>7586</v>
      </c>
      <c r="C479" t="b">
        <v>1</v>
      </c>
      <c r="D479">
        <v>8042</v>
      </c>
      <c r="E479">
        <v>8123</v>
      </c>
      <c r="F479">
        <v>8</v>
      </c>
      <c r="G479">
        <v>5.6</v>
      </c>
      <c r="H479">
        <v>1.4285715000000001</v>
      </c>
      <c r="I479">
        <v>-0.42857146000000002</v>
      </c>
      <c r="J479">
        <v>0.41176467999999999</v>
      </c>
    </row>
    <row r="480" spans="1:10" x14ac:dyDescent="0.3">
      <c r="A480">
        <v>478</v>
      </c>
      <c r="B480">
        <v>7602</v>
      </c>
      <c r="C480" t="b">
        <v>1</v>
      </c>
      <c r="D480">
        <v>8048</v>
      </c>
      <c r="E480">
        <v>8123</v>
      </c>
      <c r="F480">
        <v>8</v>
      </c>
      <c r="G480">
        <v>5.6</v>
      </c>
      <c r="H480">
        <v>1.4285715000000001</v>
      </c>
      <c r="I480">
        <v>-0.42857146000000002</v>
      </c>
      <c r="J480">
        <v>0.41176467999999999</v>
      </c>
    </row>
    <row r="481" spans="1:10" x14ac:dyDescent="0.3">
      <c r="A481">
        <v>479</v>
      </c>
      <c r="B481">
        <v>7618</v>
      </c>
      <c r="C481" t="b">
        <v>1</v>
      </c>
      <c r="D481">
        <v>8048</v>
      </c>
      <c r="E481">
        <v>8117</v>
      </c>
      <c r="F481">
        <v>8</v>
      </c>
      <c r="G481">
        <v>5.6</v>
      </c>
      <c r="H481">
        <v>1.4285715000000001</v>
      </c>
      <c r="I481">
        <v>-0.42857146000000002</v>
      </c>
      <c r="J481">
        <v>0.41176467999999999</v>
      </c>
    </row>
    <row r="482" spans="1:10" x14ac:dyDescent="0.3">
      <c r="A482">
        <v>480</v>
      </c>
      <c r="B482">
        <v>7634</v>
      </c>
      <c r="C482" t="b">
        <v>1</v>
      </c>
      <c r="D482">
        <v>8048</v>
      </c>
      <c r="E482">
        <v>8117</v>
      </c>
      <c r="F482">
        <v>8</v>
      </c>
      <c r="G482">
        <v>5.2</v>
      </c>
      <c r="H482">
        <v>1.5384616</v>
      </c>
      <c r="I482">
        <v>-0.53846156999999994</v>
      </c>
      <c r="J482">
        <v>0.39393938000000001</v>
      </c>
    </row>
    <row r="483" spans="1:10" x14ac:dyDescent="0.3">
      <c r="A483">
        <v>481</v>
      </c>
      <c r="B483">
        <v>7649</v>
      </c>
      <c r="C483" t="b">
        <v>1</v>
      </c>
      <c r="D483">
        <v>8042</v>
      </c>
      <c r="E483">
        <v>8123</v>
      </c>
      <c r="F483">
        <v>8</v>
      </c>
      <c r="G483">
        <v>5.2</v>
      </c>
      <c r="H483">
        <v>1.5384616</v>
      </c>
      <c r="I483">
        <v>-0.53846156999999994</v>
      </c>
      <c r="J483">
        <v>0.39393938000000001</v>
      </c>
    </row>
    <row r="484" spans="1:10" x14ac:dyDescent="0.3">
      <c r="A484">
        <v>482</v>
      </c>
      <c r="B484">
        <v>7665</v>
      </c>
      <c r="C484" t="b">
        <v>1</v>
      </c>
      <c r="D484">
        <v>8048</v>
      </c>
      <c r="E484">
        <v>8117</v>
      </c>
      <c r="F484">
        <v>8</v>
      </c>
      <c r="G484">
        <v>4.8</v>
      </c>
      <c r="H484">
        <v>1.6666666000000001</v>
      </c>
      <c r="I484">
        <v>-0.6666666</v>
      </c>
      <c r="J484">
        <v>0.375</v>
      </c>
    </row>
    <row r="485" spans="1:10" x14ac:dyDescent="0.3">
      <c r="A485">
        <v>483</v>
      </c>
      <c r="B485">
        <v>7681</v>
      </c>
      <c r="C485" t="b">
        <v>1</v>
      </c>
      <c r="D485">
        <v>8042</v>
      </c>
      <c r="E485">
        <v>8117</v>
      </c>
      <c r="F485">
        <v>8</v>
      </c>
      <c r="G485">
        <v>4.8</v>
      </c>
      <c r="H485">
        <v>1.6666666000000001</v>
      </c>
      <c r="I485">
        <v>-0.6666666</v>
      </c>
      <c r="J485">
        <v>0.375</v>
      </c>
    </row>
    <row r="486" spans="1:10" x14ac:dyDescent="0.3">
      <c r="A486">
        <v>484</v>
      </c>
      <c r="B486">
        <v>7697</v>
      </c>
      <c r="C486" t="b">
        <v>1</v>
      </c>
      <c r="D486">
        <v>8048</v>
      </c>
      <c r="E486">
        <v>8117</v>
      </c>
      <c r="F486">
        <v>8</v>
      </c>
      <c r="G486">
        <v>4.8</v>
      </c>
      <c r="H486">
        <v>1.6666666000000001</v>
      </c>
      <c r="I486">
        <v>-0.6666666</v>
      </c>
      <c r="J486">
        <v>0.375</v>
      </c>
    </row>
    <row r="487" spans="1:10" x14ac:dyDescent="0.3">
      <c r="A487">
        <v>485</v>
      </c>
      <c r="B487">
        <v>7713</v>
      </c>
      <c r="C487" t="b">
        <v>1</v>
      </c>
      <c r="D487">
        <v>8042</v>
      </c>
      <c r="E487">
        <v>8123</v>
      </c>
      <c r="F487">
        <v>7.6</v>
      </c>
      <c r="G487">
        <v>4.8</v>
      </c>
      <c r="H487">
        <v>1.5833333000000001</v>
      </c>
      <c r="I487">
        <v>-0.58333325000000003</v>
      </c>
      <c r="J487">
        <v>0.38709680000000002</v>
      </c>
    </row>
    <row r="488" spans="1:10" x14ac:dyDescent="0.3">
      <c r="A488">
        <v>486</v>
      </c>
      <c r="B488">
        <v>7729</v>
      </c>
      <c r="C488" t="b">
        <v>1</v>
      </c>
      <c r="D488">
        <v>8054</v>
      </c>
      <c r="E488">
        <v>8129</v>
      </c>
      <c r="F488">
        <v>7.6</v>
      </c>
      <c r="G488">
        <v>4.8</v>
      </c>
      <c r="H488">
        <v>1.5833333000000001</v>
      </c>
      <c r="I488">
        <v>-0.58333325000000003</v>
      </c>
      <c r="J488">
        <v>0.38709680000000002</v>
      </c>
    </row>
    <row r="489" spans="1:10" x14ac:dyDescent="0.3">
      <c r="A489">
        <v>487</v>
      </c>
      <c r="B489">
        <v>7745</v>
      </c>
      <c r="C489" t="b">
        <v>1</v>
      </c>
      <c r="D489">
        <v>8054</v>
      </c>
      <c r="E489">
        <v>8129</v>
      </c>
      <c r="F489">
        <v>7.6</v>
      </c>
      <c r="G489">
        <v>5.2</v>
      </c>
      <c r="H489">
        <v>1.4615385999999999</v>
      </c>
      <c r="I489">
        <v>-0.46153850000000002</v>
      </c>
      <c r="J489">
        <v>0.40625</v>
      </c>
    </row>
    <row r="490" spans="1:10" x14ac:dyDescent="0.3">
      <c r="A490">
        <v>488</v>
      </c>
      <c r="B490">
        <v>7760</v>
      </c>
      <c r="C490" t="b">
        <v>1</v>
      </c>
      <c r="D490">
        <v>8048</v>
      </c>
      <c r="E490">
        <v>8134</v>
      </c>
      <c r="F490">
        <v>7.6</v>
      </c>
      <c r="G490">
        <v>6</v>
      </c>
      <c r="H490">
        <v>1.2666667</v>
      </c>
      <c r="I490">
        <v>-0.26666665000000001</v>
      </c>
      <c r="J490">
        <v>0.44117644</v>
      </c>
    </row>
    <row r="491" spans="1:10" x14ac:dyDescent="0.3">
      <c r="A491">
        <v>489</v>
      </c>
      <c r="B491">
        <v>7776</v>
      </c>
      <c r="C491" t="b">
        <v>1</v>
      </c>
      <c r="D491">
        <v>8048</v>
      </c>
      <c r="E491">
        <v>8129</v>
      </c>
      <c r="F491">
        <v>7.6</v>
      </c>
      <c r="G491">
        <v>6.4</v>
      </c>
      <c r="H491">
        <v>1.1875</v>
      </c>
      <c r="I491">
        <v>-0.18749996999999999</v>
      </c>
      <c r="J491">
        <v>0.45714285999999998</v>
      </c>
    </row>
    <row r="492" spans="1:10" x14ac:dyDescent="0.3">
      <c r="A492">
        <v>490</v>
      </c>
      <c r="B492">
        <v>7792</v>
      </c>
      <c r="C492" t="b">
        <v>1</v>
      </c>
      <c r="D492">
        <v>8054</v>
      </c>
      <c r="E492">
        <v>8123</v>
      </c>
      <c r="F492">
        <v>8</v>
      </c>
      <c r="G492">
        <v>6.8</v>
      </c>
      <c r="H492">
        <v>1.1764705</v>
      </c>
      <c r="I492">
        <v>-0.17647055</v>
      </c>
      <c r="J492">
        <v>0.45945944999999999</v>
      </c>
    </row>
    <row r="493" spans="1:10" x14ac:dyDescent="0.3">
      <c r="A493">
        <v>491</v>
      </c>
      <c r="B493">
        <v>7808</v>
      </c>
      <c r="C493" t="b">
        <v>1</v>
      </c>
      <c r="D493">
        <v>8054</v>
      </c>
      <c r="E493">
        <v>8123</v>
      </c>
      <c r="F493">
        <v>8.4</v>
      </c>
      <c r="G493">
        <v>7.2</v>
      </c>
      <c r="H493">
        <v>1.1666666000000001</v>
      </c>
      <c r="I493">
        <v>-0.16666664</v>
      </c>
      <c r="J493">
        <v>0.46153845999999998</v>
      </c>
    </row>
    <row r="494" spans="1:10" x14ac:dyDescent="0.3">
      <c r="A494">
        <v>492</v>
      </c>
      <c r="B494">
        <v>7824</v>
      </c>
      <c r="C494" t="b">
        <v>1</v>
      </c>
      <c r="D494">
        <v>8048</v>
      </c>
      <c r="E494">
        <v>8129</v>
      </c>
      <c r="F494">
        <v>8.4</v>
      </c>
      <c r="G494">
        <v>7.6</v>
      </c>
      <c r="H494">
        <v>1.1052630999999999</v>
      </c>
      <c r="I494">
        <v>-0.10526312</v>
      </c>
      <c r="J494">
        <v>0.47499999999999998</v>
      </c>
    </row>
    <row r="495" spans="1:10" x14ac:dyDescent="0.3">
      <c r="A495">
        <v>493</v>
      </c>
      <c r="B495">
        <v>7840</v>
      </c>
      <c r="C495" t="b">
        <v>1</v>
      </c>
      <c r="D495">
        <v>8048</v>
      </c>
      <c r="E495">
        <v>8123</v>
      </c>
      <c r="F495">
        <v>8.4</v>
      </c>
      <c r="G495">
        <v>7.6</v>
      </c>
      <c r="H495">
        <v>1.1052630999999999</v>
      </c>
      <c r="I495">
        <v>-0.10526312</v>
      </c>
      <c r="J495">
        <v>0.47499999999999998</v>
      </c>
    </row>
    <row r="496" spans="1:10" x14ac:dyDescent="0.3">
      <c r="A496">
        <v>494</v>
      </c>
      <c r="B496">
        <v>7856</v>
      </c>
      <c r="C496" t="b">
        <v>1</v>
      </c>
      <c r="D496">
        <v>8048</v>
      </c>
      <c r="E496">
        <v>8129</v>
      </c>
      <c r="F496">
        <v>8.4</v>
      </c>
      <c r="G496">
        <v>7.6</v>
      </c>
      <c r="H496">
        <v>1.1052630999999999</v>
      </c>
      <c r="I496">
        <v>-0.10526312</v>
      </c>
      <c r="J496">
        <v>0.47499999999999998</v>
      </c>
    </row>
    <row r="497" spans="1:10" x14ac:dyDescent="0.3">
      <c r="A497">
        <v>495</v>
      </c>
      <c r="B497">
        <v>7872</v>
      </c>
      <c r="C497" t="b">
        <v>1</v>
      </c>
      <c r="D497">
        <v>8048</v>
      </c>
      <c r="E497">
        <v>8123</v>
      </c>
      <c r="F497">
        <v>8.4</v>
      </c>
      <c r="G497">
        <v>8</v>
      </c>
      <c r="H497">
        <v>1.05</v>
      </c>
      <c r="I497">
        <v>-4.9999952E-2</v>
      </c>
      <c r="J497">
        <v>0.48780489999999999</v>
      </c>
    </row>
    <row r="498" spans="1:10" x14ac:dyDescent="0.3">
      <c r="A498">
        <v>496</v>
      </c>
      <c r="B498">
        <v>7887</v>
      </c>
      <c r="C498" t="b">
        <v>1</v>
      </c>
      <c r="D498">
        <v>8048</v>
      </c>
      <c r="E498">
        <v>8129</v>
      </c>
      <c r="F498">
        <v>8.4</v>
      </c>
      <c r="G498">
        <v>8.4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7903</v>
      </c>
      <c r="C499" t="b">
        <v>1</v>
      </c>
      <c r="D499">
        <v>8048</v>
      </c>
      <c r="E499">
        <v>8123</v>
      </c>
      <c r="F499">
        <v>8.4</v>
      </c>
      <c r="G499">
        <v>8.8000000000000007</v>
      </c>
      <c r="H499">
        <v>0.95454539999999999</v>
      </c>
      <c r="I499">
        <v>4.5454609999999999E-2</v>
      </c>
      <c r="J499">
        <v>0.51162790000000002</v>
      </c>
    </row>
    <row r="500" spans="1:10" x14ac:dyDescent="0.3">
      <c r="A500">
        <v>498</v>
      </c>
      <c r="B500">
        <v>7919</v>
      </c>
      <c r="C500" t="b">
        <v>1</v>
      </c>
      <c r="D500">
        <v>8048</v>
      </c>
      <c r="E500">
        <v>8134</v>
      </c>
      <c r="F500">
        <v>8.4</v>
      </c>
      <c r="G500">
        <v>9.6</v>
      </c>
      <c r="H500">
        <v>0.87499994000000003</v>
      </c>
      <c r="I500">
        <v>0.12500006999999999</v>
      </c>
      <c r="J500">
        <v>0.53333335999999998</v>
      </c>
    </row>
    <row r="501" spans="1:10" x14ac:dyDescent="0.3">
      <c r="A501">
        <v>499</v>
      </c>
      <c r="B501">
        <v>7935</v>
      </c>
      <c r="C501" t="b">
        <v>1</v>
      </c>
      <c r="D501">
        <v>8048</v>
      </c>
      <c r="E501">
        <v>8129</v>
      </c>
      <c r="F501">
        <v>8.4</v>
      </c>
      <c r="G501">
        <v>10.4</v>
      </c>
      <c r="H501">
        <v>0.80769230000000003</v>
      </c>
      <c r="I501">
        <v>0.1923077</v>
      </c>
      <c r="J501">
        <v>0.55319149999999995</v>
      </c>
    </row>
    <row r="502" spans="1:10" x14ac:dyDescent="0.3">
      <c r="A502">
        <v>500</v>
      </c>
      <c r="B502">
        <v>7951</v>
      </c>
      <c r="C502" t="b">
        <v>1</v>
      </c>
      <c r="D502">
        <v>8048</v>
      </c>
      <c r="E502">
        <v>8123</v>
      </c>
      <c r="F502">
        <v>8.8000000000000007</v>
      </c>
      <c r="G502">
        <v>11.2</v>
      </c>
      <c r="H502">
        <v>0.78571429999999998</v>
      </c>
      <c r="I502">
        <v>0.21428569</v>
      </c>
      <c r="J502">
        <v>0.56000000000000005</v>
      </c>
    </row>
    <row r="503" spans="1:10" x14ac:dyDescent="0.3">
      <c r="C503" s="8" t="s">
        <v>19</v>
      </c>
      <c r="D503" s="8">
        <f>MIN(D2:D502)</f>
        <v>8037</v>
      </c>
      <c r="E503" s="8">
        <f>MIN(E2:E502)</f>
        <v>8111</v>
      </c>
      <c r="F503">
        <f>AVERAGE(F2:F502)</f>
        <v>7.1504990005988081</v>
      </c>
      <c r="G503">
        <f>AVERAGE(G2:G502)</f>
        <v>9.5469631836327551</v>
      </c>
      <c r="H503">
        <f>AVERAGE(H2:H502)</f>
        <v>0.78786904862275386</v>
      </c>
      <c r="I503" t="s">
        <v>22</v>
      </c>
    </row>
    <row r="504" spans="1:10" x14ac:dyDescent="0.3">
      <c r="C504" s="8" t="s">
        <v>20</v>
      </c>
      <c r="D504" s="8">
        <f>MAX(D2:D502)</f>
        <v>8060</v>
      </c>
      <c r="E504" s="8">
        <f>MAX(E2:E502)</f>
        <v>8134</v>
      </c>
      <c r="F504" s="7">
        <f>MEDIAN(F2:F502)</f>
        <v>7.6</v>
      </c>
      <c r="G504" s="7">
        <f>MEDIAN(G2:G502)</f>
        <v>9.6</v>
      </c>
      <c r="H504" s="7">
        <f>MEDIAN(H2:H502)</f>
        <v>0.74074070000000003</v>
      </c>
      <c r="I504" s="7" t="s">
        <v>23</v>
      </c>
    </row>
    <row r="505" spans="1:10" x14ac:dyDescent="0.3">
      <c r="C505" s="8" t="s">
        <v>21</v>
      </c>
      <c r="D505" s="8">
        <f>D504-_2026_04_17_16_26_30_19_high[[#Totals],[pfd_raw]]</f>
        <v>23</v>
      </c>
      <c r="E505" s="8">
        <f>E504-_2026_04_17_16_26_30_19_high[[#Totals],[p45_raw]]</f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F203-26C2-42EF-A2A9-2F7C60CEE08A}">
  <dimension ref="A1:M502"/>
  <sheetViews>
    <sheetView zoomScale="117" workbookViewId="0">
      <selection activeCell="M3" sqref="M3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  <col min="11" max="11" width="14.5546875" bestFit="1" customWidth="1"/>
    <col min="12" max="12" width="13.5546875" bestFit="1" customWidth="1"/>
    <col min="13" max="13" width="12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</v>
      </c>
      <c r="L1" t="s">
        <v>25</v>
      </c>
      <c r="M1" t="s">
        <v>26</v>
      </c>
    </row>
    <row r="2" spans="1:13" x14ac:dyDescent="0.3">
      <c r="A2">
        <v>0</v>
      </c>
      <c r="B2">
        <v>0</v>
      </c>
      <c r="C2" t="b">
        <v>1</v>
      </c>
      <c r="D2">
        <v>8042</v>
      </c>
      <c r="E2">
        <v>8134</v>
      </c>
      <c r="F2">
        <v>2</v>
      </c>
      <c r="G2">
        <v>19</v>
      </c>
      <c r="H2">
        <v>0.10526315999999999</v>
      </c>
      <c r="I2">
        <f xml:space="preserve"> -55.696 * _2026_04_17_16_25_21_23_high[[#This Row],[coeff]] + 79.57</f>
        <v>73.707263040639987</v>
      </c>
      <c r="J2">
        <v>0.90476190000000001</v>
      </c>
      <c r="K2">
        <f>_2026_04_17_16_25_21_23_high[[#This Row],[pfwd_filt]]+200</f>
        <v>202</v>
      </c>
      <c r="L2">
        <f>_2026_04_17_16_25_21_23_high[[#This Row],[p45_filt]]+200</f>
        <v>219</v>
      </c>
      <c r="M2">
        <f>_2026_04_17_16_25_21_23_high[[#This Row],[new_pfwd_filt]]/_2026_04_17_16_25_21_23_high[[#This Row],[new_p45_filt]]</f>
        <v>0.92237442922374424</v>
      </c>
    </row>
    <row r="3" spans="1:13" x14ac:dyDescent="0.3">
      <c r="A3">
        <v>1</v>
      </c>
      <c r="B3">
        <v>25</v>
      </c>
      <c r="C3" t="b">
        <v>1</v>
      </c>
      <c r="D3">
        <v>8048</v>
      </c>
      <c r="E3">
        <v>8129</v>
      </c>
      <c r="F3">
        <v>5</v>
      </c>
      <c r="G3">
        <v>19</v>
      </c>
      <c r="H3">
        <v>0.2631579</v>
      </c>
      <c r="I3">
        <f xml:space="preserve"> -55.696 * _2026_04_17_16_25_21_23_high[[#This Row],[coeff]] + 79.57</f>
        <v>64.913157601599991</v>
      </c>
      <c r="J3">
        <v>0.79166669999999995</v>
      </c>
      <c r="K3">
        <f>_2026_04_17_16_25_21_23_high[[#This Row],[pfwd_filt]]+200</f>
        <v>205</v>
      </c>
      <c r="L3">
        <f>_2026_04_17_16_25_21_23_high[[#This Row],[p45_filt]]+200</f>
        <v>219</v>
      </c>
      <c r="M3">
        <f>_2026_04_17_16_25_21_23_high[[#This Row],[new_pfwd_filt]]/_2026_04_17_16_25_21_23_high[[#This Row],[new_p45_filt]]</f>
        <v>0.9360730593607306</v>
      </c>
    </row>
    <row r="4" spans="1:13" x14ac:dyDescent="0.3">
      <c r="A4">
        <v>2</v>
      </c>
      <c r="B4">
        <v>41</v>
      </c>
      <c r="C4" t="b">
        <v>1</v>
      </c>
      <c r="D4">
        <v>8042</v>
      </c>
      <c r="E4">
        <v>8123</v>
      </c>
      <c r="F4">
        <v>4</v>
      </c>
      <c r="G4">
        <v>17.333334000000001</v>
      </c>
      <c r="H4">
        <v>0.23076922</v>
      </c>
      <c r="I4">
        <f xml:space="preserve"> -55.696 * _2026_04_17_16_25_21_23_high[[#This Row],[coeff]] + 79.57</f>
        <v>66.71707752287999</v>
      </c>
      <c r="J4">
        <v>0.8125</v>
      </c>
      <c r="K4">
        <f>_2026_04_17_16_25_21_23_high[[#This Row],[pfwd_filt]]+200</f>
        <v>204</v>
      </c>
      <c r="L4">
        <f>_2026_04_17_16_25_21_23_high[[#This Row],[p45_filt]]+200</f>
        <v>217.33333400000001</v>
      </c>
      <c r="M4">
        <f>_2026_04_17_16_25_21_23_high[[#This Row],[new_pfwd_filt]]/_2026_04_17_16_25_21_23_high[[#This Row],[new_p45_filt]]</f>
        <v>0.93865030386917081</v>
      </c>
    </row>
    <row r="5" spans="1:13" x14ac:dyDescent="0.3">
      <c r="A5">
        <v>3</v>
      </c>
      <c r="B5">
        <v>57</v>
      </c>
      <c r="C5" t="b">
        <v>1</v>
      </c>
      <c r="D5">
        <v>8048</v>
      </c>
      <c r="E5">
        <v>8123</v>
      </c>
      <c r="F5">
        <v>5</v>
      </c>
      <c r="G5">
        <v>16.5</v>
      </c>
      <c r="H5">
        <v>0.30303029999999997</v>
      </c>
      <c r="I5">
        <f xml:space="preserve"> -55.696 * _2026_04_17_16_25_21_23_high[[#This Row],[coeff]] + 79.57</f>
        <v>62.692424411199994</v>
      </c>
      <c r="J5">
        <v>0.76744186999999997</v>
      </c>
      <c r="K5">
        <f>_2026_04_17_16_25_21_23_high[[#This Row],[pfwd_filt]]+200</f>
        <v>205</v>
      </c>
      <c r="L5">
        <f>_2026_04_17_16_25_21_23_high[[#This Row],[p45_filt]]+200</f>
        <v>216.5</v>
      </c>
      <c r="M5">
        <f>_2026_04_17_16_25_21_23_high[[#This Row],[new_pfwd_filt]]/_2026_04_17_16_25_21_23_high[[#This Row],[new_p45_filt]]</f>
        <v>0.94688221709006926</v>
      </c>
    </row>
    <row r="6" spans="1:13" x14ac:dyDescent="0.3">
      <c r="A6">
        <v>4</v>
      </c>
      <c r="B6">
        <v>73</v>
      </c>
      <c r="C6" t="b">
        <v>1</v>
      </c>
      <c r="D6">
        <v>8042</v>
      </c>
      <c r="E6">
        <v>8123</v>
      </c>
      <c r="F6">
        <v>4.4000000000000004</v>
      </c>
      <c r="G6">
        <v>14.8</v>
      </c>
      <c r="H6">
        <v>0.29729729999999999</v>
      </c>
      <c r="I6">
        <f xml:space="preserve"> -55.696 * _2026_04_17_16_25_21_23_high[[#This Row],[coeff]] + 79.57</f>
        <v>63.011729579199994</v>
      </c>
      <c r="J6">
        <v>0.77083330000000005</v>
      </c>
      <c r="K6">
        <f>_2026_04_17_16_25_21_23_high[[#This Row],[pfwd_filt]]+200</f>
        <v>204.4</v>
      </c>
      <c r="L6">
        <f>_2026_04_17_16_25_21_23_high[[#This Row],[p45_filt]]+200</f>
        <v>214.8</v>
      </c>
      <c r="M6">
        <f>_2026_04_17_16_25_21_23_high[[#This Row],[new_pfwd_filt]]/_2026_04_17_16_25_21_23_high[[#This Row],[new_p45_filt]]</f>
        <v>0.95158286778398504</v>
      </c>
    </row>
    <row r="7" spans="1:13" x14ac:dyDescent="0.3">
      <c r="A7">
        <v>5</v>
      </c>
      <c r="B7">
        <v>89</v>
      </c>
      <c r="C7" t="b">
        <v>1</v>
      </c>
      <c r="D7">
        <v>8042</v>
      </c>
      <c r="E7">
        <v>8123</v>
      </c>
      <c r="F7">
        <v>4</v>
      </c>
      <c r="G7">
        <v>13.666667</v>
      </c>
      <c r="H7">
        <v>0.29268292000000001</v>
      </c>
      <c r="I7">
        <f xml:space="preserve"> -55.696 * _2026_04_17_16_25_21_23_high[[#This Row],[coeff]] + 79.57</f>
        <v>63.268732087679993</v>
      </c>
      <c r="J7">
        <v>0.77358484000000005</v>
      </c>
      <c r="K7">
        <f>_2026_04_17_16_25_21_23_high[[#This Row],[pfwd_filt]]+200</f>
        <v>204</v>
      </c>
      <c r="L7">
        <f>_2026_04_17_16_25_21_23_high[[#This Row],[p45_filt]]+200</f>
        <v>213.66666699999999</v>
      </c>
      <c r="M7">
        <f>_2026_04_17_16_25_21_23_high[[#This Row],[new_pfwd_filt]]/_2026_04_17_16_25_21_23_high[[#This Row],[new_p45_filt]]</f>
        <v>0.95475818883813079</v>
      </c>
    </row>
    <row r="8" spans="1:13" x14ac:dyDescent="0.3">
      <c r="A8">
        <v>6</v>
      </c>
      <c r="B8">
        <v>105</v>
      </c>
      <c r="C8" t="b">
        <v>1</v>
      </c>
      <c r="D8">
        <v>8042</v>
      </c>
      <c r="E8">
        <v>8123</v>
      </c>
      <c r="F8">
        <v>3.7142856000000002</v>
      </c>
      <c r="G8">
        <v>12.857142</v>
      </c>
      <c r="H8">
        <v>0.2888889</v>
      </c>
      <c r="I8">
        <f xml:space="preserve"> -55.696 * _2026_04_17_16_25_21_23_high[[#This Row],[coeff]] + 79.57</f>
        <v>63.480043825599992</v>
      </c>
      <c r="J8">
        <v>0.77586204000000003</v>
      </c>
      <c r="K8">
        <f>_2026_04_17_16_25_21_23_high[[#This Row],[pfwd_filt]]+200</f>
        <v>203.71428560000001</v>
      </c>
      <c r="L8">
        <f>_2026_04_17_16_25_21_23_high[[#This Row],[p45_filt]]+200</f>
        <v>212.85714200000001</v>
      </c>
      <c r="M8">
        <f>_2026_04_17_16_25_21_23_high[[#This Row],[new_pfwd_filt]]/_2026_04_17_16_25_21_23_high[[#This Row],[new_p45_filt]]</f>
        <v>0.95704698318273951</v>
      </c>
    </row>
    <row r="9" spans="1:13" x14ac:dyDescent="0.3">
      <c r="A9">
        <v>7</v>
      </c>
      <c r="B9">
        <v>120</v>
      </c>
      <c r="C9" t="b">
        <v>1</v>
      </c>
      <c r="D9">
        <v>8048</v>
      </c>
      <c r="E9">
        <v>8123</v>
      </c>
      <c r="F9">
        <v>3.5</v>
      </c>
      <c r="G9">
        <v>12.25</v>
      </c>
      <c r="H9">
        <v>0.28571429999999998</v>
      </c>
      <c r="I9">
        <f xml:space="preserve"> -55.696 * _2026_04_17_16_25_21_23_high[[#This Row],[coeff]] + 79.57</f>
        <v>63.656856347199991</v>
      </c>
      <c r="J9">
        <v>0.77777779999999996</v>
      </c>
      <c r="K9">
        <f>_2026_04_17_16_25_21_23_high[[#This Row],[pfwd_filt]]+200</f>
        <v>203.5</v>
      </c>
      <c r="L9">
        <f>_2026_04_17_16_25_21_23_high[[#This Row],[p45_filt]]+200</f>
        <v>212.25</v>
      </c>
      <c r="M9">
        <f>_2026_04_17_16_25_21_23_high[[#This Row],[new_pfwd_filt]]/_2026_04_17_16_25_21_23_high[[#This Row],[new_p45_filt]]</f>
        <v>0.95877502944640758</v>
      </c>
    </row>
    <row r="10" spans="1:13" x14ac:dyDescent="0.3">
      <c r="A10">
        <v>8</v>
      </c>
      <c r="B10">
        <v>136</v>
      </c>
      <c r="C10" t="b">
        <v>1</v>
      </c>
      <c r="D10">
        <v>8048</v>
      </c>
      <c r="E10">
        <v>8123</v>
      </c>
      <c r="F10">
        <v>3.3333333000000001</v>
      </c>
      <c r="G10">
        <v>11.777778</v>
      </c>
      <c r="H10">
        <v>0.28301885999999998</v>
      </c>
      <c r="I10">
        <f xml:space="preserve"> -55.696 * _2026_04_17_16_25_21_23_high[[#This Row],[coeff]] + 79.57</f>
        <v>63.806981573439998</v>
      </c>
      <c r="J10">
        <v>0.77941179999999999</v>
      </c>
      <c r="K10">
        <f>_2026_04_17_16_25_21_23_high[[#This Row],[pfwd_filt]]+200</f>
        <v>203.33333329999999</v>
      </c>
      <c r="L10">
        <f>_2026_04_17_16_25_21_23_high[[#This Row],[p45_filt]]+200</f>
        <v>211.77777800000001</v>
      </c>
      <c r="M10">
        <f>_2026_04_17_16_25_21_23_high[[#This Row],[new_pfwd_filt]]/_2026_04_17_16_25_21_23_high[[#This Row],[new_p45_filt]]</f>
        <v>0.96012591698832528</v>
      </c>
    </row>
    <row r="11" spans="1:13" x14ac:dyDescent="0.3">
      <c r="A11">
        <v>9</v>
      </c>
      <c r="B11">
        <v>152</v>
      </c>
      <c r="C11" t="b">
        <v>1</v>
      </c>
      <c r="D11">
        <v>8042</v>
      </c>
      <c r="E11">
        <v>8134</v>
      </c>
      <c r="F11">
        <v>3.2</v>
      </c>
      <c r="G11">
        <v>11.4</v>
      </c>
      <c r="H11">
        <v>0.28070176000000002</v>
      </c>
      <c r="I11">
        <f xml:space="preserve"> -55.696 * _2026_04_17_16_25_21_23_high[[#This Row],[coeff]] + 79.57</f>
        <v>63.936034775039992</v>
      </c>
      <c r="J11">
        <v>0.78082189999999996</v>
      </c>
      <c r="K11">
        <f>_2026_04_17_16_25_21_23_high[[#This Row],[pfwd_filt]]+200</f>
        <v>203.2</v>
      </c>
      <c r="L11">
        <f>_2026_04_17_16_25_21_23_high[[#This Row],[p45_filt]]+200</f>
        <v>211.4</v>
      </c>
      <c r="M11">
        <f>_2026_04_17_16_25_21_23_high[[#This Row],[new_pfwd_filt]]/_2026_04_17_16_25_21_23_high[[#This Row],[new_p45_filt]]</f>
        <v>0.96121097445600745</v>
      </c>
    </row>
    <row r="12" spans="1:13" x14ac:dyDescent="0.3">
      <c r="A12">
        <v>10</v>
      </c>
      <c r="B12">
        <v>168</v>
      </c>
      <c r="C12" t="b">
        <v>1</v>
      </c>
      <c r="D12">
        <v>8042</v>
      </c>
      <c r="E12">
        <v>8129</v>
      </c>
      <c r="F12">
        <v>3.0909089999999999</v>
      </c>
      <c r="G12">
        <v>11.090909</v>
      </c>
      <c r="H12">
        <v>0.27868852</v>
      </c>
      <c r="I12">
        <f xml:space="preserve"> -55.696 * _2026_04_17_16_25_21_23_high[[#This Row],[coeff]] + 79.57</f>
        <v>64.048164190080001</v>
      </c>
      <c r="J12">
        <v>0.78205126999999997</v>
      </c>
      <c r="K12">
        <f>_2026_04_17_16_25_21_23_high[[#This Row],[pfwd_filt]]+200</f>
        <v>203.09090900000001</v>
      </c>
      <c r="L12">
        <f>_2026_04_17_16_25_21_23_high[[#This Row],[p45_filt]]+200</f>
        <v>211.09090900000001</v>
      </c>
      <c r="M12">
        <f>_2026_04_17_16_25_21_23_high[[#This Row],[new_pfwd_filt]]/_2026_04_17_16_25_21_23_high[[#This Row],[new_p45_filt]]</f>
        <v>0.96210163650391978</v>
      </c>
    </row>
    <row r="13" spans="1:13" x14ac:dyDescent="0.3">
      <c r="A13">
        <v>11</v>
      </c>
      <c r="B13">
        <v>183</v>
      </c>
      <c r="C13" t="b">
        <v>1</v>
      </c>
      <c r="D13">
        <v>8048</v>
      </c>
      <c r="E13">
        <v>8123</v>
      </c>
      <c r="F13">
        <v>3.5</v>
      </c>
      <c r="G13">
        <v>10.833333</v>
      </c>
      <c r="H13">
        <v>0.32307692999999998</v>
      </c>
      <c r="I13">
        <f xml:space="preserve"> -55.696 * _2026_04_17_16_25_21_23_high[[#This Row],[coeff]] + 79.57</f>
        <v>61.575907306719998</v>
      </c>
      <c r="J13">
        <v>0.75581396000000001</v>
      </c>
      <c r="K13">
        <f>_2026_04_17_16_25_21_23_high[[#This Row],[pfwd_filt]]+200</f>
        <v>203.5</v>
      </c>
      <c r="L13">
        <f>_2026_04_17_16_25_21_23_high[[#This Row],[p45_filt]]+200</f>
        <v>210.83333300000001</v>
      </c>
      <c r="M13">
        <f>_2026_04_17_16_25_21_23_high[[#This Row],[new_pfwd_filt]]/_2026_04_17_16_25_21_23_high[[#This Row],[new_p45_filt]]</f>
        <v>0.96521739283038321</v>
      </c>
    </row>
    <row r="14" spans="1:13" x14ac:dyDescent="0.3">
      <c r="A14">
        <v>12</v>
      </c>
      <c r="B14">
        <v>199</v>
      </c>
      <c r="C14" t="b">
        <v>1</v>
      </c>
      <c r="D14">
        <v>8048</v>
      </c>
      <c r="E14">
        <v>8123</v>
      </c>
      <c r="F14">
        <v>3.8461536999999999</v>
      </c>
      <c r="G14">
        <v>10.615385</v>
      </c>
      <c r="H14">
        <v>0.3623188</v>
      </c>
      <c r="I14">
        <f xml:space="preserve"> -55.696 * _2026_04_17_16_25_21_23_high[[#This Row],[coeff]] + 79.57</f>
        <v>59.390292115199998</v>
      </c>
      <c r="J14">
        <v>0.73404259999999999</v>
      </c>
      <c r="K14">
        <f>_2026_04_17_16_25_21_23_high[[#This Row],[pfwd_filt]]+200</f>
        <v>203.8461537</v>
      </c>
      <c r="L14">
        <f>_2026_04_17_16_25_21_23_high[[#This Row],[p45_filt]]+200</f>
        <v>210.615385</v>
      </c>
      <c r="M14">
        <f>_2026_04_17_16_25_21_23_high[[#This Row],[new_pfwd_filt]]/_2026_04_17_16_25_21_23_high[[#This Row],[new_p45_filt]]</f>
        <v>0.96785974918214068</v>
      </c>
    </row>
    <row r="15" spans="1:13" x14ac:dyDescent="0.3">
      <c r="A15">
        <v>13</v>
      </c>
      <c r="B15">
        <v>215</v>
      </c>
      <c r="C15" t="b">
        <v>1</v>
      </c>
      <c r="D15">
        <v>8048</v>
      </c>
      <c r="E15">
        <v>8129</v>
      </c>
      <c r="F15">
        <v>4.1428570000000002</v>
      </c>
      <c r="G15">
        <v>10.857142</v>
      </c>
      <c r="H15">
        <v>0.38157894999999997</v>
      </c>
      <c r="I15">
        <f xml:space="preserve"> -55.696 * _2026_04_17_16_25_21_23_high[[#This Row],[coeff]] + 79.57</f>
        <v>58.317578800799993</v>
      </c>
      <c r="J15">
        <v>0.72380949999999999</v>
      </c>
      <c r="K15">
        <f>_2026_04_17_16_25_21_23_high[[#This Row],[pfwd_filt]]+200</f>
        <v>204.14285699999999</v>
      </c>
      <c r="L15">
        <f>_2026_04_17_16_25_21_23_high[[#This Row],[p45_filt]]+200</f>
        <v>210.85714200000001</v>
      </c>
      <c r="M15">
        <f>_2026_04_17_16_25_21_23_high[[#This Row],[new_pfwd_filt]]/_2026_04_17_16_25_21_23_high[[#This Row],[new_p45_filt]]</f>
        <v>0.9681571848299072</v>
      </c>
    </row>
    <row r="16" spans="1:13" x14ac:dyDescent="0.3">
      <c r="A16">
        <v>14</v>
      </c>
      <c r="B16">
        <v>231</v>
      </c>
      <c r="C16" t="b">
        <v>1</v>
      </c>
      <c r="D16">
        <v>8042</v>
      </c>
      <c r="E16">
        <v>8134</v>
      </c>
      <c r="F16">
        <v>4.4000000000000004</v>
      </c>
      <c r="G16">
        <v>11.066667000000001</v>
      </c>
      <c r="H16">
        <v>0.39759037000000003</v>
      </c>
      <c r="I16">
        <f xml:space="preserve"> -55.696 * _2026_04_17_16_25_21_23_high[[#This Row],[coeff]] + 79.57</f>
        <v>57.425806752479993</v>
      </c>
      <c r="J16">
        <v>0.71551719999999996</v>
      </c>
      <c r="K16">
        <f>_2026_04_17_16_25_21_23_high[[#This Row],[pfwd_filt]]+200</f>
        <v>204.4</v>
      </c>
      <c r="L16">
        <f>_2026_04_17_16_25_21_23_high[[#This Row],[p45_filt]]+200</f>
        <v>211.066667</v>
      </c>
      <c r="M16">
        <f>_2026_04_17_16_25_21_23_high[[#This Row],[new_pfwd_filt]]/_2026_04_17_16_25_21_23_high[[#This Row],[new_p45_filt]]</f>
        <v>0.96841440150281999</v>
      </c>
    </row>
    <row r="17" spans="1:13" x14ac:dyDescent="0.3">
      <c r="A17">
        <v>15</v>
      </c>
      <c r="B17">
        <v>247</v>
      </c>
      <c r="C17" t="b">
        <v>1</v>
      </c>
      <c r="D17">
        <v>8042</v>
      </c>
      <c r="E17">
        <v>8129</v>
      </c>
      <c r="F17">
        <v>4.8</v>
      </c>
      <c r="G17">
        <v>10.733333999999999</v>
      </c>
      <c r="H17">
        <v>0.44720497999999997</v>
      </c>
      <c r="I17">
        <f xml:space="preserve"> -55.696 * _2026_04_17_16_25_21_23_high[[#This Row],[coeff]] + 79.57</f>
        <v>54.662471433919997</v>
      </c>
      <c r="J17">
        <v>0.69098709999999997</v>
      </c>
      <c r="K17">
        <f>_2026_04_17_16_25_21_23_high[[#This Row],[pfwd_filt]]+200</f>
        <v>204.8</v>
      </c>
      <c r="L17">
        <f>_2026_04_17_16_25_21_23_high[[#This Row],[p45_filt]]+200</f>
        <v>210.73333400000001</v>
      </c>
      <c r="M17">
        <f>_2026_04_17_16_25_21_23_high[[#This Row],[new_pfwd_filt]]/_2026_04_17_16_25_21_23_high[[#This Row],[new_p45_filt]]</f>
        <v>0.97184434997834745</v>
      </c>
    </row>
    <row r="18" spans="1:13" x14ac:dyDescent="0.3">
      <c r="A18">
        <v>16</v>
      </c>
      <c r="B18">
        <v>263</v>
      </c>
      <c r="C18" t="b">
        <v>1</v>
      </c>
      <c r="D18">
        <v>8042</v>
      </c>
      <c r="E18">
        <v>8123</v>
      </c>
      <c r="F18">
        <v>4.4000000000000004</v>
      </c>
      <c r="G18">
        <v>10.4</v>
      </c>
      <c r="H18">
        <v>0.42307696</v>
      </c>
      <c r="I18">
        <f xml:space="preserve"> -55.696 * _2026_04_17_16_25_21_23_high[[#This Row],[coeff]] + 79.57</f>
        <v>56.006305635839993</v>
      </c>
      <c r="J18">
        <v>0.70270270000000001</v>
      </c>
      <c r="K18">
        <f>_2026_04_17_16_25_21_23_high[[#This Row],[pfwd_filt]]+200</f>
        <v>204.4</v>
      </c>
      <c r="L18">
        <f>_2026_04_17_16_25_21_23_high[[#This Row],[p45_filt]]+200</f>
        <v>210.4</v>
      </c>
      <c r="M18">
        <f>_2026_04_17_16_25_21_23_high[[#This Row],[new_pfwd_filt]]/_2026_04_17_16_25_21_23_high[[#This Row],[new_p45_filt]]</f>
        <v>0.97148288973384034</v>
      </c>
    </row>
    <row r="19" spans="1:13" x14ac:dyDescent="0.3">
      <c r="A19">
        <v>17</v>
      </c>
      <c r="B19">
        <v>279</v>
      </c>
      <c r="C19" t="b">
        <v>1</v>
      </c>
      <c r="D19">
        <v>8048</v>
      </c>
      <c r="E19">
        <v>8134</v>
      </c>
      <c r="F19">
        <v>4.4000000000000004</v>
      </c>
      <c r="G19">
        <v>10.4</v>
      </c>
      <c r="H19">
        <v>0.42307696</v>
      </c>
      <c r="I19">
        <f xml:space="preserve"> -55.696 * _2026_04_17_16_25_21_23_high[[#This Row],[coeff]] + 79.57</f>
        <v>56.006305635839993</v>
      </c>
      <c r="J19">
        <v>0.70270270000000001</v>
      </c>
      <c r="K19">
        <f>_2026_04_17_16_25_21_23_high[[#This Row],[pfwd_filt]]+200</f>
        <v>204.4</v>
      </c>
      <c r="L19">
        <f>_2026_04_17_16_25_21_23_high[[#This Row],[p45_filt]]+200</f>
        <v>210.4</v>
      </c>
      <c r="M19">
        <f>_2026_04_17_16_25_21_23_high[[#This Row],[new_pfwd_filt]]/_2026_04_17_16_25_21_23_high[[#This Row],[new_p45_filt]]</f>
        <v>0.97148288973384034</v>
      </c>
    </row>
    <row r="20" spans="1:13" x14ac:dyDescent="0.3">
      <c r="A20">
        <v>18</v>
      </c>
      <c r="B20">
        <v>295</v>
      </c>
      <c r="C20" t="b">
        <v>1</v>
      </c>
      <c r="D20">
        <v>8042</v>
      </c>
      <c r="E20">
        <v>8129</v>
      </c>
      <c r="F20">
        <v>4</v>
      </c>
      <c r="G20">
        <v>10.4</v>
      </c>
      <c r="H20">
        <v>0.3846154</v>
      </c>
      <c r="I20">
        <f xml:space="preserve"> -55.696 * _2026_04_17_16_25_21_23_high[[#This Row],[coeff]] + 79.57</f>
        <v>58.148460681599992</v>
      </c>
      <c r="J20">
        <v>0.72222220000000004</v>
      </c>
      <c r="K20">
        <f>_2026_04_17_16_25_21_23_high[[#This Row],[pfwd_filt]]+200</f>
        <v>204</v>
      </c>
      <c r="L20">
        <f>_2026_04_17_16_25_21_23_high[[#This Row],[p45_filt]]+200</f>
        <v>210.4</v>
      </c>
      <c r="M20">
        <f>_2026_04_17_16_25_21_23_high[[#This Row],[new_pfwd_filt]]/_2026_04_17_16_25_21_23_high[[#This Row],[new_p45_filt]]</f>
        <v>0.96958174904942962</v>
      </c>
    </row>
    <row r="21" spans="1:13" x14ac:dyDescent="0.3">
      <c r="A21">
        <v>19</v>
      </c>
      <c r="B21">
        <v>311</v>
      </c>
      <c r="C21" t="b">
        <v>1</v>
      </c>
      <c r="D21">
        <v>8042</v>
      </c>
      <c r="E21">
        <v>8129</v>
      </c>
      <c r="F21">
        <v>4</v>
      </c>
      <c r="G21">
        <v>10.8</v>
      </c>
      <c r="H21">
        <v>0.37037036000000001</v>
      </c>
      <c r="I21">
        <f xml:space="preserve"> -55.696 * _2026_04_17_16_25_21_23_high[[#This Row],[coeff]] + 79.57</f>
        <v>58.94185242943999</v>
      </c>
      <c r="J21">
        <v>0.72972970000000004</v>
      </c>
      <c r="K21">
        <f>_2026_04_17_16_25_21_23_high[[#This Row],[pfwd_filt]]+200</f>
        <v>204</v>
      </c>
      <c r="L21">
        <f>_2026_04_17_16_25_21_23_high[[#This Row],[p45_filt]]+200</f>
        <v>210.8</v>
      </c>
      <c r="M21">
        <f>_2026_04_17_16_25_21_23_high[[#This Row],[new_pfwd_filt]]/_2026_04_17_16_25_21_23_high[[#This Row],[new_p45_filt]]</f>
        <v>0.96774193548387089</v>
      </c>
    </row>
    <row r="22" spans="1:13" x14ac:dyDescent="0.3">
      <c r="A22">
        <v>20</v>
      </c>
      <c r="B22">
        <v>327</v>
      </c>
      <c r="C22" t="b">
        <v>1</v>
      </c>
      <c r="D22">
        <v>8048</v>
      </c>
      <c r="E22">
        <v>8123</v>
      </c>
      <c r="F22">
        <v>4</v>
      </c>
      <c r="G22">
        <v>11.2</v>
      </c>
      <c r="H22">
        <v>0.35714287</v>
      </c>
      <c r="I22">
        <f xml:space="preserve"> -55.696 * _2026_04_17_16_25_21_23_high[[#This Row],[coeff]] + 79.57</f>
        <v>59.678570712479996</v>
      </c>
      <c r="J22">
        <v>0.73684210000000006</v>
      </c>
      <c r="K22">
        <f>_2026_04_17_16_25_21_23_high[[#This Row],[pfwd_filt]]+200</f>
        <v>204</v>
      </c>
      <c r="L22">
        <f>_2026_04_17_16_25_21_23_high[[#This Row],[p45_filt]]+200</f>
        <v>211.2</v>
      </c>
      <c r="M22">
        <f>_2026_04_17_16_25_21_23_high[[#This Row],[new_pfwd_filt]]/_2026_04_17_16_25_21_23_high[[#This Row],[new_p45_filt]]</f>
        <v>0.96590909090909094</v>
      </c>
    </row>
    <row r="23" spans="1:13" x14ac:dyDescent="0.3">
      <c r="A23">
        <v>21</v>
      </c>
      <c r="B23">
        <v>342</v>
      </c>
      <c r="C23" t="b">
        <v>1</v>
      </c>
      <c r="D23">
        <v>8048</v>
      </c>
      <c r="E23">
        <v>8123</v>
      </c>
      <c r="F23">
        <v>4.4000000000000004</v>
      </c>
      <c r="G23">
        <v>11.6</v>
      </c>
      <c r="H23">
        <v>0.37931034000000002</v>
      </c>
      <c r="I23">
        <f xml:space="preserve"> -55.696 * _2026_04_17_16_25_21_23_high[[#This Row],[coeff]] + 79.57</f>
        <v>58.443931303359989</v>
      </c>
      <c r="J23">
        <v>0.72499999999999998</v>
      </c>
      <c r="K23">
        <f>_2026_04_17_16_25_21_23_high[[#This Row],[pfwd_filt]]+200</f>
        <v>204.4</v>
      </c>
      <c r="L23">
        <f>_2026_04_17_16_25_21_23_high[[#This Row],[p45_filt]]+200</f>
        <v>211.6</v>
      </c>
      <c r="M23">
        <f>_2026_04_17_16_25_21_23_high[[#This Row],[new_pfwd_filt]]/_2026_04_17_16_25_21_23_high[[#This Row],[new_p45_filt]]</f>
        <v>0.96597353497164462</v>
      </c>
    </row>
    <row r="24" spans="1:13" x14ac:dyDescent="0.3">
      <c r="A24">
        <v>22</v>
      </c>
      <c r="B24">
        <v>359</v>
      </c>
      <c r="C24" t="b">
        <v>1</v>
      </c>
      <c r="D24">
        <v>8048</v>
      </c>
      <c r="E24">
        <v>8123</v>
      </c>
      <c r="F24">
        <v>4.8</v>
      </c>
      <c r="G24">
        <v>11.6</v>
      </c>
      <c r="H24">
        <v>0.41379312000000001</v>
      </c>
      <c r="I24">
        <f xml:space="preserve"> -55.696 * _2026_04_17_16_25_21_23_high[[#This Row],[coeff]] + 79.57</f>
        <v>56.523378388479998</v>
      </c>
      <c r="J24">
        <v>0.70731705</v>
      </c>
      <c r="K24">
        <f>_2026_04_17_16_25_21_23_high[[#This Row],[pfwd_filt]]+200</f>
        <v>204.8</v>
      </c>
      <c r="L24">
        <f>_2026_04_17_16_25_21_23_high[[#This Row],[p45_filt]]+200</f>
        <v>211.6</v>
      </c>
      <c r="M24">
        <f>_2026_04_17_16_25_21_23_high[[#This Row],[new_pfwd_filt]]/_2026_04_17_16_25_21_23_high[[#This Row],[new_p45_filt]]</f>
        <v>0.9678638941398866</v>
      </c>
    </row>
    <row r="25" spans="1:13" x14ac:dyDescent="0.3">
      <c r="A25">
        <v>23</v>
      </c>
      <c r="B25">
        <v>374</v>
      </c>
      <c r="C25" t="b">
        <v>1</v>
      </c>
      <c r="D25">
        <v>8048</v>
      </c>
      <c r="E25">
        <v>8123</v>
      </c>
      <c r="F25">
        <v>5.2</v>
      </c>
      <c r="G25">
        <v>11.6</v>
      </c>
      <c r="H25">
        <v>0.44827582999999999</v>
      </c>
      <c r="I25">
        <f xml:space="preserve"> -55.696 * _2026_04_17_16_25_21_23_high[[#This Row],[coeff]] + 79.57</f>
        <v>54.602829372319995</v>
      </c>
      <c r="J25">
        <v>0.69047623999999996</v>
      </c>
      <c r="K25">
        <f>_2026_04_17_16_25_21_23_high[[#This Row],[pfwd_filt]]+200</f>
        <v>205.2</v>
      </c>
      <c r="L25">
        <f>_2026_04_17_16_25_21_23_high[[#This Row],[p45_filt]]+200</f>
        <v>211.6</v>
      </c>
      <c r="M25">
        <f>_2026_04_17_16_25_21_23_high[[#This Row],[new_pfwd_filt]]/_2026_04_17_16_25_21_23_high[[#This Row],[new_p45_filt]]</f>
        <v>0.96975425330812848</v>
      </c>
    </row>
    <row r="26" spans="1:13" x14ac:dyDescent="0.3">
      <c r="A26">
        <v>24</v>
      </c>
      <c r="B26">
        <v>390</v>
      </c>
      <c r="C26" t="b">
        <v>1</v>
      </c>
      <c r="D26">
        <v>8042</v>
      </c>
      <c r="E26">
        <v>8129</v>
      </c>
      <c r="F26">
        <v>5.6</v>
      </c>
      <c r="G26">
        <v>11.6</v>
      </c>
      <c r="H26">
        <v>0.48275859999999998</v>
      </c>
      <c r="I26">
        <f xml:space="preserve"> -55.696 * _2026_04_17_16_25_21_23_high[[#This Row],[coeff]] + 79.57</f>
        <v>52.6822770144</v>
      </c>
      <c r="J26">
        <v>0.67441857000000005</v>
      </c>
      <c r="K26">
        <f>_2026_04_17_16_25_21_23_high[[#This Row],[pfwd_filt]]+200</f>
        <v>205.6</v>
      </c>
      <c r="L26">
        <f>_2026_04_17_16_25_21_23_high[[#This Row],[p45_filt]]+200</f>
        <v>211.6</v>
      </c>
      <c r="M26">
        <f>_2026_04_17_16_25_21_23_high[[#This Row],[new_pfwd_filt]]/_2026_04_17_16_25_21_23_high[[#This Row],[new_p45_filt]]</f>
        <v>0.97164461247637046</v>
      </c>
    </row>
    <row r="27" spans="1:13" x14ac:dyDescent="0.3">
      <c r="A27">
        <v>25</v>
      </c>
      <c r="B27">
        <v>406</v>
      </c>
      <c r="C27" t="b">
        <v>1</v>
      </c>
      <c r="D27">
        <v>8048</v>
      </c>
      <c r="E27">
        <v>8123</v>
      </c>
      <c r="F27">
        <v>6</v>
      </c>
      <c r="G27">
        <v>11.6</v>
      </c>
      <c r="H27">
        <v>0.51724135999999998</v>
      </c>
      <c r="I27">
        <f xml:space="preserve"> -55.696 * _2026_04_17_16_25_21_23_high[[#This Row],[coeff]] + 79.57</f>
        <v>50.761725213439995</v>
      </c>
      <c r="J27">
        <v>0.65909094000000001</v>
      </c>
      <c r="K27">
        <f>_2026_04_17_16_25_21_23_high[[#This Row],[pfwd_filt]]+200</f>
        <v>206</v>
      </c>
      <c r="L27">
        <f>_2026_04_17_16_25_21_23_high[[#This Row],[p45_filt]]+200</f>
        <v>211.6</v>
      </c>
      <c r="M27">
        <f>_2026_04_17_16_25_21_23_high[[#This Row],[new_pfwd_filt]]/_2026_04_17_16_25_21_23_high[[#This Row],[new_p45_filt]]</f>
        <v>0.97353497164461256</v>
      </c>
    </row>
    <row r="28" spans="1:13" x14ac:dyDescent="0.3">
      <c r="A28">
        <v>26</v>
      </c>
      <c r="B28">
        <v>422</v>
      </c>
      <c r="C28" t="b">
        <v>1</v>
      </c>
      <c r="D28">
        <v>8048</v>
      </c>
      <c r="E28">
        <v>8123</v>
      </c>
      <c r="F28">
        <v>6</v>
      </c>
      <c r="G28">
        <v>11.6</v>
      </c>
      <c r="H28">
        <v>0.51724135999999998</v>
      </c>
      <c r="I28">
        <f xml:space="preserve"> -55.696 * _2026_04_17_16_25_21_23_high[[#This Row],[coeff]] + 79.57</f>
        <v>50.761725213439995</v>
      </c>
      <c r="J28">
        <v>0.65909094000000001</v>
      </c>
      <c r="K28">
        <f>_2026_04_17_16_25_21_23_high[[#This Row],[pfwd_filt]]+200</f>
        <v>206</v>
      </c>
      <c r="L28">
        <f>_2026_04_17_16_25_21_23_high[[#This Row],[p45_filt]]+200</f>
        <v>211.6</v>
      </c>
      <c r="M28">
        <f>_2026_04_17_16_25_21_23_high[[#This Row],[new_pfwd_filt]]/_2026_04_17_16_25_21_23_high[[#This Row],[new_p45_filt]]</f>
        <v>0.97353497164461256</v>
      </c>
    </row>
    <row r="29" spans="1:13" x14ac:dyDescent="0.3">
      <c r="A29">
        <v>27</v>
      </c>
      <c r="B29">
        <v>438</v>
      </c>
      <c r="C29" t="b">
        <v>1</v>
      </c>
      <c r="D29">
        <v>8048</v>
      </c>
      <c r="E29">
        <v>8129</v>
      </c>
      <c r="F29">
        <v>6</v>
      </c>
      <c r="G29">
        <v>11.6</v>
      </c>
      <c r="H29">
        <v>0.51724135999999998</v>
      </c>
      <c r="I29">
        <f xml:space="preserve"> -55.696 * _2026_04_17_16_25_21_23_high[[#This Row],[coeff]] + 79.57</f>
        <v>50.761725213439995</v>
      </c>
      <c r="J29">
        <v>0.65909094000000001</v>
      </c>
      <c r="K29">
        <f>_2026_04_17_16_25_21_23_high[[#This Row],[pfwd_filt]]+200</f>
        <v>206</v>
      </c>
      <c r="L29">
        <f>_2026_04_17_16_25_21_23_high[[#This Row],[p45_filt]]+200</f>
        <v>211.6</v>
      </c>
      <c r="M29">
        <f>_2026_04_17_16_25_21_23_high[[#This Row],[new_pfwd_filt]]/_2026_04_17_16_25_21_23_high[[#This Row],[new_p45_filt]]</f>
        <v>0.97353497164461256</v>
      </c>
    </row>
    <row r="30" spans="1:13" x14ac:dyDescent="0.3">
      <c r="A30">
        <v>28</v>
      </c>
      <c r="B30">
        <v>454</v>
      </c>
      <c r="C30" t="b">
        <v>1</v>
      </c>
      <c r="D30">
        <v>8048</v>
      </c>
      <c r="E30">
        <v>8123</v>
      </c>
      <c r="F30">
        <v>6</v>
      </c>
      <c r="G30">
        <v>11.2</v>
      </c>
      <c r="H30">
        <v>0.53571427000000005</v>
      </c>
      <c r="I30">
        <f xml:space="preserve"> -55.696 * _2026_04_17_16_25_21_23_high[[#This Row],[coeff]] + 79.57</f>
        <v>49.732858018079995</v>
      </c>
      <c r="J30">
        <v>0.65116273999999996</v>
      </c>
      <c r="K30">
        <f>_2026_04_17_16_25_21_23_high[[#This Row],[pfwd_filt]]+200</f>
        <v>206</v>
      </c>
      <c r="L30">
        <f>_2026_04_17_16_25_21_23_high[[#This Row],[p45_filt]]+200</f>
        <v>211.2</v>
      </c>
      <c r="M30">
        <f>_2026_04_17_16_25_21_23_high[[#This Row],[new_pfwd_filt]]/_2026_04_17_16_25_21_23_high[[#This Row],[new_p45_filt]]</f>
        <v>0.97537878787878796</v>
      </c>
    </row>
    <row r="31" spans="1:13" x14ac:dyDescent="0.3">
      <c r="A31">
        <v>29</v>
      </c>
      <c r="B31">
        <v>469</v>
      </c>
      <c r="C31" t="b">
        <v>1</v>
      </c>
      <c r="D31">
        <v>8048</v>
      </c>
      <c r="E31">
        <v>8123</v>
      </c>
      <c r="F31">
        <v>6</v>
      </c>
      <c r="G31">
        <v>10.8</v>
      </c>
      <c r="H31">
        <v>0.55555549999999998</v>
      </c>
      <c r="I31">
        <f xml:space="preserve"> -55.696 * _2026_04_17_16_25_21_23_high[[#This Row],[coeff]] + 79.57</f>
        <v>48.627780871999995</v>
      </c>
      <c r="J31">
        <v>0.64285720000000002</v>
      </c>
      <c r="K31">
        <f>_2026_04_17_16_25_21_23_high[[#This Row],[pfwd_filt]]+200</f>
        <v>206</v>
      </c>
      <c r="L31">
        <f>_2026_04_17_16_25_21_23_high[[#This Row],[p45_filt]]+200</f>
        <v>210.8</v>
      </c>
      <c r="M31">
        <f>_2026_04_17_16_25_21_23_high[[#This Row],[new_pfwd_filt]]/_2026_04_17_16_25_21_23_high[[#This Row],[new_p45_filt]]</f>
        <v>0.97722960151802651</v>
      </c>
    </row>
    <row r="32" spans="1:13" x14ac:dyDescent="0.3">
      <c r="A32">
        <v>30</v>
      </c>
      <c r="B32">
        <v>485</v>
      </c>
      <c r="C32" t="b">
        <v>1</v>
      </c>
      <c r="D32">
        <v>8048</v>
      </c>
      <c r="E32">
        <v>8123</v>
      </c>
      <c r="F32">
        <v>6</v>
      </c>
      <c r="G32">
        <v>10.4</v>
      </c>
      <c r="H32">
        <v>0.57692310000000002</v>
      </c>
      <c r="I32">
        <f xml:space="preserve"> -55.696 * _2026_04_17_16_25_21_23_high[[#This Row],[coeff]] + 79.57</f>
        <v>47.437691022399996</v>
      </c>
      <c r="J32">
        <v>0.63414632999999998</v>
      </c>
      <c r="K32">
        <f>_2026_04_17_16_25_21_23_high[[#This Row],[pfwd_filt]]+200</f>
        <v>206</v>
      </c>
      <c r="L32">
        <f>_2026_04_17_16_25_21_23_high[[#This Row],[p45_filt]]+200</f>
        <v>210.4</v>
      </c>
      <c r="M32">
        <f>_2026_04_17_16_25_21_23_high[[#This Row],[new_pfwd_filt]]/_2026_04_17_16_25_21_23_high[[#This Row],[new_p45_filt]]</f>
        <v>0.97908745247148288</v>
      </c>
    </row>
    <row r="33" spans="1:13" x14ac:dyDescent="0.3">
      <c r="A33">
        <v>31</v>
      </c>
      <c r="B33">
        <v>501</v>
      </c>
      <c r="C33" t="b">
        <v>1</v>
      </c>
      <c r="D33">
        <v>8042</v>
      </c>
      <c r="E33">
        <v>8123</v>
      </c>
      <c r="F33">
        <v>6.4</v>
      </c>
      <c r="G33">
        <v>10</v>
      </c>
      <c r="H33">
        <v>0.64</v>
      </c>
      <c r="I33">
        <f xml:space="preserve"> -55.696 * _2026_04_17_16_25_21_23_high[[#This Row],[coeff]] + 79.57</f>
        <v>43.924559999999992</v>
      </c>
      <c r="J33">
        <v>0.60975610000000002</v>
      </c>
      <c r="K33">
        <f>_2026_04_17_16_25_21_23_high[[#This Row],[pfwd_filt]]+200</f>
        <v>206.4</v>
      </c>
      <c r="L33">
        <f>_2026_04_17_16_25_21_23_high[[#This Row],[p45_filt]]+200</f>
        <v>210</v>
      </c>
      <c r="M33">
        <f>_2026_04_17_16_25_21_23_high[[#This Row],[new_pfwd_filt]]/_2026_04_17_16_25_21_23_high[[#This Row],[new_p45_filt]]</f>
        <v>0.98285714285714287</v>
      </c>
    </row>
    <row r="34" spans="1:13" x14ac:dyDescent="0.3">
      <c r="A34">
        <v>32</v>
      </c>
      <c r="B34">
        <v>517</v>
      </c>
      <c r="C34" t="b">
        <v>1</v>
      </c>
      <c r="D34">
        <v>8048</v>
      </c>
      <c r="E34">
        <v>8129</v>
      </c>
      <c r="F34">
        <v>6.8</v>
      </c>
      <c r="G34">
        <v>9.6</v>
      </c>
      <c r="H34">
        <v>0.70833330000000005</v>
      </c>
      <c r="I34">
        <f xml:space="preserve"> -55.696 * _2026_04_17_16_25_21_23_high[[#This Row],[coeff]] + 79.57</f>
        <v>40.118668523199993</v>
      </c>
      <c r="J34">
        <v>0.58536582999999998</v>
      </c>
      <c r="K34">
        <f>_2026_04_17_16_25_21_23_high[[#This Row],[pfwd_filt]]+200</f>
        <v>206.8</v>
      </c>
      <c r="L34">
        <f>_2026_04_17_16_25_21_23_high[[#This Row],[p45_filt]]+200</f>
        <v>209.6</v>
      </c>
      <c r="M34">
        <f>_2026_04_17_16_25_21_23_high[[#This Row],[new_pfwd_filt]]/_2026_04_17_16_25_21_23_high[[#This Row],[new_p45_filt]]</f>
        <v>0.98664122137404586</v>
      </c>
    </row>
    <row r="35" spans="1:13" x14ac:dyDescent="0.3">
      <c r="A35">
        <v>33</v>
      </c>
      <c r="B35">
        <v>533</v>
      </c>
      <c r="C35" t="b">
        <v>1</v>
      </c>
      <c r="D35">
        <v>8048</v>
      </c>
      <c r="E35">
        <v>8134</v>
      </c>
      <c r="F35">
        <v>7.2</v>
      </c>
      <c r="G35">
        <v>9.1999999999999993</v>
      </c>
      <c r="H35">
        <v>0.78260870000000005</v>
      </c>
      <c r="I35">
        <f xml:space="preserve"> -55.696 * _2026_04_17_16_25_21_23_high[[#This Row],[coeff]] + 79.57</f>
        <v>35.981825844799992</v>
      </c>
      <c r="J35">
        <v>0.56097560000000002</v>
      </c>
      <c r="K35">
        <f>_2026_04_17_16_25_21_23_high[[#This Row],[pfwd_filt]]+200</f>
        <v>207.2</v>
      </c>
      <c r="L35">
        <f>_2026_04_17_16_25_21_23_high[[#This Row],[p45_filt]]+200</f>
        <v>209.2</v>
      </c>
      <c r="M35">
        <f>_2026_04_17_16_25_21_23_high[[#This Row],[new_pfwd_filt]]/_2026_04_17_16_25_21_23_high[[#This Row],[new_p45_filt]]</f>
        <v>0.99043977055449328</v>
      </c>
    </row>
    <row r="36" spans="1:13" x14ac:dyDescent="0.3">
      <c r="A36">
        <v>34</v>
      </c>
      <c r="B36">
        <v>549</v>
      </c>
      <c r="C36" t="b">
        <v>1</v>
      </c>
      <c r="D36">
        <v>8042</v>
      </c>
      <c r="E36">
        <v>8129</v>
      </c>
      <c r="F36">
        <v>7.6</v>
      </c>
      <c r="G36">
        <v>9.1999999999999993</v>
      </c>
      <c r="H36">
        <v>0.82608694000000005</v>
      </c>
      <c r="I36">
        <f xml:space="preserve"> -55.696 * _2026_04_17_16_25_21_23_high[[#This Row],[coeff]] + 79.57</f>
        <v>33.560261789759991</v>
      </c>
      <c r="J36">
        <v>0.54761903999999995</v>
      </c>
      <c r="K36">
        <f>_2026_04_17_16_25_21_23_high[[#This Row],[pfwd_filt]]+200</f>
        <v>207.6</v>
      </c>
      <c r="L36">
        <f>_2026_04_17_16_25_21_23_high[[#This Row],[p45_filt]]+200</f>
        <v>209.2</v>
      </c>
      <c r="M36">
        <f>_2026_04_17_16_25_21_23_high[[#This Row],[new_pfwd_filt]]/_2026_04_17_16_25_21_23_high[[#This Row],[new_p45_filt]]</f>
        <v>0.99235181644359471</v>
      </c>
    </row>
    <row r="37" spans="1:13" x14ac:dyDescent="0.3">
      <c r="A37">
        <v>35</v>
      </c>
      <c r="B37">
        <v>565</v>
      </c>
      <c r="C37" t="b">
        <v>1</v>
      </c>
      <c r="D37">
        <v>8048</v>
      </c>
      <c r="E37">
        <v>8129</v>
      </c>
      <c r="F37">
        <v>8</v>
      </c>
      <c r="G37">
        <v>9.1999999999999993</v>
      </c>
      <c r="H37">
        <v>0.86956524999999996</v>
      </c>
      <c r="I37">
        <f xml:space="preserve"> -55.696 * _2026_04_17_16_25_21_23_high[[#This Row],[coeff]] + 79.57</f>
        <v>31.138693835999995</v>
      </c>
      <c r="J37">
        <v>0.53488369999999996</v>
      </c>
      <c r="K37">
        <f>_2026_04_17_16_25_21_23_high[[#This Row],[pfwd_filt]]+200</f>
        <v>208</v>
      </c>
      <c r="L37">
        <f>_2026_04_17_16_25_21_23_high[[#This Row],[p45_filt]]+200</f>
        <v>209.2</v>
      </c>
      <c r="M37">
        <f>_2026_04_17_16_25_21_23_high[[#This Row],[new_pfwd_filt]]/_2026_04_17_16_25_21_23_high[[#This Row],[new_p45_filt]]</f>
        <v>0.99426386233269604</v>
      </c>
    </row>
    <row r="38" spans="1:13" x14ac:dyDescent="0.3">
      <c r="A38">
        <v>36</v>
      </c>
      <c r="B38">
        <v>581</v>
      </c>
      <c r="C38" t="b">
        <v>1</v>
      </c>
      <c r="D38">
        <v>8042</v>
      </c>
      <c r="E38">
        <v>8129</v>
      </c>
      <c r="F38">
        <v>8</v>
      </c>
      <c r="G38">
        <v>9.1999999999999993</v>
      </c>
      <c r="H38">
        <v>0.86956524999999996</v>
      </c>
      <c r="I38">
        <f xml:space="preserve"> -55.696 * _2026_04_17_16_25_21_23_high[[#This Row],[coeff]] + 79.57</f>
        <v>31.138693835999995</v>
      </c>
      <c r="J38">
        <v>0.53488369999999996</v>
      </c>
      <c r="K38">
        <f>_2026_04_17_16_25_21_23_high[[#This Row],[pfwd_filt]]+200</f>
        <v>208</v>
      </c>
      <c r="L38">
        <f>_2026_04_17_16_25_21_23_high[[#This Row],[p45_filt]]+200</f>
        <v>209.2</v>
      </c>
      <c r="M38">
        <f>_2026_04_17_16_25_21_23_high[[#This Row],[new_pfwd_filt]]/_2026_04_17_16_25_21_23_high[[#This Row],[new_p45_filt]]</f>
        <v>0.99426386233269604</v>
      </c>
    </row>
    <row r="39" spans="1:13" x14ac:dyDescent="0.3">
      <c r="A39">
        <v>37</v>
      </c>
      <c r="B39">
        <v>597</v>
      </c>
      <c r="C39" t="b">
        <v>1</v>
      </c>
      <c r="D39">
        <v>8042</v>
      </c>
      <c r="E39">
        <v>8123</v>
      </c>
      <c r="F39">
        <v>7.6</v>
      </c>
      <c r="G39">
        <v>9.6</v>
      </c>
      <c r="H39">
        <v>0.7916666</v>
      </c>
      <c r="I39">
        <f xml:space="preserve"> -55.696 * _2026_04_17_16_25_21_23_high[[#This Row],[coeff]] + 79.57</f>
        <v>35.477337046399995</v>
      </c>
      <c r="J39">
        <v>0.55813950000000001</v>
      </c>
      <c r="K39">
        <f>_2026_04_17_16_25_21_23_high[[#This Row],[pfwd_filt]]+200</f>
        <v>207.6</v>
      </c>
      <c r="L39">
        <f>_2026_04_17_16_25_21_23_high[[#This Row],[p45_filt]]+200</f>
        <v>209.6</v>
      </c>
      <c r="M39">
        <f>_2026_04_17_16_25_21_23_high[[#This Row],[new_pfwd_filt]]/_2026_04_17_16_25_21_23_high[[#This Row],[new_p45_filt]]</f>
        <v>0.99045801526717558</v>
      </c>
    </row>
    <row r="40" spans="1:13" x14ac:dyDescent="0.3">
      <c r="A40">
        <v>38</v>
      </c>
      <c r="B40">
        <v>612</v>
      </c>
      <c r="C40" t="b">
        <v>1</v>
      </c>
      <c r="D40">
        <v>8042</v>
      </c>
      <c r="E40">
        <v>8117</v>
      </c>
      <c r="F40">
        <v>7.2</v>
      </c>
      <c r="G40">
        <v>10</v>
      </c>
      <c r="H40">
        <v>0.71999997000000004</v>
      </c>
      <c r="I40">
        <f xml:space="preserve"> -55.696 * _2026_04_17_16_25_21_23_high[[#This Row],[coeff]] + 79.57</f>
        <v>39.468881670879995</v>
      </c>
      <c r="J40">
        <v>0.58139529999999995</v>
      </c>
      <c r="K40">
        <f>_2026_04_17_16_25_21_23_high[[#This Row],[pfwd_filt]]+200</f>
        <v>207.2</v>
      </c>
      <c r="L40">
        <f>_2026_04_17_16_25_21_23_high[[#This Row],[p45_filt]]+200</f>
        <v>210</v>
      </c>
      <c r="M40">
        <f>_2026_04_17_16_25_21_23_high[[#This Row],[new_pfwd_filt]]/_2026_04_17_16_25_21_23_high[[#This Row],[new_p45_filt]]</f>
        <v>0.98666666666666658</v>
      </c>
    </row>
    <row r="41" spans="1:13" x14ac:dyDescent="0.3">
      <c r="A41">
        <v>39</v>
      </c>
      <c r="B41">
        <v>628</v>
      </c>
      <c r="C41" t="b">
        <v>1</v>
      </c>
      <c r="D41">
        <v>8048</v>
      </c>
      <c r="E41">
        <v>8117</v>
      </c>
      <c r="F41">
        <v>6.8</v>
      </c>
      <c r="G41">
        <v>10</v>
      </c>
      <c r="H41">
        <v>0.68</v>
      </c>
      <c r="I41">
        <f xml:space="preserve"> -55.696 * _2026_04_17_16_25_21_23_high[[#This Row],[coeff]] + 79.57</f>
        <v>41.696719999999992</v>
      </c>
      <c r="J41">
        <v>0.59523815000000002</v>
      </c>
      <c r="K41">
        <f>_2026_04_17_16_25_21_23_high[[#This Row],[pfwd_filt]]+200</f>
        <v>206.8</v>
      </c>
      <c r="L41">
        <f>_2026_04_17_16_25_21_23_high[[#This Row],[p45_filt]]+200</f>
        <v>210</v>
      </c>
      <c r="M41">
        <f>_2026_04_17_16_25_21_23_high[[#This Row],[new_pfwd_filt]]/_2026_04_17_16_25_21_23_high[[#This Row],[new_p45_filt]]</f>
        <v>0.98476190476190484</v>
      </c>
    </row>
    <row r="42" spans="1:13" x14ac:dyDescent="0.3">
      <c r="A42">
        <v>40</v>
      </c>
      <c r="B42">
        <v>643</v>
      </c>
      <c r="C42" t="b">
        <v>1</v>
      </c>
      <c r="D42">
        <v>8042</v>
      </c>
      <c r="E42">
        <v>8117</v>
      </c>
      <c r="F42">
        <v>6.4</v>
      </c>
      <c r="G42">
        <v>9.6</v>
      </c>
      <c r="H42">
        <v>0.6666666</v>
      </c>
      <c r="I42">
        <f xml:space="preserve"> -55.696 * _2026_04_17_16_25_21_23_high[[#This Row],[coeff]] + 79.57</f>
        <v>42.439337046399991</v>
      </c>
      <c r="J42">
        <v>0.6</v>
      </c>
      <c r="K42">
        <f>_2026_04_17_16_25_21_23_high[[#This Row],[pfwd_filt]]+200</f>
        <v>206.4</v>
      </c>
      <c r="L42">
        <f>_2026_04_17_16_25_21_23_high[[#This Row],[p45_filt]]+200</f>
        <v>209.6</v>
      </c>
      <c r="M42">
        <f>_2026_04_17_16_25_21_23_high[[#This Row],[new_pfwd_filt]]/_2026_04_17_16_25_21_23_high[[#This Row],[new_p45_filt]]</f>
        <v>0.984732824427481</v>
      </c>
    </row>
    <row r="43" spans="1:13" x14ac:dyDescent="0.3">
      <c r="A43">
        <v>41</v>
      </c>
      <c r="B43">
        <v>659</v>
      </c>
      <c r="C43" t="b">
        <v>1</v>
      </c>
      <c r="D43">
        <v>8042</v>
      </c>
      <c r="E43">
        <v>8117</v>
      </c>
      <c r="F43">
        <v>6</v>
      </c>
      <c r="G43">
        <v>9.1999999999999993</v>
      </c>
      <c r="H43">
        <v>0.65217393999999995</v>
      </c>
      <c r="I43">
        <f xml:space="preserve"> -55.696 * _2026_04_17_16_25_21_23_high[[#This Row],[coeff]] + 79.57</f>
        <v>43.246520237759995</v>
      </c>
      <c r="J43">
        <v>0.6052632</v>
      </c>
      <c r="K43">
        <f>_2026_04_17_16_25_21_23_high[[#This Row],[pfwd_filt]]+200</f>
        <v>206</v>
      </c>
      <c r="L43">
        <f>_2026_04_17_16_25_21_23_high[[#This Row],[p45_filt]]+200</f>
        <v>209.2</v>
      </c>
      <c r="M43">
        <f>_2026_04_17_16_25_21_23_high[[#This Row],[new_pfwd_filt]]/_2026_04_17_16_25_21_23_high[[#This Row],[new_p45_filt]]</f>
        <v>0.98470363288718932</v>
      </c>
    </row>
    <row r="44" spans="1:13" x14ac:dyDescent="0.3">
      <c r="A44">
        <v>42</v>
      </c>
      <c r="B44">
        <v>675</v>
      </c>
      <c r="C44" t="b">
        <v>1</v>
      </c>
      <c r="D44">
        <v>8042</v>
      </c>
      <c r="E44">
        <v>8123</v>
      </c>
      <c r="F44">
        <v>5.6</v>
      </c>
      <c r="G44">
        <v>8.8000000000000007</v>
      </c>
      <c r="H44">
        <v>0.63636360000000003</v>
      </c>
      <c r="I44">
        <f xml:space="preserve"> -55.696 * _2026_04_17_16_25_21_23_high[[#This Row],[coeff]] + 79.57</f>
        <v>44.12709293439999</v>
      </c>
      <c r="J44">
        <v>0.61111115999999999</v>
      </c>
      <c r="K44">
        <f>_2026_04_17_16_25_21_23_high[[#This Row],[pfwd_filt]]+200</f>
        <v>205.6</v>
      </c>
      <c r="L44">
        <f>_2026_04_17_16_25_21_23_high[[#This Row],[p45_filt]]+200</f>
        <v>208.8</v>
      </c>
      <c r="M44">
        <f>_2026_04_17_16_25_21_23_high[[#This Row],[new_pfwd_filt]]/_2026_04_17_16_25_21_23_high[[#This Row],[new_p45_filt]]</f>
        <v>0.98467432950191558</v>
      </c>
    </row>
    <row r="45" spans="1:13" x14ac:dyDescent="0.3">
      <c r="A45">
        <v>43</v>
      </c>
      <c r="B45">
        <v>691</v>
      </c>
      <c r="C45" t="b">
        <v>1</v>
      </c>
      <c r="D45">
        <v>8042</v>
      </c>
      <c r="E45">
        <v>8129</v>
      </c>
      <c r="F45">
        <v>5.2</v>
      </c>
      <c r="G45">
        <v>8.4</v>
      </c>
      <c r="H45">
        <v>0.61904764000000001</v>
      </c>
      <c r="I45">
        <f xml:space="preserve"> -55.696 * _2026_04_17_16_25_21_23_high[[#This Row],[coeff]] + 79.57</f>
        <v>45.091522642559994</v>
      </c>
      <c r="J45">
        <v>0.61764704999999998</v>
      </c>
      <c r="K45">
        <f>_2026_04_17_16_25_21_23_high[[#This Row],[pfwd_filt]]+200</f>
        <v>205.2</v>
      </c>
      <c r="L45">
        <f>_2026_04_17_16_25_21_23_high[[#This Row],[p45_filt]]+200</f>
        <v>208.4</v>
      </c>
      <c r="M45">
        <f>_2026_04_17_16_25_21_23_high[[#This Row],[new_pfwd_filt]]/_2026_04_17_16_25_21_23_high[[#This Row],[new_p45_filt]]</f>
        <v>0.98464491362763906</v>
      </c>
    </row>
    <row r="46" spans="1:13" x14ac:dyDescent="0.3">
      <c r="A46">
        <v>44</v>
      </c>
      <c r="B46">
        <v>707</v>
      </c>
      <c r="C46" t="b">
        <v>1</v>
      </c>
      <c r="D46">
        <v>8042</v>
      </c>
      <c r="E46">
        <v>8134</v>
      </c>
      <c r="F46">
        <v>4.8</v>
      </c>
      <c r="G46">
        <v>8.4</v>
      </c>
      <c r="H46">
        <v>0.57142859999999995</v>
      </c>
      <c r="I46">
        <f xml:space="preserve"> -55.696 * _2026_04_17_16_25_21_23_high[[#This Row],[coeff]] + 79.57</f>
        <v>47.743712694399996</v>
      </c>
      <c r="J46">
        <v>0.63636360000000003</v>
      </c>
      <c r="K46">
        <f>_2026_04_17_16_25_21_23_high[[#This Row],[pfwd_filt]]+200</f>
        <v>204.8</v>
      </c>
      <c r="L46">
        <f>_2026_04_17_16_25_21_23_high[[#This Row],[p45_filt]]+200</f>
        <v>208.4</v>
      </c>
      <c r="M46">
        <f>_2026_04_17_16_25_21_23_high[[#This Row],[new_pfwd_filt]]/_2026_04_17_16_25_21_23_high[[#This Row],[new_p45_filt]]</f>
        <v>0.98272552783109413</v>
      </c>
    </row>
    <row r="47" spans="1:13" x14ac:dyDescent="0.3">
      <c r="A47">
        <v>45</v>
      </c>
      <c r="B47">
        <v>723</v>
      </c>
      <c r="C47" t="b">
        <v>1</v>
      </c>
      <c r="D47">
        <v>8048</v>
      </c>
      <c r="E47">
        <v>8123</v>
      </c>
      <c r="F47">
        <v>4.4000000000000004</v>
      </c>
      <c r="G47">
        <v>8.4</v>
      </c>
      <c r="H47">
        <v>0.52380954999999996</v>
      </c>
      <c r="I47">
        <f xml:space="preserve"> -55.696 * _2026_04_17_16_25_21_23_high[[#This Row],[coeff]] + 79.57</f>
        <v>50.395903303200001</v>
      </c>
      <c r="J47">
        <v>0.65625</v>
      </c>
      <c r="K47">
        <f>_2026_04_17_16_25_21_23_high[[#This Row],[pfwd_filt]]+200</f>
        <v>204.4</v>
      </c>
      <c r="L47">
        <f>_2026_04_17_16_25_21_23_high[[#This Row],[p45_filt]]+200</f>
        <v>208.4</v>
      </c>
      <c r="M47">
        <f>_2026_04_17_16_25_21_23_high[[#This Row],[new_pfwd_filt]]/_2026_04_17_16_25_21_23_high[[#This Row],[new_p45_filt]]</f>
        <v>0.98080614203454897</v>
      </c>
    </row>
    <row r="48" spans="1:13" x14ac:dyDescent="0.3">
      <c r="A48">
        <v>46</v>
      </c>
      <c r="B48">
        <v>738</v>
      </c>
      <c r="C48" t="b">
        <v>1</v>
      </c>
      <c r="D48">
        <v>8048</v>
      </c>
      <c r="E48">
        <v>8123</v>
      </c>
      <c r="F48">
        <v>4</v>
      </c>
      <c r="G48">
        <v>8.4</v>
      </c>
      <c r="H48">
        <v>0.47619050000000002</v>
      </c>
      <c r="I48">
        <f xml:space="preserve"> -55.696 * _2026_04_17_16_25_21_23_high[[#This Row],[coeff]] + 79.57</f>
        <v>53.048093911999992</v>
      </c>
      <c r="J48">
        <v>0.67741936000000003</v>
      </c>
      <c r="K48">
        <f>_2026_04_17_16_25_21_23_high[[#This Row],[pfwd_filt]]+200</f>
        <v>204</v>
      </c>
      <c r="L48">
        <f>_2026_04_17_16_25_21_23_high[[#This Row],[p45_filt]]+200</f>
        <v>208.4</v>
      </c>
      <c r="M48">
        <f>_2026_04_17_16_25_21_23_high[[#This Row],[new_pfwd_filt]]/_2026_04_17_16_25_21_23_high[[#This Row],[new_p45_filt]]</f>
        <v>0.97888675623800381</v>
      </c>
    </row>
    <row r="49" spans="1:13" x14ac:dyDescent="0.3">
      <c r="A49">
        <v>47</v>
      </c>
      <c r="B49">
        <v>754</v>
      </c>
      <c r="C49" t="b">
        <v>1</v>
      </c>
      <c r="D49">
        <v>8048</v>
      </c>
      <c r="E49">
        <v>8134</v>
      </c>
      <c r="F49">
        <v>4</v>
      </c>
      <c r="G49">
        <v>8.8000000000000007</v>
      </c>
      <c r="H49">
        <v>0.45454544000000002</v>
      </c>
      <c r="I49">
        <f xml:space="preserve"> -55.696 * _2026_04_17_16_25_21_23_high[[#This Row],[coeff]] + 79.57</f>
        <v>54.253637173759998</v>
      </c>
      <c r="J49">
        <v>0.6875</v>
      </c>
      <c r="K49">
        <f>_2026_04_17_16_25_21_23_high[[#This Row],[pfwd_filt]]+200</f>
        <v>204</v>
      </c>
      <c r="L49">
        <f>_2026_04_17_16_25_21_23_high[[#This Row],[p45_filt]]+200</f>
        <v>208.8</v>
      </c>
      <c r="M49">
        <f>_2026_04_17_16_25_21_23_high[[#This Row],[new_pfwd_filt]]/_2026_04_17_16_25_21_23_high[[#This Row],[new_p45_filt]]</f>
        <v>0.97701149425287348</v>
      </c>
    </row>
    <row r="50" spans="1:13" x14ac:dyDescent="0.3">
      <c r="A50">
        <v>48</v>
      </c>
      <c r="B50">
        <v>769</v>
      </c>
      <c r="C50" t="b">
        <v>1</v>
      </c>
      <c r="D50">
        <v>8042</v>
      </c>
      <c r="E50">
        <v>8123</v>
      </c>
      <c r="F50">
        <v>4</v>
      </c>
      <c r="G50">
        <v>8.8000000000000007</v>
      </c>
      <c r="H50">
        <v>0.45454544000000002</v>
      </c>
      <c r="I50">
        <f xml:space="preserve"> -55.696 * _2026_04_17_16_25_21_23_high[[#This Row],[coeff]] + 79.57</f>
        <v>54.253637173759998</v>
      </c>
      <c r="J50">
        <v>0.6875</v>
      </c>
      <c r="K50">
        <f>_2026_04_17_16_25_21_23_high[[#This Row],[pfwd_filt]]+200</f>
        <v>204</v>
      </c>
      <c r="L50">
        <f>_2026_04_17_16_25_21_23_high[[#This Row],[p45_filt]]+200</f>
        <v>208.8</v>
      </c>
      <c r="M50">
        <f>_2026_04_17_16_25_21_23_high[[#This Row],[new_pfwd_filt]]/_2026_04_17_16_25_21_23_high[[#This Row],[new_p45_filt]]</f>
        <v>0.97701149425287348</v>
      </c>
    </row>
    <row r="51" spans="1:13" x14ac:dyDescent="0.3">
      <c r="A51">
        <v>49</v>
      </c>
      <c r="B51">
        <v>785</v>
      </c>
      <c r="C51" t="b">
        <v>1</v>
      </c>
      <c r="D51">
        <v>8048</v>
      </c>
      <c r="E51">
        <v>8129</v>
      </c>
      <c r="F51">
        <v>4</v>
      </c>
      <c r="G51">
        <v>8.4</v>
      </c>
      <c r="H51">
        <v>0.47619050000000002</v>
      </c>
      <c r="I51">
        <f xml:space="preserve"> -55.696 * _2026_04_17_16_25_21_23_high[[#This Row],[coeff]] + 79.57</f>
        <v>53.048093911999992</v>
      </c>
      <c r="J51">
        <v>0.67741936000000003</v>
      </c>
      <c r="K51">
        <f>_2026_04_17_16_25_21_23_high[[#This Row],[pfwd_filt]]+200</f>
        <v>204</v>
      </c>
      <c r="L51">
        <f>_2026_04_17_16_25_21_23_high[[#This Row],[p45_filt]]+200</f>
        <v>208.4</v>
      </c>
      <c r="M51">
        <f>_2026_04_17_16_25_21_23_high[[#This Row],[new_pfwd_filt]]/_2026_04_17_16_25_21_23_high[[#This Row],[new_p45_filt]]</f>
        <v>0.97888675623800381</v>
      </c>
    </row>
    <row r="52" spans="1:13" x14ac:dyDescent="0.3">
      <c r="A52">
        <v>50</v>
      </c>
      <c r="B52">
        <v>801</v>
      </c>
      <c r="C52" t="b">
        <v>1</v>
      </c>
      <c r="D52">
        <v>8048</v>
      </c>
      <c r="E52">
        <v>8123</v>
      </c>
      <c r="F52">
        <v>4</v>
      </c>
      <c r="G52">
        <v>8</v>
      </c>
      <c r="H52">
        <v>0.5</v>
      </c>
      <c r="I52">
        <f xml:space="preserve"> -55.696 * _2026_04_17_16_25_21_23_high[[#This Row],[coeff]] + 79.57</f>
        <v>51.721999999999994</v>
      </c>
      <c r="J52">
        <v>0.66666669999999995</v>
      </c>
      <c r="K52">
        <f>_2026_04_17_16_25_21_23_high[[#This Row],[pfwd_filt]]+200</f>
        <v>204</v>
      </c>
      <c r="L52">
        <f>_2026_04_17_16_25_21_23_high[[#This Row],[p45_filt]]+200</f>
        <v>208</v>
      </c>
      <c r="M52">
        <f>_2026_04_17_16_25_21_23_high[[#This Row],[new_pfwd_filt]]/_2026_04_17_16_25_21_23_high[[#This Row],[new_p45_filt]]</f>
        <v>0.98076923076923073</v>
      </c>
    </row>
    <row r="53" spans="1:13" x14ac:dyDescent="0.3">
      <c r="A53">
        <v>51</v>
      </c>
      <c r="B53">
        <v>817</v>
      </c>
      <c r="C53" t="b">
        <v>1</v>
      </c>
      <c r="D53">
        <v>8042</v>
      </c>
      <c r="E53">
        <v>8123</v>
      </c>
      <c r="F53">
        <v>4</v>
      </c>
      <c r="G53">
        <v>7.6</v>
      </c>
      <c r="H53">
        <v>0.5263158</v>
      </c>
      <c r="I53">
        <f xml:space="preserve"> -55.696 * _2026_04_17_16_25_21_23_high[[#This Row],[coeff]] + 79.57</f>
        <v>50.256315203199989</v>
      </c>
      <c r="J53">
        <v>0.65517239999999999</v>
      </c>
      <c r="K53">
        <f>_2026_04_17_16_25_21_23_high[[#This Row],[pfwd_filt]]+200</f>
        <v>204</v>
      </c>
      <c r="L53">
        <f>_2026_04_17_16_25_21_23_high[[#This Row],[p45_filt]]+200</f>
        <v>207.6</v>
      </c>
      <c r="M53">
        <f>_2026_04_17_16_25_21_23_high[[#This Row],[new_pfwd_filt]]/_2026_04_17_16_25_21_23_high[[#This Row],[new_p45_filt]]</f>
        <v>0.98265895953757232</v>
      </c>
    </row>
    <row r="54" spans="1:13" x14ac:dyDescent="0.3">
      <c r="A54">
        <v>52</v>
      </c>
      <c r="B54">
        <v>833</v>
      </c>
      <c r="C54" t="b">
        <v>1</v>
      </c>
      <c r="D54">
        <v>8048</v>
      </c>
      <c r="E54">
        <v>8129</v>
      </c>
      <c r="F54">
        <v>4.4000000000000004</v>
      </c>
      <c r="G54">
        <v>7.2</v>
      </c>
      <c r="H54">
        <v>0.61111115999999999</v>
      </c>
      <c r="I54">
        <f xml:space="preserve"> -55.696 * _2026_04_17_16_25_21_23_high[[#This Row],[coeff]] + 79.57</f>
        <v>45.533552832639998</v>
      </c>
      <c r="J54">
        <v>0.62068962999999999</v>
      </c>
      <c r="K54">
        <f>_2026_04_17_16_25_21_23_high[[#This Row],[pfwd_filt]]+200</f>
        <v>204.4</v>
      </c>
      <c r="L54">
        <f>_2026_04_17_16_25_21_23_high[[#This Row],[p45_filt]]+200</f>
        <v>207.2</v>
      </c>
      <c r="M54">
        <f>_2026_04_17_16_25_21_23_high[[#This Row],[new_pfwd_filt]]/_2026_04_17_16_25_21_23_high[[#This Row],[new_p45_filt]]</f>
        <v>0.98648648648648651</v>
      </c>
    </row>
    <row r="55" spans="1:13" x14ac:dyDescent="0.3">
      <c r="A55">
        <v>53</v>
      </c>
      <c r="B55">
        <v>849</v>
      </c>
      <c r="C55" t="b">
        <v>1</v>
      </c>
      <c r="D55">
        <v>8048</v>
      </c>
      <c r="E55">
        <v>8123</v>
      </c>
      <c r="F55">
        <v>4.8</v>
      </c>
      <c r="G55">
        <v>6.8</v>
      </c>
      <c r="H55">
        <v>0.70588240000000002</v>
      </c>
      <c r="I55">
        <f xml:space="preserve"> -55.696 * _2026_04_17_16_25_21_23_high[[#This Row],[coeff]] + 79.57</f>
        <v>40.255173849599991</v>
      </c>
      <c r="J55">
        <v>0.58620689999999998</v>
      </c>
      <c r="K55">
        <f>_2026_04_17_16_25_21_23_high[[#This Row],[pfwd_filt]]+200</f>
        <v>204.8</v>
      </c>
      <c r="L55">
        <f>_2026_04_17_16_25_21_23_high[[#This Row],[p45_filt]]+200</f>
        <v>206.8</v>
      </c>
      <c r="M55">
        <f>_2026_04_17_16_25_21_23_high[[#This Row],[new_pfwd_filt]]/_2026_04_17_16_25_21_23_high[[#This Row],[new_p45_filt]]</f>
        <v>0.99032882011605416</v>
      </c>
    </row>
    <row r="56" spans="1:13" x14ac:dyDescent="0.3">
      <c r="A56">
        <v>54</v>
      </c>
      <c r="B56">
        <v>865</v>
      </c>
      <c r="C56" t="b">
        <v>1</v>
      </c>
      <c r="D56">
        <v>8048</v>
      </c>
      <c r="E56">
        <v>8123</v>
      </c>
      <c r="F56">
        <v>5.2</v>
      </c>
      <c r="G56">
        <v>6.8</v>
      </c>
      <c r="H56">
        <v>0.76470583999999997</v>
      </c>
      <c r="I56">
        <f xml:space="preserve"> -55.696 * _2026_04_17_16_25_21_23_high[[#This Row],[coeff]] + 79.57</f>
        <v>36.978943535359996</v>
      </c>
      <c r="J56">
        <v>0.56666665999999999</v>
      </c>
      <c r="K56">
        <f>_2026_04_17_16_25_21_23_high[[#This Row],[pfwd_filt]]+200</f>
        <v>205.2</v>
      </c>
      <c r="L56">
        <f>_2026_04_17_16_25_21_23_high[[#This Row],[p45_filt]]+200</f>
        <v>206.8</v>
      </c>
      <c r="M56">
        <f>_2026_04_17_16_25_21_23_high[[#This Row],[new_pfwd_filt]]/_2026_04_17_16_25_21_23_high[[#This Row],[new_p45_filt]]</f>
        <v>0.99226305609284327</v>
      </c>
    </row>
    <row r="57" spans="1:13" x14ac:dyDescent="0.3">
      <c r="A57">
        <v>55</v>
      </c>
      <c r="B57">
        <v>880</v>
      </c>
      <c r="C57" t="b">
        <v>1</v>
      </c>
      <c r="D57">
        <v>8048</v>
      </c>
      <c r="E57">
        <v>8134</v>
      </c>
      <c r="F57">
        <v>5.6</v>
      </c>
      <c r="G57">
        <v>7.2</v>
      </c>
      <c r="H57">
        <v>0.77777779999999996</v>
      </c>
      <c r="I57">
        <f xml:space="preserve"> -55.696 * _2026_04_17_16_25_21_23_high[[#This Row],[coeff]] + 79.57</f>
        <v>36.250887651199996</v>
      </c>
      <c r="J57">
        <v>0.5625</v>
      </c>
      <c r="K57">
        <f>_2026_04_17_16_25_21_23_high[[#This Row],[pfwd_filt]]+200</f>
        <v>205.6</v>
      </c>
      <c r="L57">
        <f>_2026_04_17_16_25_21_23_high[[#This Row],[p45_filt]]+200</f>
        <v>207.2</v>
      </c>
      <c r="M57">
        <f>_2026_04_17_16_25_21_23_high[[#This Row],[new_pfwd_filt]]/_2026_04_17_16_25_21_23_high[[#This Row],[new_p45_filt]]</f>
        <v>0.99227799227799229</v>
      </c>
    </row>
    <row r="58" spans="1:13" x14ac:dyDescent="0.3">
      <c r="A58">
        <v>56</v>
      </c>
      <c r="B58">
        <v>896</v>
      </c>
      <c r="C58" t="b">
        <v>1</v>
      </c>
      <c r="D58">
        <v>8042</v>
      </c>
      <c r="E58">
        <v>8123</v>
      </c>
      <c r="F58">
        <v>6</v>
      </c>
      <c r="G58">
        <v>7.6</v>
      </c>
      <c r="H58">
        <v>0.78947369999999994</v>
      </c>
      <c r="I58">
        <f xml:space="preserve"> -55.696 * _2026_04_17_16_25_21_23_high[[#This Row],[coeff]] + 79.57</f>
        <v>35.599472804800001</v>
      </c>
      <c r="J58">
        <v>0.55882350000000003</v>
      </c>
      <c r="K58">
        <f>_2026_04_17_16_25_21_23_high[[#This Row],[pfwd_filt]]+200</f>
        <v>206</v>
      </c>
      <c r="L58">
        <f>_2026_04_17_16_25_21_23_high[[#This Row],[p45_filt]]+200</f>
        <v>207.6</v>
      </c>
      <c r="M58">
        <f>_2026_04_17_16_25_21_23_high[[#This Row],[new_pfwd_filt]]/_2026_04_17_16_25_21_23_high[[#This Row],[new_p45_filt]]</f>
        <v>0.99229287090558771</v>
      </c>
    </row>
    <row r="59" spans="1:13" x14ac:dyDescent="0.3">
      <c r="A59">
        <v>57</v>
      </c>
      <c r="B59">
        <v>912</v>
      </c>
      <c r="C59" t="b">
        <v>1</v>
      </c>
      <c r="D59">
        <v>8042</v>
      </c>
      <c r="E59">
        <v>8134</v>
      </c>
      <c r="F59">
        <v>6.4</v>
      </c>
      <c r="G59">
        <v>8</v>
      </c>
      <c r="H59">
        <v>0.8</v>
      </c>
      <c r="I59">
        <f xml:space="preserve"> -55.696 * _2026_04_17_16_25_21_23_high[[#This Row],[coeff]] + 79.57</f>
        <v>35.013199999999991</v>
      </c>
      <c r="J59">
        <v>0.55555560000000004</v>
      </c>
      <c r="K59">
        <f>_2026_04_17_16_25_21_23_high[[#This Row],[pfwd_filt]]+200</f>
        <v>206.4</v>
      </c>
      <c r="L59">
        <f>_2026_04_17_16_25_21_23_high[[#This Row],[p45_filt]]+200</f>
        <v>208</v>
      </c>
      <c r="M59">
        <f>_2026_04_17_16_25_21_23_high[[#This Row],[new_pfwd_filt]]/_2026_04_17_16_25_21_23_high[[#This Row],[new_p45_filt]]</f>
        <v>0.99230769230769234</v>
      </c>
    </row>
    <row r="60" spans="1:13" x14ac:dyDescent="0.3">
      <c r="A60">
        <v>58</v>
      </c>
      <c r="B60">
        <v>928</v>
      </c>
      <c r="C60" t="b">
        <v>1</v>
      </c>
      <c r="D60">
        <v>8048</v>
      </c>
      <c r="E60">
        <v>8123</v>
      </c>
      <c r="F60">
        <v>6.8</v>
      </c>
      <c r="G60">
        <v>8.4</v>
      </c>
      <c r="H60">
        <v>0.80952389999999996</v>
      </c>
      <c r="I60">
        <f xml:space="preserve"> -55.696 * _2026_04_17_16_25_21_23_high[[#This Row],[coeff]] + 79.57</f>
        <v>34.482756865599995</v>
      </c>
      <c r="J60">
        <v>0.55263156000000002</v>
      </c>
      <c r="K60">
        <f>_2026_04_17_16_25_21_23_high[[#This Row],[pfwd_filt]]+200</f>
        <v>206.8</v>
      </c>
      <c r="L60">
        <f>_2026_04_17_16_25_21_23_high[[#This Row],[p45_filt]]+200</f>
        <v>208.4</v>
      </c>
      <c r="M60">
        <f>_2026_04_17_16_25_21_23_high[[#This Row],[new_pfwd_filt]]/_2026_04_17_16_25_21_23_high[[#This Row],[new_p45_filt]]</f>
        <v>0.99232245681381959</v>
      </c>
    </row>
    <row r="61" spans="1:13" x14ac:dyDescent="0.3">
      <c r="A61">
        <v>59</v>
      </c>
      <c r="B61">
        <v>943</v>
      </c>
      <c r="C61" t="b">
        <v>1</v>
      </c>
      <c r="D61">
        <v>8048</v>
      </c>
      <c r="E61">
        <v>8129</v>
      </c>
      <c r="F61">
        <v>7.2</v>
      </c>
      <c r="G61">
        <v>8.8000000000000007</v>
      </c>
      <c r="H61">
        <v>0.81818175000000004</v>
      </c>
      <c r="I61">
        <f xml:space="preserve"> -55.696 * _2026_04_17_16_25_21_23_high[[#This Row],[coeff]] + 79.57</f>
        <v>34.000549251999992</v>
      </c>
      <c r="J61">
        <v>0.55000000000000004</v>
      </c>
      <c r="K61">
        <f>_2026_04_17_16_25_21_23_high[[#This Row],[pfwd_filt]]+200</f>
        <v>207.2</v>
      </c>
      <c r="L61">
        <f>_2026_04_17_16_25_21_23_high[[#This Row],[p45_filt]]+200</f>
        <v>208.8</v>
      </c>
      <c r="M61">
        <f>_2026_04_17_16_25_21_23_high[[#This Row],[new_pfwd_filt]]/_2026_04_17_16_25_21_23_high[[#This Row],[new_p45_filt]]</f>
        <v>0.99233716475095779</v>
      </c>
    </row>
    <row r="62" spans="1:13" x14ac:dyDescent="0.3">
      <c r="A62">
        <v>60</v>
      </c>
      <c r="B62">
        <v>959</v>
      </c>
      <c r="C62" t="b">
        <v>1</v>
      </c>
      <c r="D62">
        <v>8048</v>
      </c>
      <c r="E62">
        <v>8123</v>
      </c>
      <c r="F62">
        <v>7.6</v>
      </c>
      <c r="G62">
        <v>8.8000000000000007</v>
      </c>
      <c r="H62">
        <v>0.86363630000000002</v>
      </c>
      <c r="I62">
        <f xml:space="preserve"> -55.696 * _2026_04_17_16_25_21_23_high[[#This Row],[coeff]] + 79.57</f>
        <v>31.468912635199992</v>
      </c>
      <c r="J62">
        <v>0.53658539999999999</v>
      </c>
      <c r="K62">
        <f>_2026_04_17_16_25_21_23_high[[#This Row],[pfwd_filt]]+200</f>
        <v>207.6</v>
      </c>
      <c r="L62">
        <f>_2026_04_17_16_25_21_23_high[[#This Row],[p45_filt]]+200</f>
        <v>208.8</v>
      </c>
      <c r="M62">
        <f>_2026_04_17_16_25_21_23_high[[#This Row],[new_pfwd_filt]]/_2026_04_17_16_25_21_23_high[[#This Row],[new_p45_filt]]</f>
        <v>0.99425287356321834</v>
      </c>
    </row>
    <row r="63" spans="1:13" x14ac:dyDescent="0.3">
      <c r="A63">
        <v>61</v>
      </c>
      <c r="B63">
        <v>975</v>
      </c>
      <c r="C63" t="b">
        <v>1</v>
      </c>
      <c r="D63">
        <v>8048</v>
      </c>
      <c r="E63">
        <v>8134</v>
      </c>
      <c r="F63">
        <v>8</v>
      </c>
      <c r="G63">
        <v>9.1999999999999993</v>
      </c>
      <c r="H63">
        <v>0.86956524999999996</v>
      </c>
      <c r="I63">
        <f xml:space="preserve"> -55.696 * _2026_04_17_16_25_21_23_high[[#This Row],[coeff]] + 79.57</f>
        <v>31.138693835999995</v>
      </c>
      <c r="J63">
        <v>0.53488369999999996</v>
      </c>
      <c r="K63">
        <f>_2026_04_17_16_25_21_23_high[[#This Row],[pfwd_filt]]+200</f>
        <v>208</v>
      </c>
      <c r="L63">
        <f>_2026_04_17_16_25_21_23_high[[#This Row],[p45_filt]]+200</f>
        <v>209.2</v>
      </c>
      <c r="M63">
        <f>_2026_04_17_16_25_21_23_high[[#This Row],[new_pfwd_filt]]/_2026_04_17_16_25_21_23_high[[#This Row],[new_p45_filt]]</f>
        <v>0.99426386233269604</v>
      </c>
    </row>
    <row r="64" spans="1:13" x14ac:dyDescent="0.3">
      <c r="A64">
        <v>62</v>
      </c>
      <c r="B64">
        <v>991</v>
      </c>
      <c r="C64" t="b">
        <v>1</v>
      </c>
      <c r="D64">
        <v>8048</v>
      </c>
      <c r="E64">
        <v>8129</v>
      </c>
      <c r="F64">
        <v>8</v>
      </c>
      <c r="G64">
        <v>9.1999999999999993</v>
      </c>
      <c r="H64">
        <v>0.86956524999999996</v>
      </c>
      <c r="I64">
        <f xml:space="preserve"> -55.696 * _2026_04_17_16_25_21_23_high[[#This Row],[coeff]] + 79.57</f>
        <v>31.138693835999995</v>
      </c>
      <c r="J64">
        <v>0.53488369999999996</v>
      </c>
      <c r="K64">
        <f>_2026_04_17_16_25_21_23_high[[#This Row],[pfwd_filt]]+200</f>
        <v>208</v>
      </c>
      <c r="L64">
        <f>_2026_04_17_16_25_21_23_high[[#This Row],[p45_filt]]+200</f>
        <v>209.2</v>
      </c>
      <c r="M64">
        <f>_2026_04_17_16_25_21_23_high[[#This Row],[new_pfwd_filt]]/_2026_04_17_16_25_21_23_high[[#This Row],[new_p45_filt]]</f>
        <v>0.99426386233269604</v>
      </c>
    </row>
    <row r="65" spans="1:13" x14ac:dyDescent="0.3">
      <c r="A65">
        <v>63</v>
      </c>
      <c r="B65">
        <v>1007</v>
      </c>
      <c r="C65" t="b">
        <v>1</v>
      </c>
      <c r="D65">
        <v>8048</v>
      </c>
      <c r="E65">
        <v>8117</v>
      </c>
      <c r="F65">
        <v>8</v>
      </c>
      <c r="G65">
        <v>9.6</v>
      </c>
      <c r="H65">
        <v>0.83333330000000005</v>
      </c>
      <c r="I65">
        <f xml:space="preserve"> -55.696 * _2026_04_17_16_25_21_23_high[[#This Row],[coeff]] + 79.57</f>
        <v>33.15666852319999</v>
      </c>
      <c r="J65">
        <v>0.54545456000000003</v>
      </c>
      <c r="K65">
        <f>_2026_04_17_16_25_21_23_high[[#This Row],[pfwd_filt]]+200</f>
        <v>208</v>
      </c>
      <c r="L65">
        <f>_2026_04_17_16_25_21_23_high[[#This Row],[p45_filt]]+200</f>
        <v>209.6</v>
      </c>
      <c r="M65">
        <f>_2026_04_17_16_25_21_23_high[[#This Row],[new_pfwd_filt]]/_2026_04_17_16_25_21_23_high[[#This Row],[new_p45_filt]]</f>
        <v>0.99236641221374045</v>
      </c>
    </row>
    <row r="66" spans="1:13" x14ac:dyDescent="0.3">
      <c r="A66">
        <v>64</v>
      </c>
      <c r="B66">
        <v>1022</v>
      </c>
      <c r="C66" t="b">
        <v>1</v>
      </c>
      <c r="D66">
        <v>8042</v>
      </c>
      <c r="E66">
        <v>8117</v>
      </c>
      <c r="F66">
        <v>8</v>
      </c>
      <c r="G66">
        <v>9.6</v>
      </c>
      <c r="H66">
        <v>0.83333330000000005</v>
      </c>
      <c r="I66">
        <f xml:space="preserve"> -55.696 * _2026_04_17_16_25_21_23_high[[#This Row],[coeff]] + 79.57</f>
        <v>33.15666852319999</v>
      </c>
      <c r="J66">
        <v>0.54545456000000003</v>
      </c>
      <c r="K66">
        <f>_2026_04_17_16_25_21_23_high[[#This Row],[pfwd_filt]]+200</f>
        <v>208</v>
      </c>
      <c r="L66">
        <f>_2026_04_17_16_25_21_23_high[[#This Row],[p45_filt]]+200</f>
        <v>209.6</v>
      </c>
      <c r="M66">
        <f>_2026_04_17_16_25_21_23_high[[#This Row],[new_pfwd_filt]]/_2026_04_17_16_25_21_23_high[[#This Row],[new_p45_filt]]</f>
        <v>0.99236641221374045</v>
      </c>
    </row>
    <row r="67" spans="1:13" x14ac:dyDescent="0.3">
      <c r="A67">
        <v>65</v>
      </c>
      <c r="B67">
        <v>1038</v>
      </c>
      <c r="C67" t="b">
        <v>1</v>
      </c>
      <c r="D67">
        <v>8048</v>
      </c>
      <c r="E67">
        <v>8117</v>
      </c>
      <c r="F67">
        <v>8</v>
      </c>
      <c r="G67">
        <v>9.1999999999999993</v>
      </c>
      <c r="H67">
        <v>0.86956524999999996</v>
      </c>
      <c r="I67">
        <f xml:space="preserve"> -55.696 * _2026_04_17_16_25_21_23_high[[#This Row],[coeff]] + 79.57</f>
        <v>31.138693835999995</v>
      </c>
      <c r="J67">
        <v>0.53488369999999996</v>
      </c>
      <c r="K67">
        <f>_2026_04_17_16_25_21_23_high[[#This Row],[pfwd_filt]]+200</f>
        <v>208</v>
      </c>
      <c r="L67">
        <f>_2026_04_17_16_25_21_23_high[[#This Row],[p45_filt]]+200</f>
        <v>209.2</v>
      </c>
      <c r="M67">
        <f>_2026_04_17_16_25_21_23_high[[#This Row],[new_pfwd_filt]]/_2026_04_17_16_25_21_23_high[[#This Row],[new_p45_filt]]</f>
        <v>0.99426386233269604</v>
      </c>
    </row>
    <row r="68" spans="1:13" x14ac:dyDescent="0.3">
      <c r="A68">
        <v>66</v>
      </c>
      <c r="B68">
        <v>1054</v>
      </c>
      <c r="C68" t="b">
        <v>1</v>
      </c>
      <c r="D68">
        <v>8048</v>
      </c>
      <c r="E68">
        <v>8123</v>
      </c>
      <c r="F68">
        <v>8</v>
      </c>
      <c r="G68">
        <v>8.8000000000000007</v>
      </c>
      <c r="H68">
        <v>0.90909090000000004</v>
      </c>
      <c r="I68">
        <f xml:space="preserve"> -55.696 * _2026_04_17_16_25_21_23_high[[#This Row],[coeff]] + 79.57</f>
        <v>28.937273233599996</v>
      </c>
      <c r="J68">
        <v>0.52380954999999996</v>
      </c>
      <c r="K68">
        <f>_2026_04_17_16_25_21_23_high[[#This Row],[pfwd_filt]]+200</f>
        <v>208</v>
      </c>
      <c r="L68">
        <f>_2026_04_17_16_25_21_23_high[[#This Row],[p45_filt]]+200</f>
        <v>208.8</v>
      </c>
      <c r="M68">
        <f>_2026_04_17_16_25_21_23_high[[#This Row],[new_pfwd_filt]]/_2026_04_17_16_25_21_23_high[[#This Row],[new_p45_filt]]</f>
        <v>0.99616858237547889</v>
      </c>
    </row>
    <row r="69" spans="1:13" x14ac:dyDescent="0.3">
      <c r="A69">
        <v>67</v>
      </c>
      <c r="B69">
        <v>1070</v>
      </c>
      <c r="C69" t="b">
        <v>1</v>
      </c>
      <c r="D69">
        <v>8048</v>
      </c>
      <c r="E69">
        <v>8129</v>
      </c>
      <c r="F69">
        <v>8</v>
      </c>
      <c r="G69">
        <v>8.4</v>
      </c>
      <c r="H69">
        <v>0.95238100000000003</v>
      </c>
      <c r="I69">
        <f xml:space="preserve"> -55.696 * _2026_04_17_16_25_21_23_high[[#This Row],[coeff]] + 79.57</f>
        <v>26.52618782399999</v>
      </c>
      <c r="J69">
        <v>0.51219510000000001</v>
      </c>
      <c r="K69">
        <f>_2026_04_17_16_25_21_23_high[[#This Row],[pfwd_filt]]+200</f>
        <v>208</v>
      </c>
      <c r="L69">
        <f>_2026_04_17_16_25_21_23_high[[#This Row],[p45_filt]]+200</f>
        <v>208.4</v>
      </c>
      <c r="M69">
        <f>_2026_04_17_16_25_21_23_high[[#This Row],[new_pfwd_filt]]/_2026_04_17_16_25_21_23_high[[#This Row],[new_p45_filt]]</f>
        <v>0.99808061420345484</v>
      </c>
    </row>
    <row r="70" spans="1:13" x14ac:dyDescent="0.3">
      <c r="A70">
        <v>68</v>
      </c>
      <c r="B70">
        <v>1086</v>
      </c>
      <c r="C70" t="b">
        <v>1</v>
      </c>
      <c r="D70">
        <v>8042</v>
      </c>
      <c r="E70">
        <v>8123</v>
      </c>
      <c r="F70">
        <v>8</v>
      </c>
      <c r="G70">
        <v>8.4</v>
      </c>
      <c r="H70">
        <v>0.95238100000000003</v>
      </c>
      <c r="I70">
        <f xml:space="preserve"> -55.696 * _2026_04_17_16_25_21_23_high[[#This Row],[coeff]] + 79.57</f>
        <v>26.52618782399999</v>
      </c>
      <c r="J70">
        <v>0.51219510000000001</v>
      </c>
      <c r="K70">
        <f>_2026_04_17_16_25_21_23_high[[#This Row],[pfwd_filt]]+200</f>
        <v>208</v>
      </c>
      <c r="L70">
        <f>_2026_04_17_16_25_21_23_high[[#This Row],[p45_filt]]+200</f>
        <v>208.4</v>
      </c>
      <c r="M70">
        <f>_2026_04_17_16_25_21_23_high[[#This Row],[new_pfwd_filt]]/_2026_04_17_16_25_21_23_high[[#This Row],[new_p45_filt]]</f>
        <v>0.99808061420345484</v>
      </c>
    </row>
    <row r="71" spans="1:13" x14ac:dyDescent="0.3">
      <c r="A71">
        <v>69</v>
      </c>
      <c r="B71">
        <v>1102</v>
      </c>
      <c r="C71" t="b">
        <v>1</v>
      </c>
      <c r="D71">
        <v>8042</v>
      </c>
      <c r="E71">
        <v>8134</v>
      </c>
      <c r="F71">
        <v>8</v>
      </c>
      <c r="G71">
        <v>8.4</v>
      </c>
      <c r="H71">
        <v>0.95238100000000003</v>
      </c>
      <c r="I71">
        <f xml:space="preserve"> -55.696 * _2026_04_17_16_25_21_23_high[[#This Row],[coeff]] + 79.57</f>
        <v>26.52618782399999</v>
      </c>
      <c r="J71">
        <v>0.51219510000000001</v>
      </c>
      <c r="K71">
        <f>_2026_04_17_16_25_21_23_high[[#This Row],[pfwd_filt]]+200</f>
        <v>208</v>
      </c>
      <c r="L71">
        <f>_2026_04_17_16_25_21_23_high[[#This Row],[p45_filt]]+200</f>
        <v>208.4</v>
      </c>
      <c r="M71">
        <f>_2026_04_17_16_25_21_23_high[[#This Row],[new_pfwd_filt]]/_2026_04_17_16_25_21_23_high[[#This Row],[new_p45_filt]]</f>
        <v>0.99808061420345484</v>
      </c>
    </row>
    <row r="72" spans="1:13" x14ac:dyDescent="0.3">
      <c r="A72">
        <v>70</v>
      </c>
      <c r="B72">
        <v>1117</v>
      </c>
      <c r="C72" t="b">
        <v>1</v>
      </c>
      <c r="D72">
        <v>8048</v>
      </c>
      <c r="E72">
        <v>8123</v>
      </c>
      <c r="F72">
        <v>8</v>
      </c>
      <c r="G72">
        <v>8.4</v>
      </c>
      <c r="H72">
        <v>0.95238100000000003</v>
      </c>
      <c r="I72">
        <f xml:space="preserve"> -55.696 * _2026_04_17_16_25_21_23_high[[#This Row],[coeff]] + 79.57</f>
        <v>26.52618782399999</v>
      </c>
      <c r="J72">
        <v>0.51219510000000001</v>
      </c>
      <c r="K72">
        <f>_2026_04_17_16_25_21_23_high[[#This Row],[pfwd_filt]]+200</f>
        <v>208</v>
      </c>
      <c r="L72">
        <f>_2026_04_17_16_25_21_23_high[[#This Row],[p45_filt]]+200</f>
        <v>208.4</v>
      </c>
      <c r="M72">
        <f>_2026_04_17_16_25_21_23_high[[#This Row],[new_pfwd_filt]]/_2026_04_17_16_25_21_23_high[[#This Row],[new_p45_filt]]</f>
        <v>0.99808061420345484</v>
      </c>
    </row>
    <row r="73" spans="1:13" x14ac:dyDescent="0.3">
      <c r="A73">
        <v>71</v>
      </c>
      <c r="B73">
        <v>1133</v>
      </c>
      <c r="C73" t="b">
        <v>1</v>
      </c>
      <c r="D73">
        <v>8042</v>
      </c>
      <c r="E73">
        <v>8129</v>
      </c>
      <c r="F73">
        <v>7.6</v>
      </c>
      <c r="G73">
        <v>8.8000000000000007</v>
      </c>
      <c r="H73">
        <v>0.86363630000000002</v>
      </c>
      <c r="I73">
        <f xml:space="preserve"> -55.696 * _2026_04_17_16_25_21_23_high[[#This Row],[coeff]] + 79.57</f>
        <v>31.468912635199992</v>
      </c>
      <c r="J73">
        <v>0.53658539999999999</v>
      </c>
      <c r="K73">
        <f>_2026_04_17_16_25_21_23_high[[#This Row],[pfwd_filt]]+200</f>
        <v>207.6</v>
      </c>
      <c r="L73">
        <f>_2026_04_17_16_25_21_23_high[[#This Row],[p45_filt]]+200</f>
        <v>208.8</v>
      </c>
      <c r="M73">
        <f>_2026_04_17_16_25_21_23_high[[#This Row],[new_pfwd_filt]]/_2026_04_17_16_25_21_23_high[[#This Row],[new_p45_filt]]</f>
        <v>0.99425287356321834</v>
      </c>
    </row>
    <row r="74" spans="1:13" x14ac:dyDescent="0.3">
      <c r="A74">
        <v>72</v>
      </c>
      <c r="B74">
        <v>1149</v>
      </c>
      <c r="C74" t="b">
        <v>1</v>
      </c>
      <c r="D74">
        <v>8048</v>
      </c>
      <c r="E74">
        <v>8129</v>
      </c>
      <c r="F74">
        <v>7.2</v>
      </c>
      <c r="G74">
        <v>9.1999999999999993</v>
      </c>
      <c r="H74">
        <v>0.78260870000000005</v>
      </c>
      <c r="I74">
        <f xml:space="preserve"> -55.696 * _2026_04_17_16_25_21_23_high[[#This Row],[coeff]] + 79.57</f>
        <v>35.981825844799992</v>
      </c>
      <c r="J74">
        <v>0.56097560000000002</v>
      </c>
      <c r="K74">
        <f>_2026_04_17_16_25_21_23_high[[#This Row],[pfwd_filt]]+200</f>
        <v>207.2</v>
      </c>
      <c r="L74">
        <f>_2026_04_17_16_25_21_23_high[[#This Row],[p45_filt]]+200</f>
        <v>209.2</v>
      </c>
      <c r="M74">
        <f>_2026_04_17_16_25_21_23_high[[#This Row],[new_pfwd_filt]]/_2026_04_17_16_25_21_23_high[[#This Row],[new_p45_filt]]</f>
        <v>0.99043977055449328</v>
      </c>
    </row>
    <row r="75" spans="1:13" x14ac:dyDescent="0.3">
      <c r="A75">
        <v>73</v>
      </c>
      <c r="B75">
        <v>1164</v>
      </c>
      <c r="C75" t="b">
        <v>1</v>
      </c>
      <c r="D75">
        <v>8048</v>
      </c>
      <c r="E75">
        <v>8129</v>
      </c>
      <c r="F75">
        <v>7.2</v>
      </c>
      <c r="G75">
        <v>9.6</v>
      </c>
      <c r="H75">
        <v>0.74999994000000003</v>
      </c>
      <c r="I75">
        <f xml:space="preserve"> -55.696 * _2026_04_17_16_25_21_23_high[[#This Row],[coeff]] + 79.57</f>
        <v>37.798003341759994</v>
      </c>
      <c r="J75">
        <v>0.57142859999999995</v>
      </c>
      <c r="K75">
        <f>_2026_04_17_16_25_21_23_high[[#This Row],[pfwd_filt]]+200</f>
        <v>207.2</v>
      </c>
      <c r="L75">
        <f>_2026_04_17_16_25_21_23_high[[#This Row],[p45_filt]]+200</f>
        <v>209.6</v>
      </c>
      <c r="M75">
        <f>_2026_04_17_16_25_21_23_high[[#This Row],[new_pfwd_filt]]/_2026_04_17_16_25_21_23_high[[#This Row],[new_p45_filt]]</f>
        <v>0.98854961832061061</v>
      </c>
    </row>
    <row r="76" spans="1:13" x14ac:dyDescent="0.3">
      <c r="A76">
        <v>74</v>
      </c>
      <c r="B76">
        <v>1180</v>
      </c>
      <c r="C76" t="b">
        <v>1</v>
      </c>
      <c r="D76">
        <v>8048</v>
      </c>
      <c r="E76">
        <v>8129</v>
      </c>
      <c r="F76">
        <v>7.2</v>
      </c>
      <c r="G76">
        <v>9.6</v>
      </c>
      <c r="H76">
        <v>0.74999994000000003</v>
      </c>
      <c r="I76">
        <f xml:space="preserve"> -55.696 * _2026_04_17_16_25_21_23_high[[#This Row],[coeff]] + 79.57</f>
        <v>37.798003341759994</v>
      </c>
      <c r="J76">
        <v>0.57142859999999995</v>
      </c>
      <c r="K76">
        <f>_2026_04_17_16_25_21_23_high[[#This Row],[pfwd_filt]]+200</f>
        <v>207.2</v>
      </c>
      <c r="L76">
        <f>_2026_04_17_16_25_21_23_high[[#This Row],[p45_filt]]+200</f>
        <v>209.6</v>
      </c>
      <c r="M76">
        <f>_2026_04_17_16_25_21_23_high[[#This Row],[new_pfwd_filt]]/_2026_04_17_16_25_21_23_high[[#This Row],[new_p45_filt]]</f>
        <v>0.98854961832061061</v>
      </c>
    </row>
    <row r="77" spans="1:13" x14ac:dyDescent="0.3">
      <c r="A77">
        <v>75</v>
      </c>
      <c r="B77">
        <v>1196</v>
      </c>
      <c r="C77" t="b">
        <v>1</v>
      </c>
      <c r="D77">
        <v>8048</v>
      </c>
      <c r="E77">
        <v>8123</v>
      </c>
      <c r="F77">
        <v>7.2</v>
      </c>
      <c r="G77">
        <v>10</v>
      </c>
      <c r="H77">
        <v>0.71999997000000004</v>
      </c>
      <c r="I77">
        <f xml:space="preserve"> -55.696 * _2026_04_17_16_25_21_23_high[[#This Row],[coeff]] + 79.57</f>
        <v>39.468881670879995</v>
      </c>
      <c r="J77">
        <v>0.58139529999999995</v>
      </c>
      <c r="K77">
        <f>_2026_04_17_16_25_21_23_high[[#This Row],[pfwd_filt]]+200</f>
        <v>207.2</v>
      </c>
      <c r="L77">
        <f>_2026_04_17_16_25_21_23_high[[#This Row],[p45_filt]]+200</f>
        <v>210</v>
      </c>
      <c r="M77">
        <f>_2026_04_17_16_25_21_23_high[[#This Row],[new_pfwd_filt]]/_2026_04_17_16_25_21_23_high[[#This Row],[new_p45_filt]]</f>
        <v>0.98666666666666658</v>
      </c>
    </row>
    <row r="78" spans="1:13" x14ac:dyDescent="0.3">
      <c r="A78">
        <v>76</v>
      </c>
      <c r="B78">
        <v>1212</v>
      </c>
      <c r="C78" t="b">
        <v>1</v>
      </c>
      <c r="D78">
        <v>8048</v>
      </c>
      <c r="E78">
        <v>8129</v>
      </c>
      <c r="F78">
        <v>7.2</v>
      </c>
      <c r="G78">
        <v>10</v>
      </c>
      <c r="H78">
        <v>0.71999997000000004</v>
      </c>
      <c r="I78">
        <f xml:space="preserve"> -55.696 * _2026_04_17_16_25_21_23_high[[#This Row],[coeff]] + 79.57</f>
        <v>39.468881670879995</v>
      </c>
      <c r="J78">
        <v>0.58139529999999995</v>
      </c>
      <c r="K78">
        <f>_2026_04_17_16_25_21_23_high[[#This Row],[pfwd_filt]]+200</f>
        <v>207.2</v>
      </c>
      <c r="L78">
        <f>_2026_04_17_16_25_21_23_high[[#This Row],[p45_filt]]+200</f>
        <v>210</v>
      </c>
      <c r="M78">
        <f>_2026_04_17_16_25_21_23_high[[#This Row],[new_pfwd_filt]]/_2026_04_17_16_25_21_23_high[[#This Row],[new_p45_filt]]</f>
        <v>0.98666666666666658</v>
      </c>
    </row>
    <row r="79" spans="1:13" x14ac:dyDescent="0.3">
      <c r="A79">
        <v>77</v>
      </c>
      <c r="B79">
        <v>1228</v>
      </c>
      <c r="C79" t="b">
        <v>1</v>
      </c>
      <c r="D79">
        <v>8048</v>
      </c>
      <c r="E79">
        <v>8129</v>
      </c>
      <c r="F79">
        <v>7.2</v>
      </c>
      <c r="G79">
        <v>10</v>
      </c>
      <c r="H79">
        <v>0.71999997000000004</v>
      </c>
      <c r="I79">
        <f xml:space="preserve"> -55.696 * _2026_04_17_16_25_21_23_high[[#This Row],[coeff]] + 79.57</f>
        <v>39.468881670879995</v>
      </c>
      <c r="J79">
        <v>0.58139529999999995</v>
      </c>
      <c r="K79">
        <f>_2026_04_17_16_25_21_23_high[[#This Row],[pfwd_filt]]+200</f>
        <v>207.2</v>
      </c>
      <c r="L79">
        <f>_2026_04_17_16_25_21_23_high[[#This Row],[p45_filt]]+200</f>
        <v>210</v>
      </c>
      <c r="M79">
        <f>_2026_04_17_16_25_21_23_high[[#This Row],[new_pfwd_filt]]/_2026_04_17_16_25_21_23_high[[#This Row],[new_p45_filt]]</f>
        <v>0.98666666666666658</v>
      </c>
    </row>
    <row r="80" spans="1:13" x14ac:dyDescent="0.3">
      <c r="A80">
        <v>78</v>
      </c>
      <c r="B80">
        <v>1244</v>
      </c>
      <c r="C80" t="b">
        <v>1</v>
      </c>
      <c r="D80">
        <v>8048</v>
      </c>
      <c r="E80">
        <v>8129</v>
      </c>
      <c r="F80">
        <v>7.2</v>
      </c>
      <c r="G80">
        <v>10</v>
      </c>
      <c r="H80">
        <v>0.71999997000000004</v>
      </c>
      <c r="I80">
        <f xml:space="preserve"> -55.696 * _2026_04_17_16_25_21_23_high[[#This Row],[coeff]] + 79.57</f>
        <v>39.468881670879995</v>
      </c>
      <c r="J80">
        <v>0.58139529999999995</v>
      </c>
      <c r="K80">
        <f>_2026_04_17_16_25_21_23_high[[#This Row],[pfwd_filt]]+200</f>
        <v>207.2</v>
      </c>
      <c r="L80">
        <f>_2026_04_17_16_25_21_23_high[[#This Row],[p45_filt]]+200</f>
        <v>210</v>
      </c>
      <c r="M80">
        <f>_2026_04_17_16_25_21_23_high[[#This Row],[new_pfwd_filt]]/_2026_04_17_16_25_21_23_high[[#This Row],[new_p45_filt]]</f>
        <v>0.98666666666666658</v>
      </c>
    </row>
    <row r="81" spans="1:13" x14ac:dyDescent="0.3">
      <c r="A81">
        <v>79</v>
      </c>
      <c r="B81">
        <v>1260</v>
      </c>
      <c r="C81" t="b">
        <v>1</v>
      </c>
      <c r="D81">
        <v>8048</v>
      </c>
      <c r="E81">
        <v>8134</v>
      </c>
      <c r="F81">
        <v>7.2</v>
      </c>
      <c r="G81">
        <v>10.4</v>
      </c>
      <c r="H81">
        <v>0.69230769999999997</v>
      </c>
      <c r="I81">
        <f xml:space="preserve"> -55.696 * _2026_04_17_16_25_21_23_high[[#This Row],[coeff]] + 79.57</f>
        <v>41.011230340799997</v>
      </c>
      <c r="J81">
        <v>0.59090909999999996</v>
      </c>
      <c r="K81">
        <f>_2026_04_17_16_25_21_23_high[[#This Row],[pfwd_filt]]+200</f>
        <v>207.2</v>
      </c>
      <c r="L81">
        <f>_2026_04_17_16_25_21_23_high[[#This Row],[p45_filt]]+200</f>
        <v>210.4</v>
      </c>
      <c r="M81">
        <f>_2026_04_17_16_25_21_23_high[[#This Row],[new_pfwd_filt]]/_2026_04_17_16_25_21_23_high[[#This Row],[new_p45_filt]]</f>
        <v>0.9847908745247147</v>
      </c>
    </row>
    <row r="82" spans="1:13" x14ac:dyDescent="0.3">
      <c r="A82">
        <v>80</v>
      </c>
      <c r="B82">
        <v>1276</v>
      </c>
      <c r="C82" t="b">
        <v>1</v>
      </c>
      <c r="D82">
        <v>8048</v>
      </c>
      <c r="E82">
        <v>8123</v>
      </c>
      <c r="F82">
        <v>7.2</v>
      </c>
      <c r="G82">
        <v>11.2</v>
      </c>
      <c r="H82">
        <v>0.64285713</v>
      </c>
      <c r="I82">
        <f xml:space="preserve"> -55.696 * _2026_04_17_16_25_21_23_high[[#This Row],[coeff]] + 79.57</f>
        <v>43.765429287519993</v>
      </c>
      <c r="J82">
        <v>0.6086956</v>
      </c>
      <c r="K82">
        <f>_2026_04_17_16_25_21_23_high[[#This Row],[pfwd_filt]]+200</f>
        <v>207.2</v>
      </c>
      <c r="L82">
        <f>_2026_04_17_16_25_21_23_high[[#This Row],[p45_filt]]+200</f>
        <v>211.2</v>
      </c>
      <c r="M82">
        <f>_2026_04_17_16_25_21_23_high[[#This Row],[new_pfwd_filt]]/_2026_04_17_16_25_21_23_high[[#This Row],[new_p45_filt]]</f>
        <v>0.98106060606060608</v>
      </c>
    </row>
    <row r="83" spans="1:13" x14ac:dyDescent="0.3">
      <c r="A83">
        <v>81</v>
      </c>
      <c r="B83">
        <v>1292</v>
      </c>
      <c r="C83" t="b">
        <v>1</v>
      </c>
      <c r="D83">
        <v>8042</v>
      </c>
      <c r="E83">
        <v>8134</v>
      </c>
      <c r="F83">
        <v>7.2</v>
      </c>
      <c r="G83">
        <v>12</v>
      </c>
      <c r="H83">
        <v>0.59999996</v>
      </c>
      <c r="I83">
        <f xml:space="preserve"> -55.696 * _2026_04_17_16_25_21_23_high[[#This Row],[coeff]] + 79.57</f>
        <v>46.152402227839993</v>
      </c>
      <c r="J83">
        <v>0.625</v>
      </c>
      <c r="K83">
        <f>_2026_04_17_16_25_21_23_high[[#This Row],[pfwd_filt]]+200</f>
        <v>207.2</v>
      </c>
      <c r="L83">
        <f>_2026_04_17_16_25_21_23_high[[#This Row],[p45_filt]]+200</f>
        <v>212</v>
      </c>
      <c r="M83">
        <f>_2026_04_17_16_25_21_23_high[[#This Row],[new_pfwd_filt]]/_2026_04_17_16_25_21_23_high[[#This Row],[new_p45_filt]]</f>
        <v>0.97735849056603763</v>
      </c>
    </row>
    <row r="84" spans="1:13" x14ac:dyDescent="0.3">
      <c r="A84">
        <v>82</v>
      </c>
      <c r="B84">
        <v>1308</v>
      </c>
      <c r="C84" t="b">
        <v>1</v>
      </c>
      <c r="D84">
        <v>8042</v>
      </c>
      <c r="E84">
        <v>8123</v>
      </c>
      <c r="F84">
        <v>7.2</v>
      </c>
      <c r="G84">
        <v>12.8</v>
      </c>
      <c r="H84">
        <v>0.5625</v>
      </c>
      <c r="I84">
        <f xml:space="preserve"> -55.696 * _2026_04_17_16_25_21_23_high[[#This Row],[coeff]] + 79.57</f>
        <v>48.240999999999993</v>
      </c>
      <c r="J84">
        <v>0.64</v>
      </c>
      <c r="K84">
        <f>_2026_04_17_16_25_21_23_high[[#This Row],[pfwd_filt]]+200</f>
        <v>207.2</v>
      </c>
      <c r="L84">
        <f>_2026_04_17_16_25_21_23_high[[#This Row],[p45_filt]]+200</f>
        <v>212.8</v>
      </c>
      <c r="M84">
        <f>_2026_04_17_16_25_21_23_high[[#This Row],[new_pfwd_filt]]/_2026_04_17_16_25_21_23_high[[#This Row],[new_p45_filt]]</f>
        <v>0.97368421052631571</v>
      </c>
    </row>
    <row r="85" spans="1:13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7.2</v>
      </c>
      <c r="G85">
        <v>12.8</v>
      </c>
      <c r="H85">
        <v>0.5625</v>
      </c>
      <c r="I85">
        <f xml:space="preserve"> -55.696 * _2026_04_17_16_25_21_23_high[[#This Row],[coeff]] + 79.57</f>
        <v>48.240999999999993</v>
      </c>
      <c r="J85">
        <v>0.64</v>
      </c>
      <c r="K85">
        <f>_2026_04_17_16_25_21_23_high[[#This Row],[pfwd_filt]]+200</f>
        <v>207.2</v>
      </c>
      <c r="L85">
        <f>_2026_04_17_16_25_21_23_high[[#This Row],[p45_filt]]+200</f>
        <v>212.8</v>
      </c>
      <c r="M85">
        <f>_2026_04_17_16_25_21_23_high[[#This Row],[new_pfwd_filt]]/_2026_04_17_16_25_21_23_high[[#This Row],[new_p45_filt]]</f>
        <v>0.97368421052631571</v>
      </c>
    </row>
    <row r="86" spans="1:13" x14ac:dyDescent="0.3">
      <c r="A86">
        <v>84</v>
      </c>
      <c r="B86">
        <v>1340</v>
      </c>
      <c r="C86" t="b">
        <v>1</v>
      </c>
      <c r="D86">
        <v>8048</v>
      </c>
      <c r="E86">
        <v>8129</v>
      </c>
      <c r="F86">
        <v>7.2</v>
      </c>
      <c r="G86">
        <v>12.8</v>
      </c>
      <c r="H86">
        <v>0.5625</v>
      </c>
      <c r="I86">
        <f xml:space="preserve"> -55.696 * _2026_04_17_16_25_21_23_high[[#This Row],[coeff]] + 79.57</f>
        <v>48.240999999999993</v>
      </c>
      <c r="J86">
        <v>0.64</v>
      </c>
      <c r="K86">
        <f>_2026_04_17_16_25_21_23_high[[#This Row],[pfwd_filt]]+200</f>
        <v>207.2</v>
      </c>
      <c r="L86">
        <f>_2026_04_17_16_25_21_23_high[[#This Row],[p45_filt]]+200</f>
        <v>212.8</v>
      </c>
      <c r="M86">
        <f>_2026_04_17_16_25_21_23_high[[#This Row],[new_pfwd_filt]]/_2026_04_17_16_25_21_23_high[[#This Row],[new_p45_filt]]</f>
        <v>0.97368421052631571</v>
      </c>
    </row>
    <row r="87" spans="1:13" x14ac:dyDescent="0.3">
      <c r="A87">
        <v>85</v>
      </c>
      <c r="B87">
        <v>1356</v>
      </c>
      <c r="C87" t="b">
        <v>1</v>
      </c>
      <c r="D87">
        <v>8048</v>
      </c>
      <c r="E87">
        <v>8123</v>
      </c>
      <c r="F87">
        <v>7.2</v>
      </c>
      <c r="G87">
        <v>12.8</v>
      </c>
      <c r="H87">
        <v>0.5625</v>
      </c>
      <c r="I87">
        <f xml:space="preserve"> -55.696 * _2026_04_17_16_25_21_23_high[[#This Row],[coeff]] + 79.57</f>
        <v>48.240999999999993</v>
      </c>
      <c r="J87">
        <v>0.64</v>
      </c>
      <c r="K87">
        <f>_2026_04_17_16_25_21_23_high[[#This Row],[pfwd_filt]]+200</f>
        <v>207.2</v>
      </c>
      <c r="L87">
        <f>_2026_04_17_16_25_21_23_high[[#This Row],[p45_filt]]+200</f>
        <v>212.8</v>
      </c>
      <c r="M87">
        <f>_2026_04_17_16_25_21_23_high[[#This Row],[new_pfwd_filt]]/_2026_04_17_16_25_21_23_high[[#This Row],[new_p45_filt]]</f>
        <v>0.97368421052631571</v>
      </c>
    </row>
    <row r="88" spans="1:13" x14ac:dyDescent="0.3">
      <c r="A88">
        <v>86</v>
      </c>
      <c r="B88">
        <v>1371</v>
      </c>
      <c r="C88" t="b">
        <v>1</v>
      </c>
      <c r="D88">
        <v>8048</v>
      </c>
      <c r="E88">
        <v>8123</v>
      </c>
      <c r="F88">
        <v>7.6</v>
      </c>
      <c r="G88">
        <v>12.4</v>
      </c>
      <c r="H88">
        <v>0.61290323999999996</v>
      </c>
      <c r="I88">
        <f xml:space="preserve"> -55.696 * _2026_04_17_16_25_21_23_high[[#This Row],[coeff]] + 79.57</f>
        <v>45.433741144959995</v>
      </c>
      <c r="J88">
        <v>0.62</v>
      </c>
      <c r="K88">
        <f>_2026_04_17_16_25_21_23_high[[#This Row],[pfwd_filt]]+200</f>
        <v>207.6</v>
      </c>
      <c r="L88">
        <f>_2026_04_17_16_25_21_23_high[[#This Row],[p45_filt]]+200</f>
        <v>212.4</v>
      </c>
      <c r="M88">
        <f>_2026_04_17_16_25_21_23_high[[#This Row],[new_pfwd_filt]]/_2026_04_17_16_25_21_23_high[[#This Row],[new_p45_filt]]</f>
        <v>0.97740112994350281</v>
      </c>
    </row>
    <row r="89" spans="1:13" x14ac:dyDescent="0.3">
      <c r="A89">
        <v>87</v>
      </c>
      <c r="B89">
        <v>1387</v>
      </c>
      <c r="C89" t="b">
        <v>1</v>
      </c>
      <c r="D89">
        <v>8042</v>
      </c>
      <c r="E89">
        <v>8134</v>
      </c>
      <c r="F89">
        <v>8</v>
      </c>
      <c r="G89">
        <v>12</v>
      </c>
      <c r="H89">
        <v>0.66666669999999995</v>
      </c>
      <c r="I89">
        <f xml:space="preserve"> -55.696 * _2026_04_17_16_25_21_23_high[[#This Row],[coeff]] + 79.57</f>
        <v>42.4393314768</v>
      </c>
      <c r="J89">
        <v>0.6</v>
      </c>
      <c r="K89">
        <f>_2026_04_17_16_25_21_23_high[[#This Row],[pfwd_filt]]+200</f>
        <v>208</v>
      </c>
      <c r="L89">
        <f>_2026_04_17_16_25_21_23_high[[#This Row],[p45_filt]]+200</f>
        <v>212</v>
      </c>
      <c r="M89">
        <f>_2026_04_17_16_25_21_23_high[[#This Row],[new_pfwd_filt]]/_2026_04_17_16_25_21_23_high[[#This Row],[new_p45_filt]]</f>
        <v>0.98113207547169812</v>
      </c>
    </row>
    <row r="90" spans="1:13" x14ac:dyDescent="0.3">
      <c r="A90">
        <v>88</v>
      </c>
      <c r="B90">
        <v>1403</v>
      </c>
      <c r="C90" t="b">
        <v>1</v>
      </c>
      <c r="D90">
        <v>8042</v>
      </c>
      <c r="E90">
        <v>8129</v>
      </c>
      <c r="F90">
        <v>8</v>
      </c>
      <c r="G90">
        <v>12</v>
      </c>
      <c r="H90">
        <v>0.66666669999999995</v>
      </c>
      <c r="I90">
        <f xml:space="preserve"> -55.696 * _2026_04_17_16_25_21_23_high[[#This Row],[coeff]] + 79.57</f>
        <v>42.4393314768</v>
      </c>
      <c r="J90">
        <v>0.6</v>
      </c>
      <c r="K90">
        <f>_2026_04_17_16_25_21_23_high[[#This Row],[pfwd_filt]]+200</f>
        <v>208</v>
      </c>
      <c r="L90">
        <f>_2026_04_17_16_25_21_23_high[[#This Row],[p45_filt]]+200</f>
        <v>212</v>
      </c>
      <c r="M90">
        <f>_2026_04_17_16_25_21_23_high[[#This Row],[new_pfwd_filt]]/_2026_04_17_16_25_21_23_high[[#This Row],[new_p45_filt]]</f>
        <v>0.98113207547169812</v>
      </c>
    </row>
    <row r="91" spans="1:13" x14ac:dyDescent="0.3">
      <c r="A91">
        <v>89</v>
      </c>
      <c r="B91">
        <v>1419</v>
      </c>
      <c r="C91" t="b">
        <v>1</v>
      </c>
      <c r="D91">
        <v>8048</v>
      </c>
      <c r="E91">
        <v>8123</v>
      </c>
      <c r="F91">
        <v>8</v>
      </c>
      <c r="G91">
        <v>11.6</v>
      </c>
      <c r="H91">
        <v>0.68965509999999997</v>
      </c>
      <c r="I91">
        <f xml:space="preserve"> -55.696 * _2026_04_17_16_25_21_23_high[[#This Row],[coeff]] + 79.57</f>
        <v>41.158969550399995</v>
      </c>
      <c r="J91">
        <v>0.59183675000000002</v>
      </c>
      <c r="K91">
        <f>_2026_04_17_16_25_21_23_high[[#This Row],[pfwd_filt]]+200</f>
        <v>208</v>
      </c>
      <c r="L91">
        <f>_2026_04_17_16_25_21_23_high[[#This Row],[p45_filt]]+200</f>
        <v>211.6</v>
      </c>
      <c r="M91">
        <f>_2026_04_17_16_25_21_23_high[[#This Row],[new_pfwd_filt]]/_2026_04_17_16_25_21_23_high[[#This Row],[new_p45_filt]]</f>
        <v>0.98298676748582237</v>
      </c>
    </row>
    <row r="92" spans="1:13" x14ac:dyDescent="0.3">
      <c r="A92">
        <v>90</v>
      </c>
      <c r="B92">
        <v>1435</v>
      </c>
      <c r="C92" t="b">
        <v>1</v>
      </c>
      <c r="D92">
        <v>8042</v>
      </c>
      <c r="E92">
        <v>8123</v>
      </c>
      <c r="F92">
        <v>7.6</v>
      </c>
      <c r="G92">
        <v>11.2</v>
      </c>
      <c r="H92">
        <v>0.67857140000000005</v>
      </c>
      <c r="I92">
        <f xml:space="preserve"> -55.696 * _2026_04_17_16_25_21_23_high[[#This Row],[coeff]] + 79.57</f>
        <v>41.776287305599993</v>
      </c>
      <c r="J92">
        <v>0.59574466999999998</v>
      </c>
      <c r="K92">
        <f>_2026_04_17_16_25_21_23_high[[#This Row],[pfwd_filt]]+200</f>
        <v>207.6</v>
      </c>
      <c r="L92">
        <f>_2026_04_17_16_25_21_23_high[[#This Row],[p45_filt]]+200</f>
        <v>211.2</v>
      </c>
      <c r="M92">
        <f>_2026_04_17_16_25_21_23_high[[#This Row],[new_pfwd_filt]]/_2026_04_17_16_25_21_23_high[[#This Row],[new_p45_filt]]</f>
        <v>0.98295454545454553</v>
      </c>
    </row>
    <row r="93" spans="1:13" x14ac:dyDescent="0.3">
      <c r="A93">
        <v>91</v>
      </c>
      <c r="B93">
        <v>1451</v>
      </c>
      <c r="C93" t="b">
        <v>1</v>
      </c>
      <c r="D93">
        <v>8048</v>
      </c>
      <c r="E93">
        <v>8123</v>
      </c>
      <c r="F93">
        <v>7.2</v>
      </c>
      <c r="G93">
        <v>10.8</v>
      </c>
      <c r="H93">
        <v>0.6666666</v>
      </c>
      <c r="I93">
        <f xml:space="preserve"> -55.696 * _2026_04_17_16_25_21_23_high[[#This Row],[coeff]] + 79.57</f>
        <v>42.439337046399991</v>
      </c>
      <c r="J93">
        <v>0.6</v>
      </c>
      <c r="K93">
        <f>_2026_04_17_16_25_21_23_high[[#This Row],[pfwd_filt]]+200</f>
        <v>207.2</v>
      </c>
      <c r="L93">
        <f>_2026_04_17_16_25_21_23_high[[#This Row],[p45_filt]]+200</f>
        <v>210.8</v>
      </c>
      <c r="M93">
        <f>_2026_04_17_16_25_21_23_high[[#This Row],[new_pfwd_filt]]/_2026_04_17_16_25_21_23_high[[#This Row],[new_p45_filt]]</f>
        <v>0.9829222011385198</v>
      </c>
    </row>
    <row r="94" spans="1:13" x14ac:dyDescent="0.3">
      <c r="A94">
        <v>92</v>
      </c>
      <c r="B94">
        <v>1466</v>
      </c>
      <c r="C94" t="b">
        <v>1</v>
      </c>
      <c r="D94">
        <v>8042</v>
      </c>
      <c r="E94">
        <v>8123</v>
      </c>
      <c r="F94">
        <v>6.8</v>
      </c>
      <c r="G94">
        <v>10.4</v>
      </c>
      <c r="H94">
        <v>0.65384620000000004</v>
      </c>
      <c r="I94">
        <f xml:space="preserve"> -55.696 * _2026_04_17_16_25_21_23_high[[#This Row],[coeff]] + 79.57</f>
        <v>43.15338204479999</v>
      </c>
      <c r="J94">
        <v>0.6046511</v>
      </c>
      <c r="K94">
        <f>_2026_04_17_16_25_21_23_high[[#This Row],[pfwd_filt]]+200</f>
        <v>206.8</v>
      </c>
      <c r="L94">
        <f>_2026_04_17_16_25_21_23_high[[#This Row],[p45_filt]]+200</f>
        <v>210.4</v>
      </c>
      <c r="M94">
        <f>_2026_04_17_16_25_21_23_high[[#This Row],[new_pfwd_filt]]/_2026_04_17_16_25_21_23_high[[#This Row],[new_p45_filt]]</f>
        <v>0.9828897338403042</v>
      </c>
    </row>
    <row r="95" spans="1:13" x14ac:dyDescent="0.3">
      <c r="A95">
        <v>93</v>
      </c>
      <c r="B95">
        <v>1482</v>
      </c>
      <c r="C95" t="b">
        <v>1</v>
      </c>
      <c r="D95">
        <v>8042</v>
      </c>
      <c r="E95">
        <v>8123</v>
      </c>
      <c r="F95">
        <v>6.4</v>
      </c>
      <c r="G95">
        <v>10</v>
      </c>
      <c r="H95">
        <v>0.64</v>
      </c>
      <c r="I95">
        <f xml:space="preserve"> -55.696 * _2026_04_17_16_25_21_23_high[[#This Row],[coeff]] + 79.57</f>
        <v>43.924559999999992</v>
      </c>
      <c r="J95">
        <v>0.60975610000000002</v>
      </c>
      <c r="K95">
        <f>_2026_04_17_16_25_21_23_high[[#This Row],[pfwd_filt]]+200</f>
        <v>206.4</v>
      </c>
      <c r="L95">
        <f>_2026_04_17_16_25_21_23_high[[#This Row],[p45_filt]]+200</f>
        <v>210</v>
      </c>
      <c r="M95">
        <f>_2026_04_17_16_25_21_23_high[[#This Row],[new_pfwd_filt]]/_2026_04_17_16_25_21_23_high[[#This Row],[new_p45_filt]]</f>
        <v>0.98285714285714287</v>
      </c>
    </row>
    <row r="96" spans="1:13" x14ac:dyDescent="0.3">
      <c r="A96">
        <v>94</v>
      </c>
      <c r="B96">
        <v>1498</v>
      </c>
      <c r="C96" t="b">
        <v>1</v>
      </c>
      <c r="D96">
        <v>8048</v>
      </c>
      <c r="E96">
        <v>8123</v>
      </c>
      <c r="F96">
        <v>6</v>
      </c>
      <c r="G96">
        <v>9.6</v>
      </c>
      <c r="H96">
        <v>0.625</v>
      </c>
      <c r="I96">
        <f xml:space="preserve"> -55.696 * _2026_04_17_16_25_21_23_high[[#This Row],[coeff]] + 79.57</f>
        <v>44.759999999999991</v>
      </c>
      <c r="J96">
        <v>0.61538464000000004</v>
      </c>
      <c r="K96">
        <f>_2026_04_17_16_25_21_23_high[[#This Row],[pfwd_filt]]+200</f>
        <v>206</v>
      </c>
      <c r="L96">
        <f>_2026_04_17_16_25_21_23_high[[#This Row],[p45_filt]]+200</f>
        <v>209.6</v>
      </c>
      <c r="M96">
        <f>_2026_04_17_16_25_21_23_high[[#This Row],[new_pfwd_filt]]/_2026_04_17_16_25_21_23_high[[#This Row],[new_p45_filt]]</f>
        <v>0.98282442748091603</v>
      </c>
    </row>
    <row r="97" spans="1:13" x14ac:dyDescent="0.3">
      <c r="A97">
        <v>95</v>
      </c>
      <c r="B97">
        <v>1514</v>
      </c>
      <c r="C97" t="b">
        <v>1</v>
      </c>
      <c r="D97">
        <v>8048</v>
      </c>
      <c r="E97">
        <v>8129</v>
      </c>
      <c r="F97">
        <v>6</v>
      </c>
      <c r="G97">
        <v>9.1999999999999993</v>
      </c>
      <c r="H97">
        <v>0.65217393999999995</v>
      </c>
      <c r="I97">
        <f xml:space="preserve"> -55.696 * _2026_04_17_16_25_21_23_high[[#This Row],[coeff]] + 79.57</f>
        <v>43.246520237759995</v>
      </c>
      <c r="J97">
        <v>0.6052632</v>
      </c>
      <c r="K97">
        <f>_2026_04_17_16_25_21_23_high[[#This Row],[pfwd_filt]]+200</f>
        <v>206</v>
      </c>
      <c r="L97">
        <f>_2026_04_17_16_25_21_23_high[[#This Row],[p45_filt]]+200</f>
        <v>209.2</v>
      </c>
      <c r="M97">
        <f>_2026_04_17_16_25_21_23_high[[#This Row],[new_pfwd_filt]]/_2026_04_17_16_25_21_23_high[[#This Row],[new_p45_filt]]</f>
        <v>0.98470363288718932</v>
      </c>
    </row>
    <row r="98" spans="1:13" x14ac:dyDescent="0.3">
      <c r="A98">
        <v>96</v>
      </c>
      <c r="B98">
        <v>1530</v>
      </c>
      <c r="C98" t="b">
        <v>1</v>
      </c>
      <c r="D98">
        <v>8048</v>
      </c>
      <c r="E98">
        <v>8123</v>
      </c>
      <c r="F98">
        <v>6</v>
      </c>
      <c r="G98">
        <v>8.8000000000000007</v>
      </c>
      <c r="H98">
        <v>0.68181820000000004</v>
      </c>
      <c r="I98">
        <f xml:space="preserve"> -55.696 * _2026_04_17_16_25_21_23_high[[#This Row],[coeff]] + 79.57</f>
        <v>41.595453532799993</v>
      </c>
      <c r="J98">
        <v>0.59459459999999997</v>
      </c>
      <c r="K98">
        <f>_2026_04_17_16_25_21_23_high[[#This Row],[pfwd_filt]]+200</f>
        <v>206</v>
      </c>
      <c r="L98">
        <f>_2026_04_17_16_25_21_23_high[[#This Row],[p45_filt]]+200</f>
        <v>208.8</v>
      </c>
      <c r="M98">
        <f>_2026_04_17_16_25_21_23_high[[#This Row],[new_pfwd_filt]]/_2026_04_17_16_25_21_23_high[[#This Row],[new_p45_filt]]</f>
        <v>0.98659003831417624</v>
      </c>
    </row>
    <row r="99" spans="1:13" x14ac:dyDescent="0.3">
      <c r="A99">
        <v>97</v>
      </c>
      <c r="B99">
        <v>1546</v>
      </c>
      <c r="C99" t="b">
        <v>1</v>
      </c>
      <c r="D99">
        <v>8042</v>
      </c>
      <c r="E99">
        <v>8123</v>
      </c>
      <c r="F99">
        <v>6</v>
      </c>
      <c r="G99">
        <v>8.4</v>
      </c>
      <c r="H99">
        <v>0.71428572999999995</v>
      </c>
      <c r="I99">
        <f xml:space="preserve"> -55.696 * _2026_04_17_16_25_21_23_high[[#This Row],[coeff]] + 79.57</f>
        <v>39.787141981919994</v>
      </c>
      <c r="J99">
        <v>0.58333330000000005</v>
      </c>
      <c r="K99">
        <f>_2026_04_17_16_25_21_23_high[[#This Row],[pfwd_filt]]+200</f>
        <v>206</v>
      </c>
      <c r="L99">
        <f>_2026_04_17_16_25_21_23_high[[#This Row],[p45_filt]]+200</f>
        <v>208.4</v>
      </c>
      <c r="M99">
        <f>_2026_04_17_16_25_21_23_high[[#This Row],[new_pfwd_filt]]/_2026_04_17_16_25_21_23_high[[#This Row],[new_p45_filt]]</f>
        <v>0.98848368522072938</v>
      </c>
    </row>
    <row r="100" spans="1:13" x14ac:dyDescent="0.3">
      <c r="A100">
        <v>98</v>
      </c>
      <c r="B100">
        <v>1562</v>
      </c>
      <c r="C100" t="b">
        <v>1</v>
      </c>
      <c r="D100">
        <v>8048</v>
      </c>
      <c r="E100">
        <v>8123</v>
      </c>
      <c r="F100">
        <v>6</v>
      </c>
      <c r="G100">
        <v>8.4</v>
      </c>
      <c r="H100">
        <v>0.71428572999999995</v>
      </c>
      <c r="I100">
        <f xml:space="preserve"> -55.696 * _2026_04_17_16_25_21_23_high[[#This Row],[coeff]] + 79.57</f>
        <v>39.787141981919994</v>
      </c>
      <c r="J100">
        <v>0.58333330000000005</v>
      </c>
      <c r="K100">
        <f>_2026_04_17_16_25_21_23_high[[#This Row],[pfwd_filt]]+200</f>
        <v>206</v>
      </c>
      <c r="L100">
        <f>_2026_04_17_16_25_21_23_high[[#This Row],[p45_filt]]+200</f>
        <v>208.4</v>
      </c>
      <c r="M100">
        <f>_2026_04_17_16_25_21_23_high[[#This Row],[new_pfwd_filt]]/_2026_04_17_16_25_21_23_high[[#This Row],[new_p45_filt]]</f>
        <v>0.98848368522072938</v>
      </c>
    </row>
    <row r="101" spans="1:13" x14ac:dyDescent="0.3">
      <c r="A101">
        <v>99</v>
      </c>
      <c r="B101">
        <v>1578</v>
      </c>
      <c r="C101" t="b">
        <v>1</v>
      </c>
      <c r="D101">
        <v>8048</v>
      </c>
      <c r="E101">
        <v>8123</v>
      </c>
      <c r="F101">
        <v>6</v>
      </c>
      <c r="G101">
        <v>8.4</v>
      </c>
      <c r="H101">
        <v>0.71428572999999995</v>
      </c>
      <c r="I101">
        <f xml:space="preserve"> -55.696 * _2026_04_17_16_25_21_23_high[[#This Row],[coeff]] + 79.57</f>
        <v>39.787141981919994</v>
      </c>
      <c r="J101">
        <v>0.58333330000000005</v>
      </c>
      <c r="K101">
        <f>_2026_04_17_16_25_21_23_high[[#This Row],[pfwd_filt]]+200</f>
        <v>206</v>
      </c>
      <c r="L101">
        <f>_2026_04_17_16_25_21_23_high[[#This Row],[p45_filt]]+200</f>
        <v>208.4</v>
      </c>
      <c r="M101">
        <f>_2026_04_17_16_25_21_23_high[[#This Row],[new_pfwd_filt]]/_2026_04_17_16_25_21_23_high[[#This Row],[new_p45_filt]]</f>
        <v>0.98848368522072938</v>
      </c>
    </row>
    <row r="102" spans="1:13" x14ac:dyDescent="0.3">
      <c r="A102">
        <v>100</v>
      </c>
      <c r="B102">
        <v>1594</v>
      </c>
      <c r="C102" t="b">
        <v>1</v>
      </c>
      <c r="D102">
        <v>8048</v>
      </c>
      <c r="E102">
        <v>8129</v>
      </c>
      <c r="F102">
        <v>6</v>
      </c>
      <c r="G102">
        <v>8.4</v>
      </c>
      <c r="H102">
        <v>0.71428572999999995</v>
      </c>
      <c r="I102">
        <f xml:space="preserve"> -55.696 * _2026_04_17_16_25_21_23_high[[#This Row],[coeff]] + 79.57</f>
        <v>39.787141981919994</v>
      </c>
      <c r="J102">
        <v>0.58333330000000005</v>
      </c>
      <c r="K102">
        <f>_2026_04_17_16_25_21_23_high[[#This Row],[pfwd_filt]]+200</f>
        <v>206</v>
      </c>
      <c r="L102">
        <f>_2026_04_17_16_25_21_23_high[[#This Row],[p45_filt]]+200</f>
        <v>208.4</v>
      </c>
      <c r="M102">
        <f>_2026_04_17_16_25_21_23_high[[#This Row],[new_pfwd_filt]]/_2026_04_17_16_25_21_23_high[[#This Row],[new_p45_filt]]</f>
        <v>0.98848368522072938</v>
      </c>
    </row>
    <row r="103" spans="1:13" x14ac:dyDescent="0.3">
      <c r="A103">
        <v>101</v>
      </c>
      <c r="B103">
        <v>1610</v>
      </c>
      <c r="C103" t="b">
        <v>1</v>
      </c>
      <c r="D103">
        <v>8042</v>
      </c>
      <c r="E103">
        <v>8123</v>
      </c>
      <c r="F103">
        <v>6</v>
      </c>
      <c r="G103">
        <v>8.4</v>
      </c>
      <c r="H103">
        <v>0.71428572999999995</v>
      </c>
      <c r="I103">
        <f xml:space="preserve"> -55.696 * _2026_04_17_16_25_21_23_high[[#This Row],[coeff]] + 79.57</f>
        <v>39.787141981919994</v>
      </c>
      <c r="J103">
        <v>0.58333330000000005</v>
      </c>
      <c r="K103">
        <f>_2026_04_17_16_25_21_23_high[[#This Row],[pfwd_filt]]+200</f>
        <v>206</v>
      </c>
      <c r="L103">
        <f>_2026_04_17_16_25_21_23_high[[#This Row],[p45_filt]]+200</f>
        <v>208.4</v>
      </c>
      <c r="M103">
        <f>_2026_04_17_16_25_21_23_high[[#This Row],[new_pfwd_filt]]/_2026_04_17_16_25_21_23_high[[#This Row],[new_p45_filt]]</f>
        <v>0.98848368522072938</v>
      </c>
    </row>
    <row r="104" spans="1:13" x14ac:dyDescent="0.3">
      <c r="A104">
        <v>102</v>
      </c>
      <c r="B104">
        <v>1626</v>
      </c>
      <c r="C104" t="b">
        <v>1</v>
      </c>
      <c r="D104">
        <v>8042</v>
      </c>
      <c r="E104">
        <v>8123</v>
      </c>
      <c r="F104">
        <v>6</v>
      </c>
      <c r="G104">
        <v>8.4</v>
      </c>
      <c r="H104">
        <v>0.71428572999999995</v>
      </c>
      <c r="I104">
        <f xml:space="preserve"> -55.696 * _2026_04_17_16_25_21_23_high[[#This Row],[coeff]] + 79.57</f>
        <v>39.787141981919994</v>
      </c>
      <c r="J104">
        <v>0.58333330000000005</v>
      </c>
      <c r="K104">
        <f>_2026_04_17_16_25_21_23_high[[#This Row],[pfwd_filt]]+200</f>
        <v>206</v>
      </c>
      <c r="L104">
        <f>_2026_04_17_16_25_21_23_high[[#This Row],[p45_filt]]+200</f>
        <v>208.4</v>
      </c>
      <c r="M104">
        <f>_2026_04_17_16_25_21_23_high[[#This Row],[new_pfwd_filt]]/_2026_04_17_16_25_21_23_high[[#This Row],[new_p45_filt]]</f>
        <v>0.98848368522072938</v>
      </c>
    </row>
    <row r="105" spans="1:13" x14ac:dyDescent="0.3">
      <c r="A105">
        <v>103</v>
      </c>
      <c r="B105">
        <v>1642</v>
      </c>
      <c r="C105" t="b">
        <v>1</v>
      </c>
      <c r="D105">
        <v>8042</v>
      </c>
      <c r="E105">
        <v>8134</v>
      </c>
      <c r="F105">
        <v>5.6</v>
      </c>
      <c r="G105">
        <v>8</v>
      </c>
      <c r="H105">
        <v>0.7</v>
      </c>
      <c r="I105">
        <f xml:space="preserve"> -55.696 * _2026_04_17_16_25_21_23_high[[#This Row],[coeff]] + 79.57</f>
        <v>40.582799999999999</v>
      </c>
      <c r="J105">
        <v>0.58823526000000004</v>
      </c>
      <c r="K105">
        <f>_2026_04_17_16_25_21_23_high[[#This Row],[pfwd_filt]]+200</f>
        <v>205.6</v>
      </c>
      <c r="L105">
        <f>_2026_04_17_16_25_21_23_high[[#This Row],[p45_filt]]+200</f>
        <v>208</v>
      </c>
      <c r="M105">
        <f>_2026_04_17_16_25_21_23_high[[#This Row],[new_pfwd_filt]]/_2026_04_17_16_25_21_23_high[[#This Row],[new_p45_filt]]</f>
        <v>0.98846153846153839</v>
      </c>
    </row>
    <row r="106" spans="1:13" x14ac:dyDescent="0.3">
      <c r="A106">
        <v>104</v>
      </c>
      <c r="B106">
        <v>1658</v>
      </c>
      <c r="C106" t="b">
        <v>1</v>
      </c>
      <c r="D106">
        <v>8042</v>
      </c>
      <c r="E106">
        <v>8123</v>
      </c>
      <c r="F106">
        <v>5.2</v>
      </c>
      <c r="G106">
        <v>8</v>
      </c>
      <c r="H106">
        <v>0.65</v>
      </c>
      <c r="I106">
        <f xml:space="preserve"> -55.696 * _2026_04_17_16_25_21_23_high[[#This Row],[coeff]] + 79.57</f>
        <v>43.367599999999996</v>
      </c>
      <c r="J106">
        <v>0.60606059999999995</v>
      </c>
      <c r="K106">
        <f>_2026_04_17_16_25_21_23_high[[#This Row],[pfwd_filt]]+200</f>
        <v>205.2</v>
      </c>
      <c r="L106">
        <f>_2026_04_17_16_25_21_23_high[[#This Row],[p45_filt]]+200</f>
        <v>208</v>
      </c>
      <c r="M106">
        <f>_2026_04_17_16_25_21_23_high[[#This Row],[new_pfwd_filt]]/_2026_04_17_16_25_21_23_high[[#This Row],[new_p45_filt]]</f>
        <v>0.98653846153846148</v>
      </c>
    </row>
    <row r="107" spans="1:13" x14ac:dyDescent="0.3">
      <c r="A107">
        <v>105</v>
      </c>
      <c r="B107">
        <v>1674</v>
      </c>
      <c r="C107" t="b">
        <v>1</v>
      </c>
      <c r="D107">
        <v>8042</v>
      </c>
      <c r="E107">
        <v>8123</v>
      </c>
      <c r="F107">
        <v>5.2</v>
      </c>
      <c r="G107">
        <v>8</v>
      </c>
      <c r="H107">
        <v>0.65</v>
      </c>
      <c r="I107">
        <f xml:space="preserve"> -55.696 * _2026_04_17_16_25_21_23_high[[#This Row],[coeff]] + 79.57</f>
        <v>43.367599999999996</v>
      </c>
      <c r="J107">
        <v>0.60606059999999995</v>
      </c>
      <c r="K107">
        <f>_2026_04_17_16_25_21_23_high[[#This Row],[pfwd_filt]]+200</f>
        <v>205.2</v>
      </c>
      <c r="L107">
        <f>_2026_04_17_16_25_21_23_high[[#This Row],[p45_filt]]+200</f>
        <v>208</v>
      </c>
      <c r="M107">
        <f>_2026_04_17_16_25_21_23_high[[#This Row],[new_pfwd_filt]]/_2026_04_17_16_25_21_23_high[[#This Row],[new_p45_filt]]</f>
        <v>0.98653846153846148</v>
      </c>
    </row>
    <row r="108" spans="1:13" x14ac:dyDescent="0.3">
      <c r="A108">
        <v>106</v>
      </c>
      <c r="B108">
        <v>1689</v>
      </c>
      <c r="C108" t="b">
        <v>1</v>
      </c>
      <c r="D108">
        <v>8042</v>
      </c>
      <c r="E108">
        <v>8123</v>
      </c>
      <c r="F108">
        <v>5.2</v>
      </c>
      <c r="G108">
        <v>8</v>
      </c>
      <c r="H108">
        <v>0.65</v>
      </c>
      <c r="I108">
        <f xml:space="preserve"> -55.696 * _2026_04_17_16_25_21_23_high[[#This Row],[coeff]] + 79.57</f>
        <v>43.367599999999996</v>
      </c>
      <c r="J108">
        <v>0.60606059999999995</v>
      </c>
      <c r="K108">
        <f>_2026_04_17_16_25_21_23_high[[#This Row],[pfwd_filt]]+200</f>
        <v>205.2</v>
      </c>
      <c r="L108">
        <f>_2026_04_17_16_25_21_23_high[[#This Row],[p45_filt]]+200</f>
        <v>208</v>
      </c>
      <c r="M108">
        <f>_2026_04_17_16_25_21_23_high[[#This Row],[new_pfwd_filt]]/_2026_04_17_16_25_21_23_high[[#This Row],[new_p45_filt]]</f>
        <v>0.98653846153846148</v>
      </c>
    </row>
    <row r="109" spans="1:13" x14ac:dyDescent="0.3">
      <c r="A109">
        <v>107</v>
      </c>
      <c r="B109">
        <v>1706</v>
      </c>
      <c r="C109" t="b">
        <v>1</v>
      </c>
      <c r="D109">
        <v>8042</v>
      </c>
      <c r="E109">
        <v>8117</v>
      </c>
      <c r="F109">
        <v>5.2</v>
      </c>
      <c r="G109">
        <v>8</v>
      </c>
      <c r="H109">
        <v>0.65</v>
      </c>
      <c r="I109">
        <f xml:space="preserve"> -55.696 * _2026_04_17_16_25_21_23_high[[#This Row],[coeff]] + 79.57</f>
        <v>43.367599999999996</v>
      </c>
      <c r="J109">
        <v>0.60606059999999995</v>
      </c>
      <c r="K109">
        <f>_2026_04_17_16_25_21_23_high[[#This Row],[pfwd_filt]]+200</f>
        <v>205.2</v>
      </c>
      <c r="L109">
        <f>_2026_04_17_16_25_21_23_high[[#This Row],[p45_filt]]+200</f>
        <v>208</v>
      </c>
      <c r="M109">
        <f>_2026_04_17_16_25_21_23_high[[#This Row],[new_pfwd_filt]]/_2026_04_17_16_25_21_23_high[[#This Row],[new_p45_filt]]</f>
        <v>0.98653846153846148</v>
      </c>
    </row>
    <row r="110" spans="1:13" x14ac:dyDescent="0.3">
      <c r="A110">
        <v>108</v>
      </c>
      <c r="B110">
        <v>1721</v>
      </c>
      <c r="C110" t="b">
        <v>1</v>
      </c>
      <c r="D110">
        <v>8048</v>
      </c>
      <c r="E110">
        <v>8129</v>
      </c>
      <c r="F110">
        <v>5.2</v>
      </c>
      <c r="G110">
        <v>8</v>
      </c>
      <c r="H110">
        <v>0.65</v>
      </c>
      <c r="I110">
        <f xml:space="preserve"> -55.696 * _2026_04_17_16_25_21_23_high[[#This Row],[coeff]] + 79.57</f>
        <v>43.367599999999996</v>
      </c>
      <c r="J110">
        <v>0.60606059999999995</v>
      </c>
      <c r="K110">
        <f>_2026_04_17_16_25_21_23_high[[#This Row],[pfwd_filt]]+200</f>
        <v>205.2</v>
      </c>
      <c r="L110">
        <f>_2026_04_17_16_25_21_23_high[[#This Row],[p45_filt]]+200</f>
        <v>208</v>
      </c>
      <c r="M110">
        <f>_2026_04_17_16_25_21_23_high[[#This Row],[new_pfwd_filt]]/_2026_04_17_16_25_21_23_high[[#This Row],[new_p45_filt]]</f>
        <v>0.98653846153846148</v>
      </c>
    </row>
    <row r="111" spans="1:13" x14ac:dyDescent="0.3">
      <c r="A111">
        <v>109</v>
      </c>
      <c r="B111">
        <v>1738</v>
      </c>
      <c r="C111" t="b">
        <v>1</v>
      </c>
      <c r="D111">
        <v>8048</v>
      </c>
      <c r="E111">
        <v>8117</v>
      </c>
      <c r="F111">
        <v>5.2</v>
      </c>
      <c r="G111">
        <v>8</v>
      </c>
      <c r="H111">
        <v>0.65</v>
      </c>
      <c r="I111">
        <f xml:space="preserve"> -55.696 * _2026_04_17_16_25_21_23_high[[#This Row],[coeff]] + 79.57</f>
        <v>43.367599999999996</v>
      </c>
      <c r="J111">
        <v>0.60606059999999995</v>
      </c>
      <c r="K111">
        <f>_2026_04_17_16_25_21_23_high[[#This Row],[pfwd_filt]]+200</f>
        <v>205.2</v>
      </c>
      <c r="L111">
        <f>_2026_04_17_16_25_21_23_high[[#This Row],[p45_filt]]+200</f>
        <v>208</v>
      </c>
      <c r="M111">
        <f>_2026_04_17_16_25_21_23_high[[#This Row],[new_pfwd_filt]]/_2026_04_17_16_25_21_23_high[[#This Row],[new_p45_filt]]</f>
        <v>0.98653846153846148</v>
      </c>
    </row>
    <row r="112" spans="1:13" x14ac:dyDescent="0.3">
      <c r="A112">
        <v>110</v>
      </c>
      <c r="B112">
        <v>1754</v>
      </c>
      <c r="C112" t="b">
        <v>1</v>
      </c>
      <c r="D112">
        <v>8048</v>
      </c>
      <c r="E112">
        <v>8117</v>
      </c>
      <c r="F112">
        <v>5.2</v>
      </c>
      <c r="G112">
        <v>7.6</v>
      </c>
      <c r="H112">
        <v>0.68421054000000003</v>
      </c>
      <c r="I112">
        <f xml:space="preserve"> -55.696 * _2026_04_17_16_25_21_23_high[[#This Row],[coeff]] + 79.57</f>
        <v>41.462209764159994</v>
      </c>
      <c r="J112">
        <v>0.59375</v>
      </c>
      <c r="K112">
        <f>_2026_04_17_16_25_21_23_high[[#This Row],[pfwd_filt]]+200</f>
        <v>205.2</v>
      </c>
      <c r="L112">
        <f>_2026_04_17_16_25_21_23_high[[#This Row],[p45_filt]]+200</f>
        <v>207.6</v>
      </c>
      <c r="M112">
        <f>_2026_04_17_16_25_21_23_high[[#This Row],[new_pfwd_filt]]/_2026_04_17_16_25_21_23_high[[#This Row],[new_p45_filt]]</f>
        <v>0.98843930635838151</v>
      </c>
    </row>
    <row r="113" spans="1:13" x14ac:dyDescent="0.3">
      <c r="A113">
        <v>111</v>
      </c>
      <c r="B113">
        <v>1769</v>
      </c>
      <c r="C113" t="b">
        <v>1</v>
      </c>
      <c r="D113">
        <v>8048</v>
      </c>
      <c r="E113">
        <v>8117</v>
      </c>
      <c r="F113">
        <v>5.2</v>
      </c>
      <c r="G113">
        <v>7.2</v>
      </c>
      <c r="H113">
        <v>0.72222220000000004</v>
      </c>
      <c r="I113">
        <f xml:space="preserve"> -55.696 * _2026_04_17_16_25_21_23_high[[#This Row],[coeff]] + 79.57</f>
        <v>39.345112348799994</v>
      </c>
      <c r="J113">
        <v>0.58064514</v>
      </c>
      <c r="K113">
        <f>_2026_04_17_16_25_21_23_high[[#This Row],[pfwd_filt]]+200</f>
        <v>205.2</v>
      </c>
      <c r="L113">
        <f>_2026_04_17_16_25_21_23_high[[#This Row],[p45_filt]]+200</f>
        <v>207.2</v>
      </c>
      <c r="M113">
        <f>_2026_04_17_16_25_21_23_high[[#This Row],[new_pfwd_filt]]/_2026_04_17_16_25_21_23_high[[#This Row],[new_p45_filt]]</f>
        <v>0.99034749034749037</v>
      </c>
    </row>
    <row r="114" spans="1:13" x14ac:dyDescent="0.3">
      <c r="A114">
        <v>112</v>
      </c>
      <c r="B114">
        <v>1785</v>
      </c>
      <c r="C114" t="b">
        <v>1</v>
      </c>
      <c r="D114">
        <v>8048</v>
      </c>
      <c r="E114">
        <v>8123</v>
      </c>
      <c r="F114">
        <v>5.2</v>
      </c>
      <c r="G114">
        <v>6.8</v>
      </c>
      <c r="H114">
        <v>0.76470583999999997</v>
      </c>
      <c r="I114">
        <f xml:space="preserve"> -55.696 * _2026_04_17_16_25_21_23_high[[#This Row],[coeff]] + 79.57</f>
        <v>36.978943535359996</v>
      </c>
      <c r="J114">
        <v>0.56666665999999999</v>
      </c>
      <c r="K114">
        <f>_2026_04_17_16_25_21_23_high[[#This Row],[pfwd_filt]]+200</f>
        <v>205.2</v>
      </c>
      <c r="L114">
        <f>_2026_04_17_16_25_21_23_high[[#This Row],[p45_filt]]+200</f>
        <v>206.8</v>
      </c>
      <c r="M114">
        <f>_2026_04_17_16_25_21_23_high[[#This Row],[new_pfwd_filt]]/_2026_04_17_16_25_21_23_high[[#This Row],[new_p45_filt]]</f>
        <v>0.99226305609284327</v>
      </c>
    </row>
    <row r="115" spans="1:13" x14ac:dyDescent="0.3">
      <c r="A115">
        <v>113</v>
      </c>
      <c r="B115">
        <v>1801</v>
      </c>
      <c r="C115" t="b">
        <v>1</v>
      </c>
      <c r="D115">
        <v>8048</v>
      </c>
      <c r="E115">
        <v>8129</v>
      </c>
      <c r="F115">
        <v>5.2</v>
      </c>
      <c r="G115">
        <v>6.4</v>
      </c>
      <c r="H115">
        <v>0.81249994000000003</v>
      </c>
      <c r="I115">
        <f xml:space="preserve"> -55.696 * _2026_04_17_16_25_21_23_high[[#This Row],[coeff]] + 79.57</f>
        <v>34.317003341759992</v>
      </c>
      <c r="J115">
        <v>0.55172414000000003</v>
      </c>
      <c r="K115">
        <f>_2026_04_17_16_25_21_23_high[[#This Row],[pfwd_filt]]+200</f>
        <v>205.2</v>
      </c>
      <c r="L115">
        <f>_2026_04_17_16_25_21_23_high[[#This Row],[p45_filt]]+200</f>
        <v>206.4</v>
      </c>
      <c r="M115">
        <f>_2026_04_17_16_25_21_23_high[[#This Row],[new_pfwd_filt]]/_2026_04_17_16_25_21_23_high[[#This Row],[new_p45_filt]]</f>
        <v>0.99418604651162779</v>
      </c>
    </row>
    <row r="116" spans="1:13" x14ac:dyDescent="0.3">
      <c r="A116">
        <v>114</v>
      </c>
      <c r="B116">
        <v>1817</v>
      </c>
      <c r="C116" t="b">
        <v>1</v>
      </c>
      <c r="D116">
        <v>8048</v>
      </c>
      <c r="E116">
        <v>8123</v>
      </c>
      <c r="F116">
        <v>5.2</v>
      </c>
      <c r="G116">
        <v>6.4</v>
      </c>
      <c r="H116">
        <v>0.81249994000000003</v>
      </c>
      <c r="I116">
        <f xml:space="preserve"> -55.696 * _2026_04_17_16_25_21_23_high[[#This Row],[coeff]] + 79.57</f>
        <v>34.317003341759992</v>
      </c>
      <c r="J116">
        <v>0.55172414000000003</v>
      </c>
      <c r="K116">
        <f>_2026_04_17_16_25_21_23_high[[#This Row],[pfwd_filt]]+200</f>
        <v>205.2</v>
      </c>
      <c r="L116">
        <f>_2026_04_17_16_25_21_23_high[[#This Row],[p45_filt]]+200</f>
        <v>206.4</v>
      </c>
      <c r="M116">
        <f>_2026_04_17_16_25_21_23_high[[#This Row],[new_pfwd_filt]]/_2026_04_17_16_25_21_23_high[[#This Row],[new_p45_filt]]</f>
        <v>0.99418604651162779</v>
      </c>
    </row>
    <row r="117" spans="1:13" x14ac:dyDescent="0.3">
      <c r="A117">
        <v>115</v>
      </c>
      <c r="B117">
        <v>1833</v>
      </c>
      <c r="C117" t="b">
        <v>1</v>
      </c>
      <c r="D117">
        <v>8042</v>
      </c>
      <c r="E117">
        <v>8129</v>
      </c>
      <c r="F117">
        <v>5.2</v>
      </c>
      <c r="G117">
        <v>6.4</v>
      </c>
      <c r="H117">
        <v>0.81249994000000003</v>
      </c>
      <c r="I117">
        <f xml:space="preserve"> -55.696 * _2026_04_17_16_25_21_23_high[[#This Row],[coeff]] + 79.57</f>
        <v>34.317003341759992</v>
      </c>
      <c r="J117">
        <v>0.55172414000000003</v>
      </c>
      <c r="K117">
        <f>_2026_04_17_16_25_21_23_high[[#This Row],[pfwd_filt]]+200</f>
        <v>205.2</v>
      </c>
      <c r="L117">
        <f>_2026_04_17_16_25_21_23_high[[#This Row],[p45_filt]]+200</f>
        <v>206.4</v>
      </c>
      <c r="M117">
        <f>_2026_04_17_16_25_21_23_high[[#This Row],[new_pfwd_filt]]/_2026_04_17_16_25_21_23_high[[#This Row],[new_p45_filt]]</f>
        <v>0.99418604651162779</v>
      </c>
    </row>
    <row r="118" spans="1:13" x14ac:dyDescent="0.3">
      <c r="A118">
        <v>116</v>
      </c>
      <c r="B118">
        <v>1849</v>
      </c>
      <c r="C118" t="b">
        <v>1</v>
      </c>
      <c r="D118">
        <v>8048</v>
      </c>
      <c r="E118">
        <v>8123</v>
      </c>
      <c r="F118">
        <v>5.2</v>
      </c>
      <c r="G118">
        <v>6.4</v>
      </c>
      <c r="H118">
        <v>0.81249994000000003</v>
      </c>
      <c r="I118">
        <f xml:space="preserve"> -55.696 * _2026_04_17_16_25_21_23_high[[#This Row],[coeff]] + 79.57</f>
        <v>34.317003341759992</v>
      </c>
      <c r="J118">
        <v>0.55172414000000003</v>
      </c>
      <c r="K118">
        <f>_2026_04_17_16_25_21_23_high[[#This Row],[pfwd_filt]]+200</f>
        <v>205.2</v>
      </c>
      <c r="L118">
        <f>_2026_04_17_16_25_21_23_high[[#This Row],[p45_filt]]+200</f>
        <v>206.4</v>
      </c>
      <c r="M118">
        <f>_2026_04_17_16_25_21_23_high[[#This Row],[new_pfwd_filt]]/_2026_04_17_16_25_21_23_high[[#This Row],[new_p45_filt]]</f>
        <v>0.99418604651162779</v>
      </c>
    </row>
    <row r="119" spans="1:13" x14ac:dyDescent="0.3">
      <c r="A119">
        <v>117</v>
      </c>
      <c r="B119">
        <v>1864</v>
      </c>
      <c r="C119" t="b">
        <v>1</v>
      </c>
      <c r="D119">
        <v>8042</v>
      </c>
      <c r="E119">
        <v>8123</v>
      </c>
      <c r="F119">
        <v>5.2</v>
      </c>
      <c r="G119">
        <v>6.4</v>
      </c>
      <c r="H119">
        <v>0.81249994000000003</v>
      </c>
      <c r="I119">
        <f xml:space="preserve"> -55.696 * _2026_04_17_16_25_21_23_high[[#This Row],[coeff]] + 79.57</f>
        <v>34.317003341759992</v>
      </c>
      <c r="J119">
        <v>0.55172414000000003</v>
      </c>
      <c r="K119">
        <f>_2026_04_17_16_25_21_23_high[[#This Row],[pfwd_filt]]+200</f>
        <v>205.2</v>
      </c>
      <c r="L119">
        <f>_2026_04_17_16_25_21_23_high[[#This Row],[p45_filt]]+200</f>
        <v>206.4</v>
      </c>
      <c r="M119">
        <f>_2026_04_17_16_25_21_23_high[[#This Row],[new_pfwd_filt]]/_2026_04_17_16_25_21_23_high[[#This Row],[new_p45_filt]]</f>
        <v>0.99418604651162779</v>
      </c>
    </row>
    <row r="120" spans="1:13" x14ac:dyDescent="0.3">
      <c r="A120">
        <v>118</v>
      </c>
      <c r="B120">
        <v>1880</v>
      </c>
      <c r="C120" t="b">
        <v>1</v>
      </c>
      <c r="D120">
        <v>8048</v>
      </c>
      <c r="E120">
        <v>8123</v>
      </c>
      <c r="F120">
        <v>5.6</v>
      </c>
      <c r="G120">
        <v>6.4</v>
      </c>
      <c r="H120">
        <v>0.875</v>
      </c>
      <c r="I120">
        <f xml:space="preserve"> -55.696 * _2026_04_17_16_25_21_23_high[[#This Row],[coeff]] + 79.57</f>
        <v>30.835999999999999</v>
      </c>
      <c r="J120">
        <v>0.53333335999999998</v>
      </c>
      <c r="K120">
        <f>_2026_04_17_16_25_21_23_high[[#This Row],[pfwd_filt]]+200</f>
        <v>205.6</v>
      </c>
      <c r="L120">
        <f>_2026_04_17_16_25_21_23_high[[#This Row],[p45_filt]]+200</f>
        <v>206.4</v>
      </c>
      <c r="M120">
        <f>_2026_04_17_16_25_21_23_high[[#This Row],[new_pfwd_filt]]/_2026_04_17_16_25_21_23_high[[#This Row],[new_p45_filt]]</f>
        <v>0.99612403100775193</v>
      </c>
    </row>
    <row r="121" spans="1:13" x14ac:dyDescent="0.3">
      <c r="A121">
        <v>119</v>
      </c>
      <c r="B121">
        <v>1896</v>
      </c>
      <c r="C121" t="b">
        <v>1</v>
      </c>
      <c r="D121">
        <v>8042</v>
      </c>
      <c r="E121">
        <v>8129</v>
      </c>
      <c r="F121">
        <v>5.6</v>
      </c>
      <c r="G121">
        <v>6.4</v>
      </c>
      <c r="H121">
        <v>0.875</v>
      </c>
      <c r="I121">
        <f xml:space="preserve"> -55.696 * _2026_04_17_16_25_21_23_high[[#This Row],[coeff]] + 79.57</f>
        <v>30.835999999999999</v>
      </c>
      <c r="J121">
        <v>0.53333335999999998</v>
      </c>
      <c r="K121">
        <f>_2026_04_17_16_25_21_23_high[[#This Row],[pfwd_filt]]+200</f>
        <v>205.6</v>
      </c>
      <c r="L121">
        <f>_2026_04_17_16_25_21_23_high[[#This Row],[p45_filt]]+200</f>
        <v>206.4</v>
      </c>
      <c r="M121">
        <f>_2026_04_17_16_25_21_23_high[[#This Row],[new_pfwd_filt]]/_2026_04_17_16_25_21_23_high[[#This Row],[new_p45_filt]]</f>
        <v>0.99612403100775193</v>
      </c>
    </row>
    <row r="122" spans="1:13" x14ac:dyDescent="0.3">
      <c r="A122">
        <v>120</v>
      </c>
      <c r="B122">
        <v>1912</v>
      </c>
      <c r="C122" t="b">
        <v>1</v>
      </c>
      <c r="D122">
        <v>8048</v>
      </c>
      <c r="E122">
        <v>8134</v>
      </c>
      <c r="F122">
        <v>6</v>
      </c>
      <c r="G122">
        <v>6.4</v>
      </c>
      <c r="H122">
        <v>0.9375</v>
      </c>
      <c r="I122">
        <f xml:space="preserve"> -55.696 * _2026_04_17_16_25_21_23_high[[#This Row],[coeff]] + 79.57</f>
        <v>27.354999999999997</v>
      </c>
      <c r="J122">
        <v>0.51612910000000001</v>
      </c>
      <c r="K122">
        <f>_2026_04_17_16_25_21_23_high[[#This Row],[pfwd_filt]]+200</f>
        <v>206</v>
      </c>
      <c r="L122">
        <f>_2026_04_17_16_25_21_23_high[[#This Row],[p45_filt]]+200</f>
        <v>206.4</v>
      </c>
      <c r="M122">
        <f>_2026_04_17_16_25_21_23_high[[#This Row],[new_pfwd_filt]]/_2026_04_17_16_25_21_23_high[[#This Row],[new_p45_filt]]</f>
        <v>0.99806201550387597</v>
      </c>
    </row>
    <row r="123" spans="1:13" x14ac:dyDescent="0.3">
      <c r="A123">
        <v>121</v>
      </c>
      <c r="B123">
        <v>1928</v>
      </c>
      <c r="C123" t="b">
        <v>1</v>
      </c>
      <c r="D123">
        <v>8048</v>
      </c>
      <c r="E123">
        <v>8123</v>
      </c>
      <c r="F123">
        <v>6.4</v>
      </c>
      <c r="G123">
        <v>6.4</v>
      </c>
      <c r="H123">
        <v>1</v>
      </c>
      <c r="I123">
        <f xml:space="preserve"> -55.696 * _2026_04_17_16_25_21_23_high[[#This Row],[coeff]] + 79.57</f>
        <v>23.873999999999995</v>
      </c>
      <c r="J123">
        <v>0.5</v>
      </c>
      <c r="K123">
        <f>_2026_04_17_16_25_21_23_high[[#This Row],[pfwd_filt]]+200</f>
        <v>206.4</v>
      </c>
      <c r="L123">
        <f>_2026_04_17_16_25_21_23_high[[#This Row],[p45_filt]]+200</f>
        <v>206.4</v>
      </c>
      <c r="M123">
        <f>_2026_04_17_16_25_21_23_high[[#This Row],[new_pfwd_filt]]/_2026_04_17_16_25_21_23_high[[#This Row],[new_p45_filt]]</f>
        <v>1</v>
      </c>
    </row>
    <row r="124" spans="1:13" x14ac:dyDescent="0.3">
      <c r="A124">
        <v>122</v>
      </c>
      <c r="B124">
        <v>1944</v>
      </c>
      <c r="C124" t="b">
        <v>1</v>
      </c>
      <c r="D124">
        <v>8048</v>
      </c>
      <c r="E124">
        <v>8123</v>
      </c>
      <c r="F124">
        <v>6.8</v>
      </c>
      <c r="G124">
        <v>6.4</v>
      </c>
      <c r="H124">
        <v>1.0625</v>
      </c>
      <c r="I124">
        <f xml:space="preserve"> -55.696 * _2026_04_17_16_25_21_23_high[[#This Row],[coeff]] + 79.57</f>
        <v>20.392999999999994</v>
      </c>
      <c r="J124">
        <v>0.48484846999999998</v>
      </c>
      <c r="K124">
        <f>_2026_04_17_16_25_21_23_high[[#This Row],[pfwd_filt]]+200</f>
        <v>206.8</v>
      </c>
      <c r="L124">
        <f>_2026_04_17_16_25_21_23_high[[#This Row],[p45_filt]]+200</f>
        <v>206.4</v>
      </c>
      <c r="M124">
        <f>_2026_04_17_16_25_21_23_high[[#This Row],[new_pfwd_filt]]/_2026_04_17_16_25_21_23_high[[#This Row],[new_p45_filt]]</f>
        <v>1.001937984496124</v>
      </c>
    </row>
    <row r="125" spans="1:13" x14ac:dyDescent="0.3">
      <c r="A125">
        <v>123</v>
      </c>
      <c r="B125">
        <v>1960</v>
      </c>
      <c r="C125" t="b">
        <v>1</v>
      </c>
      <c r="D125">
        <v>8048</v>
      </c>
      <c r="E125">
        <v>8123</v>
      </c>
      <c r="F125">
        <v>7.2</v>
      </c>
      <c r="G125">
        <v>6.4</v>
      </c>
      <c r="H125">
        <v>1.125</v>
      </c>
      <c r="I125">
        <f xml:space="preserve"> -55.696 * _2026_04_17_16_25_21_23_high[[#This Row],[coeff]] + 79.57</f>
        <v>16.911999999999992</v>
      </c>
      <c r="J125">
        <v>0.47058823999999999</v>
      </c>
      <c r="K125">
        <f>_2026_04_17_16_25_21_23_high[[#This Row],[pfwd_filt]]+200</f>
        <v>207.2</v>
      </c>
      <c r="L125">
        <f>_2026_04_17_16_25_21_23_high[[#This Row],[p45_filt]]+200</f>
        <v>206.4</v>
      </c>
      <c r="M125">
        <f>_2026_04_17_16_25_21_23_high[[#This Row],[new_pfwd_filt]]/_2026_04_17_16_25_21_23_high[[#This Row],[new_p45_filt]]</f>
        <v>1.0038759689922481</v>
      </c>
    </row>
    <row r="126" spans="1:13" x14ac:dyDescent="0.3">
      <c r="A126">
        <v>124</v>
      </c>
      <c r="B126">
        <v>1976</v>
      </c>
      <c r="C126" t="b">
        <v>1</v>
      </c>
      <c r="D126">
        <v>8048</v>
      </c>
      <c r="E126">
        <v>8123</v>
      </c>
      <c r="F126">
        <v>7.6</v>
      </c>
      <c r="G126">
        <v>6.4</v>
      </c>
      <c r="H126">
        <v>1.1875</v>
      </c>
      <c r="I126">
        <f xml:space="preserve"> -55.696 * _2026_04_17_16_25_21_23_high[[#This Row],[coeff]] + 79.57</f>
        <v>13.430999999999997</v>
      </c>
      <c r="J126">
        <v>0.45714285999999998</v>
      </c>
      <c r="K126">
        <f>_2026_04_17_16_25_21_23_high[[#This Row],[pfwd_filt]]+200</f>
        <v>207.6</v>
      </c>
      <c r="L126">
        <f>_2026_04_17_16_25_21_23_high[[#This Row],[p45_filt]]+200</f>
        <v>206.4</v>
      </c>
      <c r="M126">
        <f>_2026_04_17_16_25_21_23_high[[#This Row],[new_pfwd_filt]]/_2026_04_17_16_25_21_23_high[[#This Row],[new_p45_filt]]</f>
        <v>1.0058139534883721</v>
      </c>
    </row>
    <row r="127" spans="1:13" x14ac:dyDescent="0.3">
      <c r="A127">
        <v>125</v>
      </c>
      <c r="B127">
        <v>1992</v>
      </c>
      <c r="C127" t="b">
        <v>1</v>
      </c>
      <c r="D127">
        <v>8042</v>
      </c>
      <c r="E127">
        <v>8123</v>
      </c>
      <c r="F127">
        <v>7.6</v>
      </c>
      <c r="G127">
        <v>6.8</v>
      </c>
      <c r="H127">
        <v>1.1176470000000001</v>
      </c>
      <c r="I127">
        <f xml:space="preserve"> -55.696 * _2026_04_17_16_25_21_23_high[[#This Row],[coeff]] + 79.57</f>
        <v>17.321532687999991</v>
      </c>
      <c r="J127">
        <v>0.47222224000000002</v>
      </c>
      <c r="K127">
        <f>_2026_04_17_16_25_21_23_high[[#This Row],[pfwd_filt]]+200</f>
        <v>207.6</v>
      </c>
      <c r="L127">
        <f>_2026_04_17_16_25_21_23_high[[#This Row],[p45_filt]]+200</f>
        <v>206.8</v>
      </c>
      <c r="M127">
        <f>_2026_04_17_16_25_21_23_high[[#This Row],[new_pfwd_filt]]/_2026_04_17_16_25_21_23_high[[#This Row],[new_p45_filt]]</f>
        <v>1.0038684719535782</v>
      </c>
    </row>
    <row r="128" spans="1:13" x14ac:dyDescent="0.3">
      <c r="A128">
        <v>126</v>
      </c>
      <c r="B128">
        <v>2008</v>
      </c>
      <c r="C128" t="b">
        <v>1</v>
      </c>
      <c r="D128">
        <v>8048</v>
      </c>
      <c r="E128">
        <v>8123</v>
      </c>
      <c r="F128">
        <v>7.6</v>
      </c>
      <c r="G128">
        <v>7.2</v>
      </c>
      <c r="H128">
        <v>1.0555555999999999</v>
      </c>
      <c r="I128">
        <f xml:space="preserve"> -55.696 * _2026_04_17_16_25_21_23_high[[#This Row],[coeff]] + 79.57</f>
        <v>20.779775302399997</v>
      </c>
      <c r="J128">
        <v>0.48648649999999999</v>
      </c>
      <c r="K128">
        <f>_2026_04_17_16_25_21_23_high[[#This Row],[pfwd_filt]]+200</f>
        <v>207.6</v>
      </c>
      <c r="L128">
        <f>_2026_04_17_16_25_21_23_high[[#This Row],[p45_filt]]+200</f>
        <v>207.2</v>
      </c>
      <c r="M128">
        <f>_2026_04_17_16_25_21_23_high[[#This Row],[new_pfwd_filt]]/_2026_04_17_16_25_21_23_high[[#This Row],[new_p45_filt]]</f>
        <v>1.001930501930502</v>
      </c>
    </row>
    <row r="129" spans="1:13" x14ac:dyDescent="0.3">
      <c r="A129">
        <v>127</v>
      </c>
      <c r="B129">
        <v>2023</v>
      </c>
      <c r="C129" t="b">
        <v>1</v>
      </c>
      <c r="D129">
        <v>8048</v>
      </c>
      <c r="E129">
        <v>8129</v>
      </c>
      <c r="F129">
        <v>7.6</v>
      </c>
      <c r="G129">
        <v>7.6</v>
      </c>
      <c r="H129">
        <v>1</v>
      </c>
      <c r="I129">
        <f xml:space="preserve"> -55.696 * _2026_04_17_16_25_21_23_high[[#This Row],[coeff]] + 79.57</f>
        <v>23.873999999999995</v>
      </c>
      <c r="J129">
        <v>0.5</v>
      </c>
      <c r="K129">
        <f>_2026_04_17_16_25_21_23_high[[#This Row],[pfwd_filt]]+200</f>
        <v>207.6</v>
      </c>
      <c r="L129">
        <f>_2026_04_17_16_25_21_23_high[[#This Row],[p45_filt]]+200</f>
        <v>207.6</v>
      </c>
      <c r="M129">
        <f>_2026_04_17_16_25_21_23_high[[#This Row],[new_pfwd_filt]]/_2026_04_17_16_25_21_23_high[[#This Row],[new_p45_filt]]</f>
        <v>1</v>
      </c>
    </row>
    <row r="130" spans="1:13" x14ac:dyDescent="0.3">
      <c r="A130">
        <v>128</v>
      </c>
      <c r="B130">
        <v>2039</v>
      </c>
      <c r="C130" t="b">
        <v>1</v>
      </c>
      <c r="D130">
        <v>8042</v>
      </c>
      <c r="E130">
        <v>8123</v>
      </c>
      <c r="F130">
        <v>7.6</v>
      </c>
      <c r="G130">
        <v>8</v>
      </c>
      <c r="H130">
        <v>0.95</v>
      </c>
      <c r="I130">
        <f xml:space="preserve"> -55.696 * _2026_04_17_16_25_21_23_high[[#This Row],[coeff]] + 79.57</f>
        <v>26.658799999999999</v>
      </c>
      <c r="J130">
        <v>0.51282050000000001</v>
      </c>
      <c r="K130">
        <f>_2026_04_17_16_25_21_23_high[[#This Row],[pfwd_filt]]+200</f>
        <v>207.6</v>
      </c>
      <c r="L130">
        <f>_2026_04_17_16_25_21_23_high[[#This Row],[p45_filt]]+200</f>
        <v>208</v>
      </c>
      <c r="M130">
        <f>_2026_04_17_16_25_21_23_high[[#This Row],[new_pfwd_filt]]/_2026_04_17_16_25_21_23_high[[#This Row],[new_p45_filt]]</f>
        <v>0.99807692307692308</v>
      </c>
    </row>
    <row r="131" spans="1:13" x14ac:dyDescent="0.3">
      <c r="A131">
        <v>129</v>
      </c>
      <c r="B131">
        <v>2055</v>
      </c>
      <c r="C131" t="b">
        <v>1</v>
      </c>
      <c r="D131">
        <v>8048</v>
      </c>
      <c r="E131">
        <v>8123</v>
      </c>
      <c r="F131">
        <v>7.6</v>
      </c>
      <c r="G131">
        <v>8</v>
      </c>
      <c r="H131">
        <v>0.95</v>
      </c>
      <c r="I131">
        <f xml:space="preserve"> -55.696 * _2026_04_17_16_25_21_23_high[[#This Row],[coeff]] + 79.57</f>
        <v>26.658799999999999</v>
      </c>
      <c r="J131">
        <v>0.51282050000000001</v>
      </c>
      <c r="K131">
        <f>_2026_04_17_16_25_21_23_high[[#This Row],[pfwd_filt]]+200</f>
        <v>207.6</v>
      </c>
      <c r="L131">
        <f>_2026_04_17_16_25_21_23_high[[#This Row],[p45_filt]]+200</f>
        <v>208</v>
      </c>
      <c r="M131">
        <f>_2026_04_17_16_25_21_23_high[[#This Row],[new_pfwd_filt]]/_2026_04_17_16_25_21_23_high[[#This Row],[new_p45_filt]]</f>
        <v>0.99807692307692308</v>
      </c>
    </row>
    <row r="132" spans="1:13" x14ac:dyDescent="0.3">
      <c r="A132">
        <v>130</v>
      </c>
      <c r="B132">
        <v>2071</v>
      </c>
      <c r="C132" t="b">
        <v>1</v>
      </c>
      <c r="D132">
        <v>8042</v>
      </c>
      <c r="E132">
        <v>8134</v>
      </c>
      <c r="F132">
        <v>7.6</v>
      </c>
      <c r="G132">
        <v>8</v>
      </c>
      <c r="H132">
        <v>0.95</v>
      </c>
      <c r="I132">
        <f xml:space="preserve"> -55.696 * _2026_04_17_16_25_21_23_high[[#This Row],[coeff]] + 79.57</f>
        <v>26.658799999999999</v>
      </c>
      <c r="J132">
        <v>0.51282050000000001</v>
      </c>
      <c r="K132">
        <f>_2026_04_17_16_25_21_23_high[[#This Row],[pfwd_filt]]+200</f>
        <v>207.6</v>
      </c>
      <c r="L132">
        <f>_2026_04_17_16_25_21_23_high[[#This Row],[p45_filt]]+200</f>
        <v>208</v>
      </c>
      <c r="M132">
        <f>_2026_04_17_16_25_21_23_high[[#This Row],[new_pfwd_filt]]/_2026_04_17_16_25_21_23_high[[#This Row],[new_p45_filt]]</f>
        <v>0.99807692307692308</v>
      </c>
    </row>
    <row r="133" spans="1:13" x14ac:dyDescent="0.3">
      <c r="A133">
        <v>131</v>
      </c>
      <c r="B133">
        <v>2087</v>
      </c>
      <c r="C133" t="b">
        <v>1</v>
      </c>
      <c r="D133">
        <v>8042</v>
      </c>
      <c r="E133">
        <v>8123</v>
      </c>
      <c r="F133">
        <v>7.2</v>
      </c>
      <c r="G133">
        <v>8</v>
      </c>
      <c r="H133">
        <v>0.9</v>
      </c>
      <c r="I133">
        <f xml:space="preserve"> -55.696 * _2026_04_17_16_25_21_23_high[[#This Row],[coeff]] + 79.57</f>
        <v>29.443599999999996</v>
      </c>
      <c r="J133">
        <v>0.5263158</v>
      </c>
      <c r="K133">
        <f>_2026_04_17_16_25_21_23_high[[#This Row],[pfwd_filt]]+200</f>
        <v>207.2</v>
      </c>
      <c r="L133">
        <f>_2026_04_17_16_25_21_23_high[[#This Row],[p45_filt]]+200</f>
        <v>208</v>
      </c>
      <c r="M133">
        <f>_2026_04_17_16_25_21_23_high[[#This Row],[new_pfwd_filt]]/_2026_04_17_16_25_21_23_high[[#This Row],[new_p45_filt]]</f>
        <v>0.99615384615384606</v>
      </c>
    </row>
    <row r="134" spans="1:13" x14ac:dyDescent="0.3">
      <c r="A134">
        <v>132</v>
      </c>
      <c r="B134">
        <v>2102</v>
      </c>
      <c r="C134" t="b">
        <v>1</v>
      </c>
      <c r="D134">
        <v>8042</v>
      </c>
      <c r="E134">
        <v>8123</v>
      </c>
      <c r="F134">
        <v>6.8</v>
      </c>
      <c r="G134">
        <v>8</v>
      </c>
      <c r="H134">
        <v>0.85</v>
      </c>
      <c r="I134">
        <f xml:space="preserve"> -55.696 * _2026_04_17_16_25_21_23_high[[#This Row],[coeff]] + 79.57</f>
        <v>32.228399999999993</v>
      </c>
      <c r="J134">
        <v>0.54054049999999998</v>
      </c>
      <c r="K134">
        <f>_2026_04_17_16_25_21_23_high[[#This Row],[pfwd_filt]]+200</f>
        <v>206.8</v>
      </c>
      <c r="L134">
        <f>_2026_04_17_16_25_21_23_high[[#This Row],[p45_filt]]+200</f>
        <v>208</v>
      </c>
      <c r="M134">
        <f>_2026_04_17_16_25_21_23_high[[#This Row],[new_pfwd_filt]]/_2026_04_17_16_25_21_23_high[[#This Row],[new_p45_filt]]</f>
        <v>0.99423076923076925</v>
      </c>
    </row>
    <row r="135" spans="1:13" x14ac:dyDescent="0.3">
      <c r="A135">
        <v>133</v>
      </c>
      <c r="B135">
        <v>2118</v>
      </c>
      <c r="C135" t="b">
        <v>1</v>
      </c>
      <c r="D135">
        <v>8042</v>
      </c>
      <c r="E135">
        <v>8129</v>
      </c>
      <c r="F135">
        <v>6.4</v>
      </c>
      <c r="G135">
        <v>8</v>
      </c>
      <c r="H135">
        <v>0.8</v>
      </c>
      <c r="I135">
        <f xml:space="preserve"> -55.696 * _2026_04_17_16_25_21_23_high[[#This Row],[coeff]] + 79.57</f>
        <v>35.013199999999991</v>
      </c>
      <c r="J135">
        <v>0.55555560000000004</v>
      </c>
      <c r="K135">
        <f>_2026_04_17_16_25_21_23_high[[#This Row],[pfwd_filt]]+200</f>
        <v>206.4</v>
      </c>
      <c r="L135">
        <f>_2026_04_17_16_25_21_23_high[[#This Row],[p45_filt]]+200</f>
        <v>208</v>
      </c>
      <c r="M135">
        <f>_2026_04_17_16_25_21_23_high[[#This Row],[new_pfwd_filt]]/_2026_04_17_16_25_21_23_high[[#This Row],[new_p45_filt]]</f>
        <v>0.99230769230769234</v>
      </c>
    </row>
    <row r="136" spans="1:13" x14ac:dyDescent="0.3">
      <c r="A136">
        <v>134</v>
      </c>
      <c r="B136">
        <v>2134</v>
      </c>
      <c r="C136" t="b">
        <v>1</v>
      </c>
      <c r="D136">
        <v>8048</v>
      </c>
      <c r="E136">
        <v>8129</v>
      </c>
      <c r="F136">
        <v>6.4</v>
      </c>
      <c r="G136">
        <v>8.4</v>
      </c>
      <c r="H136">
        <v>0.76190484000000003</v>
      </c>
      <c r="I136">
        <f xml:space="preserve"> -55.696 * _2026_04_17_16_25_21_23_high[[#This Row],[coeff]] + 79.57</f>
        <v>37.13494803135999</v>
      </c>
      <c r="J136">
        <v>0.56756759999999995</v>
      </c>
      <c r="K136">
        <f>_2026_04_17_16_25_21_23_high[[#This Row],[pfwd_filt]]+200</f>
        <v>206.4</v>
      </c>
      <c r="L136">
        <f>_2026_04_17_16_25_21_23_high[[#This Row],[p45_filt]]+200</f>
        <v>208.4</v>
      </c>
      <c r="M136">
        <f>_2026_04_17_16_25_21_23_high[[#This Row],[new_pfwd_filt]]/_2026_04_17_16_25_21_23_high[[#This Row],[new_p45_filt]]</f>
        <v>0.99040307101727443</v>
      </c>
    </row>
    <row r="137" spans="1:13" x14ac:dyDescent="0.3">
      <c r="A137">
        <v>135</v>
      </c>
      <c r="B137">
        <v>2150</v>
      </c>
      <c r="C137" t="b">
        <v>1</v>
      </c>
      <c r="D137">
        <v>8042</v>
      </c>
      <c r="E137">
        <v>8123</v>
      </c>
      <c r="F137">
        <v>6</v>
      </c>
      <c r="G137">
        <v>8.4</v>
      </c>
      <c r="H137">
        <v>0.71428572999999995</v>
      </c>
      <c r="I137">
        <f xml:space="preserve"> -55.696 * _2026_04_17_16_25_21_23_high[[#This Row],[coeff]] + 79.57</f>
        <v>39.787141981919994</v>
      </c>
      <c r="J137">
        <v>0.58333330000000005</v>
      </c>
      <c r="K137">
        <f>_2026_04_17_16_25_21_23_high[[#This Row],[pfwd_filt]]+200</f>
        <v>206</v>
      </c>
      <c r="L137">
        <f>_2026_04_17_16_25_21_23_high[[#This Row],[p45_filt]]+200</f>
        <v>208.4</v>
      </c>
      <c r="M137">
        <f>_2026_04_17_16_25_21_23_high[[#This Row],[new_pfwd_filt]]/_2026_04_17_16_25_21_23_high[[#This Row],[new_p45_filt]]</f>
        <v>0.98848368522072938</v>
      </c>
    </row>
    <row r="138" spans="1:13" x14ac:dyDescent="0.3">
      <c r="A138">
        <v>136</v>
      </c>
      <c r="B138">
        <v>2166</v>
      </c>
      <c r="C138" t="b">
        <v>1</v>
      </c>
      <c r="D138">
        <v>8042</v>
      </c>
      <c r="E138">
        <v>8129</v>
      </c>
      <c r="F138">
        <v>5.6</v>
      </c>
      <c r="G138">
        <v>8.8000000000000007</v>
      </c>
      <c r="H138">
        <v>0.63636360000000003</v>
      </c>
      <c r="I138">
        <f xml:space="preserve"> -55.696 * _2026_04_17_16_25_21_23_high[[#This Row],[coeff]] + 79.57</f>
        <v>44.12709293439999</v>
      </c>
      <c r="J138">
        <v>0.61111115999999999</v>
      </c>
      <c r="K138">
        <f>_2026_04_17_16_25_21_23_high[[#This Row],[pfwd_filt]]+200</f>
        <v>205.6</v>
      </c>
      <c r="L138">
        <f>_2026_04_17_16_25_21_23_high[[#This Row],[p45_filt]]+200</f>
        <v>208.8</v>
      </c>
      <c r="M138">
        <f>_2026_04_17_16_25_21_23_high[[#This Row],[new_pfwd_filt]]/_2026_04_17_16_25_21_23_high[[#This Row],[new_p45_filt]]</f>
        <v>0.98467432950191558</v>
      </c>
    </row>
    <row r="139" spans="1:13" x14ac:dyDescent="0.3">
      <c r="A139">
        <v>137</v>
      </c>
      <c r="B139">
        <v>2182</v>
      </c>
      <c r="C139" t="b">
        <v>1</v>
      </c>
      <c r="D139">
        <v>8048</v>
      </c>
      <c r="E139">
        <v>8123</v>
      </c>
      <c r="F139">
        <v>5.2</v>
      </c>
      <c r="G139">
        <v>9.1999999999999993</v>
      </c>
      <c r="H139">
        <v>0.56521739999999998</v>
      </c>
      <c r="I139">
        <f xml:space="preserve"> -55.696 * _2026_04_17_16_25_21_23_high[[#This Row],[coeff]] + 79.57</f>
        <v>48.089651689599997</v>
      </c>
      <c r="J139">
        <v>0.63888889999999998</v>
      </c>
      <c r="K139">
        <f>_2026_04_17_16_25_21_23_high[[#This Row],[pfwd_filt]]+200</f>
        <v>205.2</v>
      </c>
      <c r="L139">
        <f>_2026_04_17_16_25_21_23_high[[#This Row],[p45_filt]]+200</f>
        <v>209.2</v>
      </c>
      <c r="M139">
        <f>_2026_04_17_16_25_21_23_high[[#This Row],[new_pfwd_filt]]/_2026_04_17_16_25_21_23_high[[#This Row],[new_p45_filt]]</f>
        <v>0.98087954110898656</v>
      </c>
    </row>
    <row r="140" spans="1:13" x14ac:dyDescent="0.3">
      <c r="A140">
        <v>138</v>
      </c>
      <c r="B140">
        <v>2198</v>
      </c>
      <c r="C140" t="b">
        <v>1</v>
      </c>
      <c r="D140">
        <v>8042</v>
      </c>
      <c r="E140">
        <v>8117</v>
      </c>
      <c r="F140">
        <v>4.8</v>
      </c>
      <c r="G140">
        <v>9.1999999999999993</v>
      </c>
      <c r="H140">
        <v>0.52173919999999996</v>
      </c>
      <c r="I140">
        <f xml:space="preserve"> -55.696 * _2026_04_17_16_25_21_23_high[[#This Row],[coeff]] + 79.57</f>
        <v>50.511213516799998</v>
      </c>
      <c r="J140">
        <v>0.65714280000000003</v>
      </c>
      <c r="K140">
        <f>_2026_04_17_16_25_21_23_high[[#This Row],[pfwd_filt]]+200</f>
        <v>204.8</v>
      </c>
      <c r="L140">
        <f>_2026_04_17_16_25_21_23_high[[#This Row],[p45_filt]]+200</f>
        <v>209.2</v>
      </c>
      <c r="M140">
        <f>_2026_04_17_16_25_21_23_high[[#This Row],[new_pfwd_filt]]/_2026_04_17_16_25_21_23_high[[#This Row],[new_p45_filt]]</f>
        <v>0.97896749521988535</v>
      </c>
    </row>
    <row r="141" spans="1:13" x14ac:dyDescent="0.3">
      <c r="A141">
        <v>139</v>
      </c>
      <c r="B141">
        <v>2214</v>
      </c>
      <c r="C141" t="b">
        <v>1</v>
      </c>
      <c r="D141">
        <v>8048</v>
      </c>
      <c r="E141">
        <v>8117</v>
      </c>
      <c r="F141">
        <v>4.4000000000000004</v>
      </c>
      <c r="G141">
        <v>9.1999999999999993</v>
      </c>
      <c r="H141">
        <v>0.47826089999999999</v>
      </c>
      <c r="I141">
        <f xml:space="preserve"> -55.696 * _2026_04_17_16_25_21_23_high[[#This Row],[coeff]] + 79.57</f>
        <v>52.932780913599998</v>
      </c>
      <c r="J141">
        <v>0.67647060000000003</v>
      </c>
      <c r="K141">
        <f>_2026_04_17_16_25_21_23_high[[#This Row],[pfwd_filt]]+200</f>
        <v>204.4</v>
      </c>
      <c r="L141">
        <f>_2026_04_17_16_25_21_23_high[[#This Row],[p45_filt]]+200</f>
        <v>209.2</v>
      </c>
      <c r="M141">
        <f>_2026_04_17_16_25_21_23_high[[#This Row],[new_pfwd_filt]]/_2026_04_17_16_25_21_23_high[[#This Row],[new_p45_filt]]</f>
        <v>0.97705544933078403</v>
      </c>
    </row>
    <row r="142" spans="1:13" x14ac:dyDescent="0.3">
      <c r="A142">
        <v>140</v>
      </c>
      <c r="B142">
        <v>2230</v>
      </c>
      <c r="C142" t="b">
        <v>1</v>
      </c>
      <c r="D142">
        <v>8042</v>
      </c>
      <c r="E142">
        <v>8123</v>
      </c>
      <c r="F142">
        <v>4</v>
      </c>
      <c r="G142">
        <v>9.1999999999999993</v>
      </c>
      <c r="H142">
        <v>0.43478262000000001</v>
      </c>
      <c r="I142">
        <f xml:space="preserve"> -55.696 * _2026_04_17_16_25_21_23_high[[#This Row],[coeff]] + 79.57</f>
        <v>55.354347196479992</v>
      </c>
      <c r="J142">
        <v>0.69696970000000003</v>
      </c>
      <c r="K142">
        <f>_2026_04_17_16_25_21_23_high[[#This Row],[pfwd_filt]]+200</f>
        <v>204</v>
      </c>
      <c r="L142">
        <f>_2026_04_17_16_25_21_23_high[[#This Row],[p45_filt]]+200</f>
        <v>209.2</v>
      </c>
      <c r="M142">
        <f>_2026_04_17_16_25_21_23_high[[#This Row],[new_pfwd_filt]]/_2026_04_17_16_25_21_23_high[[#This Row],[new_p45_filt]]</f>
        <v>0.9751434034416826</v>
      </c>
    </row>
    <row r="143" spans="1:13" x14ac:dyDescent="0.3">
      <c r="A143">
        <v>141</v>
      </c>
      <c r="B143">
        <v>2245</v>
      </c>
      <c r="C143" t="b">
        <v>1</v>
      </c>
      <c r="D143">
        <v>8042</v>
      </c>
      <c r="E143">
        <v>8123</v>
      </c>
      <c r="F143">
        <v>3.6</v>
      </c>
      <c r="G143">
        <v>9.1999999999999993</v>
      </c>
      <c r="H143">
        <v>0.39130433999999997</v>
      </c>
      <c r="I143">
        <f xml:space="preserve"> -55.696 * _2026_04_17_16_25_21_23_high[[#This Row],[coeff]] + 79.57</f>
        <v>57.77591347936</v>
      </c>
      <c r="J143">
        <v>0.71875</v>
      </c>
      <c r="K143">
        <f>_2026_04_17_16_25_21_23_high[[#This Row],[pfwd_filt]]+200</f>
        <v>203.6</v>
      </c>
      <c r="L143">
        <f>_2026_04_17_16_25_21_23_high[[#This Row],[p45_filt]]+200</f>
        <v>209.2</v>
      </c>
      <c r="M143">
        <f>_2026_04_17_16_25_21_23_high[[#This Row],[new_pfwd_filt]]/_2026_04_17_16_25_21_23_high[[#This Row],[new_p45_filt]]</f>
        <v>0.97323135755258128</v>
      </c>
    </row>
    <row r="144" spans="1:13" x14ac:dyDescent="0.3">
      <c r="A144">
        <v>142</v>
      </c>
      <c r="B144">
        <v>2260</v>
      </c>
      <c r="C144" t="b">
        <v>1</v>
      </c>
      <c r="D144">
        <v>8048</v>
      </c>
      <c r="E144">
        <v>8123</v>
      </c>
      <c r="F144">
        <v>3.2</v>
      </c>
      <c r="G144">
        <v>9.1999999999999993</v>
      </c>
      <c r="H144">
        <v>0.34782610000000003</v>
      </c>
      <c r="I144">
        <f xml:space="preserve"> -55.696 * _2026_04_17_16_25_21_23_high[[#This Row],[coeff]] + 79.57</f>
        <v>60.197477534399994</v>
      </c>
      <c r="J144">
        <v>0.74193549999999997</v>
      </c>
      <c r="K144">
        <f>_2026_04_17_16_25_21_23_high[[#This Row],[pfwd_filt]]+200</f>
        <v>203.2</v>
      </c>
      <c r="L144">
        <f>_2026_04_17_16_25_21_23_high[[#This Row],[p45_filt]]+200</f>
        <v>209.2</v>
      </c>
      <c r="M144">
        <f>_2026_04_17_16_25_21_23_high[[#This Row],[new_pfwd_filt]]/_2026_04_17_16_25_21_23_high[[#This Row],[new_p45_filt]]</f>
        <v>0.97131931166347996</v>
      </c>
    </row>
    <row r="145" spans="1:13" x14ac:dyDescent="0.3">
      <c r="A145">
        <v>143</v>
      </c>
      <c r="B145">
        <v>2276</v>
      </c>
      <c r="C145" t="b">
        <v>1</v>
      </c>
      <c r="D145">
        <v>8042</v>
      </c>
      <c r="E145">
        <v>8123</v>
      </c>
      <c r="F145">
        <v>2.8</v>
      </c>
      <c r="G145">
        <v>9.1999999999999993</v>
      </c>
      <c r="H145">
        <v>0.3043478</v>
      </c>
      <c r="I145">
        <f xml:space="preserve"> -55.696 * _2026_04_17_16_25_21_23_high[[#This Row],[coeff]] + 79.57</f>
        <v>62.619044931199994</v>
      </c>
      <c r="J145">
        <v>0.76666665000000001</v>
      </c>
      <c r="K145">
        <f>_2026_04_17_16_25_21_23_high[[#This Row],[pfwd_filt]]+200</f>
        <v>202.8</v>
      </c>
      <c r="L145">
        <f>_2026_04_17_16_25_21_23_high[[#This Row],[p45_filt]]+200</f>
        <v>209.2</v>
      </c>
      <c r="M145">
        <f>_2026_04_17_16_25_21_23_high[[#This Row],[new_pfwd_filt]]/_2026_04_17_16_25_21_23_high[[#This Row],[new_p45_filt]]</f>
        <v>0.96940726577437875</v>
      </c>
    </row>
    <row r="146" spans="1:13" x14ac:dyDescent="0.3">
      <c r="A146">
        <v>144</v>
      </c>
      <c r="B146">
        <v>2292</v>
      </c>
      <c r="C146" t="b">
        <v>1</v>
      </c>
      <c r="D146">
        <v>8048</v>
      </c>
      <c r="E146">
        <v>8117</v>
      </c>
      <c r="F146">
        <v>2.4</v>
      </c>
      <c r="G146">
        <v>9.1999999999999993</v>
      </c>
      <c r="H146">
        <v>0.26086959999999998</v>
      </c>
      <c r="I146">
        <f xml:space="preserve"> -55.696 * _2026_04_17_16_25_21_23_high[[#This Row],[coeff]] + 79.57</f>
        <v>65.040606758400003</v>
      </c>
      <c r="J146">
        <v>0.79310340000000001</v>
      </c>
      <c r="K146">
        <f>_2026_04_17_16_25_21_23_high[[#This Row],[pfwd_filt]]+200</f>
        <v>202.4</v>
      </c>
      <c r="L146">
        <f>_2026_04_17_16_25_21_23_high[[#This Row],[p45_filt]]+200</f>
        <v>209.2</v>
      </c>
      <c r="M146">
        <f>_2026_04_17_16_25_21_23_high[[#This Row],[new_pfwd_filt]]/_2026_04_17_16_25_21_23_high[[#This Row],[new_p45_filt]]</f>
        <v>0.96749521988527731</v>
      </c>
    </row>
    <row r="147" spans="1:13" x14ac:dyDescent="0.3">
      <c r="A147">
        <v>145</v>
      </c>
      <c r="B147">
        <v>2308</v>
      </c>
      <c r="C147" t="b">
        <v>1</v>
      </c>
      <c r="D147">
        <v>8042</v>
      </c>
      <c r="E147">
        <v>8123</v>
      </c>
      <c r="F147">
        <v>2</v>
      </c>
      <c r="G147">
        <v>9.1999999999999993</v>
      </c>
      <c r="H147">
        <v>0.21739131</v>
      </c>
      <c r="I147">
        <f xml:space="preserve"> -55.696 * _2026_04_17_16_25_21_23_high[[#This Row],[coeff]] + 79.57</f>
        <v>67.462173598239985</v>
      </c>
      <c r="J147">
        <v>0.82142859999999995</v>
      </c>
      <c r="K147">
        <f>_2026_04_17_16_25_21_23_high[[#This Row],[pfwd_filt]]+200</f>
        <v>202</v>
      </c>
      <c r="L147">
        <f>_2026_04_17_16_25_21_23_high[[#This Row],[p45_filt]]+200</f>
        <v>209.2</v>
      </c>
      <c r="M147">
        <f>_2026_04_17_16_25_21_23_high[[#This Row],[new_pfwd_filt]]/_2026_04_17_16_25_21_23_high[[#This Row],[new_p45_filt]]</f>
        <v>0.96558317399617599</v>
      </c>
    </row>
    <row r="148" spans="1:13" x14ac:dyDescent="0.3">
      <c r="A148">
        <v>146</v>
      </c>
      <c r="B148">
        <v>2324</v>
      </c>
      <c r="C148" t="b">
        <v>1</v>
      </c>
      <c r="D148">
        <v>8048</v>
      </c>
      <c r="E148">
        <v>8129</v>
      </c>
      <c r="F148">
        <v>2.4</v>
      </c>
      <c r="G148">
        <v>9.1999999999999993</v>
      </c>
      <c r="H148">
        <v>0.26086959999999998</v>
      </c>
      <c r="I148">
        <f xml:space="preserve"> -55.696 * _2026_04_17_16_25_21_23_high[[#This Row],[coeff]] + 79.57</f>
        <v>65.040606758400003</v>
      </c>
      <c r="J148">
        <v>0.79310340000000001</v>
      </c>
      <c r="K148">
        <f>_2026_04_17_16_25_21_23_high[[#This Row],[pfwd_filt]]+200</f>
        <v>202.4</v>
      </c>
      <c r="L148">
        <f>_2026_04_17_16_25_21_23_high[[#This Row],[p45_filt]]+200</f>
        <v>209.2</v>
      </c>
      <c r="M148">
        <f>_2026_04_17_16_25_21_23_high[[#This Row],[new_pfwd_filt]]/_2026_04_17_16_25_21_23_high[[#This Row],[new_p45_filt]]</f>
        <v>0.96749521988527731</v>
      </c>
    </row>
    <row r="149" spans="1:13" x14ac:dyDescent="0.3">
      <c r="A149">
        <v>147</v>
      </c>
      <c r="B149">
        <v>2340</v>
      </c>
      <c r="C149" t="b">
        <v>1</v>
      </c>
      <c r="D149">
        <v>8042</v>
      </c>
      <c r="E149">
        <v>8123</v>
      </c>
      <c r="F149">
        <v>2.4</v>
      </c>
      <c r="G149">
        <v>9.1999999999999993</v>
      </c>
      <c r="H149">
        <v>0.26086959999999998</v>
      </c>
      <c r="I149">
        <f xml:space="preserve"> -55.696 * _2026_04_17_16_25_21_23_high[[#This Row],[coeff]] + 79.57</f>
        <v>65.040606758400003</v>
      </c>
      <c r="J149">
        <v>0.79310340000000001</v>
      </c>
      <c r="K149">
        <f>_2026_04_17_16_25_21_23_high[[#This Row],[pfwd_filt]]+200</f>
        <v>202.4</v>
      </c>
      <c r="L149">
        <f>_2026_04_17_16_25_21_23_high[[#This Row],[p45_filt]]+200</f>
        <v>209.2</v>
      </c>
      <c r="M149">
        <f>_2026_04_17_16_25_21_23_high[[#This Row],[new_pfwd_filt]]/_2026_04_17_16_25_21_23_high[[#This Row],[new_p45_filt]]</f>
        <v>0.96749521988527731</v>
      </c>
    </row>
    <row r="150" spans="1:13" x14ac:dyDescent="0.3">
      <c r="A150">
        <v>148</v>
      </c>
      <c r="B150">
        <v>2356</v>
      </c>
      <c r="C150" t="b">
        <v>1</v>
      </c>
      <c r="D150">
        <v>8048</v>
      </c>
      <c r="E150">
        <v>8123</v>
      </c>
      <c r="F150">
        <v>2.8</v>
      </c>
      <c r="G150">
        <v>9.1999999999999993</v>
      </c>
      <c r="H150">
        <v>0.3043478</v>
      </c>
      <c r="I150">
        <f xml:space="preserve"> -55.696 * _2026_04_17_16_25_21_23_high[[#This Row],[coeff]] + 79.57</f>
        <v>62.619044931199994</v>
      </c>
      <c r="J150">
        <v>0.76666665000000001</v>
      </c>
      <c r="K150">
        <f>_2026_04_17_16_25_21_23_high[[#This Row],[pfwd_filt]]+200</f>
        <v>202.8</v>
      </c>
      <c r="L150">
        <f>_2026_04_17_16_25_21_23_high[[#This Row],[p45_filt]]+200</f>
        <v>209.2</v>
      </c>
      <c r="M150">
        <f>_2026_04_17_16_25_21_23_high[[#This Row],[new_pfwd_filt]]/_2026_04_17_16_25_21_23_high[[#This Row],[new_p45_filt]]</f>
        <v>0.96940726577437875</v>
      </c>
    </row>
    <row r="151" spans="1:13" x14ac:dyDescent="0.3">
      <c r="A151">
        <v>149</v>
      </c>
      <c r="B151">
        <v>2371</v>
      </c>
      <c r="C151" t="b">
        <v>1</v>
      </c>
      <c r="D151">
        <v>8048</v>
      </c>
      <c r="E151">
        <v>8123</v>
      </c>
      <c r="F151">
        <v>3.2</v>
      </c>
      <c r="G151">
        <v>8.8000000000000007</v>
      </c>
      <c r="H151">
        <v>0.36363636999999999</v>
      </c>
      <c r="I151">
        <f xml:space="preserve"> -55.696 * _2026_04_17_16_25_21_23_high[[#This Row],[coeff]] + 79.57</f>
        <v>59.316908736479995</v>
      </c>
      <c r="J151">
        <v>0.73333334999999999</v>
      </c>
      <c r="K151">
        <f>_2026_04_17_16_25_21_23_high[[#This Row],[pfwd_filt]]+200</f>
        <v>203.2</v>
      </c>
      <c r="L151">
        <f>_2026_04_17_16_25_21_23_high[[#This Row],[p45_filt]]+200</f>
        <v>208.8</v>
      </c>
      <c r="M151">
        <f>_2026_04_17_16_25_21_23_high[[#This Row],[new_pfwd_filt]]/_2026_04_17_16_25_21_23_high[[#This Row],[new_p45_filt]]</f>
        <v>0.97318007662835238</v>
      </c>
    </row>
    <row r="152" spans="1:13" x14ac:dyDescent="0.3">
      <c r="A152">
        <v>150</v>
      </c>
      <c r="B152">
        <v>2387</v>
      </c>
      <c r="C152" t="b">
        <v>1</v>
      </c>
      <c r="D152">
        <v>8048</v>
      </c>
      <c r="E152">
        <v>8123</v>
      </c>
      <c r="F152">
        <v>3.6</v>
      </c>
      <c r="G152">
        <v>8.8000000000000007</v>
      </c>
      <c r="H152">
        <v>0.40909087999999999</v>
      </c>
      <c r="I152">
        <f xml:space="preserve"> -55.696 * _2026_04_17_16_25_21_23_high[[#This Row],[coeff]] + 79.57</f>
        <v>56.785274347519994</v>
      </c>
      <c r="J152">
        <v>0.70967745999999998</v>
      </c>
      <c r="K152">
        <f>_2026_04_17_16_25_21_23_high[[#This Row],[pfwd_filt]]+200</f>
        <v>203.6</v>
      </c>
      <c r="L152">
        <f>_2026_04_17_16_25_21_23_high[[#This Row],[p45_filt]]+200</f>
        <v>208.8</v>
      </c>
      <c r="M152">
        <f>_2026_04_17_16_25_21_23_high[[#This Row],[new_pfwd_filt]]/_2026_04_17_16_25_21_23_high[[#This Row],[new_p45_filt]]</f>
        <v>0.97509578544061293</v>
      </c>
    </row>
    <row r="153" spans="1:13" x14ac:dyDescent="0.3">
      <c r="A153">
        <v>151</v>
      </c>
      <c r="B153">
        <v>2402</v>
      </c>
      <c r="C153" t="b">
        <v>1</v>
      </c>
      <c r="D153">
        <v>8048</v>
      </c>
      <c r="E153">
        <v>8123</v>
      </c>
      <c r="F153">
        <v>4</v>
      </c>
      <c r="G153">
        <v>8.4</v>
      </c>
      <c r="H153">
        <v>0.47619050000000002</v>
      </c>
      <c r="I153">
        <f xml:space="preserve"> -55.696 * _2026_04_17_16_25_21_23_high[[#This Row],[coeff]] + 79.57</f>
        <v>53.048093911999992</v>
      </c>
      <c r="J153">
        <v>0.67741936000000003</v>
      </c>
      <c r="K153">
        <f>_2026_04_17_16_25_21_23_high[[#This Row],[pfwd_filt]]+200</f>
        <v>204</v>
      </c>
      <c r="L153">
        <f>_2026_04_17_16_25_21_23_high[[#This Row],[p45_filt]]+200</f>
        <v>208.4</v>
      </c>
      <c r="M153">
        <f>_2026_04_17_16_25_21_23_high[[#This Row],[new_pfwd_filt]]/_2026_04_17_16_25_21_23_high[[#This Row],[new_p45_filt]]</f>
        <v>0.97888675623800381</v>
      </c>
    </row>
    <row r="154" spans="1:13" x14ac:dyDescent="0.3">
      <c r="A154">
        <v>152</v>
      </c>
      <c r="B154">
        <v>2418</v>
      </c>
      <c r="C154" t="b">
        <v>1</v>
      </c>
      <c r="D154">
        <v>8048</v>
      </c>
      <c r="E154">
        <v>8123</v>
      </c>
      <c r="F154">
        <v>4.4000000000000004</v>
      </c>
      <c r="G154">
        <v>8</v>
      </c>
      <c r="H154">
        <v>0.55000000000000004</v>
      </c>
      <c r="I154">
        <f xml:space="preserve"> -55.696 * _2026_04_17_16_25_21_23_high[[#This Row],[coeff]] + 79.57</f>
        <v>48.93719999999999</v>
      </c>
      <c r="J154">
        <v>0.64516132999999998</v>
      </c>
      <c r="K154">
        <f>_2026_04_17_16_25_21_23_high[[#This Row],[pfwd_filt]]+200</f>
        <v>204.4</v>
      </c>
      <c r="L154">
        <f>_2026_04_17_16_25_21_23_high[[#This Row],[p45_filt]]+200</f>
        <v>208</v>
      </c>
      <c r="M154">
        <f>_2026_04_17_16_25_21_23_high[[#This Row],[new_pfwd_filt]]/_2026_04_17_16_25_21_23_high[[#This Row],[new_p45_filt]]</f>
        <v>0.98269230769230775</v>
      </c>
    </row>
    <row r="155" spans="1:13" x14ac:dyDescent="0.3">
      <c r="A155">
        <v>153</v>
      </c>
      <c r="B155">
        <v>2433</v>
      </c>
      <c r="C155" t="b">
        <v>1</v>
      </c>
      <c r="D155">
        <v>8048</v>
      </c>
      <c r="E155">
        <v>8123</v>
      </c>
      <c r="F155">
        <v>4.8</v>
      </c>
      <c r="G155">
        <v>8</v>
      </c>
      <c r="H155">
        <v>0.6</v>
      </c>
      <c r="I155">
        <f xml:space="preserve"> -55.696 * _2026_04_17_16_25_21_23_high[[#This Row],[coeff]] + 79.57</f>
        <v>46.152399999999993</v>
      </c>
      <c r="J155">
        <v>0.625</v>
      </c>
      <c r="K155">
        <f>_2026_04_17_16_25_21_23_high[[#This Row],[pfwd_filt]]+200</f>
        <v>204.8</v>
      </c>
      <c r="L155">
        <f>_2026_04_17_16_25_21_23_high[[#This Row],[p45_filt]]+200</f>
        <v>208</v>
      </c>
      <c r="M155">
        <f>_2026_04_17_16_25_21_23_high[[#This Row],[new_pfwd_filt]]/_2026_04_17_16_25_21_23_high[[#This Row],[new_p45_filt]]</f>
        <v>0.98461538461538467</v>
      </c>
    </row>
    <row r="156" spans="1:13" x14ac:dyDescent="0.3">
      <c r="A156">
        <v>154</v>
      </c>
      <c r="B156">
        <v>2449</v>
      </c>
      <c r="C156" t="b">
        <v>1</v>
      </c>
      <c r="D156">
        <v>8042</v>
      </c>
      <c r="E156">
        <v>8123</v>
      </c>
      <c r="F156">
        <v>5.2</v>
      </c>
      <c r="G156">
        <v>8</v>
      </c>
      <c r="H156">
        <v>0.65</v>
      </c>
      <c r="I156">
        <f xml:space="preserve"> -55.696 * _2026_04_17_16_25_21_23_high[[#This Row],[coeff]] + 79.57</f>
        <v>43.367599999999996</v>
      </c>
      <c r="J156">
        <v>0.60606059999999995</v>
      </c>
      <c r="K156">
        <f>_2026_04_17_16_25_21_23_high[[#This Row],[pfwd_filt]]+200</f>
        <v>205.2</v>
      </c>
      <c r="L156">
        <f>_2026_04_17_16_25_21_23_high[[#This Row],[p45_filt]]+200</f>
        <v>208</v>
      </c>
      <c r="M156">
        <f>_2026_04_17_16_25_21_23_high[[#This Row],[new_pfwd_filt]]/_2026_04_17_16_25_21_23_high[[#This Row],[new_p45_filt]]</f>
        <v>0.98653846153846148</v>
      </c>
    </row>
    <row r="157" spans="1:13" x14ac:dyDescent="0.3">
      <c r="A157">
        <v>155</v>
      </c>
      <c r="B157">
        <v>2465</v>
      </c>
      <c r="C157" t="b">
        <v>1</v>
      </c>
      <c r="D157">
        <v>8042</v>
      </c>
      <c r="E157">
        <v>8123</v>
      </c>
      <c r="F157">
        <v>5.6</v>
      </c>
      <c r="G157">
        <v>8</v>
      </c>
      <c r="H157">
        <v>0.7</v>
      </c>
      <c r="I157">
        <f xml:space="preserve"> -55.696 * _2026_04_17_16_25_21_23_high[[#This Row],[coeff]] + 79.57</f>
        <v>40.582799999999999</v>
      </c>
      <c r="J157">
        <v>0.58823526000000004</v>
      </c>
      <c r="K157">
        <f>_2026_04_17_16_25_21_23_high[[#This Row],[pfwd_filt]]+200</f>
        <v>205.6</v>
      </c>
      <c r="L157">
        <f>_2026_04_17_16_25_21_23_high[[#This Row],[p45_filt]]+200</f>
        <v>208</v>
      </c>
      <c r="M157">
        <f>_2026_04_17_16_25_21_23_high[[#This Row],[new_pfwd_filt]]/_2026_04_17_16_25_21_23_high[[#This Row],[new_p45_filt]]</f>
        <v>0.98846153846153839</v>
      </c>
    </row>
    <row r="158" spans="1:13" x14ac:dyDescent="0.3">
      <c r="A158">
        <v>156</v>
      </c>
      <c r="B158">
        <v>2481</v>
      </c>
      <c r="C158" t="b">
        <v>1</v>
      </c>
      <c r="D158">
        <v>8042</v>
      </c>
      <c r="E158">
        <v>8123</v>
      </c>
      <c r="F158">
        <v>5.6</v>
      </c>
      <c r="G158">
        <v>8</v>
      </c>
      <c r="H158">
        <v>0.7</v>
      </c>
      <c r="I158">
        <f xml:space="preserve"> -55.696 * _2026_04_17_16_25_21_23_high[[#This Row],[coeff]] + 79.57</f>
        <v>40.582799999999999</v>
      </c>
      <c r="J158">
        <v>0.58823526000000004</v>
      </c>
      <c r="K158">
        <f>_2026_04_17_16_25_21_23_high[[#This Row],[pfwd_filt]]+200</f>
        <v>205.6</v>
      </c>
      <c r="L158">
        <f>_2026_04_17_16_25_21_23_high[[#This Row],[p45_filt]]+200</f>
        <v>208</v>
      </c>
      <c r="M158">
        <f>_2026_04_17_16_25_21_23_high[[#This Row],[new_pfwd_filt]]/_2026_04_17_16_25_21_23_high[[#This Row],[new_p45_filt]]</f>
        <v>0.98846153846153839</v>
      </c>
    </row>
    <row r="159" spans="1:13" x14ac:dyDescent="0.3">
      <c r="A159">
        <v>157</v>
      </c>
      <c r="B159">
        <v>2497</v>
      </c>
      <c r="C159" t="b">
        <v>1</v>
      </c>
      <c r="D159">
        <v>8042</v>
      </c>
      <c r="E159">
        <v>8123</v>
      </c>
      <c r="F159">
        <v>5.6</v>
      </c>
      <c r="G159">
        <v>8</v>
      </c>
      <c r="H159">
        <v>0.7</v>
      </c>
      <c r="I159">
        <f xml:space="preserve"> -55.696 * _2026_04_17_16_25_21_23_high[[#This Row],[coeff]] + 79.57</f>
        <v>40.582799999999999</v>
      </c>
      <c r="J159">
        <v>0.58823526000000004</v>
      </c>
      <c r="K159">
        <f>_2026_04_17_16_25_21_23_high[[#This Row],[pfwd_filt]]+200</f>
        <v>205.6</v>
      </c>
      <c r="L159">
        <f>_2026_04_17_16_25_21_23_high[[#This Row],[p45_filt]]+200</f>
        <v>208</v>
      </c>
      <c r="M159">
        <f>_2026_04_17_16_25_21_23_high[[#This Row],[new_pfwd_filt]]/_2026_04_17_16_25_21_23_high[[#This Row],[new_p45_filt]]</f>
        <v>0.98846153846153839</v>
      </c>
    </row>
    <row r="160" spans="1:13" x14ac:dyDescent="0.3">
      <c r="A160">
        <v>158</v>
      </c>
      <c r="B160">
        <v>2512</v>
      </c>
      <c r="C160" t="b">
        <v>1</v>
      </c>
      <c r="D160">
        <v>8048</v>
      </c>
      <c r="E160">
        <v>8129</v>
      </c>
      <c r="F160">
        <v>5.6</v>
      </c>
      <c r="G160">
        <v>8</v>
      </c>
      <c r="H160">
        <v>0.7</v>
      </c>
      <c r="I160">
        <f xml:space="preserve"> -55.696 * _2026_04_17_16_25_21_23_high[[#This Row],[coeff]] + 79.57</f>
        <v>40.582799999999999</v>
      </c>
      <c r="J160">
        <v>0.58823526000000004</v>
      </c>
      <c r="K160">
        <f>_2026_04_17_16_25_21_23_high[[#This Row],[pfwd_filt]]+200</f>
        <v>205.6</v>
      </c>
      <c r="L160">
        <f>_2026_04_17_16_25_21_23_high[[#This Row],[p45_filt]]+200</f>
        <v>208</v>
      </c>
      <c r="M160">
        <f>_2026_04_17_16_25_21_23_high[[#This Row],[new_pfwd_filt]]/_2026_04_17_16_25_21_23_high[[#This Row],[new_p45_filt]]</f>
        <v>0.98846153846153839</v>
      </c>
    </row>
    <row r="161" spans="1:13" x14ac:dyDescent="0.3">
      <c r="A161">
        <v>159</v>
      </c>
      <c r="B161">
        <v>2528</v>
      </c>
      <c r="C161" t="b">
        <v>1</v>
      </c>
      <c r="D161">
        <v>8048</v>
      </c>
      <c r="E161">
        <v>8129</v>
      </c>
      <c r="F161">
        <v>5.6</v>
      </c>
      <c r="G161">
        <v>8</v>
      </c>
      <c r="H161">
        <v>0.7</v>
      </c>
      <c r="I161">
        <f xml:space="preserve"> -55.696 * _2026_04_17_16_25_21_23_high[[#This Row],[coeff]] + 79.57</f>
        <v>40.582799999999999</v>
      </c>
      <c r="J161">
        <v>0.58823526000000004</v>
      </c>
      <c r="K161">
        <f>_2026_04_17_16_25_21_23_high[[#This Row],[pfwd_filt]]+200</f>
        <v>205.6</v>
      </c>
      <c r="L161">
        <f>_2026_04_17_16_25_21_23_high[[#This Row],[p45_filt]]+200</f>
        <v>208</v>
      </c>
      <c r="M161">
        <f>_2026_04_17_16_25_21_23_high[[#This Row],[new_pfwd_filt]]/_2026_04_17_16_25_21_23_high[[#This Row],[new_p45_filt]]</f>
        <v>0.98846153846153839</v>
      </c>
    </row>
    <row r="162" spans="1:13" x14ac:dyDescent="0.3">
      <c r="A162">
        <v>160</v>
      </c>
      <c r="B162">
        <v>2544</v>
      </c>
      <c r="C162" t="b">
        <v>1</v>
      </c>
      <c r="D162">
        <v>8042</v>
      </c>
      <c r="E162">
        <v>8123</v>
      </c>
      <c r="F162">
        <v>5.6</v>
      </c>
      <c r="G162">
        <v>8</v>
      </c>
      <c r="H162">
        <v>0.7</v>
      </c>
      <c r="I162">
        <f xml:space="preserve"> -55.696 * _2026_04_17_16_25_21_23_high[[#This Row],[coeff]] + 79.57</f>
        <v>40.582799999999999</v>
      </c>
      <c r="J162">
        <v>0.58823526000000004</v>
      </c>
      <c r="K162">
        <f>_2026_04_17_16_25_21_23_high[[#This Row],[pfwd_filt]]+200</f>
        <v>205.6</v>
      </c>
      <c r="L162">
        <f>_2026_04_17_16_25_21_23_high[[#This Row],[p45_filt]]+200</f>
        <v>208</v>
      </c>
      <c r="M162">
        <f>_2026_04_17_16_25_21_23_high[[#This Row],[new_pfwd_filt]]/_2026_04_17_16_25_21_23_high[[#This Row],[new_p45_filt]]</f>
        <v>0.98846153846153839</v>
      </c>
    </row>
    <row r="163" spans="1:13" x14ac:dyDescent="0.3">
      <c r="A163">
        <v>161</v>
      </c>
      <c r="B163">
        <v>2560</v>
      </c>
      <c r="C163" t="b">
        <v>1</v>
      </c>
      <c r="D163">
        <v>8042</v>
      </c>
      <c r="E163">
        <v>8123</v>
      </c>
      <c r="F163">
        <v>5.2</v>
      </c>
      <c r="G163">
        <v>8</v>
      </c>
      <c r="H163">
        <v>0.65</v>
      </c>
      <c r="I163">
        <f xml:space="preserve"> -55.696 * _2026_04_17_16_25_21_23_high[[#This Row],[coeff]] + 79.57</f>
        <v>43.367599999999996</v>
      </c>
      <c r="J163">
        <v>0.60606059999999995</v>
      </c>
      <c r="K163">
        <f>_2026_04_17_16_25_21_23_high[[#This Row],[pfwd_filt]]+200</f>
        <v>205.2</v>
      </c>
      <c r="L163">
        <f>_2026_04_17_16_25_21_23_high[[#This Row],[p45_filt]]+200</f>
        <v>208</v>
      </c>
      <c r="M163">
        <f>_2026_04_17_16_25_21_23_high[[#This Row],[new_pfwd_filt]]/_2026_04_17_16_25_21_23_high[[#This Row],[new_p45_filt]]</f>
        <v>0.98653846153846148</v>
      </c>
    </row>
    <row r="164" spans="1:13" x14ac:dyDescent="0.3">
      <c r="A164">
        <v>162</v>
      </c>
      <c r="B164">
        <v>2575</v>
      </c>
      <c r="C164" t="b">
        <v>1</v>
      </c>
      <c r="D164">
        <v>8042</v>
      </c>
      <c r="E164">
        <v>8123</v>
      </c>
      <c r="F164">
        <v>5.2</v>
      </c>
      <c r="G164">
        <v>8</v>
      </c>
      <c r="H164">
        <v>0.65</v>
      </c>
      <c r="I164">
        <f xml:space="preserve"> -55.696 * _2026_04_17_16_25_21_23_high[[#This Row],[coeff]] + 79.57</f>
        <v>43.367599999999996</v>
      </c>
      <c r="J164">
        <v>0.60606059999999995</v>
      </c>
      <c r="K164">
        <f>_2026_04_17_16_25_21_23_high[[#This Row],[pfwd_filt]]+200</f>
        <v>205.2</v>
      </c>
      <c r="L164">
        <f>_2026_04_17_16_25_21_23_high[[#This Row],[p45_filt]]+200</f>
        <v>208</v>
      </c>
      <c r="M164">
        <f>_2026_04_17_16_25_21_23_high[[#This Row],[new_pfwd_filt]]/_2026_04_17_16_25_21_23_high[[#This Row],[new_p45_filt]]</f>
        <v>0.98653846153846148</v>
      </c>
    </row>
    <row r="165" spans="1:13" x14ac:dyDescent="0.3">
      <c r="A165">
        <v>163</v>
      </c>
      <c r="B165">
        <v>2591</v>
      </c>
      <c r="C165" t="b">
        <v>1</v>
      </c>
      <c r="D165">
        <v>8048</v>
      </c>
      <c r="E165">
        <v>8123</v>
      </c>
      <c r="F165">
        <v>4.8</v>
      </c>
      <c r="G165">
        <v>8</v>
      </c>
      <c r="H165">
        <v>0.6</v>
      </c>
      <c r="I165">
        <f xml:space="preserve"> -55.696 * _2026_04_17_16_25_21_23_high[[#This Row],[coeff]] + 79.57</f>
        <v>46.152399999999993</v>
      </c>
      <c r="J165">
        <v>0.625</v>
      </c>
      <c r="K165">
        <f>_2026_04_17_16_25_21_23_high[[#This Row],[pfwd_filt]]+200</f>
        <v>204.8</v>
      </c>
      <c r="L165">
        <f>_2026_04_17_16_25_21_23_high[[#This Row],[p45_filt]]+200</f>
        <v>208</v>
      </c>
      <c r="M165">
        <f>_2026_04_17_16_25_21_23_high[[#This Row],[new_pfwd_filt]]/_2026_04_17_16_25_21_23_high[[#This Row],[new_p45_filt]]</f>
        <v>0.98461538461538467</v>
      </c>
    </row>
    <row r="166" spans="1:13" x14ac:dyDescent="0.3">
      <c r="A166">
        <v>164</v>
      </c>
      <c r="B166">
        <v>2606</v>
      </c>
      <c r="C166" t="b">
        <v>1</v>
      </c>
      <c r="D166">
        <v>8048</v>
      </c>
      <c r="E166">
        <v>8123</v>
      </c>
      <c r="F166">
        <v>4.4000000000000004</v>
      </c>
      <c r="G166">
        <v>8</v>
      </c>
      <c r="H166">
        <v>0.55000000000000004</v>
      </c>
      <c r="I166">
        <f xml:space="preserve"> -55.696 * _2026_04_17_16_25_21_23_high[[#This Row],[coeff]] + 79.57</f>
        <v>48.93719999999999</v>
      </c>
      <c r="J166">
        <v>0.64516132999999998</v>
      </c>
      <c r="K166">
        <f>_2026_04_17_16_25_21_23_high[[#This Row],[pfwd_filt]]+200</f>
        <v>204.4</v>
      </c>
      <c r="L166">
        <f>_2026_04_17_16_25_21_23_high[[#This Row],[p45_filt]]+200</f>
        <v>208</v>
      </c>
      <c r="M166">
        <f>_2026_04_17_16_25_21_23_high[[#This Row],[new_pfwd_filt]]/_2026_04_17_16_25_21_23_high[[#This Row],[new_p45_filt]]</f>
        <v>0.98269230769230775</v>
      </c>
    </row>
    <row r="167" spans="1:13" x14ac:dyDescent="0.3">
      <c r="A167">
        <v>165</v>
      </c>
      <c r="B167">
        <v>2623</v>
      </c>
      <c r="C167" t="b">
        <v>1</v>
      </c>
      <c r="D167">
        <v>8048</v>
      </c>
      <c r="E167">
        <v>8129</v>
      </c>
      <c r="F167">
        <v>4.4000000000000004</v>
      </c>
      <c r="G167">
        <v>8</v>
      </c>
      <c r="H167">
        <v>0.55000000000000004</v>
      </c>
      <c r="I167">
        <f xml:space="preserve"> -55.696 * _2026_04_17_16_25_21_23_high[[#This Row],[coeff]] + 79.57</f>
        <v>48.93719999999999</v>
      </c>
      <c r="J167">
        <v>0.64516132999999998</v>
      </c>
      <c r="K167">
        <f>_2026_04_17_16_25_21_23_high[[#This Row],[pfwd_filt]]+200</f>
        <v>204.4</v>
      </c>
      <c r="L167">
        <f>_2026_04_17_16_25_21_23_high[[#This Row],[p45_filt]]+200</f>
        <v>208</v>
      </c>
      <c r="M167">
        <f>_2026_04_17_16_25_21_23_high[[#This Row],[new_pfwd_filt]]/_2026_04_17_16_25_21_23_high[[#This Row],[new_p45_filt]]</f>
        <v>0.98269230769230775</v>
      </c>
    </row>
    <row r="168" spans="1:13" x14ac:dyDescent="0.3">
      <c r="A168">
        <v>166</v>
      </c>
      <c r="B168">
        <v>2638</v>
      </c>
      <c r="C168" t="b">
        <v>1</v>
      </c>
      <c r="D168">
        <v>8042</v>
      </c>
      <c r="E168">
        <v>8129</v>
      </c>
      <c r="F168">
        <v>4.4000000000000004</v>
      </c>
      <c r="G168">
        <v>8</v>
      </c>
      <c r="H168">
        <v>0.55000000000000004</v>
      </c>
      <c r="I168">
        <f xml:space="preserve"> -55.696 * _2026_04_17_16_25_21_23_high[[#This Row],[coeff]] + 79.57</f>
        <v>48.93719999999999</v>
      </c>
      <c r="J168">
        <v>0.64516132999999998</v>
      </c>
      <c r="K168">
        <f>_2026_04_17_16_25_21_23_high[[#This Row],[pfwd_filt]]+200</f>
        <v>204.4</v>
      </c>
      <c r="L168">
        <f>_2026_04_17_16_25_21_23_high[[#This Row],[p45_filt]]+200</f>
        <v>208</v>
      </c>
      <c r="M168">
        <f>_2026_04_17_16_25_21_23_high[[#This Row],[new_pfwd_filt]]/_2026_04_17_16_25_21_23_high[[#This Row],[new_p45_filt]]</f>
        <v>0.98269230769230775</v>
      </c>
    </row>
    <row r="169" spans="1:13" x14ac:dyDescent="0.3">
      <c r="A169">
        <v>167</v>
      </c>
      <c r="B169">
        <v>2654</v>
      </c>
      <c r="C169" t="b">
        <v>1</v>
      </c>
      <c r="D169">
        <v>8048</v>
      </c>
      <c r="E169">
        <v>8123</v>
      </c>
      <c r="F169">
        <v>4.4000000000000004</v>
      </c>
      <c r="G169">
        <v>8</v>
      </c>
      <c r="H169">
        <v>0.55000000000000004</v>
      </c>
      <c r="I169">
        <f xml:space="preserve"> -55.696 * _2026_04_17_16_25_21_23_high[[#This Row],[coeff]] + 79.57</f>
        <v>48.93719999999999</v>
      </c>
      <c r="J169">
        <v>0.64516132999999998</v>
      </c>
      <c r="K169">
        <f>_2026_04_17_16_25_21_23_high[[#This Row],[pfwd_filt]]+200</f>
        <v>204.4</v>
      </c>
      <c r="L169">
        <f>_2026_04_17_16_25_21_23_high[[#This Row],[p45_filt]]+200</f>
        <v>208</v>
      </c>
      <c r="M169">
        <f>_2026_04_17_16_25_21_23_high[[#This Row],[new_pfwd_filt]]/_2026_04_17_16_25_21_23_high[[#This Row],[new_p45_filt]]</f>
        <v>0.98269230769230775</v>
      </c>
    </row>
    <row r="170" spans="1:13" x14ac:dyDescent="0.3">
      <c r="A170">
        <v>168</v>
      </c>
      <c r="B170">
        <v>2670</v>
      </c>
      <c r="C170" t="b">
        <v>1</v>
      </c>
      <c r="D170">
        <v>8048</v>
      </c>
      <c r="E170">
        <v>8117</v>
      </c>
      <c r="F170">
        <v>4.4000000000000004</v>
      </c>
      <c r="G170">
        <v>8</v>
      </c>
      <c r="H170">
        <v>0.55000000000000004</v>
      </c>
      <c r="I170">
        <f xml:space="preserve"> -55.696 * _2026_04_17_16_25_21_23_high[[#This Row],[coeff]] + 79.57</f>
        <v>48.93719999999999</v>
      </c>
      <c r="J170">
        <v>0.64516132999999998</v>
      </c>
      <c r="K170">
        <f>_2026_04_17_16_25_21_23_high[[#This Row],[pfwd_filt]]+200</f>
        <v>204.4</v>
      </c>
      <c r="L170">
        <f>_2026_04_17_16_25_21_23_high[[#This Row],[p45_filt]]+200</f>
        <v>208</v>
      </c>
      <c r="M170">
        <f>_2026_04_17_16_25_21_23_high[[#This Row],[new_pfwd_filt]]/_2026_04_17_16_25_21_23_high[[#This Row],[new_p45_filt]]</f>
        <v>0.98269230769230775</v>
      </c>
    </row>
    <row r="171" spans="1:13" x14ac:dyDescent="0.3">
      <c r="A171">
        <v>169</v>
      </c>
      <c r="B171">
        <v>2686</v>
      </c>
      <c r="C171" t="b">
        <v>1</v>
      </c>
      <c r="D171">
        <v>8042</v>
      </c>
      <c r="E171">
        <v>8123</v>
      </c>
      <c r="F171">
        <v>4.4000000000000004</v>
      </c>
      <c r="G171">
        <v>8</v>
      </c>
      <c r="H171">
        <v>0.55000000000000004</v>
      </c>
      <c r="I171">
        <f xml:space="preserve"> -55.696 * _2026_04_17_16_25_21_23_high[[#This Row],[coeff]] + 79.57</f>
        <v>48.93719999999999</v>
      </c>
      <c r="J171">
        <v>0.64516132999999998</v>
      </c>
      <c r="K171">
        <f>_2026_04_17_16_25_21_23_high[[#This Row],[pfwd_filt]]+200</f>
        <v>204.4</v>
      </c>
      <c r="L171">
        <f>_2026_04_17_16_25_21_23_high[[#This Row],[p45_filt]]+200</f>
        <v>208</v>
      </c>
      <c r="M171">
        <f>_2026_04_17_16_25_21_23_high[[#This Row],[new_pfwd_filt]]/_2026_04_17_16_25_21_23_high[[#This Row],[new_p45_filt]]</f>
        <v>0.98269230769230775</v>
      </c>
    </row>
    <row r="172" spans="1:13" x14ac:dyDescent="0.3">
      <c r="A172">
        <v>170</v>
      </c>
      <c r="B172">
        <v>2702</v>
      </c>
      <c r="C172" t="b">
        <v>1</v>
      </c>
      <c r="D172">
        <v>8048</v>
      </c>
      <c r="E172">
        <v>8123</v>
      </c>
      <c r="F172">
        <v>4.4000000000000004</v>
      </c>
      <c r="G172">
        <v>8</v>
      </c>
      <c r="H172">
        <v>0.55000000000000004</v>
      </c>
      <c r="I172">
        <f xml:space="preserve"> -55.696 * _2026_04_17_16_25_21_23_high[[#This Row],[coeff]] + 79.57</f>
        <v>48.93719999999999</v>
      </c>
      <c r="J172">
        <v>0.64516132999999998</v>
      </c>
      <c r="K172">
        <f>_2026_04_17_16_25_21_23_high[[#This Row],[pfwd_filt]]+200</f>
        <v>204.4</v>
      </c>
      <c r="L172">
        <f>_2026_04_17_16_25_21_23_high[[#This Row],[p45_filt]]+200</f>
        <v>208</v>
      </c>
      <c r="M172">
        <f>_2026_04_17_16_25_21_23_high[[#This Row],[new_pfwd_filt]]/_2026_04_17_16_25_21_23_high[[#This Row],[new_p45_filt]]</f>
        <v>0.98269230769230775</v>
      </c>
    </row>
    <row r="173" spans="1:13" x14ac:dyDescent="0.3">
      <c r="A173">
        <v>171</v>
      </c>
      <c r="B173">
        <v>2718</v>
      </c>
      <c r="C173" t="b">
        <v>1</v>
      </c>
      <c r="D173">
        <v>8048</v>
      </c>
      <c r="E173">
        <v>8123</v>
      </c>
      <c r="F173">
        <v>4.8</v>
      </c>
      <c r="G173">
        <v>8</v>
      </c>
      <c r="H173">
        <v>0.6</v>
      </c>
      <c r="I173">
        <f xml:space="preserve"> -55.696 * _2026_04_17_16_25_21_23_high[[#This Row],[coeff]] + 79.57</f>
        <v>46.152399999999993</v>
      </c>
      <c r="J173">
        <v>0.625</v>
      </c>
      <c r="K173">
        <f>_2026_04_17_16_25_21_23_high[[#This Row],[pfwd_filt]]+200</f>
        <v>204.8</v>
      </c>
      <c r="L173">
        <f>_2026_04_17_16_25_21_23_high[[#This Row],[p45_filt]]+200</f>
        <v>208</v>
      </c>
      <c r="M173">
        <f>_2026_04_17_16_25_21_23_high[[#This Row],[new_pfwd_filt]]/_2026_04_17_16_25_21_23_high[[#This Row],[new_p45_filt]]</f>
        <v>0.98461538461538467</v>
      </c>
    </row>
    <row r="174" spans="1:13" x14ac:dyDescent="0.3">
      <c r="A174">
        <v>172</v>
      </c>
      <c r="B174">
        <v>2733</v>
      </c>
      <c r="C174" t="b">
        <v>1</v>
      </c>
      <c r="D174">
        <v>8048</v>
      </c>
      <c r="E174">
        <v>8134</v>
      </c>
      <c r="F174">
        <v>5.2</v>
      </c>
      <c r="G174">
        <v>8</v>
      </c>
      <c r="H174">
        <v>0.65</v>
      </c>
      <c r="I174">
        <f xml:space="preserve"> -55.696 * _2026_04_17_16_25_21_23_high[[#This Row],[coeff]] + 79.57</f>
        <v>43.367599999999996</v>
      </c>
      <c r="J174">
        <v>0.60606059999999995</v>
      </c>
      <c r="K174">
        <f>_2026_04_17_16_25_21_23_high[[#This Row],[pfwd_filt]]+200</f>
        <v>205.2</v>
      </c>
      <c r="L174">
        <f>_2026_04_17_16_25_21_23_high[[#This Row],[p45_filt]]+200</f>
        <v>208</v>
      </c>
      <c r="M174">
        <f>_2026_04_17_16_25_21_23_high[[#This Row],[new_pfwd_filt]]/_2026_04_17_16_25_21_23_high[[#This Row],[new_p45_filt]]</f>
        <v>0.98653846153846148</v>
      </c>
    </row>
    <row r="175" spans="1:13" x14ac:dyDescent="0.3">
      <c r="A175">
        <v>173</v>
      </c>
      <c r="B175">
        <v>2749</v>
      </c>
      <c r="C175" t="b">
        <v>1</v>
      </c>
      <c r="D175">
        <v>8048</v>
      </c>
      <c r="E175">
        <v>8129</v>
      </c>
      <c r="F175">
        <v>5.6</v>
      </c>
      <c r="G175">
        <v>8</v>
      </c>
      <c r="H175">
        <v>0.7</v>
      </c>
      <c r="I175">
        <f xml:space="preserve"> -55.696 * _2026_04_17_16_25_21_23_high[[#This Row],[coeff]] + 79.57</f>
        <v>40.582799999999999</v>
      </c>
      <c r="J175">
        <v>0.58823526000000004</v>
      </c>
      <c r="K175">
        <f>_2026_04_17_16_25_21_23_high[[#This Row],[pfwd_filt]]+200</f>
        <v>205.6</v>
      </c>
      <c r="L175">
        <f>_2026_04_17_16_25_21_23_high[[#This Row],[p45_filt]]+200</f>
        <v>208</v>
      </c>
      <c r="M175">
        <f>_2026_04_17_16_25_21_23_high[[#This Row],[new_pfwd_filt]]/_2026_04_17_16_25_21_23_high[[#This Row],[new_p45_filt]]</f>
        <v>0.98846153846153839</v>
      </c>
    </row>
    <row r="176" spans="1:13" x14ac:dyDescent="0.3">
      <c r="A176">
        <v>174</v>
      </c>
      <c r="B176">
        <v>2765</v>
      </c>
      <c r="C176" t="b">
        <v>1</v>
      </c>
      <c r="D176">
        <v>8048</v>
      </c>
      <c r="E176">
        <v>8123</v>
      </c>
      <c r="F176">
        <v>6</v>
      </c>
      <c r="G176">
        <v>8</v>
      </c>
      <c r="H176">
        <v>0.75</v>
      </c>
      <c r="I176">
        <f xml:space="preserve"> -55.696 * _2026_04_17_16_25_21_23_high[[#This Row],[coeff]] + 79.57</f>
        <v>37.797999999999995</v>
      </c>
      <c r="J176">
        <v>0.57142859999999995</v>
      </c>
      <c r="K176">
        <f>_2026_04_17_16_25_21_23_high[[#This Row],[pfwd_filt]]+200</f>
        <v>206</v>
      </c>
      <c r="L176">
        <f>_2026_04_17_16_25_21_23_high[[#This Row],[p45_filt]]+200</f>
        <v>208</v>
      </c>
      <c r="M176">
        <f>_2026_04_17_16_25_21_23_high[[#This Row],[new_pfwd_filt]]/_2026_04_17_16_25_21_23_high[[#This Row],[new_p45_filt]]</f>
        <v>0.99038461538461542</v>
      </c>
    </row>
    <row r="177" spans="1:13" x14ac:dyDescent="0.3">
      <c r="A177">
        <v>175</v>
      </c>
      <c r="B177">
        <v>2781</v>
      </c>
      <c r="C177" t="b">
        <v>1</v>
      </c>
      <c r="D177">
        <v>8048</v>
      </c>
      <c r="E177">
        <v>8123</v>
      </c>
      <c r="F177">
        <v>6.4</v>
      </c>
      <c r="G177">
        <v>8</v>
      </c>
      <c r="H177">
        <v>0.8</v>
      </c>
      <c r="I177">
        <f xml:space="preserve"> -55.696 * _2026_04_17_16_25_21_23_high[[#This Row],[coeff]] + 79.57</f>
        <v>35.013199999999991</v>
      </c>
      <c r="J177">
        <v>0.55555560000000004</v>
      </c>
      <c r="K177">
        <f>_2026_04_17_16_25_21_23_high[[#This Row],[pfwd_filt]]+200</f>
        <v>206.4</v>
      </c>
      <c r="L177">
        <f>_2026_04_17_16_25_21_23_high[[#This Row],[p45_filt]]+200</f>
        <v>208</v>
      </c>
      <c r="M177">
        <f>_2026_04_17_16_25_21_23_high[[#This Row],[new_pfwd_filt]]/_2026_04_17_16_25_21_23_high[[#This Row],[new_p45_filt]]</f>
        <v>0.99230769230769234</v>
      </c>
    </row>
    <row r="178" spans="1:13" x14ac:dyDescent="0.3">
      <c r="A178">
        <v>176</v>
      </c>
      <c r="B178">
        <v>2797</v>
      </c>
      <c r="C178" t="b">
        <v>1</v>
      </c>
      <c r="D178">
        <v>8042</v>
      </c>
      <c r="E178">
        <v>8123</v>
      </c>
      <c r="F178">
        <v>6.8</v>
      </c>
      <c r="G178">
        <v>8</v>
      </c>
      <c r="H178">
        <v>0.85</v>
      </c>
      <c r="I178">
        <f xml:space="preserve"> -55.696 * _2026_04_17_16_25_21_23_high[[#This Row],[coeff]] + 79.57</f>
        <v>32.228399999999993</v>
      </c>
      <c r="J178">
        <v>0.54054049999999998</v>
      </c>
      <c r="K178">
        <f>_2026_04_17_16_25_21_23_high[[#This Row],[pfwd_filt]]+200</f>
        <v>206.8</v>
      </c>
      <c r="L178">
        <f>_2026_04_17_16_25_21_23_high[[#This Row],[p45_filt]]+200</f>
        <v>208</v>
      </c>
      <c r="M178">
        <f>_2026_04_17_16_25_21_23_high[[#This Row],[new_pfwd_filt]]/_2026_04_17_16_25_21_23_high[[#This Row],[new_p45_filt]]</f>
        <v>0.99423076923076925</v>
      </c>
    </row>
    <row r="179" spans="1:13" x14ac:dyDescent="0.3">
      <c r="A179">
        <v>177</v>
      </c>
      <c r="B179">
        <v>2813</v>
      </c>
      <c r="C179" t="b">
        <v>1</v>
      </c>
      <c r="D179">
        <v>8048</v>
      </c>
      <c r="E179">
        <v>8129</v>
      </c>
      <c r="F179">
        <v>7.2</v>
      </c>
      <c r="G179">
        <v>8</v>
      </c>
      <c r="H179">
        <v>0.9</v>
      </c>
      <c r="I179">
        <f xml:space="preserve"> -55.696 * _2026_04_17_16_25_21_23_high[[#This Row],[coeff]] + 79.57</f>
        <v>29.443599999999996</v>
      </c>
      <c r="J179">
        <v>0.5263158</v>
      </c>
      <c r="K179">
        <f>_2026_04_17_16_25_21_23_high[[#This Row],[pfwd_filt]]+200</f>
        <v>207.2</v>
      </c>
      <c r="L179">
        <f>_2026_04_17_16_25_21_23_high[[#This Row],[p45_filt]]+200</f>
        <v>208</v>
      </c>
      <c r="M179">
        <f>_2026_04_17_16_25_21_23_high[[#This Row],[new_pfwd_filt]]/_2026_04_17_16_25_21_23_high[[#This Row],[new_p45_filt]]</f>
        <v>0.99615384615384606</v>
      </c>
    </row>
    <row r="180" spans="1:13" x14ac:dyDescent="0.3">
      <c r="A180">
        <v>178</v>
      </c>
      <c r="B180">
        <v>2829</v>
      </c>
      <c r="C180" t="b">
        <v>1</v>
      </c>
      <c r="D180">
        <v>8048</v>
      </c>
      <c r="E180">
        <v>8129</v>
      </c>
      <c r="F180">
        <v>7.6</v>
      </c>
      <c r="G180">
        <v>8</v>
      </c>
      <c r="H180">
        <v>0.95</v>
      </c>
      <c r="I180">
        <f xml:space="preserve"> -55.696 * _2026_04_17_16_25_21_23_high[[#This Row],[coeff]] + 79.57</f>
        <v>26.658799999999999</v>
      </c>
      <c r="J180">
        <v>0.51282050000000001</v>
      </c>
      <c r="K180">
        <f>_2026_04_17_16_25_21_23_high[[#This Row],[pfwd_filt]]+200</f>
        <v>207.6</v>
      </c>
      <c r="L180">
        <f>_2026_04_17_16_25_21_23_high[[#This Row],[p45_filt]]+200</f>
        <v>208</v>
      </c>
      <c r="M180">
        <f>_2026_04_17_16_25_21_23_high[[#This Row],[new_pfwd_filt]]/_2026_04_17_16_25_21_23_high[[#This Row],[new_p45_filt]]</f>
        <v>0.99807692307692308</v>
      </c>
    </row>
    <row r="181" spans="1:13" x14ac:dyDescent="0.3">
      <c r="A181">
        <v>179</v>
      </c>
      <c r="B181">
        <v>2844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f xml:space="preserve"> -55.696 * _2026_04_17_16_25_21_23_high[[#This Row],[coeff]] + 79.57</f>
        <v>23.873999999999995</v>
      </c>
      <c r="J181">
        <v>0.5</v>
      </c>
      <c r="K181">
        <f>_2026_04_17_16_25_21_23_high[[#This Row],[pfwd_filt]]+200</f>
        <v>208</v>
      </c>
      <c r="L181">
        <f>_2026_04_17_16_25_21_23_high[[#This Row],[p45_filt]]+200</f>
        <v>208</v>
      </c>
      <c r="M181">
        <f>_2026_04_17_16_25_21_23_high[[#This Row],[new_pfwd_filt]]/_2026_04_17_16_25_21_23_high[[#This Row],[new_p45_filt]]</f>
        <v>1</v>
      </c>
    </row>
    <row r="182" spans="1:13" x14ac:dyDescent="0.3">
      <c r="A182">
        <v>180</v>
      </c>
      <c r="B182">
        <v>2861</v>
      </c>
      <c r="C182" t="b">
        <v>1</v>
      </c>
      <c r="D182">
        <v>8048</v>
      </c>
      <c r="E182">
        <v>8123</v>
      </c>
      <c r="F182">
        <v>8</v>
      </c>
      <c r="G182">
        <v>8</v>
      </c>
      <c r="H182">
        <v>1</v>
      </c>
      <c r="I182">
        <f xml:space="preserve"> -55.696 * _2026_04_17_16_25_21_23_high[[#This Row],[coeff]] + 79.57</f>
        <v>23.873999999999995</v>
      </c>
      <c r="J182">
        <v>0.5</v>
      </c>
      <c r="K182">
        <f>_2026_04_17_16_25_21_23_high[[#This Row],[pfwd_filt]]+200</f>
        <v>208</v>
      </c>
      <c r="L182">
        <f>_2026_04_17_16_25_21_23_high[[#This Row],[p45_filt]]+200</f>
        <v>208</v>
      </c>
      <c r="M182">
        <f>_2026_04_17_16_25_21_23_high[[#This Row],[new_pfwd_filt]]/_2026_04_17_16_25_21_23_high[[#This Row],[new_p45_filt]]</f>
        <v>1</v>
      </c>
    </row>
    <row r="183" spans="1:13" x14ac:dyDescent="0.3">
      <c r="A183">
        <v>181</v>
      </c>
      <c r="B183">
        <v>2876</v>
      </c>
      <c r="C183" t="b">
        <v>1</v>
      </c>
      <c r="D183">
        <v>8048</v>
      </c>
      <c r="E183">
        <v>8123</v>
      </c>
      <c r="F183">
        <v>8</v>
      </c>
      <c r="G183">
        <v>8</v>
      </c>
      <c r="H183">
        <v>1</v>
      </c>
      <c r="I183">
        <f xml:space="preserve"> -55.696 * _2026_04_17_16_25_21_23_high[[#This Row],[coeff]] + 79.57</f>
        <v>23.873999999999995</v>
      </c>
      <c r="J183">
        <v>0.5</v>
      </c>
      <c r="K183">
        <f>_2026_04_17_16_25_21_23_high[[#This Row],[pfwd_filt]]+200</f>
        <v>208</v>
      </c>
      <c r="L183">
        <f>_2026_04_17_16_25_21_23_high[[#This Row],[p45_filt]]+200</f>
        <v>208</v>
      </c>
      <c r="M183">
        <f>_2026_04_17_16_25_21_23_high[[#This Row],[new_pfwd_filt]]/_2026_04_17_16_25_21_23_high[[#This Row],[new_p45_filt]]</f>
        <v>1</v>
      </c>
    </row>
    <row r="184" spans="1:13" x14ac:dyDescent="0.3">
      <c r="A184">
        <v>182</v>
      </c>
      <c r="B184">
        <v>2892</v>
      </c>
      <c r="C184" t="b">
        <v>1</v>
      </c>
      <c r="D184">
        <v>8042</v>
      </c>
      <c r="E184">
        <v>8129</v>
      </c>
      <c r="F184">
        <v>8</v>
      </c>
      <c r="G184">
        <v>8</v>
      </c>
      <c r="H184">
        <v>1</v>
      </c>
      <c r="I184">
        <f xml:space="preserve"> -55.696 * _2026_04_17_16_25_21_23_high[[#This Row],[coeff]] + 79.57</f>
        <v>23.873999999999995</v>
      </c>
      <c r="J184">
        <v>0.5</v>
      </c>
      <c r="K184">
        <f>_2026_04_17_16_25_21_23_high[[#This Row],[pfwd_filt]]+200</f>
        <v>208</v>
      </c>
      <c r="L184">
        <f>_2026_04_17_16_25_21_23_high[[#This Row],[p45_filt]]+200</f>
        <v>208</v>
      </c>
      <c r="M184">
        <f>_2026_04_17_16_25_21_23_high[[#This Row],[new_pfwd_filt]]/_2026_04_17_16_25_21_23_high[[#This Row],[new_p45_filt]]</f>
        <v>1</v>
      </c>
    </row>
    <row r="185" spans="1:13" x14ac:dyDescent="0.3">
      <c r="A185">
        <v>183</v>
      </c>
      <c r="B185">
        <v>2908</v>
      </c>
      <c r="C185" t="b">
        <v>1</v>
      </c>
      <c r="D185">
        <v>8042</v>
      </c>
      <c r="E185">
        <v>8129</v>
      </c>
      <c r="F185">
        <v>8</v>
      </c>
      <c r="G185">
        <v>8</v>
      </c>
      <c r="H185">
        <v>1</v>
      </c>
      <c r="I185">
        <f xml:space="preserve"> -55.696 * _2026_04_17_16_25_21_23_high[[#This Row],[coeff]] + 79.57</f>
        <v>23.873999999999995</v>
      </c>
      <c r="J185">
        <v>0.5</v>
      </c>
      <c r="K185">
        <f>_2026_04_17_16_25_21_23_high[[#This Row],[pfwd_filt]]+200</f>
        <v>208</v>
      </c>
      <c r="L185">
        <f>_2026_04_17_16_25_21_23_high[[#This Row],[p45_filt]]+200</f>
        <v>208</v>
      </c>
      <c r="M185">
        <f>_2026_04_17_16_25_21_23_high[[#This Row],[new_pfwd_filt]]/_2026_04_17_16_25_21_23_high[[#This Row],[new_p45_filt]]</f>
        <v>1</v>
      </c>
    </row>
    <row r="186" spans="1:13" x14ac:dyDescent="0.3">
      <c r="A186">
        <v>184</v>
      </c>
      <c r="B186">
        <v>2932</v>
      </c>
      <c r="C186" t="b">
        <v>1</v>
      </c>
      <c r="D186">
        <v>8048</v>
      </c>
      <c r="E186">
        <v>8134</v>
      </c>
      <c r="F186">
        <v>8</v>
      </c>
      <c r="G186">
        <v>8.4</v>
      </c>
      <c r="H186">
        <v>0.95238100000000003</v>
      </c>
      <c r="I186">
        <f xml:space="preserve"> -55.696 * _2026_04_17_16_25_21_23_high[[#This Row],[coeff]] + 79.57</f>
        <v>26.52618782399999</v>
      </c>
      <c r="J186">
        <v>0.51219510000000001</v>
      </c>
      <c r="K186">
        <f>_2026_04_17_16_25_21_23_high[[#This Row],[pfwd_filt]]+200</f>
        <v>208</v>
      </c>
      <c r="L186">
        <f>_2026_04_17_16_25_21_23_high[[#This Row],[p45_filt]]+200</f>
        <v>208.4</v>
      </c>
      <c r="M186">
        <f>_2026_04_17_16_25_21_23_high[[#This Row],[new_pfwd_filt]]/_2026_04_17_16_25_21_23_high[[#This Row],[new_p45_filt]]</f>
        <v>0.99808061420345484</v>
      </c>
    </row>
    <row r="187" spans="1:13" x14ac:dyDescent="0.3">
      <c r="A187">
        <v>185</v>
      </c>
      <c r="B187">
        <v>2948</v>
      </c>
      <c r="C187" t="b">
        <v>1</v>
      </c>
      <c r="D187">
        <v>8054</v>
      </c>
      <c r="E187">
        <v>8129</v>
      </c>
      <c r="F187">
        <v>8</v>
      </c>
      <c r="G187">
        <v>8.8000000000000007</v>
      </c>
      <c r="H187">
        <v>0.90909090000000004</v>
      </c>
      <c r="I187">
        <f xml:space="preserve"> -55.696 * _2026_04_17_16_25_21_23_high[[#This Row],[coeff]] + 79.57</f>
        <v>28.937273233599996</v>
      </c>
      <c r="J187">
        <v>0.52380954999999996</v>
      </c>
      <c r="K187">
        <f>_2026_04_17_16_25_21_23_high[[#This Row],[pfwd_filt]]+200</f>
        <v>208</v>
      </c>
      <c r="L187">
        <f>_2026_04_17_16_25_21_23_high[[#This Row],[p45_filt]]+200</f>
        <v>208.8</v>
      </c>
      <c r="M187">
        <f>_2026_04_17_16_25_21_23_high[[#This Row],[new_pfwd_filt]]/_2026_04_17_16_25_21_23_high[[#This Row],[new_p45_filt]]</f>
        <v>0.99616858237547889</v>
      </c>
    </row>
    <row r="188" spans="1:13" x14ac:dyDescent="0.3">
      <c r="A188">
        <v>186</v>
      </c>
      <c r="B188">
        <v>2964</v>
      </c>
      <c r="C188" t="b">
        <v>1</v>
      </c>
      <c r="D188">
        <v>8048</v>
      </c>
      <c r="E188">
        <v>8123</v>
      </c>
      <c r="F188">
        <v>8</v>
      </c>
      <c r="G188">
        <v>9.1999999999999993</v>
      </c>
      <c r="H188">
        <v>0.86956524999999996</v>
      </c>
      <c r="I188">
        <f xml:space="preserve"> -55.696 * _2026_04_17_16_25_21_23_high[[#This Row],[coeff]] + 79.57</f>
        <v>31.138693835999995</v>
      </c>
      <c r="J188">
        <v>0.53488369999999996</v>
      </c>
      <c r="K188">
        <f>_2026_04_17_16_25_21_23_high[[#This Row],[pfwd_filt]]+200</f>
        <v>208</v>
      </c>
      <c r="L188">
        <f>_2026_04_17_16_25_21_23_high[[#This Row],[p45_filt]]+200</f>
        <v>209.2</v>
      </c>
      <c r="M188">
        <f>_2026_04_17_16_25_21_23_high[[#This Row],[new_pfwd_filt]]/_2026_04_17_16_25_21_23_high[[#This Row],[new_p45_filt]]</f>
        <v>0.99426386233269604</v>
      </c>
    </row>
    <row r="189" spans="1:13" x14ac:dyDescent="0.3">
      <c r="A189">
        <v>187</v>
      </c>
      <c r="B189">
        <v>2980</v>
      </c>
      <c r="C189" t="b">
        <v>1</v>
      </c>
      <c r="D189">
        <v>8048</v>
      </c>
      <c r="E189">
        <v>8123</v>
      </c>
      <c r="F189">
        <v>8</v>
      </c>
      <c r="G189">
        <v>9.6</v>
      </c>
      <c r="H189">
        <v>0.83333330000000005</v>
      </c>
      <c r="I189">
        <f xml:space="preserve"> -55.696 * _2026_04_17_16_25_21_23_high[[#This Row],[coeff]] + 79.57</f>
        <v>33.15666852319999</v>
      </c>
      <c r="J189">
        <v>0.54545456000000003</v>
      </c>
      <c r="K189">
        <f>_2026_04_17_16_25_21_23_high[[#This Row],[pfwd_filt]]+200</f>
        <v>208</v>
      </c>
      <c r="L189">
        <f>_2026_04_17_16_25_21_23_high[[#This Row],[p45_filt]]+200</f>
        <v>209.6</v>
      </c>
      <c r="M189">
        <f>_2026_04_17_16_25_21_23_high[[#This Row],[new_pfwd_filt]]/_2026_04_17_16_25_21_23_high[[#This Row],[new_p45_filt]]</f>
        <v>0.99236641221374045</v>
      </c>
    </row>
    <row r="190" spans="1:13" x14ac:dyDescent="0.3">
      <c r="A190">
        <v>188</v>
      </c>
      <c r="B190">
        <v>2995</v>
      </c>
      <c r="C190" t="b">
        <v>1</v>
      </c>
      <c r="D190">
        <v>8048</v>
      </c>
      <c r="E190">
        <v>8123</v>
      </c>
      <c r="F190">
        <v>8</v>
      </c>
      <c r="G190">
        <v>9.6</v>
      </c>
      <c r="H190">
        <v>0.83333330000000005</v>
      </c>
      <c r="I190">
        <f xml:space="preserve"> -55.696 * _2026_04_17_16_25_21_23_high[[#This Row],[coeff]] + 79.57</f>
        <v>33.15666852319999</v>
      </c>
      <c r="J190">
        <v>0.54545456000000003</v>
      </c>
      <c r="K190">
        <f>_2026_04_17_16_25_21_23_high[[#This Row],[pfwd_filt]]+200</f>
        <v>208</v>
      </c>
      <c r="L190">
        <f>_2026_04_17_16_25_21_23_high[[#This Row],[p45_filt]]+200</f>
        <v>209.6</v>
      </c>
      <c r="M190">
        <f>_2026_04_17_16_25_21_23_high[[#This Row],[new_pfwd_filt]]/_2026_04_17_16_25_21_23_high[[#This Row],[new_p45_filt]]</f>
        <v>0.99236641221374045</v>
      </c>
    </row>
    <row r="191" spans="1:13" x14ac:dyDescent="0.3">
      <c r="A191">
        <v>189</v>
      </c>
      <c r="B191">
        <v>3011</v>
      </c>
      <c r="C191" t="b">
        <v>1</v>
      </c>
      <c r="D191">
        <v>8048</v>
      </c>
      <c r="E191">
        <v>8123</v>
      </c>
      <c r="F191">
        <v>8</v>
      </c>
      <c r="G191">
        <v>9.6</v>
      </c>
      <c r="H191">
        <v>0.83333330000000005</v>
      </c>
      <c r="I191">
        <f xml:space="preserve"> -55.696 * _2026_04_17_16_25_21_23_high[[#This Row],[coeff]] + 79.57</f>
        <v>33.15666852319999</v>
      </c>
      <c r="J191">
        <v>0.54545456000000003</v>
      </c>
      <c r="K191">
        <f>_2026_04_17_16_25_21_23_high[[#This Row],[pfwd_filt]]+200</f>
        <v>208</v>
      </c>
      <c r="L191">
        <f>_2026_04_17_16_25_21_23_high[[#This Row],[p45_filt]]+200</f>
        <v>209.6</v>
      </c>
      <c r="M191">
        <f>_2026_04_17_16_25_21_23_high[[#This Row],[new_pfwd_filt]]/_2026_04_17_16_25_21_23_high[[#This Row],[new_p45_filt]]</f>
        <v>0.99236641221374045</v>
      </c>
    </row>
    <row r="192" spans="1:13" x14ac:dyDescent="0.3">
      <c r="A192">
        <v>190</v>
      </c>
      <c r="B192">
        <v>3027</v>
      </c>
      <c r="C192" t="b">
        <v>1</v>
      </c>
      <c r="D192">
        <v>8048</v>
      </c>
      <c r="E192">
        <v>8123</v>
      </c>
      <c r="F192">
        <v>8</v>
      </c>
      <c r="G192">
        <v>9.6</v>
      </c>
      <c r="H192">
        <v>0.83333330000000005</v>
      </c>
      <c r="I192">
        <f xml:space="preserve"> -55.696 * _2026_04_17_16_25_21_23_high[[#This Row],[coeff]] + 79.57</f>
        <v>33.15666852319999</v>
      </c>
      <c r="J192">
        <v>0.54545456000000003</v>
      </c>
      <c r="K192">
        <f>_2026_04_17_16_25_21_23_high[[#This Row],[pfwd_filt]]+200</f>
        <v>208</v>
      </c>
      <c r="L192">
        <f>_2026_04_17_16_25_21_23_high[[#This Row],[p45_filt]]+200</f>
        <v>209.6</v>
      </c>
      <c r="M192">
        <f>_2026_04_17_16_25_21_23_high[[#This Row],[new_pfwd_filt]]/_2026_04_17_16_25_21_23_high[[#This Row],[new_p45_filt]]</f>
        <v>0.99236641221374045</v>
      </c>
    </row>
    <row r="193" spans="1:13" x14ac:dyDescent="0.3">
      <c r="A193">
        <v>191</v>
      </c>
      <c r="B193">
        <v>3043</v>
      </c>
      <c r="C193" t="b">
        <v>1</v>
      </c>
      <c r="D193">
        <v>8048</v>
      </c>
      <c r="E193">
        <v>8123</v>
      </c>
      <c r="F193">
        <v>8</v>
      </c>
      <c r="G193">
        <v>9.6</v>
      </c>
      <c r="H193">
        <v>0.83333330000000005</v>
      </c>
      <c r="I193">
        <f xml:space="preserve"> -55.696 * _2026_04_17_16_25_21_23_high[[#This Row],[coeff]] + 79.57</f>
        <v>33.15666852319999</v>
      </c>
      <c r="J193">
        <v>0.54545456000000003</v>
      </c>
      <c r="K193">
        <f>_2026_04_17_16_25_21_23_high[[#This Row],[pfwd_filt]]+200</f>
        <v>208</v>
      </c>
      <c r="L193">
        <f>_2026_04_17_16_25_21_23_high[[#This Row],[p45_filt]]+200</f>
        <v>209.6</v>
      </c>
      <c r="M193">
        <f>_2026_04_17_16_25_21_23_high[[#This Row],[new_pfwd_filt]]/_2026_04_17_16_25_21_23_high[[#This Row],[new_p45_filt]]</f>
        <v>0.99236641221374045</v>
      </c>
    </row>
    <row r="194" spans="1:13" x14ac:dyDescent="0.3">
      <c r="A194">
        <v>192</v>
      </c>
      <c r="B194">
        <v>3059</v>
      </c>
      <c r="C194" t="b">
        <v>1</v>
      </c>
      <c r="D194">
        <v>8042</v>
      </c>
      <c r="E194">
        <v>8123</v>
      </c>
      <c r="F194">
        <v>8</v>
      </c>
      <c r="G194">
        <v>9.6</v>
      </c>
      <c r="H194">
        <v>0.83333330000000005</v>
      </c>
      <c r="I194">
        <f xml:space="preserve"> -55.696 * _2026_04_17_16_25_21_23_high[[#This Row],[coeff]] + 79.57</f>
        <v>33.15666852319999</v>
      </c>
      <c r="J194">
        <v>0.54545456000000003</v>
      </c>
      <c r="K194">
        <f>_2026_04_17_16_25_21_23_high[[#This Row],[pfwd_filt]]+200</f>
        <v>208</v>
      </c>
      <c r="L194">
        <f>_2026_04_17_16_25_21_23_high[[#This Row],[p45_filt]]+200</f>
        <v>209.6</v>
      </c>
      <c r="M194">
        <f>_2026_04_17_16_25_21_23_high[[#This Row],[new_pfwd_filt]]/_2026_04_17_16_25_21_23_high[[#This Row],[new_p45_filt]]</f>
        <v>0.99236641221374045</v>
      </c>
    </row>
    <row r="195" spans="1:13" x14ac:dyDescent="0.3">
      <c r="A195">
        <v>193</v>
      </c>
      <c r="B195">
        <v>3075</v>
      </c>
      <c r="C195" t="b">
        <v>1</v>
      </c>
      <c r="D195">
        <v>8048</v>
      </c>
      <c r="E195">
        <v>8123</v>
      </c>
      <c r="F195">
        <v>8</v>
      </c>
      <c r="G195">
        <v>9.6</v>
      </c>
      <c r="H195">
        <v>0.83333330000000005</v>
      </c>
      <c r="I195">
        <f xml:space="preserve"> -55.696 * _2026_04_17_16_25_21_23_high[[#This Row],[coeff]] + 79.57</f>
        <v>33.15666852319999</v>
      </c>
      <c r="J195">
        <v>0.54545456000000003</v>
      </c>
      <c r="K195">
        <f>_2026_04_17_16_25_21_23_high[[#This Row],[pfwd_filt]]+200</f>
        <v>208</v>
      </c>
      <c r="L195">
        <f>_2026_04_17_16_25_21_23_high[[#This Row],[p45_filt]]+200</f>
        <v>209.6</v>
      </c>
      <c r="M195">
        <f>_2026_04_17_16_25_21_23_high[[#This Row],[new_pfwd_filt]]/_2026_04_17_16_25_21_23_high[[#This Row],[new_p45_filt]]</f>
        <v>0.99236641221374045</v>
      </c>
    </row>
    <row r="196" spans="1:13" x14ac:dyDescent="0.3">
      <c r="A196">
        <v>194</v>
      </c>
      <c r="B196">
        <v>3091</v>
      </c>
      <c r="C196" t="b">
        <v>1</v>
      </c>
      <c r="D196">
        <v>8042</v>
      </c>
      <c r="E196">
        <v>8123</v>
      </c>
      <c r="F196">
        <v>8</v>
      </c>
      <c r="G196">
        <v>9.6</v>
      </c>
      <c r="H196">
        <v>0.83333330000000005</v>
      </c>
      <c r="I196">
        <f xml:space="preserve"> -55.696 * _2026_04_17_16_25_21_23_high[[#This Row],[coeff]] + 79.57</f>
        <v>33.15666852319999</v>
      </c>
      <c r="J196">
        <v>0.54545456000000003</v>
      </c>
      <c r="K196">
        <f>_2026_04_17_16_25_21_23_high[[#This Row],[pfwd_filt]]+200</f>
        <v>208</v>
      </c>
      <c r="L196">
        <f>_2026_04_17_16_25_21_23_high[[#This Row],[p45_filt]]+200</f>
        <v>209.6</v>
      </c>
      <c r="M196">
        <f>_2026_04_17_16_25_21_23_high[[#This Row],[new_pfwd_filt]]/_2026_04_17_16_25_21_23_high[[#This Row],[new_p45_filt]]</f>
        <v>0.99236641221374045</v>
      </c>
    </row>
    <row r="197" spans="1:13" x14ac:dyDescent="0.3">
      <c r="A197">
        <v>195</v>
      </c>
      <c r="B197">
        <v>3107</v>
      </c>
      <c r="C197" t="b">
        <v>1</v>
      </c>
      <c r="D197">
        <v>8042</v>
      </c>
      <c r="E197">
        <v>8123</v>
      </c>
      <c r="F197">
        <v>7.6</v>
      </c>
      <c r="G197">
        <v>9.6</v>
      </c>
      <c r="H197">
        <v>0.7916666</v>
      </c>
      <c r="I197">
        <f xml:space="preserve"> -55.696 * _2026_04_17_16_25_21_23_high[[#This Row],[coeff]] + 79.57</f>
        <v>35.477337046399995</v>
      </c>
      <c r="J197">
        <v>0.55813950000000001</v>
      </c>
      <c r="K197">
        <f>_2026_04_17_16_25_21_23_high[[#This Row],[pfwd_filt]]+200</f>
        <v>207.6</v>
      </c>
      <c r="L197">
        <f>_2026_04_17_16_25_21_23_high[[#This Row],[p45_filt]]+200</f>
        <v>209.6</v>
      </c>
      <c r="M197">
        <f>_2026_04_17_16_25_21_23_high[[#This Row],[new_pfwd_filt]]/_2026_04_17_16_25_21_23_high[[#This Row],[new_p45_filt]]</f>
        <v>0.99045801526717558</v>
      </c>
    </row>
    <row r="198" spans="1:13" x14ac:dyDescent="0.3">
      <c r="A198">
        <v>196</v>
      </c>
      <c r="B198">
        <v>3123</v>
      </c>
      <c r="C198" t="b">
        <v>1</v>
      </c>
      <c r="D198">
        <v>8048</v>
      </c>
      <c r="E198">
        <v>8123</v>
      </c>
      <c r="F198">
        <v>7.2</v>
      </c>
      <c r="G198">
        <v>9.6</v>
      </c>
      <c r="H198">
        <v>0.74999994000000003</v>
      </c>
      <c r="I198">
        <f xml:space="preserve"> -55.696 * _2026_04_17_16_25_21_23_high[[#This Row],[coeff]] + 79.57</f>
        <v>37.798003341759994</v>
      </c>
      <c r="J198">
        <v>0.57142859999999995</v>
      </c>
      <c r="K198">
        <f>_2026_04_17_16_25_21_23_high[[#This Row],[pfwd_filt]]+200</f>
        <v>207.2</v>
      </c>
      <c r="L198">
        <f>_2026_04_17_16_25_21_23_high[[#This Row],[p45_filt]]+200</f>
        <v>209.6</v>
      </c>
      <c r="M198">
        <f>_2026_04_17_16_25_21_23_high[[#This Row],[new_pfwd_filt]]/_2026_04_17_16_25_21_23_high[[#This Row],[new_p45_filt]]</f>
        <v>0.98854961832061061</v>
      </c>
    </row>
    <row r="199" spans="1:13" x14ac:dyDescent="0.3">
      <c r="A199">
        <v>197</v>
      </c>
      <c r="B199">
        <v>3139</v>
      </c>
      <c r="C199" t="b">
        <v>1</v>
      </c>
      <c r="D199">
        <v>8048</v>
      </c>
      <c r="E199">
        <v>8123</v>
      </c>
      <c r="F199">
        <v>7.2</v>
      </c>
      <c r="G199">
        <v>9.6</v>
      </c>
      <c r="H199">
        <v>0.74999994000000003</v>
      </c>
      <c r="I199">
        <f xml:space="preserve"> -55.696 * _2026_04_17_16_25_21_23_high[[#This Row],[coeff]] + 79.57</f>
        <v>37.798003341759994</v>
      </c>
      <c r="J199">
        <v>0.57142859999999995</v>
      </c>
      <c r="K199">
        <f>_2026_04_17_16_25_21_23_high[[#This Row],[pfwd_filt]]+200</f>
        <v>207.2</v>
      </c>
      <c r="L199">
        <f>_2026_04_17_16_25_21_23_high[[#This Row],[p45_filt]]+200</f>
        <v>209.6</v>
      </c>
      <c r="M199">
        <f>_2026_04_17_16_25_21_23_high[[#This Row],[new_pfwd_filt]]/_2026_04_17_16_25_21_23_high[[#This Row],[new_p45_filt]]</f>
        <v>0.98854961832061061</v>
      </c>
    </row>
    <row r="200" spans="1:13" x14ac:dyDescent="0.3">
      <c r="A200">
        <v>198</v>
      </c>
      <c r="B200">
        <v>3155</v>
      </c>
      <c r="C200" t="b">
        <v>1</v>
      </c>
      <c r="D200">
        <v>8048</v>
      </c>
      <c r="E200">
        <v>8123</v>
      </c>
      <c r="F200">
        <v>7.2</v>
      </c>
      <c r="G200">
        <v>9.6</v>
      </c>
      <c r="H200">
        <v>0.74999994000000003</v>
      </c>
      <c r="I200">
        <f xml:space="preserve"> -55.696 * _2026_04_17_16_25_21_23_high[[#This Row],[coeff]] + 79.57</f>
        <v>37.798003341759994</v>
      </c>
      <c r="J200">
        <v>0.57142859999999995</v>
      </c>
      <c r="K200">
        <f>_2026_04_17_16_25_21_23_high[[#This Row],[pfwd_filt]]+200</f>
        <v>207.2</v>
      </c>
      <c r="L200">
        <f>_2026_04_17_16_25_21_23_high[[#This Row],[p45_filt]]+200</f>
        <v>209.6</v>
      </c>
      <c r="M200">
        <f>_2026_04_17_16_25_21_23_high[[#This Row],[new_pfwd_filt]]/_2026_04_17_16_25_21_23_high[[#This Row],[new_p45_filt]]</f>
        <v>0.98854961832061061</v>
      </c>
    </row>
    <row r="201" spans="1:13" x14ac:dyDescent="0.3">
      <c r="A201">
        <v>199</v>
      </c>
      <c r="B201">
        <v>3170</v>
      </c>
      <c r="C201" t="b">
        <v>1</v>
      </c>
      <c r="D201">
        <v>8048</v>
      </c>
      <c r="E201">
        <v>8129</v>
      </c>
      <c r="F201">
        <v>7.2</v>
      </c>
      <c r="G201">
        <v>9.1999999999999993</v>
      </c>
      <c r="H201">
        <v>0.78260870000000005</v>
      </c>
      <c r="I201">
        <f xml:space="preserve"> -55.696 * _2026_04_17_16_25_21_23_high[[#This Row],[coeff]] + 79.57</f>
        <v>35.981825844799992</v>
      </c>
      <c r="J201">
        <v>0.56097560000000002</v>
      </c>
      <c r="K201">
        <f>_2026_04_17_16_25_21_23_high[[#This Row],[pfwd_filt]]+200</f>
        <v>207.2</v>
      </c>
      <c r="L201">
        <f>_2026_04_17_16_25_21_23_high[[#This Row],[p45_filt]]+200</f>
        <v>209.2</v>
      </c>
      <c r="M201">
        <f>_2026_04_17_16_25_21_23_high[[#This Row],[new_pfwd_filt]]/_2026_04_17_16_25_21_23_high[[#This Row],[new_p45_filt]]</f>
        <v>0.99043977055449328</v>
      </c>
    </row>
    <row r="202" spans="1:13" x14ac:dyDescent="0.3">
      <c r="A202">
        <v>200</v>
      </c>
      <c r="B202">
        <v>3186</v>
      </c>
      <c r="C202" t="b">
        <v>1</v>
      </c>
      <c r="D202">
        <v>8048</v>
      </c>
      <c r="E202">
        <v>8117</v>
      </c>
      <c r="F202">
        <v>7.2</v>
      </c>
      <c r="G202">
        <v>8.8000000000000007</v>
      </c>
      <c r="H202">
        <v>0.81818175000000004</v>
      </c>
      <c r="I202">
        <f xml:space="preserve"> -55.696 * _2026_04_17_16_25_21_23_high[[#This Row],[coeff]] + 79.57</f>
        <v>34.000549251999992</v>
      </c>
      <c r="J202">
        <v>0.55000000000000004</v>
      </c>
      <c r="K202">
        <f>_2026_04_17_16_25_21_23_high[[#This Row],[pfwd_filt]]+200</f>
        <v>207.2</v>
      </c>
      <c r="L202">
        <f>_2026_04_17_16_25_21_23_high[[#This Row],[p45_filt]]+200</f>
        <v>208.8</v>
      </c>
      <c r="M202">
        <f>_2026_04_17_16_25_21_23_high[[#This Row],[new_pfwd_filt]]/_2026_04_17_16_25_21_23_high[[#This Row],[new_p45_filt]]</f>
        <v>0.99233716475095779</v>
      </c>
    </row>
    <row r="203" spans="1:13" x14ac:dyDescent="0.3">
      <c r="A203">
        <v>201</v>
      </c>
      <c r="B203">
        <v>3202</v>
      </c>
      <c r="C203" t="b">
        <v>1</v>
      </c>
      <c r="D203">
        <v>8048</v>
      </c>
      <c r="E203">
        <v>8129</v>
      </c>
      <c r="F203">
        <v>7.2</v>
      </c>
      <c r="G203">
        <v>8.4</v>
      </c>
      <c r="H203">
        <v>0.85714287</v>
      </c>
      <c r="I203">
        <f xml:space="preserve"> -55.696 * _2026_04_17_16_25_21_23_high[[#This Row],[coeff]] + 79.57</f>
        <v>31.830570712479997</v>
      </c>
      <c r="J203">
        <v>0.53846150000000004</v>
      </c>
      <c r="K203">
        <f>_2026_04_17_16_25_21_23_high[[#This Row],[pfwd_filt]]+200</f>
        <v>207.2</v>
      </c>
      <c r="L203">
        <f>_2026_04_17_16_25_21_23_high[[#This Row],[p45_filt]]+200</f>
        <v>208.4</v>
      </c>
      <c r="M203">
        <f>_2026_04_17_16_25_21_23_high[[#This Row],[new_pfwd_filt]]/_2026_04_17_16_25_21_23_high[[#This Row],[new_p45_filt]]</f>
        <v>0.99424184261036463</v>
      </c>
    </row>
    <row r="204" spans="1:13" x14ac:dyDescent="0.3">
      <c r="A204">
        <v>202</v>
      </c>
      <c r="B204">
        <v>3218</v>
      </c>
      <c r="C204" t="b">
        <v>1</v>
      </c>
      <c r="D204">
        <v>8048</v>
      </c>
      <c r="E204">
        <v>8123</v>
      </c>
      <c r="F204">
        <v>7.2</v>
      </c>
      <c r="G204">
        <v>8</v>
      </c>
      <c r="H204">
        <v>0.9</v>
      </c>
      <c r="I204">
        <f xml:space="preserve"> -55.696 * _2026_04_17_16_25_21_23_high[[#This Row],[coeff]] + 79.57</f>
        <v>29.443599999999996</v>
      </c>
      <c r="J204">
        <v>0.5263158</v>
      </c>
      <c r="K204">
        <f>_2026_04_17_16_25_21_23_high[[#This Row],[pfwd_filt]]+200</f>
        <v>207.2</v>
      </c>
      <c r="L204">
        <f>_2026_04_17_16_25_21_23_high[[#This Row],[p45_filt]]+200</f>
        <v>208</v>
      </c>
      <c r="M204">
        <f>_2026_04_17_16_25_21_23_high[[#This Row],[new_pfwd_filt]]/_2026_04_17_16_25_21_23_high[[#This Row],[new_p45_filt]]</f>
        <v>0.99615384615384606</v>
      </c>
    </row>
    <row r="205" spans="1:13" x14ac:dyDescent="0.3">
      <c r="A205">
        <v>203</v>
      </c>
      <c r="B205">
        <v>3234</v>
      </c>
      <c r="C205" t="b">
        <v>1</v>
      </c>
      <c r="D205">
        <v>8048</v>
      </c>
      <c r="E205">
        <v>8123</v>
      </c>
      <c r="F205">
        <v>7.2</v>
      </c>
      <c r="G205">
        <v>8</v>
      </c>
      <c r="H205">
        <v>0.9</v>
      </c>
      <c r="I205">
        <f xml:space="preserve"> -55.696 * _2026_04_17_16_25_21_23_high[[#This Row],[coeff]] + 79.57</f>
        <v>29.443599999999996</v>
      </c>
      <c r="J205">
        <v>0.5263158</v>
      </c>
      <c r="K205">
        <f>_2026_04_17_16_25_21_23_high[[#This Row],[pfwd_filt]]+200</f>
        <v>207.2</v>
      </c>
      <c r="L205">
        <f>_2026_04_17_16_25_21_23_high[[#This Row],[p45_filt]]+200</f>
        <v>208</v>
      </c>
      <c r="M205">
        <f>_2026_04_17_16_25_21_23_high[[#This Row],[new_pfwd_filt]]/_2026_04_17_16_25_21_23_high[[#This Row],[new_p45_filt]]</f>
        <v>0.99615384615384606</v>
      </c>
    </row>
    <row r="206" spans="1:13" x14ac:dyDescent="0.3">
      <c r="A206">
        <v>204</v>
      </c>
      <c r="B206">
        <v>3249</v>
      </c>
      <c r="C206" t="b">
        <v>1</v>
      </c>
      <c r="D206">
        <v>8048</v>
      </c>
      <c r="E206">
        <v>8123</v>
      </c>
      <c r="F206">
        <v>7.2</v>
      </c>
      <c r="G206">
        <v>8</v>
      </c>
      <c r="H206">
        <v>0.9</v>
      </c>
      <c r="I206">
        <f xml:space="preserve"> -55.696 * _2026_04_17_16_25_21_23_high[[#This Row],[coeff]] + 79.57</f>
        <v>29.443599999999996</v>
      </c>
      <c r="J206">
        <v>0.5263158</v>
      </c>
      <c r="K206">
        <f>_2026_04_17_16_25_21_23_high[[#This Row],[pfwd_filt]]+200</f>
        <v>207.2</v>
      </c>
      <c r="L206">
        <f>_2026_04_17_16_25_21_23_high[[#This Row],[p45_filt]]+200</f>
        <v>208</v>
      </c>
      <c r="M206">
        <f>_2026_04_17_16_25_21_23_high[[#This Row],[new_pfwd_filt]]/_2026_04_17_16_25_21_23_high[[#This Row],[new_p45_filt]]</f>
        <v>0.99615384615384606</v>
      </c>
    </row>
    <row r="207" spans="1:13" x14ac:dyDescent="0.3">
      <c r="A207">
        <v>205</v>
      </c>
      <c r="B207">
        <v>3265</v>
      </c>
      <c r="C207" t="b">
        <v>1</v>
      </c>
      <c r="D207">
        <v>8048</v>
      </c>
      <c r="E207">
        <v>8123</v>
      </c>
      <c r="F207">
        <v>7.2</v>
      </c>
      <c r="G207">
        <v>8</v>
      </c>
      <c r="H207">
        <v>0.9</v>
      </c>
      <c r="I207">
        <f xml:space="preserve"> -55.696 * _2026_04_17_16_25_21_23_high[[#This Row],[coeff]] + 79.57</f>
        <v>29.443599999999996</v>
      </c>
      <c r="J207">
        <v>0.5263158</v>
      </c>
      <c r="K207">
        <f>_2026_04_17_16_25_21_23_high[[#This Row],[pfwd_filt]]+200</f>
        <v>207.2</v>
      </c>
      <c r="L207">
        <f>_2026_04_17_16_25_21_23_high[[#This Row],[p45_filt]]+200</f>
        <v>208</v>
      </c>
      <c r="M207">
        <f>_2026_04_17_16_25_21_23_high[[#This Row],[new_pfwd_filt]]/_2026_04_17_16_25_21_23_high[[#This Row],[new_p45_filt]]</f>
        <v>0.99615384615384606</v>
      </c>
    </row>
    <row r="208" spans="1:13" x14ac:dyDescent="0.3">
      <c r="A208">
        <v>206</v>
      </c>
      <c r="B208">
        <v>3281</v>
      </c>
      <c r="C208" t="b">
        <v>1</v>
      </c>
      <c r="D208">
        <v>8042</v>
      </c>
      <c r="E208">
        <v>8123</v>
      </c>
      <c r="F208">
        <v>7.2</v>
      </c>
      <c r="G208">
        <v>8</v>
      </c>
      <c r="H208">
        <v>0.9</v>
      </c>
      <c r="I208">
        <f xml:space="preserve"> -55.696 * _2026_04_17_16_25_21_23_high[[#This Row],[coeff]] + 79.57</f>
        <v>29.443599999999996</v>
      </c>
      <c r="J208">
        <v>0.5263158</v>
      </c>
      <c r="K208">
        <f>_2026_04_17_16_25_21_23_high[[#This Row],[pfwd_filt]]+200</f>
        <v>207.2</v>
      </c>
      <c r="L208">
        <f>_2026_04_17_16_25_21_23_high[[#This Row],[p45_filt]]+200</f>
        <v>208</v>
      </c>
      <c r="M208">
        <f>_2026_04_17_16_25_21_23_high[[#This Row],[new_pfwd_filt]]/_2026_04_17_16_25_21_23_high[[#This Row],[new_p45_filt]]</f>
        <v>0.99615384615384606</v>
      </c>
    </row>
    <row r="209" spans="1:13" x14ac:dyDescent="0.3">
      <c r="A209">
        <v>207</v>
      </c>
      <c r="B209">
        <v>3297</v>
      </c>
      <c r="C209" t="b">
        <v>1</v>
      </c>
      <c r="D209">
        <v>8048</v>
      </c>
      <c r="E209">
        <v>8117</v>
      </c>
      <c r="F209">
        <v>7.2</v>
      </c>
      <c r="G209">
        <v>8</v>
      </c>
      <c r="H209">
        <v>0.9</v>
      </c>
      <c r="I209">
        <f xml:space="preserve"> -55.696 * _2026_04_17_16_25_21_23_high[[#This Row],[coeff]] + 79.57</f>
        <v>29.443599999999996</v>
      </c>
      <c r="J209">
        <v>0.5263158</v>
      </c>
      <c r="K209">
        <f>_2026_04_17_16_25_21_23_high[[#This Row],[pfwd_filt]]+200</f>
        <v>207.2</v>
      </c>
      <c r="L209">
        <f>_2026_04_17_16_25_21_23_high[[#This Row],[p45_filt]]+200</f>
        <v>208</v>
      </c>
      <c r="M209">
        <f>_2026_04_17_16_25_21_23_high[[#This Row],[new_pfwd_filt]]/_2026_04_17_16_25_21_23_high[[#This Row],[new_p45_filt]]</f>
        <v>0.99615384615384606</v>
      </c>
    </row>
    <row r="210" spans="1:13" x14ac:dyDescent="0.3">
      <c r="A210">
        <v>208</v>
      </c>
      <c r="B210">
        <v>3313</v>
      </c>
      <c r="C210" t="b">
        <v>1</v>
      </c>
      <c r="D210">
        <v>8048</v>
      </c>
      <c r="E210">
        <v>8123</v>
      </c>
      <c r="F210">
        <v>7.2</v>
      </c>
      <c r="G210">
        <v>8</v>
      </c>
      <c r="H210">
        <v>0.9</v>
      </c>
      <c r="I210">
        <f xml:space="preserve"> -55.696 * _2026_04_17_16_25_21_23_high[[#This Row],[coeff]] + 79.57</f>
        <v>29.443599999999996</v>
      </c>
      <c r="J210">
        <v>0.5263158</v>
      </c>
      <c r="K210">
        <f>_2026_04_17_16_25_21_23_high[[#This Row],[pfwd_filt]]+200</f>
        <v>207.2</v>
      </c>
      <c r="L210">
        <f>_2026_04_17_16_25_21_23_high[[#This Row],[p45_filt]]+200</f>
        <v>208</v>
      </c>
      <c r="M210">
        <f>_2026_04_17_16_25_21_23_high[[#This Row],[new_pfwd_filt]]/_2026_04_17_16_25_21_23_high[[#This Row],[new_p45_filt]]</f>
        <v>0.99615384615384606</v>
      </c>
    </row>
    <row r="211" spans="1:13" x14ac:dyDescent="0.3">
      <c r="A211">
        <v>209</v>
      </c>
      <c r="B211">
        <v>3329</v>
      </c>
      <c r="C211" t="b">
        <v>1</v>
      </c>
      <c r="D211">
        <v>8042</v>
      </c>
      <c r="E211">
        <v>8123</v>
      </c>
      <c r="F211">
        <v>7.2</v>
      </c>
      <c r="G211">
        <v>8</v>
      </c>
      <c r="H211">
        <v>0.9</v>
      </c>
      <c r="I211">
        <f xml:space="preserve"> -55.696 * _2026_04_17_16_25_21_23_high[[#This Row],[coeff]] + 79.57</f>
        <v>29.443599999999996</v>
      </c>
      <c r="J211">
        <v>0.5263158</v>
      </c>
      <c r="K211">
        <f>_2026_04_17_16_25_21_23_high[[#This Row],[pfwd_filt]]+200</f>
        <v>207.2</v>
      </c>
      <c r="L211">
        <f>_2026_04_17_16_25_21_23_high[[#This Row],[p45_filt]]+200</f>
        <v>208</v>
      </c>
      <c r="M211">
        <f>_2026_04_17_16_25_21_23_high[[#This Row],[new_pfwd_filt]]/_2026_04_17_16_25_21_23_high[[#This Row],[new_p45_filt]]</f>
        <v>0.99615384615384606</v>
      </c>
    </row>
    <row r="212" spans="1:13" x14ac:dyDescent="0.3">
      <c r="A212">
        <v>210</v>
      </c>
      <c r="B212">
        <v>3345</v>
      </c>
      <c r="C212" t="b">
        <v>1</v>
      </c>
      <c r="D212">
        <v>8048</v>
      </c>
      <c r="E212">
        <v>8123</v>
      </c>
      <c r="F212">
        <v>7.6</v>
      </c>
      <c r="G212">
        <v>8</v>
      </c>
      <c r="H212">
        <v>0.95</v>
      </c>
      <c r="I212">
        <f xml:space="preserve"> -55.696 * _2026_04_17_16_25_21_23_high[[#This Row],[coeff]] + 79.57</f>
        <v>26.658799999999999</v>
      </c>
      <c r="J212">
        <v>0.51282050000000001</v>
      </c>
      <c r="K212">
        <f>_2026_04_17_16_25_21_23_high[[#This Row],[pfwd_filt]]+200</f>
        <v>207.6</v>
      </c>
      <c r="L212">
        <f>_2026_04_17_16_25_21_23_high[[#This Row],[p45_filt]]+200</f>
        <v>208</v>
      </c>
      <c r="M212">
        <f>_2026_04_17_16_25_21_23_high[[#This Row],[new_pfwd_filt]]/_2026_04_17_16_25_21_23_high[[#This Row],[new_p45_filt]]</f>
        <v>0.99807692307692308</v>
      </c>
    </row>
    <row r="213" spans="1:13" x14ac:dyDescent="0.3">
      <c r="A213">
        <v>211</v>
      </c>
      <c r="B213">
        <v>3361</v>
      </c>
      <c r="C213" t="b">
        <v>1</v>
      </c>
      <c r="D213">
        <v>8042</v>
      </c>
      <c r="E213">
        <v>8129</v>
      </c>
      <c r="F213">
        <v>8</v>
      </c>
      <c r="G213">
        <v>8</v>
      </c>
      <c r="H213">
        <v>1</v>
      </c>
      <c r="I213">
        <f xml:space="preserve"> -55.696 * _2026_04_17_16_25_21_23_high[[#This Row],[coeff]] + 79.57</f>
        <v>23.873999999999995</v>
      </c>
      <c r="J213">
        <v>0.5</v>
      </c>
      <c r="K213">
        <f>_2026_04_17_16_25_21_23_high[[#This Row],[pfwd_filt]]+200</f>
        <v>208</v>
      </c>
      <c r="L213">
        <f>_2026_04_17_16_25_21_23_high[[#This Row],[p45_filt]]+200</f>
        <v>208</v>
      </c>
      <c r="M213">
        <f>_2026_04_17_16_25_21_23_high[[#This Row],[new_pfwd_filt]]/_2026_04_17_16_25_21_23_high[[#This Row],[new_p45_filt]]</f>
        <v>1</v>
      </c>
    </row>
    <row r="214" spans="1:13" x14ac:dyDescent="0.3">
      <c r="A214">
        <v>212</v>
      </c>
      <c r="B214">
        <v>3377</v>
      </c>
      <c r="C214" t="b">
        <v>1</v>
      </c>
      <c r="D214">
        <v>8048</v>
      </c>
      <c r="E214">
        <v>8123</v>
      </c>
      <c r="F214">
        <v>8</v>
      </c>
      <c r="G214">
        <v>8</v>
      </c>
      <c r="H214">
        <v>1</v>
      </c>
      <c r="I214">
        <f xml:space="preserve"> -55.696 * _2026_04_17_16_25_21_23_high[[#This Row],[coeff]] + 79.57</f>
        <v>23.873999999999995</v>
      </c>
      <c r="J214">
        <v>0.5</v>
      </c>
      <c r="K214">
        <f>_2026_04_17_16_25_21_23_high[[#This Row],[pfwd_filt]]+200</f>
        <v>208</v>
      </c>
      <c r="L214">
        <f>_2026_04_17_16_25_21_23_high[[#This Row],[p45_filt]]+200</f>
        <v>208</v>
      </c>
      <c r="M214">
        <f>_2026_04_17_16_25_21_23_high[[#This Row],[new_pfwd_filt]]/_2026_04_17_16_25_21_23_high[[#This Row],[new_p45_filt]]</f>
        <v>1</v>
      </c>
    </row>
    <row r="215" spans="1:13" x14ac:dyDescent="0.3">
      <c r="A215">
        <v>213</v>
      </c>
      <c r="B215">
        <v>3393</v>
      </c>
      <c r="C215" t="b">
        <v>1</v>
      </c>
      <c r="D215">
        <v>8048</v>
      </c>
      <c r="E215">
        <v>8129</v>
      </c>
      <c r="F215">
        <v>8</v>
      </c>
      <c r="G215">
        <v>8</v>
      </c>
      <c r="H215">
        <v>1</v>
      </c>
      <c r="I215">
        <f xml:space="preserve"> -55.696 * _2026_04_17_16_25_21_23_high[[#This Row],[coeff]] + 79.57</f>
        <v>23.873999999999995</v>
      </c>
      <c r="J215">
        <v>0.5</v>
      </c>
      <c r="K215">
        <f>_2026_04_17_16_25_21_23_high[[#This Row],[pfwd_filt]]+200</f>
        <v>208</v>
      </c>
      <c r="L215">
        <f>_2026_04_17_16_25_21_23_high[[#This Row],[p45_filt]]+200</f>
        <v>208</v>
      </c>
      <c r="M215">
        <f>_2026_04_17_16_25_21_23_high[[#This Row],[new_pfwd_filt]]/_2026_04_17_16_25_21_23_high[[#This Row],[new_p45_filt]]</f>
        <v>1</v>
      </c>
    </row>
    <row r="216" spans="1:13" x14ac:dyDescent="0.3">
      <c r="A216">
        <v>214</v>
      </c>
      <c r="B216">
        <v>3409</v>
      </c>
      <c r="C216" t="b">
        <v>1</v>
      </c>
      <c r="D216">
        <v>8048</v>
      </c>
      <c r="E216">
        <v>8129</v>
      </c>
      <c r="F216">
        <v>8</v>
      </c>
      <c r="G216">
        <v>8.4</v>
      </c>
      <c r="H216">
        <v>0.95238100000000003</v>
      </c>
      <c r="I216">
        <f xml:space="preserve"> -55.696 * _2026_04_17_16_25_21_23_high[[#This Row],[coeff]] + 79.57</f>
        <v>26.52618782399999</v>
      </c>
      <c r="J216">
        <v>0.51219510000000001</v>
      </c>
      <c r="K216">
        <f>_2026_04_17_16_25_21_23_high[[#This Row],[pfwd_filt]]+200</f>
        <v>208</v>
      </c>
      <c r="L216">
        <f>_2026_04_17_16_25_21_23_high[[#This Row],[p45_filt]]+200</f>
        <v>208.4</v>
      </c>
      <c r="M216">
        <f>_2026_04_17_16_25_21_23_high[[#This Row],[new_pfwd_filt]]/_2026_04_17_16_25_21_23_high[[#This Row],[new_p45_filt]]</f>
        <v>0.99808061420345484</v>
      </c>
    </row>
    <row r="217" spans="1:13" x14ac:dyDescent="0.3">
      <c r="A217">
        <v>215</v>
      </c>
      <c r="B217">
        <v>3425</v>
      </c>
      <c r="C217" t="b">
        <v>1</v>
      </c>
      <c r="D217">
        <v>8048</v>
      </c>
      <c r="E217">
        <v>8123</v>
      </c>
      <c r="F217">
        <v>8</v>
      </c>
      <c r="G217">
        <v>8.8000000000000007</v>
      </c>
      <c r="H217">
        <v>0.90909090000000004</v>
      </c>
      <c r="I217">
        <f xml:space="preserve"> -55.696 * _2026_04_17_16_25_21_23_high[[#This Row],[coeff]] + 79.57</f>
        <v>28.937273233599996</v>
      </c>
      <c r="J217">
        <v>0.52380954999999996</v>
      </c>
      <c r="K217">
        <f>_2026_04_17_16_25_21_23_high[[#This Row],[pfwd_filt]]+200</f>
        <v>208</v>
      </c>
      <c r="L217">
        <f>_2026_04_17_16_25_21_23_high[[#This Row],[p45_filt]]+200</f>
        <v>208.8</v>
      </c>
      <c r="M217">
        <f>_2026_04_17_16_25_21_23_high[[#This Row],[new_pfwd_filt]]/_2026_04_17_16_25_21_23_high[[#This Row],[new_p45_filt]]</f>
        <v>0.99616858237547889</v>
      </c>
    </row>
    <row r="218" spans="1:13" x14ac:dyDescent="0.3">
      <c r="A218">
        <v>216</v>
      </c>
      <c r="B218">
        <v>3441</v>
      </c>
      <c r="C218" t="b">
        <v>1</v>
      </c>
      <c r="D218">
        <v>8048</v>
      </c>
      <c r="E218">
        <v>8123</v>
      </c>
      <c r="F218">
        <v>8</v>
      </c>
      <c r="G218">
        <v>8.8000000000000007</v>
      </c>
      <c r="H218">
        <v>0.90909090000000004</v>
      </c>
      <c r="I218">
        <f xml:space="preserve"> -55.696 * _2026_04_17_16_25_21_23_high[[#This Row],[coeff]] + 79.57</f>
        <v>28.937273233599996</v>
      </c>
      <c r="J218">
        <v>0.52380954999999996</v>
      </c>
      <c r="K218">
        <f>_2026_04_17_16_25_21_23_high[[#This Row],[pfwd_filt]]+200</f>
        <v>208</v>
      </c>
      <c r="L218">
        <f>_2026_04_17_16_25_21_23_high[[#This Row],[p45_filt]]+200</f>
        <v>208.8</v>
      </c>
      <c r="M218">
        <f>_2026_04_17_16_25_21_23_high[[#This Row],[new_pfwd_filt]]/_2026_04_17_16_25_21_23_high[[#This Row],[new_p45_filt]]</f>
        <v>0.99616858237547889</v>
      </c>
    </row>
    <row r="219" spans="1:13" x14ac:dyDescent="0.3">
      <c r="A219">
        <v>217</v>
      </c>
      <c r="B219">
        <v>3457</v>
      </c>
      <c r="C219" t="b">
        <v>1</v>
      </c>
      <c r="D219">
        <v>8048</v>
      </c>
      <c r="E219">
        <v>8123</v>
      </c>
      <c r="F219">
        <v>8</v>
      </c>
      <c r="G219">
        <v>8.8000000000000007</v>
      </c>
      <c r="H219">
        <v>0.90909090000000004</v>
      </c>
      <c r="I219">
        <f xml:space="preserve"> -55.696 * _2026_04_17_16_25_21_23_high[[#This Row],[coeff]] + 79.57</f>
        <v>28.937273233599996</v>
      </c>
      <c r="J219">
        <v>0.52380954999999996</v>
      </c>
      <c r="K219">
        <f>_2026_04_17_16_25_21_23_high[[#This Row],[pfwd_filt]]+200</f>
        <v>208</v>
      </c>
      <c r="L219">
        <f>_2026_04_17_16_25_21_23_high[[#This Row],[p45_filt]]+200</f>
        <v>208.8</v>
      </c>
      <c r="M219">
        <f>_2026_04_17_16_25_21_23_high[[#This Row],[new_pfwd_filt]]/_2026_04_17_16_25_21_23_high[[#This Row],[new_p45_filt]]</f>
        <v>0.99616858237547889</v>
      </c>
    </row>
    <row r="220" spans="1:13" x14ac:dyDescent="0.3">
      <c r="A220">
        <v>218</v>
      </c>
      <c r="B220">
        <v>3472</v>
      </c>
      <c r="C220" t="b">
        <v>1</v>
      </c>
      <c r="D220">
        <v>8048</v>
      </c>
      <c r="E220">
        <v>8123</v>
      </c>
      <c r="F220">
        <v>8</v>
      </c>
      <c r="G220">
        <v>8.8000000000000007</v>
      </c>
      <c r="H220">
        <v>0.90909090000000004</v>
      </c>
      <c r="I220">
        <f xml:space="preserve"> -55.696 * _2026_04_17_16_25_21_23_high[[#This Row],[coeff]] + 79.57</f>
        <v>28.937273233599996</v>
      </c>
      <c r="J220">
        <v>0.52380954999999996</v>
      </c>
      <c r="K220">
        <f>_2026_04_17_16_25_21_23_high[[#This Row],[pfwd_filt]]+200</f>
        <v>208</v>
      </c>
      <c r="L220">
        <f>_2026_04_17_16_25_21_23_high[[#This Row],[p45_filt]]+200</f>
        <v>208.8</v>
      </c>
      <c r="M220">
        <f>_2026_04_17_16_25_21_23_high[[#This Row],[new_pfwd_filt]]/_2026_04_17_16_25_21_23_high[[#This Row],[new_p45_filt]]</f>
        <v>0.99616858237547889</v>
      </c>
    </row>
    <row r="221" spans="1:13" x14ac:dyDescent="0.3">
      <c r="A221">
        <v>219</v>
      </c>
      <c r="B221">
        <v>3488</v>
      </c>
      <c r="C221" t="b">
        <v>1</v>
      </c>
      <c r="D221">
        <v>8042</v>
      </c>
      <c r="E221">
        <v>8123</v>
      </c>
      <c r="F221">
        <v>8</v>
      </c>
      <c r="G221">
        <v>8.8000000000000007</v>
      </c>
      <c r="H221">
        <v>0.90909090000000004</v>
      </c>
      <c r="I221">
        <f xml:space="preserve"> -55.696 * _2026_04_17_16_25_21_23_high[[#This Row],[coeff]] + 79.57</f>
        <v>28.937273233599996</v>
      </c>
      <c r="J221">
        <v>0.52380954999999996</v>
      </c>
      <c r="K221">
        <f>_2026_04_17_16_25_21_23_high[[#This Row],[pfwd_filt]]+200</f>
        <v>208</v>
      </c>
      <c r="L221">
        <f>_2026_04_17_16_25_21_23_high[[#This Row],[p45_filt]]+200</f>
        <v>208.8</v>
      </c>
      <c r="M221">
        <f>_2026_04_17_16_25_21_23_high[[#This Row],[new_pfwd_filt]]/_2026_04_17_16_25_21_23_high[[#This Row],[new_p45_filt]]</f>
        <v>0.99616858237547889</v>
      </c>
    </row>
    <row r="222" spans="1:13" x14ac:dyDescent="0.3">
      <c r="A222">
        <v>220</v>
      </c>
      <c r="B222">
        <v>3504</v>
      </c>
      <c r="C222" t="b">
        <v>1</v>
      </c>
      <c r="D222">
        <v>8048</v>
      </c>
      <c r="E222">
        <v>8123</v>
      </c>
      <c r="F222">
        <v>8</v>
      </c>
      <c r="G222">
        <v>8.8000000000000007</v>
      </c>
      <c r="H222">
        <v>0.90909090000000004</v>
      </c>
      <c r="I222">
        <f xml:space="preserve"> -55.696 * _2026_04_17_16_25_21_23_high[[#This Row],[coeff]] + 79.57</f>
        <v>28.937273233599996</v>
      </c>
      <c r="J222">
        <v>0.52380954999999996</v>
      </c>
      <c r="K222">
        <f>_2026_04_17_16_25_21_23_high[[#This Row],[pfwd_filt]]+200</f>
        <v>208</v>
      </c>
      <c r="L222">
        <f>_2026_04_17_16_25_21_23_high[[#This Row],[p45_filt]]+200</f>
        <v>208.8</v>
      </c>
      <c r="M222">
        <f>_2026_04_17_16_25_21_23_high[[#This Row],[new_pfwd_filt]]/_2026_04_17_16_25_21_23_high[[#This Row],[new_p45_filt]]</f>
        <v>0.99616858237547889</v>
      </c>
    </row>
    <row r="223" spans="1:13" x14ac:dyDescent="0.3">
      <c r="A223">
        <v>221</v>
      </c>
      <c r="B223">
        <v>3520</v>
      </c>
      <c r="C223" t="b">
        <v>1</v>
      </c>
      <c r="D223">
        <v>8042</v>
      </c>
      <c r="E223">
        <v>8123</v>
      </c>
      <c r="F223">
        <v>8</v>
      </c>
      <c r="G223">
        <v>8.8000000000000007</v>
      </c>
      <c r="H223">
        <v>0.90909090000000004</v>
      </c>
      <c r="I223">
        <f xml:space="preserve"> -55.696 * _2026_04_17_16_25_21_23_high[[#This Row],[coeff]] + 79.57</f>
        <v>28.937273233599996</v>
      </c>
      <c r="J223">
        <v>0.52380954999999996</v>
      </c>
      <c r="K223">
        <f>_2026_04_17_16_25_21_23_high[[#This Row],[pfwd_filt]]+200</f>
        <v>208</v>
      </c>
      <c r="L223">
        <f>_2026_04_17_16_25_21_23_high[[#This Row],[p45_filt]]+200</f>
        <v>208.8</v>
      </c>
      <c r="M223">
        <f>_2026_04_17_16_25_21_23_high[[#This Row],[new_pfwd_filt]]/_2026_04_17_16_25_21_23_high[[#This Row],[new_p45_filt]]</f>
        <v>0.99616858237547889</v>
      </c>
    </row>
    <row r="224" spans="1:13" x14ac:dyDescent="0.3">
      <c r="A224">
        <v>222</v>
      </c>
      <c r="B224">
        <v>3536</v>
      </c>
      <c r="C224" t="b">
        <v>1</v>
      </c>
      <c r="D224">
        <v>8048</v>
      </c>
      <c r="E224">
        <v>8123</v>
      </c>
      <c r="F224">
        <v>8</v>
      </c>
      <c r="G224">
        <v>8.8000000000000007</v>
      </c>
      <c r="H224">
        <v>0.90909090000000004</v>
      </c>
      <c r="I224">
        <f xml:space="preserve"> -55.696 * _2026_04_17_16_25_21_23_high[[#This Row],[coeff]] + 79.57</f>
        <v>28.937273233599996</v>
      </c>
      <c r="J224">
        <v>0.52380954999999996</v>
      </c>
      <c r="K224">
        <f>_2026_04_17_16_25_21_23_high[[#This Row],[pfwd_filt]]+200</f>
        <v>208</v>
      </c>
      <c r="L224">
        <f>_2026_04_17_16_25_21_23_high[[#This Row],[p45_filt]]+200</f>
        <v>208.8</v>
      </c>
      <c r="M224">
        <f>_2026_04_17_16_25_21_23_high[[#This Row],[new_pfwd_filt]]/_2026_04_17_16_25_21_23_high[[#This Row],[new_p45_filt]]</f>
        <v>0.99616858237547889</v>
      </c>
    </row>
    <row r="225" spans="1:13" x14ac:dyDescent="0.3">
      <c r="A225">
        <v>223</v>
      </c>
      <c r="B225">
        <v>3552</v>
      </c>
      <c r="C225" t="b">
        <v>1</v>
      </c>
      <c r="D225">
        <v>8042</v>
      </c>
      <c r="E225">
        <v>8123</v>
      </c>
      <c r="F225">
        <v>7.6</v>
      </c>
      <c r="G225">
        <v>8.8000000000000007</v>
      </c>
      <c r="H225">
        <v>0.86363630000000002</v>
      </c>
      <c r="I225">
        <f xml:space="preserve"> -55.696 * _2026_04_17_16_25_21_23_high[[#This Row],[coeff]] + 79.57</f>
        <v>31.468912635199992</v>
      </c>
      <c r="J225">
        <v>0.53658539999999999</v>
      </c>
      <c r="K225">
        <f>_2026_04_17_16_25_21_23_high[[#This Row],[pfwd_filt]]+200</f>
        <v>207.6</v>
      </c>
      <c r="L225">
        <f>_2026_04_17_16_25_21_23_high[[#This Row],[p45_filt]]+200</f>
        <v>208.8</v>
      </c>
      <c r="M225">
        <f>_2026_04_17_16_25_21_23_high[[#This Row],[new_pfwd_filt]]/_2026_04_17_16_25_21_23_high[[#This Row],[new_p45_filt]]</f>
        <v>0.99425287356321834</v>
      </c>
    </row>
    <row r="226" spans="1:13" x14ac:dyDescent="0.3">
      <c r="A226">
        <v>224</v>
      </c>
      <c r="B226">
        <v>3568</v>
      </c>
      <c r="C226" t="b">
        <v>1</v>
      </c>
      <c r="D226">
        <v>8048</v>
      </c>
      <c r="E226">
        <v>8129</v>
      </c>
      <c r="F226">
        <v>7.6</v>
      </c>
      <c r="G226">
        <v>8.8000000000000007</v>
      </c>
      <c r="H226">
        <v>0.86363630000000002</v>
      </c>
      <c r="I226">
        <f xml:space="preserve"> -55.696 * _2026_04_17_16_25_21_23_high[[#This Row],[coeff]] + 79.57</f>
        <v>31.468912635199992</v>
      </c>
      <c r="J226">
        <v>0.53658539999999999</v>
      </c>
      <c r="K226">
        <f>_2026_04_17_16_25_21_23_high[[#This Row],[pfwd_filt]]+200</f>
        <v>207.6</v>
      </c>
      <c r="L226">
        <f>_2026_04_17_16_25_21_23_high[[#This Row],[p45_filt]]+200</f>
        <v>208.8</v>
      </c>
      <c r="M226">
        <f>_2026_04_17_16_25_21_23_high[[#This Row],[new_pfwd_filt]]/_2026_04_17_16_25_21_23_high[[#This Row],[new_p45_filt]]</f>
        <v>0.99425287356321834</v>
      </c>
    </row>
    <row r="227" spans="1:13" x14ac:dyDescent="0.3">
      <c r="A227">
        <v>225</v>
      </c>
      <c r="B227">
        <v>3584</v>
      </c>
      <c r="C227" t="b">
        <v>1</v>
      </c>
      <c r="D227">
        <v>8048</v>
      </c>
      <c r="E227">
        <v>8123</v>
      </c>
      <c r="F227">
        <v>7.6</v>
      </c>
      <c r="G227">
        <v>8.8000000000000007</v>
      </c>
      <c r="H227">
        <v>0.86363630000000002</v>
      </c>
      <c r="I227">
        <f xml:space="preserve"> -55.696 * _2026_04_17_16_25_21_23_high[[#This Row],[coeff]] + 79.57</f>
        <v>31.468912635199992</v>
      </c>
      <c r="J227">
        <v>0.53658539999999999</v>
      </c>
      <c r="K227">
        <f>_2026_04_17_16_25_21_23_high[[#This Row],[pfwd_filt]]+200</f>
        <v>207.6</v>
      </c>
      <c r="L227">
        <f>_2026_04_17_16_25_21_23_high[[#This Row],[p45_filt]]+200</f>
        <v>208.8</v>
      </c>
      <c r="M227">
        <f>_2026_04_17_16_25_21_23_high[[#This Row],[new_pfwd_filt]]/_2026_04_17_16_25_21_23_high[[#This Row],[new_p45_filt]]</f>
        <v>0.99425287356321834</v>
      </c>
    </row>
    <row r="228" spans="1:13" x14ac:dyDescent="0.3">
      <c r="A228">
        <v>226</v>
      </c>
      <c r="B228">
        <v>3599</v>
      </c>
      <c r="C228" t="b">
        <v>1</v>
      </c>
      <c r="D228">
        <v>8042</v>
      </c>
      <c r="E228">
        <v>8123</v>
      </c>
      <c r="F228">
        <v>7.6</v>
      </c>
      <c r="G228">
        <v>8.8000000000000007</v>
      </c>
      <c r="H228">
        <v>0.86363630000000002</v>
      </c>
      <c r="I228">
        <f xml:space="preserve"> -55.696 * _2026_04_17_16_25_21_23_high[[#This Row],[coeff]] + 79.57</f>
        <v>31.468912635199992</v>
      </c>
      <c r="J228">
        <v>0.53658539999999999</v>
      </c>
      <c r="K228">
        <f>_2026_04_17_16_25_21_23_high[[#This Row],[pfwd_filt]]+200</f>
        <v>207.6</v>
      </c>
      <c r="L228">
        <f>_2026_04_17_16_25_21_23_high[[#This Row],[p45_filt]]+200</f>
        <v>208.8</v>
      </c>
      <c r="M228">
        <f>_2026_04_17_16_25_21_23_high[[#This Row],[new_pfwd_filt]]/_2026_04_17_16_25_21_23_high[[#This Row],[new_p45_filt]]</f>
        <v>0.99425287356321834</v>
      </c>
    </row>
    <row r="229" spans="1:13" x14ac:dyDescent="0.3">
      <c r="A229">
        <v>227</v>
      </c>
      <c r="B229">
        <v>3615</v>
      </c>
      <c r="C229" t="b">
        <v>1</v>
      </c>
      <c r="D229">
        <v>8042</v>
      </c>
      <c r="E229">
        <v>8123</v>
      </c>
      <c r="F229">
        <v>7.2</v>
      </c>
      <c r="G229">
        <v>8.8000000000000007</v>
      </c>
      <c r="H229">
        <v>0.81818175000000004</v>
      </c>
      <c r="I229">
        <f xml:space="preserve"> -55.696 * _2026_04_17_16_25_21_23_high[[#This Row],[coeff]] + 79.57</f>
        <v>34.000549251999992</v>
      </c>
      <c r="J229">
        <v>0.55000000000000004</v>
      </c>
      <c r="K229">
        <f>_2026_04_17_16_25_21_23_high[[#This Row],[pfwd_filt]]+200</f>
        <v>207.2</v>
      </c>
      <c r="L229">
        <f>_2026_04_17_16_25_21_23_high[[#This Row],[p45_filt]]+200</f>
        <v>208.8</v>
      </c>
      <c r="M229">
        <f>_2026_04_17_16_25_21_23_high[[#This Row],[new_pfwd_filt]]/_2026_04_17_16_25_21_23_high[[#This Row],[new_p45_filt]]</f>
        <v>0.99233716475095779</v>
      </c>
    </row>
    <row r="230" spans="1:13" x14ac:dyDescent="0.3">
      <c r="A230">
        <v>228</v>
      </c>
      <c r="B230">
        <v>3631</v>
      </c>
      <c r="C230" t="b">
        <v>1</v>
      </c>
      <c r="D230">
        <v>8042</v>
      </c>
      <c r="E230">
        <v>8123</v>
      </c>
      <c r="F230">
        <v>6.8</v>
      </c>
      <c r="G230">
        <v>8.8000000000000007</v>
      </c>
      <c r="H230">
        <v>0.77272724999999998</v>
      </c>
      <c r="I230">
        <f xml:space="preserve"> -55.696 * _2026_04_17_16_25_21_23_high[[#This Row],[coeff]] + 79.57</f>
        <v>36.532183083999996</v>
      </c>
      <c r="J230">
        <v>0.56410260000000001</v>
      </c>
      <c r="K230">
        <f>_2026_04_17_16_25_21_23_high[[#This Row],[pfwd_filt]]+200</f>
        <v>206.8</v>
      </c>
      <c r="L230">
        <f>_2026_04_17_16_25_21_23_high[[#This Row],[p45_filt]]+200</f>
        <v>208.8</v>
      </c>
      <c r="M230">
        <f>_2026_04_17_16_25_21_23_high[[#This Row],[new_pfwd_filt]]/_2026_04_17_16_25_21_23_high[[#This Row],[new_p45_filt]]</f>
        <v>0.99042145593869735</v>
      </c>
    </row>
    <row r="231" spans="1:13" x14ac:dyDescent="0.3">
      <c r="A231">
        <v>229</v>
      </c>
      <c r="B231">
        <v>3647</v>
      </c>
      <c r="C231" t="b">
        <v>1</v>
      </c>
      <c r="D231">
        <v>8048</v>
      </c>
      <c r="E231">
        <v>8123</v>
      </c>
      <c r="F231">
        <v>6.4</v>
      </c>
      <c r="G231">
        <v>8.4</v>
      </c>
      <c r="H231">
        <v>0.76190484000000003</v>
      </c>
      <c r="I231">
        <f xml:space="preserve"> -55.696 * _2026_04_17_16_25_21_23_high[[#This Row],[coeff]] + 79.57</f>
        <v>37.13494803135999</v>
      </c>
      <c r="J231">
        <v>0.56756759999999995</v>
      </c>
      <c r="K231">
        <f>_2026_04_17_16_25_21_23_high[[#This Row],[pfwd_filt]]+200</f>
        <v>206.4</v>
      </c>
      <c r="L231">
        <f>_2026_04_17_16_25_21_23_high[[#This Row],[p45_filt]]+200</f>
        <v>208.4</v>
      </c>
      <c r="M231">
        <f>_2026_04_17_16_25_21_23_high[[#This Row],[new_pfwd_filt]]/_2026_04_17_16_25_21_23_high[[#This Row],[new_p45_filt]]</f>
        <v>0.99040307101727443</v>
      </c>
    </row>
    <row r="232" spans="1:13" x14ac:dyDescent="0.3">
      <c r="A232">
        <v>230</v>
      </c>
      <c r="B232">
        <v>3663</v>
      </c>
      <c r="C232" t="b">
        <v>1</v>
      </c>
      <c r="D232">
        <v>8048</v>
      </c>
      <c r="E232">
        <v>8123</v>
      </c>
      <c r="F232">
        <v>6</v>
      </c>
      <c r="G232">
        <v>8</v>
      </c>
      <c r="H232">
        <v>0.75</v>
      </c>
      <c r="I232">
        <f xml:space="preserve"> -55.696 * _2026_04_17_16_25_21_23_high[[#This Row],[coeff]] + 79.57</f>
        <v>37.797999999999995</v>
      </c>
      <c r="J232">
        <v>0.57142859999999995</v>
      </c>
      <c r="K232">
        <f>_2026_04_17_16_25_21_23_high[[#This Row],[pfwd_filt]]+200</f>
        <v>206</v>
      </c>
      <c r="L232">
        <f>_2026_04_17_16_25_21_23_high[[#This Row],[p45_filt]]+200</f>
        <v>208</v>
      </c>
      <c r="M232">
        <f>_2026_04_17_16_25_21_23_high[[#This Row],[new_pfwd_filt]]/_2026_04_17_16_25_21_23_high[[#This Row],[new_p45_filt]]</f>
        <v>0.99038461538461542</v>
      </c>
    </row>
    <row r="233" spans="1:13" x14ac:dyDescent="0.3">
      <c r="A233">
        <v>231</v>
      </c>
      <c r="B233">
        <v>3679</v>
      </c>
      <c r="C233" t="b">
        <v>1</v>
      </c>
      <c r="D233">
        <v>8048</v>
      </c>
      <c r="E233">
        <v>8123</v>
      </c>
      <c r="F233">
        <v>6</v>
      </c>
      <c r="G233">
        <v>8</v>
      </c>
      <c r="H233">
        <v>0.75</v>
      </c>
      <c r="I233">
        <f xml:space="preserve"> -55.696 * _2026_04_17_16_25_21_23_high[[#This Row],[coeff]] + 79.57</f>
        <v>37.797999999999995</v>
      </c>
      <c r="J233">
        <v>0.57142859999999995</v>
      </c>
      <c r="K233">
        <f>_2026_04_17_16_25_21_23_high[[#This Row],[pfwd_filt]]+200</f>
        <v>206</v>
      </c>
      <c r="L233">
        <f>_2026_04_17_16_25_21_23_high[[#This Row],[p45_filt]]+200</f>
        <v>208</v>
      </c>
      <c r="M233">
        <f>_2026_04_17_16_25_21_23_high[[#This Row],[new_pfwd_filt]]/_2026_04_17_16_25_21_23_high[[#This Row],[new_p45_filt]]</f>
        <v>0.99038461538461542</v>
      </c>
    </row>
    <row r="234" spans="1:13" x14ac:dyDescent="0.3">
      <c r="A234">
        <v>232</v>
      </c>
      <c r="B234">
        <v>3695</v>
      </c>
      <c r="C234" t="b">
        <v>1</v>
      </c>
      <c r="D234">
        <v>8048</v>
      </c>
      <c r="E234">
        <v>8123</v>
      </c>
      <c r="F234">
        <v>6</v>
      </c>
      <c r="G234">
        <v>8</v>
      </c>
      <c r="H234">
        <v>0.75</v>
      </c>
      <c r="I234">
        <f xml:space="preserve"> -55.696 * _2026_04_17_16_25_21_23_high[[#This Row],[coeff]] + 79.57</f>
        <v>37.797999999999995</v>
      </c>
      <c r="J234">
        <v>0.57142859999999995</v>
      </c>
      <c r="K234">
        <f>_2026_04_17_16_25_21_23_high[[#This Row],[pfwd_filt]]+200</f>
        <v>206</v>
      </c>
      <c r="L234">
        <f>_2026_04_17_16_25_21_23_high[[#This Row],[p45_filt]]+200</f>
        <v>208</v>
      </c>
      <c r="M234">
        <f>_2026_04_17_16_25_21_23_high[[#This Row],[new_pfwd_filt]]/_2026_04_17_16_25_21_23_high[[#This Row],[new_p45_filt]]</f>
        <v>0.99038461538461542</v>
      </c>
    </row>
    <row r="235" spans="1:13" x14ac:dyDescent="0.3">
      <c r="A235">
        <v>233</v>
      </c>
      <c r="B235">
        <v>3711</v>
      </c>
      <c r="C235" t="b">
        <v>1</v>
      </c>
      <c r="D235">
        <v>8048</v>
      </c>
      <c r="E235">
        <v>8123</v>
      </c>
      <c r="F235">
        <v>6</v>
      </c>
      <c r="G235">
        <v>8</v>
      </c>
      <c r="H235">
        <v>0.75</v>
      </c>
      <c r="I235">
        <f xml:space="preserve"> -55.696 * _2026_04_17_16_25_21_23_high[[#This Row],[coeff]] + 79.57</f>
        <v>37.797999999999995</v>
      </c>
      <c r="J235">
        <v>0.57142859999999995</v>
      </c>
      <c r="K235">
        <f>_2026_04_17_16_25_21_23_high[[#This Row],[pfwd_filt]]+200</f>
        <v>206</v>
      </c>
      <c r="L235">
        <f>_2026_04_17_16_25_21_23_high[[#This Row],[p45_filt]]+200</f>
        <v>208</v>
      </c>
      <c r="M235">
        <f>_2026_04_17_16_25_21_23_high[[#This Row],[new_pfwd_filt]]/_2026_04_17_16_25_21_23_high[[#This Row],[new_p45_filt]]</f>
        <v>0.99038461538461542</v>
      </c>
    </row>
    <row r="236" spans="1:13" x14ac:dyDescent="0.3">
      <c r="A236">
        <v>234</v>
      </c>
      <c r="B236">
        <v>3727</v>
      </c>
      <c r="C236" t="b">
        <v>1</v>
      </c>
      <c r="D236">
        <v>8048</v>
      </c>
      <c r="E236">
        <v>8129</v>
      </c>
      <c r="F236">
        <v>6</v>
      </c>
      <c r="G236">
        <v>8</v>
      </c>
      <c r="H236">
        <v>0.75</v>
      </c>
      <c r="I236">
        <f xml:space="preserve"> -55.696 * _2026_04_17_16_25_21_23_high[[#This Row],[coeff]] + 79.57</f>
        <v>37.797999999999995</v>
      </c>
      <c r="J236">
        <v>0.57142859999999995</v>
      </c>
      <c r="K236">
        <f>_2026_04_17_16_25_21_23_high[[#This Row],[pfwd_filt]]+200</f>
        <v>206</v>
      </c>
      <c r="L236">
        <f>_2026_04_17_16_25_21_23_high[[#This Row],[p45_filt]]+200</f>
        <v>208</v>
      </c>
      <c r="M236">
        <f>_2026_04_17_16_25_21_23_high[[#This Row],[new_pfwd_filt]]/_2026_04_17_16_25_21_23_high[[#This Row],[new_p45_filt]]</f>
        <v>0.99038461538461542</v>
      </c>
    </row>
    <row r="237" spans="1:13" x14ac:dyDescent="0.3">
      <c r="A237">
        <v>235</v>
      </c>
      <c r="B237">
        <v>3742</v>
      </c>
      <c r="C237" t="b">
        <v>1</v>
      </c>
      <c r="D237">
        <v>8048</v>
      </c>
      <c r="E237">
        <v>8123</v>
      </c>
      <c r="F237">
        <v>6</v>
      </c>
      <c r="G237">
        <v>8</v>
      </c>
      <c r="H237">
        <v>0.75</v>
      </c>
      <c r="I237">
        <f xml:space="preserve"> -55.696 * _2026_04_17_16_25_21_23_high[[#This Row],[coeff]] + 79.57</f>
        <v>37.797999999999995</v>
      </c>
      <c r="J237">
        <v>0.57142859999999995</v>
      </c>
      <c r="K237">
        <f>_2026_04_17_16_25_21_23_high[[#This Row],[pfwd_filt]]+200</f>
        <v>206</v>
      </c>
      <c r="L237">
        <f>_2026_04_17_16_25_21_23_high[[#This Row],[p45_filt]]+200</f>
        <v>208</v>
      </c>
      <c r="M237">
        <f>_2026_04_17_16_25_21_23_high[[#This Row],[new_pfwd_filt]]/_2026_04_17_16_25_21_23_high[[#This Row],[new_p45_filt]]</f>
        <v>0.99038461538461542</v>
      </c>
    </row>
    <row r="238" spans="1:13" x14ac:dyDescent="0.3">
      <c r="A238">
        <v>236</v>
      </c>
      <c r="B238">
        <v>3758</v>
      </c>
      <c r="C238" t="b">
        <v>1</v>
      </c>
      <c r="D238">
        <v>8048</v>
      </c>
      <c r="E238">
        <v>8129</v>
      </c>
      <c r="F238">
        <v>6</v>
      </c>
      <c r="G238">
        <v>8</v>
      </c>
      <c r="H238">
        <v>0.75</v>
      </c>
      <c r="I238">
        <f xml:space="preserve"> -55.696 * _2026_04_17_16_25_21_23_high[[#This Row],[coeff]] + 79.57</f>
        <v>37.797999999999995</v>
      </c>
      <c r="J238">
        <v>0.57142859999999995</v>
      </c>
      <c r="K238">
        <f>_2026_04_17_16_25_21_23_high[[#This Row],[pfwd_filt]]+200</f>
        <v>206</v>
      </c>
      <c r="L238">
        <f>_2026_04_17_16_25_21_23_high[[#This Row],[p45_filt]]+200</f>
        <v>208</v>
      </c>
      <c r="M238">
        <f>_2026_04_17_16_25_21_23_high[[#This Row],[new_pfwd_filt]]/_2026_04_17_16_25_21_23_high[[#This Row],[new_p45_filt]]</f>
        <v>0.99038461538461542</v>
      </c>
    </row>
    <row r="239" spans="1:13" x14ac:dyDescent="0.3">
      <c r="A239">
        <v>237</v>
      </c>
      <c r="B239">
        <v>3774</v>
      </c>
      <c r="C239" t="b">
        <v>1</v>
      </c>
      <c r="D239">
        <v>8042</v>
      </c>
      <c r="E239">
        <v>8134</v>
      </c>
      <c r="F239">
        <v>6</v>
      </c>
      <c r="G239">
        <v>8.4</v>
      </c>
      <c r="H239">
        <v>0.71428572999999995</v>
      </c>
      <c r="I239">
        <f xml:space="preserve"> -55.696 * _2026_04_17_16_25_21_23_high[[#This Row],[coeff]] + 79.57</f>
        <v>39.787141981919994</v>
      </c>
      <c r="J239">
        <v>0.58333330000000005</v>
      </c>
      <c r="K239">
        <f>_2026_04_17_16_25_21_23_high[[#This Row],[pfwd_filt]]+200</f>
        <v>206</v>
      </c>
      <c r="L239">
        <f>_2026_04_17_16_25_21_23_high[[#This Row],[p45_filt]]+200</f>
        <v>208.4</v>
      </c>
      <c r="M239">
        <f>_2026_04_17_16_25_21_23_high[[#This Row],[new_pfwd_filt]]/_2026_04_17_16_25_21_23_high[[#This Row],[new_p45_filt]]</f>
        <v>0.98848368522072938</v>
      </c>
    </row>
    <row r="240" spans="1:13" x14ac:dyDescent="0.3">
      <c r="A240">
        <v>238</v>
      </c>
      <c r="B240">
        <v>3790</v>
      </c>
      <c r="C240" t="b">
        <v>1</v>
      </c>
      <c r="D240">
        <v>8048</v>
      </c>
      <c r="E240">
        <v>8129</v>
      </c>
      <c r="F240">
        <v>6.4</v>
      </c>
      <c r="G240">
        <v>8.8000000000000007</v>
      </c>
      <c r="H240">
        <v>0.72727275000000002</v>
      </c>
      <c r="I240">
        <f xml:space="preserve"> -55.696 * _2026_04_17_16_25_21_23_high[[#This Row],[coeff]] + 79.57</f>
        <v>39.063816915999993</v>
      </c>
      <c r="J240">
        <v>0.57894736999999996</v>
      </c>
      <c r="K240">
        <f>_2026_04_17_16_25_21_23_high[[#This Row],[pfwd_filt]]+200</f>
        <v>206.4</v>
      </c>
      <c r="L240">
        <f>_2026_04_17_16_25_21_23_high[[#This Row],[p45_filt]]+200</f>
        <v>208.8</v>
      </c>
      <c r="M240">
        <f>_2026_04_17_16_25_21_23_high[[#This Row],[new_pfwd_filt]]/_2026_04_17_16_25_21_23_high[[#This Row],[new_p45_filt]]</f>
        <v>0.9885057471264368</v>
      </c>
    </row>
    <row r="241" spans="1:13" x14ac:dyDescent="0.3">
      <c r="A241">
        <v>239</v>
      </c>
      <c r="B241">
        <v>3806</v>
      </c>
      <c r="C241" t="b">
        <v>1</v>
      </c>
      <c r="D241">
        <v>8048</v>
      </c>
      <c r="E241">
        <v>8129</v>
      </c>
      <c r="F241">
        <v>6.4</v>
      </c>
      <c r="G241">
        <v>9.1999999999999993</v>
      </c>
      <c r="H241">
        <v>0.69565220000000005</v>
      </c>
      <c r="I241">
        <f xml:space="preserve"> -55.696 * _2026_04_17_16_25_21_23_high[[#This Row],[coeff]] + 79.57</f>
        <v>40.824955068799994</v>
      </c>
      <c r="J241">
        <v>0.58974355000000001</v>
      </c>
      <c r="K241">
        <f>_2026_04_17_16_25_21_23_high[[#This Row],[pfwd_filt]]+200</f>
        <v>206.4</v>
      </c>
      <c r="L241">
        <f>_2026_04_17_16_25_21_23_high[[#This Row],[p45_filt]]+200</f>
        <v>209.2</v>
      </c>
      <c r="M241">
        <f>_2026_04_17_16_25_21_23_high[[#This Row],[new_pfwd_filt]]/_2026_04_17_16_25_21_23_high[[#This Row],[new_p45_filt]]</f>
        <v>0.98661567877629075</v>
      </c>
    </row>
    <row r="242" spans="1:13" x14ac:dyDescent="0.3">
      <c r="A242">
        <v>240</v>
      </c>
      <c r="B242">
        <v>3822</v>
      </c>
      <c r="C242" t="b">
        <v>1</v>
      </c>
      <c r="D242">
        <v>8048</v>
      </c>
      <c r="E242">
        <v>8129</v>
      </c>
      <c r="F242">
        <v>6.4</v>
      </c>
      <c r="G242">
        <v>9.6</v>
      </c>
      <c r="H242">
        <v>0.6666666</v>
      </c>
      <c r="I242">
        <f xml:space="preserve"> -55.696 * _2026_04_17_16_25_21_23_high[[#This Row],[coeff]] + 79.57</f>
        <v>42.439337046399991</v>
      </c>
      <c r="J242">
        <v>0.6</v>
      </c>
      <c r="K242">
        <f>_2026_04_17_16_25_21_23_high[[#This Row],[pfwd_filt]]+200</f>
        <v>206.4</v>
      </c>
      <c r="L242">
        <f>_2026_04_17_16_25_21_23_high[[#This Row],[p45_filt]]+200</f>
        <v>209.6</v>
      </c>
      <c r="M242">
        <f>_2026_04_17_16_25_21_23_high[[#This Row],[new_pfwd_filt]]/_2026_04_17_16_25_21_23_high[[#This Row],[new_p45_filt]]</f>
        <v>0.984732824427481</v>
      </c>
    </row>
    <row r="243" spans="1:13" x14ac:dyDescent="0.3">
      <c r="A243">
        <v>241</v>
      </c>
      <c r="B243">
        <v>3838</v>
      </c>
      <c r="C243" t="b">
        <v>1</v>
      </c>
      <c r="D243">
        <v>8042</v>
      </c>
      <c r="E243">
        <v>8134</v>
      </c>
      <c r="F243">
        <v>6.4</v>
      </c>
      <c r="G243">
        <v>10</v>
      </c>
      <c r="H243">
        <v>0.64</v>
      </c>
      <c r="I243">
        <f xml:space="preserve"> -55.696 * _2026_04_17_16_25_21_23_high[[#This Row],[coeff]] + 79.57</f>
        <v>43.924559999999992</v>
      </c>
      <c r="J243">
        <v>0.60975610000000002</v>
      </c>
      <c r="K243">
        <f>_2026_04_17_16_25_21_23_high[[#This Row],[pfwd_filt]]+200</f>
        <v>206.4</v>
      </c>
      <c r="L243">
        <f>_2026_04_17_16_25_21_23_high[[#This Row],[p45_filt]]+200</f>
        <v>210</v>
      </c>
      <c r="M243">
        <f>_2026_04_17_16_25_21_23_high[[#This Row],[new_pfwd_filt]]/_2026_04_17_16_25_21_23_high[[#This Row],[new_p45_filt]]</f>
        <v>0.98285714285714287</v>
      </c>
    </row>
    <row r="244" spans="1:13" x14ac:dyDescent="0.3">
      <c r="A244">
        <v>242</v>
      </c>
      <c r="B244">
        <v>3854</v>
      </c>
      <c r="C244" t="b">
        <v>1</v>
      </c>
      <c r="D244">
        <v>8048</v>
      </c>
      <c r="E244">
        <v>8123</v>
      </c>
      <c r="F244">
        <v>6.8</v>
      </c>
      <c r="G244">
        <v>10.4</v>
      </c>
      <c r="H244">
        <v>0.65384620000000004</v>
      </c>
      <c r="I244">
        <f xml:space="preserve"> -55.696 * _2026_04_17_16_25_21_23_high[[#This Row],[coeff]] + 79.57</f>
        <v>43.15338204479999</v>
      </c>
      <c r="J244">
        <v>0.6046511</v>
      </c>
      <c r="K244">
        <f>_2026_04_17_16_25_21_23_high[[#This Row],[pfwd_filt]]+200</f>
        <v>206.8</v>
      </c>
      <c r="L244">
        <f>_2026_04_17_16_25_21_23_high[[#This Row],[p45_filt]]+200</f>
        <v>210.4</v>
      </c>
      <c r="M244">
        <f>_2026_04_17_16_25_21_23_high[[#This Row],[new_pfwd_filt]]/_2026_04_17_16_25_21_23_high[[#This Row],[new_p45_filt]]</f>
        <v>0.9828897338403042</v>
      </c>
    </row>
    <row r="245" spans="1:13" x14ac:dyDescent="0.3">
      <c r="A245">
        <v>243</v>
      </c>
      <c r="B245">
        <v>3870</v>
      </c>
      <c r="C245" t="b">
        <v>1</v>
      </c>
      <c r="D245">
        <v>8048</v>
      </c>
      <c r="E245">
        <v>8123</v>
      </c>
      <c r="F245">
        <v>7.2</v>
      </c>
      <c r="G245">
        <v>10.8</v>
      </c>
      <c r="H245">
        <v>0.6666666</v>
      </c>
      <c r="I245">
        <f xml:space="preserve"> -55.696 * _2026_04_17_16_25_21_23_high[[#This Row],[coeff]] + 79.57</f>
        <v>42.439337046399991</v>
      </c>
      <c r="J245">
        <v>0.6</v>
      </c>
      <c r="K245">
        <f>_2026_04_17_16_25_21_23_high[[#This Row],[pfwd_filt]]+200</f>
        <v>207.2</v>
      </c>
      <c r="L245">
        <f>_2026_04_17_16_25_21_23_high[[#This Row],[p45_filt]]+200</f>
        <v>210.8</v>
      </c>
      <c r="M245">
        <f>_2026_04_17_16_25_21_23_high[[#This Row],[new_pfwd_filt]]/_2026_04_17_16_25_21_23_high[[#This Row],[new_p45_filt]]</f>
        <v>0.9829222011385198</v>
      </c>
    </row>
    <row r="246" spans="1:13" x14ac:dyDescent="0.3">
      <c r="A246">
        <v>244</v>
      </c>
      <c r="B246">
        <v>3886</v>
      </c>
      <c r="C246" t="b">
        <v>1</v>
      </c>
      <c r="D246">
        <v>8048</v>
      </c>
      <c r="E246">
        <v>8123</v>
      </c>
      <c r="F246">
        <v>7.6</v>
      </c>
      <c r="G246">
        <v>10.8</v>
      </c>
      <c r="H246">
        <v>0.70370370000000004</v>
      </c>
      <c r="I246">
        <f xml:space="preserve"> -55.696 * _2026_04_17_16_25_21_23_high[[#This Row],[coeff]] + 79.57</f>
        <v>40.376518724799993</v>
      </c>
      <c r="J246">
        <v>0.58695655999999996</v>
      </c>
      <c r="K246">
        <f>_2026_04_17_16_25_21_23_high[[#This Row],[pfwd_filt]]+200</f>
        <v>207.6</v>
      </c>
      <c r="L246">
        <f>_2026_04_17_16_25_21_23_high[[#This Row],[p45_filt]]+200</f>
        <v>210.8</v>
      </c>
      <c r="M246">
        <f>_2026_04_17_16_25_21_23_high[[#This Row],[new_pfwd_filt]]/_2026_04_17_16_25_21_23_high[[#This Row],[new_p45_filt]]</f>
        <v>0.98481973434535097</v>
      </c>
    </row>
    <row r="247" spans="1:13" x14ac:dyDescent="0.3">
      <c r="A247">
        <v>245</v>
      </c>
      <c r="B247">
        <v>3902</v>
      </c>
      <c r="C247" t="b">
        <v>1</v>
      </c>
      <c r="D247">
        <v>8048</v>
      </c>
      <c r="E247">
        <v>8129</v>
      </c>
      <c r="F247">
        <v>8</v>
      </c>
      <c r="G247">
        <v>10.8</v>
      </c>
      <c r="H247">
        <v>0.74074070000000003</v>
      </c>
      <c r="I247">
        <f xml:space="preserve"> -55.696 * _2026_04_17_16_25_21_23_high[[#This Row],[coeff]] + 79.57</f>
        <v>38.313705972799994</v>
      </c>
      <c r="J247">
        <v>0.57446814000000002</v>
      </c>
      <c r="K247">
        <f>_2026_04_17_16_25_21_23_high[[#This Row],[pfwd_filt]]+200</f>
        <v>208</v>
      </c>
      <c r="L247">
        <f>_2026_04_17_16_25_21_23_high[[#This Row],[p45_filt]]+200</f>
        <v>210.8</v>
      </c>
      <c r="M247">
        <f>_2026_04_17_16_25_21_23_high[[#This Row],[new_pfwd_filt]]/_2026_04_17_16_25_21_23_high[[#This Row],[new_p45_filt]]</f>
        <v>0.98671726755218214</v>
      </c>
    </row>
    <row r="248" spans="1:13" x14ac:dyDescent="0.3">
      <c r="A248">
        <v>246</v>
      </c>
      <c r="B248">
        <v>3917</v>
      </c>
      <c r="C248" t="b">
        <v>1</v>
      </c>
      <c r="D248">
        <v>8042</v>
      </c>
      <c r="E248">
        <v>8123</v>
      </c>
      <c r="F248">
        <v>8</v>
      </c>
      <c r="G248">
        <v>10.8</v>
      </c>
      <c r="H248">
        <v>0.74074070000000003</v>
      </c>
      <c r="I248">
        <f xml:space="preserve"> -55.696 * _2026_04_17_16_25_21_23_high[[#This Row],[coeff]] + 79.57</f>
        <v>38.313705972799994</v>
      </c>
      <c r="J248">
        <v>0.57446814000000002</v>
      </c>
      <c r="K248">
        <f>_2026_04_17_16_25_21_23_high[[#This Row],[pfwd_filt]]+200</f>
        <v>208</v>
      </c>
      <c r="L248">
        <f>_2026_04_17_16_25_21_23_high[[#This Row],[p45_filt]]+200</f>
        <v>210.8</v>
      </c>
      <c r="M248">
        <f>_2026_04_17_16_25_21_23_high[[#This Row],[new_pfwd_filt]]/_2026_04_17_16_25_21_23_high[[#This Row],[new_p45_filt]]</f>
        <v>0.98671726755218214</v>
      </c>
    </row>
    <row r="249" spans="1:13" x14ac:dyDescent="0.3">
      <c r="A249">
        <v>247</v>
      </c>
      <c r="B249">
        <v>3933</v>
      </c>
      <c r="C249" t="b">
        <v>1</v>
      </c>
      <c r="D249">
        <v>8054</v>
      </c>
      <c r="E249">
        <v>8123</v>
      </c>
      <c r="F249">
        <v>8</v>
      </c>
      <c r="G249">
        <v>10.8</v>
      </c>
      <c r="H249">
        <v>0.74074070000000003</v>
      </c>
      <c r="I249">
        <f xml:space="preserve"> -55.696 * _2026_04_17_16_25_21_23_high[[#This Row],[coeff]] + 79.57</f>
        <v>38.313705972799994</v>
      </c>
      <c r="J249">
        <v>0.57446814000000002</v>
      </c>
      <c r="K249">
        <f>_2026_04_17_16_25_21_23_high[[#This Row],[pfwd_filt]]+200</f>
        <v>208</v>
      </c>
      <c r="L249">
        <f>_2026_04_17_16_25_21_23_high[[#This Row],[p45_filt]]+200</f>
        <v>210.8</v>
      </c>
      <c r="M249">
        <f>_2026_04_17_16_25_21_23_high[[#This Row],[new_pfwd_filt]]/_2026_04_17_16_25_21_23_high[[#This Row],[new_p45_filt]]</f>
        <v>0.98671726755218214</v>
      </c>
    </row>
    <row r="250" spans="1:13" x14ac:dyDescent="0.3">
      <c r="A250">
        <v>248</v>
      </c>
      <c r="B250">
        <v>3949</v>
      </c>
      <c r="C250" t="b">
        <v>1</v>
      </c>
      <c r="D250">
        <v>8042</v>
      </c>
      <c r="E250">
        <v>8123</v>
      </c>
      <c r="F250">
        <v>8</v>
      </c>
      <c r="G250">
        <v>10.8</v>
      </c>
      <c r="H250">
        <v>0.74074070000000003</v>
      </c>
      <c r="I250">
        <f xml:space="preserve"> -55.696 * _2026_04_17_16_25_21_23_high[[#This Row],[coeff]] + 79.57</f>
        <v>38.313705972799994</v>
      </c>
      <c r="J250">
        <v>0.57446814000000002</v>
      </c>
      <c r="K250">
        <f>_2026_04_17_16_25_21_23_high[[#This Row],[pfwd_filt]]+200</f>
        <v>208</v>
      </c>
      <c r="L250">
        <f>_2026_04_17_16_25_21_23_high[[#This Row],[p45_filt]]+200</f>
        <v>210.8</v>
      </c>
      <c r="M250">
        <f>_2026_04_17_16_25_21_23_high[[#This Row],[new_pfwd_filt]]/_2026_04_17_16_25_21_23_high[[#This Row],[new_p45_filt]]</f>
        <v>0.98671726755218214</v>
      </c>
    </row>
    <row r="251" spans="1:13" x14ac:dyDescent="0.3">
      <c r="A251">
        <v>249</v>
      </c>
      <c r="B251">
        <v>3965</v>
      </c>
      <c r="C251" t="b">
        <v>1</v>
      </c>
      <c r="D251">
        <v>8048</v>
      </c>
      <c r="E251">
        <v>8123</v>
      </c>
      <c r="F251">
        <v>8</v>
      </c>
      <c r="G251">
        <v>10.8</v>
      </c>
      <c r="H251">
        <v>0.74074070000000003</v>
      </c>
      <c r="I251">
        <f xml:space="preserve"> -55.696 * _2026_04_17_16_25_21_23_high[[#This Row],[coeff]] + 79.57</f>
        <v>38.313705972799994</v>
      </c>
      <c r="J251">
        <v>0.57446814000000002</v>
      </c>
      <c r="K251">
        <f>_2026_04_17_16_25_21_23_high[[#This Row],[pfwd_filt]]+200</f>
        <v>208</v>
      </c>
      <c r="L251">
        <f>_2026_04_17_16_25_21_23_high[[#This Row],[p45_filt]]+200</f>
        <v>210.8</v>
      </c>
      <c r="M251">
        <f>_2026_04_17_16_25_21_23_high[[#This Row],[new_pfwd_filt]]/_2026_04_17_16_25_21_23_high[[#This Row],[new_p45_filt]]</f>
        <v>0.98671726755218214</v>
      </c>
    </row>
    <row r="252" spans="1:13" x14ac:dyDescent="0.3">
      <c r="A252">
        <v>250</v>
      </c>
      <c r="B252">
        <v>3981</v>
      </c>
      <c r="C252" t="b">
        <v>1</v>
      </c>
      <c r="D252">
        <v>8048</v>
      </c>
      <c r="E252">
        <v>8123</v>
      </c>
      <c r="F252">
        <v>8</v>
      </c>
      <c r="G252">
        <v>10.8</v>
      </c>
      <c r="H252">
        <v>0.74074070000000003</v>
      </c>
      <c r="I252">
        <f xml:space="preserve"> -55.696 * _2026_04_17_16_25_21_23_high[[#This Row],[coeff]] + 79.57</f>
        <v>38.313705972799994</v>
      </c>
      <c r="J252">
        <v>0.57446814000000002</v>
      </c>
      <c r="K252">
        <f>_2026_04_17_16_25_21_23_high[[#This Row],[pfwd_filt]]+200</f>
        <v>208</v>
      </c>
      <c r="L252">
        <f>_2026_04_17_16_25_21_23_high[[#This Row],[p45_filt]]+200</f>
        <v>210.8</v>
      </c>
      <c r="M252">
        <f>_2026_04_17_16_25_21_23_high[[#This Row],[new_pfwd_filt]]/_2026_04_17_16_25_21_23_high[[#This Row],[new_p45_filt]]</f>
        <v>0.98671726755218214</v>
      </c>
    </row>
    <row r="253" spans="1:13" x14ac:dyDescent="0.3">
      <c r="A253">
        <v>251</v>
      </c>
      <c r="B253">
        <v>3997</v>
      </c>
      <c r="C253" t="b">
        <v>1</v>
      </c>
      <c r="D253">
        <v>8048</v>
      </c>
      <c r="E253">
        <v>8123</v>
      </c>
      <c r="F253">
        <v>8</v>
      </c>
      <c r="G253">
        <v>10.8</v>
      </c>
      <c r="H253">
        <v>0.74074070000000003</v>
      </c>
      <c r="I253">
        <f xml:space="preserve"> -55.696 * _2026_04_17_16_25_21_23_high[[#This Row],[coeff]] + 79.57</f>
        <v>38.313705972799994</v>
      </c>
      <c r="J253">
        <v>0.57446814000000002</v>
      </c>
      <c r="K253">
        <f>_2026_04_17_16_25_21_23_high[[#This Row],[pfwd_filt]]+200</f>
        <v>208</v>
      </c>
      <c r="L253">
        <f>_2026_04_17_16_25_21_23_high[[#This Row],[p45_filt]]+200</f>
        <v>210.8</v>
      </c>
      <c r="M253">
        <f>_2026_04_17_16_25_21_23_high[[#This Row],[new_pfwd_filt]]/_2026_04_17_16_25_21_23_high[[#This Row],[new_p45_filt]]</f>
        <v>0.98671726755218214</v>
      </c>
    </row>
    <row r="254" spans="1:13" x14ac:dyDescent="0.3">
      <c r="A254">
        <v>252</v>
      </c>
      <c r="B254">
        <v>4012</v>
      </c>
      <c r="C254" t="b">
        <v>1</v>
      </c>
      <c r="D254">
        <v>8048</v>
      </c>
      <c r="E254">
        <v>8123</v>
      </c>
      <c r="F254">
        <v>8</v>
      </c>
      <c r="G254">
        <v>10.4</v>
      </c>
      <c r="H254">
        <v>0.76923079999999999</v>
      </c>
      <c r="I254">
        <f xml:space="preserve"> -55.696 * _2026_04_17_16_25_21_23_high[[#This Row],[coeff]] + 79.57</f>
        <v>36.726921363199992</v>
      </c>
      <c r="J254">
        <v>0.56521739999999998</v>
      </c>
      <c r="K254">
        <f>_2026_04_17_16_25_21_23_high[[#This Row],[pfwd_filt]]+200</f>
        <v>208</v>
      </c>
      <c r="L254">
        <f>_2026_04_17_16_25_21_23_high[[#This Row],[p45_filt]]+200</f>
        <v>210.4</v>
      </c>
      <c r="M254">
        <f>_2026_04_17_16_25_21_23_high[[#This Row],[new_pfwd_filt]]/_2026_04_17_16_25_21_23_high[[#This Row],[new_p45_filt]]</f>
        <v>0.98859315589353614</v>
      </c>
    </row>
    <row r="255" spans="1:13" x14ac:dyDescent="0.3">
      <c r="A255">
        <v>253</v>
      </c>
      <c r="B255">
        <v>4028</v>
      </c>
      <c r="C255" t="b">
        <v>1</v>
      </c>
      <c r="D255">
        <v>8042</v>
      </c>
      <c r="E255">
        <v>8123</v>
      </c>
      <c r="F255">
        <v>8</v>
      </c>
      <c r="G255">
        <v>10</v>
      </c>
      <c r="H255">
        <v>0.8</v>
      </c>
      <c r="I255">
        <f xml:space="preserve"> -55.696 * _2026_04_17_16_25_21_23_high[[#This Row],[coeff]] + 79.57</f>
        <v>35.013199999999991</v>
      </c>
      <c r="J255">
        <v>0.55555560000000004</v>
      </c>
      <c r="K255">
        <f>_2026_04_17_16_25_21_23_high[[#This Row],[pfwd_filt]]+200</f>
        <v>208</v>
      </c>
      <c r="L255">
        <f>_2026_04_17_16_25_21_23_high[[#This Row],[p45_filt]]+200</f>
        <v>210</v>
      </c>
      <c r="M255">
        <f>_2026_04_17_16_25_21_23_high[[#This Row],[new_pfwd_filt]]/_2026_04_17_16_25_21_23_high[[#This Row],[new_p45_filt]]</f>
        <v>0.99047619047619051</v>
      </c>
    </row>
    <row r="256" spans="1:13" x14ac:dyDescent="0.3">
      <c r="A256">
        <v>254</v>
      </c>
      <c r="B256">
        <v>4044</v>
      </c>
      <c r="C256" t="b">
        <v>1</v>
      </c>
      <c r="D256">
        <v>8048</v>
      </c>
      <c r="E256">
        <v>8129</v>
      </c>
      <c r="F256">
        <v>8</v>
      </c>
      <c r="G256">
        <v>9.6</v>
      </c>
      <c r="H256">
        <v>0.83333330000000005</v>
      </c>
      <c r="I256">
        <f xml:space="preserve"> -55.696 * _2026_04_17_16_25_21_23_high[[#This Row],[coeff]] + 79.57</f>
        <v>33.15666852319999</v>
      </c>
      <c r="J256">
        <v>0.54545456000000003</v>
      </c>
      <c r="K256">
        <f>_2026_04_17_16_25_21_23_high[[#This Row],[pfwd_filt]]+200</f>
        <v>208</v>
      </c>
      <c r="L256">
        <f>_2026_04_17_16_25_21_23_high[[#This Row],[p45_filt]]+200</f>
        <v>209.6</v>
      </c>
      <c r="M256">
        <f>_2026_04_17_16_25_21_23_high[[#This Row],[new_pfwd_filt]]/_2026_04_17_16_25_21_23_high[[#This Row],[new_p45_filt]]</f>
        <v>0.99236641221374045</v>
      </c>
    </row>
    <row r="257" spans="1:13" x14ac:dyDescent="0.3">
      <c r="A257">
        <v>255</v>
      </c>
      <c r="B257">
        <v>4060</v>
      </c>
      <c r="C257" t="b">
        <v>1</v>
      </c>
      <c r="D257">
        <v>8042</v>
      </c>
      <c r="E257">
        <v>8123</v>
      </c>
      <c r="F257">
        <v>8</v>
      </c>
      <c r="G257">
        <v>9.1999999999999993</v>
      </c>
      <c r="H257">
        <v>0.86956524999999996</v>
      </c>
      <c r="I257">
        <f xml:space="preserve"> -55.696 * _2026_04_17_16_25_21_23_high[[#This Row],[coeff]] + 79.57</f>
        <v>31.138693835999995</v>
      </c>
      <c r="J257">
        <v>0.53488369999999996</v>
      </c>
      <c r="K257">
        <f>_2026_04_17_16_25_21_23_high[[#This Row],[pfwd_filt]]+200</f>
        <v>208</v>
      </c>
      <c r="L257">
        <f>_2026_04_17_16_25_21_23_high[[#This Row],[p45_filt]]+200</f>
        <v>209.2</v>
      </c>
      <c r="M257">
        <f>_2026_04_17_16_25_21_23_high[[#This Row],[new_pfwd_filt]]/_2026_04_17_16_25_21_23_high[[#This Row],[new_p45_filt]]</f>
        <v>0.99426386233269604</v>
      </c>
    </row>
    <row r="258" spans="1:13" x14ac:dyDescent="0.3">
      <c r="A258">
        <v>256</v>
      </c>
      <c r="B258">
        <v>4076</v>
      </c>
      <c r="C258" t="b">
        <v>1</v>
      </c>
      <c r="D258">
        <v>8048</v>
      </c>
      <c r="E258">
        <v>8123</v>
      </c>
      <c r="F258">
        <v>8</v>
      </c>
      <c r="G258">
        <v>8.8000000000000007</v>
      </c>
      <c r="H258">
        <v>0.90909090000000004</v>
      </c>
      <c r="I258">
        <f xml:space="preserve"> -55.696 * _2026_04_17_16_25_21_23_high[[#This Row],[coeff]] + 79.57</f>
        <v>28.937273233599996</v>
      </c>
      <c r="J258">
        <v>0.52380954999999996</v>
      </c>
      <c r="K258">
        <f>_2026_04_17_16_25_21_23_high[[#This Row],[pfwd_filt]]+200</f>
        <v>208</v>
      </c>
      <c r="L258">
        <f>_2026_04_17_16_25_21_23_high[[#This Row],[p45_filt]]+200</f>
        <v>208.8</v>
      </c>
      <c r="M258">
        <f>_2026_04_17_16_25_21_23_high[[#This Row],[new_pfwd_filt]]/_2026_04_17_16_25_21_23_high[[#This Row],[new_p45_filt]]</f>
        <v>0.99616858237547889</v>
      </c>
    </row>
    <row r="259" spans="1:13" x14ac:dyDescent="0.3">
      <c r="A259">
        <v>257</v>
      </c>
      <c r="B259">
        <v>4092</v>
      </c>
      <c r="C259" t="b">
        <v>1</v>
      </c>
      <c r="D259">
        <v>8048</v>
      </c>
      <c r="E259">
        <v>8123</v>
      </c>
      <c r="F259">
        <v>8</v>
      </c>
      <c r="G259">
        <v>8.4</v>
      </c>
      <c r="H259">
        <v>0.95238100000000003</v>
      </c>
      <c r="I259">
        <f xml:space="preserve"> -55.696 * _2026_04_17_16_25_21_23_high[[#This Row],[coeff]] + 79.57</f>
        <v>26.52618782399999</v>
      </c>
      <c r="J259">
        <v>0.51219510000000001</v>
      </c>
      <c r="K259">
        <f>_2026_04_17_16_25_21_23_high[[#This Row],[pfwd_filt]]+200</f>
        <v>208</v>
      </c>
      <c r="L259">
        <f>_2026_04_17_16_25_21_23_high[[#This Row],[p45_filt]]+200</f>
        <v>208.4</v>
      </c>
      <c r="M259">
        <f>_2026_04_17_16_25_21_23_high[[#This Row],[new_pfwd_filt]]/_2026_04_17_16_25_21_23_high[[#This Row],[new_p45_filt]]</f>
        <v>0.99808061420345484</v>
      </c>
    </row>
    <row r="260" spans="1:13" x14ac:dyDescent="0.3">
      <c r="A260">
        <v>258</v>
      </c>
      <c r="B260">
        <v>4108</v>
      </c>
      <c r="C260" t="b">
        <v>1</v>
      </c>
      <c r="D260">
        <v>8048</v>
      </c>
      <c r="E260">
        <v>8123</v>
      </c>
      <c r="F260">
        <v>8</v>
      </c>
      <c r="G260">
        <v>8</v>
      </c>
      <c r="H260">
        <v>1</v>
      </c>
      <c r="I260">
        <f xml:space="preserve"> -55.696 * _2026_04_17_16_25_21_23_high[[#This Row],[coeff]] + 79.57</f>
        <v>23.873999999999995</v>
      </c>
      <c r="J260">
        <v>0.5</v>
      </c>
      <c r="K260">
        <f>_2026_04_17_16_25_21_23_high[[#This Row],[pfwd_filt]]+200</f>
        <v>208</v>
      </c>
      <c r="L260">
        <f>_2026_04_17_16_25_21_23_high[[#This Row],[p45_filt]]+200</f>
        <v>208</v>
      </c>
      <c r="M260">
        <f>_2026_04_17_16_25_21_23_high[[#This Row],[new_pfwd_filt]]/_2026_04_17_16_25_21_23_high[[#This Row],[new_p45_filt]]</f>
        <v>1</v>
      </c>
    </row>
    <row r="261" spans="1:13" x14ac:dyDescent="0.3">
      <c r="A261">
        <v>259</v>
      </c>
      <c r="B261">
        <v>4124</v>
      </c>
      <c r="C261" t="b">
        <v>1</v>
      </c>
      <c r="D261">
        <v>8048</v>
      </c>
      <c r="E261">
        <v>8123</v>
      </c>
      <c r="F261">
        <v>8</v>
      </c>
      <c r="G261">
        <v>8</v>
      </c>
      <c r="H261">
        <v>1</v>
      </c>
      <c r="I261">
        <f xml:space="preserve"> -55.696 * _2026_04_17_16_25_21_23_high[[#This Row],[coeff]] + 79.57</f>
        <v>23.873999999999995</v>
      </c>
      <c r="J261">
        <v>0.5</v>
      </c>
      <c r="K261">
        <f>_2026_04_17_16_25_21_23_high[[#This Row],[pfwd_filt]]+200</f>
        <v>208</v>
      </c>
      <c r="L261">
        <f>_2026_04_17_16_25_21_23_high[[#This Row],[p45_filt]]+200</f>
        <v>208</v>
      </c>
      <c r="M261">
        <f>_2026_04_17_16_25_21_23_high[[#This Row],[new_pfwd_filt]]/_2026_04_17_16_25_21_23_high[[#This Row],[new_p45_filt]]</f>
        <v>1</v>
      </c>
    </row>
    <row r="262" spans="1:13" x14ac:dyDescent="0.3">
      <c r="A262">
        <v>260</v>
      </c>
      <c r="B262">
        <v>4140</v>
      </c>
      <c r="C262" t="b">
        <v>1</v>
      </c>
      <c r="D262">
        <v>8048</v>
      </c>
      <c r="E262">
        <v>8123</v>
      </c>
      <c r="F262">
        <v>8</v>
      </c>
      <c r="G262">
        <v>8</v>
      </c>
      <c r="H262">
        <v>1</v>
      </c>
      <c r="I262">
        <f xml:space="preserve"> -55.696 * _2026_04_17_16_25_21_23_high[[#This Row],[coeff]] + 79.57</f>
        <v>23.873999999999995</v>
      </c>
      <c r="J262">
        <v>0.5</v>
      </c>
      <c r="K262">
        <f>_2026_04_17_16_25_21_23_high[[#This Row],[pfwd_filt]]+200</f>
        <v>208</v>
      </c>
      <c r="L262">
        <f>_2026_04_17_16_25_21_23_high[[#This Row],[p45_filt]]+200</f>
        <v>208</v>
      </c>
      <c r="M262">
        <f>_2026_04_17_16_25_21_23_high[[#This Row],[new_pfwd_filt]]/_2026_04_17_16_25_21_23_high[[#This Row],[new_p45_filt]]</f>
        <v>1</v>
      </c>
    </row>
    <row r="263" spans="1:13" x14ac:dyDescent="0.3">
      <c r="A263">
        <v>261</v>
      </c>
      <c r="B263">
        <v>4156</v>
      </c>
      <c r="C263" t="b">
        <v>1</v>
      </c>
      <c r="D263">
        <v>8048</v>
      </c>
      <c r="E263">
        <v>8123</v>
      </c>
      <c r="F263">
        <v>8</v>
      </c>
      <c r="G263">
        <v>8</v>
      </c>
      <c r="H263">
        <v>1</v>
      </c>
      <c r="I263">
        <f xml:space="preserve"> -55.696 * _2026_04_17_16_25_21_23_high[[#This Row],[coeff]] + 79.57</f>
        <v>23.873999999999995</v>
      </c>
      <c r="J263">
        <v>0.5</v>
      </c>
      <c r="K263">
        <f>_2026_04_17_16_25_21_23_high[[#This Row],[pfwd_filt]]+200</f>
        <v>208</v>
      </c>
      <c r="L263">
        <f>_2026_04_17_16_25_21_23_high[[#This Row],[p45_filt]]+200</f>
        <v>208</v>
      </c>
      <c r="M263">
        <f>_2026_04_17_16_25_21_23_high[[#This Row],[new_pfwd_filt]]/_2026_04_17_16_25_21_23_high[[#This Row],[new_p45_filt]]</f>
        <v>1</v>
      </c>
    </row>
    <row r="264" spans="1:13" x14ac:dyDescent="0.3">
      <c r="A264">
        <v>262</v>
      </c>
      <c r="B264">
        <v>4172</v>
      </c>
      <c r="C264" t="b">
        <v>1</v>
      </c>
      <c r="D264">
        <v>8048</v>
      </c>
      <c r="E264">
        <v>8129</v>
      </c>
      <c r="F264">
        <v>8</v>
      </c>
      <c r="G264">
        <v>8</v>
      </c>
      <c r="H264">
        <v>1</v>
      </c>
      <c r="I264">
        <f xml:space="preserve"> -55.696 * _2026_04_17_16_25_21_23_high[[#This Row],[coeff]] + 79.57</f>
        <v>23.873999999999995</v>
      </c>
      <c r="J264">
        <v>0.5</v>
      </c>
      <c r="K264">
        <f>_2026_04_17_16_25_21_23_high[[#This Row],[pfwd_filt]]+200</f>
        <v>208</v>
      </c>
      <c r="L264">
        <f>_2026_04_17_16_25_21_23_high[[#This Row],[p45_filt]]+200</f>
        <v>208</v>
      </c>
      <c r="M264">
        <f>_2026_04_17_16_25_21_23_high[[#This Row],[new_pfwd_filt]]/_2026_04_17_16_25_21_23_high[[#This Row],[new_p45_filt]]</f>
        <v>1</v>
      </c>
    </row>
    <row r="265" spans="1:13" x14ac:dyDescent="0.3">
      <c r="A265">
        <v>263</v>
      </c>
      <c r="B265">
        <v>4188</v>
      </c>
      <c r="C265" t="b">
        <v>1</v>
      </c>
      <c r="D265">
        <v>8042</v>
      </c>
      <c r="E265">
        <v>8129</v>
      </c>
      <c r="F265">
        <v>8</v>
      </c>
      <c r="G265">
        <v>8</v>
      </c>
      <c r="H265">
        <v>1</v>
      </c>
      <c r="I265">
        <f xml:space="preserve"> -55.696 * _2026_04_17_16_25_21_23_high[[#This Row],[coeff]] + 79.57</f>
        <v>23.873999999999995</v>
      </c>
      <c r="J265">
        <v>0.5</v>
      </c>
      <c r="K265">
        <f>_2026_04_17_16_25_21_23_high[[#This Row],[pfwd_filt]]+200</f>
        <v>208</v>
      </c>
      <c r="L265">
        <f>_2026_04_17_16_25_21_23_high[[#This Row],[p45_filt]]+200</f>
        <v>208</v>
      </c>
      <c r="M265">
        <f>_2026_04_17_16_25_21_23_high[[#This Row],[new_pfwd_filt]]/_2026_04_17_16_25_21_23_high[[#This Row],[new_p45_filt]]</f>
        <v>1</v>
      </c>
    </row>
    <row r="266" spans="1:13" x14ac:dyDescent="0.3">
      <c r="A266">
        <v>264</v>
      </c>
      <c r="B266">
        <v>4204</v>
      </c>
      <c r="C266" t="b">
        <v>1</v>
      </c>
      <c r="D266">
        <v>8048</v>
      </c>
      <c r="E266">
        <v>8134</v>
      </c>
      <c r="F266">
        <v>8</v>
      </c>
      <c r="G266">
        <v>8.4</v>
      </c>
      <c r="H266">
        <v>0.95238100000000003</v>
      </c>
      <c r="I266">
        <f xml:space="preserve"> -55.696 * _2026_04_17_16_25_21_23_high[[#This Row],[coeff]] + 79.57</f>
        <v>26.52618782399999</v>
      </c>
      <c r="J266">
        <v>0.51219510000000001</v>
      </c>
      <c r="K266">
        <f>_2026_04_17_16_25_21_23_high[[#This Row],[pfwd_filt]]+200</f>
        <v>208</v>
      </c>
      <c r="L266">
        <f>_2026_04_17_16_25_21_23_high[[#This Row],[p45_filt]]+200</f>
        <v>208.4</v>
      </c>
      <c r="M266">
        <f>_2026_04_17_16_25_21_23_high[[#This Row],[new_pfwd_filt]]/_2026_04_17_16_25_21_23_high[[#This Row],[new_p45_filt]]</f>
        <v>0.99808061420345484</v>
      </c>
    </row>
    <row r="267" spans="1:13" x14ac:dyDescent="0.3">
      <c r="A267">
        <v>265</v>
      </c>
      <c r="B267">
        <v>4220</v>
      </c>
      <c r="C267" t="b">
        <v>1</v>
      </c>
      <c r="D267">
        <v>8048</v>
      </c>
      <c r="E267">
        <v>8123</v>
      </c>
      <c r="F267">
        <v>8</v>
      </c>
      <c r="G267">
        <v>8.8000000000000007</v>
      </c>
      <c r="H267">
        <v>0.90909090000000004</v>
      </c>
      <c r="I267">
        <f xml:space="preserve"> -55.696 * _2026_04_17_16_25_21_23_high[[#This Row],[coeff]] + 79.57</f>
        <v>28.937273233599996</v>
      </c>
      <c r="J267">
        <v>0.52380954999999996</v>
      </c>
      <c r="K267">
        <f>_2026_04_17_16_25_21_23_high[[#This Row],[pfwd_filt]]+200</f>
        <v>208</v>
      </c>
      <c r="L267">
        <f>_2026_04_17_16_25_21_23_high[[#This Row],[p45_filt]]+200</f>
        <v>208.8</v>
      </c>
      <c r="M267">
        <f>_2026_04_17_16_25_21_23_high[[#This Row],[new_pfwd_filt]]/_2026_04_17_16_25_21_23_high[[#This Row],[new_p45_filt]]</f>
        <v>0.99616858237547889</v>
      </c>
    </row>
    <row r="268" spans="1:13" x14ac:dyDescent="0.3">
      <c r="A268">
        <v>266</v>
      </c>
      <c r="B268">
        <v>4235</v>
      </c>
      <c r="C268" t="b">
        <v>1</v>
      </c>
      <c r="D268">
        <v>8048</v>
      </c>
      <c r="E268">
        <v>8123</v>
      </c>
      <c r="F268">
        <v>8</v>
      </c>
      <c r="G268">
        <v>9.1999999999999993</v>
      </c>
      <c r="H268">
        <v>0.86956524999999996</v>
      </c>
      <c r="I268">
        <f xml:space="preserve"> -55.696 * _2026_04_17_16_25_21_23_high[[#This Row],[coeff]] + 79.57</f>
        <v>31.138693835999995</v>
      </c>
      <c r="J268">
        <v>0.53488369999999996</v>
      </c>
      <c r="K268">
        <f>_2026_04_17_16_25_21_23_high[[#This Row],[pfwd_filt]]+200</f>
        <v>208</v>
      </c>
      <c r="L268">
        <f>_2026_04_17_16_25_21_23_high[[#This Row],[p45_filt]]+200</f>
        <v>209.2</v>
      </c>
      <c r="M268">
        <f>_2026_04_17_16_25_21_23_high[[#This Row],[new_pfwd_filt]]/_2026_04_17_16_25_21_23_high[[#This Row],[new_p45_filt]]</f>
        <v>0.99426386233269604</v>
      </c>
    </row>
    <row r="269" spans="1:13" x14ac:dyDescent="0.3">
      <c r="A269">
        <v>267</v>
      </c>
      <c r="B269">
        <v>4251</v>
      </c>
      <c r="C269" t="b">
        <v>1</v>
      </c>
      <c r="D269">
        <v>8048</v>
      </c>
      <c r="E269">
        <v>8123</v>
      </c>
      <c r="F269">
        <v>8</v>
      </c>
      <c r="G269">
        <v>9.1999999999999993</v>
      </c>
      <c r="H269">
        <v>0.86956524999999996</v>
      </c>
      <c r="I269">
        <f xml:space="preserve"> -55.696 * _2026_04_17_16_25_21_23_high[[#This Row],[coeff]] + 79.57</f>
        <v>31.138693835999995</v>
      </c>
      <c r="J269">
        <v>0.53488369999999996</v>
      </c>
      <c r="K269">
        <f>_2026_04_17_16_25_21_23_high[[#This Row],[pfwd_filt]]+200</f>
        <v>208</v>
      </c>
      <c r="L269">
        <f>_2026_04_17_16_25_21_23_high[[#This Row],[p45_filt]]+200</f>
        <v>209.2</v>
      </c>
      <c r="M269">
        <f>_2026_04_17_16_25_21_23_high[[#This Row],[new_pfwd_filt]]/_2026_04_17_16_25_21_23_high[[#This Row],[new_p45_filt]]</f>
        <v>0.99426386233269604</v>
      </c>
    </row>
    <row r="270" spans="1:13" x14ac:dyDescent="0.3">
      <c r="A270">
        <v>268</v>
      </c>
      <c r="B270">
        <v>4267</v>
      </c>
      <c r="C270" t="b">
        <v>1</v>
      </c>
      <c r="D270">
        <v>8048</v>
      </c>
      <c r="E270">
        <v>8123</v>
      </c>
      <c r="F270">
        <v>8</v>
      </c>
      <c r="G270">
        <v>9.1999999999999993</v>
      </c>
      <c r="H270">
        <v>0.86956524999999996</v>
      </c>
      <c r="I270">
        <f xml:space="preserve"> -55.696 * _2026_04_17_16_25_21_23_high[[#This Row],[coeff]] + 79.57</f>
        <v>31.138693835999995</v>
      </c>
      <c r="J270">
        <v>0.53488369999999996</v>
      </c>
      <c r="K270">
        <f>_2026_04_17_16_25_21_23_high[[#This Row],[pfwd_filt]]+200</f>
        <v>208</v>
      </c>
      <c r="L270">
        <f>_2026_04_17_16_25_21_23_high[[#This Row],[p45_filt]]+200</f>
        <v>209.2</v>
      </c>
      <c r="M270">
        <f>_2026_04_17_16_25_21_23_high[[#This Row],[new_pfwd_filt]]/_2026_04_17_16_25_21_23_high[[#This Row],[new_p45_filt]]</f>
        <v>0.99426386233269604</v>
      </c>
    </row>
    <row r="271" spans="1:13" x14ac:dyDescent="0.3">
      <c r="A271">
        <v>269</v>
      </c>
      <c r="B271">
        <v>4283</v>
      </c>
      <c r="C271" t="b">
        <v>1</v>
      </c>
      <c r="D271">
        <v>8048</v>
      </c>
      <c r="E271">
        <v>8123</v>
      </c>
      <c r="F271">
        <v>8</v>
      </c>
      <c r="G271">
        <v>9.1999999999999993</v>
      </c>
      <c r="H271">
        <v>0.86956524999999996</v>
      </c>
      <c r="I271">
        <f xml:space="preserve"> -55.696 * _2026_04_17_16_25_21_23_high[[#This Row],[coeff]] + 79.57</f>
        <v>31.138693835999995</v>
      </c>
      <c r="J271">
        <v>0.53488369999999996</v>
      </c>
      <c r="K271">
        <f>_2026_04_17_16_25_21_23_high[[#This Row],[pfwd_filt]]+200</f>
        <v>208</v>
      </c>
      <c r="L271">
        <f>_2026_04_17_16_25_21_23_high[[#This Row],[p45_filt]]+200</f>
        <v>209.2</v>
      </c>
      <c r="M271">
        <f>_2026_04_17_16_25_21_23_high[[#This Row],[new_pfwd_filt]]/_2026_04_17_16_25_21_23_high[[#This Row],[new_p45_filt]]</f>
        <v>0.99426386233269604</v>
      </c>
    </row>
    <row r="272" spans="1:13" x14ac:dyDescent="0.3">
      <c r="A272">
        <v>270</v>
      </c>
      <c r="B272">
        <v>4299</v>
      </c>
      <c r="C272" t="b">
        <v>1</v>
      </c>
      <c r="D272">
        <v>8048</v>
      </c>
      <c r="E272">
        <v>8123</v>
      </c>
      <c r="F272">
        <v>8</v>
      </c>
      <c r="G272">
        <v>9.1999999999999993</v>
      </c>
      <c r="H272">
        <v>0.86956524999999996</v>
      </c>
      <c r="I272">
        <f xml:space="preserve"> -55.696 * _2026_04_17_16_25_21_23_high[[#This Row],[coeff]] + 79.57</f>
        <v>31.138693835999995</v>
      </c>
      <c r="J272">
        <v>0.53488369999999996</v>
      </c>
      <c r="K272">
        <f>_2026_04_17_16_25_21_23_high[[#This Row],[pfwd_filt]]+200</f>
        <v>208</v>
      </c>
      <c r="L272">
        <f>_2026_04_17_16_25_21_23_high[[#This Row],[p45_filt]]+200</f>
        <v>209.2</v>
      </c>
      <c r="M272">
        <f>_2026_04_17_16_25_21_23_high[[#This Row],[new_pfwd_filt]]/_2026_04_17_16_25_21_23_high[[#This Row],[new_p45_filt]]</f>
        <v>0.99426386233269604</v>
      </c>
    </row>
    <row r="273" spans="1:13" x14ac:dyDescent="0.3">
      <c r="A273">
        <v>271</v>
      </c>
      <c r="B273">
        <v>4314</v>
      </c>
      <c r="C273" t="b">
        <v>1</v>
      </c>
      <c r="D273">
        <v>8048</v>
      </c>
      <c r="E273">
        <v>8123</v>
      </c>
      <c r="F273">
        <v>8</v>
      </c>
      <c r="G273">
        <v>9.1999999999999993</v>
      </c>
      <c r="H273">
        <v>0.86956524999999996</v>
      </c>
      <c r="I273">
        <f xml:space="preserve"> -55.696 * _2026_04_17_16_25_21_23_high[[#This Row],[coeff]] + 79.57</f>
        <v>31.138693835999995</v>
      </c>
      <c r="J273">
        <v>0.53488369999999996</v>
      </c>
      <c r="K273">
        <f>_2026_04_17_16_25_21_23_high[[#This Row],[pfwd_filt]]+200</f>
        <v>208</v>
      </c>
      <c r="L273">
        <f>_2026_04_17_16_25_21_23_high[[#This Row],[p45_filt]]+200</f>
        <v>209.2</v>
      </c>
      <c r="M273">
        <f>_2026_04_17_16_25_21_23_high[[#This Row],[new_pfwd_filt]]/_2026_04_17_16_25_21_23_high[[#This Row],[new_p45_filt]]</f>
        <v>0.99426386233269604</v>
      </c>
    </row>
    <row r="274" spans="1:13" x14ac:dyDescent="0.3">
      <c r="A274">
        <v>272</v>
      </c>
      <c r="B274">
        <v>4330</v>
      </c>
      <c r="C274" t="b">
        <v>1</v>
      </c>
      <c r="D274">
        <v>8048</v>
      </c>
      <c r="E274">
        <v>8123</v>
      </c>
      <c r="F274">
        <v>8</v>
      </c>
      <c r="G274">
        <v>9.1999999999999993</v>
      </c>
      <c r="H274">
        <v>0.86956524999999996</v>
      </c>
      <c r="I274">
        <f xml:space="preserve"> -55.696 * _2026_04_17_16_25_21_23_high[[#This Row],[coeff]] + 79.57</f>
        <v>31.138693835999995</v>
      </c>
      <c r="J274">
        <v>0.53488369999999996</v>
      </c>
      <c r="K274">
        <f>_2026_04_17_16_25_21_23_high[[#This Row],[pfwd_filt]]+200</f>
        <v>208</v>
      </c>
      <c r="L274">
        <f>_2026_04_17_16_25_21_23_high[[#This Row],[p45_filt]]+200</f>
        <v>209.2</v>
      </c>
      <c r="M274">
        <f>_2026_04_17_16_25_21_23_high[[#This Row],[new_pfwd_filt]]/_2026_04_17_16_25_21_23_high[[#This Row],[new_p45_filt]]</f>
        <v>0.99426386233269604</v>
      </c>
    </row>
    <row r="275" spans="1:13" x14ac:dyDescent="0.3">
      <c r="A275">
        <v>273</v>
      </c>
      <c r="B275">
        <v>4346</v>
      </c>
      <c r="C275" t="b">
        <v>1</v>
      </c>
      <c r="D275">
        <v>8048</v>
      </c>
      <c r="E275">
        <v>8123</v>
      </c>
      <c r="F275">
        <v>8</v>
      </c>
      <c r="G275">
        <v>9.1999999999999993</v>
      </c>
      <c r="H275">
        <v>0.86956524999999996</v>
      </c>
      <c r="I275">
        <f xml:space="preserve"> -55.696 * _2026_04_17_16_25_21_23_high[[#This Row],[coeff]] + 79.57</f>
        <v>31.138693835999995</v>
      </c>
      <c r="J275">
        <v>0.53488369999999996</v>
      </c>
      <c r="K275">
        <f>_2026_04_17_16_25_21_23_high[[#This Row],[pfwd_filt]]+200</f>
        <v>208</v>
      </c>
      <c r="L275">
        <f>_2026_04_17_16_25_21_23_high[[#This Row],[p45_filt]]+200</f>
        <v>209.2</v>
      </c>
      <c r="M275">
        <f>_2026_04_17_16_25_21_23_high[[#This Row],[new_pfwd_filt]]/_2026_04_17_16_25_21_23_high[[#This Row],[new_p45_filt]]</f>
        <v>0.99426386233269604</v>
      </c>
    </row>
    <row r="276" spans="1:13" x14ac:dyDescent="0.3">
      <c r="A276">
        <v>274</v>
      </c>
      <c r="B276">
        <v>4362</v>
      </c>
      <c r="C276" t="b">
        <v>1</v>
      </c>
      <c r="D276">
        <v>8042</v>
      </c>
      <c r="E276">
        <v>8123</v>
      </c>
      <c r="F276">
        <v>8</v>
      </c>
      <c r="G276">
        <v>9.1999999999999993</v>
      </c>
      <c r="H276">
        <v>0.86956524999999996</v>
      </c>
      <c r="I276">
        <f xml:space="preserve"> -55.696 * _2026_04_17_16_25_21_23_high[[#This Row],[coeff]] + 79.57</f>
        <v>31.138693835999995</v>
      </c>
      <c r="J276">
        <v>0.53488369999999996</v>
      </c>
      <c r="K276">
        <f>_2026_04_17_16_25_21_23_high[[#This Row],[pfwd_filt]]+200</f>
        <v>208</v>
      </c>
      <c r="L276">
        <f>_2026_04_17_16_25_21_23_high[[#This Row],[p45_filt]]+200</f>
        <v>209.2</v>
      </c>
      <c r="M276">
        <f>_2026_04_17_16_25_21_23_high[[#This Row],[new_pfwd_filt]]/_2026_04_17_16_25_21_23_high[[#This Row],[new_p45_filt]]</f>
        <v>0.99426386233269604</v>
      </c>
    </row>
    <row r="277" spans="1:13" x14ac:dyDescent="0.3">
      <c r="A277">
        <v>275</v>
      </c>
      <c r="B277">
        <v>4378</v>
      </c>
      <c r="C277" t="b">
        <v>1</v>
      </c>
      <c r="D277">
        <v>8042</v>
      </c>
      <c r="E277">
        <v>8123</v>
      </c>
      <c r="F277">
        <v>8</v>
      </c>
      <c r="G277">
        <v>9.1999999999999993</v>
      </c>
      <c r="H277">
        <v>0.86956524999999996</v>
      </c>
      <c r="I277">
        <f xml:space="preserve"> -55.696 * _2026_04_17_16_25_21_23_high[[#This Row],[coeff]] + 79.57</f>
        <v>31.138693835999995</v>
      </c>
      <c r="J277">
        <v>0.53488369999999996</v>
      </c>
      <c r="K277">
        <f>_2026_04_17_16_25_21_23_high[[#This Row],[pfwd_filt]]+200</f>
        <v>208</v>
      </c>
      <c r="L277">
        <f>_2026_04_17_16_25_21_23_high[[#This Row],[p45_filt]]+200</f>
        <v>209.2</v>
      </c>
      <c r="M277">
        <f>_2026_04_17_16_25_21_23_high[[#This Row],[new_pfwd_filt]]/_2026_04_17_16_25_21_23_high[[#This Row],[new_p45_filt]]</f>
        <v>0.99426386233269604</v>
      </c>
    </row>
    <row r="278" spans="1:13" x14ac:dyDescent="0.3">
      <c r="A278">
        <v>276</v>
      </c>
      <c r="B278">
        <v>4394</v>
      </c>
      <c r="C278" t="b">
        <v>1</v>
      </c>
      <c r="D278">
        <v>8048</v>
      </c>
      <c r="E278">
        <v>8123</v>
      </c>
      <c r="F278">
        <v>8</v>
      </c>
      <c r="G278">
        <v>9.1999999999999993</v>
      </c>
      <c r="H278">
        <v>0.86956524999999996</v>
      </c>
      <c r="I278">
        <f xml:space="preserve"> -55.696 * _2026_04_17_16_25_21_23_high[[#This Row],[coeff]] + 79.57</f>
        <v>31.138693835999995</v>
      </c>
      <c r="J278">
        <v>0.53488369999999996</v>
      </c>
      <c r="K278">
        <f>_2026_04_17_16_25_21_23_high[[#This Row],[pfwd_filt]]+200</f>
        <v>208</v>
      </c>
      <c r="L278">
        <f>_2026_04_17_16_25_21_23_high[[#This Row],[p45_filt]]+200</f>
        <v>209.2</v>
      </c>
      <c r="M278">
        <f>_2026_04_17_16_25_21_23_high[[#This Row],[new_pfwd_filt]]/_2026_04_17_16_25_21_23_high[[#This Row],[new_p45_filt]]</f>
        <v>0.99426386233269604</v>
      </c>
    </row>
    <row r="279" spans="1:13" x14ac:dyDescent="0.3">
      <c r="A279">
        <v>277</v>
      </c>
      <c r="B279">
        <v>4410</v>
      </c>
      <c r="C279" t="b">
        <v>1</v>
      </c>
      <c r="D279">
        <v>8048</v>
      </c>
      <c r="E279">
        <v>8134</v>
      </c>
      <c r="F279">
        <v>8</v>
      </c>
      <c r="G279">
        <v>9.1999999999999993</v>
      </c>
      <c r="H279">
        <v>0.86956524999999996</v>
      </c>
      <c r="I279">
        <f xml:space="preserve"> -55.696 * _2026_04_17_16_25_21_23_high[[#This Row],[coeff]] + 79.57</f>
        <v>31.138693835999995</v>
      </c>
      <c r="J279">
        <v>0.53488369999999996</v>
      </c>
      <c r="K279">
        <f>_2026_04_17_16_25_21_23_high[[#This Row],[pfwd_filt]]+200</f>
        <v>208</v>
      </c>
      <c r="L279">
        <f>_2026_04_17_16_25_21_23_high[[#This Row],[p45_filt]]+200</f>
        <v>209.2</v>
      </c>
      <c r="M279">
        <f>_2026_04_17_16_25_21_23_high[[#This Row],[new_pfwd_filt]]/_2026_04_17_16_25_21_23_high[[#This Row],[new_p45_filt]]</f>
        <v>0.99426386233269604</v>
      </c>
    </row>
    <row r="280" spans="1:13" x14ac:dyDescent="0.3">
      <c r="A280">
        <v>278</v>
      </c>
      <c r="B280">
        <v>4426</v>
      </c>
      <c r="C280" t="b">
        <v>1</v>
      </c>
      <c r="D280">
        <v>8048</v>
      </c>
      <c r="E280">
        <v>8117</v>
      </c>
      <c r="F280">
        <v>8</v>
      </c>
      <c r="G280">
        <v>9.1999999999999993</v>
      </c>
      <c r="H280">
        <v>0.86956524999999996</v>
      </c>
      <c r="I280">
        <f xml:space="preserve"> -55.696 * _2026_04_17_16_25_21_23_high[[#This Row],[coeff]] + 79.57</f>
        <v>31.138693835999995</v>
      </c>
      <c r="J280">
        <v>0.53488369999999996</v>
      </c>
      <c r="K280">
        <f>_2026_04_17_16_25_21_23_high[[#This Row],[pfwd_filt]]+200</f>
        <v>208</v>
      </c>
      <c r="L280">
        <f>_2026_04_17_16_25_21_23_high[[#This Row],[p45_filt]]+200</f>
        <v>209.2</v>
      </c>
      <c r="M280">
        <f>_2026_04_17_16_25_21_23_high[[#This Row],[new_pfwd_filt]]/_2026_04_17_16_25_21_23_high[[#This Row],[new_p45_filt]]</f>
        <v>0.99426386233269604</v>
      </c>
    </row>
    <row r="281" spans="1:13" x14ac:dyDescent="0.3">
      <c r="A281">
        <v>279</v>
      </c>
      <c r="B281">
        <v>4442</v>
      </c>
      <c r="C281" t="b">
        <v>1</v>
      </c>
      <c r="D281">
        <v>8048</v>
      </c>
      <c r="E281">
        <v>8123</v>
      </c>
      <c r="F281">
        <v>8</v>
      </c>
      <c r="G281">
        <v>8.8000000000000007</v>
      </c>
      <c r="H281">
        <v>0.90909090000000004</v>
      </c>
      <c r="I281">
        <f xml:space="preserve"> -55.696 * _2026_04_17_16_25_21_23_high[[#This Row],[coeff]] + 79.57</f>
        <v>28.937273233599996</v>
      </c>
      <c r="J281">
        <v>0.52380954999999996</v>
      </c>
      <c r="K281">
        <f>_2026_04_17_16_25_21_23_high[[#This Row],[pfwd_filt]]+200</f>
        <v>208</v>
      </c>
      <c r="L281">
        <f>_2026_04_17_16_25_21_23_high[[#This Row],[p45_filt]]+200</f>
        <v>208.8</v>
      </c>
      <c r="M281">
        <f>_2026_04_17_16_25_21_23_high[[#This Row],[new_pfwd_filt]]/_2026_04_17_16_25_21_23_high[[#This Row],[new_p45_filt]]</f>
        <v>0.99616858237547889</v>
      </c>
    </row>
    <row r="282" spans="1:13" x14ac:dyDescent="0.3">
      <c r="A282">
        <v>280</v>
      </c>
      <c r="B282">
        <v>4458</v>
      </c>
      <c r="C282" t="b">
        <v>1</v>
      </c>
      <c r="D282">
        <v>8048</v>
      </c>
      <c r="E282">
        <v>8123</v>
      </c>
      <c r="F282">
        <v>8</v>
      </c>
      <c r="G282">
        <v>8.4</v>
      </c>
      <c r="H282">
        <v>0.95238100000000003</v>
      </c>
      <c r="I282">
        <f xml:space="preserve"> -55.696 * _2026_04_17_16_25_21_23_high[[#This Row],[coeff]] + 79.57</f>
        <v>26.52618782399999</v>
      </c>
      <c r="J282">
        <v>0.51219510000000001</v>
      </c>
      <c r="K282">
        <f>_2026_04_17_16_25_21_23_high[[#This Row],[pfwd_filt]]+200</f>
        <v>208</v>
      </c>
      <c r="L282">
        <f>_2026_04_17_16_25_21_23_high[[#This Row],[p45_filt]]+200</f>
        <v>208.4</v>
      </c>
      <c r="M282">
        <f>_2026_04_17_16_25_21_23_high[[#This Row],[new_pfwd_filt]]/_2026_04_17_16_25_21_23_high[[#This Row],[new_p45_filt]]</f>
        <v>0.99808061420345484</v>
      </c>
    </row>
    <row r="283" spans="1:13" x14ac:dyDescent="0.3">
      <c r="A283">
        <v>281</v>
      </c>
      <c r="B283">
        <v>4473</v>
      </c>
      <c r="C283" t="b">
        <v>1</v>
      </c>
      <c r="D283">
        <v>8048</v>
      </c>
      <c r="E283">
        <v>8123</v>
      </c>
      <c r="F283">
        <v>8</v>
      </c>
      <c r="G283">
        <v>8</v>
      </c>
      <c r="H283">
        <v>1</v>
      </c>
      <c r="I283">
        <f xml:space="preserve"> -55.696 * _2026_04_17_16_25_21_23_high[[#This Row],[coeff]] + 79.57</f>
        <v>23.873999999999995</v>
      </c>
      <c r="J283">
        <v>0.5</v>
      </c>
      <c r="K283">
        <f>_2026_04_17_16_25_21_23_high[[#This Row],[pfwd_filt]]+200</f>
        <v>208</v>
      </c>
      <c r="L283">
        <f>_2026_04_17_16_25_21_23_high[[#This Row],[p45_filt]]+200</f>
        <v>208</v>
      </c>
      <c r="M283">
        <f>_2026_04_17_16_25_21_23_high[[#This Row],[new_pfwd_filt]]/_2026_04_17_16_25_21_23_high[[#This Row],[new_p45_filt]]</f>
        <v>1</v>
      </c>
    </row>
    <row r="284" spans="1:13" x14ac:dyDescent="0.3">
      <c r="A284">
        <v>282</v>
      </c>
      <c r="B284">
        <v>4489</v>
      </c>
      <c r="C284" t="b">
        <v>1</v>
      </c>
      <c r="D284">
        <v>8048</v>
      </c>
      <c r="E284">
        <v>8123</v>
      </c>
      <c r="F284">
        <v>8</v>
      </c>
      <c r="G284">
        <v>8</v>
      </c>
      <c r="H284">
        <v>1</v>
      </c>
      <c r="I284">
        <f xml:space="preserve"> -55.696 * _2026_04_17_16_25_21_23_high[[#This Row],[coeff]] + 79.57</f>
        <v>23.873999999999995</v>
      </c>
      <c r="J284">
        <v>0.5</v>
      </c>
      <c r="K284">
        <f>_2026_04_17_16_25_21_23_high[[#This Row],[pfwd_filt]]+200</f>
        <v>208</v>
      </c>
      <c r="L284">
        <f>_2026_04_17_16_25_21_23_high[[#This Row],[p45_filt]]+200</f>
        <v>208</v>
      </c>
      <c r="M284">
        <f>_2026_04_17_16_25_21_23_high[[#This Row],[new_pfwd_filt]]/_2026_04_17_16_25_21_23_high[[#This Row],[new_p45_filt]]</f>
        <v>1</v>
      </c>
    </row>
    <row r="285" spans="1:13" x14ac:dyDescent="0.3">
      <c r="A285">
        <v>283</v>
      </c>
      <c r="B285">
        <v>4505</v>
      </c>
      <c r="C285" t="b">
        <v>1</v>
      </c>
      <c r="D285">
        <v>8048</v>
      </c>
      <c r="E285">
        <v>8123</v>
      </c>
      <c r="F285">
        <v>8</v>
      </c>
      <c r="G285">
        <v>8</v>
      </c>
      <c r="H285">
        <v>1</v>
      </c>
      <c r="I285">
        <f xml:space="preserve"> -55.696 * _2026_04_17_16_25_21_23_high[[#This Row],[coeff]] + 79.57</f>
        <v>23.873999999999995</v>
      </c>
      <c r="J285">
        <v>0.5</v>
      </c>
      <c r="K285">
        <f>_2026_04_17_16_25_21_23_high[[#This Row],[pfwd_filt]]+200</f>
        <v>208</v>
      </c>
      <c r="L285">
        <f>_2026_04_17_16_25_21_23_high[[#This Row],[p45_filt]]+200</f>
        <v>208</v>
      </c>
      <c r="M285">
        <f>_2026_04_17_16_25_21_23_high[[#This Row],[new_pfwd_filt]]/_2026_04_17_16_25_21_23_high[[#This Row],[new_p45_filt]]</f>
        <v>1</v>
      </c>
    </row>
    <row r="286" spans="1:13" x14ac:dyDescent="0.3">
      <c r="A286">
        <v>284</v>
      </c>
      <c r="B286">
        <v>4520</v>
      </c>
      <c r="C286" t="b">
        <v>1</v>
      </c>
      <c r="D286">
        <v>8048</v>
      </c>
      <c r="E286">
        <v>8123</v>
      </c>
      <c r="F286">
        <v>8</v>
      </c>
      <c r="G286">
        <v>8</v>
      </c>
      <c r="H286">
        <v>1</v>
      </c>
      <c r="I286">
        <f xml:space="preserve"> -55.696 * _2026_04_17_16_25_21_23_high[[#This Row],[coeff]] + 79.57</f>
        <v>23.873999999999995</v>
      </c>
      <c r="J286">
        <v>0.5</v>
      </c>
      <c r="K286">
        <f>_2026_04_17_16_25_21_23_high[[#This Row],[pfwd_filt]]+200</f>
        <v>208</v>
      </c>
      <c r="L286">
        <f>_2026_04_17_16_25_21_23_high[[#This Row],[p45_filt]]+200</f>
        <v>208</v>
      </c>
      <c r="M286">
        <f>_2026_04_17_16_25_21_23_high[[#This Row],[new_pfwd_filt]]/_2026_04_17_16_25_21_23_high[[#This Row],[new_p45_filt]]</f>
        <v>1</v>
      </c>
    </row>
    <row r="287" spans="1:13" x14ac:dyDescent="0.3">
      <c r="A287">
        <v>285</v>
      </c>
      <c r="B287">
        <v>4536</v>
      </c>
      <c r="C287" t="b">
        <v>1</v>
      </c>
      <c r="D287">
        <v>8048</v>
      </c>
      <c r="E287">
        <v>8123</v>
      </c>
      <c r="F287">
        <v>8</v>
      </c>
      <c r="G287">
        <v>8</v>
      </c>
      <c r="H287">
        <v>1</v>
      </c>
      <c r="I287">
        <f xml:space="preserve"> -55.696 * _2026_04_17_16_25_21_23_high[[#This Row],[coeff]] + 79.57</f>
        <v>23.873999999999995</v>
      </c>
      <c r="J287">
        <v>0.5</v>
      </c>
      <c r="K287">
        <f>_2026_04_17_16_25_21_23_high[[#This Row],[pfwd_filt]]+200</f>
        <v>208</v>
      </c>
      <c r="L287">
        <f>_2026_04_17_16_25_21_23_high[[#This Row],[p45_filt]]+200</f>
        <v>208</v>
      </c>
      <c r="M287">
        <f>_2026_04_17_16_25_21_23_high[[#This Row],[new_pfwd_filt]]/_2026_04_17_16_25_21_23_high[[#This Row],[new_p45_filt]]</f>
        <v>1</v>
      </c>
    </row>
    <row r="288" spans="1:13" x14ac:dyDescent="0.3">
      <c r="A288">
        <v>286</v>
      </c>
      <c r="B288">
        <v>4552</v>
      </c>
      <c r="C288" t="b">
        <v>1</v>
      </c>
      <c r="D288">
        <v>8048</v>
      </c>
      <c r="E288">
        <v>8123</v>
      </c>
      <c r="F288">
        <v>8</v>
      </c>
      <c r="G288">
        <v>8</v>
      </c>
      <c r="H288">
        <v>1</v>
      </c>
      <c r="I288">
        <f xml:space="preserve"> -55.696 * _2026_04_17_16_25_21_23_high[[#This Row],[coeff]] + 79.57</f>
        <v>23.873999999999995</v>
      </c>
      <c r="J288">
        <v>0.5</v>
      </c>
      <c r="K288">
        <f>_2026_04_17_16_25_21_23_high[[#This Row],[pfwd_filt]]+200</f>
        <v>208</v>
      </c>
      <c r="L288">
        <f>_2026_04_17_16_25_21_23_high[[#This Row],[p45_filt]]+200</f>
        <v>208</v>
      </c>
      <c r="M288">
        <f>_2026_04_17_16_25_21_23_high[[#This Row],[new_pfwd_filt]]/_2026_04_17_16_25_21_23_high[[#This Row],[new_p45_filt]]</f>
        <v>1</v>
      </c>
    </row>
    <row r="289" spans="1:13" x14ac:dyDescent="0.3">
      <c r="A289">
        <v>287</v>
      </c>
      <c r="B289">
        <v>4568</v>
      </c>
      <c r="C289" t="b">
        <v>1</v>
      </c>
      <c r="D289">
        <v>8048</v>
      </c>
      <c r="E289">
        <v>8123</v>
      </c>
      <c r="F289">
        <v>8</v>
      </c>
      <c r="G289">
        <v>8</v>
      </c>
      <c r="H289">
        <v>1</v>
      </c>
      <c r="I289">
        <f xml:space="preserve"> -55.696 * _2026_04_17_16_25_21_23_high[[#This Row],[coeff]] + 79.57</f>
        <v>23.873999999999995</v>
      </c>
      <c r="J289">
        <v>0.5</v>
      </c>
      <c r="K289">
        <f>_2026_04_17_16_25_21_23_high[[#This Row],[pfwd_filt]]+200</f>
        <v>208</v>
      </c>
      <c r="L289">
        <f>_2026_04_17_16_25_21_23_high[[#This Row],[p45_filt]]+200</f>
        <v>208</v>
      </c>
      <c r="M289">
        <f>_2026_04_17_16_25_21_23_high[[#This Row],[new_pfwd_filt]]/_2026_04_17_16_25_21_23_high[[#This Row],[new_p45_filt]]</f>
        <v>1</v>
      </c>
    </row>
    <row r="290" spans="1:13" x14ac:dyDescent="0.3">
      <c r="A290">
        <v>288</v>
      </c>
      <c r="B290">
        <v>4584</v>
      </c>
      <c r="C290" t="b">
        <v>1</v>
      </c>
      <c r="D290">
        <v>8048</v>
      </c>
      <c r="E290">
        <v>8123</v>
      </c>
      <c r="F290">
        <v>8</v>
      </c>
      <c r="G290">
        <v>8</v>
      </c>
      <c r="H290">
        <v>1</v>
      </c>
      <c r="I290">
        <f xml:space="preserve"> -55.696 * _2026_04_17_16_25_21_23_high[[#This Row],[coeff]] + 79.57</f>
        <v>23.873999999999995</v>
      </c>
      <c r="J290">
        <v>0.5</v>
      </c>
      <c r="K290">
        <f>_2026_04_17_16_25_21_23_high[[#This Row],[pfwd_filt]]+200</f>
        <v>208</v>
      </c>
      <c r="L290">
        <f>_2026_04_17_16_25_21_23_high[[#This Row],[p45_filt]]+200</f>
        <v>208</v>
      </c>
      <c r="M290">
        <f>_2026_04_17_16_25_21_23_high[[#This Row],[new_pfwd_filt]]/_2026_04_17_16_25_21_23_high[[#This Row],[new_p45_filt]]</f>
        <v>1</v>
      </c>
    </row>
    <row r="291" spans="1:13" x14ac:dyDescent="0.3">
      <c r="A291">
        <v>289</v>
      </c>
      <c r="B291">
        <v>4600</v>
      </c>
      <c r="C291" t="b">
        <v>1</v>
      </c>
      <c r="D291">
        <v>8048</v>
      </c>
      <c r="E291">
        <v>8123</v>
      </c>
      <c r="F291">
        <v>8</v>
      </c>
      <c r="G291">
        <v>8</v>
      </c>
      <c r="H291">
        <v>1</v>
      </c>
      <c r="I291">
        <f xml:space="preserve"> -55.696 * _2026_04_17_16_25_21_23_high[[#This Row],[coeff]] + 79.57</f>
        <v>23.873999999999995</v>
      </c>
      <c r="J291">
        <v>0.5</v>
      </c>
      <c r="K291">
        <f>_2026_04_17_16_25_21_23_high[[#This Row],[pfwd_filt]]+200</f>
        <v>208</v>
      </c>
      <c r="L291">
        <f>_2026_04_17_16_25_21_23_high[[#This Row],[p45_filt]]+200</f>
        <v>208</v>
      </c>
      <c r="M291">
        <f>_2026_04_17_16_25_21_23_high[[#This Row],[new_pfwd_filt]]/_2026_04_17_16_25_21_23_high[[#This Row],[new_p45_filt]]</f>
        <v>1</v>
      </c>
    </row>
    <row r="292" spans="1:13" x14ac:dyDescent="0.3">
      <c r="A292">
        <v>290</v>
      </c>
      <c r="B292">
        <v>4616</v>
      </c>
      <c r="C292" t="b">
        <v>1</v>
      </c>
      <c r="D292">
        <v>8042</v>
      </c>
      <c r="E292">
        <v>8123</v>
      </c>
      <c r="F292">
        <v>8</v>
      </c>
      <c r="G292">
        <v>8</v>
      </c>
      <c r="H292">
        <v>1</v>
      </c>
      <c r="I292">
        <f xml:space="preserve"> -55.696 * _2026_04_17_16_25_21_23_high[[#This Row],[coeff]] + 79.57</f>
        <v>23.873999999999995</v>
      </c>
      <c r="J292">
        <v>0.5</v>
      </c>
      <c r="K292">
        <f>_2026_04_17_16_25_21_23_high[[#This Row],[pfwd_filt]]+200</f>
        <v>208</v>
      </c>
      <c r="L292">
        <f>_2026_04_17_16_25_21_23_high[[#This Row],[p45_filt]]+200</f>
        <v>208</v>
      </c>
      <c r="M292">
        <f>_2026_04_17_16_25_21_23_high[[#This Row],[new_pfwd_filt]]/_2026_04_17_16_25_21_23_high[[#This Row],[new_p45_filt]]</f>
        <v>1</v>
      </c>
    </row>
    <row r="293" spans="1:13" x14ac:dyDescent="0.3">
      <c r="A293">
        <v>291</v>
      </c>
      <c r="B293">
        <v>4631</v>
      </c>
      <c r="C293" t="b">
        <v>1</v>
      </c>
      <c r="D293">
        <v>8042</v>
      </c>
      <c r="E293">
        <v>8123</v>
      </c>
      <c r="F293">
        <v>8</v>
      </c>
      <c r="G293">
        <v>8</v>
      </c>
      <c r="H293">
        <v>1</v>
      </c>
      <c r="I293">
        <f xml:space="preserve"> -55.696 * _2026_04_17_16_25_21_23_high[[#This Row],[coeff]] + 79.57</f>
        <v>23.873999999999995</v>
      </c>
      <c r="J293">
        <v>0.5</v>
      </c>
      <c r="K293">
        <f>_2026_04_17_16_25_21_23_high[[#This Row],[pfwd_filt]]+200</f>
        <v>208</v>
      </c>
      <c r="L293">
        <f>_2026_04_17_16_25_21_23_high[[#This Row],[p45_filt]]+200</f>
        <v>208</v>
      </c>
      <c r="M293">
        <f>_2026_04_17_16_25_21_23_high[[#This Row],[new_pfwd_filt]]/_2026_04_17_16_25_21_23_high[[#This Row],[new_p45_filt]]</f>
        <v>1</v>
      </c>
    </row>
    <row r="294" spans="1:13" x14ac:dyDescent="0.3">
      <c r="A294">
        <v>292</v>
      </c>
      <c r="B294">
        <v>4647</v>
      </c>
      <c r="C294" t="b">
        <v>1</v>
      </c>
      <c r="D294">
        <v>8042</v>
      </c>
      <c r="E294">
        <v>8129</v>
      </c>
      <c r="F294">
        <v>7.6</v>
      </c>
      <c r="G294">
        <v>8</v>
      </c>
      <c r="H294">
        <v>0.95</v>
      </c>
      <c r="I294">
        <f xml:space="preserve"> -55.696 * _2026_04_17_16_25_21_23_high[[#This Row],[coeff]] + 79.57</f>
        <v>26.658799999999999</v>
      </c>
      <c r="J294">
        <v>0.51282050000000001</v>
      </c>
      <c r="K294">
        <f>_2026_04_17_16_25_21_23_high[[#This Row],[pfwd_filt]]+200</f>
        <v>207.6</v>
      </c>
      <c r="L294">
        <f>_2026_04_17_16_25_21_23_high[[#This Row],[p45_filt]]+200</f>
        <v>208</v>
      </c>
      <c r="M294">
        <f>_2026_04_17_16_25_21_23_high[[#This Row],[new_pfwd_filt]]/_2026_04_17_16_25_21_23_high[[#This Row],[new_p45_filt]]</f>
        <v>0.99807692307692308</v>
      </c>
    </row>
    <row r="295" spans="1:13" x14ac:dyDescent="0.3">
      <c r="A295">
        <v>293</v>
      </c>
      <c r="B295">
        <v>4663</v>
      </c>
      <c r="C295" t="b">
        <v>1</v>
      </c>
      <c r="D295">
        <v>8048</v>
      </c>
      <c r="E295">
        <v>8129</v>
      </c>
      <c r="F295">
        <v>7.2</v>
      </c>
      <c r="G295">
        <v>8</v>
      </c>
      <c r="H295">
        <v>0.9</v>
      </c>
      <c r="I295">
        <f xml:space="preserve"> -55.696 * _2026_04_17_16_25_21_23_high[[#This Row],[coeff]] + 79.57</f>
        <v>29.443599999999996</v>
      </c>
      <c r="J295">
        <v>0.5263158</v>
      </c>
      <c r="K295">
        <f>_2026_04_17_16_25_21_23_high[[#This Row],[pfwd_filt]]+200</f>
        <v>207.2</v>
      </c>
      <c r="L295">
        <f>_2026_04_17_16_25_21_23_high[[#This Row],[p45_filt]]+200</f>
        <v>208</v>
      </c>
      <c r="M295">
        <f>_2026_04_17_16_25_21_23_high[[#This Row],[new_pfwd_filt]]/_2026_04_17_16_25_21_23_high[[#This Row],[new_p45_filt]]</f>
        <v>0.99615384615384606</v>
      </c>
    </row>
    <row r="296" spans="1:13" x14ac:dyDescent="0.3">
      <c r="A296">
        <v>294</v>
      </c>
      <c r="B296">
        <v>4679</v>
      </c>
      <c r="C296" t="b">
        <v>1</v>
      </c>
      <c r="D296">
        <v>8048</v>
      </c>
      <c r="E296">
        <v>8129</v>
      </c>
      <c r="F296">
        <v>6.8</v>
      </c>
      <c r="G296">
        <v>8.4</v>
      </c>
      <c r="H296">
        <v>0.80952389999999996</v>
      </c>
      <c r="I296">
        <f xml:space="preserve"> -55.696 * _2026_04_17_16_25_21_23_high[[#This Row],[coeff]] + 79.57</f>
        <v>34.482756865599995</v>
      </c>
      <c r="J296">
        <v>0.55263156000000002</v>
      </c>
      <c r="K296">
        <f>_2026_04_17_16_25_21_23_high[[#This Row],[pfwd_filt]]+200</f>
        <v>206.8</v>
      </c>
      <c r="L296">
        <f>_2026_04_17_16_25_21_23_high[[#This Row],[p45_filt]]+200</f>
        <v>208.4</v>
      </c>
      <c r="M296">
        <f>_2026_04_17_16_25_21_23_high[[#This Row],[new_pfwd_filt]]/_2026_04_17_16_25_21_23_high[[#This Row],[new_p45_filt]]</f>
        <v>0.99232245681381959</v>
      </c>
    </row>
    <row r="297" spans="1:13" x14ac:dyDescent="0.3">
      <c r="A297">
        <v>295</v>
      </c>
      <c r="B297">
        <v>4695</v>
      </c>
      <c r="C297" t="b">
        <v>1</v>
      </c>
      <c r="D297">
        <v>8048</v>
      </c>
      <c r="E297">
        <v>8129</v>
      </c>
      <c r="F297">
        <v>6.8</v>
      </c>
      <c r="G297">
        <v>8.8000000000000007</v>
      </c>
      <c r="H297">
        <v>0.77272724999999998</v>
      </c>
      <c r="I297">
        <f xml:space="preserve"> -55.696 * _2026_04_17_16_25_21_23_high[[#This Row],[coeff]] + 79.57</f>
        <v>36.532183083999996</v>
      </c>
      <c r="J297">
        <v>0.56410260000000001</v>
      </c>
      <c r="K297">
        <f>_2026_04_17_16_25_21_23_high[[#This Row],[pfwd_filt]]+200</f>
        <v>206.8</v>
      </c>
      <c r="L297">
        <f>_2026_04_17_16_25_21_23_high[[#This Row],[p45_filt]]+200</f>
        <v>208.8</v>
      </c>
      <c r="M297">
        <f>_2026_04_17_16_25_21_23_high[[#This Row],[new_pfwd_filt]]/_2026_04_17_16_25_21_23_high[[#This Row],[new_p45_filt]]</f>
        <v>0.99042145593869735</v>
      </c>
    </row>
    <row r="298" spans="1:13" x14ac:dyDescent="0.3">
      <c r="A298">
        <v>296</v>
      </c>
      <c r="B298">
        <v>4711</v>
      </c>
      <c r="C298" t="b">
        <v>1</v>
      </c>
      <c r="D298">
        <v>8048</v>
      </c>
      <c r="E298">
        <v>8123</v>
      </c>
      <c r="F298">
        <v>6.8</v>
      </c>
      <c r="G298">
        <v>9.1999999999999993</v>
      </c>
      <c r="H298">
        <v>0.73913050000000002</v>
      </c>
      <c r="I298">
        <f xml:space="preserve"> -55.696 * _2026_04_17_16_25_21_23_high[[#This Row],[coeff]] + 79.57</f>
        <v>38.403387671999994</v>
      </c>
      <c r="J298">
        <v>0.57499999999999996</v>
      </c>
      <c r="K298">
        <f>_2026_04_17_16_25_21_23_high[[#This Row],[pfwd_filt]]+200</f>
        <v>206.8</v>
      </c>
      <c r="L298">
        <f>_2026_04_17_16_25_21_23_high[[#This Row],[p45_filt]]+200</f>
        <v>209.2</v>
      </c>
      <c r="M298">
        <f>_2026_04_17_16_25_21_23_high[[#This Row],[new_pfwd_filt]]/_2026_04_17_16_25_21_23_high[[#This Row],[new_p45_filt]]</f>
        <v>0.98852772466539207</v>
      </c>
    </row>
    <row r="299" spans="1:13" x14ac:dyDescent="0.3">
      <c r="A299">
        <v>297</v>
      </c>
      <c r="B299">
        <v>4727</v>
      </c>
      <c r="C299" t="b">
        <v>1</v>
      </c>
      <c r="D299">
        <v>8048</v>
      </c>
      <c r="E299">
        <v>8123</v>
      </c>
      <c r="F299">
        <v>6.8</v>
      </c>
      <c r="G299">
        <v>9.6</v>
      </c>
      <c r="H299">
        <v>0.70833330000000005</v>
      </c>
      <c r="I299">
        <f xml:space="preserve"> -55.696 * _2026_04_17_16_25_21_23_high[[#This Row],[coeff]] + 79.57</f>
        <v>40.118668523199993</v>
      </c>
      <c r="J299">
        <v>0.58536582999999998</v>
      </c>
      <c r="K299">
        <f>_2026_04_17_16_25_21_23_high[[#This Row],[pfwd_filt]]+200</f>
        <v>206.8</v>
      </c>
      <c r="L299">
        <f>_2026_04_17_16_25_21_23_high[[#This Row],[p45_filt]]+200</f>
        <v>209.6</v>
      </c>
      <c r="M299">
        <f>_2026_04_17_16_25_21_23_high[[#This Row],[new_pfwd_filt]]/_2026_04_17_16_25_21_23_high[[#This Row],[new_p45_filt]]</f>
        <v>0.98664122137404586</v>
      </c>
    </row>
    <row r="300" spans="1:13" x14ac:dyDescent="0.3">
      <c r="A300">
        <v>298</v>
      </c>
      <c r="B300">
        <v>4743</v>
      </c>
      <c r="C300" t="b">
        <v>1</v>
      </c>
      <c r="D300">
        <v>8048</v>
      </c>
      <c r="E300">
        <v>8129</v>
      </c>
      <c r="F300">
        <v>6.8</v>
      </c>
      <c r="G300">
        <v>10</v>
      </c>
      <c r="H300">
        <v>0.68</v>
      </c>
      <c r="I300">
        <f xml:space="preserve"> -55.696 * _2026_04_17_16_25_21_23_high[[#This Row],[coeff]] + 79.57</f>
        <v>41.696719999999992</v>
      </c>
      <c r="J300">
        <v>0.59523815000000002</v>
      </c>
      <c r="K300">
        <f>_2026_04_17_16_25_21_23_high[[#This Row],[pfwd_filt]]+200</f>
        <v>206.8</v>
      </c>
      <c r="L300">
        <f>_2026_04_17_16_25_21_23_high[[#This Row],[p45_filt]]+200</f>
        <v>210</v>
      </c>
      <c r="M300">
        <f>_2026_04_17_16_25_21_23_high[[#This Row],[new_pfwd_filt]]/_2026_04_17_16_25_21_23_high[[#This Row],[new_p45_filt]]</f>
        <v>0.98476190476190484</v>
      </c>
    </row>
    <row r="301" spans="1:13" x14ac:dyDescent="0.3">
      <c r="A301">
        <v>299</v>
      </c>
      <c r="B301">
        <v>4759</v>
      </c>
      <c r="C301" t="b">
        <v>1</v>
      </c>
      <c r="D301">
        <v>8042</v>
      </c>
      <c r="E301">
        <v>8129</v>
      </c>
      <c r="F301">
        <v>6.8</v>
      </c>
      <c r="G301">
        <v>10.4</v>
      </c>
      <c r="H301">
        <v>0.65384620000000004</v>
      </c>
      <c r="I301">
        <f xml:space="preserve"> -55.696 * _2026_04_17_16_25_21_23_high[[#This Row],[coeff]] + 79.57</f>
        <v>43.15338204479999</v>
      </c>
      <c r="J301">
        <v>0.6046511</v>
      </c>
      <c r="K301">
        <f>_2026_04_17_16_25_21_23_high[[#This Row],[pfwd_filt]]+200</f>
        <v>206.8</v>
      </c>
      <c r="L301">
        <f>_2026_04_17_16_25_21_23_high[[#This Row],[p45_filt]]+200</f>
        <v>210.4</v>
      </c>
      <c r="M301">
        <f>_2026_04_17_16_25_21_23_high[[#This Row],[new_pfwd_filt]]/_2026_04_17_16_25_21_23_high[[#This Row],[new_p45_filt]]</f>
        <v>0.9828897338403042</v>
      </c>
    </row>
    <row r="302" spans="1:13" x14ac:dyDescent="0.3">
      <c r="A302">
        <v>300</v>
      </c>
      <c r="B302">
        <v>4775</v>
      </c>
      <c r="C302" t="b">
        <v>1</v>
      </c>
      <c r="D302">
        <v>8042</v>
      </c>
      <c r="E302">
        <v>8129</v>
      </c>
      <c r="F302">
        <v>6.8</v>
      </c>
      <c r="G302">
        <v>10.8</v>
      </c>
      <c r="H302">
        <v>0.62962960000000001</v>
      </c>
      <c r="I302">
        <f xml:space="preserve"> -55.696 * _2026_04_17_16_25_21_23_high[[#This Row],[coeff]] + 79.57</f>
        <v>44.502149798399991</v>
      </c>
      <c r="J302">
        <v>0.61363639999999997</v>
      </c>
      <c r="K302">
        <f>_2026_04_17_16_25_21_23_high[[#This Row],[pfwd_filt]]+200</f>
        <v>206.8</v>
      </c>
      <c r="L302">
        <f>_2026_04_17_16_25_21_23_high[[#This Row],[p45_filt]]+200</f>
        <v>210.8</v>
      </c>
      <c r="M302">
        <f>_2026_04_17_16_25_21_23_high[[#This Row],[new_pfwd_filt]]/_2026_04_17_16_25_21_23_high[[#This Row],[new_p45_filt]]</f>
        <v>0.98102466793168885</v>
      </c>
    </row>
    <row r="303" spans="1:13" x14ac:dyDescent="0.3">
      <c r="A303">
        <v>301</v>
      </c>
      <c r="B303">
        <v>4791</v>
      </c>
      <c r="C303" t="b">
        <v>1</v>
      </c>
      <c r="D303">
        <v>8042</v>
      </c>
      <c r="E303">
        <v>8123</v>
      </c>
      <c r="F303">
        <v>6.4</v>
      </c>
      <c r="G303">
        <v>11.2</v>
      </c>
      <c r="H303">
        <v>0.57142859999999995</v>
      </c>
      <c r="I303">
        <f xml:space="preserve"> -55.696 * _2026_04_17_16_25_21_23_high[[#This Row],[coeff]] + 79.57</f>
        <v>47.743712694399996</v>
      </c>
      <c r="J303">
        <v>0.63636360000000003</v>
      </c>
      <c r="K303">
        <f>_2026_04_17_16_25_21_23_high[[#This Row],[pfwd_filt]]+200</f>
        <v>206.4</v>
      </c>
      <c r="L303">
        <f>_2026_04_17_16_25_21_23_high[[#This Row],[p45_filt]]+200</f>
        <v>211.2</v>
      </c>
      <c r="M303">
        <f>_2026_04_17_16_25_21_23_high[[#This Row],[new_pfwd_filt]]/_2026_04_17_16_25_21_23_high[[#This Row],[new_p45_filt]]</f>
        <v>0.9772727272727274</v>
      </c>
    </row>
    <row r="304" spans="1:13" x14ac:dyDescent="0.3">
      <c r="A304">
        <v>302</v>
      </c>
      <c r="B304">
        <v>4806</v>
      </c>
      <c r="C304" t="b">
        <v>1</v>
      </c>
      <c r="D304">
        <v>8048</v>
      </c>
      <c r="E304">
        <v>8123</v>
      </c>
      <c r="F304">
        <v>6</v>
      </c>
      <c r="G304">
        <v>11.6</v>
      </c>
      <c r="H304">
        <v>0.51724135999999998</v>
      </c>
      <c r="I304">
        <f xml:space="preserve"> -55.696 * _2026_04_17_16_25_21_23_high[[#This Row],[coeff]] + 79.57</f>
        <v>50.761725213439995</v>
      </c>
      <c r="J304">
        <v>0.65909094000000001</v>
      </c>
      <c r="K304">
        <f>_2026_04_17_16_25_21_23_high[[#This Row],[pfwd_filt]]+200</f>
        <v>206</v>
      </c>
      <c r="L304">
        <f>_2026_04_17_16_25_21_23_high[[#This Row],[p45_filt]]+200</f>
        <v>211.6</v>
      </c>
      <c r="M304">
        <f>_2026_04_17_16_25_21_23_high[[#This Row],[new_pfwd_filt]]/_2026_04_17_16_25_21_23_high[[#This Row],[new_p45_filt]]</f>
        <v>0.97353497164461256</v>
      </c>
    </row>
    <row r="305" spans="1:13" x14ac:dyDescent="0.3">
      <c r="A305">
        <v>303</v>
      </c>
      <c r="B305">
        <v>4822</v>
      </c>
      <c r="C305" t="b">
        <v>1</v>
      </c>
      <c r="D305">
        <v>8048</v>
      </c>
      <c r="E305">
        <v>8123</v>
      </c>
      <c r="F305">
        <v>5.6</v>
      </c>
      <c r="G305">
        <v>11.6</v>
      </c>
      <c r="H305">
        <v>0.48275859999999998</v>
      </c>
      <c r="I305">
        <f xml:space="preserve"> -55.696 * _2026_04_17_16_25_21_23_high[[#This Row],[coeff]] + 79.57</f>
        <v>52.6822770144</v>
      </c>
      <c r="J305">
        <v>0.67441857000000005</v>
      </c>
      <c r="K305">
        <f>_2026_04_17_16_25_21_23_high[[#This Row],[pfwd_filt]]+200</f>
        <v>205.6</v>
      </c>
      <c r="L305">
        <f>_2026_04_17_16_25_21_23_high[[#This Row],[p45_filt]]+200</f>
        <v>211.6</v>
      </c>
      <c r="M305">
        <f>_2026_04_17_16_25_21_23_high[[#This Row],[new_pfwd_filt]]/_2026_04_17_16_25_21_23_high[[#This Row],[new_p45_filt]]</f>
        <v>0.97164461247637046</v>
      </c>
    </row>
    <row r="306" spans="1:13" x14ac:dyDescent="0.3">
      <c r="A306">
        <v>304</v>
      </c>
      <c r="B306">
        <v>4838</v>
      </c>
      <c r="C306" t="b">
        <v>1</v>
      </c>
      <c r="D306">
        <v>8042</v>
      </c>
      <c r="E306">
        <v>8117</v>
      </c>
      <c r="F306">
        <v>5.2</v>
      </c>
      <c r="G306">
        <v>11.6</v>
      </c>
      <c r="H306">
        <v>0.44827582999999999</v>
      </c>
      <c r="I306">
        <f xml:space="preserve"> -55.696 * _2026_04_17_16_25_21_23_high[[#This Row],[coeff]] + 79.57</f>
        <v>54.602829372319995</v>
      </c>
      <c r="J306">
        <v>0.69047623999999996</v>
      </c>
      <c r="K306">
        <f>_2026_04_17_16_25_21_23_high[[#This Row],[pfwd_filt]]+200</f>
        <v>205.2</v>
      </c>
      <c r="L306">
        <f>_2026_04_17_16_25_21_23_high[[#This Row],[p45_filt]]+200</f>
        <v>211.6</v>
      </c>
      <c r="M306">
        <f>_2026_04_17_16_25_21_23_high[[#This Row],[new_pfwd_filt]]/_2026_04_17_16_25_21_23_high[[#This Row],[new_p45_filt]]</f>
        <v>0.96975425330812848</v>
      </c>
    </row>
    <row r="307" spans="1:13" x14ac:dyDescent="0.3">
      <c r="A307">
        <v>305</v>
      </c>
      <c r="B307">
        <v>4854</v>
      </c>
      <c r="C307" t="b">
        <v>1</v>
      </c>
      <c r="D307">
        <v>8048</v>
      </c>
      <c r="E307">
        <v>8123</v>
      </c>
      <c r="F307">
        <v>5.2</v>
      </c>
      <c r="G307">
        <v>11.6</v>
      </c>
      <c r="H307">
        <v>0.44827582999999999</v>
      </c>
      <c r="I307">
        <f xml:space="preserve"> -55.696 * _2026_04_17_16_25_21_23_high[[#This Row],[coeff]] + 79.57</f>
        <v>54.602829372319995</v>
      </c>
      <c r="J307">
        <v>0.69047623999999996</v>
      </c>
      <c r="K307">
        <f>_2026_04_17_16_25_21_23_high[[#This Row],[pfwd_filt]]+200</f>
        <v>205.2</v>
      </c>
      <c r="L307">
        <f>_2026_04_17_16_25_21_23_high[[#This Row],[p45_filt]]+200</f>
        <v>211.6</v>
      </c>
      <c r="M307">
        <f>_2026_04_17_16_25_21_23_high[[#This Row],[new_pfwd_filt]]/_2026_04_17_16_25_21_23_high[[#This Row],[new_p45_filt]]</f>
        <v>0.96975425330812848</v>
      </c>
    </row>
    <row r="308" spans="1:13" x14ac:dyDescent="0.3">
      <c r="A308">
        <v>306</v>
      </c>
      <c r="B308">
        <v>4869</v>
      </c>
      <c r="C308" t="b">
        <v>1</v>
      </c>
      <c r="D308">
        <v>8048</v>
      </c>
      <c r="E308">
        <v>8129</v>
      </c>
      <c r="F308">
        <v>5.2</v>
      </c>
      <c r="G308">
        <v>11.6</v>
      </c>
      <c r="H308">
        <v>0.44827582999999999</v>
      </c>
      <c r="I308">
        <f xml:space="preserve"> -55.696 * _2026_04_17_16_25_21_23_high[[#This Row],[coeff]] + 79.57</f>
        <v>54.602829372319995</v>
      </c>
      <c r="J308">
        <v>0.69047623999999996</v>
      </c>
      <c r="K308">
        <f>_2026_04_17_16_25_21_23_high[[#This Row],[pfwd_filt]]+200</f>
        <v>205.2</v>
      </c>
      <c r="L308">
        <f>_2026_04_17_16_25_21_23_high[[#This Row],[p45_filt]]+200</f>
        <v>211.6</v>
      </c>
      <c r="M308">
        <f>_2026_04_17_16_25_21_23_high[[#This Row],[new_pfwd_filt]]/_2026_04_17_16_25_21_23_high[[#This Row],[new_p45_filt]]</f>
        <v>0.96975425330812848</v>
      </c>
    </row>
    <row r="309" spans="1:13" x14ac:dyDescent="0.3">
      <c r="A309">
        <v>307</v>
      </c>
      <c r="B309">
        <v>4885</v>
      </c>
      <c r="C309" t="b">
        <v>1</v>
      </c>
      <c r="D309">
        <v>8048</v>
      </c>
      <c r="E309">
        <v>8123</v>
      </c>
      <c r="F309">
        <v>5.6</v>
      </c>
      <c r="G309">
        <v>11.6</v>
      </c>
      <c r="H309">
        <v>0.48275859999999998</v>
      </c>
      <c r="I309">
        <f xml:space="preserve"> -55.696 * _2026_04_17_16_25_21_23_high[[#This Row],[coeff]] + 79.57</f>
        <v>52.6822770144</v>
      </c>
      <c r="J309">
        <v>0.67441857000000005</v>
      </c>
      <c r="K309">
        <f>_2026_04_17_16_25_21_23_high[[#This Row],[pfwd_filt]]+200</f>
        <v>205.6</v>
      </c>
      <c r="L309">
        <f>_2026_04_17_16_25_21_23_high[[#This Row],[p45_filt]]+200</f>
        <v>211.6</v>
      </c>
      <c r="M309">
        <f>_2026_04_17_16_25_21_23_high[[#This Row],[new_pfwd_filt]]/_2026_04_17_16_25_21_23_high[[#This Row],[new_p45_filt]]</f>
        <v>0.97164461247637046</v>
      </c>
    </row>
    <row r="310" spans="1:13" x14ac:dyDescent="0.3">
      <c r="A310">
        <v>308</v>
      </c>
      <c r="B310">
        <v>4901</v>
      </c>
      <c r="C310" t="b">
        <v>1</v>
      </c>
      <c r="D310">
        <v>8048</v>
      </c>
      <c r="E310">
        <v>8129</v>
      </c>
      <c r="F310">
        <v>6</v>
      </c>
      <c r="G310">
        <v>11.6</v>
      </c>
      <c r="H310">
        <v>0.51724135999999998</v>
      </c>
      <c r="I310">
        <f xml:space="preserve"> -55.696 * _2026_04_17_16_25_21_23_high[[#This Row],[coeff]] + 79.57</f>
        <v>50.761725213439995</v>
      </c>
      <c r="J310">
        <v>0.65909094000000001</v>
      </c>
      <c r="K310">
        <f>_2026_04_17_16_25_21_23_high[[#This Row],[pfwd_filt]]+200</f>
        <v>206</v>
      </c>
      <c r="L310">
        <f>_2026_04_17_16_25_21_23_high[[#This Row],[p45_filt]]+200</f>
        <v>211.6</v>
      </c>
      <c r="M310">
        <f>_2026_04_17_16_25_21_23_high[[#This Row],[new_pfwd_filt]]/_2026_04_17_16_25_21_23_high[[#This Row],[new_p45_filt]]</f>
        <v>0.97353497164461256</v>
      </c>
    </row>
    <row r="311" spans="1:13" x14ac:dyDescent="0.3">
      <c r="A311">
        <v>309</v>
      </c>
      <c r="B311">
        <v>4917</v>
      </c>
      <c r="C311" t="b">
        <v>1</v>
      </c>
      <c r="D311">
        <v>8042</v>
      </c>
      <c r="E311">
        <v>8123</v>
      </c>
      <c r="F311">
        <v>6.4</v>
      </c>
      <c r="G311">
        <v>11.2</v>
      </c>
      <c r="H311">
        <v>0.57142859999999995</v>
      </c>
      <c r="I311">
        <f xml:space="preserve"> -55.696 * _2026_04_17_16_25_21_23_high[[#This Row],[coeff]] + 79.57</f>
        <v>47.743712694399996</v>
      </c>
      <c r="J311">
        <v>0.63636360000000003</v>
      </c>
      <c r="K311">
        <f>_2026_04_17_16_25_21_23_high[[#This Row],[pfwd_filt]]+200</f>
        <v>206.4</v>
      </c>
      <c r="L311">
        <f>_2026_04_17_16_25_21_23_high[[#This Row],[p45_filt]]+200</f>
        <v>211.2</v>
      </c>
      <c r="M311">
        <f>_2026_04_17_16_25_21_23_high[[#This Row],[new_pfwd_filt]]/_2026_04_17_16_25_21_23_high[[#This Row],[new_p45_filt]]</f>
        <v>0.9772727272727274</v>
      </c>
    </row>
    <row r="312" spans="1:13" x14ac:dyDescent="0.3">
      <c r="A312">
        <v>310</v>
      </c>
      <c r="B312">
        <v>4932</v>
      </c>
      <c r="C312" t="b">
        <v>1</v>
      </c>
      <c r="D312">
        <v>8048</v>
      </c>
      <c r="E312">
        <v>8117</v>
      </c>
      <c r="F312">
        <v>6.4</v>
      </c>
      <c r="G312">
        <v>10.8</v>
      </c>
      <c r="H312">
        <v>0.59259260000000002</v>
      </c>
      <c r="I312">
        <f xml:space="preserve"> -55.696 * _2026_04_17_16_25_21_23_high[[#This Row],[coeff]] + 79.57</f>
        <v>46.56496255039999</v>
      </c>
      <c r="J312">
        <v>0.62790699999999999</v>
      </c>
      <c r="K312">
        <f>_2026_04_17_16_25_21_23_high[[#This Row],[pfwd_filt]]+200</f>
        <v>206.4</v>
      </c>
      <c r="L312">
        <f>_2026_04_17_16_25_21_23_high[[#This Row],[p45_filt]]+200</f>
        <v>210.8</v>
      </c>
      <c r="M312">
        <f>_2026_04_17_16_25_21_23_high[[#This Row],[new_pfwd_filt]]/_2026_04_17_16_25_21_23_high[[#This Row],[new_p45_filt]]</f>
        <v>0.97912713472485768</v>
      </c>
    </row>
    <row r="313" spans="1:13" x14ac:dyDescent="0.3">
      <c r="A313">
        <v>311</v>
      </c>
      <c r="B313">
        <v>4948</v>
      </c>
      <c r="C313" t="b">
        <v>1</v>
      </c>
      <c r="D313">
        <v>8042</v>
      </c>
      <c r="E313">
        <v>8123</v>
      </c>
      <c r="F313">
        <v>6.4</v>
      </c>
      <c r="G313">
        <v>10.4</v>
      </c>
      <c r="H313">
        <v>0.61538464000000004</v>
      </c>
      <c r="I313">
        <f xml:space="preserve"> -55.696 * _2026_04_17_16_25_21_23_high[[#This Row],[coeff]] + 79.57</f>
        <v>45.295537090559989</v>
      </c>
      <c r="J313">
        <v>0.61904764000000001</v>
      </c>
      <c r="K313">
        <f>_2026_04_17_16_25_21_23_high[[#This Row],[pfwd_filt]]+200</f>
        <v>206.4</v>
      </c>
      <c r="L313">
        <f>_2026_04_17_16_25_21_23_high[[#This Row],[p45_filt]]+200</f>
        <v>210.4</v>
      </c>
      <c r="M313">
        <f>_2026_04_17_16_25_21_23_high[[#This Row],[new_pfwd_filt]]/_2026_04_17_16_25_21_23_high[[#This Row],[new_p45_filt]]</f>
        <v>0.98098859315589348</v>
      </c>
    </row>
    <row r="314" spans="1:13" x14ac:dyDescent="0.3">
      <c r="A314">
        <v>312</v>
      </c>
      <c r="B314">
        <v>4964</v>
      </c>
      <c r="C314" t="b">
        <v>1</v>
      </c>
      <c r="D314">
        <v>8048</v>
      </c>
      <c r="E314">
        <v>8123</v>
      </c>
      <c r="F314">
        <v>6.4</v>
      </c>
      <c r="G314">
        <v>10</v>
      </c>
      <c r="H314">
        <v>0.64</v>
      </c>
      <c r="I314">
        <f xml:space="preserve"> -55.696 * _2026_04_17_16_25_21_23_high[[#This Row],[coeff]] + 79.57</f>
        <v>43.924559999999992</v>
      </c>
      <c r="J314">
        <v>0.60975610000000002</v>
      </c>
      <c r="K314">
        <f>_2026_04_17_16_25_21_23_high[[#This Row],[pfwd_filt]]+200</f>
        <v>206.4</v>
      </c>
      <c r="L314">
        <f>_2026_04_17_16_25_21_23_high[[#This Row],[p45_filt]]+200</f>
        <v>210</v>
      </c>
      <c r="M314">
        <f>_2026_04_17_16_25_21_23_high[[#This Row],[new_pfwd_filt]]/_2026_04_17_16_25_21_23_high[[#This Row],[new_p45_filt]]</f>
        <v>0.98285714285714287</v>
      </c>
    </row>
    <row r="315" spans="1:13" x14ac:dyDescent="0.3">
      <c r="A315">
        <v>313</v>
      </c>
      <c r="B315">
        <v>4980</v>
      </c>
      <c r="C315" t="b">
        <v>1</v>
      </c>
      <c r="D315">
        <v>8042</v>
      </c>
      <c r="E315">
        <v>8123</v>
      </c>
      <c r="F315">
        <v>6</v>
      </c>
      <c r="G315">
        <v>9.6</v>
      </c>
      <c r="H315">
        <v>0.625</v>
      </c>
      <c r="I315">
        <f xml:space="preserve"> -55.696 * _2026_04_17_16_25_21_23_high[[#This Row],[coeff]] + 79.57</f>
        <v>44.759999999999991</v>
      </c>
      <c r="J315">
        <v>0.61538464000000004</v>
      </c>
      <c r="K315">
        <f>_2026_04_17_16_25_21_23_high[[#This Row],[pfwd_filt]]+200</f>
        <v>206</v>
      </c>
      <c r="L315">
        <f>_2026_04_17_16_25_21_23_high[[#This Row],[p45_filt]]+200</f>
        <v>209.6</v>
      </c>
      <c r="M315">
        <f>_2026_04_17_16_25_21_23_high[[#This Row],[new_pfwd_filt]]/_2026_04_17_16_25_21_23_high[[#This Row],[new_p45_filt]]</f>
        <v>0.98282442748091603</v>
      </c>
    </row>
    <row r="316" spans="1:13" x14ac:dyDescent="0.3">
      <c r="A316">
        <v>314</v>
      </c>
      <c r="B316">
        <v>4996</v>
      </c>
      <c r="C316" t="b">
        <v>1</v>
      </c>
      <c r="D316">
        <v>8042</v>
      </c>
      <c r="E316">
        <v>8123</v>
      </c>
      <c r="F316">
        <v>5.6</v>
      </c>
      <c r="G316">
        <v>9.1999999999999993</v>
      </c>
      <c r="H316">
        <v>0.6086956</v>
      </c>
      <c r="I316">
        <f xml:space="preserve"> -55.696 * _2026_04_17_16_25_21_23_high[[#This Row],[coeff]] + 79.57</f>
        <v>45.668089862399995</v>
      </c>
      <c r="J316">
        <v>0.62162167000000002</v>
      </c>
      <c r="K316">
        <f>_2026_04_17_16_25_21_23_high[[#This Row],[pfwd_filt]]+200</f>
        <v>205.6</v>
      </c>
      <c r="L316">
        <f>_2026_04_17_16_25_21_23_high[[#This Row],[p45_filt]]+200</f>
        <v>209.2</v>
      </c>
      <c r="M316">
        <f>_2026_04_17_16_25_21_23_high[[#This Row],[new_pfwd_filt]]/_2026_04_17_16_25_21_23_high[[#This Row],[new_p45_filt]]</f>
        <v>0.982791586998088</v>
      </c>
    </row>
    <row r="317" spans="1:13" x14ac:dyDescent="0.3">
      <c r="A317">
        <v>315</v>
      </c>
      <c r="B317">
        <v>5012</v>
      </c>
      <c r="C317" t="b">
        <v>1</v>
      </c>
      <c r="D317">
        <v>8048</v>
      </c>
      <c r="E317">
        <v>8129</v>
      </c>
      <c r="F317">
        <v>5.2</v>
      </c>
      <c r="G317">
        <v>8.8000000000000007</v>
      </c>
      <c r="H317">
        <v>0.59090905999999999</v>
      </c>
      <c r="I317">
        <f xml:space="preserve"> -55.696 * _2026_04_17_16_25_21_23_high[[#This Row],[coeff]] + 79.57</f>
        <v>46.658728994239993</v>
      </c>
      <c r="J317">
        <v>0.62857145000000003</v>
      </c>
      <c r="K317">
        <f>_2026_04_17_16_25_21_23_high[[#This Row],[pfwd_filt]]+200</f>
        <v>205.2</v>
      </c>
      <c r="L317">
        <f>_2026_04_17_16_25_21_23_high[[#This Row],[p45_filt]]+200</f>
        <v>208.8</v>
      </c>
      <c r="M317">
        <f>_2026_04_17_16_25_21_23_high[[#This Row],[new_pfwd_filt]]/_2026_04_17_16_25_21_23_high[[#This Row],[new_p45_filt]]</f>
        <v>0.98275862068965503</v>
      </c>
    </row>
    <row r="318" spans="1:13" x14ac:dyDescent="0.3">
      <c r="A318">
        <v>316</v>
      </c>
      <c r="B318">
        <v>5028</v>
      </c>
      <c r="C318" t="b">
        <v>1</v>
      </c>
      <c r="D318">
        <v>8048</v>
      </c>
      <c r="E318">
        <v>8123</v>
      </c>
      <c r="F318">
        <v>5.6</v>
      </c>
      <c r="G318">
        <v>8.4</v>
      </c>
      <c r="H318">
        <v>0.66666669999999995</v>
      </c>
      <c r="I318">
        <f xml:space="preserve"> -55.696 * _2026_04_17_16_25_21_23_high[[#This Row],[coeff]] + 79.57</f>
        <v>42.4393314768</v>
      </c>
      <c r="J318">
        <v>0.59999996</v>
      </c>
      <c r="K318">
        <f>_2026_04_17_16_25_21_23_high[[#This Row],[pfwd_filt]]+200</f>
        <v>205.6</v>
      </c>
      <c r="L318">
        <f>_2026_04_17_16_25_21_23_high[[#This Row],[p45_filt]]+200</f>
        <v>208.4</v>
      </c>
      <c r="M318">
        <f>_2026_04_17_16_25_21_23_high[[#This Row],[new_pfwd_filt]]/_2026_04_17_16_25_21_23_high[[#This Row],[new_p45_filt]]</f>
        <v>0.98656429942418422</v>
      </c>
    </row>
    <row r="319" spans="1:13" x14ac:dyDescent="0.3">
      <c r="A319">
        <v>317</v>
      </c>
      <c r="B319">
        <v>5044</v>
      </c>
      <c r="C319" t="b">
        <v>1</v>
      </c>
      <c r="D319">
        <v>8042</v>
      </c>
      <c r="E319">
        <v>8123</v>
      </c>
      <c r="F319">
        <v>5.6</v>
      </c>
      <c r="G319">
        <v>8</v>
      </c>
      <c r="H319">
        <v>0.7</v>
      </c>
      <c r="I319">
        <f xml:space="preserve"> -55.696 * _2026_04_17_16_25_21_23_high[[#This Row],[coeff]] + 79.57</f>
        <v>40.582799999999999</v>
      </c>
      <c r="J319">
        <v>0.58823526000000004</v>
      </c>
      <c r="K319">
        <f>_2026_04_17_16_25_21_23_high[[#This Row],[pfwd_filt]]+200</f>
        <v>205.6</v>
      </c>
      <c r="L319">
        <f>_2026_04_17_16_25_21_23_high[[#This Row],[p45_filt]]+200</f>
        <v>208</v>
      </c>
      <c r="M319">
        <f>_2026_04_17_16_25_21_23_high[[#This Row],[new_pfwd_filt]]/_2026_04_17_16_25_21_23_high[[#This Row],[new_p45_filt]]</f>
        <v>0.98846153846153839</v>
      </c>
    </row>
    <row r="320" spans="1:13" x14ac:dyDescent="0.3">
      <c r="A320">
        <v>318</v>
      </c>
      <c r="B320">
        <v>5060</v>
      </c>
      <c r="C320" t="b">
        <v>1</v>
      </c>
      <c r="D320">
        <v>8048</v>
      </c>
      <c r="E320">
        <v>8123</v>
      </c>
      <c r="F320">
        <v>6</v>
      </c>
      <c r="G320">
        <v>8</v>
      </c>
      <c r="H320">
        <v>0.75</v>
      </c>
      <c r="I320">
        <f xml:space="preserve"> -55.696 * _2026_04_17_16_25_21_23_high[[#This Row],[coeff]] + 79.57</f>
        <v>37.797999999999995</v>
      </c>
      <c r="J320">
        <v>0.57142859999999995</v>
      </c>
      <c r="K320">
        <f>_2026_04_17_16_25_21_23_high[[#This Row],[pfwd_filt]]+200</f>
        <v>206</v>
      </c>
      <c r="L320">
        <f>_2026_04_17_16_25_21_23_high[[#This Row],[p45_filt]]+200</f>
        <v>208</v>
      </c>
      <c r="M320">
        <f>_2026_04_17_16_25_21_23_high[[#This Row],[new_pfwd_filt]]/_2026_04_17_16_25_21_23_high[[#This Row],[new_p45_filt]]</f>
        <v>0.99038461538461542</v>
      </c>
    </row>
    <row r="321" spans="1:13" x14ac:dyDescent="0.3">
      <c r="A321">
        <v>319</v>
      </c>
      <c r="B321">
        <v>5076</v>
      </c>
      <c r="C321" t="b">
        <v>1</v>
      </c>
      <c r="D321">
        <v>8048</v>
      </c>
      <c r="E321">
        <v>8129</v>
      </c>
      <c r="F321">
        <v>6.4</v>
      </c>
      <c r="G321">
        <v>8</v>
      </c>
      <c r="H321">
        <v>0.8</v>
      </c>
      <c r="I321">
        <f xml:space="preserve"> -55.696 * _2026_04_17_16_25_21_23_high[[#This Row],[coeff]] + 79.57</f>
        <v>35.013199999999991</v>
      </c>
      <c r="J321">
        <v>0.55555560000000004</v>
      </c>
      <c r="K321">
        <f>_2026_04_17_16_25_21_23_high[[#This Row],[pfwd_filt]]+200</f>
        <v>206.4</v>
      </c>
      <c r="L321">
        <f>_2026_04_17_16_25_21_23_high[[#This Row],[p45_filt]]+200</f>
        <v>208</v>
      </c>
      <c r="M321">
        <f>_2026_04_17_16_25_21_23_high[[#This Row],[new_pfwd_filt]]/_2026_04_17_16_25_21_23_high[[#This Row],[new_p45_filt]]</f>
        <v>0.99230769230769234</v>
      </c>
    </row>
    <row r="322" spans="1:13" x14ac:dyDescent="0.3">
      <c r="A322">
        <v>320</v>
      </c>
      <c r="B322">
        <v>5092</v>
      </c>
      <c r="C322" t="b">
        <v>1</v>
      </c>
      <c r="D322">
        <v>8048</v>
      </c>
      <c r="E322">
        <v>8123</v>
      </c>
      <c r="F322">
        <v>6.4</v>
      </c>
      <c r="G322">
        <v>8</v>
      </c>
      <c r="H322">
        <v>0.8</v>
      </c>
      <c r="I322">
        <f xml:space="preserve"> -55.696 * _2026_04_17_16_25_21_23_high[[#This Row],[coeff]] + 79.57</f>
        <v>35.013199999999991</v>
      </c>
      <c r="J322">
        <v>0.55555560000000004</v>
      </c>
      <c r="K322">
        <f>_2026_04_17_16_25_21_23_high[[#This Row],[pfwd_filt]]+200</f>
        <v>206.4</v>
      </c>
      <c r="L322">
        <f>_2026_04_17_16_25_21_23_high[[#This Row],[p45_filt]]+200</f>
        <v>208</v>
      </c>
      <c r="M322">
        <f>_2026_04_17_16_25_21_23_high[[#This Row],[new_pfwd_filt]]/_2026_04_17_16_25_21_23_high[[#This Row],[new_p45_filt]]</f>
        <v>0.99230769230769234</v>
      </c>
    </row>
    <row r="323" spans="1:13" x14ac:dyDescent="0.3">
      <c r="A323">
        <v>321</v>
      </c>
      <c r="B323">
        <v>5108</v>
      </c>
      <c r="C323" t="b">
        <v>1</v>
      </c>
      <c r="D323">
        <v>8048</v>
      </c>
      <c r="E323">
        <v>8129</v>
      </c>
      <c r="F323">
        <v>6.4</v>
      </c>
      <c r="G323">
        <v>8</v>
      </c>
      <c r="H323">
        <v>0.8</v>
      </c>
      <c r="I323">
        <f xml:space="preserve"> -55.696 * _2026_04_17_16_25_21_23_high[[#This Row],[coeff]] + 79.57</f>
        <v>35.013199999999991</v>
      </c>
      <c r="J323">
        <v>0.55555560000000004</v>
      </c>
      <c r="K323">
        <f>_2026_04_17_16_25_21_23_high[[#This Row],[pfwd_filt]]+200</f>
        <v>206.4</v>
      </c>
      <c r="L323">
        <f>_2026_04_17_16_25_21_23_high[[#This Row],[p45_filt]]+200</f>
        <v>208</v>
      </c>
      <c r="M323">
        <f>_2026_04_17_16_25_21_23_high[[#This Row],[new_pfwd_filt]]/_2026_04_17_16_25_21_23_high[[#This Row],[new_p45_filt]]</f>
        <v>0.99230769230769234</v>
      </c>
    </row>
    <row r="324" spans="1:13" x14ac:dyDescent="0.3">
      <c r="A324">
        <v>322</v>
      </c>
      <c r="B324">
        <v>5124</v>
      </c>
      <c r="C324" t="b">
        <v>1</v>
      </c>
      <c r="D324">
        <v>8048</v>
      </c>
      <c r="E324">
        <v>8123</v>
      </c>
      <c r="F324">
        <v>6.4</v>
      </c>
      <c r="G324">
        <v>8</v>
      </c>
      <c r="H324">
        <v>0.8</v>
      </c>
      <c r="I324">
        <f xml:space="preserve"> -55.696 * _2026_04_17_16_25_21_23_high[[#This Row],[coeff]] + 79.57</f>
        <v>35.013199999999991</v>
      </c>
      <c r="J324">
        <v>0.55555560000000004</v>
      </c>
      <c r="K324">
        <f>_2026_04_17_16_25_21_23_high[[#This Row],[pfwd_filt]]+200</f>
        <v>206.4</v>
      </c>
      <c r="L324">
        <f>_2026_04_17_16_25_21_23_high[[#This Row],[p45_filt]]+200</f>
        <v>208</v>
      </c>
      <c r="M324">
        <f>_2026_04_17_16_25_21_23_high[[#This Row],[new_pfwd_filt]]/_2026_04_17_16_25_21_23_high[[#This Row],[new_p45_filt]]</f>
        <v>0.99230769230769234</v>
      </c>
    </row>
    <row r="325" spans="1:13" x14ac:dyDescent="0.3">
      <c r="A325">
        <v>323</v>
      </c>
      <c r="B325">
        <v>5139</v>
      </c>
      <c r="C325" t="b">
        <v>1</v>
      </c>
      <c r="D325">
        <v>8048</v>
      </c>
      <c r="E325">
        <v>8123</v>
      </c>
      <c r="F325">
        <v>6.4</v>
      </c>
      <c r="G325">
        <v>8</v>
      </c>
      <c r="H325">
        <v>0.8</v>
      </c>
      <c r="I325">
        <f xml:space="preserve"> -55.696 * _2026_04_17_16_25_21_23_high[[#This Row],[coeff]] + 79.57</f>
        <v>35.013199999999991</v>
      </c>
      <c r="J325">
        <v>0.55555560000000004</v>
      </c>
      <c r="K325">
        <f>_2026_04_17_16_25_21_23_high[[#This Row],[pfwd_filt]]+200</f>
        <v>206.4</v>
      </c>
      <c r="L325">
        <f>_2026_04_17_16_25_21_23_high[[#This Row],[p45_filt]]+200</f>
        <v>208</v>
      </c>
      <c r="M325">
        <f>_2026_04_17_16_25_21_23_high[[#This Row],[new_pfwd_filt]]/_2026_04_17_16_25_21_23_high[[#This Row],[new_p45_filt]]</f>
        <v>0.99230769230769234</v>
      </c>
    </row>
    <row r="326" spans="1:13" x14ac:dyDescent="0.3">
      <c r="A326">
        <v>324</v>
      </c>
      <c r="B326">
        <v>5155</v>
      </c>
      <c r="C326" t="b">
        <v>1</v>
      </c>
      <c r="D326">
        <v>8048</v>
      </c>
      <c r="E326">
        <v>8123</v>
      </c>
      <c r="F326">
        <v>6.4</v>
      </c>
      <c r="G326">
        <v>8</v>
      </c>
      <c r="H326">
        <v>0.8</v>
      </c>
      <c r="I326">
        <f xml:space="preserve"> -55.696 * _2026_04_17_16_25_21_23_high[[#This Row],[coeff]] + 79.57</f>
        <v>35.013199999999991</v>
      </c>
      <c r="J326">
        <v>0.55555560000000004</v>
      </c>
      <c r="K326">
        <f>_2026_04_17_16_25_21_23_high[[#This Row],[pfwd_filt]]+200</f>
        <v>206.4</v>
      </c>
      <c r="L326">
        <f>_2026_04_17_16_25_21_23_high[[#This Row],[p45_filt]]+200</f>
        <v>208</v>
      </c>
      <c r="M326">
        <f>_2026_04_17_16_25_21_23_high[[#This Row],[new_pfwd_filt]]/_2026_04_17_16_25_21_23_high[[#This Row],[new_p45_filt]]</f>
        <v>0.99230769230769234</v>
      </c>
    </row>
    <row r="327" spans="1:13" x14ac:dyDescent="0.3">
      <c r="A327">
        <v>325</v>
      </c>
      <c r="B327">
        <v>5171</v>
      </c>
      <c r="C327" t="b">
        <v>1</v>
      </c>
      <c r="D327">
        <v>8048</v>
      </c>
      <c r="E327">
        <v>8123</v>
      </c>
      <c r="F327">
        <v>6.4</v>
      </c>
      <c r="G327">
        <v>8</v>
      </c>
      <c r="H327">
        <v>0.8</v>
      </c>
      <c r="I327">
        <f xml:space="preserve"> -55.696 * _2026_04_17_16_25_21_23_high[[#This Row],[coeff]] + 79.57</f>
        <v>35.013199999999991</v>
      </c>
      <c r="J327">
        <v>0.55555560000000004</v>
      </c>
      <c r="K327">
        <f>_2026_04_17_16_25_21_23_high[[#This Row],[pfwd_filt]]+200</f>
        <v>206.4</v>
      </c>
      <c r="L327">
        <f>_2026_04_17_16_25_21_23_high[[#This Row],[p45_filt]]+200</f>
        <v>208</v>
      </c>
      <c r="M327">
        <f>_2026_04_17_16_25_21_23_high[[#This Row],[new_pfwd_filt]]/_2026_04_17_16_25_21_23_high[[#This Row],[new_p45_filt]]</f>
        <v>0.99230769230769234</v>
      </c>
    </row>
    <row r="328" spans="1:13" x14ac:dyDescent="0.3">
      <c r="A328">
        <v>326</v>
      </c>
      <c r="B328">
        <v>5187</v>
      </c>
      <c r="C328" t="b">
        <v>1</v>
      </c>
      <c r="D328">
        <v>8042</v>
      </c>
      <c r="E328">
        <v>8123</v>
      </c>
      <c r="F328">
        <v>6.4</v>
      </c>
      <c r="G328">
        <v>8</v>
      </c>
      <c r="H328">
        <v>0.8</v>
      </c>
      <c r="I328">
        <f xml:space="preserve"> -55.696 * _2026_04_17_16_25_21_23_high[[#This Row],[coeff]] + 79.57</f>
        <v>35.013199999999991</v>
      </c>
      <c r="J328">
        <v>0.55555560000000004</v>
      </c>
      <c r="K328">
        <f>_2026_04_17_16_25_21_23_high[[#This Row],[pfwd_filt]]+200</f>
        <v>206.4</v>
      </c>
      <c r="L328">
        <f>_2026_04_17_16_25_21_23_high[[#This Row],[p45_filt]]+200</f>
        <v>208</v>
      </c>
      <c r="M328">
        <f>_2026_04_17_16_25_21_23_high[[#This Row],[new_pfwd_filt]]/_2026_04_17_16_25_21_23_high[[#This Row],[new_p45_filt]]</f>
        <v>0.99230769230769234</v>
      </c>
    </row>
    <row r="329" spans="1:13" x14ac:dyDescent="0.3">
      <c r="A329">
        <v>327</v>
      </c>
      <c r="B329">
        <v>5203</v>
      </c>
      <c r="C329" t="b">
        <v>1</v>
      </c>
      <c r="D329">
        <v>8042</v>
      </c>
      <c r="E329">
        <v>8123</v>
      </c>
      <c r="F329">
        <v>6.4</v>
      </c>
      <c r="G329">
        <v>8</v>
      </c>
      <c r="H329">
        <v>0.8</v>
      </c>
      <c r="I329">
        <f xml:space="preserve"> -55.696 * _2026_04_17_16_25_21_23_high[[#This Row],[coeff]] + 79.57</f>
        <v>35.013199999999991</v>
      </c>
      <c r="J329">
        <v>0.55555560000000004</v>
      </c>
      <c r="K329">
        <f>_2026_04_17_16_25_21_23_high[[#This Row],[pfwd_filt]]+200</f>
        <v>206.4</v>
      </c>
      <c r="L329">
        <f>_2026_04_17_16_25_21_23_high[[#This Row],[p45_filt]]+200</f>
        <v>208</v>
      </c>
      <c r="M329">
        <f>_2026_04_17_16_25_21_23_high[[#This Row],[new_pfwd_filt]]/_2026_04_17_16_25_21_23_high[[#This Row],[new_p45_filt]]</f>
        <v>0.99230769230769234</v>
      </c>
    </row>
    <row r="330" spans="1:13" x14ac:dyDescent="0.3">
      <c r="A330">
        <v>328</v>
      </c>
      <c r="B330">
        <v>5219</v>
      </c>
      <c r="C330" t="b">
        <v>1</v>
      </c>
      <c r="D330">
        <v>8042</v>
      </c>
      <c r="E330">
        <v>8123</v>
      </c>
      <c r="F330">
        <v>6.4</v>
      </c>
      <c r="G330">
        <v>8</v>
      </c>
      <c r="H330">
        <v>0.8</v>
      </c>
      <c r="I330">
        <f xml:space="preserve"> -55.696 * _2026_04_17_16_25_21_23_high[[#This Row],[coeff]] + 79.57</f>
        <v>35.013199999999991</v>
      </c>
      <c r="J330">
        <v>0.55555560000000004</v>
      </c>
      <c r="K330">
        <f>_2026_04_17_16_25_21_23_high[[#This Row],[pfwd_filt]]+200</f>
        <v>206.4</v>
      </c>
      <c r="L330">
        <f>_2026_04_17_16_25_21_23_high[[#This Row],[p45_filt]]+200</f>
        <v>208</v>
      </c>
      <c r="M330">
        <f>_2026_04_17_16_25_21_23_high[[#This Row],[new_pfwd_filt]]/_2026_04_17_16_25_21_23_high[[#This Row],[new_p45_filt]]</f>
        <v>0.99230769230769234</v>
      </c>
    </row>
    <row r="331" spans="1:13" x14ac:dyDescent="0.3">
      <c r="A331">
        <v>329</v>
      </c>
      <c r="B331">
        <v>5234</v>
      </c>
      <c r="C331" t="b">
        <v>1</v>
      </c>
      <c r="D331">
        <v>8042</v>
      </c>
      <c r="E331">
        <v>8123</v>
      </c>
      <c r="F331">
        <v>6.4</v>
      </c>
      <c r="G331">
        <v>8</v>
      </c>
      <c r="H331">
        <v>0.8</v>
      </c>
      <c r="I331">
        <f xml:space="preserve"> -55.696 * _2026_04_17_16_25_21_23_high[[#This Row],[coeff]] + 79.57</f>
        <v>35.013199999999991</v>
      </c>
      <c r="J331">
        <v>0.55555560000000004</v>
      </c>
      <c r="K331">
        <f>_2026_04_17_16_25_21_23_high[[#This Row],[pfwd_filt]]+200</f>
        <v>206.4</v>
      </c>
      <c r="L331">
        <f>_2026_04_17_16_25_21_23_high[[#This Row],[p45_filt]]+200</f>
        <v>208</v>
      </c>
      <c r="M331">
        <f>_2026_04_17_16_25_21_23_high[[#This Row],[new_pfwd_filt]]/_2026_04_17_16_25_21_23_high[[#This Row],[new_p45_filt]]</f>
        <v>0.99230769230769234</v>
      </c>
    </row>
    <row r="332" spans="1:13" x14ac:dyDescent="0.3">
      <c r="A332">
        <v>330</v>
      </c>
      <c r="B332">
        <v>5250</v>
      </c>
      <c r="C332" t="b">
        <v>1</v>
      </c>
      <c r="D332">
        <v>8042</v>
      </c>
      <c r="E332">
        <v>8123</v>
      </c>
      <c r="F332">
        <v>6.4</v>
      </c>
      <c r="G332">
        <v>8</v>
      </c>
      <c r="H332">
        <v>0.8</v>
      </c>
      <c r="I332">
        <f xml:space="preserve"> -55.696 * _2026_04_17_16_25_21_23_high[[#This Row],[coeff]] + 79.57</f>
        <v>35.013199999999991</v>
      </c>
      <c r="J332">
        <v>0.55555560000000004</v>
      </c>
      <c r="K332">
        <f>_2026_04_17_16_25_21_23_high[[#This Row],[pfwd_filt]]+200</f>
        <v>206.4</v>
      </c>
      <c r="L332">
        <f>_2026_04_17_16_25_21_23_high[[#This Row],[p45_filt]]+200</f>
        <v>208</v>
      </c>
      <c r="M332">
        <f>_2026_04_17_16_25_21_23_high[[#This Row],[new_pfwd_filt]]/_2026_04_17_16_25_21_23_high[[#This Row],[new_p45_filt]]</f>
        <v>0.99230769230769234</v>
      </c>
    </row>
    <row r="333" spans="1:13" x14ac:dyDescent="0.3">
      <c r="A333">
        <v>331</v>
      </c>
      <c r="B333">
        <v>5266</v>
      </c>
      <c r="C333" t="b">
        <v>1</v>
      </c>
      <c r="D333">
        <v>8048</v>
      </c>
      <c r="E333">
        <v>8123</v>
      </c>
      <c r="F333">
        <v>6</v>
      </c>
      <c r="G333">
        <v>8</v>
      </c>
      <c r="H333">
        <v>0.75</v>
      </c>
      <c r="I333">
        <f xml:space="preserve"> -55.696 * _2026_04_17_16_25_21_23_high[[#This Row],[coeff]] + 79.57</f>
        <v>37.797999999999995</v>
      </c>
      <c r="J333">
        <v>0.57142859999999995</v>
      </c>
      <c r="K333">
        <f>_2026_04_17_16_25_21_23_high[[#This Row],[pfwd_filt]]+200</f>
        <v>206</v>
      </c>
      <c r="L333">
        <f>_2026_04_17_16_25_21_23_high[[#This Row],[p45_filt]]+200</f>
        <v>208</v>
      </c>
      <c r="M333">
        <f>_2026_04_17_16_25_21_23_high[[#This Row],[new_pfwd_filt]]/_2026_04_17_16_25_21_23_high[[#This Row],[new_p45_filt]]</f>
        <v>0.99038461538461542</v>
      </c>
    </row>
    <row r="334" spans="1:13" x14ac:dyDescent="0.3">
      <c r="A334">
        <v>332</v>
      </c>
      <c r="B334">
        <v>5282</v>
      </c>
      <c r="C334" t="b">
        <v>1</v>
      </c>
      <c r="D334">
        <v>8048</v>
      </c>
      <c r="E334">
        <v>8123</v>
      </c>
      <c r="F334">
        <v>6</v>
      </c>
      <c r="G334">
        <v>8</v>
      </c>
      <c r="H334">
        <v>0.75</v>
      </c>
      <c r="I334">
        <f xml:space="preserve"> -55.696 * _2026_04_17_16_25_21_23_high[[#This Row],[coeff]] + 79.57</f>
        <v>37.797999999999995</v>
      </c>
      <c r="J334">
        <v>0.57142859999999995</v>
      </c>
      <c r="K334">
        <f>_2026_04_17_16_25_21_23_high[[#This Row],[pfwd_filt]]+200</f>
        <v>206</v>
      </c>
      <c r="L334">
        <f>_2026_04_17_16_25_21_23_high[[#This Row],[p45_filt]]+200</f>
        <v>208</v>
      </c>
      <c r="M334">
        <f>_2026_04_17_16_25_21_23_high[[#This Row],[new_pfwd_filt]]/_2026_04_17_16_25_21_23_high[[#This Row],[new_p45_filt]]</f>
        <v>0.99038461538461542</v>
      </c>
    </row>
    <row r="335" spans="1:13" x14ac:dyDescent="0.3">
      <c r="A335">
        <v>333</v>
      </c>
      <c r="B335">
        <v>5297</v>
      </c>
      <c r="C335" t="b">
        <v>1</v>
      </c>
      <c r="D335">
        <v>8048</v>
      </c>
      <c r="E335">
        <v>8123</v>
      </c>
      <c r="F335">
        <v>6</v>
      </c>
      <c r="G335">
        <v>8</v>
      </c>
      <c r="H335">
        <v>0.75</v>
      </c>
      <c r="I335">
        <f xml:space="preserve"> -55.696 * _2026_04_17_16_25_21_23_high[[#This Row],[coeff]] + 79.57</f>
        <v>37.797999999999995</v>
      </c>
      <c r="J335">
        <v>0.57142859999999995</v>
      </c>
      <c r="K335">
        <f>_2026_04_17_16_25_21_23_high[[#This Row],[pfwd_filt]]+200</f>
        <v>206</v>
      </c>
      <c r="L335">
        <f>_2026_04_17_16_25_21_23_high[[#This Row],[p45_filt]]+200</f>
        <v>208</v>
      </c>
      <c r="M335">
        <f>_2026_04_17_16_25_21_23_high[[#This Row],[new_pfwd_filt]]/_2026_04_17_16_25_21_23_high[[#This Row],[new_p45_filt]]</f>
        <v>0.99038461538461542</v>
      </c>
    </row>
    <row r="336" spans="1:13" x14ac:dyDescent="0.3">
      <c r="A336">
        <v>334</v>
      </c>
      <c r="B336">
        <v>5313</v>
      </c>
      <c r="C336" t="b">
        <v>1</v>
      </c>
      <c r="D336">
        <v>8054</v>
      </c>
      <c r="E336">
        <v>8123</v>
      </c>
      <c r="F336">
        <v>6</v>
      </c>
      <c r="G336">
        <v>8</v>
      </c>
      <c r="H336">
        <v>0.75</v>
      </c>
      <c r="I336">
        <f xml:space="preserve"> -55.696 * _2026_04_17_16_25_21_23_high[[#This Row],[coeff]] + 79.57</f>
        <v>37.797999999999995</v>
      </c>
      <c r="J336">
        <v>0.57142859999999995</v>
      </c>
      <c r="K336">
        <f>_2026_04_17_16_25_21_23_high[[#This Row],[pfwd_filt]]+200</f>
        <v>206</v>
      </c>
      <c r="L336">
        <f>_2026_04_17_16_25_21_23_high[[#This Row],[p45_filt]]+200</f>
        <v>208</v>
      </c>
      <c r="M336">
        <f>_2026_04_17_16_25_21_23_high[[#This Row],[new_pfwd_filt]]/_2026_04_17_16_25_21_23_high[[#This Row],[new_p45_filt]]</f>
        <v>0.99038461538461542</v>
      </c>
    </row>
    <row r="337" spans="1:13" x14ac:dyDescent="0.3">
      <c r="A337">
        <v>335</v>
      </c>
      <c r="B337">
        <v>5329</v>
      </c>
      <c r="C337" t="b">
        <v>1</v>
      </c>
      <c r="D337">
        <v>8048</v>
      </c>
      <c r="E337">
        <v>8123</v>
      </c>
      <c r="F337">
        <v>6</v>
      </c>
      <c r="G337">
        <v>8</v>
      </c>
      <c r="H337">
        <v>0.75</v>
      </c>
      <c r="I337">
        <f xml:space="preserve"> -55.696 * _2026_04_17_16_25_21_23_high[[#This Row],[coeff]] + 79.57</f>
        <v>37.797999999999995</v>
      </c>
      <c r="J337">
        <v>0.57142859999999995</v>
      </c>
      <c r="K337">
        <f>_2026_04_17_16_25_21_23_high[[#This Row],[pfwd_filt]]+200</f>
        <v>206</v>
      </c>
      <c r="L337">
        <f>_2026_04_17_16_25_21_23_high[[#This Row],[p45_filt]]+200</f>
        <v>208</v>
      </c>
      <c r="M337">
        <f>_2026_04_17_16_25_21_23_high[[#This Row],[new_pfwd_filt]]/_2026_04_17_16_25_21_23_high[[#This Row],[new_p45_filt]]</f>
        <v>0.99038461538461542</v>
      </c>
    </row>
    <row r="338" spans="1:13" x14ac:dyDescent="0.3">
      <c r="A338">
        <v>336</v>
      </c>
      <c r="B338">
        <v>5345</v>
      </c>
      <c r="C338" t="b">
        <v>1</v>
      </c>
      <c r="D338">
        <v>8048</v>
      </c>
      <c r="E338">
        <v>8117</v>
      </c>
      <c r="F338">
        <v>6</v>
      </c>
      <c r="G338">
        <v>8</v>
      </c>
      <c r="H338">
        <v>0.75</v>
      </c>
      <c r="I338">
        <f xml:space="preserve"> -55.696 * _2026_04_17_16_25_21_23_high[[#This Row],[coeff]] + 79.57</f>
        <v>37.797999999999995</v>
      </c>
      <c r="J338">
        <v>0.57142859999999995</v>
      </c>
      <c r="K338">
        <f>_2026_04_17_16_25_21_23_high[[#This Row],[pfwd_filt]]+200</f>
        <v>206</v>
      </c>
      <c r="L338">
        <f>_2026_04_17_16_25_21_23_high[[#This Row],[p45_filt]]+200</f>
        <v>208</v>
      </c>
      <c r="M338">
        <f>_2026_04_17_16_25_21_23_high[[#This Row],[new_pfwd_filt]]/_2026_04_17_16_25_21_23_high[[#This Row],[new_p45_filt]]</f>
        <v>0.99038461538461542</v>
      </c>
    </row>
    <row r="339" spans="1:13" x14ac:dyDescent="0.3">
      <c r="A339">
        <v>337</v>
      </c>
      <c r="B339">
        <v>5361</v>
      </c>
      <c r="C339" t="b">
        <v>1</v>
      </c>
      <c r="D339">
        <v>8042</v>
      </c>
      <c r="E339">
        <v>8123</v>
      </c>
      <c r="F339">
        <v>6</v>
      </c>
      <c r="G339">
        <v>8</v>
      </c>
      <c r="H339">
        <v>0.75</v>
      </c>
      <c r="I339">
        <f xml:space="preserve"> -55.696 * _2026_04_17_16_25_21_23_high[[#This Row],[coeff]] + 79.57</f>
        <v>37.797999999999995</v>
      </c>
      <c r="J339">
        <v>0.57142859999999995</v>
      </c>
      <c r="K339">
        <f>_2026_04_17_16_25_21_23_high[[#This Row],[pfwd_filt]]+200</f>
        <v>206</v>
      </c>
      <c r="L339">
        <f>_2026_04_17_16_25_21_23_high[[#This Row],[p45_filt]]+200</f>
        <v>208</v>
      </c>
      <c r="M339">
        <f>_2026_04_17_16_25_21_23_high[[#This Row],[new_pfwd_filt]]/_2026_04_17_16_25_21_23_high[[#This Row],[new_p45_filt]]</f>
        <v>0.99038461538461542</v>
      </c>
    </row>
    <row r="340" spans="1:13" x14ac:dyDescent="0.3">
      <c r="A340">
        <v>338</v>
      </c>
      <c r="B340">
        <v>5377</v>
      </c>
      <c r="C340" t="b">
        <v>1</v>
      </c>
      <c r="D340">
        <v>8048</v>
      </c>
      <c r="E340">
        <v>8134</v>
      </c>
      <c r="F340">
        <v>6</v>
      </c>
      <c r="G340">
        <v>8</v>
      </c>
      <c r="H340">
        <v>0.75</v>
      </c>
      <c r="I340">
        <f xml:space="preserve"> -55.696 * _2026_04_17_16_25_21_23_high[[#This Row],[coeff]] + 79.57</f>
        <v>37.797999999999995</v>
      </c>
      <c r="J340">
        <v>0.57142859999999995</v>
      </c>
      <c r="K340">
        <f>_2026_04_17_16_25_21_23_high[[#This Row],[pfwd_filt]]+200</f>
        <v>206</v>
      </c>
      <c r="L340">
        <f>_2026_04_17_16_25_21_23_high[[#This Row],[p45_filt]]+200</f>
        <v>208</v>
      </c>
      <c r="M340">
        <f>_2026_04_17_16_25_21_23_high[[#This Row],[new_pfwd_filt]]/_2026_04_17_16_25_21_23_high[[#This Row],[new_p45_filt]]</f>
        <v>0.99038461538461542</v>
      </c>
    </row>
    <row r="341" spans="1:13" x14ac:dyDescent="0.3">
      <c r="A341">
        <v>339</v>
      </c>
      <c r="B341">
        <v>5393</v>
      </c>
      <c r="C341" t="b">
        <v>1</v>
      </c>
      <c r="D341">
        <v>8048</v>
      </c>
      <c r="E341">
        <v>8123</v>
      </c>
      <c r="F341">
        <v>6</v>
      </c>
      <c r="G341">
        <v>8</v>
      </c>
      <c r="H341">
        <v>0.75</v>
      </c>
      <c r="I341">
        <f xml:space="preserve"> -55.696 * _2026_04_17_16_25_21_23_high[[#This Row],[coeff]] + 79.57</f>
        <v>37.797999999999995</v>
      </c>
      <c r="J341">
        <v>0.57142859999999995</v>
      </c>
      <c r="K341">
        <f>_2026_04_17_16_25_21_23_high[[#This Row],[pfwd_filt]]+200</f>
        <v>206</v>
      </c>
      <c r="L341">
        <f>_2026_04_17_16_25_21_23_high[[#This Row],[p45_filt]]+200</f>
        <v>208</v>
      </c>
      <c r="M341">
        <f>_2026_04_17_16_25_21_23_high[[#This Row],[new_pfwd_filt]]/_2026_04_17_16_25_21_23_high[[#This Row],[new_p45_filt]]</f>
        <v>0.99038461538461542</v>
      </c>
    </row>
    <row r="342" spans="1:13" x14ac:dyDescent="0.3">
      <c r="A342">
        <v>340</v>
      </c>
      <c r="B342">
        <v>5409</v>
      </c>
      <c r="C342" t="b">
        <v>1</v>
      </c>
      <c r="D342">
        <v>8048</v>
      </c>
      <c r="E342">
        <v>8123</v>
      </c>
      <c r="F342">
        <v>6</v>
      </c>
      <c r="G342">
        <v>8</v>
      </c>
      <c r="H342">
        <v>0.75</v>
      </c>
      <c r="I342">
        <f xml:space="preserve"> -55.696 * _2026_04_17_16_25_21_23_high[[#This Row],[coeff]] + 79.57</f>
        <v>37.797999999999995</v>
      </c>
      <c r="J342">
        <v>0.57142859999999995</v>
      </c>
      <c r="K342">
        <f>_2026_04_17_16_25_21_23_high[[#This Row],[pfwd_filt]]+200</f>
        <v>206</v>
      </c>
      <c r="L342">
        <f>_2026_04_17_16_25_21_23_high[[#This Row],[p45_filt]]+200</f>
        <v>208</v>
      </c>
      <c r="M342">
        <f>_2026_04_17_16_25_21_23_high[[#This Row],[new_pfwd_filt]]/_2026_04_17_16_25_21_23_high[[#This Row],[new_p45_filt]]</f>
        <v>0.99038461538461542</v>
      </c>
    </row>
    <row r="343" spans="1:13" x14ac:dyDescent="0.3">
      <c r="A343">
        <v>341</v>
      </c>
      <c r="B343">
        <v>5425</v>
      </c>
      <c r="C343" t="b">
        <v>1</v>
      </c>
      <c r="D343">
        <v>8048</v>
      </c>
      <c r="E343">
        <v>8129</v>
      </c>
      <c r="F343">
        <v>6</v>
      </c>
      <c r="G343">
        <v>8</v>
      </c>
      <c r="H343">
        <v>0.75</v>
      </c>
      <c r="I343">
        <f xml:space="preserve"> -55.696 * _2026_04_17_16_25_21_23_high[[#This Row],[coeff]] + 79.57</f>
        <v>37.797999999999995</v>
      </c>
      <c r="J343">
        <v>0.57142859999999995</v>
      </c>
      <c r="K343">
        <f>_2026_04_17_16_25_21_23_high[[#This Row],[pfwd_filt]]+200</f>
        <v>206</v>
      </c>
      <c r="L343">
        <f>_2026_04_17_16_25_21_23_high[[#This Row],[p45_filt]]+200</f>
        <v>208</v>
      </c>
      <c r="M343">
        <f>_2026_04_17_16_25_21_23_high[[#This Row],[new_pfwd_filt]]/_2026_04_17_16_25_21_23_high[[#This Row],[new_p45_filt]]</f>
        <v>0.99038461538461542</v>
      </c>
    </row>
    <row r="344" spans="1:13" x14ac:dyDescent="0.3">
      <c r="A344">
        <v>342</v>
      </c>
      <c r="B344">
        <v>5441</v>
      </c>
      <c r="C344" t="b">
        <v>1</v>
      </c>
      <c r="D344">
        <v>8042</v>
      </c>
      <c r="E344">
        <v>8129</v>
      </c>
      <c r="F344">
        <v>6</v>
      </c>
      <c r="G344">
        <v>8.4</v>
      </c>
      <c r="H344">
        <v>0.71428572999999995</v>
      </c>
      <c r="I344">
        <f xml:space="preserve"> -55.696 * _2026_04_17_16_25_21_23_high[[#This Row],[coeff]] + 79.57</f>
        <v>39.787141981919994</v>
      </c>
      <c r="J344">
        <v>0.58333330000000005</v>
      </c>
      <c r="K344">
        <f>_2026_04_17_16_25_21_23_high[[#This Row],[pfwd_filt]]+200</f>
        <v>206</v>
      </c>
      <c r="L344">
        <f>_2026_04_17_16_25_21_23_high[[#This Row],[p45_filt]]+200</f>
        <v>208.4</v>
      </c>
      <c r="M344">
        <f>_2026_04_17_16_25_21_23_high[[#This Row],[new_pfwd_filt]]/_2026_04_17_16_25_21_23_high[[#This Row],[new_p45_filt]]</f>
        <v>0.98848368522072938</v>
      </c>
    </row>
    <row r="345" spans="1:13" x14ac:dyDescent="0.3">
      <c r="A345">
        <v>343</v>
      </c>
      <c r="B345">
        <v>5457</v>
      </c>
      <c r="C345" t="b">
        <v>1</v>
      </c>
      <c r="D345">
        <v>8042</v>
      </c>
      <c r="E345">
        <v>8129</v>
      </c>
      <c r="F345">
        <v>6.4</v>
      </c>
      <c r="G345">
        <v>8.8000000000000007</v>
      </c>
      <c r="H345">
        <v>0.72727275000000002</v>
      </c>
      <c r="I345">
        <f xml:space="preserve"> -55.696 * _2026_04_17_16_25_21_23_high[[#This Row],[coeff]] + 79.57</f>
        <v>39.063816915999993</v>
      </c>
      <c r="J345">
        <v>0.57894736999999996</v>
      </c>
      <c r="K345">
        <f>_2026_04_17_16_25_21_23_high[[#This Row],[pfwd_filt]]+200</f>
        <v>206.4</v>
      </c>
      <c r="L345">
        <f>_2026_04_17_16_25_21_23_high[[#This Row],[p45_filt]]+200</f>
        <v>208.8</v>
      </c>
      <c r="M345">
        <f>_2026_04_17_16_25_21_23_high[[#This Row],[new_pfwd_filt]]/_2026_04_17_16_25_21_23_high[[#This Row],[new_p45_filt]]</f>
        <v>0.9885057471264368</v>
      </c>
    </row>
    <row r="346" spans="1:13" x14ac:dyDescent="0.3">
      <c r="A346">
        <v>344</v>
      </c>
      <c r="B346">
        <v>5473</v>
      </c>
      <c r="C346" t="b">
        <v>1</v>
      </c>
      <c r="D346">
        <v>8042</v>
      </c>
      <c r="E346">
        <v>8129</v>
      </c>
      <c r="F346">
        <v>6.4</v>
      </c>
      <c r="G346">
        <v>9.1999999999999993</v>
      </c>
      <c r="H346">
        <v>0.69565220000000005</v>
      </c>
      <c r="I346">
        <f xml:space="preserve"> -55.696 * _2026_04_17_16_25_21_23_high[[#This Row],[coeff]] + 79.57</f>
        <v>40.824955068799994</v>
      </c>
      <c r="J346">
        <v>0.58974355000000001</v>
      </c>
      <c r="K346">
        <f>_2026_04_17_16_25_21_23_high[[#This Row],[pfwd_filt]]+200</f>
        <v>206.4</v>
      </c>
      <c r="L346">
        <f>_2026_04_17_16_25_21_23_high[[#This Row],[p45_filt]]+200</f>
        <v>209.2</v>
      </c>
      <c r="M346">
        <f>_2026_04_17_16_25_21_23_high[[#This Row],[new_pfwd_filt]]/_2026_04_17_16_25_21_23_high[[#This Row],[new_p45_filt]]</f>
        <v>0.98661567877629075</v>
      </c>
    </row>
    <row r="347" spans="1:13" x14ac:dyDescent="0.3">
      <c r="A347">
        <v>345</v>
      </c>
      <c r="B347">
        <v>5489</v>
      </c>
      <c r="C347" t="b">
        <v>1</v>
      </c>
      <c r="D347">
        <v>8048</v>
      </c>
      <c r="E347">
        <v>8129</v>
      </c>
      <c r="F347">
        <v>6.4</v>
      </c>
      <c r="G347">
        <v>9.6</v>
      </c>
      <c r="H347">
        <v>0.6666666</v>
      </c>
      <c r="I347">
        <f xml:space="preserve"> -55.696 * _2026_04_17_16_25_21_23_high[[#This Row],[coeff]] + 79.57</f>
        <v>42.439337046399991</v>
      </c>
      <c r="J347">
        <v>0.6</v>
      </c>
      <c r="K347">
        <f>_2026_04_17_16_25_21_23_high[[#This Row],[pfwd_filt]]+200</f>
        <v>206.4</v>
      </c>
      <c r="L347">
        <f>_2026_04_17_16_25_21_23_high[[#This Row],[p45_filt]]+200</f>
        <v>209.6</v>
      </c>
      <c r="M347">
        <f>_2026_04_17_16_25_21_23_high[[#This Row],[new_pfwd_filt]]/_2026_04_17_16_25_21_23_high[[#This Row],[new_p45_filt]]</f>
        <v>0.984732824427481</v>
      </c>
    </row>
    <row r="348" spans="1:13" x14ac:dyDescent="0.3">
      <c r="A348">
        <v>346</v>
      </c>
      <c r="B348">
        <v>5505</v>
      </c>
      <c r="C348" t="b">
        <v>1</v>
      </c>
      <c r="D348">
        <v>8048</v>
      </c>
      <c r="E348">
        <v>8129</v>
      </c>
      <c r="F348">
        <v>6.4</v>
      </c>
      <c r="G348">
        <v>10</v>
      </c>
      <c r="H348">
        <v>0.64</v>
      </c>
      <c r="I348">
        <f xml:space="preserve"> -55.696 * _2026_04_17_16_25_21_23_high[[#This Row],[coeff]] + 79.57</f>
        <v>43.924559999999992</v>
      </c>
      <c r="J348">
        <v>0.60975610000000002</v>
      </c>
      <c r="K348">
        <f>_2026_04_17_16_25_21_23_high[[#This Row],[pfwd_filt]]+200</f>
        <v>206.4</v>
      </c>
      <c r="L348">
        <f>_2026_04_17_16_25_21_23_high[[#This Row],[p45_filt]]+200</f>
        <v>210</v>
      </c>
      <c r="M348">
        <f>_2026_04_17_16_25_21_23_high[[#This Row],[new_pfwd_filt]]/_2026_04_17_16_25_21_23_high[[#This Row],[new_p45_filt]]</f>
        <v>0.98285714285714287</v>
      </c>
    </row>
    <row r="349" spans="1:13" x14ac:dyDescent="0.3">
      <c r="A349">
        <v>347</v>
      </c>
      <c r="B349">
        <v>5520</v>
      </c>
      <c r="C349" t="b">
        <v>1</v>
      </c>
      <c r="D349">
        <v>8048</v>
      </c>
      <c r="E349">
        <v>8129</v>
      </c>
      <c r="F349">
        <v>6.8</v>
      </c>
      <c r="G349">
        <v>10.4</v>
      </c>
      <c r="H349">
        <v>0.65384620000000004</v>
      </c>
      <c r="I349">
        <f xml:space="preserve"> -55.696 * _2026_04_17_16_25_21_23_high[[#This Row],[coeff]] + 79.57</f>
        <v>43.15338204479999</v>
      </c>
      <c r="J349">
        <v>0.6046511</v>
      </c>
      <c r="K349">
        <f>_2026_04_17_16_25_21_23_high[[#This Row],[pfwd_filt]]+200</f>
        <v>206.8</v>
      </c>
      <c r="L349">
        <f>_2026_04_17_16_25_21_23_high[[#This Row],[p45_filt]]+200</f>
        <v>210.4</v>
      </c>
      <c r="M349">
        <f>_2026_04_17_16_25_21_23_high[[#This Row],[new_pfwd_filt]]/_2026_04_17_16_25_21_23_high[[#This Row],[new_p45_filt]]</f>
        <v>0.9828897338403042</v>
      </c>
    </row>
    <row r="350" spans="1:13" x14ac:dyDescent="0.3">
      <c r="A350">
        <v>348</v>
      </c>
      <c r="B350">
        <v>5536</v>
      </c>
      <c r="C350" t="b">
        <v>1</v>
      </c>
      <c r="D350">
        <v>8048</v>
      </c>
      <c r="E350">
        <v>8123</v>
      </c>
      <c r="F350">
        <v>6.8</v>
      </c>
      <c r="G350">
        <v>10.8</v>
      </c>
      <c r="H350">
        <v>0.62962960000000001</v>
      </c>
      <c r="I350">
        <f xml:space="preserve"> -55.696 * _2026_04_17_16_25_21_23_high[[#This Row],[coeff]] + 79.57</f>
        <v>44.502149798399991</v>
      </c>
      <c r="J350">
        <v>0.61363639999999997</v>
      </c>
      <c r="K350">
        <f>_2026_04_17_16_25_21_23_high[[#This Row],[pfwd_filt]]+200</f>
        <v>206.8</v>
      </c>
      <c r="L350">
        <f>_2026_04_17_16_25_21_23_high[[#This Row],[p45_filt]]+200</f>
        <v>210.8</v>
      </c>
      <c r="M350">
        <f>_2026_04_17_16_25_21_23_high[[#This Row],[new_pfwd_filt]]/_2026_04_17_16_25_21_23_high[[#This Row],[new_p45_filt]]</f>
        <v>0.98102466793168885</v>
      </c>
    </row>
    <row r="351" spans="1:13" x14ac:dyDescent="0.3">
      <c r="A351">
        <v>349</v>
      </c>
      <c r="B351">
        <v>5552</v>
      </c>
      <c r="C351" t="b">
        <v>1</v>
      </c>
      <c r="D351">
        <v>8048</v>
      </c>
      <c r="E351">
        <v>8123</v>
      </c>
      <c r="F351">
        <v>6.8</v>
      </c>
      <c r="G351">
        <v>11.2</v>
      </c>
      <c r="H351">
        <v>0.60714287</v>
      </c>
      <c r="I351">
        <f xml:space="preserve"> -55.696 * _2026_04_17_16_25_21_23_high[[#This Row],[coeff]] + 79.57</f>
        <v>45.754570712479996</v>
      </c>
      <c r="J351">
        <v>0.62222219999999995</v>
      </c>
      <c r="K351">
        <f>_2026_04_17_16_25_21_23_high[[#This Row],[pfwd_filt]]+200</f>
        <v>206.8</v>
      </c>
      <c r="L351">
        <f>_2026_04_17_16_25_21_23_high[[#This Row],[p45_filt]]+200</f>
        <v>211.2</v>
      </c>
      <c r="M351">
        <f>_2026_04_17_16_25_21_23_high[[#This Row],[new_pfwd_filt]]/_2026_04_17_16_25_21_23_high[[#This Row],[new_p45_filt]]</f>
        <v>0.97916666666666674</v>
      </c>
    </row>
    <row r="352" spans="1:13" x14ac:dyDescent="0.3">
      <c r="A352">
        <v>350</v>
      </c>
      <c r="B352">
        <v>5568</v>
      </c>
      <c r="C352" t="b">
        <v>1</v>
      </c>
      <c r="D352">
        <v>8042</v>
      </c>
      <c r="E352">
        <v>8123</v>
      </c>
      <c r="F352">
        <v>6.8</v>
      </c>
      <c r="G352">
        <v>11.2</v>
      </c>
      <c r="H352">
        <v>0.60714287</v>
      </c>
      <c r="I352">
        <f xml:space="preserve"> -55.696 * _2026_04_17_16_25_21_23_high[[#This Row],[coeff]] + 79.57</f>
        <v>45.754570712479996</v>
      </c>
      <c r="J352">
        <v>0.62222219999999995</v>
      </c>
      <c r="K352">
        <f>_2026_04_17_16_25_21_23_high[[#This Row],[pfwd_filt]]+200</f>
        <v>206.8</v>
      </c>
      <c r="L352">
        <f>_2026_04_17_16_25_21_23_high[[#This Row],[p45_filt]]+200</f>
        <v>211.2</v>
      </c>
      <c r="M352">
        <f>_2026_04_17_16_25_21_23_high[[#This Row],[new_pfwd_filt]]/_2026_04_17_16_25_21_23_high[[#This Row],[new_p45_filt]]</f>
        <v>0.97916666666666674</v>
      </c>
    </row>
    <row r="353" spans="1:13" x14ac:dyDescent="0.3">
      <c r="A353">
        <v>351</v>
      </c>
      <c r="B353">
        <v>5583</v>
      </c>
      <c r="C353" t="b">
        <v>1</v>
      </c>
      <c r="D353">
        <v>8037</v>
      </c>
      <c r="E353">
        <v>8123</v>
      </c>
      <c r="F353">
        <v>6.8</v>
      </c>
      <c r="G353">
        <v>11.2</v>
      </c>
      <c r="H353">
        <v>0.60714287</v>
      </c>
      <c r="I353">
        <f xml:space="preserve"> -55.696 * _2026_04_17_16_25_21_23_high[[#This Row],[coeff]] + 79.57</f>
        <v>45.754570712479996</v>
      </c>
      <c r="J353">
        <v>0.62222219999999995</v>
      </c>
      <c r="K353">
        <f>_2026_04_17_16_25_21_23_high[[#This Row],[pfwd_filt]]+200</f>
        <v>206.8</v>
      </c>
      <c r="L353">
        <f>_2026_04_17_16_25_21_23_high[[#This Row],[p45_filt]]+200</f>
        <v>211.2</v>
      </c>
      <c r="M353">
        <f>_2026_04_17_16_25_21_23_high[[#This Row],[new_pfwd_filt]]/_2026_04_17_16_25_21_23_high[[#This Row],[new_p45_filt]]</f>
        <v>0.97916666666666674</v>
      </c>
    </row>
    <row r="354" spans="1:13" x14ac:dyDescent="0.3">
      <c r="A354">
        <v>352</v>
      </c>
      <c r="B354">
        <v>5599</v>
      </c>
      <c r="C354" t="b">
        <v>1</v>
      </c>
      <c r="D354">
        <v>8042</v>
      </c>
      <c r="E354">
        <v>8123</v>
      </c>
      <c r="F354">
        <v>6.4</v>
      </c>
      <c r="G354">
        <v>11.2</v>
      </c>
      <c r="H354">
        <v>0.57142859999999995</v>
      </c>
      <c r="I354">
        <f xml:space="preserve"> -55.696 * _2026_04_17_16_25_21_23_high[[#This Row],[coeff]] + 79.57</f>
        <v>47.743712694399996</v>
      </c>
      <c r="J354">
        <v>0.63636360000000003</v>
      </c>
      <c r="K354">
        <f>_2026_04_17_16_25_21_23_high[[#This Row],[pfwd_filt]]+200</f>
        <v>206.4</v>
      </c>
      <c r="L354">
        <f>_2026_04_17_16_25_21_23_high[[#This Row],[p45_filt]]+200</f>
        <v>211.2</v>
      </c>
      <c r="M354">
        <f>_2026_04_17_16_25_21_23_high[[#This Row],[new_pfwd_filt]]/_2026_04_17_16_25_21_23_high[[#This Row],[new_p45_filt]]</f>
        <v>0.9772727272727274</v>
      </c>
    </row>
    <row r="355" spans="1:13" x14ac:dyDescent="0.3">
      <c r="A355">
        <v>353</v>
      </c>
      <c r="B355">
        <v>5615</v>
      </c>
      <c r="C355" t="b">
        <v>1</v>
      </c>
      <c r="D355">
        <v>8042</v>
      </c>
      <c r="E355">
        <v>8123</v>
      </c>
      <c r="F355">
        <v>6</v>
      </c>
      <c r="G355">
        <v>11.2</v>
      </c>
      <c r="H355">
        <v>0.53571427000000005</v>
      </c>
      <c r="I355">
        <f xml:space="preserve"> -55.696 * _2026_04_17_16_25_21_23_high[[#This Row],[coeff]] + 79.57</f>
        <v>49.732858018079995</v>
      </c>
      <c r="J355">
        <v>0.65116273999999996</v>
      </c>
      <c r="K355">
        <f>_2026_04_17_16_25_21_23_high[[#This Row],[pfwd_filt]]+200</f>
        <v>206</v>
      </c>
      <c r="L355">
        <f>_2026_04_17_16_25_21_23_high[[#This Row],[p45_filt]]+200</f>
        <v>211.2</v>
      </c>
      <c r="M355">
        <f>_2026_04_17_16_25_21_23_high[[#This Row],[new_pfwd_filt]]/_2026_04_17_16_25_21_23_high[[#This Row],[new_p45_filt]]</f>
        <v>0.97537878787878796</v>
      </c>
    </row>
    <row r="356" spans="1:13" x14ac:dyDescent="0.3">
      <c r="A356">
        <v>354</v>
      </c>
      <c r="B356">
        <v>5630</v>
      </c>
      <c r="C356" t="b">
        <v>1</v>
      </c>
      <c r="D356">
        <v>8037</v>
      </c>
      <c r="E356">
        <v>8123</v>
      </c>
      <c r="F356">
        <v>5.6</v>
      </c>
      <c r="G356">
        <v>11.2</v>
      </c>
      <c r="H356">
        <v>0.5</v>
      </c>
      <c r="I356">
        <f xml:space="preserve"> -55.696 * _2026_04_17_16_25_21_23_high[[#This Row],[coeff]] + 79.57</f>
        <v>51.721999999999994</v>
      </c>
      <c r="J356">
        <v>0.66666669999999995</v>
      </c>
      <c r="K356">
        <f>_2026_04_17_16_25_21_23_high[[#This Row],[pfwd_filt]]+200</f>
        <v>205.6</v>
      </c>
      <c r="L356">
        <f>_2026_04_17_16_25_21_23_high[[#This Row],[p45_filt]]+200</f>
        <v>211.2</v>
      </c>
      <c r="M356">
        <f>_2026_04_17_16_25_21_23_high[[#This Row],[new_pfwd_filt]]/_2026_04_17_16_25_21_23_high[[#This Row],[new_p45_filt]]</f>
        <v>0.97348484848484851</v>
      </c>
    </row>
    <row r="357" spans="1:13" x14ac:dyDescent="0.3">
      <c r="A357">
        <v>355</v>
      </c>
      <c r="B357">
        <v>5646</v>
      </c>
      <c r="C357" t="b">
        <v>1</v>
      </c>
      <c r="D357">
        <v>8042</v>
      </c>
      <c r="E357">
        <v>8123</v>
      </c>
      <c r="F357">
        <v>5.2</v>
      </c>
      <c r="G357">
        <v>11.2</v>
      </c>
      <c r="H357">
        <v>0.46428570000000002</v>
      </c>
      <c r="I357">
        <f xml:space="preserve"> -55.696 * _2026_04_17_16_25_21_23_high[[#This Row],[coeff]] + 79.57</f>
        <v>53.71114365279999</v>
      </c>
      <c r="J357">
        <v>0.68292682999999998</v>
      </c>
      <c r="K357">
        <f>_2026_04_17_16_25_21_23_high[[#This Row],[pfwd_filt]]+200</f>
        <v>205.2</v>
      </c>
      <c r="L357">
        <f>_2026_04_17_16_25_21_23_high[[#This Row],[p45_filt]]+200</f>
        <v>211.2</v>
      </c>
      <c r="M357">
        <f>_2026_04_17_16_25_21_23_high[[#This Row],[new_pfwd_filt]]/_2026_04_17_16_25_21_23_high[[#This Row],[new_p45_filt]]</f>
        <v>0.97159090909090906</v>
      </c>
    </row>
    <row r="358" spans="1:13" x14ac:dyDescent="0.3">
      <c r="A358">
        <v>356</v>
      </c>
      <c r="B358">
        <v>5662</v>
      </c>
      <c r="C358" t="b">
        <v>1</v>
      </c>
      <c r="D358">
        <v>8042</v>
      </c>
      <c r="E358">
        <v>8123</v>
      </c>
      <c r="F358">
        <v>4.8</v>
      </c>
      <c r="G358">
        <v>11.2</v>
      </c>
      <c r="H358">
        <v>0.42857146000000002</v>
      </c>
      <c r="I358">
        <f xml:space="preserve"> -55.696 * _2026_04_17_16_25_21_23_high[[#This Row],[coeff]] + 79.57</f>
        <v>55.700283963839993</v>
      </c>
      <c r="J358">
        <v>0.7</v>
      </c>
      <c r="K358">
        <f>_2026_04_17_16_25_21_23_high[[#This Row],[pfwd_filt]]+200</f>
        <v>204.8</v>
      </c>
      <c r="L358">
        <f>_2026_04_17_16_25_21_23_high[[#This Row],[p45_filt]]+200</f>
        <v>211.2</v>
      </c>
      <c r="M358">
        <f>_2026_04_17_16_25_21_23_high[[#This Row],[new_pfwd_filt]]/_2026_04_17_16_25_21_23_high[[#This Row],[new_p45_filt]]</f>
        <v>0.96969696969696983</v>
      </c>
    </row>
    <row r="359" spans="1:13" x14ac:dyDescent="0.3">
      <c r="A359">
        <v>357</v>
      </c>
      <c r="B359">
        <v>5678</v>
      </c>
      <c r="C359" t="b">
        <v>1</v>
      </c>
      <c r="D359">
        <v>8048</v>
      </c>
      <c r="E359">
        <v>8123</v>
      </c>
      <c r="F359">
        <v>4.4000000000000004</v>
      </c>
      <c r="G359">
        <v>10.8</v>
      </c>
      <c r="H359">
        <v>0.40740739999999998</v>
      </c>
      <c r="I359">
        <f xml:space="preserve"> -55.696 * _2026_04_17_16_25_21_23_high[[#This Row],[coeff]] + 79.57</f>
        <v>56.879037449599991</v>
      </c>
      <c r="J359">
        <v>0.71052630000000006</v>
      </c>
      <c r="K359">
        <f>_2026_04_17_16_25_21_23_high[[#This Row],[pfwd_filt]]+200</f>
        <v>204.4</v>
      </c>
      <c r="L359">
        <f>_2026_04_17_16_25_21_23_high[[#This Row],[p45_filt]]+200</f>
        <v>210.8</v>
      </c>
      <c r="M359">
        <f>_2026_04_17_16_25_21_23_high[[#This Row],[new_pfwd_filt]]/_2026_04_17_16_25_21_23_high[[#This Row],[new_p45_filt]]</f>
        <v>0.96963946869070206</v>
      </c>
    </row>
    <row r="360" spans="1:13" x14ac:dyDescent="0.3">
      <c r="A360">
        <v>358</v>
      </c>
      <c r="B360">
        <v>5694</v>
      </c>
      <c r="C360" t="b">
        <v>1</v>
      </c>
      <c r="D360">
        <v>8048</v>
      </c>
      <c r="E360">
        <v>8123</v>
      </c>
      <c r="F360">
        <v>4</v>
      </c>
      <c r="G360">
        <v>10.4</v>
      </c>
      <c r="H360">
        <v>0.3846154</v>
      </c>
      <c r="I360">
        <f xml:space="preserve"> -55.696 * _2026_04_17_16_25_21_23_high[[#This Row],[coeff]] + 79.57</f>
        <v>58.148460681599992</v>
      </c>
      <c r="J360">
        <v>0.72222220000000004</v>
      </c>
      <c r="K360">
        <f>_2026_04_17_16_25_21_23_high[[#This Row],[pfwd_filt]]+200</f>
        <v>204</v>
      </c>
      <c r="L360">
        <f>_2026_04_17_16_25_21_23_high[[#This Row],[p45_filt]]+200</f>
        <v>210.4</v>
      </c>
      <c r="M360">
        <f>_2026_04_17_16_25_21_23_high[[#This Row],[new_pfwd_filt]]/_2026_04_17_16_25_21_23_high[[#This Row],[new_p45_filt]]</f>
        <v>0.96958174904942962</v>
      </c>
    </row>
    <row r="361" spans="1:13" x14ac:dyDescent="0.3">
      <c r="A361">
        <v>359</v>
      </c>
      <c r="B361">
        <v>5710</v>
      </c>
      <c r="C361" t="b">
        <v>1</v>
      </c>
      <c r="D361">
        <v>8048</v>
      </c>
      <c r="E361">
        <v>8123</v>
      </c>
      <c r="F361">
        <v>4.4000000000000004</v>
      </c>
      <c r="G361">
        <v>10</v>
      </c>
      <c r="H361">
        <v>0.44</v>
      </c>
      <c r="I361">
        <f xml:space="preserve"> -55.696 * _2026_04_17_16_25_21_23_high[[#This Row],[coeff]] + 79.57</f>
        <v>55.063759999999995</v>
      </c>
      <c r="J361">
        <v>0.69444450000000002</v>
      </c>
      <c r="K361">
        <f>_2026_04_17_16_25_21_23_high[[#This Row],[pfwd_filt]]+200</f>
        <v>204.4</v>
      </c>
      <c r="L361">
        <f>_2026_04_17_16_25_21_23_high[[#This Row],[p45_filt]]+200</f>
        <v>210</v>
      </c>
      <c r="M361">
        <f>_2026_04_17_16_25_21_23_high[[#This Row],[new_pfwd_filt]]/_2026_04_17_16_25_21_23_high[[#This Row],[new_p45_filt]]</f>
        <v>0.97333333333333338</v>
      </c>
    </row>
    <row r="362" spans="1:13" x14ac:dyDescent="0.3">
      <c r="A362">
        <v>360</v>
      </c>
      <c r="B362">
        <v>5726</v>
      </c>
      <c r="C362" t="b">
        <v>1</v>
      </c>
      <c r="D362">
        <v>8042</v>
      </c>
      <c r="E362">
        <v>8123</v>
      </c>
      <c r="F362">
        <v>4.8</v>
      </c>
      <c r="G362">
        <v>9.6</v>
      </c>
      <c r="H362">
        <v>0.5</v>
      </c>
      <c r="I362">
        <f xml:space="preserve"> -55.696 * _2026_04_17_16_25_21_23_high[[#This Row],[coeff]] + 79.57</f>
        <v>51.721999999999994</v>
      </c>
      <c r="J362">
        <v>0.66666669999999995</v>
      </c>
      <c r="K362">
        <f>_2026_04_17_16_25_21_23_high[[#This Row],[pfwd_filt]]+200</f>
        <v>204.8</v>
      </c>
      <c r="L362">
        <f>_2026_04_17_16_25_21_23_high[[#This Row],[p45_filt]]+200</f>
        <v>209.6</v>
      </c>
      <c r="M362">
        <f>_2026_04_17_16_25_21_23_high[[#This Row],[new_pfwd_filt]]/_2026_04_17_16_25_21_23_high[[#This Row],[new_p45_filt]]</f>
        <v>0.97709923664122145</v>
      </c>
    </row>
    <row r="363" spans="1:13" x14ac:dyDescent="0.3">
      <c r="A363">
        <v>361</v>
      </c>
      <c r="B363">
        <v>5742</v>
      </c>
      <c r="C363" t="b">
        <v>1</v>
      </c>
      <c r="D363">
        <v>8048</v>
      </c>
      <c r="E363">
        <v>8123</v>
      </c>
      <c r="F363">
        <v>5.2</v>
      </c>
      <c r="G363">
        <v>9.1999999999999993</v>
      </c>
      <c r="H363">
        <v>0.56521739999999998</v>
      </c>
      <c r="I363">
        <f xml:space="preserve"> -55.696 * _2026_04_17_16_25_21_23_high[[#This Row],[coeff]] + 79.57</f>
        <v>48.089651689599997</v>
      </c>
      <c r="J363">
        <v>0.63888889999999998</v>
      </c>
      <c r="K363">
        <f>_2026_04_17_16_25_21_23_high[[#This Row],[pfwd_filt]]+200</f>
        <v>205.2</v>
      </c>
      <c r="L363">
        <f>_2026_04_17_16_25_21_23_high[[#This Row],[p45_filt]]+200</f>
        <v>209.2</v>
      </c>
      <c r="M363">
        <f>_2026_04_17_16_25_21_23_high[[#This Row],[new_pfwd_filt]]/_2026_04_17_16_25_21_23_high[[#This Row],[new_p45_filt]]</f>
        <v>0.98087954110898656</v>
      </c>
    </row>
    <row r="364" spans="1:13" x14ac:dyDescent="0.3">
      <c r="A364">
        <v>362</v>
      </c>
      <c r="B364">
        <v>5757</v>
      </c>
      <c r="C364" t="b">
        <v>1</v>
      </c>
      <c r="D364">
        <v>8048</v>
      </c>
      <c r="E364">
        <v>8123</v>
      </c>
      <c r="F364">
        <v>5.2</v>
      </c>
      <c r="G364">
        <v>8.8000000000000007</v>
      </c>
      <c r="H364">
        <v>0.59090905999999999</v>
      </c>
      <c r="I364">
        <f xml:space="preserve"> -55.696 * _2026_04_17_16_25_21_23_high[[#This Row],[coeff]] + 79.57</f>
        <v>46.658728994239993</v>
      </c>
      <c r="J364">
        <v>0.62857145000000003</v>
      </c>
      <c r="K364">
        <f>_2026_04_17_16_25_21_23_high[[#This Row],[pfwd_filt]]+200</f>
        <v>205.2</v>
      </c>
      <c r="L364">
        <f>_2026_04_17_16_25_21_23_high[[#This Row],[p45_filt]]+200</f>
        <v>208.8</v>
      </c>
      <c r="M364">
        <f>_2026_04_17_16_25_21_23_high[[#This Row],[new_pfwd_filt]]/_2026_04_17_16_25_21_23_high[[#This Row],[new_p45_filt]]</f>
        <v>0.98275862068965503</v>
      </c>
    </row>
    <row r="365" spans="1:13" x14ac:dyDescent="0.3">
      <c r="A365">
        <v>363</v>
      </c>
      <c r="B365">
        <v>5773</v>
      </c>
      <c r="C365" t="b">
        <v>1</v>
      </c>
      <c r="D365">
        <v>8048</v>
      </c>
      <c r="E365">
        <v>8123</v>
      </c>
      <c r="F365">
        <v>5.2</v>
      </c>
      <c r="G365">
        <v>8.4</v>
      </c>
      <c r="H365">
        <v>0.61904764000000001</v>
      </c>
      <c r="I365">
        <f xml:space="preserve"> -55.696 * _2026_04_17_16_25_21_23_high[[#This Row],[coeff]] + 79.57</f>
        <v>45.091522642559994</v>
      </c>
      <c r="J365">
        <v>0.61764704999999998</v>
      </c>
      <c r="K365">
        <f>_2026_04_17_16_25_21_23_high[[#This Row],[pfwd_filt]]+200</f>
        <v>205.2</v>
      </c>
      <c r="L365">
        <f>_2026_04_17_16_25_21_23_high[[#This Row],[p45_filt]]+200</f>
        <v>208.4</v>
      </c>
      <c r="M365">
        <f>_2026_04_17_16_25_21_23_high[[#This Row],[new_pfwd_filt]]/_2026_04_17_16_25_21_23_high[[#This Row],[new_p45_filt]]</f>
        <v>0.98464491362763906</v>
      </c>
    </row>
    <row r="366" spans="1:13" x14ac:dyDescent="0.3">
      <c r="A366">
        <v>364</v>
      </c>
      <c r="B366">
        <v>5789</v>
      </c>
      <c r="C366" t="b">
        <v>1</v>
      </c>
      <c r="D366">
        <v>8048</v>
      </c>
      <c r="E366">
        <v>8123</v>
      </c>
      <c r="F366">
        <v>5.2</v>
      </c>
      <c r="G366">
        <v>8</v>
      </c>
      <c r="H366">
        <v>0.65</v>
      </c>
      <c r="I366">
        <f xml:space="preserve"> -55.696 * _2026_04_17_16_25_21_23_high[[#This Row],[coeff]] + 79.57</f>
        <v>43.367599999999996</v>
      </c>
      <c r="J366">
        <v>0.60606059999999995</v>
      </c>
      <c r="K366">
        <f>_2026_04_17_16_25_21_23_high[[#This Row],[pfwd_filt]]+200</f>
        <v>205.2</v>
      </c>
      <c r="L366">
        <f>_2026_04_17_16_25_21_23_high[[#This Row],[p45_filt]]+200</f>
        <v>208</v>
      </c>
      <c r="M366">
        <f>_2026_04_17_16_25_21_23_high[[#This Row],[new_pfwd_filt]]/_2026_04_17_16_25_21_23_high[[#This Row],[new_p45_filt]]</f>
        <v>0.98653846153846148</v>
      </c>
    </row>
    <row r="367" spans="1:13" x14ac:dyDescent="0.3">
      <c r="A367">
        <v>365</v>
      </c>
      <c r="B367">
        <v>5805</v>
      </c>
      <c r="C367" t="b">
        <v>1</v>
      </c>
      <c r="D367">
        <v>8048</v>
      </c>
      <c r="E367">
        <v>8129</v>
      </c>
      <c r="F367">
        <v>5.2</v>
      </c>
      <c r="G367">
        <v>8</v>
      </c>
      <c r="H367">
        <v>0.65</v>
      </c>
      <c r="I367">
        <f xml:space="preserve"> -55.696 * _2026_04_17_16_25_21_23_high[[#This Row],[coeff]] + 79.57</f>
        <v>43.367599999999996</v>
      </c>
      <c r="J367">
        <v>0.60606059999999995</v>
      </c>
      <c r="K367">
        <f>_2026_04_17_16_25_21_23_high[[#This Row],[pfwd_filt]]+200</f>
        <v>205.2</v>
      </c>
      <c r="L367">
        <f>_2026_04_17_16_25_21_23_high[[#This Row],[p45_filt]]+200</f>
        <v>208</v>
      </c>
      <c r="M367">
        <f>_2026_04_17_16_25_21_23_high[[#This Row],[new_pfwd_filt]]/_2026_04_17_16_25_21_23_high[[#This Row],[new_p45_filt]]</f>
        <v>0.98653846153846148</v>
      </c>
    </row>
    <row r="368" spans="1:13" x14ac:dyDescent="0.3">
      <c r="A368">
        <v>366</v>
      </c>
      <c r="B368">
        <v>5821</v>
      </c>
      <c r="C368" t="b">
        <v>1</v>
      </c>
      <c r="D368">
        <v>8048</v>
      </c>
      <c r="E368">
        <v>8134</v>
      </c>
      <c r="F368">
        <v>5.2</v>
      </c>
      <c r="G368">
        <v>8</v>
      </c>
      <c r="H368">
        <v>0.65</v>
      </c>
      <c r="I368">
        <f xml:space="preserve"> -55.696 * _2026_04_17_16_25_21_23_high[[#This Row],[coeff]] + 79.57</f>
        <v>43.367599999999996</v>
      </c>
      <c r="J368">
        <v>0.60606059999999995</v>
      </c>
      <c r="K368">
        <f>_2026_04_17_16_25_21_23_high[[#This Row],[pfwd_filt]]+200</f>
        <v>205.2</v>
      </c>
      <c r="L368">
        <f>_2026_04_17_16_25_21_23_high[[#This Row],[p45_filt]]+200</f>
        <v>208</v>
      </c>
      <c r="M368">
        <f>_2026_04_17_16_25_21_23_high[[#This Row],[new_pfwd_filt]]/_2026_04_17_16_25_21_23_high[[#This Row],[new_p45_filt]]</f>
        <v>0.98653846153846148</v>
      </c>
    </row>
    <row r="369" spans="1:13" x14ac:dyDescent="0.3">
      <c r="A369">
        <v>367</v>
      </c>
      <c r="B369">
        <v>5837</v>
      </c>
      <c r="C369" t="b">
        <v>1</v>
      </c>
      <c r="D369">
        <v>8048</v>
      </c>
      <c r="E369">
        <v>8134</v>
      </c>
      <c r="F369">
        <v>5.6</v>
      </c>
      <c r="G369">
        <v>8.4</v>
      </c>
      <c r="H369">
        <v>0.66666669999999995</v>
      </c>
      <c r="I369">
        <f xml:space="preserve"> -55.696 * _2026_04_17_16_25_21_23_high[[#This Row],[coeff]] + 79.57</f>
        <v>42.4393314768</v>
      </c>
      <c r="J369">
        <v>0.59999996</v>
      </c>
      <c r="K369">
        <f>_2026_04_17_16_25_21_23_high[[#This Row],[pfwd_filt]]+200</f>
        <v>205.6</v>
      </c>
      <c r="L369">
        <f>_2026_04_17_16_25_21_23_high[[#This Row],[p45_filt]]+200</f>
        <v>208.4</v>
      </c>
      <c r="M369">
        <f>_2026_04_17_16_25_21_23_high[[#This Row],[new_pfwd_filt]]/_2026_04_17_16_25_21_23_high[[#This Row],[new_p45_filt]]</f>
        <v>0.98656429942418422</v>
      </c>
    </row>
    <row r="370" spans="1:13" x14ac:dyDescent="0.3">
      <c r="A370">
        <v>368</v>
      </c>
      <c r="B370">
        <v>5853</v>
      </c>
      <c r="C370" t="b">
        <v>1</v>
      </c>
      <c r="D370">
        <v>8042</v>
      </c>
      <c r="E370">
        <v>8129</v>
      </c>
      <c r="F370">
        <v>6</v>
      </c>
      <c r="G370">
        <v>8.8000000000000007</v>
      </c>
      <c r="H370">
        <v>0.68181820000000004</v>
      </c>
      <c r="I370">
        <f xml:space="preserve"> -55.696 * _2026_04_17_16_25_21_23_high[[#This Row],[coeff]] + 79.57</f>
        <v>41.595453532799993</v>
      </c>
      <c r="J370">
        <v>0.59459459999999997</v>
      </c>
      <c r="K370">
        <f>_2026_04_17_16_25_21_23_high[[#This Row],[pfwd_filt]]+200</f>
        <v>206</v>
      </c>
      <c r="L370">
        <f>_2026_04_17_16_25_21_23_high[[#This Row],[p45_filt]]+200</f>
        <v>208.8</v>
      </c>
      <c r="M370">
        <f>_2026_04_17_16_25_21_23_high[[#This Row],[new_pfwd_filt]]/_2026_04_17_16_25_21_23_high[[#This Row],[new_p45_filt]]</f>
        <v>0.98659003831417624</v>
      </c>
    </row>
    <row r="371" spans="1:13" x14ac:dyDescent="0.3">
      <c r="A371">
        <v>369</v>
      </c>
      <c r="B371">
        <v>5868</v>
      </c>
      <c r="C371" t="b">
        <v>1</v>
      </c>
      <c r="D371">
        <v>8054</v>
      </c>
      <c r="E371">
        <v>8123</v>
      </c>
      <c r="F371">
        <v>6.4</v>
      </c>
      <c r="G371">
        <v>9.1999999999999993</v>
      </c>
      <c r="H371">
        <v>0.69565220000000005</v>
      </c>
      <c r="I371">
        <f xml:space="preserve"> -55.696 * _2026_04_17_16_25_21_23_high[[#This Row],[coeff]] + 79.57</f>
        <v>40.824955068799994</v>
      </c>
      <c r="J371">
        <v>0.58974355000000001</v>
      </c>
      <c r="K371">
        <f>_2026_04_17_16_25_21_23_high[[#This Row],[pfwd_filt]]+200</f>
        <v>206.4</v>
      </c>
      <c r="L371">
        <f>_2026_04_17_16_25_21_23_high[[#This Row],[p45_filt]]+200</f>
        <v>209.2</v>
      </c>
      <c r="M371">
        <f>_2026_04_17_16_25_21_23_high[[#This Row],[new_pfwd_filt]]/_2026_04_17_16_25_21_23_high[[#This Row],[new_p45_filt]]</f>
        <v>0.98661567877629075</v>
      </c>
    </row>
    <row r="372" spans="1:13" x14ac:dyDescent="0.3">
      <c r="A372">
        <v>370</v>
      </c>
      <c r="B372">
        <v>5884</v>
      </c>
      <c r="C372" t="b">
        <v>1</v>
      </c>
      <c r="D372">
        <v>8054</v>
      </c>
      <c r="E372">
        <v>8123</v>
      </c>
      <c r="F372">
        <v>6.8</v>
      </c>
      <c r="G372">
        <v>9.6</v>
      </c>
      <c r="H372">
        <v>0.70833330000000005</v>
      </c>
      <c r="I372">
        <f xml:space="preserve"> -55.696 * _2026_04_17_16_25_21_23_high[[#This Row],[coeff]] + 79.57</f>
        <v>40.118668523199993</v>
      </c>
      <c r="J372">
        <v>0.58536582999999998</v>
      </c>
      <c r="K372">
        <f>_2026_04_17_16_25_21_23_high[[#This Row],[pfwd_filt]]+200</f>
        <v>206.8</v>
      </c>
      <c r="L372">
        <f>_2026_04_17_16_25_21_23_high[[#This Row],[p45_filt]]+200</f>
        <v>209.6</v>
      </c>
      <c r="M372">
        <f>_2026_04_17_16_25_21_23_high[[#This Row],[new_pfwd_filt]]/_2026_04_17_16_25_21_23_high[[#This Row],[new_p45_filt]]</f>
        <v>0.98664122137404586</v>
      </c>
    </row>
    <row r="373" spans="1:13" x14ac:dyDescent="0.3">
      <c r="A373">
        <v>371</v>
      </c>
      <c r="B373">
        <v>5900</v>
      </c>
      <c r="C373" t="b">
        <v>1</v>
      </c>
      <c r="D373">
        <v>8048</v>
      </c>
      <c r="E373">
        <v>8129</v>
      </c>
      <c r="F373">
        <v>7.2</v>
      </c>
      <c r="G373">
        <v>10</v>
      </c>
      <c r="H373">
        <v>0.71999997000000004</v>
      </c>
      <c r="I373">
        <f xml:space="preserve"> -55.696 * _2026_04_17_16_25_21_23_high[[#This Row],[coeff]] + 79.57</f>
        <v>39.468881670879995</v>
      </c>
      <c r="J373">
        <v>0.58139529999999995</v>
      </c>
      <c r="K373">
        <f>_2026_04_17_16_25_21_23_high[[#This Row],[pfwd_filt]]+200</f>
        <v>207.2</v>
      </c>
      <c r="L373">
        <f>_2026_04_17_16_25_21_23_high[[#This Row],[p45_filt]]+200</f>
        <v>210</v>
      </c>
      <c r="M373">
        <f>_2026_04_17_16_25_21_23_high[[#This Row],[new_pfwd_filt]]/_2026_04_17_16_25_21_23_high[[#This Row],[new_p45_filt]]</f>
        <v>0.98666666666666658</v>
      </c>
    </row>
    <row r="374" spans="1:13" x14ac:dyDescent="0.3">
      <c r="A374">
        <v>372</v>
      </c>
      <c r="B374">
        <v>5916</v>
      </c>
      <c r="C374" t="b">
        <v>1</v>
      </c>
      <c r="D374">
        <v>8054</v>
      </c>
      <c r="E374">
        <v>8123</v>
      </c>
      <c r="F374">
        <v>8</v>
      </c>
      <c r="G374">
        <v>10</v>
      </c>
      <c r="H374">
        <v>0.8</v>
      </c>
      <c r="I374">
        <f xml:space="preserve"> -55.696 * _2026_04_17_16_25_21_23_high[[#This Row],[coeff]] + 79.57</f>
        <v>35.013199999999991</v>
      </c>
      <c r="J374">
        <v>0.55555560000000004</v>
      </c>
      <c r="K374">
        <f>_2026_04_17_16_25_21_23_high[[#This Row],[pfwd_filt]]+200</f>
        <v>208</v>
      </c>
      <c r="L374">
        <f>_2026_04_17_16_25_21_23_high[[#This Row],[p45_filt]]+200</f>
        <v>210</v>
      </c>
      <c r="M374">
        <f>_2026_04_17_16_25_21_23_high[[#This Row],[new_pfwd_filt]]/_2026_04_17_16_25_21_23_high[[#This Row],[new_p45_filt]]</f>
        <v>0.99047619047619051</v>
      </c>
    </row>
    <row r="375" spans="1:13" x14ac:dyDescent="0.3">
      <c r="A375">
        <v>373</v>
      </c>
      <c r="B375">
        <v>5932</v>
      </c>
      <c r="C375" t="b">
        <v>1</v>
      </c>
      <c r="D375">
        <v>8054</v>
      </c>
      <c r="E375">
        <v>8123</v>
      </c>
      <c r="F375">
        <v>8.8000000000000007</v>
      </c>
      <c r="G375">
        <v>10</v>
      </c>
      <c r="H375">
        <v>0.88</v>
      </c>
      <c r="I375">
        <f xml:space="preserve"> -55.696 * _2026_04_17_16_25_21_23_high[[#This Row],[coeff]] + 79.57</f>
        <v>30.557519999999997</v>
      </c>
      <c r="J375">
        <v>0.53191489999999997</v>
      </c>
      <c r="K375">
        <f>_2026_04_17_16_25_21_23_high[[#This Row],[pfwd_filt]]+200</f>
        <v>208.8</v>
      </c>
      <c r="L375">
        <f>_2026_04_17_16_25_21_23_high[[#This Row],[p45_filt]]+200</f>
        <v>210</v>
      </c>
      <c r="M375">
        <f>_2026_04_17_16_25_21_23_high[[#This Row],[new_pfwd_filt]]/_2026_04_17_16_25_21_23_high[[#This Row],[new_p45_filt]]</f>
        <v>0.99428571428571433</v>
      </c>
    </row>
    <row r="376" spans="1:13" x14ac:dyDescent="0.3">
      <c r="A376">
        <v>374</v>
      </c>
      <c r="B376">
        <v>5948</v>
      </c>
      <c r="C376" t="b">
        <v>1</v>
      </c>
      <c r="D376">
        <v>8054</v>
      </c>
      <c r="E376">
        <v>8123</v>
      </c>
      <c r="F376">
        <v>9.1999999999999993</v>
      </c>
      <c r="G376">
        <v>10</v>
      </c>
      <c r="H376">
        <v>0.91999995999999995</v>
      </c>
      <c r="I376">
        <f xml:space="preserve"> -55.696 * _2026_04_17_16_25_21_23_high[[#This Row],[coeff]] + 79.57</f>
        <v>28.329682227839996</v>
      </c>
      <c r="J376">
        <v>0.52083330000000005</v>
      </c>
      <c r="K376">
        <f>_2026_04_17_16_25_21_23_high[[#This Row],[pfwd_filt]]+200</f>
        <v>209.2</v>
      </c>
      <c r="L376">
        <f>_2026_04_17_16_25_21_23_high[[#This Row],[p45_filt]]+200</f>
        <v>210</v>
      </c>
      <c r="M376">
        <f>_2026_04_17_16_25_21_23_high[[#This Row],[new_pfwd_filt]]/_2026_04_17_16_25_21_23_high[[#This Row],[new_p45_filt]]</f>
        <v>0.99619047619047618</v>
      </c>
    </row>
    <row r="377" spans="1:13" x14ac:dyDescent="0.3">
      <c r="A377">
        <v>375</v>
      </c>
      <c r="B377">
        <v>5964</v>
      </c>
      <c r="C377" t="b">
        <v>1</v>
      </c>
      <c r="D377">
        <v>8054</v>
      </c>
      <c r="E377">
        <v>8123</v>
      </c>
      <c r="F377">
        <v>9.6</v>
      </c>
      <c r="G377">
        <v>10</v>
      </c>
      <c r="H377">
        <v>0.96000004000000005</v>
      </c>
      <c r="I377">
        <f xml:space="preserve"> -55.696 * _2026_04_17_16_25_21_23_high[[#This Row],[coeff]] + 79.57</f>
        <v>26.101837772159989</v>
      </c>
      <c r="J377">
        <v>0.51020410000000005</v>
      </c>
      <c r="K377">
        <f>_2026_04_17_16_25_21_23_high[[#This Row],[pfwd_filt]]+200</f>
        <v>209.6</v>
      </c>
      <c r="L377">
        <f>_2026_04_17_16_25_21_23_high[[#This Row],[p45_filt]]+200</f>
        <v>210</v>
      </c>
      <c r="M377">
        <f>_2026_04_17_16_25_21_23_high[[#This Row],[new_pfwd_filt]]/_2026_04_17_16_25_21_23_high[[#This Row],[new_p45_filt]]</f>
        <v>0.99809523809523804</v>
      </c>
    </row>
    <row r="378" spans="1:13" x14ac:dyDescent="0.3">
      <c r="A378">
        <v>376</v>
      </c>
      <c r="B378">
        <v>5979</v>
      </c>
      <c r="C378" t="b">
        <v>1</v>
      </c>
      <c r="D378">
        <v>8042</v>
      </c>
      <c r="E378">
        <v>8123</v>
      </c>
      <c r="F378">
        <v>10</v>
      </c>
      <c r="G378">
        <v>10</v>
      </c>
      <c r="H378">
        <v>1</v>
      </c>
      <c r="I378">
        <f xml:space="preserve"> -55.696 * _2026_04_17_16_25_21_23_high[[#This Row],[coeff]] + 79.57</f>
        <v>23.873999999999995</v>
      </c>
      <c r="J378">
        <v>0.5</v>
      </c>
      <c r="K378">
        <f>_2026_04_17_16_25_21_23_high[[#This Row],[pfwd_filt]]+200</f>
        <v>210</v>
      </c>
      <c r="L378">
        <f>_2026_04_17_16_25_21_23_high[[#This Row],[p45_filt]]+200</f>
        <v>210</v>
      </c>
      <c r="M378">
        <f>_2026_04_17_16_25_21_23_high[[#This Row],[new_pfwd_filt]]/_2026_04_17_16_25_21_23_high[[#This Row],[new_p45_filt]]</f>
        <v>1</v>
      </c>
    </row>
    <row r="379" spans="1:13" x14ac:dyDescent="0.3">
      <c r="A379">
        <v>377</v>
      </c>
      <c r="B379">
        <v>5995</v>
      </c>
      <c r="C379" t="b">
        <v>1</v>
      </c>
      <c r="D379">
        <v>8042</v>
      </c>
      <c r="E379">
        <v>8123</v>
      </c>
      <c r="F379">
        <v>10.4</v>
      </c>
      <c r="G379">
        <v>10</v>
      </c>
      <c r="H379">
        <v>1.04</v>
      </c>
      <c r="I379">
        <f xml:space="preserve"> -55.696 * _2026_04_17_16_25_21_23_high[[#This Row],[coeff]] + 79.57</f>
        <v>21.646159999999995</v>
      </c>
      <c r="J379">
        <v>0.49019607999999998</v>
      </c>
      <c r="K379">
        <f>_2026_04_17_16_25_21_23_high[[#This Row],[pfwd_filt]]+200</f>
        <v>210.4</v>
      </c>
      <c r="L379">
        <f>_2026_04_17_16_25_21_23_high[[#This Row],[p45_filt]]+200</f>
        <v>210</v>
      </c>
      <c r="M379">
        <f>_2026_04_17_16_25_21_23_high[[#This Row],[new_pfwd_filt]]/_2026_04_17_16_25_21_23_high[[#This Row],[new_p45_filt]]</f>
        <v>1.0019047619047619</v>
      </c>
    </row>
    <row r="380" spans="1:13" x14ac:dyDescent="0.3">
      <c r="A380">
        <v>378</v>
      </c>
      <c r="B380">
        <v>6011</v>
      </c>
      <c r="C380" t="b">
        <v>1</v>
      </c>
      <c r="D380">
        <v>8048</v>
      </c>
      <c r="E380">
        <v>8123</v>
      </c>
      <c r="F380">
        <v>10.4</v>
      </c>
      <c r="G380">
        <v>10</v>
      </c>
      <c r="H380">
        <v>1.04</v>
      </c>
      <c r="I380">
        <f xml:space="preserve"> -55.696 * _2026_04_17_16_25_21_23_high[[#This Row],[coeff]] + 79.57</f>
        <v>21.646159999999995</v>
      </c>
      <c r="J380">
        <v>0.49019607999999998</v>
      </c>
      <c r="K380">
        <f>_2026_04_17_16_25_21_23_high[[#This Row],[pfwd_filt]]+200</f>
        <v>210.4</v>
      </c>
      <c r="L380">
        <f>_2026_04_17_16_25_21_23_high[[#This Row],[p45_filt]]+200</f>
        <v>210</v>
      </c>
      <c r="M380">
        <f>_2026_04_17_16_25_21_23_high[[#This Row],[new_pfwd_filt]]/_2026_04_17_16_25_21_23_high[[#This Row],[new_p45_filt]]</f>
        <v>1.0019047619047619</v>
      </c>
    </row>
    <row r="381" spans="1:13" x14ac:dyDescent="0.3">
      <c r="A381">
        <v>379</v>
      </c>
      <c r="B381">
        <v>6027</v>
      </c>
      <c r="C381" t="b">
        <v>1</v>
      </c>
      <c r="D381">
        <v>8042</v>
      </c>
      <c r="E381">
        <v>8117</v>
      </c>
      <c r="F381">
        <v>10</v>
      </c>
      <c r="G381">
        <v>10</v>
      </c>
      <c r="H381">
        <v>1</v>
      </c>
      <c r="I381">
        <f xml:space="preserve"> -55.696 * _2026_04_17_16_25_21_23_high[[#This Row],[coeff]] + 79.57</f>
        <v>23.873999999999995</v>
      </c>
      <c r="J381">
        <v>0.5</v>
      </c>
      <c r="K381">
        <f>_2026_04_17_16_25_21_23_high[[#This Row],[pfwd_filt]]+200</f>
        <v>210</v>
      </c>
      <c r="L381">
        <f>_2026_04_17_16_25_21_23_high[[#This Row],[p45_filt]]+200</f>
        <v>210</v>
      </c>
      <c r="M381">
        <f>_2026_04_17_16_25_21_23_high[[#This Row],[new_pfwd_filt]]/_2026_04_17_16_25_21_23_high[[#This Row],[new_p45_filt]]</f>
        <v>1</v>
      </c>
    </row>
    <row r="382" spans="1:13" x14ac:dyDescent="0.3">
      <c r="A382">
        <v>380</v>
      </c>
      <c r="B382">
        <v>6043</v>
      </c>
      <c r="C382" t="b">
        <v>1</v>
      </c>
      <c r="D382">
        <v>8048</v>
      </c>
      <c r="E382">
        <v>8129</v>
      </c>
      <c r="F382">
        <v>9.6</v>
      </c>
      <c r="G382">
        <v>10</v>
      </c>
      <c r="H382">
        <v>0.96000004000000005</v>
      </c>
      <c r="I382">
        <f xml:space="preserve"> -55.696 * _2026_04_17_16_25_21_23_high[[#This Row],[coeff]] + 79.57</f>
        <v>26.101837772159989</v>
      </c>
      <c r="J382">
        <v>0.51020410000000005</v>
      </c>
      <c r="K382">
        <f>_2026_04_17_16_25_21_23_high[[#This Row],[pfwd_filt]]+200</f>
        <v>209.6</v>
      </c>
      <c r="L382">
        <f>_2026_04_17_16_25_21_23_high[[#This Row],[p45_filt]]+200</f>
        <v>210</v>
      </c>
      <c r="M382">
        <f>_2026_04_17_16_25_21_23_high[[#This Row],[new_pfwd_filt]]/_2026_04_17_16_25_21_23_high[[#This Row],[new_p45_filt]]</f>
        <v>0.99809523809523804</v>
      </c>
    </row>
    <row r="383" spans="1:13" x14ac:dyDescent="0.3">
      <c r="A383">
        <v>381</v>
      </c>
      <c r="B383">
        <v>6059</v>
      </c>
      <c r="C383" t="b">
        <v>1</v>
      </c>
      <c r="D383">
        <v>8048</v>
      </c>
      <c r="E383">
        <v>8117</v>
      </c>
      <c r="F383">
        <v>9.6</v>
      </c>
      <c r="G383">
        <v>10</v>
      </c>
      <c r="H383">
        <v>0.96000004000000005</v>
      </c>
      <c r="I383">
        <f xml:space="preserve"> -55.696 * _2026_04_17_16_25_21_23_high[[#This Row],[coeff]] + 79.57</f>
        <v>26.101837772159989</v>
      </c>
      <c r="J383">
        <v>0.51020410000000005</v>
      </c>
      <c r="K383">
        <f>_2026_04_17_16_25_21_23_high[[#This Row],[pfwd_filt]]+200</f>
        <v>209.6</v>
      </c>
      <c r="L383">
        <f>_2026_04_17_16_25_21_23_high[[#This Row],[p45_filt]]+200</f>
        <v>210</v>
      </c>
      <c r="M383">
        <f>_2026_04_17_16_25_21_23_high[[#This Row],[new_pfwd_filt]]/_2026_04_17_16_25_21_23_high[[#This Row],[new_p45_filt]]</f>
        <v>0.99809523809523804</v>
      </c>
    </row>
    <row r="384" spans="1:13" x14ac:dyDescent="0.3">
      <c r="A384">
        <v>382</v>
      </c>
      <c r="B384">
        <v>6074</v>
      </c>
      <c r="C384" t="b">
        <v>1</v>
      </c>
      <c r="D384">
        <v>8048</v>
      </c>
      <c r="E384">
        <v>8129</v>
      </c>
      <c r="F384">
        <v>9.6</v>
      </c>
      <c r="G384">
        <v>9.6</v>
      </c>
      <c r="H384">
        <v>1</v>
      </c>
      <c r="I384">
        <f xml:space="preserve"> -55.696 * _2026_04_17_16_25_21_23_high[[#This Row],[coeff]] + 79.57</f>
        <v>23.873999999999995</v>
      </c>
      <c r="J384">
        <v>0.5</v>
      </c>
      <c r="K384">
        <f>_2026_04_17_16_25_21_23_high[[#This Row],[pfwd_filt]]+200</f>
        <v>209.6</v>
      </c>
      <c r="L384">
        <f>_2026_04_17_16_25_21_23_high[[#This Row],[p45_filt]]+200</f>
        <v>209.6</v>
      </c>
      <c r="M384">
        <f>_2026_04_17_16_25_21_23_high[[#This Row],[new_pfwd_filt]]/_2026_04_17_16_25_21_23_high[[#This Row],[new_p45_filt]]</f>
        <v>1</v>
      </c>
    </row>
    <row r="385" spans="1:13" x14ac:dyDescent="0.3">
      <c r="A385">
        <v>383</v>
      </c>
      <c r="B385">
        <v>6091</v>
      </c>
      <c r="C385" t="b">
        <v>1</v>
      </c>
      <c r="D385">
        <v>8048</v>
      </c>
      <c r="E385">
        <v>8117</v>
      </c>
      <c r="F385">
        <v>9.6</v>
      </c>
      <c r="G385">
        <v>8.8000000000000007</v>
      </c>
      <c r="H385">
        <v>1.0909091</v>
      </c>
      <c r="I385">
        <f xml:space="preserve"> -55.696 * _2026_04_17_16_25_21_23_high[[#This Row],[coeff]] + 79.57</f>
        <v>18.810726766399995</v>
      </c>
      <c r="J385">
        <v>0.47826084000000002</v>
      </c>
      <c r="K385">
        <f>_2026_04_17_16_25_21_23_high[[#This Row],[pfwd_filt]]+200</f>
        <v>209.6</v>
      </c>
      <c r="L385">
        <f>_2026_04_17_16_25_21_23_high[[#This Row],[p45_filt]]+200</f>
        <v>208.8</v>
      </c>
      <c r="M385">
        <f>_2026_04_17_16_25_21_23_high[[#This Row],[new_pfwd_filt]]/_2026_04_17_16_25_21_23_high[[#This Row],[new_p45_filt]]</f>
        <v>1.0038314176245209</v>
      </c>
    </row>
    <row r="386" spans="1:13" x14ac:dyDescent="0.3">
      <c r="A386">
        <v>384</v>
      </c>
      <c r="B386">
        <v>6107</v>
      </c>
      <c r="C386" t="b">
        <v>1</v>
      </c>
      <c r="D386">
        <v>8048</v>
      </c>
      <c r="E386">
        <v>8117</v>
      </c>
      <c r="F386">
        <v>9.6</v>
      </c>
      <c r="G386">
        <v>8</v>
      </c>
      <c r="H386">
        <v>1.2</v>
      </c>
      <c r="I386">
        <f xml:space="preserve"> -55.696 * _2026_04_17_16_25_21_23_high[[#This Row],[coeff]] + 79.57</f>
        <v>12.734799999999993</v>
      </c>
      <c r="J386">
        <v>0.45454544000000002</v>
      </c>
      <c r="K386">
        <f>_2026_04_17_16_25_21_23_high[[#This Row],[pfwd_filt]]+200</f>
        <v>209.6</v>
      </c>
      <c r="L386">
        <f>_2026_04_17_16_25_21_23_high[[#This Row],[p45_filt]]+200</f>
        <v>208</v>
      </c>
      <c r="M386">
        <f>_2026_04_17_16_25_21_23_high[[#This Row],[new_pfwd_filt]]/_2026_04_17_16_25_21_23_high[[#This Row],[new_p45_filt]]</f>
        <v>1.0076923076923077</v>
      </c>
    </row>
    <row r="387" spans="1:13" x14ac:dyDescent="0.3">
      <c r="A387">
        <v>385</v>
      </c>
      <c r="B387">
        <v>6123</v>
      </c>
      <c r="C387" t="b">
        <v>1</v>
      </c>
      <c r="D387">
        <v>8048</v>
      </c>
      <c r="E387">
        <v>8123</v>
      </c>
      <c r="F387">
        <v>9.6</v>
      </c>
      <c r="G387">
        <v>7.2</v>
      </c>
      <c r="H387">
        <v>1.3333333999999999</v>
      </c>
      <c r="I387">
        <f xml:space="preserve"> -55.696 * _2026_04_17_16_25_21_23_high[[#This Row],[coeff]] + 79.57</f>
        <v>5.3086629536000061</v>
      </c>
      <c r="J387">
        <v>0.42857142999999998</v>
      </c>
      <c r="K387">
        <f>_2026_04_17_16_25_21_23_high[[#This Row],[pfwd_filt]]+200</f>
        <v>209.6</v>
      </c>
      <c r="L387">
        <f>_2026_04_17_16_25_21_23_high[[#This Row],[p45_filt]]+200</f>
        <v>207.2</v>
      </c>
      <c r="M387">
        <f>_2026_04_17_16_25_21_23_high[[#This Row],[new_pfwd_filt]]/_2026_04_17_16_25_21_23_high[[#This Row],[new_p45_filt]]</f>
        <v>1.0115830115830116</v>
      </c>
    </row>
    <row r="388" spans="1:13" x14ac:dyDescent="0.3">
      <c r="A388">
        <v>386</v>
      </c>
      <c r="B388">
        <v>6139</v>
      </c>
      <c r="C388" t="b">
        <v>1</v>
      </c>
      <c r="D388">
        <v>8048</v>
      </c>
      <c r="E388">
        <v>8129</v>
      </c>
      <c r="F388">
        <v>9.6</v>
      </c>
      <c r="G388">
        <v>6.8</v>
      </c>
      <c r="H388">
        <v>1.4117647</v>
      </c>
      <c r="I388">
        <f xml:space="preserve"> -55.696 * _2026_04_17_16_25_21_23_high[[#This Row],[coeff]] + 79.57</f>
        <v>0.94035326879999559</v>
      </c>
      <c r="J388">
        <v>0.41463410000000001</v>
      </c>
      <c r="K388">
        <f>_2026_04_17_16_25_21_23_high[[#This Row],[pfwd_filt]]+200</f>
        <v>209.6</v>
      </c>
      <c r="L388">
        <f>_2026_04_17_16_25_21_23_high[[#This Row],[p45_filt]]+200</f>
        <v>206.8</v>
      </c>
      <c r="M388">
        <f>_2026_04_17_16_25_21_23_high[[#This Row],[new_pfwd_filt]]/_2026_04_17_16_25_21_23_high[[#This Row],[new_p45_filt]]</f>
        <v>1.0135396518375241</v>
      </c>
    </row>
    <row r="389" spans="1:13" x14ac:dyDescent="0.3">
      <c r="A389">
        <v>387</v>
      </c>
      <c r="B389">
        <v>6155</v>
      </c>
      <c r="C389" t="b">
        <v>1</v>
      </c>
      <c r="D389">
        <v>8048</v>
      </c>
      <c r="E389">
        <v>8123</v>
      </c>
      <c r="F389">
        <v>9.1999999999999993</v>
      </c>
      <c r="G389">
        <v>6.8</v>
      </c>
      <c r="H389">
        <v>1.3529412000000001</v>
      </c>
      <c r="I389">
        <f xml:space="preserve"> -55.696 * _2026_04_17_16_25_21_23_high[[#This Row],[coeff]] + 79.57</f>
        <v>4.2165869247999979</v>
      </c>
      <c r="J389">
        <v>0.42499999999999999</v>
      </c>
      <c r="K389">
        <f>_2026_04_17_16_25_21_23_high[[#This Row],[pfwd_filt]]+200</f>
        <v>209.2</v>
      </c>
      <c r="L389">
        <f>_2026_04_17_16_25_21_23_high[[#This Row],[p45_filt]]+200</f>
        <v>206.8</v>
      </c>
      <c r="M389">
        <f>_2026_04_17_16_25_21_23_high[[#This Row],[new_pfwd_filt]]/_2026_04_17_16_25_21_23_high[[#This Row],[new_p45_filt]]</f>
        <v>1.0116054158607348</v>
      </c>
    </row>
    <row r="390" spans="1:13" x14ac:dyDescent="0.3">
      <c r="A390">
        <v>388</v>
      </c>
      <c r="B390">
        <v>6171</v>
      </c>
      <c r="C390" t="b">
        <v>1</v>
      </c>
      <c r="D390">
        <v>8048</v>
      </c>
      <c r="E390">
        <v>8129</v>
      </c>
      <c r="F390">
        <v>8.8000000000000007</v>
      </c>
      <c r="G390">
        <v>6.8</v>
      </c>
      <c r="H390">
        <v>1.2941176999999999</v>
      </c>
      <c r="I390">
        <f xml:space="preserve"> -55.696 * _2026_04_17_16_25_21_23_high[[#This Row],[coeff]] + 79.57</f>
        <v>7.4928205808000001</v>
      </c>
      <c r="J390">
        <v>0.43589744000000002</v>
      </c>
      <c r="K390">
        <f>_2026_04_17_16_25_21_23_high[[#This Row],[pfwd_filt]]+200</f>
        <v>208.8</v>
      </c>
      <c r="L390">
        <f>_2026_04_17_16_25_21_23_high[[#This Row],[p45_filt]]+200</f>
        <v>206.8</v>
      </c>
      <c r="M390">
        <f>_2026_04_17_16_25_21_23_high[[#This Row],[new_pfwd_filt]]/_2026_04_17_16_25_21_23_high[[#This Row],[new_p45_filt]]</f>
        <v>1.0096711798839459</v>
      </c>
    </row>
    <row r="391" spans="1:13" x14ac:dyDescent="0.3">
      <c r="A391">
        <v>389</v>
      </c>
      <c r="B391">
        <v>6186</v>
      </c>
      <c r="C391" t="b">
        <v>1</v>
      </c>
      <c r="D391">
        <v>8048</v>
      </c>
      <c r="E391">
        <v>8123</v>
      </c>
      <c r="F391">
        <v>8.4</v>
      </c>
      <c r="G391">
        <v>6.8</v>
      </c>
      <c r="H391">
        <v>1.2352939999999999</v>
      </c>
      <c r="I391">
        <f xml:space="preserve"> -55.696 * _2026_04_17_16_25_21_23_high[[#This Row],[coeff]] + 79.57</f>
        <v>10.769065376</v>
      </c>
      <c r="J391">
        <v>0.44736843999999998</v>
      </c>
      <c r="K391">
        <f>_2026_04_17_16_25_21_23_high[[#This Row],[pfwd_filt]]+200</f>
        <v>208.4</v>
      </c>
      <c r="L391">
        <f>_2026_04_17_16_25_21_23_high[[#This Row],[p45_filt]]+200</f>
        <v>206.8</v>
      </c>
      <c r="M391">
        <f>_2026_04_17_16_25_21_23_high[[#This Row],[new_pfwd_filt]]/_2026_04_17_16_25_21_23_high[[#This Row],[new_p45_filt]]</f>
        <v>1.0077369439071566</v>
      </c>
    </row>
    <row r="392" spans="1:13" x14ac:dyDescent="0.3">
      <c r="A392">
        <v>390</v>
      </c>
      <c r="B392">
        <v>6202</v>
      </c>
      <c r="C392" t="b">
        <v>1</v>
      </c>
      <c r="D392">
        <v>8042</v>
      </c>
      <c r="E392">
        <v>8123</v>
      </c>
      <c r="F392">
        <v>8</v>
      </c>
      <c r="G392">
        <v>6.8</v>
      </c>
      <c r="H392">
        <v>1.1764705</v>
      </c>
      <c r="I392">
        <f xml:space="preserve"> -55.696 * _2026_04_17_16_25_21_23_high[[#This Row],[coeff]] + 79.57</f>
        <v>14.045299032000003</v>
      </c>
      <c r="J392">
        <v>0.45945944999999999</v>
      </c>
      <c r="K392">
        <f>_2026_04_17_16_25_21_23_high[[#This Row],[pfwd_filt]]+200</f>
        <v>208</v>
      </c>
      <c r="L392">
        <f>_2026_04_17_16_25_21_23_high[[#This Row],[p45_filt]]+200</f>
        <v>206.8</v>
      </c>
      <c r="M392">
        <f>_2026_04_17_16_25_21_23_high[[#This Row],[new_pfwd_filt]]/_2026_04_17_16_25_21_23_high[[#This Row],[new_p45_filt]]</f>
        <v>1.0058027079303675</v>
      </c>
    </row>
    <row r="393" spans="1:13" x14ac:dyDescent="0.3">
      <c r="A393">
        <v>391</v>
      </c>
      <c r="B393">
        <v>6218</v>
      </c>
      <c r="C393" t="b">
        <v>1</v>
      </c>
      <c r="D393">
        <v>8042</v>
      </c>
      <c r="E393">
        <v>8123</v>
      </c>
      <c r="F393">
        <v>7.6</v>
      </c>
      <c r="G393">
        <v>6.8</v>
      </c>
      <c r="H393">
        <v>1.1176470000000001</v>
      </c>
      <c r="I393">
        <f xml:space="preserve"> -55.696 * _2026_04_17_16_25_21_23_high[[#This Row],[coeff]] + 79.57</f>
        <v>17.321532687999991</v>
      </c>
      <c r="J393">
        <v>0.47222224000000002</v>
      </c>
      <c r="K393">
        <f>_2026_04_17_16_25_21_23_high[[#This Row],[pfwd_filt]]+200</f>
        <v>207.6</v>
      </c>
      <c r="L393">
        <f>_2026_04_17_16_25_21_23_high[[#This Row],[p45_filt]]+200</f>
        <v>206.8</v>
      </c>
      <c r="M393">
        <f>_2026_04_17_16_25_21_23_high[[#This Row],[new_pfwd_filt]]/_2026_04_17_16_25_21_23_high[[#This Row],[new_p45_filt]]</f>
        <v>1.0038684719535782</v>
      </c>
    </row>
    <row r="394" spans="1:13" x14ac:dyDescent="0.3">
      <c r="A394">
        <v>392</v>
      </c>
      <c r="B394">
        <v>6234</v>
      </c>
      <c r="C394" t="b">
        <v>1</v>
      </c>
      <c r="D394">
        <v>8042</v>
      </c>
      <c r="E394">
        <v>8123</v>
      </c>
      <c r="F394">
        <v>6.8</v>
      </c>
      <c r="G394">
        <v>6.8</v>
      </c>
      <c r="H394">
        <v>1</v>
      </c>
      <c r="I394">
        <f xml:space="preserve"> -55.696 * _2026_04_17_16_25_21_23_high[[#This Row],[coeff]] + 79.57</f>
        <v>23.873999999999995</v>
      </c>
      <c r="J394">
        <v>0.5</v>
      </c>
      <c r="K394">
        <f>_2026_04_17_16_25_21_23_high[[#This Row],[pfwd_filt]]+200</f>
        <v>206.8</v>
      </c>
      <c r="L394">
        <f>_2026_04_17_16_25_21_23_high[[#This Row],[p45_filt]]+200</f>
        <v>206.8</v>
      </c>
      <c r="M394">
        <f>_2026_04_17_16_25_21_23_high[[#This Row],[new_pfwd_filt]]/_2026_04_17_16_25_21_23_high[[#This Row],[new_p45_filt]]</f>
        <v>1</v>
      </c>
    </row>
    <row r="395" spans="1:13" x14ac:dyDescent="0.3">
      <c r="A395">
        <v>393</v>
      </c>
      <c r="B395">
        <v>6250</v>
      </c>
      <c r="C395" t="b">
        <v>1</v>
      </c>
      <c r="D395">
        <v>8048</v>
      </c>
      <c r="E395">
        <v>8134</v>
      </c>
      <c r="F395">
        <v>6.4</v>
      </c>
      <c r="G395">
        <v>6.8</v>
      </c>
      <c r="H395">
        <v>0.94117649999999997</v>
      </c>
      <c r="I395">
        <f xml:space="preserve"> -55.696 * _2026_04_17_16_25_21_23_high[[#This Row],[coeff]] + 79.57</f>
        <v>27.150233655999997</v>
      </c>
      <c r="J395">
        <v>0.51515149999999998</v>
      </c>
      <c r="K395">
        <f>_2026_04_17_16_25_21_23_high[[#This Row],[pfwd_filt]]+200</f>
        <v>206.4</v>
      </c>
      <c r="L395">
        <f>_2026_04_17_16_25_21_23_high[[#This Row],[p45_filt]]+200</f>
        <v>206.8</v>
      </c>
      <c r="M395">
        <f>_2026_04_17_16_25_21_23_high[[#This Row],[new_pfwd_filt]]/_2026_04_17_16_25_21_23_high[[#This Row],[new_p45_filt]]</f>
        <v>0.99806576402321079</v>
      </c>
    </row>
    <row r="396" spans="1:13" x14ac:dyDescent="0.3">
      <c r="A396">
        <v>394</v>
      </c>
      <c r="B396">
        <v>6266</v>
      </c>
      <c r="C396" t="b">
        <v>1</v>
      </c>
      <c r="D396">
        <v>8042</v>
      </c>
      <c r="E396">
        <v>8123</v>
      </c>
      <c r="F396">
        <v>6.4</v>
      </c>
      <c r="G396">
        <v>6.8</v>
      </c>
      <c r="H396">
        <v>0.94117649999999997</v>
      </c>
      <c r="I396">
        <f xml:space="preserve"> -55.696 * _2026_04_17_16_25_21_23_high[[#This Row],[coeff]] + 79.57</f>
        <v>27.150233655999997</v>
      </c>
      <c r="J396">
        <v>0.51515149999999998</v>
      </c>
      <c r="K396">
        <f>_2026_04_17_16_25_21_23_high[[#This Row],[pfwd_filt]]+200</f>
        <v>206.4</v>
      </c>
      <c r="L396">
        <f>_2026_04_17_16_25_21_23_high[[#This Row],[p45_filt]]+200</f>
        <v>206.8</v>
      </c>
      <c r="M396">
        <f>_2026_04_17_16_25_21_23_high[[#This Row],[new_pfwd_filt]]/_2026_04_17_16_25_21_23_high[[#This Row],[new_p45_filt]]</f>
        <v>0.99806576402321079</v>
      </c>
    </row>
    <row r="397" spans="1:13" x14ac:dyDescent="0.3">
      <c r="A397">
        <v>395</v>
      </c>
      <c r="B397">
        <v>6282</v>
      </c>
      <c r="C397" t="b">
        <v>1</v>
      </c>
      <c r="D397">
        <v>8048</v>
      </c>
      <c r="E397">
        <v>8129</v>
      </c>
      <c r="F397">
        <v>6.4</v>
      </c>
      <c r="G397">
        <v>6.8</v>
      </c>
      <c r="H397">
        <v>0.94117649999999997</v>
      </c>
      <c r="I397">
        <f xml:space="preserve"> -55.696 * _2026_04_17_16_25_21_23_high[[#This Row],[coeff]] + 79.57</f>
        <v>27.150233655999997</v>
      </c>
      <c r="J397">
        <v>0.51515149999999998</v>
      </c>
      <c r="K397">
        <f>_2026_04_17_16_25_21_23_high[[#This Row],[pfwd_filt]]+200</f>
        <v>206.4</v>
      </c>
      <c r="L397">
        <f>_2026_04_17_16_25_21_23_high[[#This Row],[p45_filt]]+200</f>
        <v>206.8</v>
      </c>
      <c r="M397">
        <f>_2026_04_17_16_25_21_23_high[[#This Row],[new_pfwd_filt]]/_2026_04_17_16_25_21_23_high[[#This Row],[new_p45_filt]]</f>
        <v>0.99806576402321079</v>
      </c>
    </row>
    <row r="398" spans="1:13" x14ac:dyDescent="0.3">
      <c r="A398">
        <v>396</v>
      </c>
      <c r="B398">
        <v>6298</v>
      </c>
      <c r="C398" t="b">
        <v>1</v>
      </c>
      <c r="D398">
        <v>8048</v>
      </c>
      <c r="E398">
        <v>8123</v>
      </c>
      <c r="F398">
        <v>6.4</v>
      </c>
      <c r="G398">
        <v>6.8</v>
      </c>
      <c r="H398">
        <v>0.94117649999999997</v>
      </c>
      <c r="I398">
        <f xml:space="preserve"> -55.696 * _2026_04_17_16_25_21_23_high[[#This Row],[coeff]] + 79.57</f>
        <v>27.150233655999997</v>
      </c>
      <c r="J398">
        <v>0.51515149999999998</v>
      </c>
      <c r="K398">
        <f>_2026_04_17_16_25_21_23_high[[#This Row],[pfwd_filt]]+200</f>
        <v>206.4</v>
      </c>
      <c r="L398">
        <f>_2026_04_17_16_25_21_23_high[[#This Row],[p45_filt]]+200</f>
        <v>206.8</v>
      </c>
      <c r="M398">
        <f>_2026_04_17_16_25_21_23_high[[#This Row],[new_pfwd_filt]]/_2026_04_17_16_25_21_23_high[[#This Row],[new_p45_filt]]</f>
        <v>0.99806576402321079</v>
      </c>
    </row>
    <row r="399" spans="1:13" x14ac:dyDescent="0.3">
      <c r="A399">
        <v>397</v>
      </c>
      <c r="B399">
        <v>6314</v>
      </c>
      <c r="C399" t="b">
        <v>1</v>
      </c>
      <c r="D399">
        <v>8042</v>
      </c>
      <c r="E399">
        <v>8123</v>
      </c>
      <c r="F399">
        <v>6.4</v>
      </c>
      <c r="G399">
        <v>6.8</v>
      </c>
      <c r="H399">
        <v>0.94117649999999997</v>
      </c>
      <c r="I399">
        <f xml:space="preserve"> -55.696 * _2026_04_17_16_25_21_23_high[[#This Row],[coeff]] + 79.57</f>
        <v>27.150233655999997</v>
      </c>
      <c r="J399">
        <v>0.51515149999999998</v>
      </c>
      <c r="K399">
        <f>_2026_04_17_16_25_21_23_high[[#This Row],[pfwd_filt]]+200</f>
        <v>206.4</v>
      </c>
      <c r="L399">
        <f>_2026_04_17_16_25_21_23_high[[#This Row],[p45_filt]]+200</f>
        <v>206.8</v>
      </c>
      <c r="M399">
        <f>_2026_04_17_16_25_21_23_high[[#This Row],[new_pfwd_filt]]/_2026_04_17_16_25_21_23_high[[#This Row],[new_p45_filt]]</f>
        <v>0.99806576402321079</v>
      </c>
    </row>
    <row r="400" spans="1:13" x14ac:dyDescent="0.3">
      <c r="A400">
        <v>398</v>
      </c>
      <c r="B400">
        <v>6329</v>
      </c>
      <c r="C400" t="b">
        <v>1</v>
      </c>
      <c r="D400">
        <v>8042</v>
      </c>
      <c r="E400">
        <v>8123</v>
      </c>
      <c r="F400">
        <v>6</v>
      </c>
      <c r="G400">
        <v>7.2</v>
      </c>
      <c r="H400">
        <v>0.8333334</v>
      </c>
      <c r="I400">
        <f xml:space="preserve"> -55.696 * _2026_04_17_16_25_21_23_high[[#This Row],[coeff]] + 79.57</f>
        <v>33.156662953599998</v>
      </c>
      <c r="J400">
        <v>0.54545456000000003</v>
      </c>
      <c r="K400">
        <f>_2026_04_17_16_25_21_23_high[[#This Row],[pfwd_filt]]+200</f>
        <v>206</v>
      </c>
      <c r="L400">
        <f>_2026_04_17_16_25_21_23_high[[#This Row],[p45_filt]]+200</f>
        <v>207.2</v>
      </c>
      <c r="M400">
        <f>_2026_04_17_16_25_21_23_high[[#This Row],[new_pfwd_filt]]/_2026_04_17_16_25_21_23_high[[#This Row],[new_p45_filt]]</f>
        <v>0.99420849420849422</v>
      </c>
    </row>
    <row r="401" spans="1:13" x14ac:dyDescent="0.3">
      <c r="A401">
        <v>399</v>
      </c>
      <c r="B401">
        <v>6345</v>
      </c>
      <c r="C401" t="b">
        <v>1</v>
      </c>
      <c r="D401">
        <v>8048</v>
      </c>
      <c r="E401">
        <v>8123</v>
      </c>
      <c r="F401">
        <v>6</v>
      </c>
      <c r="G401">
        <v>7.6</v>
      </c>
      <c r="H401">
        <v>0.78947369999999994</v>
      </c>
      <c r="I401">
        <f xml:space="preserve"> -55.696 * _2026_04_17_16_25_21_23_high[[#This Row],[coeff]] + 79.57</f>
        <v>35.599472804800001</v>
      </c>
      <c r="J401">
        <v>0.55882350000000003</v>
      </c>
      <c r="K401">
        <f>_2026_04_17_16_25_21_23_high[[#This Row],[pfwd_filt]]+200</f>
        <v>206</v>
      </c>
      <c r="L401">
        <f>_2026_04_17_16_25_21_23_high[[#This Row],[p45_filt]]+200</f>
        <v>207.6</v>
      </c>
      <c r="M401">
        <f>_2026_04_17_16_25_21_23_high[[#This Row],[new_pfwd_filt]]/_2026_04_17_16_25_21_23_high[[#This Row],[new_p45_filt]]</f>
        <v>0.99229287090558771</v>
      </c>
    </row>
    <row r="402" spans="1:13" x14ac:dyDescent="0.3">
      <c r="A402">
        <v>400</v>
      </c>
      <c r="B402">
        <v>6361</v>
      </c>
      <c r="C402" t="b">
        <v>1</v>
      </c>
      <c r="D402">
        <v>8048</v>
      </c>
      <c r="E402">
        <v>8123</v>
      </c>
      <c r="F402">
        <v>6</v>
      </c>
      <c r="G402">
        <v>8</v>
      </c>
      <c r="H402">
        <v>0.75</v>
      </c>
      <c r="I402">
        <f xml:space="preserve"> -55.696 * _2026_04_17_16_25_21_23_high[[#This Row],[coeff]] + 79.57</f>
        <v>37.797999999999995</v>
      </c>
      <c r="J402">
        <v>0.57142859999999995</v>
      </c>
      <c r="K402">
        <f>_2026_04_17_16_25_21_23_high[[#This Row],[pfwd_filt]]+200</f>
        <v>206</v>
      </c>
      <c r="L402">
        <f>_2026_04_17_16_25_21_23_high[[#This Row],[p45_filt]]+200</f>
        <v>208</v>
      </c>
      <c r="M402">
        <f>_2026_04_17_16_25_21_23_high[[#This Row],[new_pfwd_filt]]/_2026_04_17_16_25_21_23_high[[#This Row],[new_p45_filt]]</f>
        <v>0.99038461538461542</v>
      </c>
    </row>
    <row r="403" spans="1:13" x14ac:dyDescent="0.3">
      <c r="A403">
        <v>401</v>
      </c>
      <c r="B403">
        <v>6377</v>
      </c>
      <c r="C403" t="b">
        <v>1</v>
      </c>
      <c r="D403">
        <v>8037</v>
      </c>
      <c r="E403">
        <v>8123</v>
      </c>
      <c r="F403">
        <v>5.6</v>
      </c>
      <c r="G403">
        <v>8</v>
      </c>
      <c r="H403">
        <v>0.7</v>
      </c>
      <c r="I403">
        <f xml:space="preserve"> -55.696 * _2026_04_17_16_25_21_23_high[[#This Row],[coeff]] + 79.57</f>
        <v>40.582799999999999</v>
      </c>
      <c r="J403">
        <v>0.58823526000000004</v>
      </c>
      <c r="K403">
        <f>_2026_04_17_16_25_21_23_high[[#This Row],[pfwd_filt]]+200</f>
        <v>205.6</v>
      </c>
      <c r="L403">
        <f>_2026_04_17_16_25_21_23_high[[#This Row],[p45_filt]]+200</f>
        <v>208</v>
      </c>
      <c r="M403">
        <f>_2026_04_17_16_25_21_23_high[[#This Row],[new_pfwd_filt]]/_2026_04_17_16_25_21_23_high[[#This Row],[new_p45_filt]]</f>
        <v>0.98846153846153839</v>
      </c>
    </row>
    <row r="404" spans="1:13" x14ac:dyDescent="0.3">
      <c r="A404">
        <v>402</v>
      </c>
      <c r="B404">
        <v>6393</v>
      </c>
      <c r="C404" t="b">
        <v>1</v>
      </c>
      <c r="D404">
        <v>8042</v>
      </c>
      <c r="E404">
        <v>8123</v>
      </c>
      <c r="F404">
        <v>5.2</v>
      </c>
      <c r="G404">
        <v>8</v>
      </c>
      <c r="H404">
        <v>0.65</v>
      </c>
      <c r="I404">
        <f xml:space="preserve"> -55.696 * _2026_04_17_16_25_21_23_high[[#This Row],[coeff]] + 79.57</f>
        <v>43.367599999999996</v>
      </c>
      <c r="J404">
        <v>0.60606059999999995</v>
      </c>
      <c r="K404">
        <f>_2026_04_17_16_25_21_23_high[[#This Row],[pfwd_filt]]+200</f>
        <v>205.2</v>
      </c>
      <c r="L404">
        <f>_2026_04_17_16_25_21_23_high[[#This Row],[p45_filt]]+200</f>
        <v>208</v>
      </c>
      <c r="M404">
        <f>_2026_04_17_16_25_21_23_high[[#This Row],[new_pfwd_filt]]/_2026_04_17_16_25_21_23_high[[#This Row],[new_p45_filt]]</f>
        <v>0.98653846153846148</v>
      </c>
    </row>
    <row r="405" spans="1:13" x14ac:dyDescent="0.3">
      <c r="A405">
        <v>403</v>
      </c>
      <c r="B405">
        <v>6409</v>
      </c>
      <c r="C405" t="b">
        <v>1</v>
      </c>
      <c r="D405">
        <v>8042</v>
      </c>
      <c r="E405">
        <v>8123</v>
      </c>
      <c r="F405">
        <v>4.8</v>
      </c>
      <c r="G405">
        <v>8</v>
      </c>
      <c r="H405">
        <v>0.6</v>
      </c>
      <c r="I405">
        <f xml:space="preserve"> -55.696 * _2026_04_17_16_25_21_23_high[[#This Row],[coeff]] + 79.57</f>
        <v>46.152399999999993</v>
      </c>
      <c r="J405">
        <v>0.625</v>
      </c>
      <c r="K405">
        <f>_2026_04_17_16_25_21_23_high[[#This Row],[pfwd_filt]]+200</f>
        <v>204.8</v>
      </c>
      <c r="L405">
        <f>_2026_04_17_16_25_21_23_high[[#This Row],[p45_filt]]+200</f>
        <v>208</v>
      </c>
      <c r="M405">
        <f>_2026_04_17_16_25_21_23_high[[#This Row],[new_pfwd_filt]]/_2026_04_17_16_25_21_23_high[[#This Row],[new_p45_filt]]</f>
        <v>0.98461538461538467</v>
      </c>
    </row>
    <row r="406" spans="1:13" x14ac:dyDescent="0.3">
      <c r="A406">
        <v>404</v>
      </c>
      <c r="B406">
        <v>6425</v>
      </c>
      <c r="C406" t="b">
        <v>1</v>
      </c>
      <c r="D406">
        <v>8042</v>
      </c>
      <c r="E406">
        <v>8123</v>
      </c>
      <c r="F406">
        <v>4.4000000000000004</v>
      </c>
      <c r="G406">
        <v>8</v>
      </c>
      <c r="H406">
        <v>0.55000000000000004</v>
      </c>
      <c r="I406">
        <f xml:space="preserve"> -55.696 * _2026_04_17_16_25_21_23_high[[#This Row],[coeff]] + 79.57</f>
        <v>48.93719999999999</v>
      </c>
      <c r="J406">
        <v>0.64516132999999998</v>
      </c>
      <c r="K406">
        <f>_2026_04_17_16_25_21_23_high[[#This Row],[pfwd_filt]]+200</f>
        <v>204.4</v>
      </c>
      <c r="L406">
        <f>_2026_04_17_16_25_21_23_high[[#This Row],[p45_filt]]+200</f>
        <v>208</v>
      </c>
      <c r="M406">
        <f>_2026_04_17_16_25_21_23_high[[#This Row],[new_pfwd_filt]]/_2026_04_17_16_25_21_23_high[[#This Row],[new_p45_filt]]</f>
        <v>0.98269230769230775</v>
      </c>
    </row>
    <row r="407" spans="1:13" x14ac:dyDescent="0.3">
      <c r="A407">
        <v>405</v>
      </c>
      <c r="B407">
        <v>6441</v>
      </c>
      <c r="C407" t="b">
        <v>1</v>
      </c>
      <c r="D407">
        <v>8037</v>
      </c>
      <c r="E407">
        <v>8129</v>
      </c>
      <c r="F407">
        <v>4</v>
      </c>
      <c r="G407">
        <v>8</v>
      </c>
      <c r="H407">
        <v>0.5</v>
      </c>
      <c r="I407">
        <f xml:space="preserve"> -55.696 * _2026_04_17_16_25_21_23_high[[#This Row],[coeff]] + 79.57</f>
        <v>51.721999999999994</v>
      </c>
      <c r="J407">
        <v>0.66666669999999995</v>
      </c>
      <c r="K407">
        <f>_2026_04_17_16_25_21_23_high[[#This Row],[pfwd_filt]]+200</f>
        <v>204</v>
      </c>
      <c r="L407">
        <f>_2026_04_17_16_25_21_23_high[[#This Row],[p45_filt]]+200</f>
        <v>208</v>
      </c>
      <c r="M407">
        <f>_2026_04_17_16_25_21_23_high[[#This Row],[new_pfwd_filt]]/_2026_04_17_16_25_21_23_high[[#This Row],[new_p45_filt]]</f>
        <v>0.98076923076923073</v>
      </c>
    </row>
    <row r="408" spans="1:13" x14ac:dyDescent="0.3">
      <c r="A408">
        <v>406</v>
      </c>
      <c r="B408">
        <v>6457</v>
      </c>
      <c r="C408" t="b">
        <v>1</v>
      </c>
      <c r="D408">
        <v>8042</v>
      </c>
      <c r="E408">
        <v>8134</v>
      </c>
      <c r="F408">
        <v>3.6</v>
      </c>
      <c r="G408">
        <v>8</v>
      </c>
      <c r="H408">
        <v>0.45</v>
      </c>
      <c r="I408">
        <f xml:space="preserve"> -55.696 * _2026_04_17_16_25_21_23_high[[#This Row],[coeff]] + 79.57</f>
        <v>54.506799999999998</v>
      </c>
      <c r="J408">
        <v>0.68965509999999997</v>
      </c>
      <c r="K408">
        <f>_2026_04_17_16_25_21_23_high[[#This Row],[pfwd_filt]]+200</f>
        <v>203.6</v>
      </c>
      <c r="L408">
        <f>_2026_04_17_16_25_21_23_high[[#This Row],[p45_filt]]+200</f>
        <v>208</v>
      </c>
      <c r="M408">
        <f>_2026_04_17_16_25_21_23_high[[#This Row],[new_pfwd_filt]]/_2026_04_17_16_25_21_23_high[[#This Row],[new_p45_filt]]</f>
        <v>0.97884615384615381</v>
      </c>
    </row>
    <row r="409" spans="1:13" x14ac:dyDescent="0.3">
      <c r="A409">
        <v>407</v>
      </c>
      <c r="B409">
        <v>6473</v>
      </c>
      <c r="C409" t="b">
        <v>1</v>
      </c>
      <c r="D409">
        <v>8042</v>
      </c>
      <c r="E409">
        <v>8134</v>
      </c>
      <c r="F409">
        <v>3.6</v>
      </c>
      <c r="G409">
        <v>8.4</v>
      </c>
      <c r="H409">
        <v>0.42857142999999998</v>
      </c>
      <c r="I409">
        <f xml:space="preserve"> -55.696 * _2026_04_17_16_25_21_23_high[[#This Row],[coeff]] + 79.57</f>
        <v>55.700285634719997</v>
      </c>
      <c r="J409">
        <v>0.7</v>
      </c>
      <c r="K409">
        <f>_2026_04_17_16_25_21_23_high[[#This Row],[pfwd_filt]]+200</f>
        <v>203.6</v>
      </c>
      <c r="L409">
        <f>_2026_04_17_16_25_21_23_high[[#This Row],[p45_filt]]+200</f>
        <v>208.4</v>
      </c>
      <c r="M409">
        <f>_2026_04_17_16_25_21_23_high[[#This Row],[new_pfwd_filt]]/_2026_04_17_16_25_21_23_high[[#This Row],[new_p45_filt]]</f>
        <v>0.97696737044145865</v>
      </c>
    </row>
    <row r="410" spans="1:13" x14ac:dyDescent="0.3">
      <c r="A410">
        <v>408</v>
      </c>
      <c r="B410">
        <v>6488</v>
      </c>
      <c r="C410" t="b">
        <v>1</v>
      </c>
      <c r="D410">
        <v>8042</v>
      </c>
      <c r="E410">
        <v>8123</v>
      </c>
      <c r="F410">
        <v>3.6</v>
      </c>
      <c r="G410">
        <v>8.8000000000000007</v>
      </c>
      <c r="H410">
        <v>0.40909087999999999</v>
      </c>
      <c r="I410">
        <f xml:space="preserve"> -55.696 * _2026_04_17_16_25_21_23_high[[#This Row],[coeff]] + 79.57</f>
        <v>56.785274347519994</v>
      </c>
      <c r="J410">
        <v>0.70967745999999998</v>
      </c>
      <c r="K410">
        <f>_2026_04_17_16_25_21_23_high[[#This Row],[pfwd_filt]]+200</f>
        <v>203.6</v>
      </c>
      <c r="L410">
        <f>_2026_04_17_16_25_21_23_high[[#This Row],[p45_filt]]+200</f>
        <v>208.8</v>
      </c>
      <c r="M410">
        <f>_2026_04_17_16_25_21_23_high[[#This Row],[new_pfwd_filt]]/_2026_04_17_16_25_21_23_high[[#This Row],[new_p45_filt]]</f>
        <v>0.97509578544061293</v>
      </c>
    </row>
    <row r="411" spans="1:13" x14ac:dyDescent="0.3">
      <c r="A411">
        <v>409</v>
      </c>
      <c r="B411">
        <v>6504</v>
      </c>
      <c r="C411" t="b">
        <v>1</v>
      </c>
      <c r="D411">
        <v>8054</v>
      </c>
      <c r="E411">
        <v>8129</v>
      </c>
      <c r="F411">
        <v>3.6</v>
      </c>
      <c r="G411">
        <v>9.1999999999999993</v>
      </c>
      <c r="H411">
        <v>0.39130433999999997</v>
      </c>
      <c r="I411">
        <f xml:space="preserve"> -55.696 * _2026_04_17_16_25_21_23_high[[#This Row],[coeff]] + 79.57</f>
        <v>57.77591347936</v>
      </c>
      <c r="J411">
        <v>0.71875</v>
      </c>
      <c r="K411">
        <f>_2026_04_17_16_25_21_23_high[[#This Row],[pfwd_filt]]+200</f>
        <v>203.6</v>
      </c>
      <c r="L411">
        <f>_2026_04_17_16_25_21_23_high[[#This Row],[p45_filt]]+200</f>
        <v>209.2</v>
      </c>
      <c r="M411">
        <f>_2026_04_17_16_25_21_23_high[[#This Row],[new_pfwd_filt]]/_2026_04_17_16_25_21_23_high[[#This Row],[new_p45_filt]]</f>
        <v>0.97323135755258128</v>
      </c>
    </row>
    <row r="412" spans="1:13" x14ac:dyDescent="0.3">
      <c r="A412">
        <v>410</v>
      </c>
      <c r="B412">
        <v>6520</v>
      </c>
      <c r="C412" t="b">
        <v>1</v>
      </c>
      <c r="D412">
        <v>8048</v>
      </c>
      <c r="E412">
        <v>8129</v>
      </c>
      <c r="F412">
        <v>3.6</v>
      </c>
      <c r="G412">
        <v>9.6</v>
      </c>
      <c r="H412">
        <v>0.37499997000000002</v>
      </c>
      <c r="I412">
        <f xml:space="preserve"> -55.696 * _2026_04_17_16_25_21_23_high[[#This Row],[coeff]] + 79.57</f>
        <v>58.684001670879994</v>
      </c>
      <c r="J412">
        <v>0.72727269999999999</v>
      </c>
      <c r="K412">
        <f>_2026_04_17_16_25_21_23_high[[#This Row],[pfwd_filt]]+200</f>
        <v>203.6</v>
      </c>
      <c r="L412">
        <f>_2026_04_17_16_25_21_23_high[[#This Row],[p45_filt]]+200</f>
        <v>209.6</v>
      </c>
      <c r="M412">
        <f>_2026_04_17_16_25_21_23_high[[#This Row],[new_pfwd_filt]]/_2026_04_17_16_25_21_23_high[[#This Row],[new_p45_filt]]</f>
        <v>0.97137404580152675</v>
      </c>
    </row>
    <row r="413" spans="1:13" x14ac:dyDescent="0.3">
      <c r="A413">
        <v>411</v>
      </c>
      <c r="B413">
        <v>6536</v>
      </c>
      <c r="C413" t="b">
        <v>1</v>
      </c>
      <c r="D413">
        <v>8048</v>
      </c>
      <c r="E413">
        <v>8123</v>
      </c>
      <c r="F413">
        <v>3.6</v>
      </c>
      <c r="G413">
        <v>10</v>
      </c>
      <c r="H413">
        <v>0.35999998</v>
      </c>
      <c r="I413">
        <f xml:space="preserve"> -55.696 * _2026_04_17_16_25_21_23_high[[#This Row],[coeff]] + 79.57</f>
        <v>59.519441113919996</v>
      </c>
      <c r="J413">
        <v>0.73529409999999995</v>
      </c>
      <c r="K413">
        <f>_2026_04_17_16_25_21_23_high[[#This Row],[pfwd_filt]]+200</f>
        <v>203.6</v>
      </c>
      <c r="L413">
        <f>_2026_04_17_16_25_21_23_high[[#This Row],[p45_filt]]+200</f>
        <v>210</v>
      </c>
      <c r="M413">
        <f>_2026_04_17_16_25_21_23_high[[#This Row],[new_pfwd_filt]]/_2026_04_17_16_25_21_23_high[[#This Row],[new_p45_filt]]</f>
        <v>0.96952380952380945</v>
      </c>
    </row>
    <row r="414" spans="1:13" x14ac:dyDescent="0.3">
      <c r="A414">
        <v>412</v>
      </c>
      <c r="B414">
        <v>6552</v>
      </c>
      <c r="C414" t="b">
        <v>1</v>
      </c>
      <c r="D414">
        <v>8048</v>
      </c>
      <c r="E414">
        <v>8123</v>
      </c>
      <c r="F414">
        <v>3.6</v>
      </c>
      <c r="G414">
        <v>10</v>
      </c>
      <c r="H414">
        <v>0.35999998</v>
      </c>
      <c r="I414">
        <f xml:space="preserve"> -55.696 * _2026_04_17_16_25_21_23_high[[#This Row],[coeff]] + 79.57</f>
        <v>59.519441113919996</v>
      </c>
      <c r="J414">
        <v>0.73529409999999995</v>
      </c>
      <c r="K414">
        <f>_2026_04_17_16_25_21_23_high[[#This Row],[pfwd_filt]]+200</f>
        <v>203.6</v>
      </c>
      <c r="L414">
        <f>_2026_04_17_16_25_21_23_high[[#This Row],[p45_filt]]+200</f>
        <v>210</v>
      </c>
      <c r="M414">
        <f>_2026_04_17_16_25_21_23_high[[#This Row],[new_pfwd_filt]]/_2026_04_17_16_25_21_23_high[[#This Row],[new_p45_filt]]</f>
        <v>0.96952380952380945</v>
      </c>
    </row>
    <row r="415" spans="1:13" x14ac:dyDescent="0.3">
      <c r="A415">
        <v>413</v>
      </c>
      <c r="B415">
        <v>6568</v>
      </c>
      <c r="C415" t="b">
        <v>1</v>
      </c>
      <c r="D415">
        <v>8042</v>
      </c>
      <c r="E415">
        <v>8123</v>
      </c>
      <c r="F415">
        <v>4</v>
      </c>
      <c r="G415">
        <v>10</v>
      </c>
      <c r="H415">
        <v>0.4</v>
      </c>
      <c r="I415">
        <f xml:space="preserve"> -55.696 * _2026_04_17_16_25_21_23_high[[#This Row],[coeff]] + 79.57</f>
        <v>57.291599999999988</v>
      </c>
      <c r="J415">
        <v>0.71428572999999995</v>
      </c>
      <c r="K415">
        <f>_2026_04_17_16_25_21_23_high[[#This Row],[pfwd_filt]]+200</f>
        <v>204</v>
      </c>
      <c r="L415">
        <f>_2026_04_17_16_25_21_23_high[[#This Row],[p45_filt]]+200</f>
        <v>210</v>
      </c>
      <c r="M415">
        <f>_2026_04_17_16_25_21_23_high[[#This Row],[new_pfwd_filt]]/_2026_04_17_16_25_21_23_high[[#This Row],[new_p45_filt]]</f>
        <v>0.97142857142857142</v>
      </c>
    </row>
    <row r="416" spans="1:13" x14ac:dyDescent="0.3">
      <c r="A416">
        <v>414</v>
      </c>
      <c r="B416">
        <v>6584</v>
      </c>
      <c r="C416" t="b">
        <v>1</v>
      </c>
      <c r="D416">
        <v>8042</v>
      </c>
      <c r="E416">
        <v>8123</v>
      </c>
      <c r="F416">
        <v>4</v>
      </c>
      <c r="G416">
        <v>10</v>
      </c>
      <c r="H416">
        <v>0.4</v>
      </c>
      <c r="I416">
        <f xml:space="preserve"> -55.696 * _2026_04_17_16_25_21_23_high[[#This Row],[coeff]] + 79.57</f>
        <v>57.291599999999988</v>
      </c>
      <c r="J416">
        <v>0.71428572999999995</v>
      </c>
      <c r="K416">
        <f>_2026_04_17_16_25_21_23_high[[#This Row],[pfwd_filt]]+200</f>
        <v>204</v>
      </c>
      <c r="L416">
        <f>_2026_04_17_16_25_21_23_high[[#This Row],[p45_filt]]+200</f>
        <v>210</v>
      </c>
      <c r="M416">
        <f>_2026_04_17_16_25_21_23_high[[#This Row],[new_pfwd_filt]]/_2026_04_17_16_25_21_23_high[[#This Row],[new_p45_filt]]</f>
        <v>0.97142857142857142</v>
      </c>
    </row>
    <row r="417" spans="1:13" x14ac:dyDescent="0.3">
      <c r="A417">
        <v>415</v>
      </c>
      <c r="B417">
        <v>6600</v>
      </c>
      <c r="C417" t="b">
        <v>1</v>
      </c>
      <c r="D417">
        <v>8048</v>
      </c>
      <c r="E417">
        <v>8129</v>
      </c>
      <c r="F417">
        <v>4</v>
      </c>
      <c r="G417">
        <v>10</v>
      </c>
      <c r="H417">
        <v>0.4</v>
      </c>
      <c r="I417">
        <f xml:space="preserve"> -55.696 * _2026_04_17_16_25_21_23_high[[#This Row],[coeff]] + 79.57</f>
        <v>57.291599999999988</v>
      </c>
      <c r="J417">
        <v>0.71428572999999995</v>
      </c>
      <c r="K417">
        <f>_2026_04_17_16_25_21_23_high[[#This Row],[pfwd_filt]]+200</f>
        <v>204</v>
      </c>
      <c r="L417">
        <f>_2026_04_17_16_25_21_23_high[[#This Row],[p45_filt]]+200</f>
        <v>210</v>
      </c>
      <c r="M417">
        <f>_2026_04_17_16_25_21_23_high[[#This Row],[new_pfwd_filt]]/_2026_04_17_16_25_21_23_high[[#This Row],[new_p45_filt]]</f>
        <v>0.97142857142857142</v>
      </c>
    </row>
    <row r="418" spans="1:13" x14ac:dyDescent="0.3">
      <c r="A418">
        <v>416</v>
      </c>
      <c r="B418">
        <v>6616</v>
      </c>
      <c r="C418" t="b">
        <v>1</v>
      </c>
      <c r="D418">
        <v>8048</v>
      </c>
      <c r="E418">
        <v>8129</v>
      </c>
      <c r="F418">
        <v>4.4000000000000004</v>
      </c>
      <c r="G418">
        <v>10</v>
      </c>
      <c r="H418">
        <v>0.44</v>
      </c>
      <c r="I418">
        <f xml:space="preserve"> -55.696 * _2026_04_17_16_25_21_23_high[[#This Row],[coeff]] + 79.57</f>
        <v>55.063759999999995</v>
      </c>
      <c r="J418">
        <v>0.69444450000000002</v>
      </c>
      <c r="K418">
        <f>_2026_04_17_16_25_21_23_high[[#This Row],[pfwd_filt]]+200</f>
        <v>204.4</v>
      </c>
      <c r="L418">
        <f>_2026_04_17_16_25_21_23_high[[#This Row],[p45_filt]]+200</f>
        <v>210</v>
      </c>
      <c r="M418">
        <f>_2026_04_17_16_25_21_23_high[[#This Row],[new_pfwd_filt]]/_2026_04_17_16_25_21_23_high[[#This Row],[new_p45_filt]]</f>
        <v>0.97333333333333338</v>
      </c>
    </row>
    <row r="419" spans="1:13" x14ac:dyDescent="0.3">
      <c r="A419">
        <v>417</v>
      </c>
      <c r="B419">
        <v>6631</v>
      </c>
      <c r="C419" t="b">
        <v>1</v>
      </c>
      <c r="D419">
        <v>8048</v>
      </c>
      <c r="E419">
        <v>8129</v>
      </c>
      <c r="F419">
        <v>4.8</v>
      </c>
      <c r="G419">
        <v>10.4</v>
      </c>
      <c r="H419">
        <v>0.46153850000000002</v>
      </c>
      <c r="I419">
        <f xml:space="preserve"> -55.696 * _2026_04_17_16_25_21_23_high[[#This Row],[coeff]] + 79.57</f>
        <v>53.864151703999994</v>
      </c>
      <c r="J419">
        <v>0.68421054000000003</v>
      </c>
      <c r="K419">
        <f>_2026_04_17_16_25_21_23_high[[#This Row],[pfwd_filt]]+200</f>
        <v>204.8</v>
      </c>
      <c r="L419">
        <f>_2026_04_17_16_25_21_23_high[[#This Row],[p45_filt]]+200</f>
        <v>210.4</v>
      </c>
      <c r="M419">
        <f>_2026_04_17_16_25_21_23_high[[#This Row],[new_pfwd_filt]]/_2026_04_17_16_25_21_23_high[[#This Row],[new_p45_filt]]</f>
        <v>0.97338403041825095</v>
      </c>
    </row>
    <row r="420" spans="1:13" x14ac:dyDescent="0.3">
      <c r="A420">
        <v>418</v>
      </c>
      <c r="B420">
        <v>6647</v>
      </c>
      <c r="C420" t="b">
        <v>1</v>
      </c>
      <c r="D420">
        <v>8048</v>
      </c>
      <c r="E420">
        <v>8123</v>
      </c>
      <c r="F420">
        <v>5.2</v>
      </c>
      <c r="G420">
        <v>10.8</v>
      </c>
      <c r="H420">
        <v>0.48148146000000003</v>
      </c>
      <c r="I420">
        <f xml:space="preserve"> -55.696 * _2026_04_17_16_25_21_23_high[[#This Row],[coeff]] + 79.57</f>
        <v>52.753408603839993</v>
      </c>
      <c r="J420">
        <v>0.67500000000000004</v>
      </c>
      <c r="K420">
        <f>_2026_04_17_16_25_21_23_high[[#This Row],[pfwd_filt]]+200</f>
        <v>205.2</v>
      </c>
      <c r="L420">
        <f>_2026_04_17_16_25_21_23_high[[#This Row],[p45_filt]]+200</f>
        <v>210.8</v>
      </c>
      <c r="M420">
        <f>_2026_04_17_16_25_21_23_high[[#This Row],[new_pfwd_filt]]/_2026_04_17_16_25_21_23_high[[#This Row],[new_p45_filt]]</f>
        <v>0.97343453510436417</v>
      </c>
    </row>
    <row r="421" spans="1:13" x14ac:dyDescent="0.3">
      <c r="A421">
        <v>419</v>
      </c>
      <c r="B421">
        <v>6663</v>
      </c>
      <c r="C421" t="b">
        <v>1</v>
      </c>
      <c r="D421">
        <v>8048</v>
      </c>
      <c r="E421">
        <v>8129</v>
      </c>
      <c r="F421">
        <v>5.6</v>
      </c>
      <c r="G421">
        <v>11.2</v>
      </c>
      <c r="H421">
        <v>0.5</v>
      </c>
      <c r="I421">
        <f xml:space="preserve"> -55.696 * _2026_04_17_16_25_21_23_high[[#This Row],[coeff]] + 79.57</f>
        <v>51.721999999999994</v>
      </c>
      <c r="J421">
        <v>0.66666669999999995</v>
      </c>
      <c r="K421">
        <f>_2026_04_17_16_25_21_23_high[[#This Row],[pfwd_filt]]+200</f>
        <v>205.6</v>
      </c>
      <c r="L421">
        <f>_2026_04_17_16_25_21_23_high[[#This Row],[p45_filt]]+200</f>
        <v>211.2</v>
      </c>
      <c r="M421">
        <f>_2026_04_17_16_25_21_23_high[[#This Row],[new_pfwd_filt]]/_2026_04_17_16_25_21_23_high[[#This Row],[new_p45_filt]]</f>
        <v>0.97348484848484851</v>
      </c>
    </row>
    <row r="422" spans="1:13" x14ac:dyDescent="0.3">
      <c r="A422">
        <v>420</v>
      </c>
      <c r="B422">
        <v>6679</v>
      </c>
      <c r="C422" t="b">
        <v>1</v>
      </c>
      <c r="D422">
        <v>8048</v>
      </c>
      <c r="E422">
        <v>8123</v>
      </c>
      <c r="F422">
        <v>6</v>
      </c>
      <c r="G422">
        <v>11.6</v>
      </c>
      <c r="H422">
        <v>0.51724135999999998</v>
      </c>
      <c r="I422">
        <f xml:space="preserve"> -55.696 * _2026_04_17_16_25_21_23_high[[#This Row],[coeff]] + 79.57</f>
        <v>50.761725213439995</v>
      </c>
      <c r="J422">
        <v>0.65909094000000001</v>
      </c>
      <c r="K422">
        <f>_2026_04_17_16_25_21_23_high[[#This Row],[pfwd_filt]]+200</f>
        <v>206</v>
      </c>
      <c r="L422">
        <f>_2026_04_17_16_25_21_23_high[[#This Row],[p45_filt]]+200</f>
        <v>211.6</v>
      </c>
      <c r="M422">
        <f>_2026_04_17_16_25_21_23_high[[#This Row],[new_pfwd_filt]]/_2026_04_17_16_25_21_23_high[[#This Row],[new_p45_filt]]</f>
        <v>0.97353497164461256</v>
      </c>
    </row>
    <row r="423" spans="1:13" x14ac:dyDescent="0.3">
      <c r="A423">
        <v>421</v>
      </c>
      <c r="B423">
        <v>6694</v>
      </c>
      <c r="C423" t="b">
        <v>1</v>
      </c>
      <c r="D423">
        <v>8048</v>
      </c>
      <c r="E423">
        <v>8129</v>
      </c>
      <c r="F423">
        <v>6.4</v>
      </c>
      <c r="G423">
        <v>12</v>
      </c>
      <c r="H423">
        <v>0.53333335999999998</v>
      </c>
      <c r="I423">
        <f xml:space="preserve"> -55.696 * _2026_04_17_16_25_21_23_high[[#This Row],[coeff]] + 79.57</f>
        <v>49.865465181439994</v>
      </c>
      <c r="J423">
        <v>0.65217393999999995</v>
      </c>
      <c r="K423">
        <f>_2026_04_17_16_25_21_23_high[[#This Row],[pfwd_filt]]+200</f>
        <v>206.4</v>
      </c>
      <c r="L423">
        <f>_2026_04_17_16_25_21_23_high[[#This Row],[p45_filt]]+200</f>
        <v>212</v>
      </c>
      <c r="M423">
        <f>_2026_04_17_16_25_21_23_high[[#This Row],[new_pfwd_filt]]/_2026_04_17_16_25_21_23_high[[#This Row],[new_p45_filt]]</f>
        <v>0.97358490566037736</v>
      </c>
    </row>
    <row r="424" spans="1:13" x14ac:dyDescent="0.3">
      <c r="A424">
        <v>422</v>
      </c>
      <c r="B424">
        <v>6710</v>
      </c>
      <c r="C424" t="b">
        <v>1</v>
      </c>
      <c r="D424">
        <v>8048</v>
      </c>
      <c r="E424">
        <v>8123</v>
      </c>
      <c r="F424">
        <v>6.8</v>
      </c>
      <c r="G424">
        <v>11.6</v>
      </c>
      <c r="H424">
        <v>0.58620689999999998</v>
      </c>
      <c r="I424">
        <f xml:space="preserve"> -55.696 * _2026_04_17_16_25_21_23_high[[#This Row],[coeff]] + 79.57</f>
        <v>46.920620497599998</v>
      </c>
      <c r="J424">
        <v>0.63043475000000004</v>
      </c>
      <c r="K424">
        <f>_2026_04_17_16_25_21_23_high[[#This Row],[pfwd_filt]]+200</f>
        <v>206.8</v>
      </c>
      <c r="L424">
        <f>_2026_04_17_16_25_21_23_high[[#This Row],[p45_filt]]+200</f>
        <v>211.6</v>
      </c>
      <c r="M424">
        <f>_2026_04_17_16_25_21_23_high[[#This Row],[new_pfwd_filt]]/_2026_04_17_16_25_21_23_high[[#This Row],[new_p45_filt]]</f>
        <v>0.97731568998109652</v>
      </c>
    </row>
    <row r="425" spans="1:13" x14ac:dyDescent="0.3">
      <c r="A425">
        <v>423</v>
      </c>
      <c r="B425">
        <v>6726</v>
      </c>
      <c r="C425" t="b">
        <v>1</v>
      </c>
      <c r="D425">
        <v>8048</v>
      </c>
      <c r="E425">
        <v>8129</v>
      </c>
      <c r="F425">
        <v>7.2</v>
      </c>
      <c r="G425">
        <v>11.6</v>
      </c>
      <c r="H425">
        <v>0.62068962999999999</v>
      </c>
      <c r="I425">
        <f xml:space="preserve"> -55.696 * _2026_04_17_16_25_21_23_high[[#This Row],[coeff]] + 79.57</f>
        <v>45.000070367519996</v>
      </c>
      <c r="J425">
        <v>0.61702129999999999</v>
      </c>
      <c r="K425">
        <f>_2026_04_17_16_25_21_23_high[[#This Row],[pfwd_filt]]+200</f>
        <v>207.2</v>
      </c>
      <c r="L425">
        <f>_2026_04_17_16_25_21_23_high[[#This Row],[p45_filt]]+200</f>
        <v>211.6</v>
      </c>
      <c r="M425">
        <f>_2026_04_17_16_25_21_23_high[[#This Row],[new_pfwd_filt]]/_2026_04_17_16_25_21_23_high[[#This Row],[new_p45_filt]]</f>
        <v>0.9792060491493384</v>
      </c>
    </row>
    <row r="426" spans="1:13" x14ac:dyDescent="0.3">
      <c r="A426">
        <v>424</v>
      </c>
      <c r="B426">
        <v>6742</v>
      </c>
      <c r="C426" t="b">
        <v>1</v>
      </c>
      <c r="D426">
        <v>8048</v>
      </c>
      <c r="E426">
        <v>8129</v>
      </c>
      <c r="F426">
        <v>7.6</v>
      </c>
      <c r="G426">
        <v>11.6</v>
      </c>
      <c r="H426">
        <v>0.65517239999999999</v>
      </c>
      <c r="I426">
        <f xml:space="preserve"> -55.696 * _2026_04_17_16_25_21_23_high[[#This Row],[coeff]] + 79.57</f>
        <v>43.079518009599994</v>
      </c>
      <c r="J426">
        <v>0.60416669999999995</v>
      </c>
      <c r="K426">
        <f>_2026_04_17_16_25_21_23_high[[#This Row],[pfwd_filt]]+200</f>
        <v>207.6</v>
      </c>
      <c r="L426">
        <f>_2026_04_17_16_25_21_23_high[[#This Row],[p45_filt]]+200</f>
        <v>211.6</v>
      </c>
      <c r="M426">
        <f>_2026_04_17_16_25_21_23_high[[#This Row],[new_pfwd_filt]]/_2026_04_17_16_25_21_23_high[[#This Row],[new_p45_filt]]</f>
        <v>0.98109640831758038</v>
      </c>
    </row>
    <row r="427" spans="1:13" x14ac:dyDescent="0.3">
      <c r="A427">
        <v>425</v>
      </c>
      <c r="B427">
        <v>6758</v>
      </c>
      <c r="C427" t="b">
        <v>1</v>
      </c>
      <c r="D427">
        <v>8048</v>
      </c>
      <c r="E427">
        <v>8129</v>
      </c>
      <c r="F427">
        <v>8</v>
      </c>
      <c r="G427">
        <v>11.6</v>
      </c>
      <c r="H427">
        <v>0.68965509999999997</v>
      </c>
      <c r="I427">
        <f xml:space="preserve"> -55.696 * _2026_04_17_16_25_21_23_high[[#This Row],[coeff]] + 79.57</f>
        <v>41.158969550399995</v>
      </c>
      <c r="J427">
        <v>0.59183675000000002</v>
      </c>
      <c r="K427">
        <f>_2026_04_17_16_25_21_23_high[[#This Row],[pfwd_filt]]+200</f>
        <v>208</v>
      </c>
      <c r="L427">
        <f>_2026_04_17_16_25_21_23_high[[#This Row],[p45_filt]]+200</f>
        <v>211.6</v>
      </c>
      <c r="M427">
        <f>_2026_04_17_16_25_21_23_high[[#This Row],[new_pfwd_filt]]/_2026_04_17_16_25_21_23_high[[#This Row],[new_p45_filt]]</f>
        <v>0.98298676748582237</v>
      </c>
    </row>
    <row r="428" spans="1:13" x14ac:dyDescent="0.3">
      <c r="A428">
        <v>426</v>
      </c>
      <c r="B428">
        <v>6774</v>
      </c>
      <c r="C428" t="b">
        <v>1</v>
      </c>
      <c r="D428">
        <v>8048</v>
      </c>
      <c r="E428">
        <v>8123</v>
      </c>
      <c r="F428">
        <v>8</v>
      </c>
      <c r="G428">
        <v>11.6</v>
      </c>
      <c r="H428">
        <v>0.68965509999999997</v>
      </c>
      <c r="I428">
        <f xml:space="preserve"> -55.696 * _2026_04_17_16_25_21_23_high[[#This Row],[coeff]] + 79.57</f>
        <v>41.158969550399995</v>
      </c>
      <c r="J428">
        <v>0.59183675000000002</v>
      </c>
      <c r="K428">
        <f>_2026_04_17_16_25_21_23_high[[#This Row],[pfwd_filt]]+200</f>
        <v>208</v>
      </c>
      <c r="L428">
        <f>_2026_04_17_16_25_21_23_high[[#This Row],[p45_filt]]+200</f>
        <v>211.6</v>
      </c>
      <c r="M428">
        <f>_2026_04_17_16_25_21_23_high[[#This Row],[new_pfwd_filt]]/_2026_04_17_16_25_21_23_high[[#This Row],[new_p45_filt]]</f>
        <v>0.98298676748582237</v>
      </c>
    </row>
    <row r="429" spans="1:13" x14ac:dyDescent="0.3">
      <c r="A429">
        <v>427</v>
      </c>
      <c r="B429">
        <v>6790</v>
      </c>
      <c r="C429" t="b">
        <v>1</v>
      </c>
      <c r="D429">
        <v>8042</v>
      </c>
      <c r="E429">
        <v>8123</v>
      </c>
      <c r="F429">
        <v>8</v>
      </c>
      <c r="G429">
        <v>12</v>
      </c>
      <c r="H429">
        <v>0.66666669999999995</v>
      </c>
      <c r="I429">
        <f xml:space="preserve"> -55.696 * _2026_04_17_16_25_21_23_high[[#This Row],[coeff]] + 79.57</f>
        <v>42.4393314768</v>
      </c>
      <c r="J429">
        <v>0.6</v>
      </c>
      <c r="K429">
        <f>_2026_04_17_16_25_21_23_high[[#This Row],[pfwd_filt]]+200</f>
        <v>208</v>
      </c>
      <c r="L429">
        <f>_2026_04_17_16_25_21_23_high[[#This Row],[p45_filt]]+200</f>
        <v>212</v>
      </c>
      <c r="M429">
        <f>_2026_04_17_16_25_21_23_high[[#This Row],[new_pfwd_filt]]/_2026_04_17_16_25_21_23_high[[#This Row],[new_p45_filt]]</f>
        <v>0.98113207547169812</v>
      </c>
    </row>
    <row r="430" spans="1:13" x14ac:dyDescent="0.3">
      <c r="A430">
        <v>428</v>
      </c>
      <c r="B430">
        <v>6806</v>
      </c>
      <c r="C430" t="b">
        <v>1</v>
      </c>
      <c r="D430">
        <v>8042</v>
      </c>
      <c r="E430">
        <v>8123</v>
      </c>
      <c r="F430">
        <v>8</v>
      </c>
      <c r="G430">
        <v>12</v>
      </c>
      <c r="H430">
        <v>0.66666669999999995</v>
      </c>
      <c r="I430">
        <f xml:space="preserve"> -55.696 * _2026_04_17_16_25_21_23_high[[#This Row],[coeff]] + 79.57</f>
        <v>42.4393314768</v>
      </c>
      <c r="J430">
        <v>0.6</v>
      </c>
      <c r="K430">
        <f>_2026_04_17_16_25_21_23_high[[#This Row],[pfwd_filt]]+200</f>
        <v>208</v>
      </c>
      <c r="L430">
        <f>_2026_04_17_16_25_21_23_high[[#This Row],[p45_filt]]+200</f>
        <v>212</v>
      </c>
      <c r="M430">
        <f>_2026_04_17_16_25_21_23_high[[#This Row],[new_pfwd_filt]]/_2026_04_17_16_25_21_23_high[[#This Row],[new_p45_filt]]</f>
        <v>0.98113207547169812</v>
      </c>
    </row>
    <row r="431" spans="1:13" x14ac:dyDescent="0.3">
      <c r="A431">
        <v>429</v>
      </c>
      <c r="B431">
        <v>6822</v>
      </c>
      <c r="C431" t="b">
        <v>1</v>
      </c>
      <c r="D431">
        <v>8042</v>
      </c>
      <c r="E431">
        <v>8123</v>
      </c>
      <c r="F431">
        <v>7.6</v>
      </c>
      <c r="G431">
        <v>12</v>
      </c>
      <c r="H431">
        <v>0.63333329999999999</v>
      </c>
      <c r="I431">
        <f xml:space="preserve"> -55.696 * _2026_04_17_16_25_21_23_high[[#This Row],[coeff]] + 79.57</f>
        <v>44.295868523199992</v>
      </c>
      <c r="J431">
        <v>0.61224489999999998</v>
      </c>
      <c r="K431">
        <f>_2026_04_17_16_25_21_23_high[[#This Row],[pfwd_filt]]+200</f>
        <v>207.6</v>
      </c>
      <c r="L431">
        <f>_2026_04_17_16_25_21_23_high[[#This Row],[p45_filt]]+200</f>
        <v>212</v>
      </c>
      <c r="M431">
        <f>_2026_04_17_16_25_21_23_high[[#This Row],[new_pfwd_filt]]/_2026_04_17_16_25_21_23_high[[#This Row],[new_p45_filt]]</f>
        <v>0.97924528301886793</v>
      </c>
    </row>
    <row r="432" spans="1:13" x14ac:dyDescent="0.3">
      <c r="A432">
        <v>430</v>
      </c>
      <c r="B432">
        <v>6838</v>
      </c>
      <c r="C432" t="b">
        <v>1</v>
      </c>
      <c r="D432">
        <v>8042</v>
      </c>
      <c r="E432">
        <v>8117</v>
      </c>
      <c r="F432">
        <v>7.2</v>
      </c>
      <c r="G432">
        <v>12</v>
      </c>
      <c r="H432">
        <v>0.59999996</v>
      </c>
      <c r="I432">
        <f xml:space="preserve"> -55.696 * _2026_04_17_16_25_21_23_high[[#This Row],[coeff]] + 79.57</f>
        <v>46.152402227839993</v>
      </c>
      <c r="J432">
        <v>0.625</v>
      </c>
      <c r="K432">
        <f>_2026_04_17_16_25_21_23_high[[#This Row],[pfwd_filt]]+200</f>
        <v>207.2</v>
      </c>
      <c r="L432">
        <f>_2026_04_17_16_25_21_23_high[[#This Row],[p45_filt]]+200</f>
        <v>212</v>
      </c>
      <c r="M432">
        <f>_2026_04_17_16_25_21_23_high[[#This Row],[new_pfwd_filt]]/_2026_04_17_16_25_21_23_high[[#This Row],[new_p45_filt]]</f>
        <v>0.97735849056603763</v>
      </c>
    </row>
    <row r="433" spans="1:13" x14ac:dyDescent="0.3">
      <c r="A433">
        <v>431</v>
      </c>
      <c r="B433">
        <v>6854</v>
      </c>
      <c r="C433" t="b">
        <v>1</v>
      </c>
      <c r="D433">
        <v>8042</v>
      </c>
      <c r="E433">
        <v>8123</v>
      </c>
      <c r="F433">
        <v>6.8</v>
      </c>
      <c r="G433">
        <v>12</v>
      </c>
      <c r="H433">
        <v>0.56666665999999999</v>
      </c>
      <c r="I433">
        <f xml:space="preserve"> -55.696 * _2026_04_17_16_25_21_23_high[[#This Row],[coeff]] + 79.57</f>
        <v>48.008933704639993</v>
      </c>
      <c r="J433">
        <v>0.63829789999999997</v>
      </c>
      <c r="K433">
        <f>_2026_04_17_16_25_21_23_high[[#This Row],[pfwd_filt]]+200</f>
        <v>206.8</v>
      </c>
      <c r="L433">
        <f>_2026_04_17_16_25_21_23_high[[#This Row],[p45_filt]]+200</f>
        <v>212</v>
      </c>
      <c r="M433">
        <f>_2026_04_17_16_25_21_23_high[[#This Row],[new_pfwd_filt]]/_2026_04_17_16_25_21_23_high[[#This Row],[new_p45_filt]]</f>
        <v>0.97547169811320755</v>
      </c>
    </row>
    <row r="434" spans="1:13" x14ac:dyDescent="0.3">
      <c r="A434">
        <v>432</v>
      </c>
      <c r="B434">
        <v>6870</v>
      </c>
      <c r="C434" t="b">
        <v>1</v>
      </c>
      <c r="D434">
        <v>8042</v>
      </c>
      <c r="E434">
        <v>8129</v>
      </c>
      <c r="F434">
        <v>6.4</v>
      </c>
      <c r="G434">
        <v>11.6</v>
      </c>
      <c r="H434">
        <v>0.55172414000000003</v>
      </c>
      <c r="I434">
        <f xml:space="preserve"> -55.696 * _2026_04_17_16_25_21_23_high[[#This Row],[coeff]] + 79.57</f>
        <v>48.841172298559997</v>
      </c>
      <c r="J434">
        <v>0.64444447000000005</v>
      </c>
      <c r="K434">
        <f>_2026_04_17_16_25_21_23_high[[#This Row],[pfwd_filt]]+200</f>
        <v>206.4</v>
      </c>
      <c r="L434">
        <f>_2026_04_17_16_25_21_23_high[[#This Row],[p45_filt]]+200</f>
        <v>211.6</v>
      </c>
      <c r="M434">
        <f>_2026_04_17_16_25_21_23_high[[#This Row],[new_pfwd_filt]]/_2026_04_17_16_25_21_23_high[[#This Row],[new_p45_filt]]</f>
        <v>0.97542533081285454</v>
      </c>
    </row>
    <row r="435" spans="1:13" x14ac:dyDescent="0.3">
      <c r="A435">
        <v>433</v>
      </c>
      <c r="B435">
        <v>6886</v>
      </c>
      <c r="C435" t="b">
        <v>1</v>
      </c>
      <c r="D435">
        <v>8042</v>
      </c>
      <c r="E435">
        <v>8129</v>
      </c>
      <c r="F435">
        <v>6</v>
      </c>
      <c r="G435">
        <v>11.2</v>
      </c>
      <c r="H435">
        <v>0.53571427000000005</v>
      </c>
      <c r="I435">
        <f xml:space="preserve"> -55.696 * _2026_04_17_16_25_21_23_high[[#This Row],[coeff]] + 79.57</f>
        <v>49.732858018079995</v>
      </c>
      <c r="J435">
        <v>0.65116273999999996</v>
      </c>
      <c r="K435">
        <f>_2026_04_17_16_25_21_23_high[[#This Row],[pfwd_filt]]+200</f>
        <v>206</v>
      </c>
      <c r="L435">
        <f>_2026_04_17_16_25_21_23_high[[#This Row],[p45_filt]]+200</f>
        <v>211.2</v>
      </c>
      <c r="M435">
        <f>_2026_04_17_16_25_21_23_high[[#This Row],[new_pfwd_filt]]/_2026_04_17_16_25_21_23_high[[#This Row],[new_p45_filt]]</f>
        <v>0.97537878787878796</v>
      </c>
    </row>
    <row r="436" spans="1:13" x14ac:dyDescent="0.3">
      <c r="A436">
        <v>434</v>
      </c>
      <c r="B436">
        <v>6902</v>
      </c>
      <c r="C436" t="b">
        <v>1</v>
      </c>
      <c r="D436">
        <v>8048</v>
      </c>
      <c r="E436">
        <v>8123</v>
      </c>
      <c r="F436">
        <v>5.6</v>
      </c>
      <c r="G436">
        <v>10.8</v>
      </c>
      <c r="H436">
        <v>0.51851849999999999</v>
      </c>
      <c r="I436">
        <f xml:space="preserve"> -55.696 * _2026_04_17_16_25_21_23_high[[#This Row],[coeff]] + 79.57</f>
        <v>50.690593623999995</v>
      </c>
      <c r="J436">
        <v>0.65853660000000003</v>
      </c>
      <c r="K436">
        <f>_2026_04_17_16_25_21_23_high[[#This Row],[pfwd_filt]]+200</f>
        <v>205.6</v>
      </c>
      <c r="L436">
        <f>_2026_04_17_16_25_21_23_high[[#This Row],[p45_filt]]+200</f>
        <v>210.8</v>
      </c>
      <c r="M436">
        <f>_2026_04_17_16_25_21_23_high[[#This Row],[new_pfwd_filt]]/_2026_04_17_16_25_21_23_high[[#This Row],[new_p45_filt]]</f>
        <v>0.97533206831119534</v>
      </c>
    </row>
    <row r="437" spans="1:13" x14ac:dyDescent="0.3">
      <c r="A437">
        <v>435</v>
      </c>
      <c r="B437">
        <v>6918</v>
      </c>
      <c r="C437" t="b">
        <v>1</v>
      </c>
      <c r="D437">
        <v>8048</v>
      </c>
      <c r="E437">
        <v>8129</v>
      </c>
      <c r="F437">
        <v>5.2</v>
      </c>
      <c r="G437">
        <v>10.8</v>
      </c>
      <c r="H437">
        <v>0.48148146000000003</v>
      </c>
      <c r="I437">
        <f xml:space="preserve"> -55.696 * _2026_04_17_16_25_21_23_high[[#This Row],[coeff]] + 79.57</f>
        <v>52.753408603839993</v>
      </c>
      <c r="J437">
        <v>0.67500000000000004</v>
      </c>
      <c r="K437">
        <f>_2026_04_17_16_25_21_23_high[[#This Row],[pfwd_filt]]+200</f>
        <v>205.2</v>
      </c>
      <c r="L437">
        <f>_2026_04_17_16_25_21_23_high[[#This Row],[p45_filt]]+200</f>
        <v>210.8</v>
      </c>
      <c r="M437">
        <f>_2026_04_17_16_25_21_23_high[[#This Row],[new_pfwd_filt]]/_2026_04_17_16_25_21_23_high[[#This Row],[new_p45_filt]]</f>
        <v>0.97343453510436417</v>
      </c>
    </row>
    <row r="438" spans="1:13" x14ac:dyDescent="0.3">
      <c r="A438">
        <v>436</v>
      </c>
      <c r="B438">
        <v>6934</v>
      </c>
      <c r="C438" t="b">
        <v>1</v>
      </c>
      <c r="D438">
        <v>8048</v>
      </c>
      <c r="E438">
        <v>8117</v>
      </c>
      <c r="F438">
        <v>5.2</v>
      </c>
      <c r="G438">
        <v>10.8</v>
      </c>
      <c r="H438">
        <v>0.48148146000000003</v>
      </c>
      <c r="I438">
        <f xml:space="preserve"> -55.696 * _2026_04_17_16_25_21_23_high[[#This Row],[coeff]] + 79.57</f>
        <v>52.753408603839993</v>
      </c>
      <c r="J438">
        <v>0.67500000000000004</v>
      </c>
      <c r="K438">
        <f>_2026_04_17_16_25_21_23_high[[#This Row],[pfwd_filt]]+200</f>
        <v>205.2</v>
      </c>
      <c r="L438">
        <f>_2026_04_17_16_25_21_23_high[[#This Row],[p45_filt]]+200</f>
        <v>210.8</v>
      </c>
      <c r="M438">
        <f>_2026_04_17_16_25_21_23_high[[#This Row],[new_pfwd_filt]]/_2026_04_17_16_25_21_23_high[[#This Row],[new_p45_filt]]</f>
        <v>0.97343453510436417</v>
      </c>
    </row>
    <row r="439" spans="1:13" x14ac:dyDescent="0.3">
      <c r="A439">
        <v>437</v>
      </c>
      <c r="B439">
        <v>6949</v>
      </c>
      <c r="C439" t="b">
        <v>1</v>
      </c>
      <c r="D439">
        <v>8048</v>
      </c>
      <c r="E439">
        <v>8117</v>
      </c>
      <c r="F439">
        <v>5.2</v>
      </c>
      <c r="G439">
        <v>10.8</v>
      </c>
      <c r="H439">
        <v>0.48148146000000003</v>
      </c>
      <c r="I439">
        <f xml:space="preserve"> -55.696 * _2026_04_17_16_25_21_23_high[[#This Row],[coeff]] + 79.57</f>
        <v>52.753408603839993</v>
      </c>
      <c r="J439">
        <v>0.67500000000000004</v>
      </c>
      <c r="K439">
        <f>_2026_04_17_16_25_21_23_high[[#This Row],[pfwd_filt]]+200</f>
        <v>205.2</v>
      </c>
      <c r="L439">
        <f>_2026_04_17_16_25_21_23_high[[#This Row],[p45_filt]]+200</f>
        <v>210.8</v>
      </c>
      <c r="M439">
        <f>_2026_04_17_16_25_21_23_high[[#This Row],[new_pfwd_filt]]/_2026_04_17_16_25_21_23_high[[#This Row],[new_p45_filt]]</f>
        <v>0.97343453510436417</v>
      </c>
    </row>
    <row r="440" spans="1:13" x14ac:dyDescent="0.3">
      <c r="A440">
        <v>438</v>
      </c>
      <c r="B440">
        <v>6965</v>
      </c>
      <c r="C440" t="b">
        <v>1</v>
      </c>
      <c r="D440">
        <v>8048</v>
      </c>
      <c r="E440">
        <v>8117</v>
      </c>
      <c r="F440">
        <v>5.2</v>
      </c>
      <c r="G440">
        <v>10</v>
      </c>
      <c r="H440">
        <v>0.52</v>
      </c>
      <c r="I440">
        <f xml:space="preserve"> -55.696 * _2026_04_17_16_25_21_23_high[[#This Row],[coeff]] + 79.57</f>
        <v>50.608079999999994</v>
      </c>
      <c r="J440">
        <v>0.65789472999999998</v>
      </c>
      <c r="K440">
        <f>_2026_04_17_16_25_21_23_high[[#This Row],[pfwd_filt]]+200</f>
        <v>205.2</v>
      </c>
      <c r="L440">
        <f>_2026_04_17_16_25_21_23_high[[#This Row],[p45_filt]]+200</f>
        <v>210</v>
      </c>
      <c r="M440">
        <f>_2026_04_17_16_25_21_23_high[[#This Row],[new_pfwd_filt]]/_2026_04_17_16_25_21_23_high[[#This Row],[new_p45_filt]]</f>
        <v>0.97714285714285709</v>
      </c>
    </row>
    <row r="441" spans="1:13" x14ac:dyDescent="0.3">
      <c r="A441">
        <v>439</v>
      </c>
      <c r="B441">
        <v>6981</v>
      </c>
      <c r="C441" t="b">
        <v>1</v>
      </c>
      <c r="D441">
        <v>8042</v>
      </c>
      <c r="E441">
        <v>8129</v>
      </c>
      <c r="F441">
        <v>5.2</v>
      </c>
      <c r="G441">
        <v>9.1999999999999993</v>
      </c>
      <c r="H441">
        <v>0.56521739999999998</v>
      </c>
      <c r="I441">
        <f xml:space="preserve"> -55.696 * _2026_04_17_16_25_21_23_high[[#This Row],[coeff]] + 79.57</f>
        <v>48.089651689599997</v>
      </c>
      <c r="J441">
        <v>0.63888889999999998</v>
      </c>
      <c r="K441">
        <f>_2026_04_17_16_25_21_23_high[[#This Row],[pfwd_filt]]+200</f>
        <v>205.2</v>
      </c>
      <c r="L441">
        <f>_2026_04_17_16_25_21_23_high[[#This Row],[p45_filt]]+200</f>
        <v>209.2</v>
      </c>
      <c r="M441">
        <f>_2026_04_17_16_25_21_23_high[[#This Row],[new_pfwd_filt]]/_2026_04_17_16_25_21_23_high[[#This Row],[new_p45_filt]]</f>
        <v>0.98087954110898656</v>
      </c>
    </row>
    <row r="442" spans="1:13" x14ac:dyDescent="0.3">
      <c r="A442">
        <v>440</v>
      </c>
      <c r="B442">
        <v>6997</v>
      </c>
      <c r="C442" t="b">
        <v>1</v>
      </c>
      <c r="D442">
        <v>8042</v>
      </c>
      <c r="E442">
        <v>8117</v>
      </c>
      <c r="F442">
        <v>5.2</v>
      </c>
      <c r="G442">
        <v>8.4</v>
      </c>
      <c r="H442">
        <v>0.61904764000000001</v>
      </c>
      <c r="I442">
        <f xml:space="preserve"> -55.696 * _2026_04_17_16_25_21_23_high[[#This Row],[coeff]] + 79.57</f>
        <v>45.091522642559994</v>
      </c>
      <c r="J442">
        <v>0.61764704999999998</v>
      </c>
      <c r="K442">
        <f>_2026_04_17_16_25_21_23_high[[#This Row],[pfwd_filt]]+200</f>
        <v>205.2</v>
      </c>
      <c r="L442">
        <f>_2026_04_17_16_25_21_23_high[[#This Row],[p45_filt]]+200</f>
        <v>208.4</v>
      </c>
      <c r="M442">
        <f>_2026_04_17_16_25_21_23_high[[#This Row],[new_pfwd_filt]]/_2026_04_17_16_25_21_23_high[[#This Row],[new_p45_filt]]</f>
        <v>0.98464491362763906</v>
      </c>
    </row>
    <row r="443" spans="1:13" x14ac:dyDescent="0.3">
      <c r="A443">
        <v>441</v>
      </c>
      <c r="B443">
        <v>7013</v>
      </c>
      <c r="C443" t="b">
        <v>1</v>
      </c>
      <c r="D443">
        <v>8048</v>
      </c>
      <c r="E443">
        <v>8117</v>
      </c>
      <c r="F443">
        <v>5.2</v>
      </c>
      <c r="G443">
        <v>7.6</v>
      </c>
      <c r="H443">
        <v>0.68421054000000003</v>
      </c>
      <c r="I443">
        <f xml:space="preserve"> -55.696 * _2026_04_17_16_25_21_23_high[[#This Row],[coeff]] + 79.57</f>
        <v>41.462209764159994</v>
      </c>
      <c r="J443">
        <v>0.59375</v>
      </c>
      <c r="K443">
        <f>_2026_04_17_16_25_21_23_high[[#This Row],[pfwd_filt]]+200</f>
        <v>205.2</v>
      </c>
      <c r="L443">
        <f>_2026_04_17_16_25_21_23_high[[#This Row],[p45_filt]]+200</f>
        <v>207.6</v>
      </c>
      <c r="M443">
        <f>_2026_04_17_16_25_21_23_high[[#This Row],[new_pfwd_filt]]/_2026_04_17_16_25_21_23_high[[#This Row],[new_p45_filt]]</f>
        <v>0.98843930635838151</v>
      </c>
    </row>
    <row r="444" spans="1:13" x14ac:dyDescent="0.3">
      <c r="A444">
        <v>442</v>
      </c>
      <c r="B444">
        <v>7029</v>
      </c>
      <c r="C444" t="b">
        <v>1</v>
      </c>
      <c r="D444">
        <v>8048</v>
      </c>
      <c r="E444">
        <v>8117</v>
      </c>
      <c r="F444">
        <v>5.2</v>
      </c>
      <c r="G444">
        <v>6.8</v>
      </c>
      <c r="H444">
        <v>0.76470583999999997</v>
      </c>
      <c r="I444">
        <f xml:space="preserve"> -55.696 * _2026_04_17_16_25_21_23_high[[#This Row],[coeff]] + 79.57</f>
        <v>36.978943535359996</v>
      </c>
      <c r="J444">
        <v>0.56666665999999999</v>
      </c>
      <c r="K444">
        <f>_2026_04_17_16_25_21_23_high[[#This Row],[pfwd_filt]]+200</f>
        <v>205.2</v>
      </c>
      <c r="L444">
        <f>_2026_04_17_16_25_21_23_high[[#This Row],[p45_filt]]+200</f>
        <v>206.8</v>
      </c>
      <c r="M444">
        <f>_2026_04_17_16_25_21_23_high[[#This Row],[new_pfwd_filt]]/_2026_04_17_16_25_21_23_high[[#This Row],[new_p45_filt]]</f>
        <v>0.99226305609284327</v>
      </c>
    </row>
    <row r="445" spans="1:13" x14ac:dyDescent="0.3">
      <c r="A445">
        <v>443</v>
      </c>
      <c r="B445">
        <v>7044</v>
      </c>
      <c r="C445" t="b">
        <v>1</v>
      </c>
      <c r="D445">
        <v>8048</v>
      </c>
      <c r="E445">
        <v>8117</v>
      </c>
      <c r="F445">
        <v>5.2</v>
      </c>
      <c r="G445">
        <v>6.4</v>
      </c>
      <c r="H445">
        <v>0.81249994000000003</v>
      </c>
      <c r="I445">
        <f xml:space="preserve"> -55.696 * _2026_04_17_16_25_21_23_high[[#This Row],[coeff]] + 79.57</f>
        <v>34.317003341759992</v>
      </c>
      <c r="J445">
        <v>0.55172414000000003</v>
      </c>
      <c r="K445">
        <f>_2026_04_17_16_25_21_23_high[[#This Row],[pfwd_filt]]+200</f>
        <v>205.2</v>
      </c>
      <c r="L445">
        <f>_2026_04_17_16_25_21_23_high[[#This Row],[p45_filt]]+200</f>
        <v>206.4</v>
      </c>
      <c r="M445">
        <f>_2026_04_17_16_25_21_23_high[[#This Row],[new_pfwd_filt]]/_2026_04_17_16_25_21_23_high[[#This Row],[new_p45_filt]]</f>
        <v>0.99418604651162779</v>
      </c>
    </row>
    <row r="446" spans="1:13" x14ac:dyDescent="0.3">
      <c r="A446">
        <v>444</v>
      </c>
      <c r="B446">
        <v>7060</v>
      </c>
      <c r="C446" t="b">
        <v>1</v>
      </c>
      <c r="D446">
        <v>8048</v>
      </c>
      <c r="E446">
        <v>8123</v>
      </c>
      <c r="F446">
        <v>5.6</v>
      </c>
      <c r="G446">
        <v>6</v>
      </c>
      <c r="H446">
        <v>0.93333334000000001</v>
      </c>
      <c r="I446">
        <f xml:space="preserve"> -55.696 * _2026_04_17_16_25_21_23_high[[#This Row],[coeff]] + 79.57</f>
        <v>27.587066295359996</v>
      </c>
      <c r="J446">
        <v>0.51724135999999998</v>
      </c>
      <c r="K446">
        <f>_2026_04_17_16_25_21_23_high[[#This Row],[pfwd_filt]]+200</f>
        <v>205.6</v>
      </c>
      <c r="L446">
        <f>_2026_04_17_16_25_21_23_high[[#This Row],[p45_filt]]+200</f>
        <v>206</v>
      </c>
      <c r="M446">
        <f>_2026_04_17_16_25_21_23_high[[#This Row],[new_pfwd_filt]]/_2026_04_17_16_25_21_23_high[[#This Row],[new_p45_filt]]</f>
        <v>0.99805825242718449</v>
      </c>
    </row>
    <row r="447" spans="1:13" x14ac:dyDescent="0.3">
      <c r="A447">
        <v>445</v>
      </c>
      <c r="B447">
        <v>7076</v>
      </c>
      <c r="C447" t="b">
        <v>1</v>
      </c>
      <c r="D447">
        <v>8042</v>
      </c>
      <c r="E447">
        <v>8123</v>
      </c>
      <c r="F447">
        <v>6</v>
      </c>
      <c r="G447">
        <v>5.6</v>
      </c>
      <c r="H447">
        <v>1.0714284999999999</v>
      </c>
      <c r="I447">
        <f xml:space="preserve"> -55.696 * _2026_04_17_16_25_21_23_high[[#This Row],[coeff]] + 79.57</f>
        <v>19.895718264000003</v>
      </c>
      <c r="J447">
        <v>0.48275859999999998</v>
      </c>
      <c r="K447">
        <f>_2026_04_17_16_25_21_23_high[[#This Row],[pfwd_filt]]+200</f>
        <v>206</v>
      </c>
      <c r="L447">
        <f>_2026_04_17_16_25_21_23_high[[#This Row],[p45_filt]]+200</f>
        <v>205.6</v>
      </c>
      <c r="M447">
        <f>_2026_04_17_16_25_21_23_high[[#This Row],[new_pfwd_filt]]/_2026_04_17_16_25_21_23_high[[#This Row],[new_p45_filt]]</f>
        <v>1.0019455252918288</v>
      </c>
    </row>
    <row r="448" spans="1:13" x14ac:dyDescent="0.3">
      <c r="A448">
        <v>446</v>
      </c>
      <c r="B448">
        <v>7092</v>
      </c>
      <c r="C448" t="b">
        <v>1</v>
      </c>
      <c r="D448">
        <v>8048</v>
      </c>
      <c r="E448">
        <v>8123</v>
      </c>
      <c r="F448">
        <v>6.4</v>
      </c>
      <c r="G448">
        <v>5.6</v>
      </c>
      <c r="H448">
        <v>1.1428571999999999</v>
      </c>
      <c r="I448">
        <f xml:space="preserve"> -55.696 * _2026_04_17_16_25_21_23_high[[#This Row],[coeff]] + 79.57</f>
        <v>15.917425388799998</v>
      </c>
      <c r="J448">
        <v>0.46666667000000001</v>
      </c>
      <c r="K448">
        <f>_2026_04_17_16_25_21_23_high[[#This Row],[pfwd_filt]]+200</f>
        <v>206.4</v>
      </c>
      <c r="L448">
        <f>_2026_04_17_16_25_21_23_high[[#This Row],[p45_filt]]+200</f>
        <v>205.6</v>
      </c>
      <c r="M448">
        <f>_2026_04_17_16_25_21_23_high[[#This Row],[new_pfwd_filt]]/_2026_04_17_16_25_21_23_high[[#This Row],[new_p45_filt]]</f>
        <v>1.0038910505836576</v>
      </c>
    </row>
    <row r="449" spans="1:13" x14ac:dyDescent="0.3">
      <c r="A449">
        <v>447</v>
      </c>
      <c r="B449">
        <v>7108</v>
      </c>
      <c r="C449" t="b">
        <v>1</v>
      </c>
      <c r="D449">
        <v>8048</v>
      </c>
      <c r="E449">
        <v>8117</v>
      </c>
      <c r="F449">
        <v>6.8</v>
      </c>
      <c r="G449">
        <v>5.6</v>
      </c>
      <c r="H449">
        <v>1.2142857</v>
      </c>
      <c r="I449">
        <f xml:space="preserve"> -55.696 * _2026_04_17_16_25_21_23_high[[#This Row],[coeff]] + 79.57</f>
        <v>11.939143652799999</v>
      </c>
      <c r="J449">
        <v>0.45161291999999997</v>
      </c>
      <c r="K449">
        <f>_2026_04_17_16_25_21_23_high[[#This Row],[pfwd_filt]]+200</f>
        <v>206.8</v>
      </c>
      <c r="L449">
        <f>_2026_04_17_16_25_21_23_high[[#This Row],[p45_filt]]+200</f>
        <v>205.6</v>
      </c>
      <c r="M449">
        <f>_2026_04_17_16_25_21_23_high[[#This Row],[new_pfwd_filt]]/_2026_04_17_16_25_21_23_high[[#This Row],[new_p45_filt]]</f>
        <v>1.0058365758754864</v>
      </c>
    </row>
    <row r="450" spans="1:13" x14ac:dyDescent="0.3">
      <c r="A450">
        <v>448</v>
      </c>
      <c r="B450">
        <v>7124</v>
      </c>
      <c r="C450" t="b">
        <v>1</v>
      </c>
      <c r="D450">
        <v>8048</v>
      </c>
      <c r="E450">
        <v>8117</v>
      </c>
      <c r="F450">
        <v>7.2</v>
      </c>
      <c r="G450">
        <v>5.6</v>
      </c>
      <c r="H450">
        <v>1.2857143</v>
      </c>
      <c r="I450">
        <f xml:space="preserve"> -55.696 * _2026_04_17_16_25_21_23_high[[#This Row],[coeff]] + 79.57</f>
        <v>7.9608563471999929</v>
      </c>
      <c r="J450">
        <v>0.43750002999999998</v>
      </c>
      <c r="K450">
        <f>_2026_04_17_16_25_21_23_high[[#This Row],[pfwd_filt]]+200</f>
        <v>207.2</v>
      </c>
      <c r="L450">
        <f>_2026_04_17_16_25_21_23_high[[#This Row],[p45_filt]]+200</f>
        <v>205.6</v>
      </c>
      <c r="M450">
        <f>_2026_04_17_16_25_21_23_high[[#This Row],[new_pfwd_filt]]/_2026_04_17_16_25_21_23_high[[#This Row],[new_p45_filt]]</f>
        <v>1.0077821011673151</v>
      </c>
    </row>
    <row r="451" spans="1:13" x14ac:dyDescent="0.3">
      <c r="A451">
        <v>449</v>
      </c>
      <c r="B451">
        <v>7140</v>
      </c>
      <c r="C451" t="b">
        <v>1</v>
      </c>
      <c r="D451">
        <v>8048</v>
      </c>
      <c r="E451">
        <v>8117</v>
      </c>
      <c r="F451">
        <v>7.6</v>
      </c>
      <c r="G451">
        <v>5.2</v>
      </c>
      <c r="H451">
        <v>1.4615385999999999</v>
      </c>
      <c r="I451">
        <f xml:space="preserve"> -55.696 * _2026_04_17_16_25_21_23_high[[#This Row],[coeff]] + 79.57</f>
        <v>-1.8318538655999959</v>
      </c>
      <c r="J451">
        <v>0.40625</v>
      </c>
      <c r="K451">
        <f>_2026_04_17_16_25_21_23_high[[#This Row],[pfwd_filt]]+200</f>
        <v>207.6</v>
      </c>
      <c r="L451">
        <f>_2026_04_17_16_25_21_23_high[[#This Row],[p45_filt]]+200</f>
        <v>205.2</v>
      </c>
      <c r="M451">
        <f>_2026_04_17_16_25_21_23_high[[#This Row],[new_pfwd_filt]]/_2026_04_17_16_25_21_23_high[[#This Row],[new_p45_filt]]</f>
        <v>1.0116959064327486</v>
      </c>
    </row>
    <row r="452" spans="1:13" x14ac:dyDescent="0.3">
      <c r="A452">
        <v>450</v>
      </c>
      <c r="B452">
        <v>7155</v>
      </c>
      <c r="C452" t="b">
        <v>1</v>
      </c>
      <c r="D452">
        <v>8048</v>
      </c>
      <c r="E452">
        <v>8123</v>
      </c>
      <c r="F452">
        <v>8</v>
      </c>
      <c r="G452">
        <v>4.4000000000000004</v>
      </c>
      <c r="H452">
        <v>1.8181818000000001</v>
      </c>
      <c r="I452">
        <f xml:space="preserve"> -55.696 * _2026_04_17_16_25_21_23_high[[#This Row],[coeff]] + 79.57</f>
        <v>-21.695453532800002</v>
      </c>
      <c r="J452">
        <v>0.35483872999999999</v>
      </c>
      <c r="K452">
        <f>_2026_04_17_16_25_21_23_high[[#This Row],[pfwd_filt]]+200</f>
        <v>208</v>
      </c>
      <c r="L452">
        <f>_2026_04_17_16_25_21_23_high[[#This Row],[p45_filt]]+200</f>
        <v>204.4</v>
      </c>
      <c r="M452">
        <f>_2026_04_17_16_25_21_23_high[[#This Row],[new_pfwd_filt]]/_2026_04_17_16_25_21_23_high[[#This Row],[new_p45_filt]]</f>
        <v>1.0176125244618395</v>
      </c>
    </row>
    <row r="453" spans="1:13" x14ac:dyDescent="0.3">
      <c r="A453">
        <v>451</v>
      </c>
      <c r="B453">
        <v>7171</v>
      </c>
      <c r="C453" t="b">
        <v>1</v>
      </c>
      <c r="D453">
        <v>8042</v>
      </c>
      <c r="E453">
        <v>8117</v>
      </c>
      <c r="F453">
        <v>8</v>
      </c>
      <c r="G453">
        <v>3.6</v>
      </c>
      <c r="H453">
        <v>2.2222222999999999</v>
      </c>
      <c r="I453">
        <f xml:space="preserve"> -55.696 * _2026_04_17_16_25_21_23_high[[#This Row],[coeff]] + 79.57</f>
        <v>-44.198893220800002</v>
      </c>
      <c r="J453">
        <v>0.31034482000000002</v>
      </c>
      <c r="K453">
        <f>_2026_04_17_16_25_21_23_high[[#This Row],[pfwd_filt]]+200</f>
        <v>208</v>
      </c>
      <c r="L453">
        <f>_2026_04_17_16_25_21_23_high[[#This Row],[p45_filt]]+200</f>
        <v>203.6</v>
      </c>
      <c r="M453">
        <f>_2026_04_17_16_25_21_23_high[[#This Row],[new_pfwd_filt]]/_2026_04_17_16_25_21_23_high[[#This Row],[new_p45_filt]]</f>
        <v>1.0216110019646365</v>
      </c>
    </row>
    <row r="454" spans="1:13" x14ac:dyDescent="0.3">
      <c r="A454">
        <v>452</v>
      </c>
      <c r="B454">
        <v>7187</v>
      </c>
      <c r="C454" t="b">
        <v>1</v>
      </c>
      <c r="D454">
        <v>8037</v>
      </c>
      <c r="E454">
        <v>8123</v>
      </c>
      <c r="F454">
        <v>8</v>
      </c>
      <c r="G454">
        <v>3.2</v>
      </c>
      <c r="H454">
        <v>2.5</v>
      </c>
      <c r="I454">
        <f xml:space="preserve"> -55.696 * _2026_04_17_16_25_21_23_high[[#This Row],[coeff]] + 79.57</f>
        <v>-59.670000000000016</v>
      </c>
      <c r="J454">
        <v>0.28571429999999998</v>
      </c>
      <c r="K454">
        <f>_2026_04_17_16_25_21_23_high[[#This Row],[pfwd_filt]]+200</f>
        <v>208</v>
      </c>
      <c r="L454">
        <f>_2026_04_17_16_25_21_23_high[[#This Row],[p45_filt]]+200</f>
        <v>203.2</v>
      </c>
      <c r="M454">
        <f>_2026_04_17_16_25_21_23_high[[#This Row],[new_pfwd_filt]]/_2026_04_17_16_25_21_23_high[[#This Row],[new_p45_filt]]</f>
        <v>1.0236220472440944</v>
      </c>
    </row>
    <row r="455" spans="1:13" x14ac:dyDescent="0.3">
      <c r="A455">
        <v>453</v>
      </c>
      <c r="B455">
        <v>7204</v>
      </c>
      <c r="C455" t="b">
        <v>1</v>
      </c>
      <c r="D455">
        <v>8042</v>
      </c>
      <c r="E455">
        <v>8129</v>
      </c>
      <c r="F455">
        <v>7.6</v>
      </c>
      <c r="G455">
        <v>3.6</v>
      </c>
      <c r="H455">
        <v>2.1111111999999999</v>
      </c>
      <c r="I455">
        <f xml:space="preserve"> -55.696 * _2026_04_17_16_25_21_23_high[[#This Row],[coeff]] + 79.57</f>
        <v>-38.010449395199998</v>
      </c>
      <c r="J455">
        <v>0.32142857000000002</v>
      </c>
      <c r="K455">
        <f>_2026_04_17_16_25_21_23_high[[#This Row],[pfwd_filt]]+200</f>
        <v>207.6</v>
      </c>
      <c r="L455">
        <f>_2026_04_17_16_25_21_23_high[[#This Row],[p45_filt]]+200</f>
        <v>203.6</v>
      </c>
      <c r="M455">
        <f>_2026_04_17_16_25_21_23_high[[#This Row],[new_pfwd_filt]]/_2026_04_17_16_25_21_23_high[[#This Row],[new_p45_filt]]</f>
        <v>1.0196463654223968</v>
      </c>
    </row>
    <row r="456" spans="1:13" x14ac:dyDescent="0.3">
      <c r="A456">
        <v>454</v>
      </c>
      <c r="B456">
        <v>7219</v>
      </c>
      <c r="C456" t="b">
        <v>1</v>
      </c>
      <c r="D456">
        <v>8037</v>
      </c>
      <c r="E456">
        <v>8123</v>
      </c>
      <c r="F456">
        <v>7.2</v>
      </c>
      <c r="G456">
        <v>4</v>
      </c>
      <c r="H456">
        <v>1.8</v>
      </c>
      <c r="I456">
        <f xml:space="preserve"> -55.696 * _2026_04_17_16_25_21_23_high[[#This Row],[coeff]] + 79.57</f>
        <v>-20.6828</v>
      </c>
      <c r="J456">
        <v>0.35714287</v>
      </c>
      <c r="K456">
        <f>_2026_04_17_16_25_21_23_high[[#This Row],[pfwd_filt]]+200</f>
        <v>207.2</v>
      </c>
      <c r="L456">
        <f>_2026_04_17_16_25_21_23_high[[#This Row],[p45_filt]]+200</f>
        <v>204</v>
      </c>
      <c r="M456">
        <f>_2026_04_17_16_25_21_23_high[[#This Row],[new_pfwd_filt]]/_2026_04_17_16_25_21_23_high[[#This Row],[new_p45_filt]]</f>
        <v>1.0156862745098039</v>
      </c>
    </row>
    <row r="457" spans="1:13" x14ac:dyDescent="0.3">
      <c r="A457">
        <v>455</v>
      </c>
      <c r="B457">
        <v>7235</v>
      </c>
      <c r="C457" t="b">
        <v>1</v>
      </c>
      <c r="D457">
        <v>8042</v>
      </c>
      <c r="E457">
        <v>8129</v>
      </c>
      <c r="F457">
        <v>6.8</v>
      </c>
      <c r="G457">
        <v>4.4000000000000004</v>
      </c>
      <c r="H457">
        <v>1.5454545</v>
      </c>
      <c r="I457">
        <f xml:space="preserve"> -55.696 * _2026_04_17_16_25_21_23_high[[#This Row],[coeff]] + 79.57</f>
        <v>-6.5056338320000009</v>
      </c>
      <c r="J457">
        <v>0.39285713</v>
      </c>
      <c r="K457">
        <f>_2026_04_17_16_25_21_23_high[[#This Row],[pfwd_filt]]+200</f>
        <v>206.8</v>
      </c>
      <c r="L457">
        <f>_2026_04_17_16_25_21_23_high[[#This Row],[p45_filt]]+200</f>
        <v>204.4</v>
      </c>
      <c r="M457">
        <f>_2026_04_17_16_25_21_23_high[[#This Row],[new_pfwd_filt]]/_2026_04_17_16_25_21_23_high[[#This Row],[new_p45_filt]]</f>
        <v>1.0117416829745598</v>
      </c>
    </row>
    <row r="458" spans="1:13" x14ac:dyDescent="0.3">
      <c r="A458">
        <v>456</v>
      </c>
      <c r="B458">
        <v>7251</v>
      </c>
      <c r="C458" t="b">
        <v>1</v>
      </c>
      <c r="D458">
        <v>8037</v>
      </c>
      <c r="E458">
        <v>8123</v>
      </c>
      <c r="F458">
        <v>6.0666665999999996</v>
      </c>
      <c r="G458">
        <v>4.8</v>
      </c>
      <c r="H458">
        <v>1.2638887999999999</v>
      </c>
      <c r="I458">
        <f xml:space="preserve"> -55.696 * _2026_04_17_16_25_21_23_high[[#This Row],[coeff]] + 79.57</f>
        <v>9.1764493951999953</v>
      </c>
      <c r="J458">
        <v>0.44171779999999999</v>
      </c>
      <c r="K458">
        <f>_2026_04_17_16_25_21_23_high[[#This Row],[pfwd_filt]]+200</f>
        <v>206.06666659999999</v>
      </c>
      <c r="L458">
        <f>_2026_04_17_16_25_21_23_high[[#This Row],[p45_filt]]+200</f>
        <v>204.8</v>
      </c>
      <c r="M458">
        <f>_2026_04_17_16_25_21_23_high[[#This Row],[new_pfwd_filt]]/_2026_04_17_16_25_21_23_high[[#This Row],[new_p45_filt]]</f>
        <v>1.0061848955078123</v>
      </c>
    </row>
    <row r="459" spans="1:13" x14ac:dyDescent="0.3">
      <c r="A459">
        <v>457</v>
      </c>
      <c r="B459">
        <v>7267</v>
      </c>
      <c r="C459" t="b">
        <v>1</v>
      </c>
      <c r="D459">
        <v>8042</v>
      </c>
      <c r="E459">
        <v>8123</v>
      </c>
      <c r="F459">
        <v>5.6666664999999998</v>
      </c>
      <c r="G459">
        <v>5.2</v>
      </c>
      <c r="H459">
        <v>1.0897436</v>
      </c>
      <c r="I459">
        <f xml:space="preserve"> -55.696 * _2026_04_17_16_25_21_23_high[[#This Row],[coeff]] + 79.57</f>
        <v>18.875640454399992</v>
      </c>
      <c r="J459">
        <v>0.47852758000000001</v>
      </c>
      <c r="K459">
        <f>_2026_04_17_16_25_21_23_high[[#This Row],[pfwd_filt]]+200</f>
        <v>205.66666649999999</v>
      </c>
      <c r="L459">
        <f>_2026_04_17_16_25_21_23_high[[#This Row],[p45_filt]]+200</f>
        <v>205.2</v>
      </c>
      <c r="M459">
        <f>_2026_04_17_16_25_21_23_high[[#This Row],[new_pfwd_filt]]/_2026_04_17_16_25_21_23_high[[#This Row],[new_p45_filt]]</f>
        <v>1.0022742032163743</v>
      </c>
    </row>
    <row r="460" spans="1:13" x14ac:dyDescent="0.3">
      <c r="A460">
        <v>458</v>
      </c>
      <c r="B460">
        <v>7282</v>
      </c>
      <c r="C460" t="b">
        <v>1</v>
      </c>
      <c r="D460">
        <v>8037</v>
      </c>
      <c r="E460">
        <v>8123</v>
      </c>
      <c r="F460">
        <v>4.9333334000000004</v>
      </c>
      <c r="G460">
        <v>5.6</v>
      </c>
      <c r="H460">
        <v>0.88095239999999997</v>
      </c>
      <c r="I460">
        <f xml:space="preserve"> -55.696 * _2026_04_17_16_25_21_23_high[[#This Row],[coeff]] + 79.57</f>
        <v>30.504475129599996</v>
      </c>
      <c r="J460">
        <v>0.53164560000000005</v>
      </c>
      <c r="K460">
        <f>_2026_04_17_16_25_21_23_high[[#This Row],[pfwd_filt]]+200</f>
        <v>204.93333340000001</v>
      </c>
      <c r="L460">
        <f>_2026_04_17_16_25_21_23_high[[#This Row],[p45_filt]]+200</f>
        <v>205.6</v>
      </c>
      <c r="M460">
        <f>_2026_04_17_16_25_21_23_high[[#This Row],[new_pfwd_filt]]/_2026_04_17_16_25_21_23_high[[#This Row],[new_p45_filt]]</f>
        <v>0.99675745817120631</v>
      </c>
    </row>
    <row r="461" spans="1:13" x14ac:dyDescent="0.3">
      <c r="A461">
        <v>459</v>
      </c>
      <c r="B461">
        <v>7298</v>
      </c>
      <c r="C461" t="b">
        <v>1</v>
      </c>
      <c r="D461">
        <v>8054</v>
      </c>
      <c r="E461">
        <v>8129</v>
      </c>
      <c r="F461">
        <v>4.5333332999999998</v>
      </c>
      <c r="G461">
        <v>6</v>
      </c>
      <c r="H461">
        <v>0.75555556999999995</v>
      </c>
      <c r="I461">
        <f xml:space="preserve"> -55.696 * _2026_04_17_16_25_21_23_high[[#This Row],[coeff]] + 79.57</f>
        <v>37.488576973279997</v>
      </c>
      <c r="J461">
        <v>0.56962025000000005</v>
      </c>
      <c r="K461">
        <f>_2026_04_17_16_25_21_23_high[[#This Row],[pfwd_filt]]+200</f>
        <v>204.53333330000001</v>
      </c>
      <c r="L461">
        <f>_2026_04_17_16_25_21_23_high[[#This Row],[p45_filt]]+200</f>
        <v>206</v>
      </c>
      <c r="M461">
        <f>_2026_04_17_16_25_21_23_high[[#This Row],[new_pfwd_filt]]/_2026_04_17_16_25_21_23_high[[#This Row],[new_p45_filt]]</f>
        <v>0.99288025873786412</v>
      </c>
    </row>
    <row r="462" spans="1:13" x14ac:dyDescent="0.3">
      <c r="A462">
        <v>460</v>
      </c>
      <c r="B462">
        <v>7314</v>
      </c>
      <c r="C462" t="b">
        <v>1</v>
      </c>
      <c r="D462">
        <v>8048</v>
      </c>
      <c r="E462">
        <v>8134</v>
      </c>
      <c r="F462">
        <v>4.1333330000000004</v>
      </c>
      <c r="G462">
        <v>6.4</v>
      </c>
      <c r="H462">
        <v>0.64583330000000005</v>
      </c>
      <c r="I462">
        <f xml:space="preserve"> -55.696 * _2026_04_17_16_25_21_23_high[[#This Row],[coeff]] + 79.57</f>
        <v>43.599668523199995</v>
      </c>
      <c r="J462">
        <v>0.60759496999999996</v>
      </c>
      <c r="K462">
        <f>_2026_04_17_16_25_21_23_high[[#This Row],[pfwd_filt]]+200</f>
        <v>204.13333299999999</v>
      </c>
      <c r="L462">
        <f>_2026_04_17_16_25_21_23_high[[#This Row],[p45_filt]]+200</f>
        <v>206.4</v>
      </c>
      <c r="M462">
        <f>_2026_04_17_16_25_21_23_high[[#This Row],[new_pfwd_filt]]/_2026_04_17_16_25_21_23_high[[#This Row],[new_p45_filt]]</f>
        <v>0.98901808624031007</v>
      </c>
    </row>
    <row r="463" spans="1:13" x14ac:dyDescent="0.3">
      <c r="A463">
        <v>461</v>
      </c>
      <c r="B463">
        <v>7330</v>
      </c>
      <c r="C463" t="b">
        <v>1</v>
      </c>
      <c r="D463">
        <v>8054</v>
      </c>
      <c r="E463">
        <v>8134</v>
      </c>
      <c r="F463">
        <v>4.1333330000000004</v>
      </c>
      <c r="G463">
        <v>6.8</v>
      </c>
      <c r="H463">
        <v>0.60784309999999997</v>
      </c>
      <c r="I463">
        <f xml:space="preserve"> -55.696 * _2026_04_17_16_25_21_23_high[[#This Row],[coeff]] + 79.57</f>
        <v>45.715570702399994</v>
      </c>
      <c r="J463">
        <v>0.62195120000000004</v>
      </c>
      <c r="K463">
        <f>_2026_04_17_16_25_21_23_high[[#This Row],[pfwd_filt]]+200</f>
        <v>204.13333299999999</v>
      </c>
      <c r="L463">
        <f>_2026_04_17_16_25_21_23_high[[#This Row],[p45_filt]]+200</f>
        <v>206.8</v>
      </c>
      <c r="M463">
        <f>_2026_04_17_16_25_21_23_high[[#This Row],[new_pfwd_filt]]/_2026_04_17_16_25_21_23_high[[#This Row],[new_p45_filt]]</f>
        <v>0.98710509187620876</v>
      </c>
    </row>
    <row r="464" spans="1:13" x14ac:dyDescent="0.3">
      <c r="A464">
        <v>462</v>
      </c>
      <c r="B464">
        <v>7346</v>
      </c>
      <c r="C464" t="b">
        <v>1</v>
      </c>
      <c r="D464">
        <v>8054</v>
      </c>
      <c r="E464">
        <v>8129</v>
      </c>
      <c r="F464">
        <v>4.5333332999999998</v>
      </c>
      <c r="G464">
        <v>7.2</v>
      </c>
      <c r="H464">
        <v>0.62962969999999996</v>
      </c>
      <c r="I464">
        <f xml:space="preserve"> -55.696 * _2026_04_17_16_25_21_23_high[[#This Row],[coeff]] + 79.57</f>
        <v>44.502144228799999</v>
      </c>
      <c r="J464">
        <v>0.61363630000000002</v>
      </c>
      <c r="K464">
        <f>_2026_04_17_16_25_21_23_high[[#This Row],[pfwd_filt]]+200</f>
        <v>204.53333330000001</v>
      </c>
      <c r="L464">
        <f>_2026_04_17_16_25_21_23_high[[#This Row],[p45_filt]]+200</f>
        <v>207.2</v>
      </c>
      <c r="M464">
        <f>_2026_04_17_16_25_21_23_high[[#This Row],[new_pfwd_filt]]/_2026_04_17_16_25_21_23_high[[#This Row],[new_p45_filt]]</f>
        <v>0.98712998696911203</v>
      </c>
    </row>
    <row r="465" spans="1:13" x14ac:dyDescent="0.3">
      <c r="A465">
        <v>463</v>
      </c>
      <c r="B465">
        <v>7362</v>
      </c>
      <c r="C465" t="b">
        <v>1</v>
      </c>
      <c r="D465">
        <v>8054</v>
      </c>
      <c r="E465">
        <v>8134</v>
      </c>
      <c r="F465">
        <v>4.9333334000000004</v>
      </c>
      <c r="G465">
        <v>7.9333334000000004</v>
      </c>
      <c r="H465">
        <v>0.62184876</v>
      </c>
      <c r="I465">
        <f xml:space="preserve"> -55.696 * _2026_04_17_16_25_21_23_high[[#This Row],[coeff]] + 79.57</f>
        <v>44.935511463039994</v>
      </c>
      <c r="J465">
        <v>0.61658029999999997</v>
      </c>
      <c r="K465">
        <f>_2026_04_17_16_25_21_23_high[[#This Row],[pfwd_filt]]+200</f>
        <v>204.93333340000001</v>
      </c>
      <c r="L465">
        <f>_2026_04_17_16_25_21_23_high[[#This Row],[p45_filt]]+200</f>
        <v>207.93333340000001</v>
      </c>
      <c r="M465">
        <f>_2026_04_17_16_25_21_23_high[[#This Row],[new_pfwd_filt]]/_2026_04_17_16_25_21_23_high[[#This Row],[new_p45_filt]]</f>
        <v>0.98557229881834807</v>
      </c>
    </row>
    <row r="466" spans="1:13" x14ac:dyDescent="0.3">
      <c r="A466">
        <v>464</v>
      </c>
      <c r="B466">
        <v>7378</v>
      </c>
      <c r="C466" t="b">
        <v>1</v>
      </c>
      <c r="D466">
        <v>8054</v>
      </c>
      <c r="E466">
        <v>8134</v>
      </c>
      <c r="F466">
        <v>5.3333335000000002</v>
      </c>
      <c r="G466">
        <v>9.0666670000000007</v>
      </c>
      <c r="H466">
        <v>0.58823530000000002</v>
      </c>
      <c r="I466">
        <f xml:space="preserve"> -55.696 * _2026_04_17_16_25_21_23_high[[#This Row],[coeff]] + 79.57</f>
        <v>46.807646731199995</v>
      </c>
      <c r="J466">
        <v>0.62962969999999996</v>
      </c>
      <c r="K466">
        <f>_2026_04_17_16_25_21_23_high[[#This Row],[pfwd_filt]]+200</f>
        <v>205.33333350000001</v>
      </c>
      <c r="L466">
        <f>_2026_04_17_16_25_21_23_high[[#This Row],[p45_filt]]+200</f>
        <v>209.066667</v>
      </c>
      <c r="M466">
        <f>_2026_04_17_16_25_21_23_high[[#This Row],[new_pfwd_filt]]/_2026_04_17_16_25_21_23_high[[#This Row],[new_p45_filt]]</f>
        <v>0.98214285637413457</v>
      </c>
    </row>
    <row r="467" spans="1:13" x14ac:dyDescent="0.3">
      <c r="A467">
        <v>465</v>
      </c>
      <c r="B467">
        <v>7394</v>
      </c>
      <c r="C467" t="b">
        <v>1</v>
      </c>
      <c r="D467">
        <v>8048</v>
      </c>
      <c r="E467">
        <v>8123</v>
      </c>
      <c r="F467">
        <v>5.733333</v>
      </c>
      <c r="G467">
        <v>10.199999999999999</v>
      </c>
      <c r="H467">
        <v>0.56209147000000004</v>
      </c>
      <c r="I467">
        <f xml:space="preserve"> -55.696 * _2026_04_17_16_25_21_23_high[[#This Row],[coeff]] + 79.57</f>
        <v>48.263753486879992</v>
      </c>
      <c r="J467">
        <v>0.64016740000000005</v>
      </c>
      <c r="K467">
        <f>_2026_04_17_16_25_21_23_high[[#This Row],[pfwd_filt]]+200</f>
        <v>205.73333299999999</v>
      </c>
      <c r="L467">
        <f>_2026_04_17_16_25_21_23_high[[#This Row],[p45_filt]]+200</f>
        <v>210.2</v>
      </c>
      <c r="M467">
        <f>_2026_04_17_16_25_21_23_high[[#This Row],[new_pfwd_filt]]/_2026_04_17_16_25_21_23_high[[#This Row],[new_p45_filt]]</f>
        <v>0.97875039486203619</v>
      </c>
    </row>
    <row r="468" spans="1:13" x14ac:dyDescent="0.3">
      <c r="A468">
        <v>466</v>
      </c>
      <c r="B468">
        <v>7410</v>
      </c>
      <c r="C468" t="b">
        <v>1</v>
      </c>
      <c r="D468">
        <v>8048</v>
      </c>
      <c r="E468">
        <v>8129</v>
      </c>
      <c r="F468">
        <v>6.1333330000000004</v>
      </c>
      <c r="G468">
        <v>11</v>
      </c>
      <c r="H468">
        <v>0.55757575999999998</v>
      </c>
      <c r="I468">
        <f xml:space="preserve"> -55.696 * _2026_04_17_16_25_21_23_high[[#This Row],[coeff]] + 79.57</f>
        <v>48.515260471039994</v>
      </c>
      <c r="J468">
        <v>0.64202329999999996</v>
      </c>
      <c r="K468">
        <f>_2026_04_17_16_25_21_23_high[[#This Row],[pfwd_filt]]+200</f>
        <v>206.13333299999999</v>
      </c>
      <c r="L468">
        <f>_2026_04_17_16_25_21_23_high[[#This Row],[p45_filt]]+200</f>
        <v>211</v>
      </c>
      <c r="M468">
        <f>_2026_04_17_16_25_21_23_high[[#This Row],[new_pfwd_filt]]/_2026_04_17_16_25_21_23_high[[#This Row],[new_p45_filt]]</f>
        <v>0.97693522748815165</v>
      </c>
    </row>
    <row r="469" spans="1:13" x14ac:dyDescent="0.3">
      <c r="A469">
        <v>467</v>
      </c>
      <c r="B469">
        <v>7426</v>
      </c>
      <c r="C469" t="b">
        <v>1</v>
      </c>
      <c r="D469">
        <v>8048</v>
      </c>
      <c r="E469">
        <v>8129</v>
      </c>
      <c r="F469">
        <v>6.1333330000000004</v>
      </c>
      <c r="G469">
        <v>11.8</v>
      </c>
      <c r="H469">
        <v>0.51977399999999996</v>
      </c>
      <c r="I469">
        <f xml:space="preserve"> -55.696 * _2026_04_17_16_25_21_23_high[[#This Row],[coeff]] + 79.57</f>
        <v>50.620667295999993</v>
      </c>
      <c r="J469">
        <v>0.65799253999999996</v>
      </c>
      <c r="K469">
        <f>_2026_04_17_16_25_21_23_high[[#This Row],[pfwd_filt]]+200</f>
        <v>206.13333299999999</v>
      </c>
      <c r="L469">
        <f>_2026_04_17_16_25_21_23_high[[#This Row],[p45_filt]]+200</f>
        <v>211.8</v>
      </c>
      <c r="M469">
        <f>_2026_04_17_16_25_21_23_high[[#This Row],[new_pfwd_filt]]/_2026_04_17_16_25_21_23_high[[#This Row],[new_p45_filt]]</f>
        <v>0.97324519830028322</v>
      </c>
    </row>
    <row r="470" spans="1:13" x14ac:dyDescent="0.3">
      <c r="A470">
        <v>468</v>
      </c>
      <c r="B470">
        <v>7442</v>
      </c>
      <c r="C470" t="b">
        <v>1</v>
      </c>
      <c r="D470">
        <v>8048</v>
      </c>
      <c r="E470">
        <v>8123</v>
      </c>
      <c r="F470">
        <v>6.5333332999999998</v>
      </c>
      <c r="G470">
        <v>12.2</v>
      </c>
      <c r="H470">
        <v>0.53551910000000003</v>
      </c>
      <c r="I470">
        <f xml:space="preserve"> -55.696 * _2026_04_17_16_25_21_23_high[[#This Row],[coeff]] + 79.57</f>
        <v>49.743728206399993</v>
      </c>
      <c r="J470">
        <v>0.65124552999999996</v>
      </c>
      <c r="K470">
        <f>_2026_04_17_16_25_21_23_high[[#This Row],[pfwd_filt]]+200</f>
        <v>206.53333330000001</v>
      </c>
      <c r="L470">
        <f>_2026_04_17_16_25_21_23_high[[#This Row],[p45_filt]]+200</f>
        <v>212.2</v>
      </c>
      <c r="M470">
        <f>_2026_04_17_16_25_21_23_high[[#This Row],[new_pfwd_filt]]/_2026_04_17_16_25_21_23_high[[#This Row],[new_p45_filt]]</f>
        <v>0.97329563289349685</v>
      </c>
    </row>
    <row r="471" spans="1:13" x14ac:dyDescent="0.3">
      <c r="A471">
        <v>469</v>
      </c>
      <c r="B471">
        <v>7457</v>
      </c>
      <c r="C471" t="b">
        <v>1</v>
      </c>
      <c r="D471">
        <v>8048</v>
      </c>
      <c r="E471">
        <v>8123</v>
      </c>
      <c r="F471">
        <v>6.9333334000000004</v>
      </c>
      <c r="G471">
        <v>12.2</v>
      </c>
      <c r="H471">
        <v>0.56830599999999998</v>
      </c>
      <c r="I471">
        <f xml:space="preserve"> -55.696 * _2026_04_17_16_25_21_23_high[[#This Row],[coeff]] + 79.57</f>
        <v>47.917629023999993</v>
      </c>
      <c r="J471">
        <v>0.63763064000000003</v>
      </c>
      <c r="K471">
        <f>_2026_04_17_16_25_21_23_high[[#This Row],[pfwd_filt]]+200</f>
        <v>206.93333340000001</v>
      </c>
      <c r="L471">
        <f>_2026_04_17_16_25_21_23_high[[#This Row],[p45_filt]]+200</f>
        <v>212.2</v>
      </c>
      <c r="M471">
        <f>_2026_04_17_16_25_21_23_high[[#This Row],[new_pfwd_filt]]/_2026_04_17_16_25_21_23_high[[#This Row],[new_p45_filt]]</f>
        <v>0.97518064750235633</v>
      </c>
    </row>
    <row r="472" spans="1:13" x14ac:dyDescent="0.3">
      <c r="A472">
        <v>470</v>
      </c>
      <c r="B472">
        <v>7473</v>
      </c>
      <c r="C472" t="b">
        <v>1</v>
      </c>
      <c r="D472">
        <v>8048</v>
      </c>
      <c r="E472">
        <v>8123</v>
      </c>
      <c r="F472">
        <v>7.3333335000000002</v>
      </c>
      <c r="G472">
        <v>12.2</v>
      </c>
      <c r="H472">
        <v>0.60109292999999997</v>
      </c>
      <c r="I472">
        <f xml:space="preserve"> -55.696 * _2026_04_17_16_25_21_23_high[[#This Row],[coeff]] + 79.57</f>
        <v>46.091528170719997</v>
      </c>
      <c r="J472">
        <v>0.62457339999999995</v>
      </c>
      <c r="K472">
        <f>_2026_04_17_16_25_21_23_high[[#This Row],[pfwd_filt]]+200</f>
        <v>207.33333350000001</v>
      </c>
      <c r="L472">
        <f>_2026_04_17_16_25_21_23_high[[#This Row],[p45_filt]]+200</f>
        <v>212.2</v>
      </c>
      <c r="M472">
        <f>_2026_04_17_16_25_21_23_high[[#This Row],[new_pfwd_filt]]/_2026_04_17_16_25_21_23_high[[#This Row],[new_p45_filt]]</f>
        <v>0.97706566211121593</v>
      </c>
    </row>
    <row r="473" spans="1:13" x14ac:dyDescent="0.3">
      <c r="A473">
        <v>471</v>
      </c>
      <c r="B473">
        <v>7490</v>
      </c>
      <c r="C473" t="b">
        <v>1</v>
      </c>
      <c r="D473">
        <v>8048</v>
      </c>
      <c r="E473">
        <v>8134</v>
      </c>
      <c r="F473">
        <v>8.0666670000000007</v>
      </c>
      <c r="G473">
        <v>12.2</v>
      </c>
      <c r="H473">
        <v>0.66120219999999996</v>
      </c>
      <c r="I473">
        <f xml:space="preserve"> -55.696 * _2026_04_17_16_25_21_23_high[[#This Row],[coeff]] + 79.57</f>
        <v>42.743682268799994</v>
      </c>
      <c r="J473">
        <v>0.60197365000000003</v>
      </c>
      <c r="K473">
        <f>_2026_04_17_16_25_21_23_high[[#This Row],[pfwd_filt]]+200</f>
        <v>208.066667</v>
      </c>
      <c r="L473">
        <f>_2026_04_17_16_25_21_23_high[[#This Row],[p45_filt]]+200</f>
        <v>212.2</v>
      </c>
      <c r="M473">
        <f>_2026_04_17_16_25_21_23_high[[#This Row],[new_pfwd_filt]]/_2026_04_17_16_25_21_23_high[[#This Row],[new_p45_filt]]</f>
        <v>0.98052152214891619</v>
      </c>
    </row>
    <row r="474" spans="1:13" x14ac:dyDescent="0.3">
      <c r="A474">
        <v>472</v>
      </c>
      <c r="B474">
        <v>7505</v>
      </c>
      <c r="C474" t="b">
        <v>1</v>
      </c>
      <c r="D474">
        <v>8048</v>
      </c>
      <c r="E474">
        <v>8123</v>
      </c>
      <c r="F474">
        <v>8.466666</v>
      </c>
      <c r="G474">
        <v>12.2</v>
      </c>
      <c r="H474">
        <v>0.69398903999999995</v>
      </c>
      <c r="I474">
        <f xml:space="preserve"> -55.696 * _2026_04_17_16_25_21_23_high[[#This Row],[coeff]] + 79.57</f>
        <v>40.91758642816</v>
      </c>
      <c r="J474">
        <v>0.59032260000000003</v>
      </c>
      <c r="K474">
        <f>_2026_04_17_16_25_21_23_high[[#This Row],[pfwd_filt]]+200</f>
        <v>208.466666</v>
      </c>
      <c r="L474">
        <f>_2026_04_17_16_25_21_23_high[[#This Row],[p45_filt]]+200</f>
        <v>212.2</v>
      </c>
      <c r="M474">
        <f>_2026_04_17_16_25_21_23_high[[#This Row],[new_pfwd_filt]]/_2026_04_17_16_25_21_23_high[[#This Row],[new_p45_filt]]</f>
        <v>0.98240653157398683</v>
      </c>
    </row>
    <row r="475" spans="1:13" x14ac:dyDescent="0.3">
      <c r="A475">
        <v>473</v>
      </c>
      <c r="B475">
        <v>7521</v>
      </c>
      <c r="C475" t="b">
        <v>1</v>
      </c>
      <c r="D475">
        <v>8054</v>
      </c>
      <c r="E475">
        <v>8129</v>
      </c>
      <c r="F475">
        <v>9.1999999999999993</v>
      </c>
      <c r="G475">
        <v>12.2</v>
      </c>
      <c r="H475">
        <v>0.75409835999999997</v>
      </c>
      <c r="I475">
        <f xml:space="preserve"> -55.696 * _2026_04_17_16_25_21_23_high[[#This Row],[coeff]] + 79.57</f>
        <v>37.569737741439994</v>
      </c>
      <c r="J475">
        <v>0.57009345</v>
      </c>
      <c r="K475">
        <f>_2026_04_17_16_25_21_23_high[[#This Row],[pfwd_filt]]+200</f>
        <v>209.2</v>
      </c>
      <c r="L475">
        <f>_2026_04_17_16_25_21_23_high[[#This Row],[p45_filt]]+200</f>
        <v>212.2</v>
      </c>
      <c r="M475">
        <f>_2026_04_17_16_25_21_23_high[[#This Row],[new_pfwd_filt]]/_2026_04_17_16_25_21_23_high[[#This Row],[new_p45_filt]]</f>
        <v>0.98586239396795472</v>
      </c>
    </row>
    <row r="476" spans="1:13" x14ac:dyDescent="0.3">
      <c r="A476">
        <v>474</v>
      </c>
      <c r="B476">
        <v>7537</v>
      </c>
      <c r="C476" t="b">
        <v>1</v>
      </c>
      <c r="D476">
        <v>8048</v>
      </c>
      <c r="E476">
        <v>8123</v>
      </c>
      <c r="F476">
        <v>9.6</v>
      </c>
      <c r="G476">
        <v>12.2</v>
      </c>
      <c r="H476">
        <v>0.78688526000000003</v>
      </c>
      <c r="I476">
        <f xml:space="preserve"> -55.696 * _2026_04_17_16_25_21_23_high[[#This Row],[coeff]] + 79.57</f>
        <v>35.743638559039994</v>
      </c>
      <c r="J476">
        <v>0.55963300000000005</v>
      </c>
      <c r="K476">
        <f>_2026_04_17_16_25_21_23_high[[#This Row],[pfwd_filt]]+200</f>
        <v>209.6</v>
      </c>
      <c r="L476">
        <f>_2026_04_17_16_25_21_23_high[[#This Row],[p45_filt]]+200</f>
        <v>212.2</v>
      </c>
      <c r="M476">
        <f>_2026_04_17_16_25_21_23_high[[#This Row],[new_pfwd_filt]]/_2026_04_17_16_25_21_23_high[[#This Row],[new_p45_filt]]</f>
        <v>0.98774740810556083</v>
      </c>
    </row>
    <row r="477" spans="1:13" x14ac:dyDescent="0.3">
      <c r="A477">
        <v>475</v>
      </c>
      <c r="B477">
        <v>7553</v>
      </c>
      <c r="C477" t="b">
        <v>1</v>
      </c>
      <c r="D477">
        <v>8048</v>
      </c>
      <c r="E477">
        <v>8123</v>
      </c>
      <c r="F477">
        <v>10</v>
      </c>
      <c r="G477">
        <v>12.2</v>
      </c>
      <c r="H477">
        <v>0.81967217000000003</v>
      </c>
      <c r="I477">
        <f xml:space="preserve"> -55.696 * _2026_04_17_16_25_21_23_high[[#This Row],[coeff]] + 79.57</f>
        <v>33.91753881967999</v>
      </c>
      <c r="J477">
        <v>0.54954950000000002</v>
      </c>
      <c r="K477">
        <f>_2026_04_17_16_25_21_23_high[[#This Row],[pfwd_filt]]+200</f>
        <v>210</v>
      </c>
      <c r="L477">
        <f>_2026_04_17_16_25_21_23_high[[#This Row],[p45_filt]]+200</f>
        <v>212.2</v>
      </c>
      <c r="M477">
        <f>_2026_04_17_16_25_21_23_high[[#This Row],[new_pfwd_filt]]/_2026_04_17_16_25_21_23_high[[#This Row],[new_p45_filt]]</f>
        <v>0.98963242224316683</v>
      </c>
    </row>
    <row r="478" spans="1:13" x14ac:dyDescent="0.3">
      <c r="A478">
        <v>476</v>
      </c>
      <c r="B478">
        <v>7568</v>
      </c>
      <c r="C478" t="b">
        <v>1</v>
      </c>
      <c r="D478">
        <v>8048</v>
      </c>
      <c r="E478">
        <v>8123</v>
      </c>
      <c r="F478">
        <v>10</v>
      </c>
      <c r="G478">
        <v>11.8</v>
      </c>
      <c r="H478">
        <v>0.84745760000000003</v>
      </c>
      <c r="I478">
        <f xml:space="preserve"> -55.696 * _2026_04_17_16_25_21_23_high[[#This Row],[coeff]] + 79.57</f>
        <v>32.370001510399995</v>
      </c>
      <c r="J478">
        <v>0.54128443999999998</v>
      </c>
      <c r="K478">
        <f>_2026_04_17_16_25_21_23_high[[#This Row],[pfwd_filt]]+200</f>
        <v>210</v>
      </c>
      <c r="L478">
        <f>_2026_04_17_16_25_21_23_high[[#This Row],[p45_filt]]+200</f>
        <v>211.8</v>
      </c>
      <c r="M478">
        <f>_2026_04_17_16_25_21_23_high[[#This Row],[new_pfwd_filt]]/_2026_04_17_16_25_21_23_high[[#This Row],[new_p45_filt]]</f>
        <v>0.99150141643059486</v>
      </c>
    </row>
    <row r="479" spans="1:13" x14ac:dyDescent="0.3">
      <c r="A479">
        <v>477</v>
      </c>
      <c r="B479">
        <v>7584</v>
      </c>
      <c r="C479" t="b">
        <v>1</v>
      </c>
      <c r="D479">
        <v>8048</v>
      </c>
      <c r="E479">
        <v>8129</v>
      </c>
      <c r="F479">
        <v>9.6</v>
      </c>
      <c r="G479">
        <v>11.4</v>
      </c>
      <c r="H479">
        <v>0.84210529999999995</v>
      </c>
      <c r="I479">
        <f xml:space="preserve"> -55.696 * _2026_04_17_16_25_21_23_high[[#This Row],[coeff]] + 79.57</f>
        <v>32.668103211199998</v>
      </c>
      <c r="J479">
        <v>0.54285709999999998</v>
      </c>
      <c r="K479">
        <f>_2026_04_17_16_25_21_23_high[[#This Row],[pfwd_filt]]+200</f>
        <v>209.6</v>
      </c>
      <c r="L479">
        <f>_2026_04_17_16_25_21_23_high[[#This Row],[p45_filt]]+200</f>
        <v>211.4</v>
      </c>
      <c r="M479">
        <f>_2026_04_17_16_25_21_23_high[[#This Row],[new_pfwd_filt]]/_2026_04_17_16_25_21_23_high[[#This Row],[new_p45_filt]]</f>
        <v>0.99148533585619669</v>
      </c>
    </row>
    <row r="480" spans="1:13" x14ac:dyDescent="0.3">
      <c r="A480">
        <v>478</v>
      </c>
      <c r="B480">
        <v>7600</v>
      </c>
      <c r="C480" t="b">
        <v>1</v>
      </c>
      <c r="D480">
        <v>8048</v>
      </c>
      <c r="E480">
        <v>8129</v>
      </c>
      <c r="F480">
        <v>9.1999999999999993</v>
      </c>
      <c r="G480">
        <v>10.666667</v>
      </c>
      <c r="H480">
        <v>0.86249995000000002</v>
      </c>
      <c r="I480">
        <f xml:space="preserve"> -55.696 * _2026_04_17_16_25_21_23_high[[#This Row],[coeff]] + 79.57</f>
        <v>31.532202784799992</v>
      </c>
      <c r="J480">
        <v>0.53691274</v>
      </c>
      <c r="K480">
        <f>_2026_04_17_16_25_21_23_high[[#This Row],[pfwd_filt]]+200</f>
        <v>209.2</v>
      </c>
      <c r="L480">
        <f>_2026_04_17_16_25_21_23_high[[#This Row],[p45_filt]]+200</f>
        <v>210.66666699999999</v>
      </c>
      <c r="M480">
        <f>_2026_04_17_16_25_21_23_high[[#This Row],[new_pfwd_filt]]/_2026_04_17_16_25_21_23_high[[#This Row],[new_p45_filt]]</f>
        <v>0.9930379731122817</v>
      </c>
    </row>
    <row r="481" spans="1:13" x14ac:dyDescent="0.3">
      <c r="A481">
        <v>479</v>
      </c>
      <c r="B481">
        <v>7616</v>
      </c>
      <c r="C481" t="b">
        <v>1</v>
      </c>
      <c r="D481">
        <v>8048</v>
      </c>
      <c r="E481">
        <v>8123</v>
      </c>
      <c r="F481">
        <v>8.8000000000000007</v>
      </c>
      <c r="G481">
        <v>9.9333329999999993</v>
      </c>
      <c r="H481">
        <v>0.88590603999999995</v>
      </c>
      <c r="I481">
        <f xml:space="preserve"> -55.696 * _2026_04_17_16_25_21_23_high[[#This Row],[coeff]] + 79.57</f>
        <v>30.228577196159996</v>
      </c>
      <c r="J481">
        <v>0.53024910000000003</v>
      </c>
      <c r="K481">
        <f>_2026_04_17_16_25_21_23_high[[#This Row],[pfwd_filt]]+200</f>
        <v>208.8</v>
      </c>
      <c r="L481">
        <f>_2026_04_17_16_25_21_23_high[[#This Row],[p45_filt]]+200</f>
        <v>209.933333</v>
      </c>
      <c r="M481">
        <f>_2026_04_17_16_25_21_23_high[[#This Row],[new_pfwd_filt]]/_2026_04_17_16_25_21_23_high[[#This Row],[new_p45_filt]]</f>
        <v>0.99460146236043423</v>
      </c>
    </row>
    <row r="482" spans="1:13" x14ac:dyDescent="0.3">
      <c r="A482">
        <v>480</v>
      </c>
      <c r="B482">
        <v>7632</v>
      </c>
      <c r="C482" t="b">
        <v>1</v>
      </c>
      <c r="D482">
        <v>8048</v>
      </c>
      <c r="E482">
        <v>8123</v>
      </c>
      <c r="F482">
        <v>8.4</v>
      </c>
      <c r="G482">
        <v>9.1999999999999993</v>
      </c>
      <c r="H482">
        <v>0.91304344000000004</v>
      </c>
      <c r="I482">
        <f xml:space="preserve"> -55.696 * _2026_04_17_16_25_21_23_high[[#This Row],[coeff]] + 79.57</f>
        <v>28.717132565759989</v>
      </c>
      <c r="J482">
        <v>0.52272730000000001</v>
      </c>
      <c r="K482">
        <f>_2026_04_17_16_25_21_23_high[[#This Row],[pfwd_filt]]+200</f>
        <v>208.4</v>
      </c>
      <c r="L482">
        <f>_2026_04_17_16_25_21_23_high[[#This Row],[p45_filt]]+200</f>
        <v>209.2</v>
      </c>
      <c r="M482">
        <f>_2026_04_17_16_25_21_23_high[[#This Row],[new_pfwd_filt]]/_2026_04_17_16_25_21_23_high[[#This Row],[new_p45_filt]]</f>
        <v>0.99617590822179736</v>
      </c>
    </row>
    <row r="483" spans="1:13" x14ac:dyDescent="0.3">
      <c r="A483">
        <v>481</v>
      </c>
      <c r="B483">
        <v>7647</v>
      </c>
      <c r="C483" t="b">
        <v>1</v>
      </c>
      <c r="D483">
        <v>8048</v>
      </c>
      <c r="E483">
        <v>8129</v>
      </c>
      <c r="F483">
        <v>8</v>
      </c>
      <c r="G483">
        <v>9.1999999999999993</v>
      </c>
      <c r="H483">
        <v>0.86956524999999996</v>
      </c>
      <c r="I483">
        <f xml:space="preserve"> -55.696 * _2026_04_17_16_25_21_23_high[[#This Row],[coeff]] + 79.57</f>
        <v>31.138693835999995</v>
      </c>
      <c r="J483">
        <v>0.53488369999999996</v>
      </c>
      <c r="K483">
        <f>_2026_04_17_16_25_21_23_high[[#This Row],[pfwd_filt]]+200</f>
        <v>208</v>
      </c>
      <c r="L483">
        <f>_2026_04_17_16_25_21_23_high[[#This Row],[p45_filt]]+200</f>
        <v>209.2</v>
      </c>
      <c r="M483">
        <f>_2026_04_17_16_25_21_23_high[[#This Row],[new_pfwd_filt]]/_2026_04_17_16_25_21_23_high[[#This Row],[new_p45_filt]]</f>
        <v>0.99426386233269604</v>
      </c>
    </row>
    <row r="484" spans="1:13" x14ac:dyDescent="0.3">
      <c r="A484">
        <v>482</v>
      </c>
      <c r="B484">
        <v>7663</v>
      </c>
      <c r="C484" t="b">
        <v>1</v>
      </c>
      <c r="D484">
        <v>8048</v>
      </c>
      <c r="E484">
        <v>8129</v>
      </c>
      <c r="F484">
        <v>8</v>
      </c>
      <c r="G484">
        <v>9.1999999999999993</v>
      </c>
      <c r="H484">
        <v>0.86956524999999996</v>
      </c>
      <c r="I484">
        <f xml:space="preserve"> -55.696 * _2026_04_17_16_25_21_23_high[[#This Row],[coeff]] + 79.57</f>
        <v>31.138693835999995</v>
      </c>
      <c r="J484">
        <v>0.53488369999999996</v>
      </c>
      <c r="K484">
        <f>_2026_04_17_16_25_21_23_high[[#This Row],[pfwd_filt]]+200</f>
        <v>208</v>
      </c>
      <c r="L484">
        <f>_2026_04_17_16_25_21_23_high[[#This Row],[p45_filt]]+200</f>
        <v>209.2</v>
      </c>
      <c r="M484">
        <f>_2026_04_17_16_25_21_23_high[[#This Row],[new_pfwd_filt]]/_2026_04_17_16_25_21_23_high[[#This Row],[new_p45_filt]]</f>
        <v>0.99426386233269604</v>
      </c>
    </row>
    <row r="485" spans="1:13" x14ac:dyDescent="0.3">
      <c r="A485">
        <v>483</v>
      </c>
      <c r="B485">
        <v>7679</v>
      </c>
      <c r="C485" t="b">
        <v>1</v>
      </c>
      <c r="D485">
        <v>8042</v>
      </c>
      <c r="E485">
        <v>8129</v>
      </c>
      <c r="F485">
        <v>8</v>
      </c>
      <c r="G485">
        <v>9.1999999999999993</v>
      </c>
      <c r="H485">
        <v>0.86956524999999996</v>
      </c>
      <c r="I485">
        <f xml:space="preserve"> -55.696 * _2026_04_17_16_25_21_23_high[[#This Row],[coeff]] + 79.57</f>
        <v>31.138693835999995</v>
      </c>
      <c r="J485">
        <v>0.53488369999999996</v>
      </c>
      <c r="K485">
        <f>_2026_04_17_16_25_21_23_high[[#This Row],[pfwd_filt]]+200</f>
        <v>208</v>
      </c>
      <c r="L485">
        <f>_2026_04_17_16_25_21_23_high[[#This Row],[p45_filt]]+200</f>
        <v>209.2</v>
      </c>
      <c r="M485">
        <f>_2026_04_17_16_25_21_23_high[[#This Row],[new_pfwd_filt]]/_2026_04_17_16_25_21_23_high[[#This Row],[new_p45_filt]]</f>
        <v>0.99426386233269604</v>
      </c>
    </row>
    <row r="486" spans="1:13" x14ac:dyDescent="0.3">
      <c r="A486">
        <v>484</v>
      </c>
      <c r="B486">
        <v>7695</v>
      </c>
      <c r="C486" t="b">
        <v>1</v>
      </c>
      <c r="D486">
        <v>8048</v>
      </c>
      <c r="E486">
        <v>8134</v>
      </c>
      <c r="F486">
        <v>8</v>
      </c>
      <c r="G486">
        <v>9.6</v>
      </c>
      <c r="H486">
        <v>0.83333330000000005</v>
      </c>
      <c r="I486">
        <f xml:space="preserve"> -55.696 * _2026_04_17_16_25_21_23_high[[#This Row],[coeff]] + 79.57</f>
        <v>33.15666852319999</v>
      </c>
      <c r="J486">
        <v>0.54545456000000003</v>
      </c>
      <c r="K486">
        <f>_2026_04_17_16_25_21_23_high[[#This Row],[pfwd_filt]]+200</f>
        <v>208</v>
      </c>
      <c r="L486">
        <f>_2026_04_17_16_25_21_23_high[[#This Row],[p45_filt]]+200</f>
        <v>209.6</v>
      </c>
      <c r="M486">
        <f>_2026_04_17_16_25_21_23_high[[#This Row],[new_pfwd_filt]]/_2026_04_17_16_25_21_23_high[[#This Row],[new_p45_filt]]</f>
        <v>0.99236641221374045</v>
      </c>
    </row>
    <row r="487" spans="1:13" x14ac:dyDescent="0.3">
      <c r="A487">
        <v>485</v>
      </c>
      <c r="B487">
        <v>7711</v>
      </c>
      <c r="C487" t="b">
        <v>1</v>
      </c>
      <c r="D487">
        <v>8048</v>
      </c>
      <c r="E487">
        <v>8123</v>
      </c>
      <c r="F487">
        <v>8</v>
      </c>
      <c r="G487">
        <v>10</v>
      </c>
      <c r="H487">
        <v>0.8</v>
      </c>
      <c r="I487">
        <f xml:space="preserve"> -55.696 * _2026_04_17_16_25_21_23_high[[#This Row],[coeff]] + 79.57</f>
        <v>35.013199999999991</v>
      </c>
      <c r="J487">
        <v>0.55555560000000004</v>
      </c>
      <c r="K487">
        <f>_2026_04_17_16_25_21_23_high[[#This Row],[pfwd_filt]]+200</f>
        <v>208</v>
      </c>
      <c r="L487">
        <f>_2026_04_17_16_25_21_23_high[[#This Row],[p45_filt]]+200</f>
        <v>210</v>
      </c>
      <c r="M487">
        <f>_2026_04_17_16_25_21_23_high[[#This Row],[new_pfwd_filt]]/_2026_04_17_16_25_21_23_high[[#This Row],[new_p45_filt]]</f>
        <v>0.99047619047619051</v>
      </c>
    </row>
    <row r="488" spans="1:13" x14ac:dyDescent="0.3">
      <c r="A488">
        <v>486</v>
      </c>
      <c r="B488">
        <v>7727</v>
      </c>
      <c r="C488" t="b">
        <v>1</v>
      </c>
      <c r="D488">
        <v>8048</v>
      </c>
      <c r="E488">
        <v>8134</v>
      </c>
      <c r="F488">
        <v>8</v>
      </c>
      <c r="G488">
        <v>10.4</v>
      </c>
      <c r="H488">
        <v>0.76923079999999999</v>
      </c>
      <c r="I488">
        <f xml:space="preserve"> -55.696 * _2026_04_17_16_25_21_23_high[[#This Row],[coeff]] + 79.57</f>
        <v>36.726921363199992</v>
      </c>
      <c r="J488">
        <v>0.56521739999999998</v>
      </c>
      <c r="K488">
        <f>_2026_04_17_16_25_21_23_high[[#This Row],[pfwd_filt]]+200</f>
        <v>208</v>
      </c>
      <c r="L488">
        <f>_2026_04_17_16_25_21_23_high[[#This Row],[p45_filt]]+200</f>
        <v>210.4</v>
      </c>
      <c r="M488">
        <f>_2026_04_17_16_25_21_23_high[[#This Row],[new_pfwd_filt]]/_2026_04_17_16_25_21_23_high[[#This Row],[new_p45_filt]]</f>
        <v>0.98859315589353614</v>
      </c>
    </row>
    <row r="489" spans="1:13" x14ac:dyDescent="0.3">
      <c r="A489">
        <v>487</v>
      </c>
      <c r="B489">
        <v>7743</v>
      </c>
      <c r="C489" t="b">
        <v>1</v>
      </c>
      <c r="D489">
        <v>8048</v>
      </c>
      <c r="E489">
        <v>8123</v>
      </c>
      <c r="F489">
        <v>8</v>
      </c>
      <c r="G489">
        <v>10.8</v>
      </c>
      <c r="H489">
        <v>0.74074070000000003</v>
      </c>
      <c r="I489">
        <f xml:space="preserve"> -55.696 * _2026_04_17_16_25_21_23_high[[#This Row],[coeff]] + 79.57</f>
        <v>38.313705972799994</v>
      </c>
      <c r="J489">
        <v>0.57446814000000002</v>
      </c>
      <c r="K489">
        <f>_2026_04_17_16_25_21_23_high[[#This Row],[pfwd_filt]]+200</f>
        <v>208</v>
      </c>
      <c r="L489">
        <f>_2026_04_17_16_25_21_23_high[[#This Row],[p45_filt]]+200</f>
        <v>210.8</v>
      </c>
      <c r="M489">
        <f>_2026_04_17_16_25_21_23_high[[#This Row],[new_pfwd_filt]]/_2026_04_17_16_25_21_23_high[[#This Row],[new_p45_filt]]</f>
        <v>0.98671726755218214</v>
      </c>
    </row>
    <row r="490" spans="1:13" x14ac:dyDescent="0.3">
      <c r="A490">
        <v>488</v>
      </c>
      <c r="B490">
        <v>7758</v>
      </c>
      <c r="C490" t="b">
        <v>1</v>
      </c>
      <c r="D490">
        <v>8042</v>
      </c>
      <c r="E490">
        <v>8123</v>
      </c>
      <c r="F490">
        <v>8</v>
      </c>
      <c r="G490">
        <v>10.8</v>
      </c>
      <c r="H490">
        <v>0.74074070000000003</v>
      </c>
      <c r="I490">
        <f xml:space="preserve"> -55.696 * _2026_04_17_16_25_21_23_high[[#This Row],[coeff]] + 79.57</f>
        <v>38.313705972799994</v>
      </c>
      <c r="J490">
        <v>0.57446814000000002</v>
      </c>
      <c r="K490">
        <f>_2026_04_17_16_25_21_23_high[[#This Row],[pfwd_filt]]+200</f>
        <v>208</v>
      </c>
      <c r="L490">
        <f>_2026_04_17_16_25_21_23_high[[#This Row],[p45_filt]]+200</f>
        <v>210.8</v>
      </c>
      <c r="M490">
        <f>_2026_04_17_16_25_21_23_high[[#This Row],[new_pfwd_filt]]/_2026_04_17_16_25_21_23_high[[#This Row],[new_p45_filt]]</f>
        <v>0.98671726755218214</v>
      </c>
    </row>
    <row r="491" spans="1:13" x14ac:dyDescent="0.3">
      <c r="A491">
        <v>489</v>
      </c>
      <c r="B491">
        <v>7774</v>
      </c>
      <c r="C491" t="b">
        <v>1</v>
      </c>
      <c r="D491">
        <v>8048</v>
      </c>
      <c r="E491">
        <v>8123</v>
      </c>
      <c r="F491">
        <v>8</v>
      </c>
      <c r="G491">
        <v>10.8</v>
      </c>
      <c r="H491">
        <v>0.74074070000000003</v>
      </c>
      <c r="I491">
        <f xml:space="preserve"> -55.696 * _2026_04_17_16_25_21_23_high[[#This Row],[coeff]] + 79.57</f>
        <v>38.313705972799994</v>
      </c>
      <c r="J491">
        <v>0.57446814000000002</v>
      </c>
      <c r="K491">
        <f>_2026_04_17_16_25_21_23_high[[#This Row],[pfwd_filt]]+200</f>
        <v>208</v>
      </c>
      <c r="L491">
        <f>_2026_04_17_16_25_21_23_high[[#This Row],[p45_filt]]+200</f>
        <v>210.8</v>
      </c>
      <c r="M491">
        <f>_2026_04_17_16_25_21_23_high[[#This Row],[new_pfwd_filt]]/_2026_04_17_16_25_21_23_high[[#This Row],[new_p45_filt]]</f>
        <v>0.98671726755218214</v>
      </c>
    </row>
    <row r="492" spans="1:13" x14ac:dyDescent="0.3">
      <c r="A492">
        <v>490</v>
      </c>
      <c r="B492">
        <v>7790</v>
      </c>
      <c r="C492" t="b">
        <v>1</v>
      </c>
      <c r="D492">
        <v>8048</v>
      </c>
      <c r="E492">
        <v>8129</v>
      </c>
      <c r="F492">
        <v>8</v>
      </c>
      <c r="G492">
        <v>10.8</v>
      </c>
      <c r="H492">
        <v>0.74074070000000003</v>
      </c>
      <c r="I492">
        <f xml:space="preserve"> -55.696 * _2026_04_17_16_25_21_23_high[[#This Row],[coeff]] + 79.57</f>
        <v>38.313705972799994</v>
      </c>
      <c r="J492">
        <v>0.57446814000000002</v>
      </c>
      <c r="K492">
        <f>_2026_04_17_16_25_21_23_high[[#This Row],[pfwd_filt]]+200</f>
        <v>208</v>
      </c>
      <c r="L492">
        <f>_2026_04_17_16_25_21_23_high[[#This Row],[p45_filt]]+200</f>
        <v>210.8</v>
      </c>
      <c r="M492">
        <f>_2026_04_17_16_25_21_23_high[[#This Row],[new_pfwd_filt]]/_2026_04_17_16_25_21_23_high[[#This Row],[new_p45_filt]]</f>
        <v>0.98671726755218214</v>
      </c>
    </row>
    <row r="493" spans="1:13" x14ac:dyDescent="0.3">
      <c r="A493">
        <v>491</v>
      </c>
      <c r="B493">
        <v>7806</v>
      </c>
      <c r="C493" t="b">
        <v>1</v>
      </c>
      <c r="D493">
        <v>8048</v>
      </c>
      <c r="E493">
        <v>8123</v>
      </c>
      <c r="F493">
        <v>8</v>
      </c>
      <c r="G493">
        <v>10.8</v>
      </c>
      <c r="H493">
        <v>0.74074070000000003</v>
      </c>
      <c r="I493">
        <f xml:space="preserve"> -55.696 * _2026_04_17_16_25_21_23_high[[#This Row],[coeff]] + 79.57</f>
        <v>38.313705972799994</v>
      </c>
      <c r="J493">
        <v>0.57446814000000002</v>
      </c>
      <c r="K493">
        <f>_2026_04_17_16_25_21_23_high[[#This Row],[pfwd_filt]]+200</f>
        <v>208</v>
      </c>
      <c r="L493">
        <f>_2026_04_17_16_25_21_23_high[[#This Row],[p45_filt]]+200</f>
        <v>210.8</v>
      </c>
      <c r="M493">
        <f>_2026_04_17_16_25_21_23_high[[#This Row],[new_pfwd_filt]]/_2026_04_17_16_25_21_23_high[[#This Row],[new_p45_filt]]</f>
        <v>0.98671726755218214</v>
      </c>
    </row>
    <row r="494" spans="1:13" x14ac:dyDescent="0.3">
      <c r="A494">
        <v>492</v>
      </c>
      <c r="B494">
        <v>7822</v>
      </c>
      <c r="C494" t="b">
        <v>1</v>
      </c>
      <c r="D494">
        <v>8048</v>
      </c>
      <c r="E494">
        <v>8129</v>
      </c>
      <c r="F494">
        <v>8</v>
      </c>
      <c r="G494">
        <v>10.8</v>
      </c>
      <c r="H494">
        <v>0.74074070000000003</v>
      </c>
      <c r="I494">
        <f xml:space="preserve"> -55.696 * _2026_04_17_16_25_21_23_high[[#This Row],[coeff]] + 79.57</f>
        <v>38.313705972799994</v>
      </c>
      <c r="J494">
        <v>0.57446814000000002</v>
      </c>
      <c r="K494">
        <f>_2026_04_17_16_25_21_23_high[[#This Row],[pfwd_filt]]+200</f>
        <v>208</v>
      </c>
      <c r="L494">
        <f>_2026_04_17_16_25_21_23_high[[#This Row],[p45_filt]]+200</f>
        <v>210.8</v>
      </c>
      <c r="M494">
        <f>_2026_04_17_16_25_21_23_high[[#This Row],[new_pfwd_filt]]/_2026_04_17_16_25_21_23_high[[#This Row],[new_p45_filt]]</f>
        <v>0.98671726755218214</v>
      </c>
    </row>
    <row r="495" spans="1:13" x14ac:dyDescent="0.3">
      <c r="A495">
        <v>493</v>
      </c>
      <c r="B495">
        <v>7838</v>
      </c>
      <c r="C495" t="b">
        <v>1</v>
      </c>
      <c r="D495">
        <v>8042</v>
      </c>
      <c r="E495">
        <v>8134</v>
      </c>
      <c r="F495">
        <v>8</v>
      </c>
      <c r="G495">
        <v>11.2</v>
      </c>
      <c r="H495">
        <v>0.71428572999999995</v>
      </c>
      <c r="I495">
        <f xml:space="preserve"> -55.696 * _2026_04_17_16_25_21_23_high[[#This Row],[coeff]] + 79.57</f>
        <v>39.787141981919994</v>
      </c>
      <c r="J495">
        <v>0.58333330000000005</v>
      </c>
      <c r="K495">
        <f>_2026_04_17_16_25_21_23_high[[#This Row],[pfwd_filt]]+200</f>
        <v>208</v>
      </c>
      <c r="L495">
        <f>_2026_04_17_16_25_21_23_high[[#This Row],[p45_filt]]+200</f>
        <v>211.2</v>
      </c>
      <c r="M495">
        <f>_2026_04_17_16_25_21_23_high[[#This Row],[new_pfwd_filt]]/_2026_04_17_16_25_21_23_high[[#This Row],[new_p45_filt]]</f>
        <v>0.98484848484848486</v>
      </c>
    </row>
    <row r="496" spans="1:13" x14ac:dyDescent="0.3">
      <c r="A496">
        <v>494</v>
      </c>
      <c r="B496">
        <v>7854</v>
      </c>
      <c r="C496" t="b">
        <v>1</v>
      </c>
      <c r="D496">
        <v>8048</v>
      </c>
      <c r="E496">
        <v>8123</v>
      </c>
      <c r="F496">
        <v>8</v>
      </c>
      <c r="G496">
        <v>11.6</v>
      </c>
      <c r="H496">
        <v>0.68965509999999997</v>
      </c>
      <c r="I496">
        <f xml:space="preserve"> -55.696 * _2026_04_17_16_25_21_23_high[[#This Row],[coeff]] + 79.57</f>
        <v>41.158969550399995</v>
      </c>
      <c r="J496">
        <v>0.59183675000000002</v>
      </c>
      <c r="K496">
        <f>_2026_04_17_16_25_21_23_high[[#This Row],[pfwd_filt]]+200</f>
        <v>208</v>
      </c>
      <c r="L496">
        <f>_2026_04_17_16_25_21_23_high[[#This Row],[p45_filt]]+200</f>
        <v>211.6</v>
      </c>
      <c r="M496">
        <f>_2026_04_17_16_25_21_23_high[[#This Row],[new_pfwd_filt]]/_2026_04_17_16_25_21_23_high[[#This Row],[new_p45_filt]]</f>
        <v>0.98298676748582237</v>
      </c>
    </row>
    <row r="497" spans="1:13" x14ac:dyDescent="0.3">
      <c r="A497">
        <v>495</v>
      </c>
      <c r="B497">
        <v>7869</v>
      </c>
      <c r="C497" t="b">
        <v>1</v>
      </c>
      <c r="D497">
        <v>8048</v>
      </c>
      <c r="E497">
        <v>8134</v>
      </c>
      <c r="F497">
        <v>8</v>
      </c>
      <c r="G497">
        <v>12</v>
      </c>
      <c r="H497">
        <v>0.66666669999999995</v>
      </c>
      <c r="I497">
        <f xml:space="preserve"> -55.696 * _2026_04_17_16_25_21_23_high[[#This Row],[coeff]] + 79.57</f>
        <v>42.4393314768</v>
      </c>
      <c r="J497">
        <v>0.6</v>
      </c>
      <c r="K497">
        <f>_2026_04_17_16_25_21_23_high[[#This Row],[pfwd_filt]]+200</f>
        <v>208</v>
      </c>
      <c r="L497">
        <f>_2026_04_17_16_25_21_23_high[[#This Row],[p45_filt]]+200</f>
        <v>212</v>
      </c>
      <c r="M497">
        <f>_2026_04_17_16_25_21_23_high[[#This Row],[new_pfwd_filt]]/_2026_04_17_16_25_21_23_high[[#This Row],[new_p45_filt]]</f>
        <v>0.98113207547169812</v>
      </c>
    </row>
    <row r="498" spans="1:13" x14ac:dyDescent="0.3">
      <c r="A498">
        <v>496</v>
      </c>
      <c r="B498">
        <v>7885</v>
      </c>
      <c r="C498" t="b">
        <v>1</v>
      </c>
      <c r="D498">
        <v>8048</v>
      </c>
      <c r="E498">
        <v>8123</v>
      </c>
      <c r="F498">
        <v>8</v>
      </c>
      <c r="G498">
        <v>12</v>
      </c>
      <c r="H498">
        <v>0.66666669999999995</v>
      </c>
      <c r="I498">
        <f xml:space="preserve"> -55.696 * _2026_04_17_16_25_21_23_high[[#This Row],[coeff]] + 79.57</f>
        <v>42.4393314768</v>
      </c>
      <c r="J498">
        <v>0.6</v>
      </c>
      <c r="K498">
        <f>_2026_04_17_16_25_21_23_high[[#This Row],[pfwd_filt]]+200</f>
        <v>208</v>
      </c>
      <c r="L498">
        <f>_2026_04_17_16_25_21_23_high[[#This Row],[p45_filt]]+200</f>
        <v>212</v>
      </c>
      <c r="M498">
        <f>_2026_04_17_16_25_21_23_high[[#This Row],[new_pfwd_filt]]/_2026_04_17_16_25_21_23_high[[#This Row],[new_p45_filt]]</f>
        <v>0.98113207547169812</v>
      </c>
    </row>
    <row r="499" spans="1:13" x14ac:dyDescent="0.3">
      <c r="A499">
        <v>497</v>
      </c>
      <c r="B499">
        <v>7901</v>
      </c>
      <c r="C499" t="b">
        <v>1</v>
      </c>
      <c r="D499">
        <v>8048</v>
      </c>
      <c r="E499">
        <v>8129</v>
      </c>
      <c r="F499">
        <v>8</v>
      </c>
      <c r="G499">
        <v>12</v>
      </c>
      <c r="H499">
        <v>0.66666669999999995</v>
      </c>
      <c r="I499">
        <f xml:space="preserve"> -55.696 * _2026_04_17_16_25_21_23_high[[#This Row],[coeff]] + 79.57</f>
        <v>42.4393314768</v>
      </c>
      <c r="J499">
        <v>0.6</v>
      </c>
      <c r="K499">
        <f>_2026_04_17_16_25_21_23_high[[#This Row],[pfwd_filt]]+200</f>
        <v>208</v>
      </c>
      <c r="L499">
        <f>_2026_04_17_16_25_21_23_high[[#This Row],[p45_filt]]+200</f>
        <v>212</v>
      </c>
      <c r="M499">
        <f>_2026_04_17_16_25_21_23_high[[#This Row],[new_pfwd_filt]]/_2026_04_17_16_25_21_23_high[[#This Row],[new_p45_filt]]</f>
        <v>0.98113207547169812</v>
      </c>
    </row>
    <row r="500" spans="1:13" x14ac:dyDescent="0.3">
      <c r="A500">
        <v>498</v>
      </c>
      <c r="B500">
        <v>7917</v>
      </c>
      <c r="C500" t="b">
        <v>1</v>
      </c>
      <c r="D500">
        <v>8042</v>
      </c>
      <c r="E500">
        <v>8129</v>
      </c>
      <c r="F500">
        <v>8</v>
      </c>
      <c r="G500">
        <v>12</v>
      </c>
      <c r="H500">
        <v>0.66666669999999995</v>
      </c>
      <c r="I500">
        <f xml:space="preserve"> -55.696 * _2026_04_17_16_25_21_23_high[[#This Row],[coeff]] + 79.57</f>
        <v>42.4393314768</v>
      </c>
      <c r="J500">
        <v>0.6</v>
      </c>
      <c r="K500">
        <f>_2026_04_17_16_25_21_23_high[[#This Row],[pfwd_filt]]+200</f>
        <v>208</v>
      </c>
      <c r="L500">
        <f>_2026_04_17_16_25_21_23_high[[#This Row],[p45_filt]]+200</f>
        <v>212</v>
      </c>
      <c r="M500">
        <f>_2026_04_17_16_25_21_23_high[[#This Row],[new_pfwd_filt]]/_2026_04_17_16_25_21_23_high[[#This Row],[new_p45_filt]]</f>
        <v>0.98113207547169812</v>
      </c>
    </row>
    <row r="501" spans="1:13" x14ac:dyDescent="0.3">
      <c r="A501">
        <v>499</v>
      </c>
      <c r="B501">
        <v>7933</v>
      </c>
      <c r="C501" t="b">
        <v>1</v>
      </c>
      <c r="D501">
        <v>8048</v>
      </c>
      <c r="E501">
        <v>8129</v>
      </c>
      <c r="F501">
        <v>8</v>
      </c>
      <c r="G501">
        <v>12</v>
      </c>
      <c r="H501">
        <v>0.66666669999999995</v>
      </c>
      <c r="I501">
        <f xml:space="preserve"> -55.696 * _2026_04_17_16_25_21_23_high[[#This Row],[coeff]] + 79.57</f>
        <v>42.4393314768</v>
      </c>
      <c r="J501">
        <v>0.6</v>
      </c>
      <c r="K501">
        <f>_2026_04_17_16_25_21_23_high[[#This Row],[pfwd_filt]]+200</f>
        <v>208</v>
      </c>
      <c r="L501">
        <f>_2026_04_17_16_25_21_23_high[[#This Row],[p45_filt]]+200</f>
        <v>212</v>
      </c>
      <c r="M501">
        <f>_2026_04_17_16_25_21_23_high[[#This Row],[new_pfwd_filt]]/_2026_04_17_16_25_21_23_high[[#This Row],[new_p45_filt]]</f>
        <v>0.98113207547169812</v>
      </c>
    </row>
    <row r="502" spans="1:13" x14ac:dyDescent="0.3">
      <c r="A502">
        <v>500</v>
      </c>
      <c r="B502">
        <v>7949</v>
      </c>
      <c r="C502" t="b">
        <v>1</v>
      </c>
      <c r="D502">
        <v>8048</v>
      </c>
      <c r="E502">
        <v>8123</v>
      </c>
      <c r="F502">
        <v>8</v>
      </c>
      <c r="G502">
        <v>12</v>
      </c>
      <c r="H502">
        <v>0.66666669999999995</v>
      </c>
      <c r="I502">
        <f xml:space="preserve"> -55.696 * _2026_04_17_16_25_21_23_high[[#This Row],[coeff]] + 79.57</f>
        <v>42.4393314768</v>
      </c>
      <c r="J502">
        <v>0.6</v>
      </c>
      <c r="K502">
        <f>_2026_04_17_16_25_21_23_high[[#This Row],[pfwd_filt]]+200</f>
        <v>208</v>
      </c>
      <c r="L502">
        <f>_2026_04_17_16_25_21_23_high[[#This Row],[p45_filt]]+200</f>
        <v>212</v>
      </c>
      <c r="M502">
        <f>_2026_04_17_16_25_21_23_high[[#This Row],[new_pfwd_filt]]/_2026_04_17_16_25_21_23_high[[#This Row],[new_p45_filt]]</f>
        <v>0.98113207547169812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82EE-20E2-4416-8BD3-4F0116E347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CDDC8E-4AFF-4FE7-8CB8-7459B7673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2026-04-17_16-42-00_-22_high</vt:lpstr>
      <vt:lpstr>2026-04-17_16-41-07_-19_high</vt:lpstr>
      <vt:lpstr>2026-04-17_16-43-51_-14_high</vt:lpstr>
      <vt:lpstr>2026-04-17_16-40-13_-12_high</vt:lpstr>
      <vt:lpstr>2026-04-17_16-38-14_-7_high</vt:lpstr>
      <vt:lpstr>2026-04-17_16-36-46_-5_high</vt:lpstr>
      <vt:lpstr>2026-04-17_16-35-28_-2_high</vt:lpstr>
      <vt:lpstr>2026-04-17_16-32-27_0_high</vt:lpstr>
      <vt:lpstr>2026-04-17_16-31-51_5_high</vt:lpstr>
      <vt:lpstr>2026-04-17_16-31-16_7_high</vt:lpstr>
      <vt:lpstr>2026-04-17_16-30-28_9_high</vt:lpstr>
      <vt:lpstr>2026-04-17_16-29-45_13_high</vt:lpstr>
      <vt:lpstr>2026-04-17_16-29-05_14_high</vt:lpstr>
      <vt:lpstr>2026-04-17_16-28-20_16_high</vt:lpstr>
      <vt:lpstr>2026-04-17_16-26-30_19_high</vt:lpstr>
      <vt:lpstr>2026-04-17_16-25-21_23_high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Darii Vereshchak</dc:creator>
  <cp:lastModifiedBy>Darii Vereshchak</cp:lastModifiedBy>
  <dcterms:created xsi:type="dcterms:W3CDTF">2026-04-17T23:48:42Z</dcterms:created>
  <dcterms:modified xsi:type="dcterms:W3CDTF">2026-04-27T19:50:04Z</dcterms:modified>
</cp:coreProperties>
</file>