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aardvark_prototype\aardvark_prototype\Calibration data\2026-04-17_2\"/>
    </mc:Choice>
  </mc:AlternateContent>
  <xr:revisionPtr revIDLastSave="0" documentId="8_{1E2794CA-5314-4F5A-B95A-74630BB32138}" xr6:coauthVersionLast="47" xr6:coauthVersionMax="47" xr10:uidLastSave="{00000000-0000-0000-0000-000000000000}"/>
  <bookViews>
    <workbookView xWindow="0" yWindow="360" windowWidth="23256" windowHeight="12456" tabRatio="908" xr2:uid="{D9B19C8F-7188-4FBF-936E-732292BB6C26}"/>
  </bookViews>
  <sheets>
    <sheet name="Summary" sheetId="19" r:id="rId1"/>
    <sheet name="2026-04-17_16-41-07_-19_high" sheetId="17" r:id="rId2"/>
    <sheet name="2026-04-17_16-43-51_-14_high" sheetId="16" r:id="rId3"/>
    <sheet name="2026-04-17_16-40-13_-12_high" sheetId="15" r:id="rId4"/>
    <sheet name="2026-04-17_16-38-14_-7_high" sheetId="14" r:id="rId5"/>
    <sheet name="2026-04-17_16-36-46_-5_high" sheetId="13" r:id="rId6"/>
    <sheet name="2026-04-17_16-35-28_-2_high" sheetId="12" r:id="rId7"/>
    <sheet name="2026-04-17_16-32-27_0_high" sheetId="11" r:id="rId8"/>
    <sheet name="2026-04-17_16-31-51_5_high" sheetId="10" r:id="rId9"/>
    <sheet name="2026-04-17_16-31-16_7_high" sheetId="9" r:id="rId10"/>
    <sheet name="2026-04-17_16-30-28_9_high" sheetId="8" r:id="rId11"/>
    <sheet name="2026-04-17_16-29-45_13_high" sheetId="7" r:id="rId12"/>
    <sheet name="2026-04-17_16-29-05_14_high" sheetId="6" r:id="rId13"/>
    <sheet name="2026-04-17_16-28-20_16_high" sheetId="5" r:id="rId14"/>
    <sheet name="2026-04-17_16-26-30_19_high" sheetId="4" r:id="rId15"/>
    <sheet name="2026-04-17_16-25-21_23_high" sheetId="3" r:id="rId16"/>
    <sheet name="Sheet1" sheetId="1" r:id="rId17"/>
  </sheets>
  <definedNames>
    <definedName name="ExternalData_1" localSheetId="15" hidden="1">'2026-04-17_16-25-21_23_high'!$A$1:$J$502</definedName>
    <definedName name="ExternalData_10" localSheetId="6" hidden="1">'2026-04-17_16-35-28_-2_high'!$A$1:$J$502</definedName>
    <definedName name="ExternalData_11" localSheetId="5" hidden="1">'2026-04-17_16-36-46_-5_high'!$A$1:$J$502</definedName>
    <definedName name="ExternalData_12" localSheetId="4" hidden="1">'2026-04-17_16-38-14_-7_high'!$A$1:$J$502</definedName>
    <definedName name="ExternalData_13" localSheetId="3" hidden="1">'2026-04-17_16-40-13_-12_high'!$A$1:$J$502</definedName>
    <definedName name="ExternalData_14" localSheetId="2" hidden="1">'2026-04-17_16-43-51_-14_high'!$A$1:$J$502</definedName>
    <definedName name="ExternalData_15" localSheetId="1" hidden="1">'2026-04-17_16-41-07_-19_high'!$A$1:$J$502</definedName>
    <definedName name="ExternalData_2" localSheetId="14" hidden="1">'2026-04-17_16-26-30_19_high'!$A$1:$J$502</definedName>
    <definedName name="ExternalData_3" localSheetId="13" hidden="1">'2026-04-17_16-28-20_16_high'!$A$1:$J$502</definedName>
    <definedName name="ExternalData_4" localSheetId="12" hidden="1">'2026-04-17_16-29-05_14_high'!$A$1:$J$502</definedName>
    <definedName name="ExternalData_5" localSheetId="11" hidden="1">'2026-04-17_16-29-45_13_high'!$A$1:$J$502</definedName>
    <definedName name="ExternalData_6" localSheetId="10" hidden="1">'2026-04-17_16-30-28_9_high'!$A$1:$J$502</definedName>
    <definedName name="ExternalData_7" localSheetId="9" hidden="1">'2026-04-17_16-31-16_7_high'!$A$1:$J$502</definedName>
    <definedName name="ExternalData_8" localSheetId="8" hidden="1">'2026-04-17_16-31-51_5_high'!$A$1:$J$502</definedName>
    <definedName name="ExternalData_9" localSheetId="7" hidden="1">'2026-04-17_16-32-27_0_high'!$A$1:$J$502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7" i="15" l="1"/>
  <c r="I486" i="15"/>
  <c r="I485" i="15"/>
  <c r="I475" i="15"/>
  <c r="I458" i="15"/>
  <c r="I449" i="15"/>
  <c r="I433" i="15"/>
  <c r="I432" i="15"/>
  <c r="I431" i="15"/>
  <c r="I430" i="15"/>
  <c r="I429" i="15"/>
  <c r="I428" i="15"/>
  <c r="I427" i="15"/>
  <c r="I417" i="15"/>
  <c r="I403" i="15"/>
  <c r="I399" i="15"/>
  <c r="I398" i="15"/>
  <c r="I397" i="15"/>
  <c r="I396" i="15"/>
  <c r="I389" i="15"/>
  <c r="I387" i="15"/>
  <c r="I383" i="15"/>
  <c r="I368" i="15"/>
  <c r="I367" i="15"/>
  <c r="I366" i="15"/>
  <c r="I365" i="15"/>
  <c r="I364" i="15"/>
  <c r="I363" i="15"/>
  <c r="I362" i="15"/>
  <c r="I347" i="15"/>
  <c r="I313" i="15"/>
  <c r="I312" i="15"/>
  <c r="I290" i="15"/>
  <c r="I225" i="15"/>
  <c r="I219" i="15"/>
  <c r="I210" i="15"/>
  <c r="I170" i="15"/>
  <c r="I155" i="15"/>
  <c r="I152" i="15"/>
  <c r="I151" i="15"/>
  <c r="I149" i="15"/>
  <c r="I148" i="15"/>
  <c r="I142" i="15"/>
  <c r="I141" i="15"/>
  <c r="I24" i="15"/>
  <c r="I23" i="15"/>
  <c r="I22" i="15"/>
  <c r="I21" i="15"/>
  <c r="I20" i="15"/>
  <c r="I19" i="15"/>
  <c r="I486" i="16"/>
  <c r="I401" i="16"/>
  <c r="I312" i="16"/>
  <c r="I280" i="16"/>
  <c r="I279" i="16"/>
  <c r="I271" i="16"/>
  <c r="I267" i="16"/>
  <c r="I178" i="16"/>
  <c r="I166" i="16"/>
  <c r="I144" i="16"/>
  <c r="I142" i="16"/>
  <c r="I120" i="16"/>
  <c r="I111" i="16"/>
  <c r="I91" i="16"/>
  <c r="I90" i="16"/>
  <c r="I89" i="16"/>
  <c r="I65" i="16"/>
  <c r="I50" i="16"/>
  <c r="I25" i="16"/>
  <c r="I11" i="19"/>
  <c r="H11" i="19"/>
  <c r="G11" i="19"/>
  <c r="F11" i="19"/>
  <c r="E11" i="19"/>
  <c r="D11" i="19"/>
  <c r="C11" i="19"/>
  <c r="B11" i="19"/>
  <c r="I10" i="19"/>
  <c r="H10" i="19"/>
  <c r="G10" i="19"/>
  <c r="F10" i="19"/>
  <c r="E10" i="19"/>
  <c r="D10" i="19"/>
  <c r="C10" i="19"/>
  <c r="B10" i="19"/>
  <c r="I9" i="19"/>
  <c r="H9" i="19"/>
  <c r="G9" i="19"/>
  <c r="F9" i="19"/>
  <c r="E9" i="19"/>
  <c r="D9" i="19"/>
  <c r="C9" i="19"/>
  <c r="B9" i="19"/>
  <c r="I8" i="19"/>
  <c r="H8" i="19"/>
  <c r="G8" i="19"/>
  <c r="F8" i="19"/>
  <c r="E8" i="19"/>
  <c r="D8" i="19"/>
  <c r="C8" i="19"/>
  <c r="B8" i="19"/>
  <c r="I7" i="19"/>
  <c r="H7" i="19"/>
  <c r="G7" i="19"/>
  <c r="F7" i="19"/>
  <c r="E7" i="19"/>
  <c r="D7" i="19"/>
  <c r="C7" i="19"/>
  <c r="B7" i="19"/>
  <c r="I6" i="19"/>
  <c r="H6" i="19"/>
  <c r="G6" i="19"/>
  <c r="F6" i="19"/>
  <c r="E6" i="19"/>
  <c r="D6" i="19"/>
  <c r="C6" i="19"/>
  <c r="B6" i="19"/>
  <c r="I5" i="19"/>
  <c r="H5" i="19"/>
  <c r="G5" i="19"/>
  <c r="F5" i="19"/>
  <c r="E5" i="19"/>
  <c r="D5" i="19"/>
  <c r="C5" i="19"/>
  <c r="B5" i="19"/>
  <c r="I4" i="19"/>
  <c r="H4" i="19"/>
  <c r="G4" i="19"/>
  <c r="F4" i="19"/>
  <c r="E4" i="19"/>
  <c r="D4" i="19"/>
  <c r="C4" i="19"/>
  <c r="B4" i="19"/>
  <c r="I3" i="19"/>
  <c r="H3" i="19"/>
  <c r="G3" i="19"/>
  <c r="F3" i="19"/>
  <c r="E3" i="19"/>
  <c r="D3" i="19"/>
  <c r="C3" i="19"/>
  <c r="B3" i="19"/>
  <c r="I2" i="19"/>
  <c r="H2" i="19"/>
  <c r="G2" i="19"/>
  <c r="F2" i="19"/>
  <c r="E2" i="19"/>
  <c r="D2" i="19"/>
  <c r="C2" i="19"/>
  <c r="B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942E85-EA2B-4D87-822E-21EE1DD70C54}" keepAlive="1" name="Query - 2026-04-17" description="Connection to the '2026-04-17' query in the workbook." type="5" refreshedVersion="0" background="1">
    <dbPr connection="Provider=Microsoft.Mashup.OleDb.1;Data Source=$Workbook$;Location=2026-04-17;Extended Properties=&quot;&quot;" command="SELECT * FROM [2026-04-17]"/>
  </connection>
  <connection id="2" xr16:uid="{D70E5AB7-65DB-41A3-B777-C7E3431ED8DB}" keepAlive="1" name="Query - 2026-04-17_16-25-21_23_high" description="Connection to the '2026-04-17_16-25-21_23_high' query in the workbook." type="5" refreshedVersion="8" background="1" saveData="1">
    <dbPr connection="Provider=Microsoft.Mashup.OleDb.1;Data Source=$Workbook$;Location=2026-04-17_16-25-21_23_high;Extended Properties=&quot;&quot;" command="SELECT * FROM [2026-04-17_16-25-21_23_high]"/>
  </connection>
  <connection id="3" xr16:uid="{62B57E54-61CE-478C-9070-D24518294466}" keepAlive="1" name="Query - 2026-04-17_16-26-30_19_high" description="Connection to the '2026-04-17_16-26-30_19_high' query in the workbook." type="5" refreshedVersion="8" background="1" saveData="1">
    <dbPr connection="Provider=Microsoft.Mashup.OleDb.1;Data Source=$Workbook$;Location=2026-04-17_16-26-30_19_high;Extended Properties=&quot;&quot;" command="SELECT * FROM [2026-04-17_16-26-30_19_high]"/>
  </connection>
  <connection id="4" xr16:uid="{66053DA1-E79C-4CBD-A458-0B29AB9351D4}" keepAlive="1" name="Query - 2026-04-17_16-28-20_16_high" description="Connection to the '2026-04-17_16-28-20_16_high' query in the workbook." type="5" refreshedVersion="8" background="1" saveData="1">
    <dbPr connection="Provider=Microsoft.Mashup.OleDb.1;Data Source=$Workbook$;Location=2026-04-17_16-28-20_16_high;Extended Properties=&quot;&quot;" command="SELECT * FROM [2026-04-17_16-28-20_16_high]"/>
  </connection>
  <connection id="5" xr16:uid="{EECC044E-991F-45FB-91FC-36428A1FBE45}" keepAlive="1" name="Query - 2026-04-17_16-29-05_14_high" description="Connection to the '2026-04-17_16-29-05_14_high' query in the workbook." type="5" refreshedVersion="8" background="1" saveData="1">
    <dbPr connection="Provider=Microsoft.Mashup.OleDb.1;Data Source=$Workbook$;Location=2026-04-17_16-29-05_14_high;Extended Properties=&quot;&quot;" command="SELECT * FROM [2026-04-17_16-29-05_14_high]"/>
  </connection>
  <connection id="6" xr16:uid="{01C6F6C8-5C55-4084-9414-122F8FBA3F8F}" keepAlive="1" name="Query - 2026-04-17_16-29-45_13_high" description="Connection to the '2026-04-17_16-29-45_13_high' query in the workbook." type="5" refreshedVersion="8" background="1" saveData="1">
    <dbPr connection="Provider=Microsoft.Mashup.OleDb.1;Data Source=$Workbook$;Location=2026-04-17_16-29-45_13_high;Extended Properties=&quot;&quot;" command="SELECT * FROM [2026-04-17_16-29-45_13_high]"/>
  </connection>
  <connection id="7" xr16:uid="{8A64A06D-6854-4F6E-AC95-8BD4C4764577}" keepAlive="1" name="Query - 2026-04-17_16-30-28_9_high" description="Connection to the '2026-04-17_16-30-28_9_high' query in the workbook." type="5" refreshedVersion="8" background="1" saveData="1">
    <dbPr connection="Provider=Microsoft.Mashup.OleDb.1;Data Source=$Workbook$;Location=2026-04-17_16-30-28_9_high;Extended Properties=&quot;&quot;" command="SELECT * FROM [2026-04-17_16-30-28_9_high]"/>
  </connection>
  <connection id="8" xr16:uid="{4AD3DA27-0799-40A3-AB0A-98E71D1757D9}" keepAlive="1" name="Query - 2026-04-17_16-31-16_7_high" description="Connection to the '2026-04-17_16-31-16_7_high' query in the workbook." type="5" refreshedVersion="8" background="1" saveData="1">
    <dbPr connection="Provider=Microsoft.Mashup.OleDb.1;Data Source=$Workbook$;Location=2026-04-17_16-31-16_7_high;Extended Properties=&quot;&quot;" command="SELECT * FROM [2026-04-17_16-31-16_7_high]"/>
  </connection>
  <connection id="9" xr16:uid="{045B47A0-C38E-4C84-A861-E3E50B0D4AE6}" keepAlive="1" name="Query - 2026-04-17_16-31-51_5_high" description="Connection to the '2026-04-17_16-31-51_5_high' query in the workbook." type="5" refreshedVersion="8" background="1" saveData="1">
    <dbPr connection="Provider=Microsoft.Mashup.OleDb.1;Data Source=$Workbook$;Location=2026-04-17_16-31-51_5_high;Extended Properties=&quot;&quot;" command="SELECT * FROM [2026-04-17_16-31-51_5_high]"/>
  </connection>
  <connection id="10" xr16:uid="{5D7CA3D4-305D-4DBA-B18A-8C1F2025A9D7}" keepAlive="1" name="Query - 2026-04-17_16-32-27_0_high" description="Connection to the '2026-04-17_16-32-27_0_high' query in the workbook." type="5" refreshedVersion="8" background="1" saveData="1">
    <dbPr connection="Provider=Microsoft.Mashup.OleDb.1;Data Source=$Workbook$;Location=2026-04-17_16-32-27_0_high;Extended Properties=&quot;&quot;" command="SELECT * FROM [2026-04-17_16-32-27_0_high]"/>
  </connection>
  <connection id="11" xr16:uid="{EEEADC10-B53B-476E-961D-2D29E953A47F}" keepAlive="1" name="Query - 2026-04-17_16-35-28_-2_high" description="Connection to the '2026-04-17_16-35-28_-2_high' query in the workbook." type="5" refreshedVersion="8" background="1" saveData="1">
    <dbPr connection="Provider=Microsoft.Mashup.OleDb.1;Data Source=$Workbook$;Location=2026-04-17_16-35-28_-2_high;Extended Properties=&quot;&quot;" command="SELECT * FROM [2026-04-17_16-35-28_-2_high]"/>
  </connection>
  <connection id="12" xr16:uid="{194DA6D1-B568-4A69-B4C8-351EE3ADB8AF}" keepAlive="1" name="Query - 2026-04-17_16-36-46_-5_high" description="Connection to the '2026-04-17_16-36-46_-5_high' query in the workbook." type="5" refreshedVersion="8" background="1" saveData="1">
    <dbPr connection="Provider=Microsoft.Mashup.OleDb.1;Data Source=$Workbook$;Location=2026-04-17_16-36-46_-5_high;Extended Properties=&quot;&quot;" command="SELECT * FROM [2026-04-17_16-36-46_-5_high]"/>
  </connection>
  <connection id="13" xr16:uid="{C66A6974-E666-4C94-AB28-83038F32720B}" keepAlive="1" name="Query - 2026-04-17_16-38-14_-7_high" description="Connection to the '2026-04-17_16-38-14_-7_high' query in the workbook." type="5" refreshedVersion="8" background="1" saveData="1">
    <dbPr connection="Provider=Microsoft.Mashup.OleDb.1;Data Source=$Workbook$;Location=2026-04-17_16-38-14_-7_high;Extended Properties=&quot;&quot;" command="SELECT * FROM [2026-04-17_16-38-14_-7_high]"/>
  </connection>
  <connection id="14" xr16:uid="{EAC83C35-37F2-4139-8C04-AD5FF95CCCA1}" keepAlive="1" name="Query - 2026-04-17_16-40-13_-12_high" description="Connection to the '2026-04-17_16-40-13_-12_high' query in the workbook." type="5" refreshedVersion="8" background="1" saveData="1">
    <dbPr connection="Provider=Microsoft.Mashup.OleDb.1;Data Source=$Workbook$;Location=2026-04-17_16-40-13_-12_high;Extended Properties=&quot;&quot;" command="SELECT * FROM [2026-04-17_16-40-13_-12_high]"/>
  </connection>
  <connection id="15" xr16:uid="{C97F0CEF-74CA-4FD1-A128-C19BD2AEDD61}" keepAlive="1" name="Query - 2026-04-17_16-41-07_-19_high" description="Connection to the '2026-04-17_16-41-07_-19_high' query in the workbook." type="5" refreshedVersion="8" background="1" saveData="1">
    <dbPr connection="Provider=Microsoft.Mashup.OleDb.1;Data Source=$Workbook$;Location=2026-04-17_16-41-07_-19_high;Extended Properties=&quot;&quot;" command="SELECT * FROM [2026-04-17_16-41-07_-19_high]"/>
  </connection>
  <connection id="16" xr16:uid="{7B9262EB-6ED6-4D0F-9987-B94C2870F951}" keepAlive="1" name="Query - 2026-04-17_16-42-00_-22_high" description="Connection to the '2026-04-17_16-42-00_-22_high' query in the workbook." type="5" refreshedVersion="8" background="1" saveData="1">
    <dbPr connection="Provider=Microsoft.Mashup.OleDb.1;Data Source=$Workbook$;Location=2026-04-17_16-42-00_-22_high;Extended Properties=&quot;&quot;" command="SELECT * FROM [2026-04-17_16-42-00_-22_high]"/>
  </connection>
  <connection id="17" xr16:uid="{32BB57D0-F442-42BF-91BB-93037CA5A3FF}" keepAlive="1" name="Query - 2026-04-17_16-43-51_-14_high" description="Connection to the '2026-04-17_16-43-51_-14_high' query in the workbook." type="5" refreshedVersion="8" background="1" saveData="1">
    <dbPr connection="Provider=Microsoft.Mashup.OleDb.1;Data Source=$Workbook$;Location=2026-04-17_16-43-51_-14_high;Extended Properties=&quot;&quot;" command="SELECT * FROM [2026-04-17_16-43-51_-14_high]"/>
  </connection>
</connections>
</file>

<file path=xl/sharedStrings.xml><?xml version="1.0" encoding="utf-8"?>
<sst xmlns="http://schemas.openxmlformats.org/spreadsheetml/2006/main" count="228" uniqueCount="20">
  <si>
    <t>count</t>
  </si>
  <si>
    <t>timestamp_ms</t>
  </si>
  <si>
    <t>aoa_valid</t>
  </si>
  <si>
    <t>pfd_raw</t>
  </si>
  <si>
    <t>p45_raw</t>
  </si>
  <si>
    <t>pfwd_filt</t>
  </si>
  <si>
    <t>p45_filt</t>
  </si>
  <si>
    <t>coeff</t>
  </si>
  <si>
    <t>aoa_raw</t>
  </si>
  <si>
    <t>aoa_filt</t>
  </si>
  <si>
    <t>angle</t>
  </si>
  <si>
    <t>pfwd_filt_mean</t>
  </si>
  <si>
    <t>pfwd_filt_median</t>
  </si>
  <si>
    <t>p45_filt_median</t>
  </si>
  <si>
    <t>coeff_median</t>
  </si>
  <si>
    <t>predicted_angle</t>
  </si>
  <si>
    <t>p45_filt_mean</t>
  </si>
  <si>
    <t>coeff_mean</t>
  </si>
  <si>
    <t>predicted_angle_mean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</si>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</sst>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coeff_mean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217863652066183"/>
                  <c:y val="-4.64351851851851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Summary!$F$2:$F$11</c:f>
              <c:numCache>
                <c:formatCode>General</c:formatCode>
                <c:ptCount val="10"/>
                <c:pt idx="0">
                  <c:v>-2.0548784754491036</c:v>
                </c:pt>
                <c:pt idx="1">
                  <c:v>1.3093341983402496</c:v>
                </c:pt>
                <c:pt idx="2">
                  <c:v>-7.0913186452328203</c:v>
                </c:pt>
                <c:pt idx="3">
                  <c:v>2.1795670423153704</c:v>
                </c:pt>
                <c:pt idx="4">
                  <c:v>1.3581763483832359</c:v>
                </c:pt>
                <c:pt idx="5">
                  <c:v>1.1927197702594803</c:v>
                </c:pt>
                <c:pt idx="6">
                  <c:v>1.0910170288822352</c:v>
                </c:pt>
                <c:pt idx="7">
                  <c:v>1.4908517702594815</c:v>
                </c:pt>
                <c:pt idx="8">
                  <c:v>1.6942376315369243</c:v>
                </c:pt>
                <c:pt idx="9">
                  <c:v>1.9310102982035897</c:v>
                </c:pt>
              </c:numCache>
            </c:numRef>
          </c:xVal>
          <c:yVal>
            <c:numRef>
              <c:f>Summary!$A$2:$A$11</c:f>
              <c:numCache>
                <c:formatCode>General</c:formatCode>
                <c:ptCount val="10"/>
                <c:pt idx="0">
                  <c:v>-19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-4</c:v>
                </c:pt>
                <c:pt idx="5">
                  <c:v>1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9-422B-AF44-A5FE8A53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38527"/>
        <c:axId val="535537567"/>
      </c:scatterChart>
      <c:valAx>
        <c:axId val="5355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7567"/>
        <c:crosses val="autoZero"/>
        <c:crossBetween val="midCat"/>
      </c:valAx>
      <c:valAx>
        <c:axId val="53553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3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coeff_median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895778652668417"/>
                  <c:y val="-4.18055555555555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Summary!$G$2:$G$11</c:f>
              <c:numCache>
                <c:formatCode>General</c:formatCode>
                <c:ptCount val="10"/>
                <c:pt idx="0">
                  <c:v>-1.9827585000000001</c:v>
                </c:pt>
                <c:pt idx="1">
                  <c:v>2.0916666500000001</c:v>
                </c:pt>
                <c:pt idx="2">
                  <c:v>-6.6111110000000002</c:v>
                </c:pt>
                <c:pt idx="3">
                  <c:v>2.1206896</c:v>
                </c:pt>
                <c:pt idx="4">
                  <c:v>1.2857144</c:v>
                </c:pt>
                <c:pt idx="5">
                  <c:v>1.1694914999999999</c:v>
                </c:pt>
                <c:pt idx="6">
                  <c:v>1.0823529000000001</c:v>
                </c:pt>
                <c:pt idx="7">
                  <c:v>1.4761903999999999</c:v>
                </c:pt>
                <c:pt idx="8">
                  <c:v>1.6930693000000001</c:v>
                </c:pt>
                <c:pt idx="9">
                  <c:v>1.8935573999999999</c:v>
                </c:pt>
              </c:numCache>
            </c:numRef>
          </c:xVal>
          <c:yVal>
            <c:numRef>
              <c:f>Summary!$A$2:$A$11</c:f>
              <c:numCache>
                <c:formatCode>General</c:formatCode>
                <c:ptCount val="10"/>
                <c:pt idx="0">
                  <c:v>-19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-4</c:v>
                </c:pt>
                <c:pt idx="5">
                  <c:v>1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1-4597-96C6-CA71D7890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598095"/>
        <c:axId val="1416601935"/>
      </c:scatterChart>
      <c:valAx>
        <c:axId val="141659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601935"/>
        <c:crosses val="autoZero"/>
        <c:crossBetween val="midCat"/>
      </c:valAx>
      <c:valAx>
        <c:axId val="14166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9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pfwd_p45_mean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pfwd_filt_mean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924825021872261"/>
                  <c:y val="-7.18230533683289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0">
                  <c:v>-19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-4</c:v>
                </c:pt>
                <c:pt idx="5">
                  <c:v>1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18</c:v>
                </c:pt>
              </c:numCache>
            </c:numRef>
          </c:xVal>
          <c:yVal>
            <c:numRef>
              <c:f>Summary!$B$2:$B$11</c:f>
              <c:numCache>
                <c:formatCode>General</c:formatCode>
                <c:ptCount val="10"/>
                <c:pt idx="0">
                  <c:v>21.125992497005992</c:v>
                </c:pt>
                <c:pt idx="1">
                  <c:v>9.2696107584830436</c:v>
                </c:pt>
                <c:pt idx="2">
                  <c:v>24.286495544910146</c:v>
                </c:pt>
                <c:pt idx="3">
                  <c:v>24.521997147704642</c:v>
                </c:pt>
                <c:pt idx="4">
                  <c:v>21.430395379241492</c:v>
                </c:pt>
                <c:pt idx="5">
                  <c:v>19.903409704590825</c:v>
                </c:pt>
                <c:pt idx="6">
                  <c:v>20.679907818363279</c:v>
                </c:pt>
                <c:pt idx="7">
                  <c:v>32.362492870259494</c:v>
                </c:pt>
                <c:pt idx="8">
                  <c:v>39.420502682634627</c:v>
                </c:pt>
                <c:pt idx="9">
                  <c:v>44.472856433133728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E3-45F2-8164-02A15EA0C2C3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p45_filt_mean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4529527559055116E-2"/>
                  <c:y val="0.38597586759988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0">
                  <c:v>-19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-4</c:v>
                </c:pt>
                <c:pt idx="5">
                  <c:v>1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18</c:v>
                </c:pt>
              </c:numCache>
            </c:numRef>
          </c:xVal>
          <c:yVal>
            <c:numRef>
              <c:f>Summary!$C$2:$C$11</c:f>
              <c:numCache>
                <c:formatCode>General</c:formatCode>
                <c:ptCount val="10"/>
                <c:pt idx="0">
                  <c:v>-10.776664253493021</c:v>
                </c:pt>
                <c:pt idx="1">
                  <c:v>2.141409124011977</c:v>
                </c:pt>
                <c:pt idx="2">
                  <c:v>-1.4650198105788432</c:v>
                </c:pt>
                <c:pt idx="3">
                  <c:v>11.524058131736515</c:v>
                </c:pt>
                <c:pt idx="4">
                  <c:v>16.110710888223572</c:v>
                </c:pt>
                <c:pt idx="5">
                  <c:v>16.876912876247516</c:v>
                </c:pt>
                <c:pt idx="6">
                  <c:v>19.10860033333331</c:v>
                </c:pt>
                <c:pt idx="7">
                  <c:v>21.883308231536894</c:v>
                </c:pt>
                <c:pt idx="8">
                  <c:v>23.386113477045875</c:v>
                </c:pt>
                <c:pt idx="9">
                  <c:v>23.156487027944127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E3-45F2-8164-02A15EA0C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142111"/>
        <c:axId val="1638143551"/>
      </c:scatterChart>
      <c:valAx>
        <c:axId val="163814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43551"/>
        <c:crosses val="autoZero"/>
        <c:crossBetween val="midCat"/>
      </c:valAx>
      <c:valAx>
        <c:axId val="16381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4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pfwd_p45_median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pfwd_filt_median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1491491688538935"/>
                  <c:y val="-0.14418379994167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0">
                  <c:v>-19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-4</c:v>
                </c:pt>
                <c:pt idx="5">
                  <c:v>1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18</c:v>
                </c:pt>
              </c:numCache>
            </c:numRef>
          </c:xVal>
          <c:yVal>
            <c:numRef>
              <c:f>Summary!$D$2:$D$11</c:f>
              <c:numCache>
                <c:formatCode>General</c:formatCode>
                <c:ptCount val="10"/>
                <c:pt idx="0">
                  <c:v>21.2</c:v>
                </c:pt>
                <c:pt idx="1">
                  <c:v>9.1999999999999993</c:v>
                </c:pt>
                <c:pt idx="2">
                  <c:v>24.4</c:v>
                </c:pt>
                <c:pt idx="3">
                  <c:v>24.333334000000001</c:v>
                </c:pt>
                <c:pt idx="4">
                  <c:v>21.333334000000001</c:v>
                </c:pt>
                <c:pt idx="5">
                  <c:v>20</c:v>
                </c:pt>
                <c:pt idx="6">
                  <c:v>20.666665999999999</c:v>
                </c:pt>
                <c:pt idx="7">
                  <c:v>32.6</c:v>
                </c:pt>
                <c:pt idx="8">
                  <c:v>39.4</c:v>
                </c:pt>
                <c:pt idx="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4-4AC1-9DF7-F4E279557C6B}"/>
            </c:ext>
          </c:extLst>
        </c:ser>
        <c:ser>
          <c:idx val="1"/>
          <c:order val="1"/>
          <c:tx>
            <c:strRef>
              <c:f>Summary!$E$1</c:f>
              <c:strCache>
                <c:ptCount val="1"/>
                <c:pt idx="0">
                  <c:v>p45_filt_median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5085083114610674E-2"/>
                  <c:y val="0.39425670749489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Summary!$A$2:$A$11</c:f>
              <c:numCache>
                <c:formatCode>General</c:formatCode>
                <c:ptCount val="10"/>
                <c:pt idx="0">
                  <c:v>-19</c:v>
                </c:pt>
                <c:pt idx="1">
                  <c:v>-14</c:v>
                </c:pt>
                <c:pt idx="2">
                  <c:v>-11</c:v>
                </c:pt>
                <c:pt idx="3">
                  <c:v>-8</c:v>
                </c:pt>
                <c:pt idx="4">
                  <c:v>-4</c:v>
                </c:pt>
                <c:pt idx="5">
                  <c:v>1</c:v>
                </c:pt>
                <c:pt idx="6">
                  <c:v>4</c:v>
                </c:pt>
                <c:pt idx="7">
                  <c:v>10</c:v>
                </c:pt>
                <c:pt idx="8">
                  <c:v>15</c:v>
                </c:pt>
                <c:pt idx="9">
                  <c:v>18</c:v>
                </c:pt>
              </c:numCache>
            </c:numRef>
          </c:xVal>
          <c:yVal>
            <c:numRef>
              <c:f>Summary!$E$2:$E$11</c:f>
              <c:numCache>
                <c:formatCode>General</c:formatCode>
                <c:ptCount val="10"/>
                <c:pt idx="0">
                  <c:v>-10.4</c:v>
                </c:pt>
                <c:pt idx="1">
                  <c:v>2</c:v>
                </c:pt>
                <c:pt idx="2">
                  <c:v>-1.2</c:v>
                </c:pt>
                <c:pt idx="3">
                  <c:v>11.6</c:v>
                </c:pt>
                <c:pt idx="4">
                  <c:v>16</c:v>
                </c:pt>
                <c:pt idx="5">
                  <c:v>17</c:v>
                </c:pt>
                <c:pt idx="6">
                  <c:v>19</c:v>
                </c:pt>
                <c:pt idx="7">
                  <c:v>21.8</c:v>
                </c:pt>
                <c:pt idx="8">
                  <c:v>23.4</c:v>
                </c:pt>
                <c:pt idx="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64-4AC1-9DF7-F4E27955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146911"/>
        <c:axId val="1638144991"/>
      </c:scatterChart>
      <c:valAx>
        <c:axId val="163814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44991"/>
        <c:crosses val="autoZero"/>
        <c:crossBetween val="midCat"/>
      </c:valAx>
      <c:valAx>
        <c:axId val="163814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146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64770</xdr:rowOff>
    </xdr:from>
    <xdr:to>
      <xdr:col>5</xdr:col>
      <xdr:colOff>68580</xdr:colOff>
      <xdr:row>27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50684-903A-FE7C-0369-29C6D893A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220980</xdr:colOff>
      <xdr:row>12</xdr:row>
      <xdr:rowOff>118110</xdr:rowOff>
    </xdr:from>
    <xdr:to>
      <xdr:col>11</xdr:col>
      <xdr:colOff>190500</xdr:colOff>
      <xdr:row>27</xdr:row>
      <xdr:rowOff>118110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98C759-3D3B-A86C-8941-569C67D96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220980</xdr:colOff>
      <xdr:row>27</xdr:row>
      <xdr:rowOff>87630</xdr:rowOff>
    </xdr:from>
    <xdr:to>
      <xdr:col>4</xdr:col>
      <xdr:colOff>937260</xdr:colOff>
      <xdr:row>42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E37B05-30AA-0A99-74BA-62DC3FF85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182880</xdr:colOff>
      <xdr:row>27</xdr:row>
      <xdr:rowOff>179070</xdr:rowOff>
    </xdr:from>
    <xdr:to>
      <xdr:col>9</xdr:col>
      <xdr:colOff>441960</xdr:colOff>
      <xdr:row>42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998CA-4FDA-DF94-E256-C403E94C0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381B0868-5CB8-428C-B3B9-7D2318B5828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7" xr16:uid="{04B32C25-28CE-4933-A0E3-829E88E0CC47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4" xr16:uid="{1A2D3650-BD1A-483C-8F47-BE4EF2BC2816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574C2C81-11EE-4F74-B6B6-AC8B5F56CCF5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520DE611-1FD7-46FB-A7F0-D261D752234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CFB3416D-0109-45E2-807B-E668FA556949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354FFFAD-09A3-4C5B-A5AC-96F254F344F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691766B3-C287-48DE-A924-0509EF6F1E6B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5474E6C-0DF8-40EB-B93C-C7FC484CB761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F9CCA58B-F977-4E3A-95DA-7217FD3849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569D005-9B53-4C09-B869-836D69D44E42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3F788E0-2F0B-421C-8F9B-FEA724C78900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0D1B15B-817C-48C0-A918-4F4FBCB2072E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2F41AB0-A43B-4174-BF53-AD87553D16D4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A71332-961C-4F57-96D7-3053B3956D89}" autoFormatId="16" applyNumberFormats="0" applyBorderFormats="0" applyFontFormats="0" applyPatternFormats="0" applyAlignmentFormats="0" applyWidthHeightFormats="0">
  <queryTableRefresh nextId="11">
    <queryTableFields count="10">
      <queryTableField id="1" name="count" tableColumnId="1"/>
      <queryTableField id="2" name="timestamp_ms" tableColumnId="2"/>
      <queryTableField id="3" name="aoa_valid" tableColumnId="3"/>
      <queryTableField id="4" name="pfd_raw" tableColumnId="4"/>
      <queryTableField id="5" name="p45_raw" tableColumnId="5"/>
      <queryTableField id="6" name="pfwd_filt" tableColumnId="6"/>
      <queryTableField id="7" name="p45_filt" tableColumnId="7"/>
      <queryTableField id="8" name="coeff" tableColumnId="8"/>
      <queryTableField id="9" name="aoa_raw" tableColumnId="9"/>
      <queryTableField id="10" name="aoa_filt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90569DF-1CB2-4837-B77D-D5836B34A2A5}" name="Table18" displayName="Table18" ref="A1:I11" totalsRowShown="0">
  <autoFilter ref="A1:I11" xr:uid="{E90569DF-1CB2-4837-B77D-D5836B34A2A5}"/>
  <tableColumns count="9">
    <tableColumn id="1" xr3:uid="{F3493AEE-6699-4ECD-82D6-C2F332A4A7F7}" name="angle"/>
    <tableColumn id="2" xr3:uid="{C776B506-DEBF-42AC-8130-EEADA39B3113}" name="pfwd_filt_mean"/>
    <tableColumn id="3" xr3:uid="{589CCD64-EA9D-4050-8B86-147291725B64}" name="p45_filt_mean"/>
    <tableColumn id="4" xr3:uid="{BD7A8F8A-F91E-4E7C-8996-C1341FEA91FD}" name="pfwd_filt_median"/>
    <tableColumn id="5" xr3:uid="{41591598-AF6C-48CC-9CD3-0CABA77D5AEE}" name="p45_filt_median"/>
    <tableColumn id="6" xr3:uid="{93027C87-5D8A-4445-BD6E-28B1A1E334E7}" name="coeff_mean"/>
    <tableColumn id="7" xr3:uid="{E59EC160-EE2A-4918-8FDC-E81FE5F9EE1C}" name="coeff_median"/>
    <tableColumn id="8" xr3:uid="{5798799A-F3B7-46C1-ABBD-F59A9EB28773}" name="predicted_angle" dataDxfId="1">
      <calculatedColumnFormula xml:space="preserve"> -84.534 *Table18[[#This Row],[coeff_median]] + 87.249</calculatedColumnFormula>
    </tableColumn>
    <tableColumn id="9" xr3:uid="{FA1632B3-65B0-45CF-995A-DB7B6ABFCE38}" name="predicted_angle_mean" dataDxfId="0">
      <calculatedColumnFormula xml:space="preserve"> -66.186 *Table18[[#This Row],[coeff_mean]] + 72.445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964CDD-9F0A-4B45-A28E-45B3DDBD8E02}" name="_2026_04_17_16_41_07__19_high" displayName="_2026_04_17_16_41_07__19_high" ref="A1:J502" tableType="queryTable" totalsRowShown="0">
  <autoFilter ref="A1:J502" xr:uid="{FC964CDD-9F0A-4B45-A28E-45B3DDBD8E02}"/>
  <tableColumns count="10">
    <tableColumn id="1" xr3:uid="{9A9B08BE-A7D9-4E21-98FC-23552CCA7430}" uniqueName="1" name="count" queryTableFieldId="1"/>
    <tableColumn id="2" xr3:uid="{0DEBAC0B-5F6C-47B5-9518-BBBA80DA54A4}" uniqueName="2" name="timestamp_ms" queryTableFieldId="2"/>
    <tableColumn id="3" xr3:uid="{C9FC1321-054D-4786-A644-380FFF19488D}" uniqueName="3" name="aoa_valid" queryTableFieldId="3"/>
    <tableColumn id="4" xr3:uid="{25A900AE-2582-42B8-9000-401DDC7BBCE4}" uniqueName="4" name="pfd_raw" queryTableFieldId="4"/>
    <tableColumn id="5" xr3:uid="{EBB31F77-EB17-4264-98F8-71B3C751A373}" uniqueName="5" name="p45_raw" queryTableFieldId="5"/>
    <tableColumn id="6" xr3:uid="{DFBF2508-0EFF-4C22-9D31-63FC91AA31DF}" uniqueName="6" name="pfwd_filt" queryTableFieldId="6"/>
    <tableColumn id="7" xr3:uid="{12DFD7E8-9920-458F-A2DF-ADAD32AD5D97}" uniqueName="7" name="p45_filt" queryTableFieldId="7"/>
    <tableColumn id="8" xr3:uid="{97AD6FE8-921F-4B99-B507-0AD56AF3CC23}" uniqueName="8" name="coeff" queryTableFieldId="8"/>
    <tableColumn id="9" xr3:uid="{F4D89B97-E289-4024-B825-5E5B977B8C9A}" uniqueName="9" name="aoa_raw" queryTableFieldId="9"/>
    <tableColumn id="10" xr3:uid="{878A9745-7AA7-467B-89FE-5359D2E6049C}" uniqueName="10" name="aoa_filt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8569464-3775-47BB-8095-E2B98A3C4139}" name="_2026_04_17_16_43_51__14_high" displayName="_2026_04_17_16_43_51__14_high" ref="A1:J502" tableType="queryTable" totalsRowShown="0">
  <autoFilter ref="A1:J502" xr:uid="{D8569464-3775-47BB-8095-E2B98A3C4139}"/>
  <tableColumns count="10">
    <tableColumn id="1" xr3:uid="{272E85D6-3824-4899-AEFC-72A1D78776CF}" uniqueName="1" name="count" queryTableFieldId="1"/>
    <tableColumn id="2" xr3:uid="{55F3FAE5-0F69-4517-8C76-A3CA74E87DCD}" uniqueName="2" name="timestamp_ms" queryTableFieldId="2"/>
    <tableColumn id="3" xr3:uid="{FAB4F428-DD0D-4F8C-AD8D-8DD3E4254676}" uniqueName="3" name="aoa_valid" queryTableFieldId="3"/>
    <tableColumn id="4" xr3:uid="{EE214A52-8593-4884-9ADC-122197DF27E4}" uniqueName="4" name="pfd_raw" queryTableFieldId="4"/>
    <tableColumn id="5" xr3:uid="{1B97D0F1-4963-4A1B-A1D2-567805886F8C}" uniqueName="5" name="p45_raw" queryTableFieldId="5"/>
    <tableColumn id="6" xr3:uid="{348D0C91-2FE5-4C8E-8925-4CF8F2818FF3}" uniqueName="6" name="pfwd_filt" queryTableFieldId="6"/>
    <tableColumn id="7" xr3:uid="{67F45708-9287-45EA-86F7-BB4ACC2BB768}" uniqueName="7" name="p45_filt" queryTableFieldId="7"/>
    <tableColumn id="8" xr3:uid="{0B6807F8-3D22-4601-821E-2260FDC83ED7}" uniqueName="8" name="coeff" queryTableFieldId="8"/>
    <tableColumn id="9" xr3:uid="{FC7232D9-4480-45B5-8F23-34FF2052EC73}" uniqueName="9" name="aoa_raw" queryTableFieldId="9"/>
    <tableColumn id="10" xr3:uid="{FC6ABAA1-E065-4C22-85EA-8135B773029E}" uniqueName="10" name="aoa_filt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2075E0-3E89-41E1-9937-502B9F971F5B}" name="_2026_04_17_16_40_13__12_high" displayName="_2026_04_17_16_40_13__12_high" ref="A1:J502" tableType="queryTable" totalsRowShown="0">
  <autoFilter ref="A1:J502" xr:uid="{2D2075E0-3E89-41E1-9937-502B9F971F5B}"/>
  <tableColumns count="10">
    <tableColumn id="1" xr3:uid="{F7D133AF-BA89-401B-9BD0-D23DE236A0C4}" uniqueName="1" name="count" queryTableFieldId="1"/>
    <tableColumn id="2" xr3:uid="{D6937718-D5E0-47F9-A67D-7E3B1E410716}" uniqueName="2" name="timestamp_ms" queryTableFieldId="2"/>
    <tableColumn id="3" xr3:uid="{7DE13CBC-8A31-456D-94F3-901A8B4E4760}" uniqueName="3" name="aoa_valid" queryTableFieldId="3"/>
    <tableColumn id="4" xr3:uid="{92B03A8C-7AB1-4E35-96FB-713F6200F7F9}" uniqueName="4" name="pfd_raw" queryTableFieldId="4"/>
    <tableColumn id="5" xr3:uid="{E96FF091-67E8-4860-BD49-47F214B1B084}" uniqueName="5" name="p45_raw" queryTableFieldId="5"/>
    <tableColumn id="6" xr3:uid="{A3CB76D6-FB7E-4BC2-99C0-54D2C56C470F}" uniqueName="6" name="pfwd_filt" queryTableFieldId="6"/>
    <tableColumn id="7" xr3:uid="{0809A39C-7296-4028-89B4-7DF513C64E02}" uniqueName="7" name="p45_filt" queryTableFieldId="7"/>
    <tableColumn id="8" xr3:uid="{EE210835-7DED-4B1C-91E1-F6FFC744DB2F}" uniqueName="8" name="coeff" queryTableFieldId="8"/>
    <tableColumn id="9" xr3:uid="{D765C272-160E-49C9-858E-EEE47B978275}" uniqueName="9" name="aoa_raw" queryTableFieldId="9"/>
    <tableColumn id="10" xr3:uid="{9747BBE0-F8B7-455B-93BD-F9DCF8C5EFF4}" uniqueName="10" name="aoa_filt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A948E0-B7EF-4654-9251-5A1D3ADE1240}" name="_2026_04_17_16_38_14__7_high" displayName="_2026_04_17_16_38_14__7_high" ref="A1:J502" tableType="queryTable" totalsRowShown="0">
  <autoFilter ref="A1:J502" xr:uid="{A7A948E0-B7EF-4654-9251-5A1D3ADE1240}"/>
  <tableColumns count="10">
    <tableColumn id="1" xr3:uid="{CAAFF6A0-8E87-4A49-9CC6-665ADB1A1FD8}" uniqueName="1" name="count" queryTableFieldId="1"/>
    <tableColumn id="2" xr3:uid="{CCF9162A-7496-4C4D-A5E8-BF00243C3FED}" uniqueName="2" name="timestamp_ms" queryTableFieldId="2"/>
    <tableColumn id="3" xr3:uid="{7B07B8E5-8675-4CF7-9506-2C8D6364C6B7}" uniqueName="3" name="aoa_valid" queryTableFieldId="3"/>
    <tableColumn id="4" xr3:uid="{F54F7922-2DDA-451E-B01C-26C8B95CF980}" uniqueName="4" name="pfd_raw" queryTableFieldId="4"/>
    <tableColumn id="5" xr3:uid="{8D7808F8-821E-45FA-A8D9-7A68EB632665}" uniqueName="5" name="p45_raw" queryTableFieldId="5"/>
    <tableColumn id="6" xr3:uid="{4AFDC496-9DCE-493F-8C8C-664D877BFB79}" uniqueName="6" name="pfwd_filt" queryTableFieldId="6"/>
    <tableColumn id="7" xr3:uid="{EC84C978-D8D2-4B26-8FDF-5EA7CE97254D}" uniqueName="7" name="p45_filt" queryTableFieldId="7"/>
    <tableColumn id="8" xr3:uid="{554A3B08-6C6C-48C0-8C16-746CA0B1A6F3}" uniqueName="8" name="coeff" queryTableFieldId="8"/>
    <tableColumn id="9" xr3:uid="{5117A7B3-7739-4488-9C7A-78833F1CE52F}" uniqueName="9" name="aoa_raw" queryTableFieldId="9"/>
    <tableColumn id="10" xr3:uid="{9B92D2F5-6ADE-40DC-A000-1037749EA175}" uniqueName="10" name="aoa_filt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0C15AF-CC39-44A9-B9F2-019B967BEFB9}" name="_2026_04_17_16_36_46__5_high" displayName="_2026_04_17_16_36_46__5_high" ref="A1:J502" tableType="queryTable" totalsRowShown="0">
  <autoFilter ref="A1:J502" xr:uid="{4B0C15AF-CC39-44A9-B9F2-019B967BEFB9}"/>
  <tableColumns count="10">
    <tableColumn id="1" xr3:uid="{DA06A7F8-2F18-4908-9398-7EE5BE86312C}" uniqueName="1" name="count" queryTableFieldId="1"/>
    <tableColumn id="2" xr3:uid="{81F85893-CDB1-4904-9EB4-1067C55BA689}" uniqueName="2" name="timestamp_ms" queryTableFieldId="2"/>
    <tableColumn id="3" xr3:uid="{2A89F1FD-80FB-4238-BD1F-AFDEDC1E0408}" uniqueName="3" name="aoa_valid" queryTableFieldId="3"/>
    <tableColumn id="4" xr3:uid="{C5824D40-DCF4-4E31-8C68-79F156B90A2C}" uniqueName="4" name="pfd_raw" queryTableFieldId="4"/>
    <tableColumn id="5" xr3:uid="{30DB8DA2-A08C-4F1E-A064-21CCA7EAABFB}" uniqueName="5" name="p45_raw" queryTableFieldId="5"/>
    <tableColumn id="6" xr3:uid="{630B356D-2136-44EA-AB29-BE10A20EBBED}" uniqueName="6" name="pfwd_filt" queryTableFieldId="6"/>
    <tableColumn id="7" xr3:uid="{5FA033DE-FDDF-4E37-87FA-8ADC6BA2C0C3}" uniqueName="7" name="p45_filt" queryTableFieldId="7"/>
    <tableColumn id="8" xr3:uid="{96B2CC2C-7203-43BE-BF60-1EB799CA5DDE}" uniqueName="8" name="coeff" queryTableFieldId="8"/>
    <tableColumn id="9" xr3:uid="{8F863E5C-7375-43DB-A5BD-1BC49A9F98FD}" uniqueName="9" name="aoa_raw" queryTableFieldId="9"/>
    <tableColumn id="10" xr3:uid="{8223606E-2D43-4B14-B6DB-D613D6E7D69E}" uniqueName="10" name="aoa_filt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AB920C-6F52-4B61-A862-CDA78BE16D1D}" name="_2026_04_17_16_35_28__2_high" displayName="_2026_04_17_16_35_28__2_high" ref="A1:J502" tableType="queryTable" totalsRowShown="0">
  <autoFilter ref="A1:J502" xr:uid="{76AB920C-6F52-4B61-A862-CDA78BE16D1D}"/>
  <tableColumns count="10">
    <tableColumn id="1" xr3:uid="{0883F901-A063-412E-A7BB-9D30BE8BC2F5}" uniqueName="1" name="count" queryTableFieldId="1"/>
    <tableColumn id="2" xr3:uid="{C094537F-9175-45A9-B0B2-DBEF150C25E1}" uniqueName="2" name="timestamp_ms" queryTableFieldId="2"/>
    <tableColumn id="3" xr3:uid="{4723767A-5A01-4593-8F11-2426780CEBA2}" uniqueName="3" name="aoa_valid" queryTableFieldId="3"/>
    <tableColumn id="4" xr3:uid="{D64D5756-AC4C-4875-84E7-A01495242C1D}" uniqueName="4" name="pfd_raw" queryTableFieldId="4"/>
    <tableColumn id="5" xr3:uid="{E2A8026D-4699-44D0-88E6-4E6FC873D41C}" uniqueName="5" name="p45_raw" queryTableFieldId="5"/>
    <tableColumn id="6" xr3:uid="{FF08E420-425C-4A3D-BE5F-0867E45C054D}" uniqueName="6" name="pfwd_filt" queryTableFieldId="6"/>
    <tableColumn id="7" xr3:uid="{6ADAA385-22AF-46C8-8B68-590569F53FC8}" uniqueName="7" name="p45_filt" queryTableFieldId="7"/>
    <tableColumn id="8" xr3:uid="{68704E6E-BEF0-4A23-9B81-13A217B630AD}" uniqueName="8" name="coeff" queryTableFieldId="8"/>
    <tableColumn id="9" xr3:uid="{D213F861-196C-4381-85C9-8442EDCC4879}" uniqueName="9" name="aoa_raw" queryTableFieldId="9"/>
    <tableColumn id="10" xr3:uid="{DAACA2C9-DD96-48FB-96E6-6CE664A77AC0}" uniqueName="10" name="aoa_filt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68E6AC-36F7-4A0E-B995-EE2B2AE4B43A}" name="_2026_04_17_16_32_27_0_high" displayName="_2026_04_17_16_32_27_0_high" ref="A1:J502" tableType="queryTable" totalsRowShown="0">
  <autoFilter ref="A1:J502" xr:uid="{6168E6AC-36F7-4A0E-B995-EE2B2AE4B43A}"/>
  <tableColumns count="10">
    <tableColumn id="1" xr3:uid="{9BDA639D-4F87-4E77-A700-4D6D49A50640}" uniqueName="1" name="count" queryTableFieldId="1"/>
    <tableColumn id="2" xr3:uid="{7B0A8DC4-0335-4AC4-93FF-AD98838C8C1A}" uniqueName="2" name="timestamp_ms" queryTableFieldId="2"/>
    <tableColumn id="3" xr3:uid="{18507CFB-E9C9-4F86-AB9D-8C153C76FD64}" uniqueName="3" name="aoa_valid" queryTableFieldId="3"/>
    <tableColumn id="4" xr3:uid="{C334BEA1-E9EA-4B18-8933-A8C01A6720F4}" uniqueName="4" name="pfd_raw" queryTableFieldId="4"/>
    <tableColumn id="5" xr3:uid="{9E1AED6A-92FD-4340-819B-AAF83E5F4E8A}" uniqueName="5" name="p45_raw" queryTableFieldId="5"/>
    <tableColumn id="6" xr3:uid="{014D4330-036D-421E-9628-CD26D8D0153A}" uniqueName="6" name="pfwd_filt" queryTableFieldId="6"/>
    <tableColumn id="7" xr3:uid="{0794F741-7C24-4975-A21A-1AF8FB8685E4}" uniqueName="7" name="p45_filt" queryTableFieldId="7"/>
    <tableColumn id="8" xr3:uid="{60BE1DCA-0190-45AF-B6B1-86DDD79022EA}" uniqueName="8" name="coeff" queryTableFieldId="8"/>
    <tableColumn id="9" xr3:uid="{78E77989-0380-43F9-9BE4-DC3BA42F1246}" uniqueName="9" name="aoa_raw" queryTableFieldId="9"/>
    <tableColumn id="10" xr3:uid="{30EF1DA7-5D5A-4319-AE42-26680A7F6E8F}" uniqueName="10" name="aoa_filt" queryTableField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F11FFE-AE1B-495F-A81E-AC474F7490A4}" name="_2026_04_17_16_31_51_5_high" displayName="_2026_04_17_16_31_51_5_high" ref="A1:J502" tableType="queryTable" totalsRowShown="0">
  <autoFilter ref="A1:J502" xr:uid="{15F11FFE-AE1B-495F-A81E-AC474F7490A4}"/>
  <tableColumns count="10">
    <tableColumn id="1" xr3:uid="{2AE26EE6-D88D-45B6-AC35-F47B3458088F}" uniqueName="1" name="count" queryTableFieldId="1"/>
    <tableColumn id="2" xr3:uid="{ED2F4F4B-32C7-4D52-B814-F918EC2FF611}" uniqueName="2" name="timestamp_ms" queryTableFieldId="2"/>
    <tableColumn id="3" xr3:uid="{CD91BF31-795C-4A49-A64C-D5F7B2E0B9B7}" uniqueName="3" name="aoa_valid" queryTableFieldId="3"/>
    <tableColumn id="4" xr3:uid="{BE201EBD-043C-4A70-9741-3F34EBCC125F}" uniqueName="4" name="pfd_raw" queryTableFieldId="4"/>
    <tableColumn id="5" xr3:uid="{3393B7D5-E0D6-4F9C-A661-797F8FDDBD92}" uniqueName="5" name="p45_raw" queryTableFieldId="5"/>
    <tableColumn id="6" xr3:uid="{D56CE0D0-4EAB-4F8B-9F68-5568EAAC5871}" uniqueName="6" name="pfwd_filt" queryTableFieldId="6"/>
    <tableColumn id="7" xr3:uid="{E8E99302-0A9E-4650-8658-E8539741029E}" uniqueName="7" name="p45_filt" queryTableFieldId="7"/>
    <tableColumn id="8" xr3:uid="{F61FB454-0F4C-4FA2-AF3E-E8317B110A3A}" uniqueName="8" name="coeff" queryTableFieldId="8"/>
    <tableColumn id="9" xr3:uid="{20543BF7-C06A-405A-AA93-9D80DC26FA55}" uniqueName="9" name="aoa_raw" queryTableFieldId="9"/>
    <tableColumn id="10" xr3:uid="{71276CE0-7851-4560-8E28-DED769D8F579}" uniqueName="10" name="aoa_filt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635EC5-E8D1-46C7-A942-31908DCE6C9D}" name="_2026_04_17_16_31_16_7_high" displayName="_2026_04_17_16_31_16_7_high" ref="A1:J502" tableType="queryTable" totalsRowShown="0">
  <autoFilter ref="A1:J502" xr:uid="{B6635EC5-E8D1-46C7-A942-31908DCE6C9D}"/>
  <tableColumns count="10">
    <tableColumn id="1" xr3:uid="{06BE4A96-7172-460C-97EC-DF6634C48F8E}" uniqueName="1" name="count" queryTableFieldId="1"/>
    <tableColumn id="2" xr3:uid="{E4A01DF7-E010-4A04-B158-4D530CA31033}" uniqueName="2" name="timestamp_ms" queryTableFieldId="2"/>
    <tableColumn id="3" xr3:uid="{8B900823-C275-49BF-965D-3053453777F9}" uniqueName="3" name="aoa_valid" queryTableFieldId="3"/>
    <tableColumn id="4" xr3:uid="{537A3D84-C637-43A8-9923-401291D96274}" uniqueName="4" name="pfd_raw" queryTableFieldId="4"/>
    <tableColumn id="5" xr3:uid="{53AF5F8C-B9AC-497E-AAC7-8418552CCCE8}" uniqueName="5" name="p45_raw" queryTableFieldId="5"/>
    <tableColumn id="6" xr3:uid="{4EB2642E-772D-4F70-AAFC-F80E6CE56C0B}" uniqueName="6" name="pfwd_filt" queryTableFieldId="6"/>
    <tableColumn id="7" xr3:uid="{069069F3-D226-418A-8EF1-4ACE757C226A}" uniqueName="7" name="p45_filt" queryTableFieldId="7"/>
    <tableColumn id="8" xr3:uid="{FC858ACE-A2B0-48CA-964A-5DA6B9467A73}" uniqueName="8" name="coeff" queryTableFieldId="8"/>
    <tableColumn id="9" xr3:uid="{2B9C1E75-CE18-4F68-A866-037FDE7E123E}" uniqueName="9" name="aoa_raw" queryTableFieldId="9"/>
    <tableColumn id="10" xr3:uid="{9367F971-55D9-44EA-B775-428601C2A463}" uniqueName="10" name="aoa_filt" queryTableField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B3BCF0-7278-4B13-A71B-E868BB4215F1}" name="_2026_04_17_16_30_28_9_high" displayName="_2026_04_17_16_30_28_9_high" ref="A1:J502" tableType="queryTable" totalsRowShown="0">
  <autoFilter ref="A1:J502" xr:uid="{83B3BCF0-7278-4B13-A71B-E868BB4215F1}"/>
  <tableColumns count="10">
    <tableColumn id="1" xr3:uid="{C1D699BF-2FA7-48A6-96D9-8A6016EEFD16}" uniqueName="1" name="count" queryTableFieldId="1"/>
    <tableColumn id="2" xr3:uid="{35C909C0-0C5D-4BCD-B9D8-BEA426EACBDE}" uniqueName="2" name="timestamp_ms" queryTableFieldId="2"/>
    <tableColumn id="3" xr3:uid="{E20C0DA6-B135-4E25-BA1A-2CD53D31890F}" uniqueName="3" name="aoa_valid" queryTableFieldId="3"/>
    <tableColumn id="4" xr3:uid="{F090165F-74E4-48A0-BFC7-1FA811F3A370}" uniqueName="4" name="pfd_raw" queryTableFieldId="4"/>
    <tableColumn id="5" xr3:uid="{8F44EFB9-91DF-4CDD-B15E-06C79DB17F25}" uniqueName="5" name="p45_raw" queryTableFieldId="5"/>
    <tableColumn id="6" xr3:uid="{3D25B5F6-50C0-406B-A28C-1BC93CA18655}" uniqueName="6" name="pfwd_filt" queryTableFieldId="6"/>
    <tableColumn id="7" xr3:uid="{3289D4FE-795C-4994-9EDE-465B06D5BED4}" uniqueName="7" name="p45_filt" queryTableFieldId="7"/>
    <tableColumn id="8" xr3:uid="{A86A3C61-D2A1-4982-8D61-1DC2E7347BD2}" uniqueName="8" name="coeff" queryTableFieldId="8"/>
    <tableColumn id="9" xr3:uid="{4CAE4E31-79B6-43CB-BCDD-14E5381F20C3}" uniqueName="9" name="aoa_raw" queryTableFieldId="9"/>
    <tableColumn id="10" xr3:uid="{6F06DDC6-0CBB-4C31-BB03-EACEF2F5DB5B}" uniqueName="10" name="aoa_filt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7F7E6E-ECCA-4886-9AAA-02D6ADF2D9E4}" name="_2026_04_17_16_29_45_13_high" displayName="_2026_04_17_16_29_45_13_high" ref="A1:J502" tableType="queryTable" totalsRowShown="0">
  <autoFilter ref="A1:J502" xr:uid="{277F7E6E-ECCA-4886-9AAA-02D6ADF2D9E4}"/>
  <tableColumns count="10">
    <tableColumn id="1" xr3:uid="{2CCD9F2B-1004-4BFE-BA39-AE3E6E383412}" uniqueName="1" name="count" queryTableFieldId="1"/>
    <tableColumn id="2" xr3:uid="{9DCA7DB6-B03F-4354-9C48-3790B455855B}" uniqueName="2" name="timestamp_ms" queryTableFieldId="2"/>
    <tableColumn id="3" xr3:uid="{4962F62C-0617-4053-B5C3-F1A2EA8A6090}" uniqueName="3" name="aoa_valid" queryTableFieldId="3"/>
    <tableColumn id="4" xr3:uid="{FC57C9E7-58CB-418E-905E-066AD70A7FF1}" uniqueName="4" name="pfd_raw" queryTableFieldId="4"/>
    <tableColumn id="5" xr3:uid="{EF9DD1ED-05E3-47CD-A1A7-FA27E74AE744}" uniqueName="5" name="p45_raw" queryTableFieldId="5"/>
    <tableColumn id="6" xr3:uid="{B4435608-331B-42BD-A1A5-2AC5A6CEC455}" uniqueName="6" name="pfwd_filt" queryTableFieldId="6"/>
    <tableColumn id="7" xr3:uid="{B1687BA4-7AC4-4120-8E8D-AD2FCD7259C4}" uniqueName="7" name="p45_filt" queryTableFieldId="7"/>
    <tableColumn id="8" xr3:uid="{3D056CB4-490C-4052-B8B2-7225FDDC6575}" uniqueName="8" name="coeff" queryTableFieldId="8"/>
    <tableColumn id="9" xr3:uid="{B3F81F29-C0B5-4840-B436-D377783A719A}" uniqueName="9" name="aoa_raw" queryTableFieldId="9"/>
    <tableColumn id="10" xr3:uid="{83D2E904-9D8C-4CAE-A7AF-DBF97F2A5C69}" uniqueName="10" name="aoa_filt" queryTableField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51A31F-3245-4E0F-A863-9B91B3D78515}" name="_2026_04_17_16_29_05_14_high" displayName="_2026_04_17_16_29_05_14_high" ref="A1:J502" tableType="queryTable" totalsRowShown="0">
  <autoFilter ref="A1:J502" xr:uid="{7751A31F-3245-4E0F-A863-9B91B3D78515}"/>
  <tableColumns count="10">
    <tableColumn id="1" xr3:uid="{3CE4E3E6-A562-4A49-AEF8-62EF5CAC984B}" uniqueName="1" name="count" queryTableFieldId="1"/>
    <tableColumn id="2" xr3:uid="{C2694783-DC44-4B86-A7F3-FE1EBF93B3EC}" uniqueName="2" name="timestamp_ms" queryTableFieldId="2"/>
    <tableColumn id="3" xr3:uid="{925ABC44-95C9-4675-B71F-345445C9DEE4}" uniqueName="3" name="aoa_valid" queryTableFieldId="3"/>
    <tableColumn id="4" xr3:uid="{DD33D92A-4862-4D99-B292-86344C03305D}" uniqueName="4" name="pfd_raw" queryTableFieldId="4"/>
    <tableColumn id="5" xr3:uid="{2BA71A54-C2E2-4A47-A5A9-F5CE2EBF08EB}" uniqueName="5" name="p45_raw" queryTableFieldId="5"/>
    <tableColumn id="6" xr3:uid="{287111F2-A765-4ECC-8E4F-CADE61C5A5BB}" uniqueName="6" name="pfwd_filt" queryTableFieldId="6"/>
    <tableColumn id="7" xr3:uid="{C3116210-E41F-46BA-BF11-EC363EB90C96}" uniqueName="7" name="p45_filt" queryTableFieldId="7"/>
    <tableColumn id="8" xr3:uid="{78ECECF0-AC49-486B-98F5-3F9248AAF74D}" uniqueName="8" name="coeff" queryTableFieldId="8"/>
    <tableColumn id="9" xr3:uid="{6563478E-588B-46DC-A3F2-778FCC2FA0E8}" uniqueName="9" name="aoa_raw" queryTableFieldId="9"/>
    <tableColumn id="10" xr3:uid="{44061CE1-9879-439E-938D-C4FDB221669A}" uniqueName="10" name="aoa_filt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C16C3A-613B-45A3-9208-81A16D5C5E36}" name="_2026_04_17_16_28_20_16_high" displayName="_2026_04_17_16_28_20_16_high" ref="A1:J502" tableType="queryTable" totalsRowShown="0">
  <autoFilter ref="A1:J502" xr:uid="{15C16C3A-613B-45A3-9208-81A16D5C5E36}"/>
  <tableColumns count="10">
    <tableColumn id="1" xr3:uid="{AAEFF784-A65D-4495-9EEB-F8E790A947E7}" uniqueName="1" name="count" queryTableFieldId="1"/>
    <tableColumn id="2" xr3:uid="{EB9CD30B-8809-4171-ADA8-1958FFA335C2}" uniqueName="2" name="timestamp_ms" queryTableFieldId="2"/>
    <tableColumn id="3" xr3:uid="{C1804B77-69E2-44A4-A671-5C183989F7B4}" uniqueName="3" name="aoa_valid" queryTableFieldId="3"/>
    <tableColumn id="4" xr3:uid="{27E986EB-9AEC-45E6-B69A-2416F0938399}" uniqueName="4" name="pfd_raw" queryTableFieldId="4"/>
    <tableColumn id="5" xr3:uid="{67356BF1-1C38-4065-8BB6-82B28EE9BA99}" uniqueName="5" name="p45_raw" queryTableFieldId="5"/>
    <tableColumn id="6" xr3:uid="{F16A60C7-0A7A-434D-9002-E0FED89EE4A7}" uniqueName="6" name="pfwd_filt" queryTableFieldId="6"/>
    <tableColumn id="7" xr3:uid="{145C614E-24E8-4445-A63B-0B147147BE90}" uniqueName="7" name="p45_filt" queryTableFieldId="7"/>
    <tableColumn id="8" xr3:uid="{204C2A2E-C580-425D-8640-98B85B06F909}" uniqueName="8" name="coeff" queryTableFieldId="8"/>
    <tableColumn id="9" xr3:uid="{EF130E7F-D977-43E9-B330-970B0C886990}" uniqueName="9" name="aoa_raw" queryTableFieldId="9"/>
    <tableColumn id="10" xr3:uid="{3EE22329-BA64-4D6F-8565-DA845D20C45A}" uniqueName="10" name="aoa_filt" queryTableFieldId="1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24220-46E3-4D60-ACA8-A2AF3793B546}" name="_2026_04_17_16_26_30_19_high" displayName="_2026_04_17_16_26_30_19_high" ref="A1:J502" tableType="queryTable" totalsRowShown="0">
  <autoFilter ref="A1:J502" xr:uid="{A8224220-46E3-4D60-ACA8-A2AF3793B546}"/>
  <tableColumns count="10">
    <tableColumn id="1" xr3:uid="{FEC04CDA-2BF1-44EF-90A6-20D5C0BEF4F3}" uniqueName="1" name="count" queryTableFieldId="1"/>
    <tableColumn id="2" xr3:uid="{56D9EB01-57F1-418B-B4D6-0251640F95B1}" uniqueName="2" name="timestamp_ms" queryTableFieldId="2"/>
    <tableColumn id="3" xr3:uid="{4210359D-395D-4EF7-A567-FAAD088BA9F3}" uniqueName="3" name="aoa_valid" queryTableFieldId="3"/>
    <tableColumn id="4" xr3:uid="{25B0DCB2-DBD0-486A-B935-A83EE3648A42}" uniqueName="4" name="pfd_raw" queryTableFieldId="4"/>
    <tableColumn id="5" xr3:uid="{4E0678C1-8DAD-4A4F-A5FB-5F0E76A72F73}" uniqueName="5" name="p45_raw" queryTableFieldId="5"/>
    <tableColumn id="6" xr3:uid="{2DBEFF86-6B18-4354-9601-1D297FF587C8}" uniqueName="6" name="pfwd_filt" queryTableFieldId="6"/>
    <tableColumn id="7" xr3:uid="{7EE3ADC3-3B00-4BED-B923-E008D28552D4}" uniqueName="7" name="p45_filt" queryTableFieldId="7"/>
    <tableColumn id="8" xr3:uid="{D4BD5447-C987-4D2A-B5DC-DC3AC23605B9}" uniqueName="8" name="coeff" queryTableFieldId="8"/>
    <tableColumn id="9" xr3:uid="{D433DE34-2794-440D-94E9-44E8A7BF5E4A}" uniqueName="9" name="aoa_raw" queryTableFieldId="9"/>
    <tableColumn id="10" xr3:uid="{E6717426-0ADB-400B-A9D0-414477904B22}" uniqueName="10" name="aoa_filt" queryTableField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264C8-DFC3-44C2-A71A-645EA66D71F0}" name="_2026_04_17_16_25_21_23_high" displayName="_2026_04_17_16_25_21_23_high" ref="A1:J502" tableType="queryTable" totalsRowShown="0">
  <autoFilter ref="A1:J502" xr:uid="{642264C8-DFC3-44C2-A71A-645EA66D71F0}"/>
  <tableColumns count="10">
    <tableColumn id="1" xr3:uid="{947EBD83-2758-4273-BF58-B4C89F3E0AE5}" uniqueName="1" name="count" queryTableFieldId="1"/>
    <tableColumn id="2" xr3:uid="{78D1E392-9CB5-4D89-B93F-9C5EEC969866}" uniqueName="2" name="timestamp_ms" queryTableFieldId="2"/>
    <tableColumn id="3" xr3:uid="{94CE3766-27F1-4B03-92B1-14990CDA31B7}" uniqueName="3" name="aoa_valid" queryTableFieldId="3"/>
    <tableColumn id="4" xr3:uid="{FF5BDCAF-A3C2-4D7F-BB6C-D0916A1D5247}" uniqueName="4" name="pfd_raw" queryTableFieldId="4"/>
    <tableColumn id="5" xr3:uid="{B495A30F-1357-45F1-87EE-8C4D8DC92C5A}" uniqueName="5" name="p45_raw" queryTableFieldId="5"/>
    <tableColumn id="6" xr3:uid="{46DD8505-5080-49E4-AE92-C464114EE276}" uniqueName="6" name="pfwd_filt" queryTableFieldId="6"/>
    <tableColumn id="7" xr3:uid="{353D2286-2968-40DA-A487-FCCF2C5A1C5B}" uniqueName="7" name="p45_filt" queryTableFieldId="7"/>
    <tableColumn id="8" xr3:uid="{0D42DDF1-4FA5-464B-9686-DB404DAC948B}" uniqueName="8" name="coeff" queryTableFieldId="8"/>
    <tableColumn id="9" xr3:uid="{98C02632-B2CD-4A0A-A713-CECC81CC0B79}" uniqueName="9" name="aoa_raw" queryTableFieldId="9"/>
    <tableColumn id="10" xr3:uid="{CD02D085-2125-4885-A05C-AE1C85F06AFC}" uniqueName="10" name="aoa_fil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F91D-291F-4F64-9DC1-297448E85CBA}">
  <dimension ref="A1:I11"/>
  <sheetViews>
    <sheetView tabSelected="1" topLeftCell="A14" workbookViewId="0">
      <selection activeCell="E48" sqref="E48"/>
    </sheetView>
  </sheetViews>
  <sheetFormatPr defaultRowHeight="14.4" x14ac:dyDescent="0.3"/>
  <cols>
    <col min="2" max="2" width="15.5546875" customWidth="1"/>
    <col min="3" max="3" width="14.5546875" bestFit="1" customWidth="1"/>
    <col min="4" max="4" width="17.21875" customWidth="1"/>
    <col min="5" max="5" width="16.21875" customWidth="1"/>
    <col min="6" max="6" width="12.44140625" customWidth="1"/>
    <col min="7" max="7" width="14.109375" customWidth="1"/>
    <col min="8" max="8" width="13.88671875" bestFit="1" customWidth="1"/>
    <col min="9" max="9" width="22.44140625" customWidth="1"/>
  </cols>
  <sheetData>
    <row r="1" spans="1:9" x14ac:dyDescent="0.3">
      <c r="A1" t="s">
        <v>10</v>
      </c>
      <c r="B1" t="s">
        <v>11</v>
      </c>
      <c r="C1" t="s">
        <v>16</v>
      </c>
      <c r="D1" t="s">
        <v>12</v>
      </c>
      <c r="E1" t="s">
        <v>13</v>
      </c>
      <c r="F1" t="s">
        <v>17</v>
      </c>
      <c r="G1" t="s">
        <v>14</v>
      </c>
      <c r="H1" t="s">
        <v>15</v>
      </c>
      <c r="I1" t="s">
        <v>18</v>
      </c>
    </row>
    <row r="2" spans="1:9" x14ac:dyDescent="0.3">
      <c r="A2">
        <v>-19</v>
      </c>
      <c r="B2">
        <f>AVERAGE(_2026_04_17_16_41_07__19_high[pfwd_filt])</f>
        <v>21.125992497005992</v>
      </c>
      <c r="C2">
        <f>AVERAGE(_2026_04_17_16_41_07__19_high[p45_filt])</f>
        <v>-10.776664253493021</v>
      </c>
      <c r="D2">
        <f>MEDIAN(_2026_04_17_16_41_07__19_high[pfwd_filt])</f>
        <v>21.2</v>
      </c>
      <c r="E2">
        <f>MEDIAN(_2026_04_17_16_41_07__19_high[p45_filt])</f>
        <v>-10.4</v>
      </c>
      <c r="F2">
        <f>AVERAGE(_2026_04_17_16_41_07__19_high[coeff])</f>
        <v>-2.0548784754491036</v>
      </c>
      <c r="G2">
        <f>MEDIAN(_2026_04_17_16_41_07__19_high[coeff])</f>
        <v>-1.9827585000000001</v>
      </c>
      <c r="H2">
        <f xml:space="preserve"> -84.534 *Table18[[#This Row],[coeff_median]] + 87.249</f>
        <v>254.85950703900002</v>
      </c>
      <c r="I2">
        <f xml:space="preserve"> -66.186 *Table18[[#This Row],[coeff_mean]] + 72.445</f>
        <v>208.44918677607438</v>
      </c>
    </row>
    <row r="3" spans="1:9" x14ac:dyDescent="0.3">
      <c r="A3">
        <v>-14</v>
      </c>
      <c r="B3">
        <f>AVERAGE(_2026_04_17_16_43_51__14_high[pfwd_filt])</f>
        <v>9.2696107584830436</v>
      </c>
      <c r="C3">
        <f>AVERAGE(_2026_04_17_16_43_51__14_high[p45_filt])</f>
        <v>2.141409124011977</v>
      </c>
      <c r="D3">
        <f>MEDIAN(_2026_04_17_16_43_51__14_high[pfwd_filt])</f>
        <v>9.1999999999999993</v>
      </c>
      <c r="E3">
        <f>MEDIAN(_2026_04_17_16_43_51__14_high[p45_filt])</f>
        <v>2</v>
      </c>
      <c r="F3">
        <f>AVERAGE(_2026_04_17_16_43_51__14_high[coeff])</f>
        <v>1.3093341983402496</v>
      </c>
      <c r="G3">
        <f>MEDIAN(_2026_04_17_16_43_51__14_high[coeff])</f>
        <v>2.0916666500000001</v>
      </c>
      <c r="H3">
        <f xml:space="preserve"> -84.534 *Table18[[#This Row],[coeff_median]] + 87.249</f>
        <v>-89.56794859110002</v>
      </c>
      <c r="I3">
        <f xml:space="preserve"> -66.186 *Table18[[#This Row],[coeff_mean]] + 72.445</f>
        <v>-14.214593251347779</v>
      </c>
    </row>
    <row r="4" spans="1:9" x14ac:dyDescent="0.3">
      <c r="A4">
        <v>-11</v>
      </c>
      <c r="B4">
        <f>AVERAGE(_2026_04_17_16_40_13__12_high[pfwd_filt])</f>
        <v>24.286495544910146</v>
      </c>
      <c r="C4">
        <f>AVERAGE(_2026_04_17_16_40_13__12_high[p45_filt])</f>
        <v>-1.4650198105788432</v>
      </c>
      <c r="D4">
        <f>MEDIAN(_2026_04_17_16_40_13__12_high[pfwd_filt])</f>
        <v>24.4</v>
      </c>
      <c r="E4">
        <f>MEDIAN(_2026_04_17_16_40_13__12_high[p45_filt])</f>
        <v>-1.2</v>
      </c>
      <c r="F4">
        <f>AVERAGE(_2026_04_17_16_40_13__12_high[coeff])</f>
        <v>-7.0913186452328203</v>
      </c>
      <c r="G4">
        <f>MEDIAN(_2026_04_17_16_40_13__12_high[coeff])</f>
        <v>-6.6111110000000002</v>
      </c>
      <c r="H4">
        <f xml:space="preserve"> -84.534 *Table18[[#This Row],[coeff_median]] + 87.249</f>
        <v>646.11265727400007</v>
      </c>
      <c r="I4">
        <f xml:space="preserve"> -66.186 *Table18[[#This Row],[coeff_mean]] + 72.445</f>
        <v>541.79101585337946</v>
      </c>
    </row>
    <row r="5" spans="1:9" x14ac:dyDescent="0.3">
      <c r="A5">
        <v>-8</v>
      </c>
      <c r="B5">
        <f>AVERAGE(_2026_04_17_16_38_14__7_high[pfwd_filt])</f>
        <v>24.521997147704642</v>
      </c>
      <c r="C5">
        <f>AVERAGE(_2026_04_17_16_38_14__7_high[p45_filt])</f>
        <v>11.524058131736515</v>
      </c>
      <c r="D5">
        <f>MEDIAN(_2026_04_17_16_38_14__7_high[pfwd_filt])</f>
        <v>24.333334000000001</v>
      </c>
      <c r="E5">
        <f>MEDIAN(_2026_04_17_16_38_14__7_high[p45_filt])</f>
        <v>11.6</v>
      </c>
      <c r="F5">
        <f>AVERAGE(_2026_04_17_16_38_14__7_high[coeff])</f>
        <v>2.1795670423153704</v>
      </c>
      <c r="G5">
        <f>MEDIAN(_2026_04_17_16_38_14__7_high[coeff])</f>
        <v>2.1206896</v>
      </c>
      <c r="H5">
        <f xml:space="preserve"> -84.534 *Table18[[#This Row],[coeff_median]] + 87.249</f>
        <v>-92.021374646400005</v>
      </c>
      <c r="I5">
        <f xml:space="preserve"> -66.186 *Table18[[#This Row],[coeff_mean]] + 72.445</f>
        <v>-71.811824262685121</v>
      </c>
    </row>
    <row r="6" spans="1:9" x14ac:dyDescent="0.3">
      <c r="A6">
        <v>-4</v>
      </c>
      <c r="B6">
        <f>AVERAGE(_2026_04_17_16_36_46__5_high[pfwd_filt])</f>
        <v>21.430395379241492</v>
      </c>
      <c r="C6">
        <f>AVERAGE(_2026_04_17_16_36_46__5_high[p45_filt])</f>
        <v>16.110710888223572</v>
      </c>
      <c r="D6">
        <f>MEDIAN(_2026_04_17_16_36_46__5_high[pfwd_filt])</f>
        <v>21.333334000000001</v>
      </c>
      <c r="E6">
        <f>MEDIAN(_2026_04_17_16_36_46__5_high[p45_filt])</f>
        <v>16</v>
      </c>
      <c r="F6">
        <f>AVERAGE(_2026_04_17_16_36_46__5_high[coeff])</f>
        <v>1.3581763483832359</v>
      </c>
      <c r="G6">
        <f>MEDIAN(_2026_04_17_16_36_46__5_high[coeff])</f>
        <v>1.2857144</v>
      </c>
      <c r="H6">
        <f xml:space="preserve"> -84.534 *Table18[[#This Row],[coeff_median]] + 87.249</f>
        <v>-21.437581089600016</v>
      </c>
      <c r="I6">
        <f xml:space="preserve"> -66.186 *Table18[[#This Row],[coeff_mean]] + 72.445</f>
        <v>-17.447259794092872</v>
      </c>
    </row>
    <row r="7" spans="1:9" x14ac:dyDescent="0.3">
      <c r="A7">
        <v>1</v>
      </c>
      <c r="B7">
        <f>AVERAGE(_2026_04_17_16_32_27_0_high[pfwd_filt])</f>
        <v>19.903409704590825</v>
      </c>
      <c r="C7">
        <f>AVERAGE(_2026_04_17_16_32_27_0_high[p45_filt])</f>
        <v>16.876912876247516</v>
      </c>
      <c r="D7">
        <f>MEDIAN(_2026_04_17_16_32_27_0_high[pfwd_filt])</f>
        <v>20</v>
      </c>
      <c r="E7">
        <f>MEDIAN(_2026_04_17_16_32_27_0_high[p45_filt])</f>
        <v>17</v>
      </c>
      <c r="F7">
        <f>AVERAGE(_2026_04_17_16_32_27_0_high[coeff])</f>
        <v>1.1927197702594803</v>
      </c>
      <c r="G7">
        <f>MEDIAN(_2026_04_17_16_32_27_0_high[coeff])</f>
        <v>1.1694914999999999</v>
      </c>
      <c r="H7">
        <f xml:space="preserve"> -84.534 *Table18[[#This Row],[coeff_median]] + 87.249</f>
        <v>-11.612794461000007</v>
      </c>
      <c r="I7">
        <f xml:space="preserve"> -66.186 *Table18[[#This Row],[coeff_mean]] + 72.445</f>
        <v>-6.4963507143939836</v>
      </c>
    </row>
    <row r="8" spans="1:9" x14ac:dyDescent="0.3">
      <c r="A8">
        <v>4</v>
      </c>
      <c r="B8">
        <f>AVERAGE(_2026_04_17_16_31_51_5_high[pfwd_filt])</f>
        <v>20.679907818363279</v>
      </c>
      <c r="C8">
        <f>AVERAGE(_2026_04_17_16_31_51_5_high[p45_filt])</f>
        <v>19.10860033333331</v>
      </c>
      <c r="D8">
        <f>MEDIAN(_2026_04_17_16_31_51_5_high[pfwd_filt])</f>
        <v>20.666665999999999</v>
      </c>
      <c r="E8">
        <f>MEDIAN(_2026_04_17_16_31_51_5_high[p45_filt])</f>
        <v>19</v>
      </c>
      <c r="F8">
        <f>AVERAGE(_2026_04_17_16_31_51_5_high[coeff])</f>
        <v>1.0910170288822352</v>
      </c>
      <c r="G8">
        <f>MEDIAN(_2026_04_17_16_31_51_5_high[coeff])</f>
        <v>1.0823529000000001</v>
      </c>
      <c r="H8">
        <f xml:space="preserve"> -84.534 *Table18[[#This Row],[coeff_median]] + 87.249</f>
        <v>-4.2466200486000218</v>
      </c>
      <c r="I8">
        <f xml:space="preserve"> -66.186 *Table18[[#This Row],[coeff_mean]] + 72.445</f>
        <v>0.23494692640036874</v>
      </c>
    </row>
    <row r="9" spans="1:9" x14ac:dyDescent="0.3">
      <c r="A9">
        <v>10</v>
      </c>
      <c r="B9">
        <f>AVERAGE(_2026_04_17_16_30_28_9_high[pfwd_filt])</f>
        <v>32.362492870259494</v>
      </c>
      <c r="C9">
        <f>AVERAGE(_2026_04_17_16_30_28_9_high[p45_filt])</f>
        <v>21.883308231536894</v>
      </c>
      <c r="D9">
        <f>MEDIAN(_2026_04_17_16_30_28_9_high[pfwd_filt])</f>
        <v>32.6</v>
      </c>
      <c r="E9">
        <f>MEDIAN(_2026_04_17_16_30_28_9_high[p45_filt])</f>
        <v>21.8</v>
      </c>
      <c r="F9">
        <f>AVERAGE(_2026_04_17_16_30_28_9_high[coeff])</f>
        <v>1.4908517702594815</v>
      </c>
      <c r="G9">
        <f>MEDIAN(_2026_04_17_16_30_28_9_high[coeff])</f>
        <v>1.4761903999999999</v>
      </c>
      <c r="H9">
        <f xml:space="preserve"> -84.534 *Table18[[#This Row],[coeff_median]] + 87.249</f>
        <v>-37.539279273600002</v>
      </c>
      <c r="I9">
        <f xml:space="preserve"> -66.186 *Table18[[#This Row],[coeff_mean]] + 72.445</f>
        <v>-26.228515266394055</v>
      </c>
    </row>
    <row r="10" spans="1:9" x14ac:dyDescent="0.3">
      <c r="A10">
        <v>15</v>
      </c>
      <c r="B10">
        <f>AVERAGE(_2026_04_17_16_29_05_14_high[pfwd_filt])</f>
        <v>39.420502682634627</v>
      </c>
      <c r="C10">
        <f>AVERAGE(_2026_04_17_16_29_05_14_high[p45_filt])</f>
        <v>23.386113477045875</v>
      </c>
      <c r="D10">
        <f>MEDIAN(_2026_04_17_16_29_05_14_high[pfwd_filt])</f>
        <v>39.4</v>
      </c>
      <c r="E10">
        <f>MEDIAN(_2026_04_17_16_29_05_14_high[p45_filt])</f>
        <v>23.4</v>
      </c>
      <c r="F10">
        <f>AVERAGE(_2026_04_17_16_29_05_14_high[coeff])</f>
        <v>1.6942376315369243</v>
      </c>
      <c r="G10">
        <f>MEDIAN(_2026_04_17_16_29_05_14_high[coeff])</f>
        <v>1.6930693000000001</v>
      </c>
      <c r="H10">
        <f xml:space="preserve"> -84.534 *Table18[[#This Row],[coeff_median]] + 87.249</f>
        <v>-55.872920206200035</v>
      </c>
      <c r="I10">
        <f xml:space="preserve"> -66.186 *Table18[[#This Row],[coeff_mean]] + 72.445</f>
        <v>-39.689811880902894</v>
      </c>
    </row>
    <row r="11" spans="1:9" x14ac:dyDescent="0.3">
      <c r="A11">
        <v>18</v>
      </c>
      <c r="B11">
        <f>AVERAGE(_2026_04_17_16_26_30_19_high[pfwd_filt])</f>
        <v>44.472856433133728</v>
      </c>
      <c r="C11">
        <f>AVERAGE(_2026_04_17_16_26_30_19_high[p45_filt])</f>
        <v>23.156487027944127</v>
      </c>
      <c r="D11">
        <f>MEDIAN(_2026_04_17_16_26_30_19_high[pfwd_filt])</f>
        <v>45</v>
      </c>
      <c r="E11">
        <f>MEDIAN(_2026_04_17_16_26_30_19_high[p45_filt])</f>
        <v>23</v>
      </c>
      <c r="F11">
        <f>AVERAGE(_2026_04_17_16_26_30_19_high[coeff])</f>
        <v>1.9310102982035897</v>
      </c>
      <c r="G11">
        <f>MEDIAN(_2026_04_17_16_26_30_19_high[coeff])</f>
        <v>1.8935573999999999</v>
      </c>
      <c r="H11">
        <f xml:space="preserve"> -84.534 *Table18[[#This Row],[coeff_median]] + 87.249</f>
        <v>-72.820981251600017</v>
      </c>
      <c r="I11">
        <f xml:space="preserve"> -66.186 *Table18[[#This Row],[coeff_mean]] + 72.445</f>
        <v>-55.360847596902815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1085-B5F6-4998-9A0E-82190E559B18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8054</v>
      </c>
      <c r="E2">
        <v>8105</v>
      </c>
      <c r="F2">
        <v>14</v>
      </c>
      <c r="G2">
        <v>-10</v>
      </c>
      <c r="H2">
        <v>-1.4</v>
      </c>
      <c r="I2">
        <v>2.4</v>
      </c>
      <c r="J2">
        <v>-2.5</v>
      </c>
    </row>
    <row r="3" spans="1:10" x14ac:dyDescent="0.3">
      <c r="A3">
        <v>1</v>
      </c>
      <c r="B3">
        <v>29</v>
      </c>
      <c r="C3" t="b">
        <v>1</v>
      </c>
      <c r="D3">
        <v>8060</v>
      </c>
      <c r="E3">
        <v>8105</v>
      </c>
      <c r="F3">
        <v>17</v>
      </c>
      <c r="G3">
        <v>-10</v>
      </c>
      <c r="H3">
        <v>-1.7</v>
      </c>
      <c r="I3">
        <v>2.7</v>
      </c>
      <c r="J3">
        <v>-1.4285715000000001</v>
      </c>
    </row>
    <row r="4" spans="1:10" x14ac:dyDescent="0.3">
      <c r="A4">
        <v>2</v>
      </c>
      <c r="B4">
        <v>44</v>
      </c>
      <c r="C4" t="b">
        <v>1</v>
      </c>
      <c r="D4">
        <v>8065</v>
      </c>
      <c r="E4">
        <v>8105</v>
      </c>
      <c r="F4">
        <v>18</v>
      </c>
      <c r="G4">
        <v>-10</v>
      </c>
      <c r="H4">
        <v>-1.8</v>
      </c>
      <c r="I4">
        <v>2.8</v>
      </c>
      <c r="J4">
        <v>-1.25</v>
      </c>
    </row>
    <row r="5" spans="1:10" x14ac:dyDescent="0.3">
      <c r="A5">
        <v>3</v>
      </c>
      <c r="B5">
        <v>60</v>
      </c>
      <c r="C5" t="b">
        <v>1</v>
      </c>
      <c r="D5">
        <v>8060</v>
      </c>
      <c r="E5">
        <v>8093</v>
      </c>
      <c r="F5">
        <v>18.5</v>
      </c>
      <c r="G5">
        <v>-10</v>
      </c>
      <c r="H5">
        <v>-1.85</v>
      </c>
      <c r="I5">
        <v>2.85</v>
      </c>
      <c r="J5">
        <v>-1.1764706</v>
      </c>
    </row>
    <row r="6" spans="1:10" x14ac:dyDescent="0.3">
      <c r="A6">
        <v>4</v>
      </c>
      <c r="B6">
        <v>76</v>
      </c>
      <c r="C6" t="b">
        <v>1</v>
      </c>
      <c r="D6">
        <v>8065</v>
      </c>
      <c r="E6">
        <v>8093</v>
      </c>
      <c r="F6">
        <v>18.8</v>
      </c>
      <c r="G6">
        <v>-10</v>
      </c>
      <c r="H6">
        <v>-1.8799999000000001</v>
      </c>
      <c r="I6">
        <v>2.8799999000000001</v>
      </c>
      <c r="J6">
        <v>-1.1363637</v>
      </c>
    </row>
    <row r="7" spans="1:10" x14ac:dyDescent="0.3">
      <c r="A7">
        <v>5</v>
      </c>
      <c r="B7">
        <v>92</v>
      </c>
      <c r="C7" t="b">
        <v>1</v>
      </c>
      <c r="D7">
        <v>8060</v>
      </c>
      <c r="E7">
        <v>8105</v>
      </c>
      <c r="F7">
        <v>19</v>
      </c>
      <c r="G7">
        <v>-10</v>
      </c>
      <c r="H7">
        <v>-1.9</v>
      </c>
      <c r="I7">
        <v>2.9</v>
      </c>
      <c r="J7">
        <v>-1.1111112000000001</v>
      </c>
    </row>
    <row r="8" spans="1:10" x14ac:dyDescent="0.3">
      <c r="A8">
        <v>6</v>
      </c>
      <c r="B8">
        <v>108</v>
      </c>
      <c r="C8" t="b">
        <v>1</v>
      </c>
      <c r="D8">
        <v>8065</v>
      </c>
      <c r="E8">
        <v>8105</v>
      </c>
      <c r="F8">
        <v>19.857143000000001</v>
      </c>
      <c r="G8">
        <v>-10</v>
      </c>
      <c r="H8">
        <v>-1.9857142999999999</v>
      </c>
      <c r="I8">
        <v>2.9857144</v>
      </c>
      <c r="J8">
        <v>-1.0144928</v>
      </c>
    </row>
    <row r="9" spans="1:10" x14ac:dyDescent="0.3">
      <c r="A9">
        <v>7</v>
      </c>
      <c r="B9">
        <v>124</v>
      </c>
      <c r="C9" t="b">
        <v>1</v>
      </c>
      <c r="D9">
        <v>8060</v>
      </c>
      <c r="E9">
        <v>8105</v>
      </c>
      <c r="F9">
        <v>19.875</v>
      </c>
      <c r="G9">
        <v>-10</v>
      </c>
      <c r="H9">
        <v>-1.9875</v>
      </c>
      <c r="I9">
        <v>2.9874999999999998</v>
      </c>
      <c r="J9">
        <v>-1.0126582</v>
      </c>
    </row>
    <row r="10" spans="1:10" x14ac:dyDescent="0.3">
      <c r="A10">
        <v>8</v>
      </c>
      <c r="B10">
        <v>140</v>
      </c>
      <c r="C10" t="b">
        <v>1</v>
      </c>
      <c r="D10">
        <v>8060</v>
      </c>
      <c r="E10">
        <v>8105</v>
      </c>
      <c r="F10">
        <v>19.88889</v>
      </c>
      <c r="G10">
        <v>-10</v>
      </c>
      <c r="H10">
        <v>-1.9888889999999999</v>
      </c>
      <c r="I10">
        <v>2.9888889999999999</v>
      </c>
      <c r="J10">
        <v>-1.011236</v>
      </c>
    </row>
    <row r="11" spans="1:10" x14ac:dyDescent="0.3">
      <c r="A11">
        <v>9</v>
      </c>
      <c r="B11">
        <v>156</v>
      </c>
      <c r="C11" t="b">
        <v>1</v>
      </c>
      <c r="D11">
        <v>8065</v>
      </c>
      <c r="E11">
        <v>8099</v>
      </c>
      <c r="F11">
        <v>19.899999999999999</v>
      </c>
      <c r="G11">
        <v>-10</v>
      </c>
      <c r="H11">
        <v>-1.99</v>
      </c>
      <c r="I11">
        <v>2.99</v>
      </c>
      <c r="J11">
        <v>-1.0101011</v>
      </c>
    </row>
    <row r="12" spans="1:10" x14ac:dyDescent="0.3">
      <c r="A12">
        <v>10</v>
      </c>
      <c r="B12">
        <v>172</v>
      </c>
      <c r="C12" t="b">
        <v>1</v>
      </c>
      <c r="D12">
        <v>8060</v>
      </c>
      <c r="E12">
        <v>8099</v>
      </c>
      <c r="F12">
        <v>19.909089999999999</v>
      </c>
      <c r="G12">
        <v>-10</v>
      </c>
      <c r="H12">
        <v>-1.990909</v>
      </c>
      <c r="I12">
        <v>2.9909089999999998</v>
      </c>
      <c r="J12">
        <v>-1.0091743</v>
      </c>
    </row>
    <row r="13" spans="1:10" x14ac:dyDescent="0.3">
      <c r="A13">
        <v>11</v>
      </c>
      <c r="B13">
        <v>187</v>
      </c>
      <c r="C13" t="b">
        <v>1</v>
      </c>
      <c r="D13">
        <v>8054</v>
      </c>
      <c r="E13">
        <v>8099</v>
      </c>
      <c r="F13">
        <v>19.916665999999999</v>
      </c>
      <c r="G13">
        <v>-10.5</v>
      </c>
      <c r="H13">
        <v>-1.8968252999999999</v>
      </c>
      <c r="I13">
        <v>2.8968253000000002</v>
      </c>
      <c r="J13">
        <v>-1.1150443999999999</v>
      </c>
    </row>
    <row r="14" spans="1:10" x14ac:dyDescent="0.3">
      <c r="A14">
        <v>12</v>
      </c>
      <c r="B14">
        <v>203</v>
      </c>
      <c r="C14" t="b">
        <v>1</v>
      </c>
      <c r="D14">
        <v>8065</v>
      </c>
      <c r="E14">
        <v>8099</v>
      </c>
      <c r="F14">
        <v>19.923076999999999</v>
      </c>
      <c r="G14">
        <v>-10.923076999999999</v>
      </c>
      <c r="H14">
        <v>-1.8239437000000001</v>
      </c>
      <c r="I14">
        <v>2.8239436000000002</v>
      </c>
      <c r="J14">
        <v>-1.2136750999999999</v>
      </c>
    </row>
    <row r="15" spans="1:10" x14ac:dyDescent="0.3">
      <c r="A15">
        <v>13</v>
      </c>
      <c r="B15">
        <v>219</v>
      </c>
      <c r="C15" t="b">
        <v>1</v>
      </c>
      <c r="D15">
        <v>8065</v>
      </c>
      <c r="E15">
        <v>8099</v>
      </c>
      <c r="F15">
        <v>20.285715</v>
      </c>
      <c r="G15">
        <v>-11.285714</v>
      </c>
      <c r="H15">
        <v>-1.7974684000000001</v>
      </c>
      <c r="I15">
        <v>2.7974684000000001</v>
      </c>
      <c r="J15">
        <v>-1.2539681</v>
      </c>
    </row>
    <row r="16" spans="1:10" x14ac:dyDescent="0.3">
      <c r="A16">
        <v>14</v>
      </c>
      <c r="B16">
        <v>235</v>
      </c>
      <c r="C16" t="b">
        <v>1</v>
      </c>
      <c r="D16">
        <v>8060</v>
      </c>
      <c r="E16">
        <v>8111</v>
      </c>
      <c r="F16">
        <v>20.266666000000001</v>
      </c>
      <c r="G16">
        <v>-11.6</v>
      </c>
      <c r="H16">
        <v>-1.7471262999999999</v>
      </c>
      <c r="I16">
        <v>2.7471263000000001</v>
      </c>
      <c r="J16">
        <v>-1.3384616</v>
      </c>
    </row>
    <row r="17" spans="1:10" x14ac:dyDescent="0.3">
      <c r="A17">
        <v>15</v>
      </c>
      <c r="B17">
        <v>251</v>
      </c>
      <c r="C17" t="b">
        <v>1</v>
      </c>
      <c r="D17">
        <v>8060</v>
      </c>
      <c r="E17">
        <v>8123</v>
      </c>
      <c r="F17">
        <v>20.666665999999999</v>
      </c>
      <c r="G17">
        <v>-12</v>
      </c>
      <c r="H17">
        <v>-1.7222222</v>
      </c>
      <c r="I17">
        <v>2.7222219999999999</v>
      </c>
      <c r="J17">
        <v>-1.3846155</v>
      </c>
    </row>
    <row r="18" spans="1:10" x14ac:dyDescent="0.3">
      <c r="A18">
        <v>16</v>
      </c>
      <c r="B18">
        <v>267</v>
      </c>
      <c r="C18" t="b">
        <v>1</v>
      </c>
      <c r="D18">
        <v>8054</v>
      </c>
      <c r="E18">
        <v>8105</v>
      </c>
      <c r="F18">
        <v>20.666665999999999</v>
      </c>
      <c r="G18">
        <v>-12</v>
      </c>
      <c r="H18">
        <v>-1.7222222</v>
      </c>
      <c r="I18">
        <v>2.7222219999999999</v>
      </c>
      <c r="J18">
        <v>-1.3846155</v>
      </c>
    </row>
    <row r="19" spans="1:10" x14ac:dyDescent="0.3">
      <c r="A19">
        <v>17</v>
      </c>
      <c r="B19">
        <v>283</v>
      </c>
      <c r="C19" t="b">
        <v>1</v>
      </c>
      <c r="D19">
        <v>8060</v>
      </c>
      <c r="E19">
        <v>8111</v>
      </c>
      <c r="F19">
        <v>20.666665999999999</v>
      </c>
      <c r="G19">
        <v>-11.6</v>
      </c>
      <c r="H19">
        <v>-1.781609</v>
      </c>
      <c r="I19">
        <v>2.781609</v>
      </c>
      <c r="J19">
        <v>-1.2794118999999999</v>
      </c>
    </row>
    <row r="20" spans="1:10" x14ac:dyDescent="0.3">
      <c r="A20">
        <v>18</v>
      </c>
      <c r="B20">
        <v>299</v>
      </c>
      <c r="C20" t="b">
        <v>1</v>
      </c>
      <c r="D20">
        <v>8071</v>
      </c>
      <c r="E20">
        <v>8105</v>
      </c>
      <c r="F20">
        <v>20.666665999999999</v>
      </c>
      <c r="G20">
        <v>-11.2</v>
      </c>
      <c r="H20">
        <v>-1.8452381</v>
      </c>
      <c r="I20">
        <v>2.8452380000000002</v>
      </c>
      <c r="J20">
        <v>-1.1830986999999999</v>
      </c>
    </row>
    <row r="21" spans="1:10" x14ac:dyDescent="0.3">
      <c r="A21">
        <v>19</v>
      </c>
      <c r="B21">
        <v>315</v>
      </c>
      <c r="C21" t="b">
        <v>1</v>
      </c>
      <c r="D21">
        <v>8065</v>
      </c>
      <c r="E21">
        <v>8105</v>
      </c>
      <c r="F21">
        <v>20.666665999999999</v>
      </c>
      <c r="G21">
        <v>-11.2</v>
      </c>
      <c r="H21">
        <v>-1.8452381</v>
      </c>
      <c r="I21">
        <v>2.8452380000000002</v>
      </c>
      <c r="J21">
        <v>-1.1830986999999999</v>
      </c>
    </row>
    <row r="22" spans="1:10" x14ac:dyDescent="0.3">
      <c r="A22">
        <v>20</v>
      </c>
      <c r="B22">
        <v>346</v>
      </c>
      <c r="C22" t="b">
        <v>1</v>
      </c>
      <c r="D22">
        <v>8060</v>
      </c>
      <c r="E22">
        <v>8105</v>
      </c>
      <c r="F22">
        <v>20.666665999999999</v>
      </c>
      <c r="G22">
        <v>-11.2</v>
      </c>
      <c r="H22">
        <v>-1.8452381</v>
      </c>
      <c r="I22">
        <v>2.8452380000000002</v>
      </c>
      <c r="J22">
        <v>-1.1830986999999999</v>
      </c>
    </row>
    <row r="23" spans="1:10" x14ac:dyDescent="0.3">
      <c r="A23">
        <v>21</v>
      </c>
      <c r="B23">
        <v>362</v>
      </c>
      <c r="C23" t="b">
        <v>1</v>
      </c>
      <c r="D23">
        <v>8060</v>
      </c>
      <c r="E23">
        <v>8105</v>
      </c>
      <c r="F23">
        <v>20.333334000000001</v>
      </c>
      <c r="G23">
        <v>-11.2</v>
      </c>
      <c r="H23">
        <v>-1.8154763</v>
      </c>
      <c r="I23">
        <v>2.8154762</v>
      </c>
      <c r="J23">
        <v>-1.2262772</v>
      </c>
    </row>
    <row r="24" spans="1:10" x14ac:dyDescent="0.3">
      <c r="A24">
        <v>22</v>
      </c>
      <c r="B24">
        <v>378</v>
      </c>
      <c r="C24" t="b">
        <v>1</v>
      </c>
      <c r="D24">
        <v>8065</v>
      </c>
      <c r="E24">
        <v>8105</v>
      </c>
      <c r="F24">
        <v>20.666665999999999</v>
      </c>
      <c r="G24">
        <v>-11.2</v>
      </c>
      <c r="H24">
        <v>-1.8452381</v>
      </c>
      <c r="I24">
        <v>2.8452380000000002</v>
      </c>
      <c r="J24">
        <v>-1.1830986999999999</v>
      </c>
    </row>
    <row r="25" spans="1:10" x14ac:dyDescent="0.3">
      <c r="A25">
        <v>23</v>
      </c>
      <c r="B25">
        <v>394</v>
      </c>
      <c r="C25" t="b">
        <v>1</v>
      </c>
      <c r="D25">
        <v>8065</v>
      </c>
      <c r="E25">
        <v>8105</v>
      </c>
      <c r="F25">
        <v>21</v>
      </c>
      <c r="G25">
        <v>-11.2</v>
      </c>
      <c r="H25">
        <v>-1.875</v>
      </c>
      <c r="I25">
        <v>2.875</v>
      </c>
      <c r="J25">
        <v>-1.1428571000000001</v>
      </c>
    </row>
    <row r="26" spans="1:10" x14ac:dyDescent="0.3">
      <c r="A26">
        <v>24</v>
      </c>
      <c r="B26">
        <v>409</v>
      </c>
      <c r="C26" t="b">
        <v>1</v>
      </c>
      <c r="D26">
        <v>8060</v>
      </c>
      <c r="E26">
        <v>8093</v>
      </c>
      <c r="F26">
        <v>21</v>
      </c>
      <c r="G26">
        <v>-11.2</v>
      </c>
      <c r="H26">
        <v>-1.875</v>
      </c>
      <c r="I26">
        <v>2.875</v>
      </c>
      <c r="J26">
        <v>-1.1428571000000001</v>
      </c>
    </row>
    <row r="27" spans="1:10" x14ac:dyDescent="0.3">
      <c r="A27">
        <v>25</v>
      </c>
      <c r="B27">
        <v>426</v>
      </c>
      <c r="C27" t="b">
        <v>1</v>
      </c>
      <c r="D27">
        <v>8054</v>
      </c>
      <c r="E27">
        <v>8099</v>
      </c>
      <c r="F27">
        <v>21</v>
      </c>
      <c r="G27">
        <v>-11.2</v>
      </c>
      <c r="H27">
        <v>-1.875</v>
      </c>
      <c r="I27">
        <v>2.875</v>
      </c>
      <c r="J27">
        <v>-1.1428571000000001</v>
      </c>
    </row>
    <row r="28" spans="1:10" x14ac:dyDescent="0.3">
      <c r="A28">
        <v>26</v>
      </c>
      <c r="B28">
        <v>441</v>
      </c>
      <c r="C28" t="b">
        <v>1</v>
      </c>
      <c r="D28">
        <v>8065</v>
      </c>
      <c r="E28">
        <v>8105</v>
      </c>
      <c r="F28">
        <v>21.333334000000001</v>
      </c>
      <c r="G28">
        <v>-10.8</v>
      </c>
      <c r="H28">
        <v>-1.9753087</v>
      </c>
      <c r="I28">
        <v>2.9753086999999998</v>
      </c>
      <c r="J28">
        <v>-1.0253165</v>
      </c>
    </row>
    <row r="29" spans="1:10" x14ac:dyDescent="0.3">
      <c r="A29">
        <v>27</v>
      </c>
      <c r="B29">
        <v>457</v>
      </c>
      <c r="C29" t="b">
        <v>1</v>
      </c>
      <c r="D29">
        <v>8060</v>
      </c>
      <c r="E29">
        <v>8093</v>
      </c>
      <c r="F29">
        <v>21.333334000000001</v>
      </c>
      <c r="G29">
        <v>-10.8</v>
      </c>
      <c r="H29">
        <v>-1.9753087</v>
      </c>
      <c r="I29">
        <v>2.9753086999999998</v>
      </c>
      <c r="J29">
        <v>-1.0253165</v>
      </c>
    </row>
    <row r="30" spans="1:10" x14ac:dyDescent="0.3">
      <c r="A30">
        <v>28</v>
      </c>
      <c r="B30">
        <v>473</v>
      </c>
      <c r="C30" t="b">
        <v>1</v>
      </c>
      <c r="D30">
        <v>8060</v>
      </c>
      <c r="E30">
        <v>8099</v>
      </c>
      <c r="F30">
        <v>21</v>
      </c>
      <c r="G30">
        <v>-10.8</v>
      </c>
      <c r="H30">
        <v>-1.9444444000000001</v>
      </c>
      <c r="I30">
        <v>2.9444444000000001</v>
      </c>
      <c r="J30">
        <v>-1.0588236</v>
      </c>
    </row>
    <row r="31" spans="1:10" x14ac:dyDescent="0.3">
      <c r="A31">
        <v>29</v>
      </c>
      <c r="B31">
        <v>489</v>
      </c>
      <c r="C31" t="b">
        <v>1</v>
      </c>
      <c r="D31">
        <v>8060</v>
      </c>
      <c r="E31">
        <v>8099</v>
      </c>
      <c r="F31">
        <v>21</v>
      </c>
      <c r="G31">
        <v>-10.8</v>
      </c>
      <c r="H31">
        <v>-1.9444444000000001</v>
      </c>
      <c r="I31">
        <v>2.9444444000000001</v>
      </c>
      <c r="J31">
        <v>-1.0588236</v>
      </c>
    </row>
    <row r="32" spans="1:10" x14ac:dyDescent="0.3">
      <c r="A32">
        <v>30</v>
      </c>
      <c r="B32">
        <v>505</v>
      </c>
      <c r="C32" t="b">
        <v>1</v>
      </c>
      <c r="D32">
        <v>8065</v>
      </c>
      <c r="E32">
        <v>8099</v>
      </c>
      <c r="F32">
        <v>21</v>
      </c>
      <c r="G32">
        <v>-10.8</v>
      </c>
      <c r="H32">
        <v>-1.9444444000000001</v>
      </c>
      <c r="I32">
        <v>2.9444444000000001</v>
      </c>
      <c r="J32">
        <v>-1.0588236</v>
      </c>
    </row>
    <row r="33" spans="1:10" x14ac:dyDescent="0.3">
      <c r="A33">
        <v>31</v>
      </c>
      <c r="B33">
        <v>521</v>
      </c>
      <c r="C33" t="b">
        <v>1</v>
      </c>
      <c r="D33">
        <v>8060</v>
      </c>
      <c r="E33">
        <v>8099</v>
      </c>
      <c r="F33">
        <v>21</v>
      </c>
      <c r="G33">
        <v>-11.2</v>
      </c>
      <c r="H33">
        <v>-1.875</v>
      </c>
      <c r="I33">
        <v>2.875</v>
      </c>
      <c r="J33">
        <v>-1.1428571000000001</v>
      </c>
    </row>
    <row r="34" spans="1:10" x14ac:dyDescent="0.3">
      <c r="A34">
        <v>32</v>
      </c>
      <c r="B34">
        <v>537</v>
      </c>
      <c r="C34" t="b">
        <v>1</v>
      </c>
      <c r="D34">
        <v>8060</v>
      </c>
      <c r="E34">
        <v>8099</v>
      </c>
      <c r="F34">
        <v>21</v>
      </c>
      <c r="G34">
        <v>-12</v>
      </c>
      <c r="H34">
        <v>-1.75</v>
      </c>
      <c r="I34">
        <v>2.75</v>
      </c>
      <c r="J34">
        <v>-1.3333333999999999</v>
      </c>
    </row>
    <row r="35" spans="1:10" x14ac:dyDescent="0.3">
      <c r="A35">
        <v>33</v>
      </c>
      <c r="B35">
        <v>552</v>
      </c>
      <c r="C35" t="b">
        <v>1</v>
      </c>
      <c r="D35">
        <v>8060</v>
      </c>
      <c r="E35">
        <v>8105</v>
      </c>
      <c r="F35">
        <v>21</v>
      </c>
      <c r="G35">
        <v>-12.8</v>
      </c>
      <c r="H35">
        <v>-1.640625</v>
      </c>
      <c r="I35">
        <v>2.640625</v>
      </c>
      <c r="J35">
        <v>-1.5609757</v>
      </c>
    </row>
    <row r="36" spans="1:10" x14ac:dyDescent="0.3">
      <c r="A36">
        <v>34</v>
      </c>
      <c r="B36">
        <v>568</v>
      </c>
      <c r="C36" t="b">
        <v>1</v>
      </c>
      <c r="D36">
        <v>8065</v>
      </c>
      <c r="E36">
        <v>8099</v>
      </c>
      <c r="F36">
        <v>21</v>
      </c>
      <c r="G36">
        <v>-13.2</v>
      </c>
      <c r="H36">
        <v>-1.5909091</v>
      </c>
      <c r="I36">
        <v>2.5909092</v>
      </c>
      <c r="J36">
        <v>-1.6923075999999999</v>
      </c>
    </row>
    <row r="37" spans="1:10" x14ac:dyDescent="0.3">
      <c r="A37">
        <v>35</v>
      </c>
      <c r="B37">
        <v>584</v>
      </c>
      <c r="C37" t="b">
        <v>1</v>
      </c>
      <c r="D37">
        <v>8054</v>
      </c>
      <c r="E37">
        <v>8105</v>
      </c>
      <c r="F37">
        <v>21</v>
      </c>
      <c r="G37">
        <v>-13.6</v>
      </c>
      <c r="H37">
        <v>-1.5441176000000001</v>
      </c>
      <c r="I37">
        <v>2.5441175</v>
      </c>
      <c r="J37">
        <v>-1.8378379</v>
      </c>
    </row>
    <row r="38" spans="1:10" x14ac:dyDescent="0.3">
      <c r="A38">
        <v>36</v>
      </c>
      <c r="B38">
        <v>600</v>
      </c>
      <c r="C38" t="b">
        <v>1</v>
      </c>
      <c r="D38">
        <v>8060</v>
      </c>
      <c r="E38">
        <v>8105</v>
      </c>
      <c r="F38">
        <v>21</v>
      </c>
      <c r="G38">
        <v>-13.6</v>
      </c>
      <c r="H38">
        <v>-1.5441176000000001</v>
      </c>
      <c r="I38">
        <v>2.5441175</v>
      </c>
      <c r="J38">
        <v>-1.8378379</v>
      </c>
    </row>
    <row r="39" spans="1:10" x14ac:dyDescent="0.3">
      <c r="A39">
        <v>37</v>
      </c>
      <c r="B39">
        <v>616</v>
      </c>
      <c r="C39" t="b">
        <v>1</v>
      </c>
      <c r="D39">
        <v>8054</v>
      </c>
      <c r="E39">
        <v>8099</v>
      </c>
      <c r="F39">
        <v>20.666665999999999</v>
      </c>
      <c r="G39">
        <v>-13.6</v>
      </c>
      <c r="H39">
        <v>-1.5196078</v>
      </c>
      <c r="I39">
        <v>2.5196078000000002</v>
      </c>
      <c r="J39">
        <v>-1.9245285999999999</v>
      </c>
    </row>
    <row r="40" spans="1:10" x14ac:dyDescent="0.3">
      <c r="A40">
        <v>38</v>
      </c>
      <c r="B40">
        <v>632</v>
      </c>
      <c r="C40" t="b">
        <v>1</v>
      </c>
      <c r="D40">
        <v>8060</v>
      </c>
      <c r="E40">
        <v>8099</v>
      </c>
      <c r="F40">
        <v>20.333334000000001</v>
      </c>
      <c r="G40">
        <v>-14</v>
      </c>
      <c r="H40">
        <v>-1.4523809999999999</v>
      </c>
      <c r="I40">
        <v>2.4523811000000002</v>
      </c>
      <c r="J40">
        <v>-2.2105260000000002</v>
      </c>
    </row>
    <row r="41" spans="1:10" x14ac:dyDescent="0.3">
      <c r="A41">
        <v>39</v>
      </c>
      <c r="B41">
        <v>648</v>
      </c>
      <c r="C41" t="b">
        <v>1</v>
      </c>
      <c r="D41">
        <v>8060</v>
      </c>
      <c r="E41">
        <v>8105</v>
      </c>
      <c r="F41">
        <v>20.333334000000001</v>
      </c>
      <c r="G41">
        <v>-14</v>
      </c>
      <c r="H41">
        <v>-1.4523809999999999</v>
      </c>
      <c r="I41">
        <v>2.4523811000000002</v>
      </c>
      <c r="J41">
        <v>-2.2105260000000002</v>
      </c>
    </row>
    <row r="42" spans="1:10" x14ac:dyDescent="0.3">
      <c r="A42">
        <v>40</v>
      </c>
      <c r="B42">
        <v>664</v>
      </c>
      <c r="C42" t="b">
        <v>1</v>
      </c>
      <c r="D42">
        <v>8048</v>
      </c>
      <c r="E42">
        <v>8105</v>
      </c>
      <c r="F42">
        <v>20.333334000000001</v>
      </c>
      <c r="G42">
        <v>-14</v>
      </c>
      <c r="H42">
        <v>-1.4523809999999999</v>
      </c>
      <c r="I42">
        <v>2.4523811000000002</v>
      </c>
      <c r="J42">
        <v>-2.2105260000000002</v>
      </c>
    </row>
    <row r="43" spans="1:10" x14ac:dyDescent="0.3">
      <c r="A43">
        <v>41</v>
      </c>
      <c r="B43">
        <v>679</v>
      </c>
      <c r="C43" t="b">
        <v>1</v>
      </c>
      <c r="D43">
        <v>8065</v>
      </c>
      <c r="E43">
        <v>8105</v>
      </c>
      <c r="F43">
        <v>20</v>
      </c>
      <c r="G43">
        <v>-14</v>
      </c>
      <c r="H43">
        <v>-1.4285715000000001</v>
      </c>
      <c r="I43">
        <v>2.4285714999999999</v>
      </c>
      <c r="J43">
        <v>-2.3333333000000001</v>
      </c>
    </row>
    <row r="44" spans="1:10" x14ac:dyDescent="0.3">
      <c r="A44">
        <v>42</v>
      </c>
      <c r="B44">
        <v>695</v>
      </c>
      <c r="C44" t="b">
        <v>1</v>
      </c>
      <c r="D44">
        <v>8048</v>
      </c>
      <c r="E44">
        <v>8105</v>
      </c>
      <c r="F44">
        <v>20</v>
      </c>
      <c r="G44">
        <v>-13.6</v>
      </c>
      <c r="H44">
        <v>-1.4705881999999999</v>
      </c>
      <c r="I44">
        <v>2.4705879999999998</v>
      </c>
      <c r="J44">
        <v>-2.1250002000000001</v>
      </c>
    </row>
    <row r="45" spans="1:10" x14ac:dyDescent="0.3">
      <c r="A45">
        <v>43</v>
      </c>
      <c r="B45">
        <v>711</v>
      </c>
      <c r="C45" t="b">
        <v>1</v>
      </c>
      <c r="D45">
        <v>8060</v>
      </c>
      <c r="E45">
        <v>8099</v>
      </c>
      <c r="F45">
        <v>20</v>
      </c>
      <c r="G45">
        <v>-13.2</v>
      </c>
      <c r="H45">
        <v>-1.5151515</v>
      </c>
      <c r="I45">
        <v>2.5151515</v>
      </c>
      <c r="J45">
        <v>-1.9411764</v>
      </c>
    </row>
    <row r="46" spans="1:10" x14ac:dyDescent="0.3">
      <c r="A46">
        <v>44</v>
      </c>
      <c r="B46">
        <v>727</v>
      </c>
      <c r="C46" t="b">
        <v>1</v>
      </c>
      <c r="D46">
        <v>8054</v>
      </c>
      <c r="E46">
        <v>8099</v>
      </c>
      <c r="F46">
        <v>19.600000000000001</v>
      </c>
      <c r="G46">
        <v>-12.8</v>
      </c>
      <c r="H46">
        <v>-1.53125</v>
      </c>
      <c r="I46">
        <v>2.53125</v>
      </c>
      <c r="J46">
        <v>-1.8823529999999999</v>
      </c>
    </row>
    <row r="47" spans="1:10" x14ac:dyDescent="0.3">
      <c r="A47">
        <v>45</v>
      </c>
      <c r="B47">
        <v>743</v>
      </c>
      <c r="C47" t="b">
        <v>1</v>
      </c>
      <c r="D47">
        <v>8048</v>
      </c>
      <c r="E47">
        <v>8093</v>
      </c>
      <c r="F47">
        <v>19.2</v>
      </c>
      <c r="G47">
        <v>-12.8</v>
      </c>
      <c r="H47">
        <v>-1.5</v>
      </c>
      <c r="I47">
        <v>2.5</v>
      </c>
      <c r="J47">
        <v>-1.9999998999999999</v>
      </c>
    </row>
    <row r="48" spans="1:10" x14ac:dyDescent="0.3">
      <c r="A48">
        <v>46</v>
      </c>
      <c r="B48">
        <v>759</v>
      </c>
      <c r="C48" t="b">
        <v>1</v>
      </c>
      <c r="D48">
        <v>8060</v>
      </c>
      <c r="E48">
        <v>8099</v>
      </c>
      <c r="F48">
        <v>18.8</v>
      </c>
      <c r="G48">
        <v>-12.8</v>
      </c>
      <c r="H48">
        <v>-1.4687498999999999</v>
      </c>
      <c r="I48">
        <v>2.4687497999999999</v>
      </c>
      <c r="J48">
        <v>-2.1333337000000001</v>
      </c>
    </row>
    <row r="49" spans="1:10" x14ac:dyDescent="0.3">
      <c r="A49">
        <v>47</v>
      </c>
      <c r="B49">
        <v>774</v>
      </c>
      <c r="C49" t="b">
        <v>1</v>
      </c>
      <c r="D49">
        <v>8054</v>
      </c>
      <c r="E49">
        <v>8099</v>
      </c>
      <c r="F49">
        <v>18.399999999999999</v>
      </c>
      <c r="G49">
        <v>-12.8</v>
      </c>
      <c r="H49">
        <v>-1.4375</v>
      </c>
      <c r="I49">
        <v>2.4375</v>
      </c>
      <c r="J49">
        <v>-2.2857145999999999</v>
      </c>
    </row>
    <row r="50" spans="1:10" x14ac:dyDescent="0.3">
      <c r="A50">
        <v>48</v>
      </c>
      <c r="B50">
        <v>790</v>
      </c>
      <c r="C50" t="b">
        <v>1</v>
      </c>
      <c r="D50">
        <v>8065</v>
      </c>
      <c r="E50">
        <v>8099</v>
      </c>
      <c r="F50">
        <v>18</v>
      </c>
      <c r="G50">
        <v>-12.8</v>
      </c>
      <c r="H50">
        <v>-1.40625</v>
      </c>
      <c r="I50">
        <v>2.40625</v>
      </c>
      <c r="J50">
        <v>-2.4615385999999999</v>
      </c>
    </row>
    <row r="51" spans="1:10" x14ac:dyDescent="0.3">
      <c r="A51">
        <v>49</v>
      </c>
      <c r="B51">
        <v>805</v>
      </c>
      <c r="C51" t="b">
        <v>1</v>
      </c>
      <c r="D51">
        <v>8065</v>
      </c>
      <c r="E51">
        <v>8099</v>
      </c>
      <c r="F51">
        <v>18</v>
      </c>
      <c r="G51">
        <v>-12.8</v>
      </c>
      <c r="H51">
        <v>-1.40625</v>
      </c>
      <c r="I51">
        <v>2.40625</v>
      </c>
      <c r="J51">
        <v>-2.4615385999999999</v>
      </c>
    </row>
    <row r="52" spans="1:10" x14ac:dyDescent="0.3">
      <c r="A52">
        <v>50</v>
      </c>
      <c r="B52">
        <v>821</v>
      </c>
      <c r="C52" t="b">
        <v>1</v>
      </c>
      <c r="D52">
        <v>8054</v>
      </c>
      <c r="E52">
        <v>8099</v>
      </c>
      <c r="F52">
        <v>18</v>
      </c>
      <c r="G52">
        <v>-12.8</v>
      </c>
      <c r="H52">
        <v>-1.40625</v>
      </c>
      <c r="I52">
        <v>2.40625</v>
      </c>
      <c r="J52">
        <v>-2.4615385999999999</v>
      </c>
    </row>
    <row r="53" spans="1:10" x14ac:dyDescent="0.3">
      <c r="A53">
        <v>51</v>
      </c>
      <c r="B53">
        <v>837</v>
      </c>
      <c r="C53" t="b">
        <v>1</v>
      </c>
      <c r="D53">
        <v>8065</v>
      </c>
      <c r="E53">
        <v>8099</v>
      </c>
      <c r="F53">
        <v>18.333334000000001</v>
      </c>
      <c r="G53">
        <v>-13.2</v>
      </c>
      <c r="H53">
        <v>-1.388889</v>
      </c>
      <c r="I53">
        <v>2.3888888000000001</v>
      </c>
      <c r="J53">
        <v>-2.571428</v>
      </c>
    </row>
    <row r="54" spans="1:10" x14ac:dyDescent="0.3">
      <c r="A54">
        <v>52</v>
      </c>
      <c r="B54">
        <v>852</v>
      </c>
      <c r="C54" t="b">
        <v>1</v>
      </c>
      <c r="D54">
        <v>8060</v>
      </c>
      <c r="E54">
        <v>8105</v>
      </c>
      <c r="F54">
        <v>18.666665999999999</v>
      </c>
      <c r="G54">
        <v>-13.6</v>
      </c>
      <c r="H54">
        <v>-1.3725489</v>
      </c>
      <c r="I54">
        <v>2.3725488000000001</v>
      </c>
      <c r="J54">
        <v>-2.6842112999999999</v>
      </c>
    </row>
    <row r="55" spans="1:10" x14ac:dyDescent="0.3">
      <c r="A55">
        <v>53</v>
      </c>
      <c r="B55">
        <v>868</v>
      </c>
      <c r="C55" t="b">
        <v>1</v>
      </c>
      <c r="D55">
        <v>8060</v>
      </c>
      <c r="E55">
        <v>8105</v>
      </c>
      <c r="F55">
        <v>18.666665999999999</v>
      </c>
      <c r="G55">
        <v>-13.6</v>
      </c>
      <c r="H55">
        <v>-1.3725489</v>
      </c>
      <c r="I55">
        <v>2.3725488000000001</v>
      </c>
      <c r="J55">
        <v>-2.6842112999999999</v>
      </c>
    </row>
    <row r="56" spans="1:10" x14ac:dyDescent="0.3">
      <c r="A56">
        <v>54</v>
      </c>
      <c r="B56">
        <v>884</v>
      </c>
      <c r="C56" t="b">
        <v>1</v>
      </c>
      <c r="D56">
        <v>8060</v>
      </c>
      <c r="E56">
        <v>8105</v>
      </c>
      <c r="F56">
        <v>18.666665999999999</v>
      </c>
      <c r="G56">
        <v>-13.6</v>
      </c>
      <c r="H56">
        <v>-1.3725489</v>
      </c>
      <c r="I56">
        <v>2.3725488000000001</v>
      </c>
      <c r="J56">
        <v>-2.6842112999999999</v>
      </c>
    </row>
    <row r="57" spans="1:10" x14ac:dyDescent="0.3">
      <c r="A57">
        <v>55</v>
      </c>
      <c r="B57">
        <v>899</v>
      </c>
      <c r="C57" t="b">
        <v>1</v>
      </c>
      <c r="D57">
        <v>8065</v>
      </c>
      <c r="E57">
        <v>8105</v>
      </c>
      <c r="F57">
        <v>18.666665999999999</v>
      </c>
      <c r="G57">
        <v>-13.6</v>
      </c>
      <c r="H57">
        <v>-1.3725489</v>
      </c>
      <c r="I57">
        <v>2.3725488000000001</v>
      </c>
      <c r="J57">
        <v>-2.6842112999999999</v>
      </c>
    </row>
    <row r="58" spans="1:10" x14ac:dyDescent="0.3">
      <c r="A58">
        <v>56</v>
      </c>
      <c r="B58">
        <v>915</v>
      </c>
      <c r="C58" t="b">
        <v>1</v>
      </c>
      <c r="D58">
        <v>8054</v>
      </c>
      <c r="E58">
        <v>8099</v>
      </c>
      <c r="F58">
        <v>18.666665999999999</v>
      </c>
      <c r="G58">
        <v>-13.6</v>
      </c>
      <c r="H58">
        <v>-1.3725489</v>
      </c>
      <c r="I58">
        <v>2.3725488000000001</v>
      </c>
      <c r="J58">
        <v>-2.6842112999999999</v>
      </c>
    </row>
    <row r="59" spans="1:10" x14ac:dyDescent="0.3">
      <c r="A59">
        <v>57</v>
      </c>
      <c r="B59">
        <v>931</v>
      </c>
      <c r="C59" t="b">
        <v>1</v>
      </c>
      <c r="D59">
        <v>8060</v>
      </c>
      <c r="E59">
        <v>8099</v>
      </c>
      <c r="F59">
        <v>18.666665999999999</v>
      </c>
      <c r="G59">
        <v>-13.6</v>
      </c>
      <c r="H59">
        <v>-1.3725489</v>
      </c>
      <c r="I59">
        <v>2.3725488000000001</v>
      </c>
      <c r="J59">
        <v>-2.6842112999999999</v>
      </c>
    </row>
    <row r="60" spans="1:10" x14ac:dyDescent="0.3">
      <c r="A60">
        <v>58</v>
      </c>
      <c r="B60">
        <v>946</v>
      </c>
      <c r="C60" t="b">
        <v>1</v>
      </c>
      <c r="D60">
        <v>8054</v>
      </c>
      <c r="E60">
        <v>8105</v>
      </c>
      <c r="F60">
        <v>18.666665999999999</v>
      </c>
      <c r="G60">
        <v>-13.6</v>
      </c>
      <c r="H60">
        <v>-1.3725489</v>
      </c>
      <c r="I60">
        <v>2.3725488000000001</v>
      </c>
      <c r="J60">
        <v>-2.6842112999999999</v>
      </c>
    </row>
    <row r="61" spans="1:10" x14ac:dyDescent="0.3">
      <c r="A61">
        <v>59</v>
      </c>
      <c r="B61">
        <v>962</v>
      </c>
      <c r="C61" t="b">
        <v>1</v>
      </c>
      <c r="D61">
        <v>8054</v>
      </c>
      <c r="E61">
        <v>8111</v>
      </c>
      <c r="F61">
        <v>18.666665999999999</v>
      </c>
      <c r="G61">
        <v>-13.6</v>
      </c>
      <c r="H61">
        <v>-1.3725489</v>
      </c>
      <c r="I61">
        <v>2.3725488000000001</v>
      </c>
      <c r="J61">
        <v>-2.6842112999999999</v>
      </c>
    </row>
    <row r="62" spans="1:10" x14ac:dyDescent="0.3">
      <c r="A62">
        <v>60</v>
      </c>
      <c r="B62">
        <v>978</v>
      </c>
      <c r="C62" t="b">
        <v>1</v>
      </c>
      <c r="D62">
        <v>8048</v>
      </c>
      <c r="E62">
        <v>8111</v>
      </c>
      <c r="F62">
        <v>18.666665999999999</v>
      </c>
      <c r="G62">
        <v>-13.2</v>
      </c>
      <c r="H62">
        <v>-1.4141414000000001</v>
      </c>
      <c r="I62">
        <v>2.4141414000000001</v>
      </c>
      <c r="J62">
        <v>-2.4146342000000001</v>
      </c>
    </row>
    <row r="63" spans="1:10" x14ac:dyDescent="0.3">
      <c r="A63">
        <v>61</v>
      </c>
      <c r="B63">
        <v>994</v>
      </c>
      <c r="C63" t="b">
        <v>1</v>
      </c>
      <c r="D63">
        <v>8054</v>
      </c>
      <c r="E63">
        <v>8111</v>
      </c>
      <c r="F63">
        <v>18.666665999999999</v>
      </c>
      <c r="G63">
        <v>-12.4</v>
      </c>
      <c r="H63">
        <v>-1.5053763</v>
      </c>
      <c r="I63">
        <v>2.5053763</v>
      </c>
      <c r="J63">
        <v>-1.9787234</v>
      </c>
    </row>
    <row r="64" spans="1:10" x14ac:dyDescent="0.3">
      <c r="A64">
        <v>62</v>
      </c>
      <c r="B64">
        <v>1010</v>
      </c>
      <c r="C64" t="b">
        <v>1</v>
      </c>
      <c r="D64">
        <v>8060</v>
      </c>
      <c r="E64">
        <v>8111</v>
      </c>
      <c r="F64">
        <v>18.666665999999999</v>
      </c>
      <c r="G64">
        <v>-11.6</v>
      </c>
      <c r="H64">
        <v>-1.6091953999999999</v>
      </c>
      <c r="I64">
        <v>2.6091951999999998</v>
      </c>
      <c r="J64">
        <v>-1.6415097999999999</v>
      </c>
    </row>
    <row r="65" spans="1:10" x14ac:dyDescent="0.3">
      <c r="A65">
        <v>63</v>
      </c>
      <c r="B65">
        <v>1026</v>
      </c>
      <c r="C65" t="b">
        <v>1</v>
      </c>
      <c r="D65">
        <v>8054</v>
      </c>
      <c r="E65">
        <v>8111</v>
      </c>
      <c r="F65">
        <v>18.666665999999999</v>
      </c>
      <c r="G65">
        <v>-10.8</v>
      </c>
      <c r="H65">
        <v>-1.7283949999999999</v>
      </c>
      <c r="I65">
        <v>2.7283949999999999</v>
      </c>
      <c r="J65">
        <v>-1.3728815000000001</v>
      </c>
    </row>
    <row r="66" spans="1:10" x14ac:dyDescent="0.3">
      <c r="A66">
        <v>64</v>
      </c>
      <c r="B66">
        <v>1041</v>
      </c>
      <c r="C66" t="b">
        <v>1</v>
      </c>
      <c r="D66">
        <v>8054</v>
      </c>
      <c r="E66">
        <v>8123</v>
      </c>
      <c r="F66">
        <v>18.266666000000001</v>
      </c>
      <c r="G66">
        <v>-10</v>
      </c>
      <c r="H66">
        <v>-1.8266666</v>
      </c>
      <c r="I66">
        <v>2.8266665999999998</v>
      </c>
      <c r="J66">
        <v>-1.2096775</v>
      </c>
    </row>
    <row r="67" spans="1:10" x14ac:dyDescent="0.3">
      <c r="A67">
        <v>65</v>
      </c>
      <c r="B67">
        <v>1058</v>
      </c>
      <c r="C67" t="b">
        <v>1</v>
      </c>
      <c r="D67">
        <v>8060</v>
      </c>
      <c r="E67">
        <v>8105</v>
      </c>
      <c r="F67">
        <v>17.866667</v>
      </c>
      <c r="G67">
        <v>-9.1999999999999993</v>
      </c>
      <c r="H67">
        <v>-1.942029</v>
      </c>
      <c r="I67">
        <v>2.9420289999999998</v>
      </c>
      <c r="J67">
        <v>-1.0615384999999999</v>
      </c>
    </row>
    <row r="68" spans="1:10" x14ac:dyDescent="0.3">
      <c r="A68">
        <v>66</v>
      </c>
      <c r="B68">
        <v>1073</v>
      </c>
      <c r="C68" t="b">
        <v>1</v>
      </c>
      <c r="D68">
        <v>8060</v>
      </c>
      <c r="E68">
        <v>8111</v>
      </c>
      <c r="F68">
        <v>17.533332999999999</v>
      </c>
      <c r="G68">
        <v>-8.4</v>
      </c>
      <c r="H68">
        <v>-2.0873016999999998</v>
      </c>
      <c r="I68">
        <v>3.0873016999999998</v>
      </c>
      <c r="J68">
        <v>-0.91970799999999997</v>
      </c>
    </row>
    <row r="69" spans="1:10" x14ac:dyDescent="0.3">
      <c r="A69">
        <v>67</v>
      </c>
      <c r="B69">
        <v>1088</v>
      </c>
      <c r="C69" t="b">
        <v>1</v>
      </c>
      <c r="D69">
        <v>8065</v>
      </c>
      <c r="E69">
        <v>8111</v>
      </c>
      <c r="F69">
        <v>17.2</v>
      </c>
      <c r="G69">
        <v>-7.6</v>
      </c>
      <c r="H69">
        <v>-2.2631579999999998</v>
      </c>
      <c r="I69">
        <v>3.2631579999999998</v>
      </c>
      <c r="J69">
        <v>-0.7916666</v>
      </c>
    </row>
    <row r="70" spans="1:10" x14ac:dyDescent="0.3">
      <c r="A70">
        <v>68</v>
      </c>
      <c r="B70">
        <v>1104</v>
      </c>
      <c r="C70" t="b">
        <v>1</v>
      </c>
      <c r="D70">
        <v>8060</v>
      </c>
      <c r="E70">
        <v>8111</v>
      </c>
      <c r="F70">
        <v>17.2</v>
      </c>
      <c r="G70">
        <v>-6.8</v>
      </c>
      <c r="H70">
        <v>-2.5294118000000001</v>
      </c>
      <c r="I70">
        <v>3.5294116</v>
      </c>
      <c r="J70">
        <v>-0.65384613999999996</v>
      </c>
    </row>
    <row r="71" spans="1:10" x14ac:dyDescent="0.3">
      <c r="A71">
        <v>69</v>
      </c>
      <c r="B71">
        <v>1120</v>
      </c>
      <c r="C71" t="b">
        <v>1</v>
      </c>
      <c r="D71">
        <v>8065</v>
      </c>
      <c r="E71">
        <v>8105</v>
      </c>
      <c r="F71">
        <v>17.2</v>
      </c>
      <c r="G71">
        <v>-6.4</v>
      </c>
      <c r="H71">
        <v>-2.6875</v>
      </c>
      <c r="I71">
        <v>3.6875</v>
      </c>
      <c r="J71">
        <v>-0.59259253999999995</v>
      </c>
    </row>
    <row r="72" spans="1:10" x14ac:dyDescent="0.3">
      <c r="A72">
        <v>70</v>
      </c>
      <c r="B72">
        <v>1136</v>
      </c>
      <c r="C72" t="b">
        <v>1</v>
      </c>
      <c r="D72">
        <v>8060</v>
      </c>
      <c r="E72">
        <v>8111</v>
      </c>
      <c r="F72">
        <v>17.2</v>
      </c>
      <c r="G72">
        <v>-6</v>
      </c>
      <c r="H72">
        <v>-2.8666668</v>
      </c>
      <c r="I72">
        <v>3.8666668</v>
      </c>
      <c r="J72">
        <v>-0.53571427000000005</v>
      </c>
    </row>
    <row r="73" spans="1:10" x14ac:dyDescent="0.3">
      <c r="A73">
        <v>71</v>
      </c>
      <c r="B73">
        <v>1152</v>
      </c>
      <c r="C73" t="b">
        <v>1</v>
      </c>
      <c r="D73">
        <v>8060</v>
      </c>
      <c r="E73">
        <v>8105</v>
      </c>
      <c r="F73">
        <v>17.2</v>
      </c>
      <c r="G73">
        <v>-5.6</v>
      </c>
      <c r="H73">
        <v>-3.0714288000000001</v>
      </c>
      <c r="I73">
        <v>4.0714290000000002</v>
      </c>
      <c r="J73">
        <v>-0.48275859999999998</v>
      </c>
    </row>
    <row r="74" spans="1:10" x14ac:dyDescent="0.3">
      <c r="A74">
        <v>72</v>
      </c>
      <c r="B74">
        <v>1183</v>
      </c>
      <c r="C74" t="b">
        <v>1</v>
      </c>
      <c r="D74">
        <v>8065</v>
      </c>
      <c r="E74">
        <v>8111</v>
      </c>
      <c r="F74">
        <v>17.2</v>
      </c>
      <c r="G74">
        <v>-5.2</v>
      </c>
      <c r="H74">
        <v>-3.3076924999999999</v>
      </c>
      <c r="I74">
        <v>4.3076924999999999</v>
      </c>
      <c r="J74">
        <v>-0.43333327999999999</v>
      </c>
    </row>
    <row r="75" spans="1:10" x14ac:dyDescent="0.3">
      <c r="A75">
        <v>73</v>
      </c>
      <c r="B75">
        <v>1199</v>
      </c>
      <c r="C75" t="b">
        <v>1</v>
      </c>
      <c r="D75">
        <v>8054</v>
      </c>
      <c r="E75">
        <v>8111</v>
      </c>
      <c r="F75">
        <v>17.2</v>
      </c>
      <c r="G75">
        <v>-4.8</v>
      </c>
      <c r="H75">
        <v>-3.5833333000000001</v>
      </c>
      <c r="I75">
        <v>4.5833329999999997</v>
      </c>
      <c r="J75">
        <v>-0.38709675999999998</v>
      </c>
    </row>
    <row r="76" spans="1:10" x14ac:dyDescent="0.3">
      <c r="A76">
        <v>74</v>
      </c>
      <c r="B76">
        <v>1215</v>
      </c>
      <c r="C76" t="b">
        <v>1</v>
      </c>
      <c r="D76">
        <v>8060</v>
      </c>
      <c r="E76">
        <v>8111</v>
      </c>
      <c r="F76">
        <v>17.600000000000001</v>
      </c>
      <c r="G76">
        <v>-4.4000000000000004</v>
      </c>
      <c r="H76">
        <v>-4</v>
      </c>
      <c r="I76">
        <v>5</v>
      </c>
      <c r="J76">
        <v>-0.3333333</v>
      </c>
    </row>
    <row r="77" spans="1:10" x14ac:dyDescent="0.3">
      <c r="A77">
        <v>75</v>
      </c>
      <c r="B77">
        <v>1231</v>
      </c>
      <c r="C77" t="b">
        <v>1</v>
      </c>
      <c r="D77">
        <v>8065</v>
      </c>
      <c r="E77">
        <v>8105</v>
      </c>
      <c r="F77">
        <v>18</v>
      </c>
      <c r="G77">
        <v>-4</v>
      </c>
      <c r="H77">
        <v>-4.5</v>
      </c>
      <c r="I77">
        <v>5.5</v>
      </c>
      <c r="J77">
        <v>-0.28571429999999998</v>
      </c>
    </row>
    <row r="78" spans="1:10" x14ac:dyDescent="0.3">
      <c r="A78">
        <v>76</v>
      </c>
      <c r="B78">
        <v>1247</v>
      </c>
      <c r="C78" t="b">
        <v>1</v>
      </c>
      <c r="D78">
        <v>8060</v>
      </c>
      <c r="E78">
        <v>8105</v>
      </c>
      <c r="F78">
        <v>18.399999999999999</v>
      </c>
      <c r="G78">
        <v>-4</v>
      </c>
      <c r="H78">
        <v>-4.5999999999999996</v>
      </c>
      <c r="I78">
        <v>5.6</v>
      </c>
      <c r="J78">
        <v>-0.27777780000000002</v>
      </c>
    </row>
    <row r="79" spans="1:10" x14ac:dyDescent="0.3">
      <c r="A79">
        <v>77</v>
      </c>
      <c r="B79">
        <v>1263</v>
      </c>
      <c r="C79" t="b">
        <v>1</v>
      </c>
      <c r="D79">
        <v>8054</v>
      </c>
      <c r="E79">
        <v>8099</v>
      </c>
      <c r="F79">
        <v>18.8</v>
      </c>
      <c r="G79">
        <v>-4.4000000000000004</v>
      </c>
      <c r="H79">
        <v>-4.2727269999999997</v>
      </c>
      <c r="I79">
        <v>5.2727269999999997</v>
      </c>
      <c r="J79">
        <v>-0.30555557999999999</v>
      </c>
    </row>
    <row r="80" spans="1:10" x14ac:dyDescent="0.3">
      <c r="A80">
        <v>78</v>
      </c>
      <c r="B80">
        <v>1279</v>
      </c>
      <c r="C80" t="b">
        <v>1</v>
      </c>
      <c r="D80">
        <v>8060</v>
      </c>
      <c r="E80">
        <v>8099</v>
      </c>
      <c r="F80">
        <v>19.2</v>
      </c>
      <c r="G80">
        <v>-4.8</v>
      </c>
      <c r="H80">
        <v>-4</v>
      </c>
      <c r="I80">
        <v>5</v>
      </c>
      <c r="J80">
        <v>-0.33333333999999998</v>
      </c>
    </row>
    <row r="81" spans="1:10" x14ac:dyDescent="0.3">
      <c r="A81">
        <v>79</v>
      </c>
      <c r="B81">
        <v>1294</v>
      </c>
      <c r="C81" t="b">
        <v>1</v>
      </c>
      <c r="D81">
        <v>8065</v>
      </c>
      <c r="E81">
        <v>8099</v>
      </c>
      <c r="F81">
        <v>19.600000000000001</v>
      </c>
      <c r="G81">
        <v>-5.6</v>
      </c>
      <c r="H81">
        <v>-3.5000002000000001</v>
      </c>
      <c r="I81">
        <v>4.5</v>
      </c>
      <c r="J81">
        <v>-0.4</v>
      </c>
    </row>
    <row r="82" spans="1:10" x14ac:dyDescent="0.3">
      <c r="A82">
        <v>80</v>
      </c>
      <c r="B82">
        <v>1310</v>
      </c>
      <c r="C82" t="b">
        <v>1</v>
      </c>
      <c r="D82">
        <v>8060</v>
      </c>
      <c r="E82">
        <v>8105</v>
      </c>
      <c r="F82">
        <v>20</v>
      </c>
      <c r="G82">
        <v>-6.4</v>
      </c>
      <c r="H82">
        <v>-3.125</v>
      </c>
      <c r="I82">
        <v>4.125</v>
      </c>
      <c r="J82">
        <v>-0.47058823999999999</v>
      </c>
    </row>
    <row r="83" spans="1:10" x14ac:dyDescent="0.3">
      <c r="A83">
        <v>81</v>
      </c>
      <c r="B83">
        <v>1326</v>
      </c>
      <c r="C83" t="b">
        <v>1</v>
      </c>
      <c r="D83">
        <v>8065</v>
      </c>
      <c r="E83">
        <v>8099</v>
      </c>
      <c r="F83">
        <v>20</v>
      </c>
      <c r="G83">
        <v>-7.2</v>
      </c>
      <c r="H83">
        <v>-2.7777780000000001</v>
      </c>
      <c r="I83">
        <v>3.7777780000000001</v>
      </c>
      <c r="J83">
        <v>-0.5625</v>
      </c>
    </row>
    <row r="84" spans="1:10" x14ac:dyDescent="0.3">
      <c r="A84">
        <v>82</v>
      </c>
      <c r="B84">
        <v>1342</v>
      </c>
      <c r="C84" t="b">
        <v>1</v>
      </c>
      <c r="D84">
        <v>8054</v>
      </c>
      <c r="E84">
        <v>8105</v>
      </c>
      <c r="F84">
        <v>20</v>
      </c>
      <c r="G84">
        <v>-8</v>
      </c>
      <c r="H84">
        <v>-2.5</v>
      </c>
      <c r="I84">
        <v>3.5</v>
      </c>
      <c r="J84">
        <v>-0.66666669999999995</v>
      </c>
    </row>
    <row r="85" spans="1:10" x14ac:dyDescent="0.3">
      <c r="A85">
        <v>83</v>
      </c>
      <c r="B85">
        <v>1358</v>
      </c>
      <c r="C85" t="b">
        <v>1</v>
      </c>
      <c r="D85">
        <v>8048</v>
      </c>
      <c r="E85">
        <v>8105</v>
      </c>
      <c r="F85">
        <v>20</v>
      </c>
      <c r="G85">
        <v>-8.4</v>
      </c>
      <c r="H85">
        <v>-2.3809526000000001</v>
      </c>
      <c r="I85">
        <v>3.3809526000000001</v>
      </c>
      <c r="J85">
        <v>-0.7241379</v>
      </c>
    </row>
    <row r="86" spans="1:10" x14ac:dyDescent="0.3">
      <c r="A86">
        <v>84</v>
      </c>
      <c r="B86">
        <v>1374</v>
      </c>
      <c r="C86" t="b">
        <v>1</v>
      </c>
      <c r="D86">
        <v>8054</v>
      </c>
      <c r="E86">
        <v>8105</v>
      </c>
      <c r="F86">
        <v>19.600000000000001</v>
      </c>
      <c r="G86">
        <v>-8.8000000000000007</v>
      </c>
      <c r="H86">
        <v>-2.2272726999999999</v>
      </c>
      <c r="I86">
        <v>3.2272726999999999</v>
      </c>
      <c r="J86">
        <v>-0.81481479999999995</v>
      </c>
    </row>
    <row r="87" spans="1:10" x14ac:dyDescent="0.3">
      <c r="A87">
        <v>85</v>
      </c>
      <c r="B87">
        <v>1390</v>
      </c>
      <c r="C87" t="b">
        <v>1</v>
      </c>
      <c r="D87">
        <v>8060</v>
      </c>
      <c r="E87">
        <v>8105</v>
      </c>
      <c r="F87">
        <v>19.2</v>
      </c>
      <c r="G87">
        <v>-9.1999999999999993</v>
      </c>
      <c r="H87">
        <v>-2.0869567</v>
      </c>
      <c r="I87">
        <v>3.0869567</v>
      </c>
      <c r="J87">
        <v>-0.91999989999999998</v>
      </c>
    </row>
    <row r="88" spans="1:10" x14ac:dyDescent="0.3">
      <c r="A88">
        <v>86</v>
      </c>
      <c r="B88">
        <v>1405</v>
      </c>
      <c r="C88" t="b">
        <v>1</v>
      </c>
      <c r="D88">
        <v>8048</v>
      </c>
      <c r="E88">
        <v>8111</v>
      </c>
      <c r="F88">
        <v>18.8</v>
      </c>
      <c r="G88">
        <v>-9.6</v>
      </c>
      <c r="H88">
        <v>-1.9583330999999999</v>
      </c>
      <c r="I88">
        <v>2.9583333000000001</v>
      </c>
      <c r="J88">
        <v>-1.0434785</v>
      </c>
    </row>
    <row r="89" spans="1:10" x14ac:dyDescent="0.3">
      <c r="A89">
        <v>87</v>
      </c>
      <c r="B89">
        <v>1421</v>
      </c>
      <c r="C89" t="b">
        <v>1</v>
      </c>
      <c r="D89">
        <v>8060</v>
      </c>
      <c r="E89">
        <v>8105</v>
      </c>
      <c r="F89">
        <v>18.399999999999999</v>
      </c>
      <c r="G89">
        <v>-10</v>
      </c>
      <c r="H89">
        <v>-1.8399999</v>
      </c>
      <c r="I89">
        <v>2.84</v>
      </c>
      <c r="J89">
        <v>-1.1904763</v>
      </c>
    </row>
    <row r="90" spans="1:10" x14ac:dyDescent="0.3">
      <c r="A90">
        <v>88</v>
      </c>
      <c r="B90">
        <v>1437</v>
      </c>
      <c r="C90" t="b">
        <v>1</v>
      </c>
      <c r="D90">
        <v>8054</v>
      </c>
      <c r="E90">
        <v>8093</v>
      </c>
      <c r="F90">
        <v>18</v>
      </c>
      <c r="G90">
        <v>-10.4</v>
      </c>
      <c r="H90">
        <v>-1.7307693</v>
      </c>
      <c r="I90">
        <v>2.7307693999999998</v>
      </c>
      <c r="J90">
        <v>-1.3684210000000001</v>
      </c>
    </row>
    <row r="91" spans="1:10" x14ac:dyDescent="0.3">
      <c r="A91">
        <v>89</v>
      </c>
      <c r="B91">
        <v>1453</v>
      </c>
      <c r="C91" t="b">
        <v>1</v>
      </c>
      <c r="D91">
        <v>8054</v>
      </c>
      <c r="E91">
        <v>8099</v>
      </c>
      <c r="F91">
        <v>17.600000000000001</v>
      </c>
      <c r="G91">
        <v>-10.8</v>
      </c>
      <c r="H91">
        <v>-1.6296295999999999</v>
      </c>
      <c r="I91">
        <v>2.6296295999999999</v>
      </c>
      <c r="J91">
        <v>-1.5882353</v>
      </c>
    </row>
    <row r="92" spans="1:10" x14ac:dyDescent="0.3">
      <c r="A92">
        <v>90</v>
      </c>
      <c r="B92">
        <v>1469</v>
      </c>
      <c r="C92" t="b">
        <v>1</v>
      </c>
      <c r="D92">
        <v>8048</v>
      </c>
      <c r="E92">
        <v>8099</v>
      </c>
      <c r="F92">
        <v>17.2</v>
      </c>
      <c r="G92">
        <v>-11.6</v>
      </c>
      <c r="H92">
        <v>-1.4827585999999999</v>
      </c>
      <c r="I92">
        <v>2.4827585000000001</v>
      </c>
      <c r="J92">
        <v>-2.0714285000000001</v>
      </c>
    </row>
    <row r="93" spans="1:10" x14ac:dyDescent="0.3">
      <c r="A93">
        <v>91</v>
      </c>
      <c r="B93">
        <v>1485</v>
      </c>
      <c r="C93" t="b">
        <v>1</v>
      </c>
      <c r="D93">
        <v>8054</v>
      </c>
      <c r="E93">
        <v>8099</v>
      </c>
      <c r="F93">
        <v>16.8</v>
      </c>
      <c r="G93">
        <v>-12.4</v>
      </c>
      <c r="H93">
        <v>-1.3548387</v>
      </c>
      <c r="I93">
        <v>2.3548385999999999</v>
      </c>
      <c r="J93">
        <v>-2.8181820000000002</v>
      </c>
    </row>
    <row r="94" spans="1:10" x14ac:dyDescent="0.3">
      <c r="A94">
        <v>92</v>
      </c>
      <c r="B94">
        <v>1501</v>
      </c>
      <c r="C94" t="b">
        <v>1</v>
      </c>
      <c r="D94">
        <v>8060</v>
      </c>
      <c r="E94">
        <v>8105</v>
      </c>
      <c r="F94">
        <v>16.399999999999999</v>
      </c>
      <c r="G94">
        <v>-12.8</v>
      </c>
      <c r="H94">
        <v>-1.28125</v>
      </c>
      <c r="I94">
        <v>2.28125</v>
      </c>
      <c r="J94">
        <v>-3.5555560000000002</v>
      </c>
    </row>
    <row r="95" spans="1:10" x14ac:dyDescent="0.3">
      <c r="A95">
        <v>93</v>
      </c>
      <c r="B95">
        <v>1516</v>
      </c>
      <c r="C95" t="b">
        <v>1</v>
      </c>
      <c r="D95">
        <v>8060</v>
      </c>
      <c r="E95">
        <v>8111</v>
      </c>
      <c r="F95">
        <v>16</v>
      </c>
      <c r="G95">
        <v>-13.2</v>
      </c>
      <c r="H95">
        <v>-1.2121211999999999</v>
      </c>
      <c r="I95">
        <v>2.2121211999999999</v>
      </c>
      <c r="J95">
        <v>-4.7142853999999996</v>
      </c>
    </row>
    <row r="96" spans="1:10" x14ac:dyDescent="0.3">
      <c r="A96">
        <v>94</v>
      </c>
      <c r="B96">
        <v>1548</v>
      </c>
      <c r="C96" t="b">
        <v>1</v>
      </c>
      <c r="D96">
        <v>8054</v>
      </c>
      <c r="E96">
        <v>8099</v>
      </c>
      <c r="F96">
        <v>15.6</v>
      </c>
      <c r="G96">
        <v>-13.2</v>
      </c>
      <c r="H96">
        <v>-1.1818181999999999</v>
      </c>
      <c r="I96">
        <v>2.1818181999999999</v>
      </c>
      <c r="J96">
        <v>-5.4999985999999996</v>
      </c>
    </row>
    <row r="97" spans="1:10" x14ac:dyDescent="0.3">
      <c r="A97">
        <v>95</v>
      </c>
      <c r="B97">
        <v>1564</v>
      </c>
      <c r="C97" t="b">
        <v>1</v>
      </c>
      <c r="D97">
        <v>8065</v>
      </c>
      <c r="E97">
        <v>8099</v>
      </c>
      <c r="F97">
        <v>15.6</v>
      </c>
      <c r="G97">
        <v>-13.2</v>
      </c>
      <c r="H97">
        <v>-1.1818181999999999</v>
      </c>
      <c r="I97">
        <v>2.1818181999999999</v>
      </c>
      <c r="J97">
        <v>-5.4999985999999996</v>
      </c>
    </row>
    <row r="98" spans="1:10" x14ac:dyDescent="0.3">
      <c r="A98">
        <v>96</v>
      </c>
      <c r="B98">
        <v>1596</v>
      </c>
      <c r="C98" t="b">
        <v>1</v>
      </c>
      <c r="D98">
        <v>8060</v>
      </c>
      <c r="E98">
        <v>8093</v>
      </c>
      <c r="F98">
        <v>15.6</v>
      </c>
      <c r="G98">
        <v>-13.2</v>
      </c>
      <c r="H98">
        <v>-1.1818181999999999</v>
      </c>
      <c r="I98">
        <v>2.1818181999999999</v>
      </c>
      <c r="J98">
        <v>-5.4999985999999996</v>
      </c>
    </row>
    <row r="99" spans="1:10" x14ac:dyDescent="0.3">
      <c r="A99">
        <v>97</v>
      </c>
      <c r="B99">
        <v>1612</v>
      </c>
      <c r="C99" t="b">
        <v>1</v>
      </c>
      <c r="D99">
        <v>8065</v>
      </c>
      <c r="E99">
        <v>8105</v>
      </c>
      <c r="F99">
        <v>15.6</v>
      </c>
      <c r="G99">
        <v>-13.2</v>
      </c>
      <c r="H99">
        <v>-1.1818181999999999</v>
      </c>
      <c r="I99">
        <v>2.1818181999999999</v>
      </c>
      <c r="J99">
        <v>-5.4999985999999996</v>
      </c>
    </row>
    <row r="100" spans="1:10" x14ac:dyDescent="0.3">
      <c r="A100">
        <v>98</v>
      </c>
      <c r="B100">
        <v>1628</v>
      </c>
      <c r="C100" t="b">
        <v>1</v>
      </c>
      <c r="D100">
        <v>8060</v>
      </c>
      <c r="E100">
        <v>8099</v>
      </c>
      <c r="F100">
        <v>15.6</v>
      </c>
      <c r="G100">
        <v>-13.6</v>
      </c>
      <c r="H100">
        <v>-1.1470587999999999</v>
      </c>
      <c r="I100">
        <v>2.1470587000000001</v>
      </c>
      <c r="J100">
        <v>-6.8</v>
      </c>
    </row>
    <row r="101" spans="1:10" x14ac:dyDescent="0.3">
      <c r="A101">
        <v>99</v>
      </c>
      <c r="B101">
        <v>1644</v>
      </c>
      <c r="C101" t="b">
        <v>1</v>
      </c>
      <c r="D101">
        <v>8065</v>
      </c>
      <c r="E101">
        <v>8093</v>
      </c>
      <c r="F101">
        <v>16.333334000000001</v>
      </c>
      <c r="G101">
        <v>-14</v>
      </c>
      <c r="H101">
        <v>-1.1666666999999999</v>
      </c>
      <c r="I101">
        <v>2.1666666999999999</v>
      </c>
      <c r="J101">
        <v>-5.9999985999999996</v>
      </c>
    </row>
    <row r="102" spans="1:10" x14ac:dyDescent="0.3">
      <c r="A102">
        <v>100</v>
      </c>
      <c r="B102">
        <v>1659</v>
      </c>
      <c r="C102" t="b">
        <v>1</v>
      </c>
      <c r="D102">
        <v>8071</v>
      </c>
      <c r="E102">
        <v>8105</v>
      </c>
      <c r="F102">
        <v>17.066668</v>
      </c>
      <c r="G102">
        <v>-14.4</v>
      </c>
      <c r="H102">
        <v>-1.1851853000000001</v>
      </c>
      <c r="I102">
        <v>2.1851851999999998</v>
      </c>
      <c r="J102">
        <v>-5.3999969999999999</v>
      </c>
    </row>
    <row r="103" spans="1:10" x14ac:dyDescent="0.3">
      <c r="A103">
        <v>101</v>
      </c>
      <c r="B103">
        <v>1675</v>
      </c>
      <c r="C103" t="b">
        <v>1</v>
      </c>
      <c r="D103">
        <v>8071</v>
      </c>
      <c r="E103">
        <v>8093</v>
      </c>
      <c r="F103">
        <v>17.8</v>
      </c>
      <c r="G103">
        <v>-14.8</v>
      </c>
      <c r="H103">
        <v>-1.2027026000000001</v>
      </c>
      <c r="I103">
        <v>2.2027025</v>
      </c>
      <c r="J103">
        <v>-4.9333349999999996</v>
      </c>
    </row>
    <row r="104" spans="1:10" x14ac:dyDescent="0.3">
      <c r="A104">
        <v>102</v>
      </c>
      <c r="B104">
        <v>1691</v>
      </c>
      <c r="C104" t="b">
        <v>1</v>
      </c>
      <c r="D104">
        <v>8065</v>
      </c>
      <c r="E104">
        <v>8099</v>
      </c>
      <c r="F104">
        <v>18.533332999999999</v>
      </c>
      <c r="G104">
        <v>-15.2</v>
      </c>
      <c r="H104">
        <v>-1.2192982000000001</v>
      </c>
      <c r="I104">
        <v>2.2192984</v>
      </c>
      <c r="J104">
        <v>-4.5600003999999998</v>
      </c>
    </row>
    <row r="105" spans="1:10" x14ac:dyDescent="0.3">
      <c r="A105">
        <v>103</v>
      </c>
      <c r="B105">
        <v>1707</v>
      </c>
      <c r="C105" t="b">
        <v>1</v>
      </c>
      <c r="D105">
        <v>8065</v>
      </c>
      <c r="E105">
        <v>8105</v>
      </c>
      <c r="F105">
        <v>19.266666000000001</v>
      </c>
      <c r="G105">
        <v>-15.6</v>
      </c>
      <c r="H105">
        <v>-1.2350426999999999</v>
      </c>
      <c r="I105">
        <v>2.2350428</v>
      </c>
      <c r="J105">
        <v>-4.2545460000000004</v>
      </c>
    </row>
    <row r="106" spans="1:10" x14ac:dyDescent="0.3">
      <c r="A106">
        <v>104</v>
      </c>
      <c r="B106">
        <v>1722</v>
      </c>
      <c r="C106" t="b">
        <v>1</v>
      </c>
      <c r="D106">
        <v>8071</v>
      </c>
      <c r="E106">
        <v>8099</v>
      </c>
      <c r="F106">
        <v>20.399999999999999</v>
      </c>
      <c r="G106">
        <v>-16</v>
      </c>
      <c r="H106">
        <v>-1.2749999999999999</v>
      </c>
      <c r="I106">
        <v>2.2749999999999999</v>
      </c>
      <c r="J106">
        <v>-3.6363639999999999</v>
      </c>
    </row>
    <row r="107" spans="1:10" x14ac:dyDescent="0.3">
      <c r="A107">
        <v>105</v>
      </c>
      <c r="B107">
        <v>1738</v>
      </c>
      <c r="C107" t="b">
        <v>1</v>
      </c>
      <c r="D107">
        <v>8065</v>
      </c>
      <c r="E107">
        <v>8099</v>
      </c>
      <c r="F107">
        <v>21.133333</v>
      </c>
      <c r="G107">
        <v>-16</v>
      </c>
      <c r="H107">
        <v>-1.3208333000000001</v>
      </c>
      <c r="I107">
        <v>2.3208332</v>
      </c>
      <c r="J107">
        <v>-3.1168833</v>
      </c>
    </row>
    <row r="108" spans="1:10" x14ac:dyDescent="0.3">
      <c r="A108">
        <v>106</v>
      </c>
      <c r="B108">
        <v>1754</v>
      </c>
      <c r="C108" t="b">
        <v>1</v>
      </c>
      <c r="D108">
        <v>8060</v>
      </c>
      <c r="E108">
        <v>8105</v>
      </c>
      <c r="F108">
        <v>21.866667</v>
      </c>
      <c r="G108">
        <v>-16</v>
      </c>
      <c r="H108">
        <v>-1.3666666999999999</v>
      </c>
      <c r="I108">
        <v>2.3666668</v>
      </c>
      <c r="J108">
        <v>-2.7272726999999999</v>
      </c>
    </row>
    <row r="109" spans="1:10" x14ac:dyDescent="0.3">
      <c r="A109">
        <v>107</v>
      </c>
      <c r="B109">
        <v>1770</v>
      </c>
      <c r="C109" t="b">
        <v>1</v>
      </c>
      <c r="D109">
        <v>8060</v>
      </c>
      <c r="E109">
        <v>8105</v>
      </c>
      <c r="F109">
        <v>22.6</v>
      </c>
      <c r="G109">
        <v>-15.6</v>
      </c>
      <c r="H109">
        <v>-1.448718</v>
      </c>
      <c r="I109">
        <v>2.4487177999999998</v>
      </c>
      <c r="J109">
        <v>-2.2285713999999999</v>
      </c>
    </row>
    <row r="110" spans="1:10" x14ac:dyDescent="0.3">
      <c r="A110">
        <v>108</v>
      </c>
      <c r="B110">
        <v>1786</v>
      </c>
      <c r="C110" t="b">
        <v>1</v>
      </c>
      <c r="D110">
        <v>8054</v>
      </c>
      <c r="E110">
        <v>8105</v>
      </c>
      <c r="F110">
        <v>23</v>
      </c>
      <c r="G110">
        <v>-15.2</v>
      </c>
      <c r="H110">
        <v>-1.513158</v>
      </c>
      <c r="I110">
        <v>2.5131579999999998</v>
      </c>
      <c r="J110">
        <v>-1.9487178000000001</v>
      </c>
    </row>
    <row r="111" spans="1:10" x14ac:dyDescent="0.3">
      <c r="A111">
        <v>109</v>
      </c>
      <c r="B111">
        <v>1801</v>
      </c>
      <c r="C111" t="b">
        <v>1</v>
      </c>
      <c r="D111">
        <v>8060</v>
      </c>
      <c r="E111">
        <v>8105</v>
      </c>
      <c r="F111">
        <v>23.4</v>
      </c>
      <c r="G111">
        <v>-14.8</v>
      </c>
      <c r="H111">
        <v>-1.581081</v>
      </c>
      <c r="I111">
        <v>2.5810811999999999</v>
      </c>
      <c r="J111">
        <v>-1.7209303</v>
      </c>
    </row>
    <row r="112" spans="1:10" x14ac:dyDescent="0.3">
      <c r="A112">
        <v>110</v>
      </c>
      <c r="B112">
        <v>1817</v>
      </c>
      <c r="C112" t="b">
        <v>1</v>
      </c>
      <c r="D112">
        <v>8060</v>
      </c>
      <c r="E112">
        <v>8117</v>
      </c>
      <c r="F112">
        <v>23.4</v>
      </c>
      <c r="G112">
        <v>-14.4</v>
      </c>
      <c r="H112">
        <v>-1.625</v>
      </c>
      <c r="I112">
        <v>2.625</v>
      </c>
      <c r="J112">
        <v>-1.5999999</v>
      </c>
    </row>
    <row r="113" spans="1:10" x14ac:dyDescent="0.3">
      <c r="A113">
        <v>111</v>
      </c>
      <c r="B113">
        <v>1833</v>
      </c>
      <c r="C113" t="b">
        <v>1</v>
      </c>
      <c r="D113">
        <v>8065</v>
      </c>
      <c r="E113">
        <v>8105</v>
      </c>
      <c r="F113">
        <v>23.4</v>
      </c>
      <c r="G113">
        <v>-14</v>
      </c>
      <c r="H113">
        <v>-1.6714286</v>
      </c>
      <c r="I113">
        <v>2.6714286999999999</v>
      </c>
      <c r="J113">
        <v>-1.4893618</v>
      </c>
    </row>
    <row r="114" spans="1:10" x14ac:dyDescent="0.3">
      <c r="A114">
        <v>112</v>
      </c>
      <c r="B114">
        <v>1865</v>
      </c>
      <c r="C114" t="b">
        <v>1</v>
      </c>
      <c r="D114">
        <v>8054</v>
      </c>
      <c r="E114">
        <v>8099</v>
      </c>
      <c r="F114">
        <v>23.4</v>
      </c>
      <c r="G114">
        <v>-13.6</v>
      </c>
      <c r="H114">
        <v>-1.7205881999999999</v>
      </c>
      <c r="I114">
        <v>2.7205881999999999</v>
      </c>
      <c r="J114">
        <v>-1.3877553</v>
      </c>
    </row>
    <row r="115" spans="1:10" x14ac:dyDescent="0.3">
      <c r="A115">
        <v>113</v>
      </c>
      <c r="B115">
        <v>1896</v>
      </c>
      <c r="C115" t="b">
        <v>1</v>
      </c>
      <c r="D115">
        <v>8060</v>
      </c>
      <c r="E115">
        <v>8105</v>
      </c>
      <c r="F115">
        <v>23.4</v>
      </c>
      <c r="G115">
        <v>-13.2</v>
      </c>
      <c r="H115">
        <v>-1.7727272999999999</v>
      </c>
      <c r="I115">
        <v>2.7727273000000001</v>
      </c>
      <c r="J115">
        <v>-1.2941176999999999</v>
      </c>
    </row>
    <row r="116" spans="1:10" x14ac:dyDescent="0.3">
      <c r="A116">
        <v>114</v>
      </c>
      <c r="B116">
        <v>1912</v>
      </c>
      <c r="C116" t="b">
        <v>1</v>
      </c>
      <c r="D116">
        <v>8060</v>
      </c>
      <c r="E116">
        <v>8105</v>
      </c>
      <c r="F116">
        <v>23.066668</v>
      </c>
      <c r="G116">
        <v>-12.8</v>
      </c>
      <c r="H116">
        <v>-1.8020833999999999</v>
      </c>
      <c r="I116">
        <v>2.8020835000000002</v>
      </c>
      <c r="J116">
        <v>-1.2467531999999999</v>
      </c>
    </row>
    <row r="117" spans="1:10" x14ac:dyDescent="0.3">
      <c r="A117">
        <v>115</v>
      </c>
      <c r="B117">
        <v>1928</v>
      </c>
      <c r="C117" t="b">
        <v>1</v>
      </c>
      <c r="D117">
        <v>8065</v>
      </c>
      <c r="E117">
        <v>8111</v>
      </c>
      <c r="F117">
        <v>22.733333999999999</v>
      </c>
      <c r="G117">
        <v>-12.4</v>
      </c>
      <c r="H117">
        <v>-1.8333333999999999</v>
      </c>
      <c r="I117">
        <v>2.8333333000000001</v>
      </c>
      <c r="J117">
        <v>-1.1999998999999999</v>
      </c>
    </row>
    <row r="118" spans="1:10" x14ac:dyDescent="0.3">
      <c r="A118">
        <v>116</v>
      </c>
      <c r="B118">
        <v>1944</v>
      </c>
      <c r="C118" t="b">
        <v>1</v>
      </c>
      <c r="D118">
        <v>8077</v>
      </c>
      <c r="E118">
        <v>8105</v>
      </c>
      <c r="F118">
        <v>22.4</v>
      </c>
      <c r="G118">
        <v>-12</v>
      </c>
      <c r="H118">
        <v>-1.8666666999999999</v>
      </c>
      <c r="I118">
        <v>2.8666668</v>
      </c>
      <c r="J118">
        <v>-1.1538461</v>
      </c>
    </row>
    <row r="119" spans="1:10" x14ac:dyDescent="0.3">
      <c r="A119">
        <v>117</v>
      </c>
      <c r="B119">
        <v>1960</v>
      </c>
      <c r="C119" t="b">
        <v>1</v>
      </c>
      <c r="D119">
        <v>8060</v>
      </c>
      <c r="E119">
        <v>8105</v>
      </c>
      <c r="F119">
        <v>22.066668</v>
      </c>
      <c r="G119">
        <v>-11.6</v>
      </c>
      <c r="H119">
        <v>-1.9022988000000001</v>
      </c>
      <c r="I119">
        <v>2.9022990000000002</v>
      </c>
      <c r="J119">
        <v>-1.1082802</v>
      </c>
    </row>
    <row r="120" spans="1:10" x14ac:dyDescent="0.3">
      <c r="A120">
        <v>118</v>
      </c>
      <c r="B120">
        <v>1976</v>
      </c>
      <c r="C120" t="b">
        <v>1</v>
      </c>
      <c r="D120">
        <v>8054</v>
      </c>
      <c r="E120">
        <v>8105</v>
      </c>
      <c r="F120">
        <v>21.733333999999999</v>
      </c>
      <c r="G120">
        <v>-11.2</v>
      </c>
      <c r="H120">
        <v>-1.9404763</v>
      </c>
      <c r="I120">
        <v>2.9404764000000001</v>
      </c>
      <c r="J120">
        <v>-1.0632911</v>
      </c>
    </row>
    <row r="121" spans="1:10" x14ac:dyDescent="0.3">
      <c r="A121">
        <v>119</v>
      </c>
      <c r="B121">
        <v>1991</v>
      </c>
      <c r="C121" t="b">
        <v>1</v>
      </c>
      <c r="D121">
        <v>8060</v>
      </c>
      <c r="E121">
        <v>8105</v>
      </c>
      <c r="F121">
        <v>21</v>
      </c>
      <c r="G121">
        <v>-10.8</v>
      </c>
      <c r="H121">
        <v>-1.9444444000000001</v>
      </c>
      <c r="I121">
        <v>2.9444444000000001</v>
      </c>
      <c r="J121">
        <v>-1.0588236</v>
      </c>
    </row>
    <row r="122" spans="1:10" x14ac:dyDescent="0.3">
      <c r="A122">
        <v>120</v>
      </c>
      <c r="B122">
        <v>2007</v>
      </c>
      <c r="C122" t="b">
        <v>1</v>
      </c>
      <c r="D122">
        <v>8060</v>
      </c>
      <c r="E122">
        <v>8105</v>
      </c>
      <c r="F122">
        <v>20.666665999999999</v>
      </c>
      <c r="G122">
        <v>-10.4</v>
      </c>
      <c r="H122">
        <v>-1.9871795000000001</v>
      </c>
      <c r="I122">
        <v>2.9871794999999999</v>
      </c>
      <c r="J122">
        <v>-1.0129870000000001</v>
      </c>
    </row>
    <row r="123" spans="1:10" x14ac:dyDescent="0.3">
      <c r="A123">
        <v>121</v>
      </c>
      <c r="B123">
        <v>2023</v>
      </c>
      <c r="C123" t="b">
        <v>1</v>
      </c>
      <c r="D123">
        <v>8054</v>
      </c>
      <c r="E123">
        <v>8105</v>
      </c>
      <c r="F123">
        <v>20.333334000000001</v>
      </c>
      <c r="G123">
        <v>-10</v>
      </c>
      <c r="H123">
        <v>-2.0333332999999998</v>
      </c>
      <c r="I123">
        <v>3.0333332999999998</v>
      </c>
      <c r="J123">
        <v>-0.96774185000000001</v>
      </c>
    </row>
    <row r="124" spans="1:10" x14ac:dyDescent="0.3">
      <c r="A124">
        <v>122</v>
      </c>
      <c r="B124">
        <v>2039</v>
      </c>
      <c r="C124" t="b">
        <v>1</v>
      </c>
      <c r="D124">
        <v>8054</v>
      </c>
      <c r="E124">
        <v>8105</v>
      </c>
      <c r="F124">
        <v>19.600000000000001</v>
      </c>
      <c r="G124">
        <v>-10</v>
      </c>
      <c r="H124">
        <v>-1.96</v>
      </c>
      <c r="I124">
        <v>2.96</v>
      </c>
      <c r="J124">
        <v>-1.0416666000000001</v>
      </c>
    </row>
    <row r="125" spans="1:10" x14ac:dyDescent="0.3">
      <c r="A125">
        <v>123</v>
      </c>
      <c r="B125">
        <v>2055</v>
      </c>
      <c r="C125" t="b">
        <v>1</v>
      </c>
      <c r="D125">
        <v>8054</v>
      </c>
      <c r="E125">
        <v>8099</v>
      </c>
      <c r="F125">
        <v>19.2</v>
      </c>
      <c r="G125">
        <v>-10</v>
      </c>
      <c r="H125">
        <v>-1.9200001</v>
      </c>
      <c r="I125">
        <v>2.92</v>
      </c>
      <c r="J125">
        <v>-1.0869564</v>
      </c>
    </row>
    <row r="126" spans="1:10" x14ac:dyDescent="0.3">
      <c r="A126">
        <v>124</v>
      </c>
      <c r="B126">
        <v>2070</v>
      </c>
      <c r="C126" t="b">
        <v>1</v>
      </c>
      <c r="D126">
        <v>8054</v>
      </c>
      <c r="E126">
        <v>8099</v>
      </c>
      <c r="F126">
        <v>18.8</v>
      </c>
      <c r="G126">
        <v>-10</v>
      </c>
      <c r="H126">
        <v>-1.8799999000000001</v>
      </c>
      <c r="I126">
        <v>2.8799999000000001</v>
      </c>
      <c r="J126">
        <v>-1.1363637</v>
      </c>
    </row>
    <row r="127" spans="1:10" x14ac:dyDescent="0.3">
      <c r="A127">
        <v>125</v>
      </c>
      <c r="B127">
        <v>2086</v>
      </c>
      <c r="C127" t="b">
        <v>1</v>
      </c>
      <c r="D127">
        <v>8054</v>
      </c>
      <c r="E127">
        <v>8099</v>
      </c>
      <c r="F127">
        <v>18.399999999999999</v>
      </c>
      <c r="G127">
        <v>-10.4</v>
      </c>
      <c r="H127">
        <v>-1.7692308000000001</v>
      </c>
      <c r="I127">
        <v>2.7692307999999999</v>
      </c>
      <c r="J127">
        <v>-1.3</v>
      </c>
    </row>
    <row r="128" spans="1:10" x14ac:dyDescent="0.3">
      <c r="A128">
        <v>126</v>
      </c>
      <c r="B128">
        <v>2102</v>
      </c>
      <c r="C128" t="b">
        <v>1</v>
      </c>
      <c r="D128">
        <v>8065</v>
      </c>
      <c r="E128">
        <v>8105</v>
      </c>
      <c r="F128">
        <v>18</v>
      </c>
      <c r="G128">
        <v>-10.8</v>
      </c>
      <c r="H128">
        <v>-1.6666666000000001</v>
      </c>
      <c r="I128">
        <v>2.6666664999999998</v>
      </c>
      <c r="J128">
        <v>-1.5000001000000001</v>
      </c>
    </row>
    <row r="129" spans="1:10" x14ac:dyDescent="0.3">
      <c r="A129">
        <v>127</v>
      </c>
      <c r="B129">
        <v>2134</v>
      </c>
      <c r="C129" t="b">
        <v>1</v>
      </c>
      <c r="D129">
        <v>8071</v>
      </c>
      <c r="E129">
        <v>8105</v>
      </c>
      <c r="F129">
        <v>17.600000000000001</v>
      </c>
      <c r="G129">
        <v>-11.2</v>
      </c>
      <c r="H129">
        <v>-1.5714287</v>
      </c>
      <c r="I129">
        <v>2.5714285000000001</v>
      </c>
      <c r="J129">
        <v>-1.7499998000000001</v>
      </c>
    </row>
    <row r="130" spans="1:10" x14ac:dyDescent="0.3">
      <c r="A130">
        <v>128</v>
      </c>
      <c r="B130">
        <v>2150</v>
      </c>
      <c r="C130" t="b">
        <v>1</v>
      </c>
      <c r="D130">
        <v>8071</v>
      </c>
      <c r="E130">
        <v>8105</v>
      </c>
      <c r="F130">
        <v>17.933332</v>
      </c>
      <c r="G130">
        <v>-11.2</v>
      </c>
      <c r="H130">
        <v>-1.6011903999999999</v>
      </c>
      <c r="I130">
        <v>2.6011902999999998</v>
      </c>
      <c r="J130">
        <v>-1.6633663999999999</v>
      </c>
    </row>
    <row r="131" spans="1:10" x14ac:dyDescent="0.3">
      <c r="A131">
        <v>129</v>
      </c>
      <c r="B131">
        <v>2181</v>
      </c>
      <c r="C131" t="b">
        <v>1</v>
      </c>
      <c r="D131">
        <v>8060</v>
      </c>
      <c r="E131">
        <v>8105</v>
      </c>
      <c r="F131">
        <v>18.266666000000001</v>
      </c>
      <c r="G131">
        <v>-11.2</v>
      </c>
      <c r="H131">
        <v>-1.6309524</v>
      </c>
      <c r="I131">
        <v>2.6309524</v>
      </c>
      <c r="J131">
        <v>-1.5849055999999999</v>
      </c>
    </row>
    <row r="132" spans="1:10" x14ac:dyDescent="0.3">
      <c r="A132">
        <v>130</v>
      </c>
      <c r="B132">
        <v>2197</v>
      </c>
      <c r="C132" t="b">
        <v>1</v>
      </c>
      <c r="D132">
        <v>8065</v>
      </c>
      <c r="E132">
        <v>8105</v>
      </c>
      <c r="F132">
        <v>18.600000000000001</v>
      </c>
      <c r="G132">
        <v>-11.2</v>
      </c>
      <c r="H132">
        <v>-1.6607144</v>
      </c>
      <c r="I132">
        <v>2.6607140999999999</v>
      </c>
      <c r="J132">
        <v>-1.5135133000000001</v>
      </c>
    </row>
    <row r="133" spans="1:10" x14ac:dyDescent="0.3">
      <c r="A133">
        <v>131</v>
      </c>
      <c r="B133">
        <v>2213</v>
      </c>
      <c r="C133" t="b">
        <v>1</v>
      </c>
      <c r="D133">
        <v>8071</v>
      </c>
      <c r="E133">
        <v>8105</v>
      </c>
      <c r="F133">
        <v>19.333334000000001</v>
      </c>
      <c r="G133">
        <v>-11.2</v>
      </c>
      <c r="H133">
        <v>-1.7261906</v>
      </c>
      <c r="I133">
        <v>2.7261905999999998</v>
      </c>
      <c r="J133">
        <v>-1.377049</v>
      </c>
    </row>
    <row r="134" spans="1:10" x14ac:dyDescent="0.3">
      <c r="A134">
        <v>132</v>
      </c>
      <c r="B134">
        <v>2229</v>
      </c>
      <c r="C134" t="b">
        <v>1</v>
      </c>
      <c r="D134">
        <v>8065</v>
      </c>
      <c r="E134">
        <v>8123</v>
      </c>
      <c r="F134">
        <v>19.666665999999999</v>
      </c>
      <c r="G134">
        <v>-11.2</v>
      </c>
      <c r="H134">
        <v>-1.7559524</v>
      </c>
      <c r="I134">
        <v>2.7559524</v>
      </c>
      <c r="J134">
        <v>-1.3228347</v>
      </c>
    </row>
    <row r="135" spans="1:10" x14ac:dyDescent="0.3">
      <c r="A135">
        <v>133</v>
      </c>
      <c r="B135">
        <v>2245</v>
      </c>
      <c r="C135" t="b">
        <v>1</v>
      </c>
      <c r="D135">
        <v>8071</v>
      </c>
      <c r="E135">
        <v>8105</v>
      </c>
      <c r="F135">
        <v>20</v>
      </c>
      <c r="G135">
        <v>-11.2</v>
      </c>
      <c r="H135">
        <v>-1.7857143</v>
      </c>
      <c r="I135">
        <v>2.7857143999999998</v>
      </c>
      <c r="J135">
        <v>-1.2727272999999999</v>
      </c>
    </row>
    <row r="136" spans="1:10" x14ac:dyDescent="0.3">
      <c r="A136">
        <v>134</v>
      </c>
      <c r="B136">
        <v>2260</v>
      </c>
      <c r="C136" t="b">
        <v>1</v>
      </c>
      <c r="D136">
        <v>8060</v>
      </c>
      <c r="E136">
        <v>8105</v>
      </c>
      <c r="F136">
        <v>20.333334000000001</v>
      </c>
      <c r="G136">
        <v>-11.2</v>
      </c>
      <c r="H136">
        <v>-1.8154763</v>
      </c>
      <c r="I136">
        <v>2.8154762</v>
      </c>
      <c r="J136">
        <v>-1.2262772</v>
      </c>
    </row>
    <row r="137" spans="1:10" x14ac:dyDescent="0.3">
      <c r="A137">
        <v>135</v>
      </c>
      <c r="B137">
        <v>2276</v>
      </c>
      <c r="C137" t="b">
        <v>1</v>
      </c>
      <c r="D137">
        <v>8060</v>
      </c>
      <c r="E137">
        <v>8111</v>
      </c>
      <c r="F137">
        <v>20.666665999999999</v>
      </c>
      <c r="G137">
        <v>-11.2</v>
      </c>
      <c r="H137">
        <v>-1.8452381</v>
      </c>
      <c r="I137">
        <v>2.8452380000000002</v>
      </c>
      <c r="J137">
        <v>-1.1830986999999999</v>
      </c>
    </row>
    <row r="138" spans="1:10" x14ac:dyDescent="0.3">
      <c r="A138">
        <v>136</v>
      </c>
      <c r="B138">
        <v>2292</v>
      </c>
      <c r="C138" t="b">
        <v>1</v>
      </c>
      <c r="D138">
        <v>8060</v>
      </c>
      <c r="E138">
        <v>8111</v>
      </c>
      <c r="F138">
        <v>20.666665999999999</v>
      </c>
      <c r="G138">
        <v>-10.8</v>
      </c>
      <c r="H138">
        <v>-1.9135802</v>
      </c>
      <c r="I138">
        <v>2.9135802000000002</v>
      </c>
      <c r="J138">
        <v>-1.0945947</v>
      </c>
    </row>
    <row r="139" spans="1:10" x14ac:dyDescent="0.3">
      <c r="A139">
        <v>137</v>
      </c>
      <c r="B139">
        <v>2308</v>
      </c>
      <c r="C139" t="b">
        <v>1</v>
      </c>
      <c r="D139">
        <v>8060</v>
      </c>
      <c r="E139">
        <v>8105</v>
      </c>
      <c r="F139">
        <v>21.066668</v>
      </c>
      <c r="G139">
        <v>-10.8</v>
      </c>
      <c r="H139">
        <v>-1.9506173</v>
      </c>
      <c r="I139">
        <v>2.9506173000000002</v>
      </c>
      <c r="J139">
        <v>-1.0519480000000001</v>
      </c>
    </row>
    <row r="140" spans="1:10" x14ac:dyDescent="0.3">
      <c r="A140">
        <v>138</v>
      </c>
      <c r="B140">
        <v>2323</v>
      </c>
      <c r="C140" t="b">
        <v>1</v>
      </c>
      <c r="D140">
        <v>8054</v>
      </c>
      <c r="E140">
        <v>8099</v>
      </c>
      <c r="F140">
        <v>21.466667000000001</v>
      </c>
      <c r="G140">
        <v>-10.8</v>
      </c>
      <c r="H140">
        <v>-1.9876543</v>
      </c>
      <c r="I140">
        <v>2.9876542000000001</v>
      </c>
      <c r="J140">
        <v>-1.0124998999999999</v>
      </c>
    </row>
    <row r="141" spans="1:10" x14ac:dyDescent="0.3">
      <c r="A141">
        <v>139</v>
      </c>
      <c r="B141">
        <v>2339</v>
      </c>
      <c r="C141" t="b">
        <v>1</v>
      </c>
      <c r="D141">
        <v>8065</v>
      </c>
      <c r="E141">
        <v>8099</v>
      </c>
      <c r="F141">
        <v>21.866667</v>
      </c>
      <c r="G141">
        <v>-10.8</v>
      </c>
      <c r="H141">
        <v>-2.0246913000000002</v>
      </c>
      <c r="I141">
        <v>3.0246913000000002</v>
      </c>
      <c r="J141">
        <v>-0.97590363000000002</v>
      </c>
    </row>
    <row r="142" spans="1:10" x14ac:dyDescent="0.3">
      <c r="A142">
        <v>140</v>
      </c>
      <c r="B142">
        <v>2355</v>
      </c>
      <c r="C142" t="b">
        <v>1</v>
      </c>
      <c r="D142">
        <v>8065</v>
      </c>
      <c r="E142">
        <v>8099</v>
      </c>
      <c r="F142">
        <v>22.266666000000001</v>
      </c>
      <c r="G142">
        <v>-10.8</v>
      </c>
      <c r="H142">
        <v>-2.0617282000000001</v>
      </c>
      <c r="I142">
        <v>3.0617282000000001</v>
      </c>
      <c r="J142">
        <v>-0.94186049999999999</v>
      </c>
    </row>
    <row r="143" spans="1:10" x14ac:dyDescent="0.3">
      <c r="A143">
        <v>141</v>
      </c>
      <c r="B143">
        <v>2371</v>
      </c>
      <c r="C143" t="b">
        <v>1</v>
      </c>
      <c r="D143">
        <v>8065</v>
      </c>
      <c r="E143">
        <v>8093</v>
      </c>
      <c r="F143">
        <v>23</v>
      </c>
      <c r="G143">
        <v>-10.8</v>
      </c>
      <c r="H143">
        <v>-2.1296295999999999</v>
      </c>
      <c r="I143">
        <v>3.1296295999999999</v>
      </c>
      <c r="J143">
        <v>-0.88524590000000003</v>
      </c>
    </row>
    <row r="144" spans="1:10" x14ac:dyDescent="0.3">
      <c r="A144">
        <v>142</v>
      </c>
      <c r="B144">
        <v>2386</v>
      </c>
      <c r="C144" t="b">
        <v>1</v>
      </c>
      <c r="D144">
        <v>8054</v>
      </c>
      <c r="E144">
        <v>8105</v>
      </c>
      <c r="F144">
        <v>23.733333999999999</v>
      </c>
      <c r="G144">
        <v>-10.8</v>
      </c>
      <c r="H144">
        <v>-2.1975307000000002</v>
      </c>
      <c r="I144">
        <v>3.1975307000000002</v>
      </c>
      <c r="J144">
        <v>-0.83505154000000004</v>
      </c>
    </row>
    <row r="145" spans="1:10" x14ac:dyDescent="0.3">
      <c r="A145">
        <v>143</v>
      </c>
      <c r="B145">
        <v>2403</v>
      </c>
      <c r="C145" t="b">
        <v>1</v>
      </c>
      <c r="D145">
        <v>8054</v>
      </c>
      <c r="E145">
        <v>8099</v>
      </c>
      <c r="F145">
        <v>23.733333999999999</v>
      </c>
      <c r="G145">
        <v>-11.2</v>
      </c>
      <c r="H145">
        <v>-2.1190476</v>
      </c>
      <c r="I145">
        <v>3.1190479</v>
      </c>
      <c r="J145">
        <v>-0.89361699999999999</v>
      </c>
    </row>
    <row r="146" spans="1:10" x14ac:dyDescent="0.3">
      <c r="A146">
        <v>144</v>
      </c>
      <c r="B146">
        <v>2418</v>
      </c>
      <c r="C146" t="b">
        <v>1</v>
      </c>
      <c r="D146">
        <v>8060</v>
      </c>
      <c r="E146">
        <v>8105</v>
      </c>
      <c r="F146">
        <v>23.4</v>
      </c>
      <c r="G146">
        <v>-11.6</v>
      </c>
      <c r="H146">
        <v>-2.0172412</v>
      </c>
      <c r="I146">
        <v>3.0172412</v>
      </c>
      <c r="J146">
        <v>-0.98305094000000004</v>
      </c>
    </row>
    <row r="147" spans="1:10" x14ac:dyDescent="0.3">
      <c r="A147">
        <v>145</v>
      </c>
      <c r="B147">
        <v>2435</v>
      </c>
      <c r="C147" t="b">
        <v>1</v>
      </c>
      <c r="D147">
        <v>8060</v>
      </c>
      <c r="E147">
        <v>8105</v>
      </c>
      <c r="F147">
        <v>23.066668</v>
      </c>
      <c r="G147">
        <v>-11.6</v>
      </c>
      <c r="H147">
        <v>-1.9885056999999999</v>
      </c>
      <c r="I147">
        <v>2.9885058</v>
      </c>
      <c r="J147">
        <v>-1.0116278999999999</v>
      </c>
    </row>
    <row r="148" spans="1:10" x14ac:dyDescent="0.3">
      <c r="A148">
        <v>146</v>
      </c>
      <c r="B148">
        <v>2450</v>
      </c>
      <c r="C148" t="b">
        <v>1</v>
      </c>
      <c r="D148">
        <v>8054</v>
      </c>
      <c r="E148">
        <v>8111</v>
      </c>
      <c r="F148">
        <v>21.933332</v>
      </c>
      <c r="G148">
        <v>-11.6</v>
      </c>
      <c r="H148">
        <v>-1.8908043999999999</v>
      </c>
      <c r="I148">
        <v>2.8908045000000002</v>
      </c>
      <c r="J148">
        <v>-1.1225807999999999</v>
      </c>
    </row>
    <row r="149" spans="1:10" x14ac:dyDescent="0.3">
      <c r="A149">
        <v>147</v>
      </c>
      <c r="B149">
        <v>2466</v>
      </c>
      <c r="C149" t="b">
        <v>1</v>
      </c>
      <c r="D149">
        <v>8054</v>
      </c>
      <c r="E149">
        <v>8105</v>
      </c>
      <c r="F149">
        <v>21.2</v>
      </c>
      <c r="G149">
        <v>-11.6</v>
      </c>
      <c r="H149">
        <v>-1.8275862</v>
      </c>
      <c r="I149">
        <v>2.8275863999999999</v>
      </c>
      <c r="J149">
        <v>-1.2083333999999999</v>
      </c>
    </row>
    <row r="150" spans="1:10" x14ac:dyDescent="0.3">
      <c r="A150">
        <v>148</v>
      </c>
      <c r="B150">
        <v>2482</v>
      </c>
      <c r="C150" t="b">
        <v>1</v>
      </c>
      <c r="D150">
        <v>8054</v>
      </c>
      <c r="E150">
        <v>8105</v>
      </c>
      <c r="F150">
        <v>20.466667000000001</v>
      </c>
      <c r="G150">
        <v>-11.6</v>
      </c>
      <c r="H150">
        <v>-1.7643678</v>
      </c>
      <c r="I150">
        <v>2.7643675999999999</v>
      </c>
      <c r="J150">
        <v>-1.3082707</v>
      </c>
    </row>
    <row r="151" spans="1:10" x14ac:dyDescent="0.3">
      <c r="A151">
        <v>149</v>
      </c>
      <c r="B151">
        <v>2498</v>
      </c>
      <c r="C151" t="b">
        <v>1</v>
      </c>
      <c r="D151">
        <v>8060</v>
      </c>
      <c r="E151">
        <v>8105</v>
      </c>
      <c r="F151">
        <v>19.733333999999999</v>
      </c>
      <c r="G151">
        <v>-11.6</v>
      </c>
      <c r="H151">
        <v>-1.7011493</v>
      </c>
      <c r="I151">
        <v>2.7011495000000001</v>
      </c>
      <c r="J151">
        <v>-1.4262296000000001</v>
      </c>
    </row>
    <row r="152" spans="1:10" x14ac:dyDescent="0.3">
      <c r="A152">
        <v>150</v>
      </c>
      <c r="B152">
        <v>2514</v>
      </c>
      <c r="C152" t="b">
        <v>1</v>
      </c>
      <c r="D152">
        <v>8054</v>
      </c>
      <c r="E152">
        <v>8099</v>
      </c>
      <c r="F152">
        <v>19</v>
      </c>
      <c r="G152">
        <v>-11.6</v>
      </c>
      <c r="H152">
        <v>-1.637931</v>
      </c>
      <c r="I152">
        <v>2.6379309000000002</v>
      </c>
      <c r="J152">
        <v>-1.5675676999999999</v>
      </c>
    </row>
    <row r="153" spans="1:10" x14ac:dyDescent="0.3">
      <c r="A153">
        <v>151</v>
      </c>
      <c r="B153">
        <v>2529</v>
      </c>
      <c r="C153" t="b">
        <v>1</v>
      </c>
      <c r="D153">
        <v>8065</v>
      </c>
      <c r="E153">
        <v>8093</v>
      </c>
      <c r="F153">
        <v>18.600000000000001</v>
      </c>
      <c r="G153">
        <v>-12</v>
      </c>
      <c r="H153">
        <v>-1.5500001000000001</v>
      </c>
      <c r="I153">
        <v>2.5499999999999998</v>
      </c>
      <c r="J153">
        <v>-1.8181818000000001</v>
      </c>
    </row>
    <row r="154" spans="1:10" x14ac:dyDescent="0.3">
      <c r="A154">
        <v>152</v>
      </c>
      <c r="B154">
        <v>2545</v>
      </c>
      <c r="C154" t="b">
        <v>1</v>
      </c>
      <c r="D154">
        <v>8048</v>
      </c>
      <c r="E154">
        <v>8093</v>
      </c>
      <c r="F154">
        <v>18.2</v>
      </c>
      <c r="G154">
        <v>-12.4</v>
      </c>
      <c r="H154">
        <v>-1.4677420999999999</v>
      </c>
      <c r="I154">
        <v>2.4677419999999999</v>
      </c>
      <c r="J154">
        <v>-2.1379305999999998</v>
      </c>
    </row>
    <row r="155" spans="1:10" x14ac:dyDescent="0.3">
      <c r="A155">
        <v>153</v>
      </c>
      <c r="B155">
        <v>2561</v>
      </c>
      <c r="C155" t="b">
        <v>1</v>
      </c>
      <c r="D155">
        <v>8060</v>
      </c>
      <c r="E155">
        <v>8093</v>
      </c>
      <c r="F155">
        <v>18.2</v>
      </c>
      <c r="G155">
        <v>-13.2</v>
      </c>
      <c r="H155">
        <v>-1.3787879999999999</v>
      </c>
      <c r="I155">
        <v>2.3787880000000001</v>
      </c>
      <c r="J155">
        <v>-2.6399994000000002</v>
      </c>
    </row>
    <row r="156" spans="1:10" x14ac:dyDescent="0.3">
      <c r="A156">
        <v>154</v>
      </c>
      <c r="B156">
        <v>2577</v>
      </c>
      <c r="C156" t="b">
        <v>1</v>
      </c>
      <c r="D156">
        <v>8060</v>
      </c>
      <c r="E156">
        <v>8093</v>
      </c>
      <c r="F156">
        <v>18.2</v>
      </c>
      <c r="G156">
        <v>-14</v>
      </c>
      <c r="H156">
        <v>-1.3000001000000001</v>
      </c>
      <c r="I156">
        <v>2.2999999999999998</v>
      </c>
      <c r="J156">
        <v>-3.3333328</v>
      </c>
    </row>
    <row r="157" spans="1:10" x14ac:dyDescent="0.3">
      <c r="A157">
        <v>155</v>
      </c>
      <c r="B157">
        <v>2593</v>
      </c>
      <c r="C157" t="b">
        <v>1</v>
      </c>
      <c r="D157">
        <v>8065</v>
      </c>
      <c r="E157">
        <v>8099</v>
      </c>
      <c r="F157">
        <v>18.2</v>
      </c>
      <c r="G157">
        <v>-14.4</v>
      </c>
      <c r="H157">
        <v>-1.263889</v>
      </c>
      <c r="I157">
        <v>2.2638888000000001</v>
      </c>
      <c r="J157">
        <v>-3.7894722999999999</v>
      </c>
    </row>
    <row r="158" spans="1:10" x14ac:dyDescent="0.3">
      <c r="A158">
        <v>156</v>
      </c>
      <c r="B158">
        <v>2609</v>
      </c>
      <c r="C158" t="b">
        <v>1</v>
      </c>
      <c r="D158">
        <v>8071</v>
      </c>
      <c r="E158">
        <v>8105</v>
      </c>
      <c r="F158">
        <v>17.866667</v>
      </c>
      <c r="G158">
        <v>-14.8</v>
      </c>
      <c r="H158">
        <v>-1.2072072</v>
      </c>
      <c r="I158">
        <v>2.2072072</v>
      </c>
      <c r="J158">
        <v>-4.8260870000000002</v>
      </c>
    </row>
    <row r="159" spans="1:10" x14ac:dyDescent="0.3">
      <c r="A159">
        <v>157</v>
      </c>
      <c r="B159">
        <v>2625</v>
      </c>
      <c r="C159" t="b">
        <v>1</v>
      </c>
      <c r="D159">
        <v>8077</v>
      </c>
      <c r="E159">
        <v>8105</v>
      </c>
      <c r="F159">
        <v>17.866667</v>
      </c>
      <c r="G159">
        <v>-14.8</v>
      </c>
      <c r="H159">
        <v>-1.2072072</v>
      </c>
      <c r="I159">
        <v>2.2072072</v>
      </c>
      <c r="J159">
        <v>-4.8260870000000002</v>
      </c>
    </row>
    <row r="160" spans="1:10" x14ac:dyDescent="0.3">
      <c r="A160">
        <v>158</v>
      </c>
      <c r="B160">
        <v>2640</v>
      </c>
      <c r="C160" t="b">
        <v>1</v>
      </c>
      <c r="D160">
        <v>8065</v>
      </c>
      <c r="E160">
        <v>8099</v>
      </c>
      <c r="F160">
        <v>17.866667</v>
      </c>
      <c r="G160">
        <v>-14.8</v>
      </c>
      <c r="H160">
        <v>-1.2072072</v>
      </c>
      <c r="I160">
        <v>2.2072072</v>
      </c>
      <c r="J160">
        <v>-4.8260870000000002</v>
      </c>
    </row>
    <row r="161" spans="1:10" x14ac:dyDescent="0.3">
      <c r="A161">
        <v>159</v>
      </c>
      <c r="B161">
        <v>2656</v>
      </c>
      <c r="C161" t="b">
        <v>1</v>
      </c>
      <c r="D161">
        <v>8065</v>
      </c>
      <c r="E161">
        <v>8105</v>
      </c>
      <c r="F161">
        <v>18.2</v>
      </c>
      <c r="G161">
        <v>-14.4</v>
      </c>
      <c r="H161">
        <v>-1.263889</v>
      </c>
      <c r="I161">
        <v>2.2638888000000001</v>
      </c>
      <c r="J161">
        <v>-3.7894722999999999</v>
      </c>
    </row>
    <row r="162" spans="1:10" x14ac:dyDescent="0.3">
      <c r="A162">
        <v>160</v>
      </c>
      <c r="B162">
        <v>2672</v>
      </c>
      <c r="C162" t="b">
        <v>1</v>
      </c>
      <c r="D162">
        <v>8065</v>
      </c>
      <c r="E162">
        <v>8099</v>
      </c>
      <c r="F162">
        <v>18.533332999999999</v>
      </c>
      <c r="G162">
        <v>-14.4</v>
      </c>
      <c r="H162">
        <v>-1.287037</v>
      </c>
      <c r="I162">
        <v>2.2870371</v>
      </c>
      <c r="J162">
        <v>-3.4838710000000002</v>
      </c>
    </row>
    <row r="163" spans="1:10" x14ac:dyDescent="0.3">
      <c r="A163">
        <v>161</v>
      </c>
      <c r="B163">
        <v>2688</v>
      </c>
      <c r="C163" t="b">
        <v>1</v>
      </c>
      <c r="D163">
        <v>8065</v>
      </c>
      <c r="E163">
        <v>8105</v>
      </c>
      <c r="F163">
        <v>19.266666000000001</v>
      </c>
      <c r="G163">
        <v>-14.4</v>
      </c>
      <c r="H163">
        <v>-1.337963</v>
      </c>
      <c r="I163">
        <v>2.3379629</v>
      </c>
      <c r="J163">
        <v>-2.958904</v>
      </c>
    </row>
    <row r="164" spans="1:10" x14ac:dyDescent="0.3">
      <c r="A164">
        <v>162</v>
      </c>
      <c r="B164">
        <v>2703</v>
      </c>
      <c r="C164" t="b">
        <v>1</v>
      </c>
      <c r="D164">
        <v>8065</v>
      </c>
      <c r="E164">
        <v>8105</v>
      </c>
      <c r="F164">
        <v>20</v>
      </c>
      <c r="G164">
        <v>-14.4</v>
      </c>
      <c r="H164">
        <v>-1.388889</v>
      </c>
      <c r="I164">
        <v>2.3888889999999998</v>
      </c>
      <c r="J164">
        <v>-2.5714283</v>
      </c>
    </row>
    <row r="165" spans="1:10" x14ac:dyDescent="0.3">
      <c r="A165">
        <v>163</v>
      </c>
      <c r="B165">
        <v>2719</v>
      </c>
      <c r="C165" t="b">
        <v>1</v>
      </c>
      <c r="D165">
        <v>8065</v>
      </c>
      <c r="E165">
        <v>8093</v>
      </c>
      <c r="F165">
        <v>20.733333999999999</v>
      </c>
      <c r="G165">
        <v>-14.4</v>
      </c>
      <c r="H165">
        <v>-1.4398149</v>
      </c>
      <c r="I165">
        <v>2.4398148000000002</v>
      </c>
      <c r="J165">
        <v>-2.2736839999999998</v>
      </c>
    </row>
    <row r="166" spans="1:10" x14ac:dyDescent="0.3">
      <c r="A166">
        <v>164</v>
      </c>
      <c r="B166">
        <v>2735</v>
      </c>
      <c r="C166" t="b">
        <v>1</v>
      </c>
      <c r="D166">
        <v>8065</v>
      </c>
      <c r="E166">
        <v>8105</v>
      </c>
      <c r="F166">
        <v>21.466667000000001</v>
      </c>
      <c r="G166">
        <v>-14.4</v>
      </c>
      <c r="H166">
        <v>-1.4907408</v>
      </c>
      <c r="I166">
        <v>2.4907409999999999</v>
      </c>
      <c r="J166">
        <v>-2.0377355000000001</v>
      </c>
    </row>
    <row r="167" spans="1:10" x14ac:dyDescent="0.3">
      <c r="A167">
        <v>165</v>
      </c>
      <c r="B167">
        <v>2751</v>
      </c>
      <c r="C167" t="b">
        <v>1</v>
      </c>
      <c r="D167">
        <v>8060</v>
      </c>
      <c r="E167">
        <v>8099</v>
      </c>
      <c r="F167">
        <v>22.2</v>
      </c>
      <c r="G167">
        <v>-14.4</v>
      </c>
      <c r="H167">
        <v>-1.5416666999999999</v>
      </c>
      <c r="I167">
        <v>2.5416666999999999</v>
      </c>
      <c r="J167">
        <v>-1.8461535</v>
      </c>
    </row>
    <row r="168" spans="1:10" x14ac:dyDescent="0.3">
      <c r="A168">
        <v>166</v>
      </c>
      <c r="B168">
        <v>2767</v>
      </c>
      <c r="C168" t="b">
        <v>1</v>
      </c>
      <c r="D168">
        <v>8065</v>
      </c>
      <c r="E168">
        <v>8099</v>
      </c>
      <c r="F168">
        <v>22.933332</v>
      </c>
      <c r="G168">
        <v>-14.8</v>
      </c>
      <c r="H168">
        <v>-1.5495494999999999</v>
      </c>
      <c r="I168">
        <v>2.5495496000000002</v>
      </c>
      <c r="J168">
        <v>-1.8196722999999999</v>
      </c>
    </row>
    <row r="169" spans="1:10" x14ac:dyDescent="0.3">
      <c r="A169">
        <v>167</v>
      </c>
      <c r="B169">
        <v>2783</v>
      </c>
      <c r="C169" t="b">
        <v>1</v>
      </c>
      <c r="D169">
        <v>8060</v>
      </c>
      <c r="E169">
        <v>8087</v>
      </c>
      <c r="F169">
        <v>23.666665999999999</v>
      </c>
      <c r="G169">
        <v>-14.8</v>
      </c>
      <c r="H169">
        <v>-1.599099</v>
      </c>
      <c r="I169">
        <v>2.5990991999999999</v>
      </c>
      <c r="J169">
        <v>-1.6691731000000001</v>
      </c>
    </row>
    <row r="170" spans="1:10" x14ac:dyDescent="0.3">
      <c r="A170">
        <v>168</v>
      </c>
      <c r="B170">
        <v>2799</v>
      </c>
      <c r="C170" t="b">
        <v>1</v>
      </c>
      <c r="D170">
        <v>8065</v>
      </c>
      <c r="E170">
        <v>8099</v>
      </c>
      <c r="F170">
        <v>24</v>
      </c>
      <c r="G170">
        <v>-14.4</v>
      </c>
      <c r="H170">
        <v>-1.6666666999999999</v>
      </c>
      <c r="I170">
        <v>2.6666666999999999</v>
      </c>
      <c r="J170">
        <v>-1.4999998999999999</v>
      </c>
    </row>
    <row r="171" spans="1:10" x14ac:dyDescent="0.3">
      <c r="A171">
        <v>169</v>
      </c>
      <c r="B171">
        <v>2815</v>
      </c>
      <c r="C171" t="b">
        <v>1</v>
      </c>
      <c r="D171">
        <v>8065</v>
      </c>
      <c r="E171">
        <v>8111</v>
      </c>
      <c r="F171">
        <v>24.333334000000001</v>
      </c>
      <c r="G171">
        <v>-14</v>
      </c>
      <c r="H171">
        <v>-1.7380952999999999</v>
      </c>
      <c r="I171">
        <v>2.7380955</v>
      </c>
      <c r="J171">
        <v>-1.3548385999999999</v>
      </c>
    </row>
    <row r="172" spans="1:10" x14ac:dyDescent="0.3">
      <c r="A172">
        <v>170</v>
      </c>
      <c r="B172">
        <v>2831</v>
      </c>
      <c r="C172" t="b">
        <v>1</v>
      </c>
      <c r="D172">
        <v>8065</v>
      </c>
      <c r="E172">
        <v>8099</v>
      </c>
      <c r="F172">
        <v>24.666665999999999</v>
      </c>
      <c r="G172">
        <v>-13.6</v>
      </c>
      <c r="H172">
        <v>-1.8137254</v>
      </c>
      <c r="I172">
        <v>2.8137254999999999</v>
      </c>
      <c r="J172">
        <v>-1.2289158</v>
      </c>
    </row>
    <row r="173" spans="1:10" x14ac:dyDescent="0.3">
      <c r="A173">
        <v>171</v>
      </c>
      <c r="B173">
        <v>2847</v>
      </c>
      <c r="C173" t="b">
        <v>1</v>
      </c>
      <c r="D173">
        <v>8060</v>
      </c>
      <c r="E173">
        <v>8099</v>
      </c>
      <c r="F173">
        <v>25</v>
      </c>
      <c r="G173">
        <v>-13.2</v>
      </c>
      <c r="H173">
        <v>-1.8939394000000001</v>
      </c>
      <c r="I173">
        <v>2.8939395000000001</v>
      </c>
      <c r="J173">
        <v>-1.118644</v>
      </c>
    </row>
    <row r="174" spans="1:10" x14ac:dyDescent="0.3">
      <c r="A174">
        <v>172</v>
      </c>
      <c r="B174">
        <v>2863</v>
      </c>
      <c r="C174" t="b">
        <v>1</v>
      </c>
      <c r="D174">
        <v>8060</v>
      </c>
      <c r="E174">
        <v>8105</v>
      </c>
      <c r="F174">
        <v>25</v>
      </c>
      <c r="G174">
        <v>-13.2</v>
      </c>
      <c r="H174">
        <v>-1.8939394000000001</v>
      </c>
      <c r="I174">
        <v>2.8939395000000001</v>
      </c>
      <c r="J174">
        <v>-1.118644</v>
      </c>
    </row>
    <row r="175" spans="1:10" x14ac:dyDescent="0.3">
      <c r="A175">
        <v>173</v>
      </c>
      <c r="B175">
        <v>2879</v>
      </c>
      <c r="C175" t="b">
        <v>1</v>
      </c>
      <c r="D175">
        <v>8060</v>
      </c>
      <c r="E175">
        <v>8105</v>
      </c>
      <c r="F175">
        <v>24.666665999999999</v>
      </c>
      <c r="G175">
        <v>-12.8</v>
      </c>
      <c r="H175">
        <v>-1.9270833000000001</v>
      </c>
      <c r="I175">
        <v>2.9270833000000001</v>
      </c>
      <c r="J175">
        <v>-1.0786518</v>
      </c>
    </row>
    <row r="176" spans="1:10" x14ac:dyDescent="0.3">
      <c r="A176">
        <v>174</v>
      </c>
      <c r="B176">
        <v>2894</v>
      </c>
      <c r="C176" t="b">
        <v>1</v>
      </c>
      <c r="D176">
        <v>8065</v>
      </c>
      <c r="E176">
        <v>8111</v>
      </c>
      <c r="F176">
        <v>24.333334000000001</v>
      </c>
      <c r="G176">
        <v>-12.8</v>
      </c>
      <c r="H176">
        <v>-1.9010416999999999</v>
      </c>
      <c r="I176">
        <v>2.9010416999999999</v>
      </c>
      <c r="J176">
        <v>-1.1098266000000001</v>
      </c>
    </row>
    <row r="177" spans="1:10" x14ac:dyDescent="0.3">
      <c r="A177">
        <v>175</v>
      </c>
      <c r="B177">
        <v>2910</v>
      </c>
      <c r="C177" t="b">
        <v>1</v>
      </c>
      <c r="D177">
        <v>8065</v>
      </c>
      <c r="E177">
        <v>8105</v>
      </c>
      <c r="F177">
        <v>24</v>
      </c>
      <c r="G177">
        <v>-12.8</v>
      </c>
      <c r="H177">
        <v>-1.875</v>
      </c>
      <c r="I177">
        <v>2.875</v>
      </c>
      <c r="J177">
        <v>-1.1428571999999999</v>
      </c>
    </row>
    <row r="178" spans="1:10" x14ac:dyDescent="0.3">
      <c r="A178">
        <v>176</v>
      </c>
      <c r="B178">
        <v>2926</v>
      </c>
      <c r="C178" t="b">
        <v>1</v>
      </c>
      <c r="D178">
        <v>8071</v>
      </c>
      <c r="E178">
        <v>8105</v>
      </c>
      <c r="F178">
        <v>24</v>
      </c>
      <c r="G178">
        <v>-12.8</v>
      </c>
      <c r="H178">
        <v>-1.875</v>
      </c>
      <c r="I178">
        <v>2.875</v>
      </c>
      <c r="J178">
        <v>-1.1428571999999999</v>
      </c>
    </row>
    <row r="179" spans="1:10" x14ac:dyDescent="0.3">
      <c r="A179">
        <v>177</v>
      </c>
      <c r="B179">
        <v>2942</v>
      </c>
      <c r="C179" t="b">
        <v>1</v>
      </c>
      <c r="D179">
        <v>8077</v>
      </c>
      <c r="E179">
        <v>8105</v>
      </c>
      <c r="F179">
        <v>24</v>
      </c>
      <c r="G179">
        <v>-12.8</v>
      </c>
      <c r="H179">
        <v>-1.875</v>
      </c>
      <c r="I179">
        <v>2.875</v>
      </c>
      <c r="J179">
        <v>-1.1428571999999999</v>
      </c>
    </row>
    <row r="180" spans="1:10" x14ac:dyDescent="0.3">
      <c r="A180">
        <v>178</v>
      </c>
      <c r="B180">
        <v>2958</v>
      </c>
      <c r="C180" t="b">
        <v>1</v>
      </c>
      <c r="D180">
        <v>8060</v>
      </c>
      <c r="E180">
        <v>8105</v>
      </c>
      <c r="F180">
        <v>24</v>
      </c>
      <c r="G180">
        <v>-12.8</v>
      </c>
      <c r="H180">
        <v>-1.875</v>
      </c>
      <c r="I180">
        <v>2.875</v>
      </c>
      <c r="J180">
        <v>-1.1428571999999999</v>
      </c>
    </row>
    <row r="181" spans="1:10" x14ac:dyDescent="0.3">
      <c r="A181">
        <v>179</v>
      </c>
      <c r="B181">
        <v>2974</v>
      </c>
      <c r="C181" t="b">
        <v>1</v>
      </c>
      <c r="D181">
        <v>8071</v>
      </c>
      <c r="E181">
        <v>8093</v>
      </c>
      <c r="F181">
        <v>24.4</v>
      </c>
      <c r="G181">
        <v>-12.8</v>
      </c>
      <c r="H181">
        <v>-1.90625</v>
      </c>
      <c r="I181">
        <v>2.90625</v>
      </c>
      <c r="J181">
        <v>-1.1034484</v>
      </c>
    </row>
    <row r="182" spans="1:10" x14ac:dyDescent="0.3">
      <c r="A182">
        <v>180</v>
      </c>
      <c r="B182">
        <v>2990</v>
      </c>
      <c r="C182" t="b">
        <v>1</v>
      </c>
      <c r="D182">
        <v>8054</v>
      </c>
      <c r="E182">
        <v>8099</v>
      </c>
      <c r="F182">
        <v>24.8</v>
      </c>
      <c r="G182">
        <v>-12.8</v>
      </c>
      <c r="H182">
        <v>-1.9374998999999999</v>
      </c>
      <c r="I182">
        <v>2.9374997999999999</v>
      </c>
      <c r="J182">
        <v>-1.0666667000000001</v>
      </c>
    </row>
    <row r="183" spans="1:10" x14ac:dyDescent="0.3">
      <c r="A183">
        <v>181</v>
      </c>
      <c r="B183">
        <v>3006</v>
      </c>
      <c r="C183" t="b">
        <v>1</v>
      </c>
      <c r="D183">
        <v>8060</v>
      </c>
      <c r="E183">
        <v>8099</v>
      </c>
      <c r="F183">
        <v>24.466667000000001</v>
      </c>
      <c r="G183">
        <v>-12.8</v>
      </c>
      <c r="H183">
        <v>-1.9114583999999999</v>
      </c>
      <c r="I183">
        <v>2.9114583000000001</v>
      </c>
      <c r="J183">
        <v>-1.0971428000000001</v>
      </c>
    </row>
    <row r="184" spans="1:10" x14ac:dyDescent="0.3">
      <c r="A184">
        <v>182</v>
      </c>
      <c r="B184">
        <v>3022</v>
      </c>
      <c r="C184" t="b">
        <v>1</v>
      </c>
      <c r="D184">
        <v>8065</v>
      </c>
      <c r="E184">
        <v>8099</v>
      </c>
      <c r="F184">
        <v>24.133333</v>
      </c>
      <c r="G184">
        <v>-12.8</v>
      </c>
      <c r="H184">
        <v>-1.8854166000000001</v>
      </c>
      <c r="I184">
        <v>2.8854166999999999</v>
      </c>
      <c r="J184">
        <v>-1.1294118</v>
      </c>
    </row>
    <row r="185" spans="1:10" x14ac:dyDescent="0.3">
      <c r="A185">
        <v>183</v>
      </c>
      <c r="B185">
        <v>3038</v>
      </c>
      <c r="C185" t="b">
        <v>1</v>
      </c>
      <c r="D185">
        <v>8054</v>
      </c>
      <c r="E185">
        <v>8099</v>
      </c>
      <c r="F185">
        <v>23.8</v>
      </c>
      <c r="G185">
        <v>-12.8</v>
      </c>
      <c r="H185">
        <v>-1.8593748999999999</v>
      </c>
      <c r="I185">
        <v>2.8593747999999999</v>
      </c>
      <c r="J185">
        <v>-1.1636363999999999</v>
      </c>
    </row>
    <row r="186" spans="1:10" x14ac:dyDescent="0.3">
      <c r="A186">
        <v>184</v>
      </c>
      <c r="B186">
        <v>3054</v>
      </c>
      <c r="C186" t="b">
        <v>1</v>
      </c>
      <c r="D186">
        <v>8060</v>
      </c>
      <c r="E186">
        <v>8105</v>
      </c>
      <c r="F186">
        <v>23.466667000000001</v>
      </c>
      <c r="G186">
        <v>-12.8</v>
      </c>
      <c r="H186">
        <v>-1.8333333999999999</v>
      </c>
      <c r="I186">
        <v>2.8333333000000001</v>
      </c>
      <c r="J186">
        <v>-1.1999998999999999</v>
      </c>
    </row>
    <row r="187" spans="1:10" x14ac:dyDescent="0.3">
      <c r="A187">
        <v>185</v>
      </c>
      <c r="B187">
        <v>3070</v>
      </c>
      <c r="C187" t="b">
        <v>1</v>
      </c>
      <c r="D187">
        <v>8060</v>
      </c>
      <c r="E187">
        <v>8093</v>
      </c>
      <c r="F187">
        <v>23.133333</v>
      </c>
      <c r="G187">
        <v>-12.8</v>
      </c>
      <c r="H187">
        <v>-1.8072916000000001</v>
      </c>
      <c r="I187">
        <v>2.8072916999999999</v>
      </c>
      <c r="J187">
        <v>-1.2387097</v>
      </c>
    </row>
    <row r="188" spans="1:10" x14ac:dyDescent="0.3">
      <c r="A188">
        <v>186</v>
      </c>
      <c r="B188">
        <v>3085</v>
      </c>
      <c r="C188" t="b">
        <v>1</v>
      </c>
      <c r="D188">
        <v>8054</v>
      </c>
      <c r="E188">
        <v>8105</v>
      </c>
      <c r="F188">
        <v>22.8</v>
      </c>
      <c r="G188">
        <v>-12.8</v>
      </c>
      <c r="H188">
        <v>-1.7812498999999999</v>
      </c>
      <c r="I188">
        <v>2.7812497999999999</v>
      </c>
      <c r="J188">
        <v>-1.2800001000000001</v>
      </c>
    </row>
    <row r="189" spans="1:10" x14ac:dyDescent="0.3">
      <c r="A189">
        <v>187</v>
      </c>
      <c r="B189">
        <v>3101</v>
      </c>
      <c r="C189" t="b">
        <v>1</v>
      </c>
      <c r="D189">
        <v>8060</v>
      </c>
      <c r="E189">
        <v>8099</v>
      </c>
      <c r="F189">
        <v>22.466667000000001</v>
      </c>
      <c r="G189">
        <v>-12.8</v>
      </c>
      <c r="H189">
        <v>-1.7552083999999999</v>
      </c>
      <c r="I189">
        <v>2.7552083000000001</v>
      </c>
      <c r="J189">
        <v>-1.3241379</v>
      </c>
    </row>
    <row r="190" spans="1:10" x14ac:dyDescent="0.3">
      <c r="A190">
        <v>188</v>
      </c>
      <c r="B190">
        <v>3117</v>
      </c>
      <c r="C190" t="b">
        <v>1</v>
      </c>
      <c r="D190">
        <v>8054</v>
      </c>
      <c r="E190">
        <v>8093</v>
      </c>
      <c r="F190">
        <v>22.466667000000001</v>
      </c>
      <c r="G190">
        <v>-13.2</v>
      </c>
      <c r="H190">
        <v>-1.7020203</v>
      </c>
      <c r="I190">
        <v>2.7020203999999999</v>
      </c>
      <c r="J190">
        <v>-1.4244603</v>
      </c>
    </row>
    <row r="191" spans="1:10" x14ac:dyDescent="0.3">
      <c r="A191">
        <v>189</v>
      </c>
      <c r="B191">
        <v>3133</v>
      </c>
      <c r="C191" t="b">
        <v>1</v>
      </c>
      <c r="D191">
        <v>8060</v>
      </c>
      <c r="E191">
        <v>8093</v>
      </c>
      <c r="F191">
        <v>22.466667000000001</v>
      </c>
      <c r="G191">
        <v>-14</v>
      </c>
      <c r="H191">
        <v>-1.604762</v>
      </c>
      <c r="I191">
        <v>2.6047617999999999</v>
      </c>
      <c r="J191">
        <v>-1.6535432000000001</v>
      </c>
    </row>
    <row r="192" spans="1:10" x14ac:dyDescent="0.3">
      <c r="A192">
        <v>190</v>
      </c>
      <c r="B192">
        <v>3149</v>
      </c>
      <c r="C192" t="b">
        <v>1</v>
      </c>
      <c r="D192">
        <v>8065</v>
      </c>
      <c r="E192">
        <v>8099</v>
      </c>
      <c r="F192">
        <v>22.466667000000001</v>
      </c>
      <c r="G192">
        <v>-14.4</v>
      </c>
      <c r="H192">
        <v>-1.5601853000000001</v>
      </c>
      <c r="I192">
        <v>2.5601853999999999</v>
      </c>
      <c r="J192">
        <v>-1.7851237</v>
      </c>
    </row>
    <row r="193" spans="1:10" x14ac:dyDescent="0.3">
      <c r="A193">
        <v>191</v>
      </c>
      <c r="B193">
        <v>3165</v>
      </c>
      <c r="C193" t="b">
        <v>1</v>
      </c>
      <c r="D193">
        <v>8060</v>
      </c>
      <c r="E193">
        <v>8099</v>
      </c>
      <c r="F193">
        <v>22.133333</v>
      </c>
      <c r="G193">
        <v>-14.8</v>
      </c>
      <c r="H193">
        <v>-1.4954954</v>
      </c>
      <c r="I193">
        <v>2.4954955999999999</v>
      </c>
      <c r="J193">
        <v>-2.0181819999999999</v>
      </c>
    </row>
    <row r="194" spans="1:10" x14ac:dyDescent="0.3">
      <c r="A194">
        <v>192</v>
      </c>
      <c r="B194">
        <v>3181</v>
      </c>
      <c r="C194" t="b">
        <v>1</v>
      </c>
      <c r="D194">
        <v>8054</v>
      </c>
      <c r="E194">
        <v>8099</v>
      </c>
      <c r="F194">
        <v>21.8</v>
      </c>
      <c r="G194">
        <v>-15.2</v>
      </c>
      <c r="H194">
        <v>-1.4342105000000001</v>
      </c>
      <c r="I194">
        <v>2.4342104999999998</v>
      </c>
      <c r="J194">
        <v>-2.3030305000000002</v>
      </c>
    </row>
    <row r="195" spans="1:10" x14ac:dyDescent="0.3">
      <c r="A195">
        <v>193</v>
      </c>
      <c r="B195">
        <v>3197</v>
      </c>
      <c r="C195" t="b">
        <v>1</v>
      </c>
      <c r="D195">
        <v>8060</v>
      </c>
      <c r="E195">
        <v>8099</v>
      </c>
      <c r="F195">
        <v>21.466667000000001</v>
      </c>
      <c r="G195">
        <v>-15.6</v>
      </c>
      <c r="H195">
        <v>-1.3760684000000001</v>
      </c>
      <c r="I195">
        <v>2.3760683999999999</v>
      </c>
      <c r="J195">
        <v>-2.6590910000000001</v>
      </c>
    </row>
    <row r="196" spans="1:10" x14ac:dyDescent="0.3">
      <c r="A196">
        <v>194</v>
      </c>
      <c r="B196">
        <v>3213</v>
      </c>
      <c r="C196" t="b">
        <v>1</v>
      </c>
      <c r="D196">
        <v>8060</v>
      </c>
      <c r="E196">
        <v>8111</v>
      </c>
      <c r="F196">
        <v>20.733333999999999</v>
      </c>
      <c r="G196">
        <v>-16</v>
      </c>
      <c r="H196">
        <v>-1.2958333</v>
      </c>
      <c r="I196">
        <v>2.2958333</v>
      </c>
      <c r="J196">
        <v>-3.3802813999999999</v>
      </c>
    </row>
    <row r="197" spans="1:10" x14ac:dyDescent="0.3">
      <c r="A197">
        <v>195</v>
      </c>
      <c r="B197">
        <v>3228</v>
      </c>
      <c r="C197" t="b">
        <v>1</v>
      </c>
      <c r="D197">
        <v>8054</v>
      </c>
      <c r="E197">
        <v>8111</v>
      </c>
      <c r="F197">
        <v>20</v>
      </c>
      <c r="G197">
        <v>-16.399999999999999</v>
      </c>
      <c r="H197">
        <v>-1.2195122</v>
      </c>
      <c r="I197">
        <v>2.2195122</v>
      </c>
      <c r="J197">
        <v>-4.555555</v>
      </c>
    </row>
    <row r="198" spans="1:10" x14ac:dyDescent="0.3">
      <c r="A198">
        <v>196</v>
      </c>
      <c r="B198">
        <v>3244</v>
      </c>
      <c r="C198" t="b">
        <v>1</v>
      </c>
      <c r="D198">
        <v>8054</v>
      </c>
      <c r="E198">
        <v>8111</v>
      </c>
      <c r="F198">
        <v>19.600000000000001</v>
      </c>
      <c r="G198">
        <v>-15.6</v>
      </c>
      <c r="H198">
        <v>-1.2564101999999999</v>
      </c>
      <c r="I198">
        <v>2.2564104</v>
      </c>
      <c r="J198">
        <v>-3.9</v>
      </c>
    </row>
    <row r="199" spans="1:10" x14ac:dyDescent="0.3">
      <c r="A199">
        <v>197</v>
      </c>
      <c r="B199">
        <v>3260</v>
      </c>
      <c r="C199" t="b">
        <v>1</v>
      </c>
      <c r="D199">
        <v>8048</v>
      </c>
      <c r="E199">
        <v>8111</v>
      </c>
      <c r="F199">
        <v>19.2</v>
      </c>
      <c r="G199">
        <v>-14.8</v>
      </c>
      <c r="H199">
        <v>-1.2972973999999999</v>
      </c>
      <c r="I199">
        <v>2.2972972</v>
      </c>
      <c r="J199">
        <v>-3.3636360000000001</v>
      </c>
    </row>
    <row r="200" spans="1:10" x14ac:dyDescent="0.3">
      <c r="A200">
        <v>198</v>
      </c>
      <c r="B200">
        <v>3276</v>
      </c>
      <c r="C200" t="b">
        <v>1</v>
      </c>
      <c r="D200">
        <v>8060</v>
      </c>
      <c r="E200">
        <v>8105</v>
      </c>
      <c r="F200">
        <v>18.8</v>
      </c>
      <c r="G200">
        <v>-14</v>
      </c>
      <c r="H200">
        <v>-1.3428571</v>
      </c>
      <c r="I200">
        <v>2.3428570999999998</v>
      </c>
      <c r="J200">
        <v>-2.9166672</v>
      </c>
    </row>
    <row r="201" spans="1:10" x14ac:dyDescent="0.3">
      <c r="A201">
        <v>199</v>
      </c>
      <c r="B201">
        <v>3291</v>
      </c>
      <c r="C201" t="b">
        <v>1</v>
      </c>
      <c r="D201">
        <v>8065</v>
      </c>
      <c r="E201">
        <v>8105</v>
      </c>
      <c r="F201">
        <v>18.399999999999999</v>
      </c>
      <c r="G201">
        <v>-13.2</v>
      </c>
      <c r="H201">
        <v>-1.3939394000000001</v>
      </c>
      <c r="I201">
        <v>2.3939393</v>
      </c>
      <c r="J201">
        <v>-2.5384617</v>
      </c>
    </row>
    <row r="202" spans="1:10" x14ac:dyDescent="0.3">
      <c r="A202">
        <v>200</v>
      </c>
      <c r="B202">
        <v>3307</v>
      </c>
      <c r="C202" t="b">
        <v>1</v>
      </c>
      <c r="D202">
        <v>8071</v>
      </c>
      <c r="E202">
        <v>8105</v>
      </c>
      <c r="F202">
        <v>18.399999999999999</v>
      </c>
      <c r="G202">
        <v>-12.8</v>
      </c>
      <c r="H202">
        <v>-1.4375</v>
      </c>
      <c r="I202">
        <v>2.4375</v>
      </c>
      <c r="J202">
        <v>-2.2857145999999999</v>
      </c>
    </row>
    <row r="203" spans="1:10" x14ac:dyDescent="0.3">
      <c r="A203">
        <v>201</v>
      </c>
      <c r="B203">
        <v>3323</v>
      </c>
      <c r="C203" t="b">
        <v>1</v>
      </c>
      <c r="D203">
        <v>8065</v>
      </c>
      <c r="E203">
        <v>8105</v>
      </c>
      <c r="F203">
        <v>18.733333999999999</v>
      </c>
      <c r="G203">
        <v>-12.4</v>
      </c>
      <c r="H203">
        <v>-1.5107527999999999</v>
      </c>
      <c r="I203">
        <v>2.5107526999999998</v>
      </c>
      <c r="J203">
        <v>-1.9578944</v>
      </c>
    </row>
    <row r="204" spans="1:10" x14ac:dyDescent="0.3">
      <c r="A204">
        <v>202</v>
      </c>
      <c r="B204">
        <v>3339</v>
      </c>
      <c r="C204" t="b">
        <v>1</v>
      </c>
      <c r="D204">
        <v>8060</v>
      </c>
      <c r="E204">
        <v>8093</v>
      </c>
      <c r="F204">
        <v>19.066668</v>
      </c>
      <c r="G204">
        <v>-12</v>
      </c>
      <c r="H204">
        <v>-1.588889</v>
      </c>
      <c r="I204">
        <v>2.588889</v>
      </c>
      <c r="J204">
        <v>-1.698113</v>
      </c>
    </row>
    <row r="205" spans="1:10" x14ac:dyDescent="0.3">
      <c r="A205">
        <v>203</v>
      </c>
      <c r="B205">
        <v>3355</v>
      </c>
      <c r="C205" t="b">
        <v>1</v>
      </c>
      <c r="D205">
        <v>8060</v>
      </c>
      <c r="E205">
        <v>8093</v>
      </c>
      <c r="F205">
        <v>19.399999999999999</v>
      </c>
      <c r="G205">
        <v>-11.6</v>
      </c>
      <c r="H205">
        <v>-1.6724136999999999</v>
      </c>
      <c r="I205">
        <v>2.6724136000000001</v>
      </c>
      <c r="J205">
        <v>-1.4871795999999999</v>
      </c>
    </row>
    <row r="206" spans="1:10" x14ac:dyDescent="0.3">
      <c r="A206">
        <v>204</v>
      </c>
      <c r="B206">
        <v>3371</v>
      </c>
      <c r="C206" t="b">
        <v>1</v>
      </c>
      <c r="D206">
        <v>8060</v>
      </c>
      <c r="E206">
        <v>8105</v>
      </c>
      <c r="F206">
        <v>19.399999999999999</v>
      </c>
      <c r="G206">
        <v>-10.8</v>
      </c>
      <c r="H206">
        <v>-1.7962962</v>
      </c>
      <c r="I206">
        <v>2.7962964000000001</v>
      </c>
      <c r="J206">
        <v>-1.2558141</v>
      </c>
    </row>
    <row r="207" spans="1:10" x14ac:dyDescent="0.3">
      <c r="A207">
        <v>205</v>
      </c>
      <c r="B207">
        <v>3387</v>
      </c>
      <c r="C207" t="b">
        <v>1</v>
      </c>
      <c r="D207">
        <v>8060</v>
      </c>
      <c r="E207">
        <v>8099</v>
      </c>
      <c r="F207">
        <v>19.399999999999999</v>
      </c>
      <c r="G207">
        <v>-10.8</v>
      </c>
      <c r="H207">
        <v>-1.7962962</v>
      </c>
      <c r="I207">
        <v>2.7962964000000001</v>
      </c>
      <c r="J207">
        <v>-1.2558141</v>
      </c>
    </row>
    <row r="208" spans="1:10" x14ac:dyDescent="0.3">
      <c r="A208">
        <v>206</v>
      </c>
      <c r="B208">
        <v>3403</v>
      </c>
      <c r="C208" t="b">
        <v>1</v>
      </c>
      <c r="D208">
        <v>8048</v>
      </c>
      <c r="E208">
        <v>8105</v>
      </c>
      <c r="F208">
        <v>19.399999999999999</v>
      </c>
      <c r="G208">
        <v>-10.8</v>
      </c>
      <c r="H208">
        <v>-1.7962962</v>
      </c>
      <c r="I208">
        <v>2.7962964000000001</v>
      </c>
      <c r="J208">
        <v>-1.2558141</v>
      </c>
    </row>
    <row r="209" spans="1:10" x14ac:dyDescent="0.3">
      <c r="A209">
        <v>207</v>
      </c>
      <c r="B209">
        <v>3419</v>
      </c>
      <c r="C209" t="b">
        <v>1</v>
      </c>
      <c r="D209">
        <v>8054</v>
      </c>
      <c r="E209">
        <v>8099</v>
      </c>
      <c r="F209">
        <v>19.399999999999999</v>
      </c>
      <c r="G209">
        <v>-10.8</v>
      </c>
      <c r="H209">
        <v>-1.7962962</v>
      </c>
      <c r="I209">
        <v>2.7962964000000001</v>
      </c>
      <c r="J209">
        <v>-1.2558141</v>
      </c>
    </row>
    <row r="210" spans="1:10" x14ac:dyDescent="0.3">
      <c r="A210">
        <v>208</v>
      </c>
      <c r="B210">
        <v>3435</v>
      </c>
      <c r="C210" t="b">
        <v>1</v>
      </c>
      <c r="D210">
        <v>8060</v>
      </c>
      <c r="E210">
        <v>8105</v>
      </c>
      <c r="F210">
        <v>19.399999999999999</v>
      </c>
      <c r="G210">
        <v>-10.4</v>
      </c>
      <c r="H210">
        <v>-1.8653846999999999</v>
      </c>
      <c r="I210">
        <v>2.8653846000000001</v>
      </c>
      <c r="J210">
        <v>-1.1555555</v>
      </c>
    </row>
    <row r="211" spans="1:10" x14ac:dyDescent="0.3">
      <c r="A211">
        <v>209</v>
      </c>
      <c r="B211">
        <v>3451</v>
      </c>
      <c r="C211" t="b">
        <v>1</v>
      </c>
      <c r="D211">
        <v>8054</v>
      </c>
      <c r="E211">
        <v>8111</v>
      </c>
      <c r="F211">
        <v>19</v>
      </c>
      <c r="G211">
        <v>-10</v>
      </c>
      <c r="H211">
        <v>-1.9</v>
      </c>
      <c r="I211">
        <v>2.9</v>
      </c>
      <c r="J211">
        <v>-1.1111112000000001</v>
      </c>
    </row>
    <row r="212" spans="1:10" x14ac:dyDescent="0.3">
      <c r="A212">
        <v>210</v>
      </c>
      <c r="B212">
        <v>3467</v>
      </c>
      <c r="C212" t="b">
        <v>1</v>
      </c>
      <c r="D212">
        <v>8054</v>
      </c>
      <c r="E212">
        <v>8105</v>
      </c>
      <c r="F212">
        <v>18.600000000000001</v>
      </c>
      <c r="G212">
        <v>-9.6</v>
      </c>
      <c r="H212">
        <v>-1.9375</v>
      </c>
      <c r="I212">
        <v>2.9375</v>
      </c>
      <c r="J212">
        <v>-1.0666667000000001</v>
      </c>
    </row>
    <row r="213" spans="1:10" x14ac:dyDescent="0.3">
      <c r="A213">
        <v>211</v>
      </c>
      <c r="B213">
        <v>3483</v>
      </c>
      <c r="C213" t="b">
        <v>1</v>
      </c>
      <c r="D213">
        <v>8060</v>
      </c>
      <c r="E213">
        <v>8111</v>
      </c>
      <c r="F213">
        <v>18.600000000000001</v>
      </c>
      <c r="G213">
        <v>-10</v>
      </c>
      <c r="H213">
        <v>-1.86</v>
      </c>
      <c r="I213">
        <v>2.8600001000000002</v>
      </c>
      <c r="J213">
        <v>-1.1627907</v>
      </c>
    </row>
    <row r="214" spans="1:10" x14ac:dyDescent="0.3">
      <c r="A214">
        <v>212</v>
      </c>
      <c r="B214">
        <v>3499</v>
      </c>
      <c r="C214" t="b">
        <v>1</v>
      </c>
      <c r="D214">
        <v>8071</v>
      </c>
      <c r="E214">
        <v>8111</v>
      </c>
      <c r="F214">
        <v>19</v>
      </c>
      <c r="G214">
        <v>-10</v>
      </c>
      <c r="H214">
        <v>-1.9</v>
      </c>
      <c r="I214">
        <v>2.9</v>
      </c>
      <c r="J214">
        <v>-1.1111112000000001</v>
      </c>
    </row>
    <row r="215" spans="1:10" x14ac:dyDescent="0.3">
      <c r="A215">
        <v>213</v>
      </c>
      <c r="B215">
        <v>3515</v>
      </c>
      <c r="C215" t="b">
        <v>1</v>
      </c>
      <c r="D215">
        <v>8077</v>
      </c>
      <c r="E215">
        <v>8123</v>
      </c>
      <c r="F215">
        <v>19.399999999999999</v>
      </c>
      <c r="G215">
        <v>-10</v>
      </c>
      <c r="H215">
        <v>-1.9399999000000001</v>
      </c>
      <c r="I215">
        <v>2.94</v>
      </c>
      <c r="J215">
        <v>-1.0638297999999999</v>
      </c>
    </row>
    <row r="216" spans="1:10" x14ac:dyDescent="0.3">
      <c r="A216">
        <v>214</v>
      </c>
      <c r="B216">
        <v>3531</v>
      </c>
      <c r="C216" t="b">
        <v>1</v>
      </c>
      <c r="D216">
        <v>8060</v>
      </c>
      <c r="E216">
        <v>8105</v>
      </c>
      <c r="F216">
        <v>19.8</v>
      </c>
      <c r="G216">
        <v>-10</v>
      </c>
      <c r="H216">
        <v>-1.9799998999999999</v>
      </c>
      <c r="I216">
        <v>2.98</v>
      </c>
      <c r="J216">
        <v>-1.0204082999999999</v>
      </c>
    </row>
    <row r="217" spans="1:10" x14ac:dyDescent="0.3">
      <c r="A217">
        <v>215</v>
      </c>
      <c r="B217">
        <v>3546</v>
      </c>
      <c r="C217" t="b">
        <v>1</v>
      </c>
      <c r="D217">
        <v>8060</v>
      </c>
      <c r="E217">
        <v>8105</v>
      </c>
      <c r="F217">
        <v>19.8</v>
      </c>
      <c r="G217">
        <v>-9.6</v>
      </c>
      <c r="H217">
        <v>-2.0624997999999999</v>
      </c>
      <c r="I217">
        <v>3.0624997999999999</v>
      </c>
      <c r="J217">
        <v>-0.94117660000000003</v>
      </c>
    </row>
    <row r="218" spans="1:10" x14ac:dyDescent="0.3">
      <c r="A218">
        <v>216</v>
      </c>
      <c r="B218">
        <v>3562</v>
      </c>
      <c r="C218" t="b">
        <v>1</v>
      </c>
      <c r="D218">
        <v>8060</v>
      </c>
      <c r="E218">
        <v>8105</v>
      </c>
      <c r="F218">
        <v>19.466667000000001</v>
      </c>
      <c r="G218">
        <v>-9.6</v>
      </c>
      <c r="H218">
        <v>-2.0277777000000001</v>
      </c>
      <c r="I218">
        <v>3.0277777000000001</v>
      </c>
      <c r="J218">
        <v>-0.97297299999999998</v>
      </c>
    </row>
    <row r="219" spans="1:10" x14ac:dyDescent="0.3">
      <c r="A219">
        <v>217</v>
      </c>
      <c r="B219">
        <v>3578</v>
      </c>
      <c r="C219" t="b">
        <v>1</v>
      </c>
      <c r="D219">
        <v>8060</v>
      </c>
      <c r="E219">
        <v>8105</v>
      </c>
      <c r="F219">
        <v>19.133333</v>
      </c>
      <c r="G219">
        <v>-9.6</v>
      </c>
      <c r="H219">
        <v>-1.9930555000000001</v>
      </c>
      <c r="I219">
        <v>2.9930555999999999</v>
      </c>
      <c r="J219">
        <v>-1.006993</v>
      </c>
    </row>
    <row r="220" spans="1:10" x14ac:dyDescent="0.3">
      <c r="A220">
        <v>218</v>
      </c>
      <c r="B220">
        <v>3593</v>
      </c>
      <c r="C220" t="b">
        <v>1</v>
      </c>
      <c r="D220">
        <v>8060</v>
      </c>
      <c r="E220">
        <v>8111</v>
      </c>
      <c r="F220">
        <v>18.8</v>
      </c>
      <c r="G220">
        <v>-9.6</v>
      </c>
      <c r="H220">
        <v>-1.9583330999999999</v>
      </c>
      <c r="I220">
        <v>2.9583333000000001</v>
      </c>
      <c r="J220">
        <v>-1.0434785</v>
      </c>
    </row>
    <row r="221" spans="1:10" x14ac:dyDescent="0.3">
      <c r="A221">
        <v>219</v>
      </c>
      <c r="B221">
        <v>3609</v>
      </c>
      <c r="C221" t="b">
        <v>1</v>
      </c>
      <c r="D221">
        <v>8065</v>
      </c>
      <c r="E221">
        <v>8111</v>
      </c>
      <c r="F221">
        <v>18.8</v>
      </c>
      <c r="G221">
        <v>-9.6</v>
      </c>
      <c r="H221">
        <v>-1.9583330999999999</v>
      </c>
      <c r="I221">
        <v>2.9583333000000001</v>
      </c>
      <c r="J221">
        <v>-1.0434785</v>
      </c>
    </row>
    <row r="222" spans="1:10" x14ac:dyDescent="0.3">
      <c r="A222">
        <v>220</v>
      </c>
      <c r="B222">
        <v>3625</v>
      </c>
      <c r="C222" t="b">
        <v>1</v>
      </c>
      <c r="D222">
        <v>8071</v>
      </c>
      <c r="E222">
        <v>8105</v>
      </c>
      <c r="F222">
        <v>18.8</v>
      </c>
      <c r="G222">
        <v>-9.1999999999999993</v>
      </c>
      <c r="H222">
        <v>-2.0434782999999999</v>
      </c>
      <c r="I222">
        <v>3.0434782999999999</v>
      </c>
      <c r="J222">
        <v>-0.9583334</v>
      </c>
    </row>
    <row r="223" spans="1:10" x14ac:dyDescent="0.3">
      <c r="A223">
        <v>221</v>
      </c>
      <c r="B223">
        <v>3641</v>
      </c>
      <c r="C223" t="b">
        <v>1</v>
      </c>
      <c r="D223">
        <v>8060</v>
      </c>
      <c r="E223">
        <v>8099</v>
      </c>
      <c r="F223">
        <v>18.8</v>
      </c>
      <c r="G223">
        <v>-8.8000000000000007</v>
      </c>
      <c r="H223">
        <v>-2.1363634999999999</v>
      </c>
      <c r="I223">
        <v>3.1363634999999999</v>
      </c>
      <c r="J223">
        <v>-0.88000009999999995</v>
      </c>
    </row>
    <row r="224" spans="1:10" x14ac:dyDescent="0.3">
      <c r="A224">
        <v>222</v>
      </c>
      <c r="B224">
        <v>3657</v>
      </c>
      <c r="C224" t="b">
        <v>1</v>
      </c>
      <c r="D224">
        <v>8065</v>
      </c>
      <c r="E224">
        <v>8111</v>
      </c>
      <c r="F224">
        <v>19.133333</v>
      </c>
      <c r="G224">
        <v>-8</v>
      </c>
      <c r="H224">
        <v>-2.3916667</v>
      </c>
      <c r="I224">
        <v>3.3916667</v>
      </c>
      <c r="J224">
        <v>-0.7185629</v>
      </c>
    </row>
    <row r="225" spans="1:10" x14ac:dyDescent="0.3">
      <c r="A225">
        <v>223</v>
      </c>
      <c r="B225">
        <v>3673</v>
      </c>
      <c r="C225" t="b">
        <v>1</v>
      </c>
      <c r="D225">
        <v>8065</v>
      </c>
      <c r="E225">
        <v>8111</v>
      </c>
      <c r="F225">
        <v>19.466667000000001</v>
      </c>
      <c r="G225">
        <v>-7.6</v>
      </c>
      <c r="H225">
        <v>-2.5614034999999999</v>
      </c>
      <c r="I225">
        <v>3.5614037999999999</v>
      </c>
      <c r="J225">
        <v>-0.64044939999999995</v>
      </c>
    </row>
    <row r="226" spans="1:10" x14ac:dyDescent="0.3">
      <c r="A226">
        <v>224</v>
      </c>
      <c r="B226">
        <v>3689</v>
      </c>
      <c r="C226" t="b">
        <v>1</v>
      </c>
      <c r="D226">
        <v>8054</v>
      </c>
      <c r="E226">
        <v>8111</v>
      </c>
      <c r="F226">
        <v>20.2</v>
      </c>
      <c r="G226">
        <v>-7.2</v>
      </c>
      <c r="H226">
        <v>-2.8055558</v>
      </c>
      <c r="I226">
        <v>3.8055558</v>
      </c>
      <c r="J226">
        <v>-0.55384610000000001</v>
      </c>
    </row>
    <row r="227" spans="1:10" x14ac:dyDescent="0.3">
      <c r="A227">
        <v>225</v>
      </c>
      <c r="B227">
        <v>3705</v>
      </c>
      <c r="C227" t="b">
        <v>1</v>
      </c>
      <c r="D227">
        <v>8054</v>
      </c>
      <c r="E227">
        <v>8093</v>
      </c>
      <c r="F227">
        <v>20.6</v>
      </c>
      <c r="G227">
        <v>-6.8</v>
      </c>
      <c r="H227">
        <v>-3.0294118000000001</v>
      </c>
      <c r="I227">
        <v>4.0294119999999998</v>
      </c>
      <c r="J227">
        <v>-0.49275362</v>
      </c>
    </row>
    <row r="228" spans="1:10" x14ac:dyDescent="0.3">
      <c r="A228">
        <v>226</v>
      </c>
      <c r="B228">
        <v>3721</v>
      </c>
      <c r="C228" t="b">
        <v>1</v>
      </c>
      <c r="D228">
        <v>8054</v>
      </c>
      <c r="E228">
        <v>8105</v>
      </c>
      <c r="F228">
        <v>20.6</v>
      </c>
      <c r="G228">
        <v>-6.4</v>
      </c>
      <c r="H228">
        <v>-3.21875</v>
      </c>
      <c r="I228">
        <v>4.21875</v>
      </c>
      <c r="J228">
        <v>-0.45070421999999999</v>
      </c>
    </row>
    <row r="229" spans="1:10" x14ac:dyDescent="0.3">
      <c r="A229">
        <v>227</v>
      </c>
      <c r="B229">
        <v>3737</v>
      </c>
      <c r="C229" t="b">
        <v>1</v>
      </c>
      <c r="D229">
        <v>8060</v>
      </c>
      <c r="E229">
        <v>8105</v>
      </c>
      <c r="F229">
        <v>20.2</v>
      </c>
      <c r="G229">
        <v>-6.8</v>
      </c>
      <c r="H229">
        <v>-2.9705881999999999</v>
      </c>
      <c r="I229">
        <v>3.9705881999999999</v>
      </c>
      <c r="J229">
        <v>-0.50746270000000004</v>
      </c>
    </row>
    <row r="230" spans="1:10" x14ac:dyDescent="0.3">
      <c r="A230">
        <v>228</v>
      </c>
      <c r="B230">
        <v>3753</v>
      </c>
      <c r="C230" t="b">
        <v>1</v>
      </c>
      <c r="D230">
        <v>8048</v>
      </c>
      <c r="E230">
        <v>8105</v>
      </c>
      <c r="F230">
        <v>19.8</v>
      </c>
      <c r="G230">
        <v>-7.2</v>
      </c>
      <c r="H230">
        <v>-2.75</v>
      </c>
      <c r="I230">
        <v>3.75</v>
      </c>
      <c r="J230">
        <v>-0.57142859999999995</v>
      </c>
    </row>
    <row r="231" spans="1:10" x14ac:dyDescent="0.3">
      <c r="A231">
        <v>229</v>
      </c>
      <c r="B231">
        <v>3769</v>
      </c>
      <c r="C231" t="b">
        <v>1</v>
      </c>
      <c r="D231">
        <v>8054</v>
      </c>
      <c r="E231">
        <v>8117</v>
      </c>
      <c r="F231">
        <v>19.399999999999999</v>
      </c>
      <c r="G231">
        <v>-7.6</v>
      </c>
      <c r="H231">
        <v>-2.5526315999999998</v>
      </c>
      <c r="I231">
        <v>3.5526315999999998</v>
      </c>
      <c r="J231">
        <v>-0.64406779999999997</v>
      </c>
    </row>
    <row r="232" spans="1:10" x14ac:dyDescent="0.3">
      <c r="A232">
        <v>230</v>
      </c>
      <c r="B232">
        <v>3785</v>
      </c>
      <c r="C232" t="b">
        <v>1</v>
      </c>
      <c r="D232">
        <v>8060</v>
      </c>
      <c r="E232">
        <v>8105</v>
      </c>
      <c r="F232">
        <v>19</v>
      </c>
      <c r="G232">
        <v>-8</v>
      </c>
      <c r="H232">
        <v>-2.375</v>
      </c>
      <c r="I232">
        <v>3.375</v>
      </c>
      <c r="J232">
        <v>-0.72727275000000002</v>
      </c>
    </row>
    <row r="233" spans="1:10" x14ac:dyDescent="0.3">
      <c r="A233">
        <v>231</v>
      </c>
      <c r="B233">
        <v>3801</v>
      </c>
      <c r="C233" t="b">
        <v>1</v>
      </c>
      <c r="D233">
        <v>8054</v>
      </c>
      <c r="E233">
        <v>8105</v>
      </c>
      <c r="F233">
        <v>18.600000000000001</v>
      </c>
      <c r="G233">
        <v>-8</v>
      </c>
      <c r="H233">
        <v>-2.3250000000000002</v>
      </c>
      <c r="I233">
        <v>3.3250000000000002</v>
      </c>
      <c r="J233">
        <v>-0.75471692999999995</v>
      </c>
    </row>
    <row r="234" spans="1:10" x14ac:dyDescent="0.3">
      <c r="A234">
        <v>232</v>
      </c>
      <c r="B234">
        <v>3817</v>
      </c>
      <c r="C234" t="b">
        <v>1</v>
      </c>
      <c r="D234">
        <v>8060</v>
      </c>
      <c r="E234">
        <v>8111</v>
      </c>
      <c r="F234">
        <v>18.2</v>
      </c>
      <c r="G234">
        <v>-8</v>
      </c>
      <c r="H234">
        <v>-2.2749999999999999</v>
      </c>
      <c r="I234">
        <v>3.2749999999999999</v>
      </c>
      <c r="J234">
        <v>-0.7843137</v>
      </c>
    </row>
    <row r="235" spans="1:10" x14ac:dyDescent="0.3">
      <c r="A235">
        <v>233</v>
      </c>
      <c r="B235">
        <v>3833</v>
      </c>
      <c r="C235" t="b">
        <v>1</v>
      </c>
      <c r="D235">
        <v>8060</v>
      </c>
      <c r="E235">
        <v>8111</v>
      </c>
      <c r="F235">
        <v>18.2</v>
      </c>
      <c r="G235">
        <v>-7.6</v>
      </c>
      <c r="H235">
        <v>-2.3947370000000001</v>
      </c>
      <c r="I235">
        <v>3.3947370000000001</v>
      </c>
      <c r="J235">
        <v>-0.71698110000000004</v>
      </c>
    </row>
    <row r="236" spans="1:10" x14ac:dyDescent="0.3">
      <c r="A236">
        <v>234</v>
      </c>
      <c r="B236">
        <v>3848</v>
      </c>
      <c r="C236" t="b">
        <v>1</v>
      </c>
      <c r="D236">
        <v>8065</v>
      </c>
      <c r="E236">
        <v>8111</v>
      </c>
      <c r="F236">
        <v>18.2</v>
      </c>
      <c r="G236">
        <v>-7.2</v>
      </c>
      <c r="H236">
        <v>-2.5277780000000001</v>
      </c>
      <c r="I236">
        <v>3.5277780999999999</v>
      </c>
      <c r="J236">
        <v>-0.65454537000000002</v>
      </c>
    </row>
    <row r="237" spans="1:10" x14ac:dyDescent="0.3">
      <c r="A237">
        <v>235</v>
      </c>
      <c r="B237">
        <v>3864</v>
      </c>
      <c r="C237" t="b">
        <v>1</v>
      </c>
      <c r="D237">
        <v>8065</v>
      </c>
      <c r="E237">
        <v>8111</v>
      </c>
      <c r="F237">
        <v>18.2</v>
      </c>
      <c r="G237">
        <v>-6.8</v>
      </c>
      <c r="H237">
        <v>-2.6764705000000002</v>
      </c>
      <c r="I237">
        <v>3.6764705000000002</v>
      </c>
      <c r="J237">
        <v>-0.5964912</v>
      </c>
    </row>
    <row r="238" spans="1:10" x14ac:dyDescent="0.3">
      <c r="A238">
        <v>236</v>
      </c>
      <c r="B238">
        <v>3880</v>
      </c>
      <c r="C238" t="b">
        <v>1</v>
      </c>
      <c r="D238">
        <v>8060</v>
      </c>
      <c r="E238">
        <v>8111</v>
      </c>
      <c r="F238">
        <v>18.2</v>
      </c>
      <c r="G238">
        <v>-6.4</v>
      </c>
      <c r="H238">
        <v>-2.84375</v>
      </c>
      <c r="I238">
        <v>3.84375</v>
      </c>
      <c r="J238">
        <v>-0.54237279999999999</v>
      </c>
    </row>
    <row r="239" spans="1:10" x14ac:dyDescent="0.3">
      <c r="A239">
        <v>237</v>
      </c>
      <c r="B239">
        <v>3896</v>
      </c>
      <c r="C239" t="b">
        <v>1</v>
      </c>
      <c r="D239">
        <v>8054</v>
      </c>
      <c r="E239">
        <v>8099</v>
      </c>
      <c r="F239">
        <v>17.866667</v>
      </c>
      <c r="G239">
        <v>-6.4</v>
      </c>
      <c r="H239">
        <v>-2.7916666999999999</v>
      </c>
      <c r="I239">
        <v>3.7916664999999998</v>
      </c>
      <c r="J239">
        <v>-0.55813950000000001</v>
      </c>
    </row>
    <row r="240" spans="1:10" x14ac:dyDescent="0.3">
      <c r="A240">
        <v>238</v>
      </c>
      <c r="B240">
        <v>3912</v>
      </c>
      <c r="C240" t="b">
        <v>1</v>
      </c>
      <c r="D240">
        <v>8065</v>
      </c>
      <c r="E240">
        <v>8105</v>
      </c>
      <c r="F240">
        <v>17.866667</v>
      </c>
      <c r="G240">
        <v>-6.4</v>
      </c>
      <c r="H240">
        <v>-2.7916666999999999</v>
      </c>
      <c r="I240">
        <v>3.7916664999999998</v>
      </c>
      <c r="J240">
        <v>-0.55813950000000001</v>
      </c>
    </row>
    <row r="241" spans="1:10" x14ac:dyDescent="0.3">
      <c r="A241">
        <v>239</v>
      </c>
      <c r="B241">
        <v>3928</v>
      </c>
      <c r="C241" t="b">
        <v>1</v>
      </c>
      <c r="D241">
        <v>8060</v>
      </c>
      <c r="E241">
        <v>8099</v>
      </c>
      <c r="F241">
        <v>17.533332999999999</v>
      </c>
      <c r="G241">
        <v>-6.8</v>
      </c>
      <c r="H241">
        <v>-2.5784311</v>
      </c>
      <c r="I241">
        <v>3.5784311</v>
      </c>
      <c r="J241">
        <v>-0.63354045000000003</v>
      </c>
    </row>
    <row r="242" spans="1:10" x14ac:dyDescent="0.3">
      <c r="A242">
        <v>240</v>
      </c>
      <c r="B242">
        <v>3944</v>
      </c>
      <c r="C242" t="b">
        <v>1</v>
      </c>
      <c r="D242">
        <v>8060</v>
      </c>
      <c r="E242">
        <v>8099</v>
      </c>
      <c r="F242">
        <v>17.533332999999999</v>
      </c>
      <c r="G242">
        <v>-7.6</v>
      </c>
      <c r="H242">
        <v>-2.3070176</v>
      </c>
      <c r="I242">
        <v>3.3070176</v>
      </c>
      <c r="J242">
        <v>-0.76510069999999997</v>
      </c>
    </row>
    <row r="243" spans="1:10" x14ac:dyDescent="0.3">
      <c r="A243">
        <v>241</v>
      </c>
      <c r="B243">
        <v>3960</v>
      </c>
      <c r="C243" t="b">
        <v>1</v>
      </c>
      <c r="D243">
        <v>8054</v>
      </c>
      <c r="E243">
        <v>8093</v>
      </c>
      <c r="F243">
        <v>17.933332</v>
      </c>
      <c r="G243">
        <v>-8.4</v>
      </c>
      <c r="H243">
        <v>-2.1349206000000001</v>
      </c>
      <c r="I243">
        <v>3.1349206000000001</v>
      </c>
      <c r="J243">
        <v>-0.88111890000000004</v>
      </c>
    </row>
    <row r="244" spans="1:10" x14ac:dyDescent="0.3">
      <c r="A244">
        <v>242</v>
      </c>
      <c r="B244">
        <v>3976</v>
      </c>
      <c r="C244" t="b">
        <v>1</v>
      </c>
      <c r="D244">
        <v>8060</v>
      </c>
      <c r="E244">
        <v>8093</v>
      </c>
      <c r="F244">
        <v>18.333334000000001</v>
      </c>
      <c r="G244">
        <v>-8.8000000000000007</v>
      </c>
      <c r="H244">
        <v>-2.0833333000000001</v>
      </c>
      <c r="I244">
        <v>3.0833335000000002</v>
      </c>
      <c r="J244">
        <v>-0.92307689999999998</v>
      </c>
    </row>
    <row r="245" spans="1:10" x14ac:dyDescent="0.3">
      <c r="A245">
        <v>243</v>
      </c>
      <c r="B245">
        <v>3992</v>
      </c>
      <c r="C245" t="b">
        <v>1</v>
      </c>
      <c r="D245">
        <v>8060</v>
      </c>
      <c r="E245">
        <v>8105</v>
      </c>
      <c r="F245">
        <v>18.733333999999999</v>
      </c>
      <c r="G245">
        <v>-9.1999999999999993</v>
      </c>
      <c r="H245">
        <v>-2.036232</v>
      </c>
      <c r="I245">
        <v>3.036232</v>
      </c>
      <c r="J245">
        <v>-0.96503490000000003</v>
      </c>
    </row>
    <row r="246" spans="1:10" x14ac:dyDescent="0.3">
      <c r="A246">
        <v>244</v>
      </c>
      <c r="B246">
        <v>4008</v>
      </c>
      <c r="C246" t="b">
        <v>1</v>
      </c>
      <c r="D246">
        <v>8071</v>
      </c>
      <c r="E246">
        <v>8105</v>
      </c>
      <c r="F246">
        <v>19.133333</v>
      </c>
      <c r="G246">
        <v>-9.6</v>
      </c>
      <c r="H246">
        <v>-1.9930555000000001</v>
      </c>
      <c r="I246">
        <v>2.9930555999999999</v>
      </c>
      <c r="J246">
        <v>-1.006993</v>
      </c>
    </row>
    <row r="247" spans="1:10" x14ac:dyDescent="0.3">
      <c r="A247">
        <v>245</v>
      </c>
      <c r="B247">
        <v>4023</v>
      </c>
      <c r="C247" t="b">
        <v>1</v>
      </c>
      <c r="D247">
        <v>8077</v>
      </c>
      <c r="E247">
        <v>8105</v>
      </c>
      <c r="F247">
        <v>19.533332999999999</v>
      </c>
      <c r="G247">
        <v>-9.6</v>
      </c>
      <c r="H247">
        <v>-2.0347219999999999</v>
      </c>
      <c r="I247">
        <v>3.0347219999999999</v>
      </c>
      <c r="J247">
        <v>-0.96644306000000002</v>
      </c>
    </row>
    <row r="248" spans="1:10" x14ac:dyDescent="0.3">
      <c r="A248">
        <v>246</v>
      </c>
      <c r="B248">
        <v>4039</v>
      </c>
      <c r="C248" t="b">
        <v>1</v>
      </c>
      <c r="D248">
        <v>8077</v>
      </c>
      <c r="E248">
        <v>8117</v>
      </c>
      <c r="F248">
        <v>20.666665999999999</v>
      </c>
      <c r="G248">
        <v>-9.6</v>
      </c>
      <c r="H248">
        <v>-2.1527777000000001</v>
      </c>
      <c r="I248">
        <v>3.1527777000000001</v>
      </c>
      <c r="J248">
        <v>-0.86746997000000003</v>
      </c>
    </row>
    <row r="249" spans="1:10" x14ac:dyDescent="0.3">
      <c r="A249">
        <v>247</v>
      </c>
      <c r="B249">
        <v>4055</v>
      </c>
      <c r="C249" t="b">
        <v>1</v>
      </c>
      <c r="D249">
        <v>8065</v>
      </c>
      <c r="E249">
        <v>8099</v>
      </c>
      <c r="F249">
        <v>21.8</v>
      </c>
      <c r="G249">
        <v>-9.6</v>
      </c>
      <c r="H249">
        <v>-2.2708333000000001</v>
      </c>
      <c r="I249">
        <v>3.2708333000000001</v>
      </c>
      <c r="J249">
        <v>-0.78688539999999996</v>
      </c>
    </row>
    <row r="250" spans="1:10" x14ac:dyDescent="0.3">
      <c r="A250">
        <v>248</v>
      </c>
      <c r="B250">
        <v>4071</v>
      </c>
      <c r="C250" t="b">
        <v>1</v>
      </c>
      <c r="D250">
        <v>8060</v>
      </c>
      <c r="E250">
        <v>8105</v>
      </c>
      <c r="F250">
        <v>22.533332999999999</v>
      </c>
      <c r="G250">
        <v>-10</v>
      </c>
      <c r="H250">
        <v>-2.2533333</v>
      </c>
      <c r="I250">
        <v>3.2533333</v>
      </c>
      <c r="J250">
        <v>-0.79787235999999995</v>
      </c>
    </row>
    <row r="251" spans="1:10" x14ac:dyDescent="0.3">
      <c r="A251">
        <v>249</v>
      </c>
      <c r="B251">
        <v>4087</v>
      </c>
      <c r="C251" t="b">
        <v>1</v>
      </c>
      <c r="D251">
        <v>8054</v>
      </c>
      <c r="E251">
        <v>8105</v>
      </c>
      <c r="F251">
        <v>22.866667</v>
      </c>
      <c r="G251">
        <v>-10.4</v>
      </c>
      <c r="H251">
        <v>-2.198718</v>
      </c>
      <c r="I251">
        <v>3.198718</v>
      </c>
      <c r="J251">
        <v>-0.83422450000000004</v>
      </c>
    </row>
    <row r="252" spans="1:10" x14ac:dyDescent="0.3">
      <c r="A252">
        <v>250</v>
      </c>
      <c r="B252">
        <v>4103</v>
      </c>
      <c r="C252" t="b">
        <v>1</v>
      </c>
      <c r="D252">
        <v>8060</v>
      </c>
      <c r="E252">
        <v>8105</v>
      </c>
      <c r="F252">
        <v>22.866667</v>
      </c>
      <c r="G252">
        <v>-10.8</v>
      </c>
      <c r="H252">
        <v>-2.1172838</v>
      </c>
      <c r="I252">
        <v>3.1172840000000002</v>
      </c>
      <c r="J252">
        <v>-0.89502764000000001</v>
      </c>
    </row>
    <row r="253" spans="1:10" x14ac:dyDescent="0.3">
      <c r="A253">
        <v>251</v>
      </c>
      <c r="B253">
        <v>4119</v>
      </c>
      <c r="C253" t="b">
        <v>1</v>
      </c>
      <c r="D253">
        <v>8060</v>
      </c>
      <c r="E253">
        <v>8105</v>
      </c>
      <c r="F253">
        <v>22.866667</v>
      </c>
      <c r="G253">
        <v>-11.2</v>
      </c>
      <c r="H253">
        <v>-2.0416666999999999</v>
      </c>
      <c r="I253">
        <v>3.0416666999999999</v>
      </c>
      <c r="J253">
        <v>-0.96</v>
      </c>
    </row>
    <row r="254" spans="1:10" x14ac:dyDescent="0.3">
      <c r="A254">
        <v>252</v>
      </c>
      <c r="B254">
        <v>4135</v>
      </c>
      <c r="C254" t="b">
        <v>1</v>
      </c>
      <c r="D254">
        <v>8054</v>
      </c>
      <c r="E254">
        <v>8105</v>
      </c>
      <c r="F254">
        <v>22.866667</v>
      </c>
      <c r="G254">
        <v>-11.6</v>
      </c>
      <c r="H254">
        <v>-1.9712643999999999</v>
      </c>
      <c r="I254">
        <v>2.9712643999999999</v>
      </c>
      <c r="J254">
        <v>-1.0295858</v>
      </c>
    </row>
    <row r="255" spans="1:10" x14ac:dyDescent="0.3">
      <c r="A255">
        <v>253</v>
      </c>
      <c r="B255">
        <v>4151</v>
      </c>
      <c r="C255" t="b">
        <v>1</v>
      </c>
      <c r="D255">
        <v>8060</v>
      </c>
      <c r="E255">
        <v>8111</v>
      </c>
      <c r="F255">
        <v>22.533332999999999</v>
      </c>
      <c r="G255">
        <v>-12</v>
      </c>
      <c r="H255">
        <v>-1.8777777</v>
      </c>
      <c r="I255">
        <v>2.8777778000000001</v>
      </c>
      <c r="J255">
        <v>-1.1392405000000001</v>
      </c>
    </row>
    <row r="256" spans="1:10" x14ac:dyDescent="0.3">
      <c r="A256">
        <v>254</v>
      </c>
      <c r="B256">
        <v>4167</v>
      </c>
      <c r="C256" t="b">
        <v>1</v>
      </c>
      <c r="D256">
        <v>8065</v>
      </c>
      <c r="E256">
        <v>8105</v>
      </c>
      <c r="F256">
        <v>22.533332999999999</v>
      </c>
      <c r="G256">
        <v>-12</v>
      </c>
      <c r="H256">
        <v>-1.8777777</v>
      </c>
      <c r="I256">
        <v>2.8777778000000001</v>
      </c>
      <c r="J256">
        <v>-1.1392405000000001</v>
      </c>
    </row>
    <row r="257" spans="1:10" x14ac:dyDescent="0.3">
      <c r="A257">
        <v>255</v>
      </c>
      <c r="B257">
        <v>4183</v>
      </c>
      <c r="C257" t="b">
        <v>1</v>
      </c>
      <c r="D257">
        <v>8060</v>
      </c>
      <c r="E257">
        <v>8111</v>
      </c>
      <c r="F257">
        <v>22.533332999999999</v>
      </c>
      <c r="G257">
        <v>-11.6</v>
      </c>
      <c r="H257">
        <v>-1.9425285999999999</v>
      </c>
      <c r="I257">
        <v>2.9425284999999999</v>
      </c>
      <c r="J257">
        <v>-1.0609758</v>
      </c>
    </row>
    <row r="258" spans="1:10" x14ac:dyDescent="0.3">
      <c r="A258">
        <v>256</v>
      </c>
      <c r="B258">
        <v>4199</v>
      </c>
      <c r="C258" t="b">
        <v>1</v>
      </c>
      <c r="D258">
        <v>8065</v>
      </c>
      <c r="E258">
        <v>8105</v>
      </c>
      <c r="F258">
        <v>22.533332999999999</v>
      </c>
      <c r="G258">
        <v>-11.2</v>
      </c>
      <c r="H258">
        <v>-2.0119047000000001</v>
      </c>
      <c r="I258">
        <v>3.0119050000000001</v>
      </c>
      <c r="J258">
        <v>-0.98823530000000004</v>
      </c>
    </row>
    <row r="259" spans="1:10" x14ac:dyDescent="0.3">
      <c r="A259">
        <v>257</v>
      </c>
      <c r="B259">
        <v>4215</v>
      </c>
      <c r="C259" t="b">
        <v>1</v>
      </c>
      <c r="D259">
        <v>8060</v>
      </c>
      <c r="E259">
        <v>8105</v>
      </c>
      <c r="F259">
        <v>22.533332999999999</v>
      </c>
      <c r="G259">
        <v>-10.8</v>
      </c>
      <c r="H259">
        <v>-2.0864196000000002</v>
      </c>
      <c r="I259">
        <v>3.0864196000000002</v>
      </c>
      <c r="J259">
        <v>-0.92045460000000001</v>
      </c>
    </row>
    <row r="260" spans="1:10" x14ac:dyDescent="0.3">
      <c r="A260">
        <v>258</v>
      </c>
      <c r="B260">
        <v>4231</v>
      </c>
      <c r="C260" t="b">
        <v>1</v>
      </c>
      <c r="D260">
        <v>8060</v>
      </c>
      <c r="E260">
        <v>8105</v>
      </c>
      <c r="F260">
        <v>22.533332999999999</v>
      </c>
      <c r="G260">
        <v>-10.4</v>
      </c>
      <c r="H260">
        <v>-2.1666666999999999</v>
      </c>
      <c r="I260">
        <v>3.1666669999999999</v>
      </c>
      <c r="J260">
        <v>-0.85714279999999998</v>
      </c>
    </row>
    <row r="261" spans="1:10" x14ac:dyDescent="0.3">
      <c r="A261">
        <v>259</v>
      </c>
      <c r="B261">
        <v>4247</v>
      </c>
      <c r="C261" t="b">
        <v>1</v>
      </c>
      <c r="D261">
        <v>8060</v>
      </c>
      <c r="E261">
        <v>8105</v>
      </c>
      <c r="F261">
        <v>22.533332999999999</v>
      </c>
      <c r="G261">
        <v>-10</v>
      </c>
      <c r="H261">
        <v>-2.2533333</v>
      </c>
      <c r="I261">
        <v>3.2533333</v>
      </c>
      <c r="J261">
        <v>-0.79787235999999995</v>
      </c>
    </row>
    <row r="262" spans="1:10" x14ac:dyDescent="0.3">
      <c r="A262">
        <v>260</v>
      </c>
      <c r="B262">
        <v>4263</v>
      </c>
      <c r="C262" t="b">
        <v>1</v>
      </c>
      <c r="D262">
        <v>8060</v>
      </c>
      <c r="E262">
        <v>8099</v>
      </c>
      <c r="F262">
        <v>22.533332999999999</v>
      </c>
      <c r="G262">
        <v>-10</v>
      </c>
      <c r="H262">
        <v>-2.2533333</v>
      </c>
      <c r="I262">
        <v>3.2533333</v>
      </c>
      <c r="J262">
        <v>-0.79787235999999995</v>
      </c>
    </row>
    <row r="263" spans="1:10" x14ac:dyDescent="0.3">
      <c r="A263">
        <v>261</v>
      </c>
      <c r="B263">
        <v>4279</v>
      </c>
      <c r="C263" t="b">
        <v>1</v>
      </c>
      <c r="D263">
        <v>8071</v>
      </c>
      <c r="E263">
        <v>8105</v>
      </c>
      <c r="F263">
        <v>21.8</v>
      </c>
      <c r="G263">
        <v>-10</v>
      </c>
      <c r="H263">
        <v>-2.1799998</v>
      </c>
      <c r="I263">
        <v>3.1799998</v>
      </c>
      <c r="J263">
        <v>-0.84745769999999998</v>
      </c>
    </row>
    <row r="264" spans="1:10" x14ac:dyDescent="0.3">
      <c r="A264">
        <v>262</v>
      </c>
      <c r="B264">
        <v>4294</v>
      </c>
      <c r="C264" t="b">
        <v>1</v>
      </c>
      <c r="D264">
        <v>8048</v>
      </c>
      <c r="E264">
        <v>8099</v>
      </c>
      <c r="F264">
        <v>21.066668</v>
      </c>
      <c r="G264">
        <v>-10</v>
      </c>
      <c r="H264">
        <v>-2.1066668000000002</v>
      </c>
      <c r="I264">
        <v>3.1066668000000002</v>
      </c>
      <c r="J264">
        <v>-0.90361440000000004</v>
      </c>
    </row>
    <row r="265" spans="1:10" x14ac:dyDescent="0.3">
      <c r="A265">
        <v>263</v>
      </c>
      <c r="B265">
        <v>4310</v>
      </c>
      <c r="C265" t="b">
        <v>1</v>
      </c>
      <c r="D265">
        <v>8048</v>
      </c>
      <c r="E265">
        <v>8105</v>
      </c>
      <c r="F265">
        <v>20.333334000000001</v>
      </c>
      <c r="G265">
        <v>-10</v>
      </c>
      <c r="H265">
        <v>-2.0333332999999998</v>
      </c>
      <c r="I265">
        <v>3.0333332999999998</v>
      </c>
      <c r="J265">
        <v>-0.96774185000000001</v>
      </c>
    </row>
    <row r="266" spans="1:10" x14ac:dyDescent="0.3">
      <c r="A266">
        <v>264</v>
      </c>
      <c r="B266">
        <v>4326</v>
      </c>
      <c r="C266" t="b">
        <v>1</v>
      </c>
      <c r="D266">
        <v>8048</v>
      </c>
      <c r="E266">
        <v>8105</v>
      </c>
      <c r="F266">
        <v>19.2</v>
      </c>
      <c r="G266">
        <v>-10</v>
      </c>
      <c r="H266">
        <v>-1.9200001</v>
      </c>
      <c r="I266">
        <v>2.92</v>
      </c>
      <c r="J266">
        <v>-1.0869564</v>
      </c>
    </row>
    <row r="267" spans="1:10" x14ac:dyDescent="0.3">
      <c r="A267">
        <v>265</v>
      </c>
      <c r="B267">
        <v>4342</v>
      </c>
      <c r="C267" t="b">
        <v>1</v>
      </c>
      <c r="D267">
        <v>8054</v>
      </c>
      <c r="E267">
        <v>8105</v>
      </c>
      <c r="F267">
        <v>18.399999999999999</v>
      </c>
      <c r="G267">
        <v>-10</v>
      </c>
      <c r="H267">
        <v>-1.8399999</v>
      </c>
      <c r="I267">
        <v>2.84</v>
      </c>
      <c r="J267">
        <v>-1.1904763</v>
      </c>
    </row>
    <row r="268" spans="1:10" x14ac:dyDescent="0.3">
      <c r="A268">
        <v>266</v>
      </c>
      <c r="B268">
        <v>4357</v>
      </c>
      <c r="C268" t="b">
        <v>1</v>
      </c>
      <c r="D268">
        <v>8054</v>
      </c>
      <c r="E268">
        <v>8105</v>
      </c>
      <c r="F268">
        <v>17.600000000000001</v>
      </c>
      <c r="G268">
        <v>-10</v>
      </c>
      <c r="H268">
        <v>-1.76</v>
      </c>
      <c r="I268">
        <v>2.76</v>
      </c>
      <c r="J268">
        <v>-1.3157894999999999</v>
      </c>
    </row>
    <row r="269" spans="1:10" x14ac:dyDescent="0.3">
      <c r="A269">
        <v>267</v>
      </c>
      <c r="B269">
        <v>4373</v>
      </c>
      <c r="C269" t="b">
        <v>1</v>
      </c>
      <c r="D269">
        <v>8048</v>
      </c>
      <c r="E269">
        <v>8105</v>
      </c>
      <c r="F269">
        <v>16.8</v>
      </c>
      <c r="G269">
        <v>-10</v>
      </c>
      <c r="H269">
        <v>-1.68</v>
      </c>
      <c r="I269">
        <v>2.6799998</v>
      </c>
      <c r="J269">
        <v>-1.4705884</v>
      </c>
    </row>
    <row r="270" spans="1:10" x14ac:dyDescent="0.3">
      <c r="A270">
        <v>268</v>
      </c>
      <c r="B270">
        <v>4388</v>
      </c>
      <c r="C270" t="b">
        <v>1</v>
      </c>
      <c r="D270">
        <v>8065</v>
      </c>
      <c r="E270">
        <v>8111</v>
      </c>
      <c r="F270">
        <v>16.399999999999999</v>
      </c>
      <c r="G270">
        <v>-10</v>
      </c>
      <c r="H270">
        <v>-1.64</v>
      </c>
      <c r="I270">
        <v>2.6399998999999998</v>
      </c>
      <c r="J270">
        <v>-1.5625001000000001</v>
      </c>
    </row>
    <row r="271" spans="1:10" x14ac:dyDescent="0.3">
      <c r="A271">
        <v>269</v>
      </c>
      <c r="B271">
        <v>4405</v>
      </c>
      <c r="C271" t="b">
        <v>1</v>
      </c>
      <c r="D271">
        <v>8071</v>
      </c>
      <c r="E271">
        <v>8111</v>
      </c>
      <c r="F271">
        <v>16</v>
      </c>
      <c r="G271">
        <v>-10</v>
      </c>
      <c r="H271">
        <v>-1.6</v>
      </c>
      <c r="I271">
        <v>2.6</v>
      </c>
      <c r="J271">
        <v>-1.6666666000000001</v>
      </c>
    </row>
    <row r="272" spans="1:10" x14ac:dyDescent="0.3">
      <c r="A272">
        <v>270</v>
      </c>
      <c r="B272">
        <v>4420</v>
      </c>
      <c r="C272" t="b">
        <v>1</v>
      </c>
      <c r="D272">
        <v>8065</v>
      </c>
      <c r="E272">
        <v>8105</v>
      </c>
      <c r="F272">
        <v>16.333334000000001</v>
      </c>
      <c r="G272">
        <v>-10</v>
      </c>
      <c r="H272">
        <v>-1.6333333999999999</v>
      </c>
      <c r="I272">
        <v>2.6333334000000002</v>
      </c>
      <c r="J272">
        <v>-1.5789472</v>
      </c>
    </row>
    <row r="273" spans="1:10" x14ac:dyDescent="0.3">
      <c r="A273">
        <v>271</v>
      </c>
      <c r="B273">
        <v>4436</v>
      </c>
      <c r="C273" t="b">
        <v>1</v>
      </c>
      <c r="D273">
        <v>8065</v>
      </c>
      <c r="E273">
        <v>8105</v>
      </c>
      <c r="F273">
        <v>16.666665999999999</v>
      </c>
      <c r="G273">
        <v>-10</v>
      </c>
      <c r="H273">
        <v>-1.6666666000000001</v>
      </c>
      <c r="I273">
        <v>2.6666664999999998</v>
      </c>
      <c r="J273">
        <v>-1.5000001000000001</v>
      </c>
    </row>
    <row r="274" spans="1:10" x14ac:dyDescent="0.3">
      <c r="A274">
        <v>272</v>
      </c>
      <c r="B274">
        <v>4452</v>
      </c>
      <c r="C274" t="b">
        <v>1</v>
      </c>
      <c r="D274">
        <v>8060</v>
      </c>
      <c r="E274">
        <v>8105</v>
      </c>
      <c r="F274">
        <v>17</v>
      </c>
      <c r="G274">
        <v>-10</v>
      </c>
      <c r="H274">
        <v>-1.7</v>
      </c>
      <c r="I274">
        <v>2.7</v>
      </c>
      <c r="J274">
        <v>-1.4285715000000001</v>
      </c>
    </row>
    <row r="275" spans="1:10" x14ac:dyDescent="0.3">
      <c r="A275">
        <v>273</v>
      </c>
      <c r="B275">
        <v>4468</v>
      </c>
      <c r="C275" t="b">
        <v>1</v>
      </c>
      <c r="D275">
        <v>8060</v>
      </c>
      <c r="E275">
        <v>8111</v>
      </c>
      <c r="F275">
        <v>17.333334000000001</v>
      </c>
      <c r="G275">
        <v>-10</v>
      </c>
      <c r="H275">
        <v>-1.7333333</v>
      </c>
      <c r="I275">
        <v>2.7333333</v>
      </c>
      <c r="J275">
        <v>-1.3636363</v>
      </c>
    </row>
    <row r="276" spans="1:10" x14ac:dyDescent="0.3">
      <c r="A276">
        <v>274</v>
      </c>
      <c r="B276">
        <v>4484</v>
      </c>
      <c r="C276" t="b">
        <v>1</v>
      </c>
      <c r="D276">
        <v>8065</v>
      </c>
      <c r="E276">
        <v>8111</v>
      </c>
      <c r="F276">
        <v>17.666665999999999</v>
      </c>
      <c r="G276">
        <v>-10</v>
      </c>
      <c r="H276">
        <v>-1.7666667</v>
      </c>
      <c r="I276">
        <v>2.7666667</v>
      </c>
      <c r="J276">
        <v>-1.3043480000000001</v>
      </c>
    </row>
    <row r="277" spans="1:10" x14ac:dyDescent="0.3">
      <c r="A277">
        <v>275</v>
      </c>
      <c r="B277">
        <v>4499</v>
      </c>
      <c r="C277" t="b">
        <v>1</v>
      </c>
      <c r="D277">
        <v>8060</v>
      </c>
      <c r="E277">
        <v>8105</v>
      </c>
      <c r="F277">
        <v>17.666665999999999</v>
      </c>
      <c r="G277">
        <v>-10</v>
      </c>
      <c r="H277">
        <v>-1.7666667</v>
      </c>
      <c r="I277">
        <v>2.7666667</v>
      </c>
      <c r="J277">
        <v>-1.3043480000000001</v>
      </c>
    </row>
    <row r="278" spans="1:10" x14ac:dyDescent="0.3">
      <c r="A278">
        <v>276</v>
      </c>
      <c r="B278">
        <v>4515</v>
      </c>
      <c r="C278" t="b">
        <v>1</v>
      </c>
      <c r="D278">
        <v>8060</v>
      </c>
      <c r="E278">
        <v>8105</v>
      </c>
      <c r="F278">
        <v>17.666665999999999</v>
      </c>
      <c r="G278">
        <v>-10</v>
      </c>
      <c r="H278">
        <v>-1.7666667</v>
      </c>
      <c r="I278">
        <v>2.7666667</v>
      </c>
      <c r="J278">
        <v>-1.3043480000000001</v>
      </c>
    </row>
    <row r="279" spans="1:10" x14ac:dyDescent="0.3">
      <c r="A279">
        <v>277</v>
      </c>
      <c r="B279">
        <v>4546</v>
      </c>
      <c r="C279" t="b">
        <v>1</v>
      </c>
      <c r="D279">
        <v>8054</v>
      </c>
      <c r="E279">
        <v>8105</v>
      </c>
      <c r="F279">
        <v>17.666665999999999</v>
      </c>
      <c r="G279">
        <v>-10</v>
      </c>
      <c r="H279">
        <v>-1.7666667</v>
      </c>
      <c r="I279">
        <v>2.7666667</v>
      </c>
      <c r="J279">
        <v>-1.3043480000000001</v>
      </c>
    </row>
    <row r="280" spans="1:10" x14ac:dyDescent="0.3">
      <c r="A280">
        <v>278</v>
      </c>
      <c r="B280">
        <v>4562</v>
      </c>
      <c r="C280" t="b">
        <v>1</v>
      </c>
      <c r="D280">
        <v>8054</v>
      </c>
      <c r="E280">
        <v>8105</v>
      </c>
      <c r="F280">
        <v>17.666665999999999</v>
      </c>
      <c r="G280">
        <v>-10</v>
      </c>
      <c r="H280">
        <v>-1.7666667</v>
      </c>
      <c r="I280">
        <v>2.7666667</v>
      </c>
      <c r="J280">
        <v>-1.3043480000000001</v>
      </c>
    </row>
    <row r="281" spans="1:10" x14ac:dyDescent="0.3">
      <c r="A281">
        <v>279</v>
      </c>
      <c r="B281">
        <v>4580</v>
      </c>
      <c r="C281" t="b">
        <v>1</v>
      </c>
      <c r="D281">
        <v>8060</v>
      </c>
      <c r="E281">
        <v>8099</v>
      </c>
      <c r="F281">
        <v>18.466667000000001</v>
      </c>
      <c r="G281">
        <v>-10</v>
      </c>
      <c r="H281">
        <v>-1.8466667000000001</v>
      </c>
      <c r="I281">
        <v>2.8466667999999999</v>
      </c>
      <c r="J281">
        <v>-1.1811023</v>
      </c>
    </row>
    <row r="282" spans="1:10" x14ac:dyDescent="0.3">
      <c r="A282">
        <v>280</v>
      </c>
      <c r="B282">
        <v>4596</v>
      </c>
      <c r="C282" t="b">
        <v>1</v>
      </c>
      <c r="D282">
        <v>8065</v>
      </c>
      <c r="E282">
        <v>8099</v>
      </c>
      <c r="F282">
        <v>19.266666000000001</v>
      </c>
      <c r="G282">
        <v>-10</v>
      </c>
      <c r="H282">
        <v>-1.9266665999999999</v>
      </c>
      <c r="I282">
        <v>2.9266667000000002</v>
      </c>
      <c r="J282">
        <v>-1.0791367000000001</v>
      </c>
    </row>
    <row r="283" spans="1:10" x14ac:dyDescent="0.3">
      <c r="A283">
        <v>281</v>
      </c>
      <c r="B283">
        <v>4612</v>
      </c>
      <c r="C283" t="b">
        <v>1</v>
      </c>
      <c r="D283">
        <v>8065</v>
      </c>
      <c r="E283">
        <v>8105</v>
      </c>
      <c r="F283">
        <v>20.066668</v>
      </c>
      <c r="G283">
        <v>-10</v>
      </c>
      <c r="H283">
        <v>-2.0066666999999998</v>
      </c>
      <c r="I283">
        <v>3.0066666999999998</v>
      </c>
      <c r="J283">
        <v>-0.99337739999999997</v>
      </c>
    </row>
    <row r="284" spans="1:10" x14ac:dyDescent="0.3">
      <c r="A284">
        <v>282</v>
      </c>
      <c r="B284">
        <v>4628</v>
      </c>
      <c r="C284" t="b">
        <v>1</v>
      </c>
      <c r="D284">
        <v>8065</v>
      </c>
      <c r="E284">
        <v>8105</v>
      </c>
      <c r="F284">
        <v>21.2</v>
      </c>
      <c r="G284">
        <v>-10</v>
      </c>
      <c r="H284">
        <v>-2.1200000999999999</v>
      </c>
      <c r="I284">
        <v>3.1200000999999999</v>
      </c>
      <c r="J284">
        <v>-0.89285709999999996</v>
      </c>
    </row>
    <row r="285" spans="1:10" x14ac:dyDescent="0.3">
      <c r="A285">
        <v>283</v>
      </c>
      <c r="B285">
        <v>4644</v>
      </c>
      <c r="C285" t="b">
        <v>1</v>
      </c>
      <c r="D285">
        <v>8060</v>
      </c>
      <c r="E285">
        <v>8105</v>
      </c>
      <c r="F285">
        <v>21.933332</v>
      </c>
      <c r="G285">
        <v>-10</v>
      </c>
      <c r="H285">
        <v>-2.1933330999999998</v>
      </c>
      <c r="I285">
        <v>3.1933330999999998</v>
      </c>
      <c r="J285">
        <v>-0.83798890000000004</v>
      </c>
    </row>
    <row r="286" spans="1:10" x14ac:dyDescent="0.3">
      <c r="A286">
        <v>284</v>
      </c>
      <c r="B286">
        <v>4659</v>
      </c>
      <c r="C286" t="b">
        <v>1</v>
      </c>
      <c r="D286">
        <v>8065</v>
      </c>
      <c r="E286">
        <v>8099</v>
      </c>
      <c r="F286">
        <v>22.666665999999999</v>
      </c>
      <c r="G286">
        <v>-10</v>
      </c>
      <c r="H286">
        <v>-2.2666667</v>
      </c>
      <c r="I286">
        <v>3.2666664000000001</v>
      </c>
      <c r="J286">
        <v>-0.78947369999999994</v>
      </c>
    </row>
    <row r="287" spans="1:10" x14ac:dyDescent="0.3">
      <c r="A287">
        <v>285</v>
      </c>
      <c r="B287">
        <v>4674</v>
      </c>
      <c r="C287" t="b">
        <v>1</v>
      </c>
      <c r="D287">
        <v>8060</v>
      </c>
      <c r="E287">
        <v>8105</v>
      </c>
      <c r="F287">
        <v>22.666665999999999</v>
      </c>
      <c r="G287">
        <v>-10</v>
      </c>
      <c r="H287">
        <v>-2.2666667</v>
      </c>
      <c r="I287">
        <v>3.2666664000000001</v>
      </c>
      <c r="J287">
        <v>-0.78947369999999994</v>
      </c>
    </row>
    <row r="288" spans="1:10" x14ac:dyDescent="0.3">
      <c r="A288">
        <v>286</v>
      </c>
      <c r="B288">
        <v>4690</v>
      </c>
      <c r="C288" t="b">
        <v>1</v>
      </c>
      <c r="D288">
        <v>8065</v>
      </c>
      <c r="E288">
        <v>8099</v>
      </c>
      <c r="F288">
        <v>22.666665999999999</v>
      </c>
      <c r="G288">
        <v>-10</v>
      </c>
      <c r="H288">
        <v>-2.2666667</v>
      </c>
      <c r="I288">
        <v>3.2666664000000001</v>
      </c>
      <c r="J288">
        <v>-0.78947369999999994</v>
      </c>
    </row>
    <row r="289" spans="1:10" x14ac:dyDescent="0.3">
      <c r="A289">
        <v>287</v>
      </c>
      <c r="B289">
        <v>4706</v>
      </c>
      <c r="C289" t="b">
        <v>1</v>
      </c>
      <c r="D289">
        <v>8065</v>
      </c>
      <c r="E289">
        <v>8099</v>
      </c>
      <c r="F289">
        <v>22.666665999999999</v>
      </c>
      <c r="G289">
        <v>-10.4</v>
      </c>
      <c r="H289">
        <v>-2.1794872000000001</v>
      </c>
      <c r="I289">
        <v>3.1794872000000001</v>
      </c>
      <c r="J289">
        <v>-0.84782606000000005</v>
      </c>
    </row>
    <row r="290" spans="1:10" x14ac:dyDescent="0.3">
      <c r="A290">
        <v>288</v>
      </c>
      <c r="B290">
        <v>4722</v>
      </c>
      <c r="C290" t="b">
        <v>1</v>
      </c>
      <c r="D290">
        <v>8060</v>
      </c>
      <c r="E290">
        <v>8099</v>
      </c>
      <c r="F290">
        <v>22.666665999999999</v>
      </c>
      <c r="G290">
        <v>-10.8</v>
      </c>
      <c r="H290">
        <v>-2.0987654</v>
      </c>
      <c r="I290">
        <v>3.0987654</v>
      </c>
      <c r="J290">
        <v>-0.91011244000000002</v>
      </c>
    </row>
    <row r="291" spans="1:10" x14ac:dyDescent="0.3">
      <c r="A291">
        <v>289</v>
      </c>
      <c r="B291">
        <v>4737</v>
      </c>
      <c r="C291" t="b">
        <v>1</v>
      </c>
      <c r="D291">
        <v>8054</v>
      </c>
      <c r="E291">
        <v>8099</v>
      </c>
      <c r="F291">
        <v>22.333334000000001</v>
      </c>
      <c r="G291">
        <v>-11.2</v>
      </c>
      <c r="H291">
        <v>-1.9940477999999999</v>
      </c>
      <c r="I291">
        <v>2.9940476</v>
      </c>
      <c r="J291">
        <v>-1.0059879</v>
      </c>
    </row>
    <row r="292" spans="1:10" x14ac:dyDescent="0.3">
      <c r="A292">
        <v>290</v>
      </c>
      <c r="B292">
        <v>4753</v>
      </c>
      <c r="C292" t="b">
        <v>1</v>
      </c>
      <c r="D292">
        <v>8060</v>
      </c>
      <c r="E292">
        <v>8099</v>
      </c>
      <c r="F292">
        <v>22.333334000000001</v>
      </c>
      <c r="G292">
        <v>-11.6</v>
      </c>
      <c r="H292">
        <v>-1.9252874</v>
      </c>
      <c r="I292">
        <v>2.9252872000000001</v>
      </c>
      <c r="J292">
        <v>-1.0807453</v>
      </c>
    </row>
    <row r="293" spans="1:10" x14ac:dyDescent="0.3">
      <c r="A293">
        <v>291</v>
      </c>
      <c r="B293">
        <v>4769</v>
      </c>
      <c r="C293" t="b">
        <v>1</v>
      </c>
      <c r="D293">
        <v>8060</v>
      </c>
      <c r="E293">
        <v>8099</v>
      </c>
      <c r="F293">
        <v>22.333334000000001</v>
      </c>
      <c r="G293">
        <v>-12</v>
      </c>
      <c r="H293">
        <v>-1.8611112000000001</v>
      </c>
      <c r="I293">
        <v>2.8611114</v>
      </c>
      <c r="J293">
        <v>-1.1612903000000001</v>
      </c>
    </row>
    <row r="294" spans="1:10" x14ac:dyDescent="0.3">
      <c r="A294">
        <v>292</v>
      </c>
      <c r="B294">
        <v>4784</v>
      </c>
      <c r="C294" t="b">
        <v>1</v>
      </c>
      <c r="D294">
        <v>8060</v>
      </c>
      <c r="E294">
        <v>8099</v>
      </c>
      <c r="F294">
        <v>22.333334000000001</v>
      </c>
      <c r="G294">
        <v>-12.4</v>
      </c>
      <c r="H294">
        <v>-1.8010752999999999</v>
      </c>
      <c r="I294">
        <v>2.8010755000000001</v>
      </c>
      <c r="J294">
        <v>-1.2483219999999999</v>
      </c>
    </row>
    <row r="295" spans="1:10" x14ac:dyDescent="0.3">
      <c r="A295">
        <v>293</v>
      </c>
      <c r="B295">
        <v>4801</v>
      </c>
      <c r="C295" t="b">
        <v>1</v>
      </c>
      <c r="D295">
        <v>8060</v>
      </c>
      <c r="E295">
        <v>8099</v>
      </c>
      <c r="F295">
        <v>22.333334000000001</v>
      </c>
      <c r="G295">
        <v>-12.8</v>
      </c>
      <c r="H295">
        <v>-1.7447916999999999</v>
      </c>
      <c r="I295">
        <v>2.7447916999999999</v>
      </c>
      <c r="J295">
        <v>-1.3426572999999999</v>
      </c>
    </row>
    <row r="296" spans="1:10" x14ac:dyDescent="0.3">
      <c r="A296">
        <v>294</v>
      </c>
      <c r="B296">
        <v>4816</v>
      </c>
      <c r="C296" t="b">
        <v>1</v>
      </c>
      <c r="D296">
        <v>8060</v>
      </c>
      <c r="E296">
        <v>8105</v>
      </c>
      <c r="F296">
        <v>22.333334000000001</v>
      </c>
      <c r="G296">
        <v>-13.2</v>
      </c>
      <c r="H296">
        <v>-1.6919192000000001</v>
      </c>
      <c r="I296">
        <v>2.691919</v>
      </c>
      <c r="J296">
        <v>-1.4452552999999999</v>
      </c>
    </row>
    <row r="297" spans="1:10" x14ac:dyDescent="0.3">
      <c r="A297">
        <v>295</v>
      </c>
      <c r="B297">
        <v>4831</v>
      </c>
      <c r="C297" t="b">
        <v>1</v>
      </c>
      <c r="D297">
        <v>8060</v>
      </c>
      <c r="E297">
        <v>8105</v>
      </c>
      <c r="F297">
        <v>22.333334000000001</v>
      </c>
      <c r="G297">
        <v>-13.6</v>
      </c>
      <c r="H297">
        <v>-1.6421568</v>
      </c>
      <c r="I297">
        <v>2.6421568</v>
      </c>
      <c r="J297">
        <v>-1.5572519</v>
      </c>
    </row>
    <row r="298" spans="1:10" x14ac:dyDescent="0.3">
      <c r="A298">
        <v>296</v>
      </c>
      <c r="B298">
        <v>4847</v>
      </c>
      <c r="C298" t="b">
        <v>1</v>
      </c>
      <c r="D298">
        <v>8071</v>
      </c>
      <c r="E298">
        <v>8099</v>
      </c>
      <c r="F298">
        <v>22.333334000000001</v>
      </c>
      <c r="G298">
        <v>-14</v>
      </c>
      <c r="H298">
        <v>-1.5952381</v>
      </c>
      <c r="I298">
        <v>2.5952381999999998</v>
      </c>
      <c r="J298">
        <v>-1.6799998</v>
      </c>
    </row>
    <row r="299" spans="1:10" x14ac:dyDescent="0.3">
      <c r="A299">
        <v>297</v>
      </c>
      <c r="B299">
        <v>4862</v>
      </c>
      <c r="C299" t="b">
        <v>1</v>
      </c>
      <c r="D299">
        <v>8065</v>
      </c>
      <c r="E299">
        <v>8093</v>
      </c>
      <c r="F299">
        <v>22</v>
      </c>
      <c r="G299">
        <v>-14.4</v>
      </c>
      <c r="H299">
        <v>-1.5277778</v>
      </c>
      <c r="I299">
        <v>2.5277780000000001</v>
      </c>
      <c r="J299">
        <v>-1.8947366000000001</v>
      </c>
    </row>
    <row r="300" spans="1:10" x14ac:dyDescent="0.3">
      <c r="A300">
        <v>298</v>
      </c>
      <c r="B300">
        <v>4878</v>
      </c>
      <c r="C300" t="b">
        <v>1</v>
      </c>
      <c r="D300">
        <v>8060</v>
      </c>
      <c r="E300">
        <v>8105</v>
      </c>
      <c r="F300">
        <v>21.666665999999999</v>
      </c>
      <c r="G300">
        <v>-14.4</v>
      </c>
      <c r="H300">
        <v>-1.5046295999999999</v>
      </c>
      <c r="I300">
        <v>2.5046295999999999</v>
      </c>
      <c r="J300">
        <v>-1.9816514000000001</v>
      </c>
    </row>
    <row r="301" spans="1:10" x14ac:dyDescent="0.3">
      <c r="A301">
        <v>299</v>
      </c>
      <c r="B301">
        <v>4894</v>
      </c>
      <c r="C301" t="b">
        <v>1</v>
      </c>
      <c r="D301">
        <v>8054</v>
      </c>
      <c r="E301">
        <v>8105</v>
      </c>
      <c r="F301">
        <v>21.333334000000001</v>
      </c>
      <c r="G301">
        <v>-14.4</v>
      </c>
      <c r="H301">
        <v>-1.4814816</v>
      </c>
      <c r="I301">
        <v>2.4814816</v>
      </c>
      <c r="J301">
        <v>-2.0769226999999999</v>
      </c>
    </row>
    <row r="302" spans="1:10" x14ac:dyDescent="0.3">
      <c r="A302">
        <v>300</v>
      </c>
      <c r="B302">
        <v>4910</v>
      </c>
      <c r="C302" t="b">
        <v>1</v>
      </c>
      <c r="D302">
        <v>8054</v>
      </c>
      <c r="E302">
        <v>8117</v>
      </c>
      <c r="F302">
        <v>21</v>
      </c>
      <c r="G302">
        <v>-14.4</v>
      </c>
      <c r="H302">
        <v>-1.4583333999999999</v>
      </c>
      <c r="I302">
        <v>2.4583335000000002</v>
      </c>
      <c r="J302">
        <v>-2.1818179999999998</v>
      </c>
    </row>
    <row r="303" spans="1:10" x14ac:dyDescent="0.3">
      <c r="A303">
        <v>301</v>
      </c>
      <c r="B303">
        <v>4925</v>
      </c>
      <c r="C303" t="b">
        <v>1</v>
      </c>
      <c r="D303">
        <v>8065</v>
      </c>
      <c r="E303">
        <v>8111</v>
      </c>
      <c r="F303">
        <v>20.666665999999999</v>
      </c>
      <c r="G303">
        <v>-14.4</v>
      </c>
      <c r="H303">
        <v>-1.4351852</v>
      </c>
      <c r="I303">
        <v>2.4351851999999998</v>
      </c>
      <c r="J303">
        <v>-2.2978722999999999</v>
      </c>
    </row>
    <row r="304" spans="1:10" x14ac:dyDescent="0.3">
      <c r="A304">
        <v>302</v>
      </c>
      <c r="B304">
        <v>4941</v>
      </c>
      <c r="C304" t="b">
        <v>1</v>
      </c>
      <c r="D304">
        <v>8054</v>
      </c>
      <c r="E304">
        <v>8111</v>
      </c>
      <c r="F304">
        <v>19.933332</v>
      </c>
      <c r="G304">
        <v>-13.6</v>
      </c>
      <c r="H304">
        <v>-1.4656861999999999</v>
      </c>
      <c r="I304">
        <v>2.4656859999999998</v>
      </c>
      <c r="J304">
        <v>-2.1473689999999999</v>
      </c>
    </row>
    <row r="305" spans="1:10" x14ac:dyDescent="0.3">
      <c r="A305">
        <v>303</v>
      </c>
      <c r="B305">
        <v>4957</v>
      </c>
      <c r="C305" t="b">
        <v>1</v>
      </c>
      <c r="D305">
        <v>8060</v>
      </c>
      <c r="E305">
        <v>8105</v>
      </c>
      <c r="F305">
        <v>19.2</v>
      </c>
      <c r="G305">
        <v>-12.8</v>
      </c>
      <c r="H305">
        <v>-1.5</v>
      </c>
      <c r="I305">
        <v>2.5</v>
      </c>
      <c r="J305">
        <v>-1.9999998999999999</v>
      </c>
    </row>
    <row r="306" spans="1:10" x14ac:dyDescent="0.3">
      <c r="A306">
        <v>304</v>
      </c>
      <c r="B306">
        <v>4972</v>
      </c>
      <c r="C306" t="b">
        <v>1</v>
      </c>
      <c r="D306">
        <v>8060</v>
      </c>
      <c r="E306">
        <v>8105</v>
      </c>
      <c r="F306">
        <v>19.2</v>
      </c>
      <c r="G306">
        <v>-12</v>
      </c>
      <c r="H306">
        <v>-1.6</v>
      </c>
      <c r="I306">
        <v>2.6000000999999999</v>
      </c>
      <c r="J306">
        <v>-1.6666665000000001</v>
      </c>
    </row>
    <row r="307" spans="1:10" x14ac:dyDescent="0.3">
      <c r="A307">
        <v>305</v>
      </c>
      <c r="B307">
        <v>4988</v>
      </c>
      <c r="C307" t="b">
        <v>1</v>
      </c>
      <c r="D307">
        <v>8048</v>
      </c>
      <c r="E307">
        <v>8105</v>
      </c>
      <c r="F307">
        <v>19.2</v>
      </c>
      <c r="G307">
        <v>-11.6</v>
      </c>
      <c r="H307">
        <v>-1.6551724999999999</v>
      </c>
      <c r="I307">
        <v>2.6551722999999998</v>
      </c>
      <c r="J307">
        <v>-1.5263157999999999</v>
      </c>
    </row>
    <row r="308" spans="1:10" x14ac:dyDescent="0.3">
      <c r="A308">
        <v>306</v>
      </c>
      <c r="B308">
        <v>5004</v>
      </c>
      <c r="C308" t="b">
        <v>1</v>
      </c>
      <c r="D308">
        <v>8060</v>
      </c>
      <c r="E308">
        <v>8105</v>
      </c>
      <c r="F308">
        <v>19.2</v>
      </c>
      <c r="G308">
        <v>-11.2</v>
      </c>
      <c r="H308">
        <v>-1.7142858999999999</v>
      </c>
      <c r="I308">
        <v>2.7142859000000001</v>
      </c>
      <c r="J308">
        <v>-1.3999999000000001</v>
      </c>
    </row>
    <row r="309" spans="1:10" x14ac:dyDescent="0.3">
      <c r="A309">
        <v>307</v>
      </c>
      <c r="B309">
        <v>5019</v>
      </c>
      <c r="C309" t="b">
        <v>1</v>
      </c>
      <c r="D309">
        <v>8060</v>
      </c>
      <c r="E309">
        <v>8105</v>
      </c>
      <c r="F309">
        <v>19.2</v>
      </c>
      <c r="G309">
        <v>-10.8</v>
      </c>
      <c r="H309">
        <v>-1.7777778</v>
      </c>
      <c r="I309">
        <v>2.7777777000000001</v>
      </c>
      <c r="J309">
        <v>-1.2857143</v>
      </c>
    </row>
    <row r="310" spans="1:10" x14ac:dyDescent="0.3">
      <c r="A310">
        <v>308</v>
      </c>
      <c r="B310">
        <v>5035</v>
      </c>
      <c r="C310" t="b">
        <v>1</v>
      </c>
      <c r="D310">
        <v>8060</v>
      </c>
      <c r="E310">
        <v>8105</v>
      </c>
      <c r="F310">
        <v>19.2</v>
      </c>
      <c r="G310">
        <v>-10.4</v>
      </c>
      <c r="H310">
        <v>-1.8461540000000001</v>
      </c>
      <c r="I310">
        <v>2.8461539999999999</v>
      </c>
      <c r="J310">
        <v>-1.181818</v>
      </c>
    </row>
    <row r="311" spans="1:10" x14ac:dyDescent="0.3">
      <c r="A311">
        <v>309</v>
      </c>
      <c r="B311">
        <v>5051</v>
      </c>
      <c r="C311" t="b">
        <v>1</v>
      </c>
      <c r="D311">
        <v>8060</v>
      </c>
      <c r="E311">
        <v>8111</v>
      </c>
      <c r="F311">
        <v>19.2</v>
      </c>
      <c r="G311">
        <v>-10</v>
      </c>
      <c r="H311">
        <v>-1.9200001</v>
      </c>
      <c r="I311">
        <v>2.92</v>
      </c>
      <c r="J311">
        <v>-1.0869564</v>
      </c>
    </row>
    <row r="312" spans="1:10" x14ac:dyDescent="0.3">
      <c r="A312">
        <v>310</v>
      </c>
      <c r="B312">
        <v>5067</v>
      </c>
      <c r="C312" t="b">
        <v>1</v>
      </c>
      <c r="D312">
        <v>8065</v>
      </c>
      <c r="E312">
        <v>8099</v>
      </c>
      <c r="F312">
        <v>19.2</v>
      </c>
      <c r="G312">
        <v>-9.6</v>
      </c>
      <c r="H312">
        <v>-2</v>
      </c>
      <c r="I312">
        <v>3</v>
      </c>
      <c r="J312">
        <v>-1</v>
      </c>
    </row>
    <row r="313" spans="1:10" x14ac:dyDescent="0.3">
      <c r="A313">
        <v>311</v>
      </c>
      <c r="B313">
        <v>5082</v>
      </c>
      <c r="C313" t="b">
        <v>1</v>
      </c>
      <c r="D313">
        <v>8071</v>
      </c>
      <c r="E313">
        <v>8105</v>
      </c>
      <c r="F313">
        <v>19.2</v>
      </c>
      <c r="G313">
        <v>-9.1999999999999993</v>
      </c>
      <c r="H313">
        <v>-2.0869567</v>
      </c>
      <c r="I313">
        <v>3.0869567</v>
      </c>
      <c r="J313">
        <v>-0.91999989999999998</v>
      </c>
    </row>
    <row r="314" spans="1:10" x14ac:dyDescent="0.3">
      <c r="A314">
        <v>312</v>
      </c>
      <c r="B314">
        <v>5098</v>
      </c>
      <c r="C314" t="b">
        <v>1</v>
      </c>
      <c r="D314">
        <v>8071</v>
      </c>
      <c r="E314">
        <v>8105</v>
      </c>
      <c r="F314">
        <v>19.533332999999999</v>
      </c>
      <c r="G314">
        <v>-8.8000000000000007</v>
      </c>
      <c r="H314">
        <v>-2.2196967999999999</v>
      </c>
      <c r="I314">
        <v>3.2196967999999999</v>
      </c>
      <c r="J314">
        <v>-0.81987584000000002</v>
      </c>
    </row>
    <row r="315" spans="1:10" x14ac:dyDescent="0.3">
      <c r="A315">
        <v>313</v>
      </c>
      <c r="B315">
        <v>5114</v>
      </c>
      <c r="C315" t="b">
        <v>1</v>
      </c>
      <c r="D315">
        <v>8071</v>
      </c>
      <c r="E315">
        <v>8105</v>
      </c>
      <c r="F315">
        <v>20.266666000000001</v>
      </c>
      <c r="G315">
        <v>-8.8000000000000007</v>
      </c>
      <c r="H315">
        <v>-2.3030303000000001</v>
      </c>
      <c r="I315">
        <v>3.3030300000000001</v>
      </c>
      <c r="J315">
        <v>-0.76744190000000001</v>
      </c>
    </row>
    <row r="316" spans="1:10" x14ac:dyDescent="0.3">
      <c r="A316">
        <v>314</v>
      </c>
      <c r="B316">
        <v>5129</v>
      </c>
      <c r="C316" t="b">
        <v>1</v>
      </c>
      <c r="D316">
        <v>8065</v>
      </c>
      <c r="E316">
        <v>8105</v>
      </c>
      <c r="F316">
        <v>21</v>
      </c>
      <c r="G316">
        <v>-8.8000000000000007</v>
      </c>
      <c r="H316">
        <v>-2.3863634999999999</v>
      </c>
      <c r="I316">
        <v>3.3863634999999999</v>
      </c>
      <c r="J316">
        <v>-0.72131149999999999</v>
      </c>
    </row>
    <row r="317" spans="1:10" x14ac:dyDescent="0.3">
      <c r="A317">
        <v>315</v>
      </c>
      <c r="B317">
        <v>5145</v>
      </c>
      <c r="C317" t="b">
        <v>1</v>
      </c>
      <c r="D317">
        <v>8060</v>
      </c>
      <c r="E317">
        <v>8111</v>
      </c>
      <c r="F317">
        <v>21.733333999999999</v>
      </c>
      <c r="G317">
        <v>-8.8000000000000007</v>
      </c>
      <c r="H317">
        <v>-2.469697</v>
      </c>
      <c r="I317">
        <v>3.4696967999999999</v>
      </c>
      <c r="J317">
        <v>-0.68041240000000003</v>
      </c>
    </row>
    <row r="318" spans="1:10" x14ac:dyDescent="0.3">
      <c r="A318">
        <v>316</v>
      </c>
      <c r="B318">
        <v>5161</v>
      </c>
      <c r="C318" t="b">
        <v>1</v>
      </c>
      <c r="D318">
        <v>8060</v>
      </c>
      <c r="E318">
        <v>8105</v>
      </c>
      <c r="F318">
        <v>22.066668</v>
      </c>
      <c r="G318">
        <v>-8.8000000000000007</v>
      </c>
      <c r="H318">
        <v>-2.5075758000000001</v>
      </c>
      <c r="I318">
        <v>3.5075759999999998</v>
      </c>
      <c r="J318">
        <v>-0.66331655</v>
      </c>
    </row>
    <row r="319" spans="1:10" x14ac:dyDescent="0.3">
      <c r="A319">
        <v>317</v>
      </c>
      <c r="B319">
        <v>5177</v>
      </c>
      <c r="C319" t="b">
        <v>1</v>
      </c>
      <c r="D319">
        <v>8065</v>
      </c>
      <c r="E319">
        <v>8105</v>
      </c>
      <c r="F319">
        <v>22.8</v>
      </c>
      <c r="G319">
        <v>-9.1999999999999993</v>
      </c>
      <c r="H319">
        <v>-2.4782608000000002</v>
      </c>
      <c r="I319">
        <v>3.4782609999999998</v>
      </c>
      <c r="J319">
        <v>-0.67647060000000003</v>
      </c>
    </row>
    <row r="320" spans="1:10" x14ac:dyDescent="0.3">
      <c r="A320">
        <v>318</v>
      </c>
      <c r="B320">
        <v>5193</v>
      </c>
      <c r="C320" t="b">
        <v>1</v>
      </c>
      <c r="D320">
        <v>8060</v>
      </c>
      <c r="E320">
        <v>8105</v>
      </c>
      <c r="F320">
        <v>23.2</v>
      </c>
      <c r="G320">
        <v>-9.6</v>
      </c>
      <c r="H320">
        <v>-2.4166666999999999</v>
      </c>
      <c r="I320">
        <v>3.4166666999999999</v>
      </c>
      <c r="J320">
        <v>-0.70588240000000002</v>
      </c>
    </row>
    <row r="321" spans="1:10" x14ac:dyDescent="0.3">
      <c r="A321">
        <v>319</v>
      </c>
      <c r="B321">
        <v>5209</v>
      </c>
      <c r="C321" t="b">
        <v>1</v>
      </c>
      <c r="D321">
        <v>8060</v>
      </c>
      <c r="E321">
        <v>8105</v>
      </c>
      <c r="F321">
        <v>23.2</v>
      </c>
      <c r="G321">
        <v>-10</v>
      </c>
      <c r="H321">
        <v>-2.3200002</v>
      </c>
      <c r="I321">
        <v>3.3200002</v>
      </c>
      <c r="J321">
        <v>-0.75757569999999996</v>
      </c>
    </row>
    <row r="322" spans="1:10" x14ac:dyDescent="0.3">
      <c r="A322">
        <v>320</v>
      </c>
      <c r="B322">
        <v>5224</v>
      </c>
      <c r="C322" t="b">
        <v>1</v>
      </c>
      <c r="D322">
        <v>8060</v>
      </c>
      <c r="E322">
        <v>8105</v>
      </c>
      <c r="F322">
        <v>23.2</v>
      </c>
      <c r="G322">
        <v>-10</v>
      </c>
      <c r="H322">
        <v>-2.3200002</v>
      </c>
      <c r="I322">
        <v>3.3200002</v>
      </c>
      <c r="J322">
        <v>-0.75757569999999996</v>
      </c>
    </row>
    <row r="323" spans="1:10" x14ac:dyDescent="0.3">
      <c r="A323">
        <v>321</v>
      </c>
      <c r="B323">
        <v>5240</v>
      </c>
      <c r="C323" t="b">
        <v>1</v>
      </c>
      <c r="D323">
        <v>8054</v>
      </c>
      <c r="E323">
        <v>8111</v>
      </c>
      <c r="F323">
        <v>23.2</v>
      </c>
      <c r="G323">
        <v>-10</v>
      </c>
      <c r="H323">
        <v>-2.3200002</v>
      </c>
      <c r="I323">
        <v>3.3200002</v>
      </c>
      <c r="J323">
        <v>-0.75757569999999996</v>
      </c>
    </row>
    <row r="324" spans="1:10" x14ac:dyDescent="0.3">
      <c r="A324">
        <v>322</v>
      </c>
      <c r="B324">
        <v>5256</v>
      </c>
      <c r="C324" t="b">
        <v>1</v>
      </c>
      <c r="D324">
        <v>8054</v>
      </c>
      <c r="E324">
        <v>8111</v>
      </c>
      <c r="F324">
        <v>23.2</v>
      </c>
      <c r="G324">
        <v>-10</v>
      </c>
      <c r="H324">
        <v>-2.3200002</v>
      </c>
      <c r="I324">
        <v>3.3200002</v>
      </c>
      <c r="J324">
        <v>-0.75757569999999996</v>
      </c>
    </row>
    <row r="325" spans="1:10" x14ac:dyDescent="0.3">
      <c r="A325">
        <v>323</v>
      </c>
      <c r="B325">
        <v>5272</v>
      </c>
      <c r="C325" t="b">
        <v>1</v>
      </c>
      <c r="D325">
        <v>8071</v>
      </c>
      <c r="E325">
        <v>8111</v>
      </c>
      <c r="F325">
        <v>23.2</v>
      </c>
      <c r="G325">
        <v>-9.6</v>
      </c>
      <c r="H325">
        <v>-2.4166666999999999</v>
      </c>
      <c r="I325">
        <v>3.4166666999999999</v>
      </c>
      <c r="J325">
        <v>-0.70588240000000002</v>
      </c>
    </row>
    <row r="326" spans="1:10" x14ac:dyDescent="0.3">
      <c r="A326">
        <v>324</v>
      </c>
      <c r="B326">
        <v>5288</v>
      </c>
      <c r="C326" t="b">
        <v>1</v>
      </c>
      <c r="D326">
        <v>8060</v>
      </c>
      <c r="E326">
        <v>8099</v>
      </c>
      <c r="F326">
        <v>23.2</v>
      </c>
      <c r="G326">
        <v>-9.1999999999999993</v>
      </c>
      <c r="H326">
        <v>-2.5217391999999998</v>
      </c>
      <c r="I326">
        <v>3.5217394999999998</v>
      </c>
      <c r="J326">
        <v>-0.65714280000000003</v>
      </c>
    </row>
    <row r="327" spans="1:10" x14ac:dyDescent="0.3">
      <c r="A327">
        <v>325</v>
      </c>
      <c r="B327">
        <v>5304</v>
      </c>
      <c r="C327" t="b">
        <v>1</v>
      </c>
      <c r="D327">
        <v>8065</v>
      </c>
      <c r="E327">
        <v>8111</v>
      </c>
      <c r="F327">
        <v>23.2</v>
      </c>
      <c r="G327">
        <v>-8.8000000000000007</v>
      </c>
      <c r="H327">
        <v>-2.6363637</v>
      </c>
      <c r="I327">
        <v>3.6363634999999999</v>
      </c>
      <c r="J327">
        <v>-0.61111110000000002</v>
      </c>
    </row>
    <row r="328" spans="1:10" x14ac:dyDescent="0.3">
      <c r="A328">
        <v>326</v>
      </c>
      <c r="B328">
        <v>5320</v>
      </c>
      <c r="C328" t="b">
        <v>1</v>
      </c>
      <c r="D328">
        <v>8065</v>
      </c>
      <c r="E328">
        <v>8111</v>
      </c>
      <c r="F328">
        <v>23.533332999999999</v>
      </c>
      <c r="G328">
        <v>-8.4</v>
      </c>
      <c r="H328">
        <v>-2.8015873</v>
      </c>
      <c r="I328">
        <v>3.8015873</v>
      </c>
      <c r="J328">
        <v>-0.55506604999999998</v>
      </c>
    </row>
    <row r="329" spans="1:10" x14ac:dyDescent="0.3">
      <c r="A329">
        <v>327</v>
      </c>
      <c r="B329">
        <v>5336</v>
      </c>
      <c r="C329" t="b">
        <v>1</v>
      </c>
      <c r="D329">
        <v>8071</v>
      </c>
      <c r="E329">
        <v>8111</v>
      </c>
      <c r="F329">
        <v>23.533332999999999</v>
      </c>
      <c r="G329">
        <v>-8</v>
      </c>
      <c r="H329">
        <v>-2.9416666</v>
      </c>
      <c r="I329">
        <v>3.9416666</v>
      </c>
      <c r="J329">
        <v>-0.51502150000000002</v>
      </c>
    </row>
    <row r="330" spans="1:10" x14ac:dyDescent="0.3">
      <c r="A330">
        <v>328</v>
      </c>
      <c r="B330">
        <v>5351</v>
      </c>
      <c r="C330" t="b">
        <v>1</v>
      </c>
      <c r="D330">
        <v>8065</v>
      </c>
      <c r="E330">
        <v>8105</v>
      </c>
      <c r="F330">
        <v>23.133333</v>
      </c>
      <c r="G330">
        <v>-7.6</v>
      </c>
      <c r="H330">
        <v>-3.0438597000000001</v>
      </c>
      <c r="I330">
        <v>4.0438599999999996</v>
      </c>
      <c r="J330">
        <v>-0.48927039999999999</v>
      </c>
    </row>
    <row r="331" spans="1:10" x14ac:dyDescent="0.3">
      <c r="A331">
        <v>329</v>
      </c>
      <c r="B331">
        <v>5367</v>
      </c>
      <c r="C331" t="b">
        <v>1</v>
      </c>
      <c r="D331">
        <v>8071</v>
      </c>
      <c r="E331">
        <v>8099</v>
      </c>
      <c r="F331">
        <v>22.733333999999999</v>
      </c>
      <c r="G331">
        <v>-7.2</v>
      </c>
      <c r="H331">
        <v>-3.1574075000000001</v>
      </c>
      <c r="I331">
        <v>4.1574077999999997</v>
      </c>
      <c r="J331">
        <v>-0.46351927999999998</v>
      </c>
    </row>
    <row r="332" spans="1:10" x14ac:dyDescent="0.3">
      <c r="A332">
        <v>330</v>
      </c>
      <c r="B332">
        <v>5383</v>
      </c>
      <c r="C332" t="b">
        <v>1</v>
      </c>
      <c r="D332">
        <v>8065</v>
      </c>
      <c r="E332">
        <v>8105</v>
      </c>
      <c r="F332">
        <v>22.333334000000001</v>
      </c>
      <c r="G332">
        <v>-7.2</v>
      </c>
      <c r="H332">
        <v>-3.1018520000000001</v>
      </c>
      <c r="I332">
        <v>4.1018520000000001</v>
      </c>
      <c r="J332">
        <v>-0.4757709</v>
      </c>
    </row>
    <row r="333" spans="1:10" x14ac:dyDescent="0.3">
      <c r="A333">
        <v>331</v>
      </c>
      <c r="B333">
        <v>5399</v>
      </c>
      <c r="C333" t="b">
        <v>1</v>
      </c>
      <c r="D333">
        <v>8060</v>
      </c>
      <c r="E333">
        <v>8105</v>
      </c>
      <c r="F333">
        <v>22.333334000000001</v>
      </c>
      <c r="G333">
        <v>-7.2</v>
      </c>
      <c r="H333">
        <v>-3.1018520000000001</v>
      </c>
      <c r="I333">
        <v>4.1018520000000001</v>
      </c>
      <c r="J333">
        <v>-0.4757709</v>
      </c>
    </row>
    <row r="334" spans="1:10" x14ac:dyDescent="0.3">
      <c r="A334">
        <v>332</v>
      </c>
      <c r="B334">
        <v>5415</v>
      </c>
      <c r="C334" t="b">
        <v>1</v>
      </c>
      <c r="D334">
        <v>8065</v>
      </c>
      <c r="E334">
        <v>8105</v>
      </c>
      <c r="F334">
        <v>22.333334000000001</v>
      </c>
      <c r="G334">
        <v>-7.2</v>
      </c>
      <c r="H334">
        <v>-3.1018520000000001</v>
      </c>
      <c r="I334">
        <v>4.1018520000000001</v>
      </c>
      <c r="J334">
        <v>-0.4757709</v>
      </c>
    </row>
    <row r="335" spans="1:10" x14ac:dyDescent="0.3">
      <c r="A335">
        <v>333</v>
      </c>
      <c r="B335">
        <v>5431</v>
      </c>
      <c r="C335" t="b">
        <v>1</v>
      </c>
      <c r="D335">
        <v>8065</v>
      </c>
      <c r="E335">
        <v>8105</v>
      </c>
      <c r="F335">
        <v>22.666665999999999</v>
      </c>
      <c r="G335">
        <v>-7.2</v>
      </c>
      <c r="H335">
        <v>-3.1481479999999999</v>
      </c>
      <c r="I335">
        <v>4.1481479999999999</v>
      </c>
      <c r="J335">
        <v>-0.46551724999999999</v>
      </c>
    </row>
    <row r="336" spans="1:10" x14ac:dyDescent="0.3">
      <c r="A336">
        <v>334</v>
      </c>
      <c r="B336">
        <v>5447</v>
      </c>
      <c r="C336" t="b">
        <v>1</v>
      </c>
      <c r="D336">
        <v>8071</v>
      </c>
      <c r="E336">
        <v>8123</v>
      </c>
      <c r="F336">
        <v>23</v>
      </c>
      <c r="G336">
        <v>-7.2</v>
      </c>
      <c r="H336">
        <v>-3.1944444000000001</v>
      </c>
      <c r="I336">
        <v>4.1944447</v>
      </c>
      <c r="J336">
        <v>-0.4556962</v>
      </c>
    </row>
    <row r="337" spans="1:10" x14ac:dyDescent="0.3">
      <c r="A337">
        <v>335</v>
      </c>
      <c r="B337">
        <v>5463</v>
      </c>
      <c r="C337" t="b">
        <v>1</v>
      </c>
      <c r="D337">
        <v>8060</v>
      </c>
      <c r="E337">
        <v>8105</v>
      </c>
      <c r="F337">
        <v>23.333334000000001</v>
      </c>
      <c r="G337">
        <v>-7.2</v>
      </c>
      <c r="H337">
        <v>-3.2407409999999999</v>
      </c>
      <c r="I337">
        <v>4.2407409999999999</v>
      </c>
      <c r="J337">
        <v>-0.44628093000000002</v>
      </c>
    </row>
    <row r="338" spans="1:10" x14ac:dyDescent="0.3">
      <c r="A338">
        <v>336</v>
      </c>
      <c r="B338">
        <v>5479</v>
      </c>
      <c r="C338" t="b">
        <v>1</v>
      </c>
      <c r="D338">
        <v>8060</v>
      </c>
      <c r="E338">
        <v>8111</v>
      </c>
      <c r="F338">
        <v>23.666665999999999</v>
      </c>
      <c r="G338">
        <v>-7.2</v>
      </c>
      <c r="H338">
        <v>-3.2870371</v>
      </c>
      <c r="I338">
        <v>4.2870369999999998</v>
      </c>
      <c r="J338">
        <v>-0.43724695000000002</v>
      </c>
    </row>
    <row r="339" spans="1:10" x14ac:dyDescent="0.3">
      <c r="A339">
        <v>337</v>
      </c>
      <c r="B339">
        <v>5495</v>
      </c>
      <c r="C339" t="b">
        <v>1</v>
      </c>
      <c r="D339">
        <v>8065</v>
      </c>
      <c r="E339">
        <v>8111</v>
      </c>
      <c r="F339">
        <v>24</v>
      </c>
      <c r="G339">
        <v>-6.8</v>
      </c>
      <c r="H339">
        <v>-3.5294116</v>
      </c>
      <c r="I339">
        <v>4.5294112999999996</v>
      </c>
      <c r="J339">
        <v>-0.39534881999999999</v>
      </c>
    </row>
    <row r="340" spans="1:10" x14ac:dyDescent="0.3">
      <c r="A340">
        <v>338</v>
      </c>
      <c r="B340">
        <v>5510</v>
      </c>
      <c r="C340" t="b">
        <v>1</v>
      </c>
      <c r="D340">
        <v>8054</v>
      </c>
      <c r="E340">
        <v>8105</v>
      </c>
      <c r="F340">
        <v>24</v>
      </c>
      <c r="G340">
        <v>-6.8</v>
      </c>
      <c r="H340">
        <v>-3.5294116</v>
      </c>
      <c r="I340">
        <v>4.5294112999999996</v>
      </c>
      <c r="J340">
        <v>-0.39534881999999999</v>
      </c>
    </row>
    <row r="341" spans="1:10" x14ac:dyDescent="0.3">
      <c r="A341">
        <v>339</v>
      </c>
      <c r="B341">
        <v>5526</v>
      </c>
      <c r="C341" t="b">
        <v>1</v>
      </c>
      <c r="D341">
        <v>8060</v>
      </c>
      <c r="E341">
        <v>8105</v>
      </c>
      <c r="F341">
        <v>24</v>
      </c>
      <c r="G341">
        <v>-7.2</v>
      </c>
      <c r="H341">
        <v>-3.3333335000000002</v>
      </c>
      <c r="I341">
        <v>4.3333335000000002</v>
      </c>
      <c r="J341">
        <v>-0.42857142999999998</v>
      </c>
    </row>
    <row r="342" spans="1:10" x14ac:dyDescent="0.3">
      <c r="A342">
        <v>340</v>
      </c>
      <c r="B342">
        <v>5542</v>
      </c>
      <c r="C342" t="b">
        <v>1</v>
      </c>
      <c r="D342">
        <v>8054</v>
      </c>
      <c r="E342">
        <v>8111</v>
      </c>
      <c r="F342">
        <v>24</v>
      </c>
      <c r="G342">
        <v>-7.2</v>
      </c>
      <c r="H342">
        <v>-3.3333335000000002</v>
      </c>
      <c r="I342">
        <v>4.3333335000000002</v>
      </c>
      <c r="J342">
        <v>-0.42857142999999998</v>
      </c>
    </row>
    <row r="343" spans="1:10" x14ac:dyDescent="0.3">
      <c r="A343">
        <v>341</v>
      </c>
      <c r="B343">
        <v>5574</v>
      </c>
      <c r="C343" t="b">
        <v>1</v>
      </c>
      <c r="D343">
        <v>8054</v>
      </c>
      <c r="E343">
        <v>8105</v>
      </c>
      <c r="F343">
        <v>23.266666000000001</v>
      </c>
      <c r="G343">
        <v>-7.6</v>
      </c>
      <c r="H343">
        <v>-3.0614034999999999</v>
      </c>
      <c r="I343">
        <v>4.0614037999999999</v>
      </c>
      <c r="J343">
        <v>-0.48510639999999999</v>
      </c>
    </row>
    <row r="344" spans="1:10" x14ac:dyDescent="0.3">
      <c r="A344">
        <v>342</v>
      </c>
      <c r="B344">
        <v>5590</v>
      </c>
      <c r="C344" t="b">
        <v>1</v>
      </c>
      <c r="D344">
        <v>8054</v>
      </c>
      <c r="E344">
        <v>8105</v>
      </c>
      <c r="F344">
        <v>22.533332999999999</v>
      </c>
      <c r="G344">
        <v>-8</v>
      </c>
      <c r="H344">
        <v>-2.8166666</v>
      </c>
      <c r="I344">
        <v>3.8166666</v>
      </c>
      <c r="J344">
        <v>-0.55045869999999997</v>
      </c>
    </row>
    <row r="345" spans="1:10" x14ac:dyDescent="0.3">
      <c r="A345">
        <v>343</v>
      </c>
      <c r="B345">
        <v>5606</v>
      </c>
      <c r="C345" t="b">
        <v>1</v>
      </c>
      <c r="D345">
        <v>8048</v>
      </c>
      <c r="E345">
        <v>8105</v>
      </c>
      <c r="F345">
        <v>21.8</v>
      </c>
      <c r="G345">
        <v>-8.4</v>
      </c>
      <c r="H345">
        <v>-2.5952381999999998</v>
      </c>
      <c r="I345">
        <v>3.5952381999999998</v>
      </c>
      <c r="J345">
        <v>-0.62686569999999997</v>
      </c>
    </row>
    <row r="346" spans="1:10" x14ac:dyDescent="0.3">
      <c r="A346">
        <v>344</v>
      </c>
      <c r="B346">
        <v>5622</v>
      </c>
      <c r="C346" t="b">
        <v>1</v>
      </c>
      <c r="D346">
        <v>8054</v>
      </c>
      <c r="E346">
        <v>8111</v>
      </c>
      <c r="F346">
        <v>21.066668</v>
      </c>
      <c r="G346">
        <v>-8.8000000000000007</v>
      </c>
      <c r="H346">
        <v>-2.3939395000000001</v>
      </c>
      <c r="I346">
        <v>3.3939395000000001</v>
      </c>
      <c r="J346">
        <v>-0.71739125000000004</v>
      </c>
    </row>
    <row r="347" spans="1:10" x14ac:dyDescent="0.3">
      <c r="A347">
        <v>345</v>
      </c>
      <c r="B347">
        <v>5637</v>
      </c>
      <c r="C347" t="b">
        <v>1</v>
      </c>
      <c r="D347">
        <v>8060</v>
      </c>
      <c r="E347">
        <v>8111</v>
      </c>
      <c r="F347">
        <v>20.333334000000001</v>
      </c>
      <c r="G347">
        <v>-8.8000000000000007</v>
      </c>
      <c r="H347">
        <v>-2.3106059999999999</v>
      </c>
      <c r="I347">
        <v>3.3106062000000001</v>
      </c>
      <c r="J347">
        <v>-0.76300579999999996</v>
      </c>
    </row>
    <row r="348" spans="1:10" x14ac:dyDescent="0.3">
      <c r="A348">
        <v>346</v>
      </c>
      <c r="B348">
        <v>5653</v>
      </c>
      <c r="C348" t="b">
        <v>1</v>
      </c>
      <c r="D348">
        <v>8060</v>
      </c>
      <c r="E348">
        <v>8117</v>
      </c>
      <c r="F348">
        <v>19.600000000000001</v>
      </c>
      <c r="G348">
        <v>-8.4</v>
      </c>
      <c r="H348">
        <v>-2.3333335000000002</v>
      </c>
      <c r="I348">
        <v>3.3333335000000002</v>
      </c>
      <c r="J348">
        <v>-0.74999994000000003</v>
      </c>
    </row>
    <row r="349" spans="1:10" x14ac:dyDescent="0.3">
      <c r="A349">
        <v>347</v>
      </c>
      <c r="B349">
        <v>5669</v>
      </c>
      <c r="C349" t="b">
        <v>1</v>
      </c>
      <c r="D349">
        <v>8054</v>
      </c>
      <c r="E349">
        <v>8099</v>
      </c>
      <c r="F349">
        <v>18.866667</v>
      </c>
      <c r="G349">
        <v>-8</v>
      </c>
      <c r="H349">
        <v>-2.3583333</v>
      </c>
      <c r="I349">
        <v>3.3583333</v>
      </c>
      <c r="J349">
        <v>-0.73619634</v>
      </c>
    </row>
    <row r="350" spans="1:10" x14ac:dyDescent="0.3">
      <c r="A350">
        <v>348</v>
      </c>
      <c r="B350">
        <v>5685</v>
      </c>
      <c r="C350" t="b">
        <v>1</v>
      </c>
      <c r="D350">
        <v>8060</v>
      </c>
      <c r="E350">
        <v>8099</v>
      </c>
      <c r="F350">
        <v>18.533332999999999</v>
      </c>
      <c r="G350">
        <v>-7.6</v>
      </c>
      <c r="H350">
        <v>-2.4385965000000001</v>
      </c>
      <c r="I350">
        <v>3.4385965000000001</v>
      </c>
      <c r="J350">
        <v>-0.69512200000000002</v>
      </c>
    </row>
    <row r="351" spans="1:10" x14ac:dyDescent="0.3">
      <c r="A351">
        <v>349</v>
      </c>
      <c r="B351">
        <v>5701</v>
      </c>
      <c r="C351" t="b">
        <v>1</v>
      </c>
      <c r="D351">
        <v>8048</v>
      </c>
      <c r="E351">
        <v>8105</v>
      </c>
      <c r="F351">
        <v>18.2</v>
      </c>
      <c r="G351">
        <v>-7.6</v>
      </c>
      <c r="H351">
        <v>-2.3947370000000001</v>
      </c>
      <c r="I351">
        <v>3.3947370000000001</v>
      </c>
      <c r="J351">
        <v>-0.71698110000000004</v>
      </c>
    </row>
    <row r="352" spans="1:10" x14ac:dyDescent="0.3">
      <c r="A352">
        <v>350</v>
      </c>
      <c r="B352">
        <v>5717</v>
      </c>
      <c r="C352" t="b">
        <v>1</v>
      </c>
      <c r="D352">
        <v>8071</v>
      </c>
      <c r="E352">
        <v>8099</v>
      </c>
      <c r="F352">
        <v>17.866667</v>
      </c>
      <c r="G352">
        <v>-8</v>
      </c>
      <c r="H352">
        <v>-2.2333333</v>
      </c>
      <c r="I352">
        <v>3.2333333</v>
      </c>
      <c r="J352">
        <v>-0.81081080000000005</v>
      </c>
    </row>
    <row r="353" spans="1:10" x14ac:dyDescent="0.3">
      <c r="A353">
        <v>351</v>
      </c>
      <c r="B353">
        <v>5733</v>
      </c>
      <c r="C353" t="b">
        <v>1</v>
      </c>
      <c r="D353">
        <v>8060</v>
      </c>
      <c r="E353">
        <v>8105</v>
      </c>
      <c r="F353">
        <v>17.533332999999999</v>
      </c>
      <c r="G353">
        <v>-8.4</v>
      </c>
      <c r="H353">
        <v>-2.0873016999999998</v>
      </c>
      <c r="I353">
        <v>3.0873016999999998</v>
      </c>
      <c r="J353">
        <v>-0.91970799999999997</v>
      </c>
    </row>
    <row r="354" spans="1:10" x14ac:dyDescent="0.3">
      <c r="A354">
        <v>352</v>
      </c>
      <c r="B354">
        <v>5749</v>
      </c>
      <c r="C354" t="b">
        <v>1</v>
      </c>
      <c r="D354">
        <v>8071</v>
      </c>
      <c r="E354">
        <v>8099</v>
      </c>
      <c r="F354">
        <v>17.2</v>
      </c>
      <c r="G354">
        <v>-9.1999999999999993</v>
      </c>
      <c r="H354">
        <v>-1.8695653999999999</v>
      </c>
      <c r="I354">
        <v>2.8695655000000002</v>
      </c>
      <c r="J354">
        <v>-1.1499999000000001</v>
      </c>
    </row>
    <row r="355" spans="1:10" x14ac:dyDescent="0.3">
      <c r="A355">
        <v>353</v>
      </c>
      <c r="B355">
        <v>5765</v>
      </c>
      <c r="C355" t="b">
        <v>1</v>
      </c>
      <c r="D355">
        <v>8071</v>
      </c>
      <c r="E355">
        <v>8099</v>
      </c>
      <c r="F355">
        <v>17.933332</v>
      </c>
      <c r="G355">
        <v>-10</v>
      </c>
      <c r="H355">
        <v>-1.7933333</v>
      </c>
      <c r="I355">
        <v>2.7933333</v>
      </c>
      <c r="J355">
        <v>-1.2605044000000001</v>
      </c>
    </row>
    <row r="356" spans="1:10" x14ac:dyDescent="0.3">
      <c r="A356">
        <v>354</v>
      </c>
      <c r="B356">
        <v>5781</v>
      </c>
      <c r="C356" t="b">
        <v>1</v>
      </c>
      <c r="D356">
        <v>8065</v>
      </c>
      <c r="E356">
        <v>8105</v>
      </c>
      <c r="F356">
        <v>18.666665999999999</v>
      </c>
      <c r="G356">
        <v>-10.4</v>
      </c>
      <c r="H356">
        <v>-1.7948717999999999</v>
      </c>
      <c r="I356">
        <v>2.7948718000000001</v>
      </c>
      <c r="J356">
        <v>-1.2580644999999999</v>
      </c>
    </row>
    <row r="357" spans="1:10" x14ac:dyDescent="0.3">
      <c r="A357">
        <v>355</v>
      </c>
      <c r="B357">
        <v>5796</v>
      </c>
      <c r="C357" t="b">
        <v>1</v>
      </c>
      <c r="D357">
        <v>8065</v>
      </c>
      <c r="E357">
        <v>8105</v>
      </c>
      <c r="F357">
        <v>19</v>
      </c>
      <c r="G357">
        <v>-10.8</v>
      </c>
      <c r="H357">
        <v>-1.7592592</v>
      </c>
      <c r="I357">
        <v>2.7592591999999998</v>
      </c>
      <c r="J357">
        <v>-1.3170732000000001</v>
      </c>
    </row>
    <row r="358" spans="1:10" x14ac:dyDescent="0.3">
      <c r="A358">
        <v>356</v>
      </c>
      <c r="B358">
        <v>5812</v>
      </c>
      <c r="C358" t="b">
        <v>1</v>
      </c>
      <c r="D358">
        <v>8060</v>
      </c>
      <c r="E358">
        <v>8105</v>
      </c>
      <c r="F358">
        <v>19.733333999999999</v>
      </c>
      <c r="G358">
        <v>-10.8</v>
      </c>
      <c r="H358">
        <v>-1.8271605</v>
      </c>
      <c r="I358">
        <v>2.8271603999999999</v>
      </c>
      <c r="J358">
        <v>-1.2089553</v>
      </c>
    </row>
    <row r="359" spans="1:10" x14ac:dyDescent="0.3">
      <c r="A359">
        <v>357</v>
      </c>
      <c r="B359">
        <v>5828</v>
      </c>
      <c r="C359" t="b">
        <v>1</v>
      </c>
      <c r="D359">
        <v>8065</v>
      </c>
      <c r="E359">
        <v>8099</v>
      </c>
      <c r="F359">
        <v>20.466667000000001</v>
      </c>
      <c r="G359">
        <v>-10.8</v>
      </c>
      <c r="H359">
        <v>-1.8950617000000001</v>
      </c>
      <c r="I359">
        <v>2.8950616999999998</v>
      </c>
      <c r="J359">
        <v>-1.1172413999999999</v>
      </c>
    </row>
    <row r="360" spans="1:10" x14ac:dyDescent="0.3">
      <c r="A360">
        <v>358</v>
      </c>
      <c r="B360">
        <v>5844</v>
      </c>
      <c r="C360" t="b">
        <v>1</v>
      </c>
      <c r="D360">
        <v>8065</v>
      </c>
      <c r="E360">
        <v>8099</v>
      </c>
      <c r="F360">
        <v>21.2</v>
      </c>
      <c r="G360">
        <v>-10.8</v>
      </c>
      <c r="H360">
        <v>-1.962963</v>
      </c>
      <c r="I360">
        <v>2.9629629</v>
      </c>
      <c r="J360">
        <v>-1.0384614000000001</v>
      </c>
    </row>
    <row r="361" spans="1:10" x14ac:dyDescent="0.3">
      <c r="A361">
        <v>359</v>
      </c>
      <c r="B361">
        <v>5860</v>
      </c>
      <c r="C361" t="b">
        <v>1</v>
      </c>
      <c r="D361">
        <v>8060</v>
      </c>
      <c r="E361">
        <v>8099</v>
      </c>
      <c r="F361">
        <v>21.933332</v>
      </c>
      <c r="G361">
        <v>-11.2</v>
      </c>
      <c r="H361">
        <v>-1.9583333000000001</v>
      </c>
      <c r="I361">
        <v>2.9583333000000001</v>
      </c>
      <c r="J361">
        <v>-1.0434783999999999</v>
      </c>
    </row>
    <row r="362" spans="1:10" x14ac:dyDescent="0.3">
      <c r="A362">
        <v>360</v>
      </c>
      <c r="B362">
        <v>5876</v>
      </c>
      <c r="C362" t="b">
        <v>1</v>
      </c>
      <c r="D362">
        <v>8071</v>
      </c>
      <c r="E362">
        <v>8093</v>
      </c>
      <c r="F362">
        <v>22.666665999999999</v>
      </c>
      <c r="G362">
        <v>-11.6</v>
      </c>
      <c r="H362">
        <v>-1.9540229</v>
      </c>
      <c r="I362">
        <v>2.9540229999999998</v>
      </c>
      <c r="J362">
        <v>-1.0481929000000001</v>
      </c>
    </row>
    <row r="363" spans="1:10" x14ac:dyDescent="0.3">
      <c r="A363">
        <v>361</v>
      </c>
      <c r="B363">
        <v>5891</v>
      </c>
      <c r="C363" t="b">
        <v>1</v>
      </c>
      <c r="D363">
        <v>8065</v>
      </c>
      <c r="E363">
        <v>8099</v>
      </c>
      <c r="F363">
        <v>23.4</v>
      </c>
      <c r="G363">
        <v>-12.4</v>
      </c>
      <c r="H363">
        <v>-1.8870967999999999</v>
      </c>
      <c r="I363">
        <v>2.8870969999999998</v>
      </c>
      <c r="J363">
        <v>-1.1272727</v>
      </c>
    </row>
    <row r="364" spans="1:10" x14ac:dyDescent="0.3">
      <c r="A364">
        <v>362</v>
      </c>
      <c r="B364">
        <v>5907</v>
      </c>
      <c r="C364" t="b">
        <v>1</v>
      </c>
      <c r="D364">
        <v>8071</v>
      </c>
      <c r="E364">
        <v>8105</v>
      </c>
      <c r="F364">
        <v>24.133333</v>
      </c>
      <c r="G364">
        <v>-13.2</v>
      </c>
      <c r="H364">
        <v>-1.8282828</v>
      </c>
      <c r="I364">
        <v>2.8282828000000002</v>
      </c>
      <c r="J364">
        <v>-1.207317</v>
      </c>
    </row>
    <row r="365" spans="1:10" x14ac:dyDescent="0.3">
      <c r="A365">
        <v>363</v>
      </c>
      <c r="B365">
        <v>5923</v>
      </c>
      <c r="C365" t="b">
        <v>1</v>
      </c>
      <c r="D365">
        <v>8065</v>
      </c>
      <c r="E365">
        <v>8099</v>
      </c>
      <c r="F365">
        <v>24.466667000000001</v>
      </c>
      <c r="G365">
        <v>-14</v>
      </c>
      <c r="H365">
        <v>-1.747619</v>
      </c>
      <c r="I365">
        <v>2.7476191999999999</v>
      </c>
      <c r="J365">
        <v>-1.3375796</v>
      </c>
    </row>
    <row r="366" spans="1:10" x14ac:dyDescent="0.3">
      <c r="A366">
        <v>364</v>
      </c>
      <c r="B366">
        <v>5939</v>
      </c>
      <c r="C366" t="b">
        <v>1</v>
      </c>
      <c r="D366">
        <v>8065</v>
      </c>
      <c r="E366">
        <v>8093</v>
      </c>
      <c r="F366">
        <v>24.8</v>
      </c>
      <c r="G366">
        <v>-14.4</v>
      </c>
      <c r="H366">
        <v>-1.7222222</v>
      </c>
      <c r="I366">
        <v>2.7222219999999999</v>
      </c>
      <c r="J366">
        <v>-1.3846153999999999</v>
      </c>
    </row>
    <row r="367" spans="1:10" x14ac:dyDescent="0.3">
      <c r="A367">
        <v>365</v>
      </c>
      <c r="B367">
        <v>5955</v>
      </c>
      <c r="C367" t="b">
        <v>1</v>
      </c>
      <c r="D367">
        <v>8060</v>
      </c>
      <c r="E367">
        <v>8099</v>
      </c>
      <c r="F367">
        <v>25.133333</v>
      </c>
      <c r="G367">
        <v>-14.4</v>
      </c>
      <c r="H367">
        <v>-1.7453704000000001</v>
      </c>
      <c r="I367">
        <v>2.7453704000000001</v>
      </c>
      <c r="J367">
        <v>-1.3416148000000001</v>
      </c>
    </row>
    <row r="368" spans="1:10" x14ac:dyDescent="0.3">
      <c r="A368">
        <v>366</v>
      </c>
      <c r="B368">
        <v>5971</v>
      </c>
      <c r="C368" t="b">
        <v>1</v>
      </c>
      <c r="D368">
        <v>8065</v>
      </c>
      <c r="E368">
        <v>8111</v>
      </c>
      <c r="F368">
        <v>25.466667000000001</v>
      </c>
      <c r="G368">
        <v>-14.4</v>
      </c>
      <c r="H368">
        <v>-1.7685185999999999</v>
      </c>
      <c r="I368">
        <v>2.7685187</v>
      </c>
      <c r="J368">
        <v>-1.3012047</v>
      </c>
    </row>
    <row r="369" spans="1:10" x14ac:dyDescent="0.3">
      <c r="A369">
        <v>367</v>
      </c>
      <c r="B369">
        <v>5986</v>
      </c>
      <c r="C369" t="b">
        <v>1</v>
      </c>
      <c r="D369">
        <v>8060</v>
      </c>
      <c r="E369">
        <v>8111</v>
      </c>
      <c r="F369">
        <v>25.8</v>
      </c>
      <c r="G369">
        <v>-14.4</v>
      </c>
      <c r="H369">
        <v>-1.7916666000000001</v>
      </c>
      <c r="I369">
        <v>2.7916664999999998</v>
      </c>
      <c r="J369">
        <v>-1.2631578000000001</v>
      </c>
    </row>
    <row r="370" spans="1:10" x14ac:dyDescent="0.3">
      <c r="A370">
        <v>368</v>
      </c>
      <c r="B370">
        <v>6002</v>
      </c>
      <c r="C370" t="b">
        <v>1</v>
      </c>
      <c r="D370">
        <v>8065</v>
      </c>
      <c r="E370">
        <v>8111</v>
      </c>
      <c r="F370">
        <v>25.4</v>
      </c>
      <c r="G370">
        <v>-13.6</v>
      </c>
      <c r="H370">
        <v>-1.8676469</v>
      </c>
      <c r="I370">
        <v>2.8676469999999998</v>
      </c>
      <c r="J370">
        <v>-1.1525425</v>
      </c>
    </row>
    <row r="371" spans="1:10" x14ac:dyDescent="0.3">
      <c r="A371">
        <v>369</v>
      </c>
      <c r="B371">
        <v>6018</v>
      </c>
      <c r="C371" t="b">
        <v>1</v>
      </c>
      <c r="D371">
        <v>8065</v>
      </c>
      <c r="E371">
        <v>8111</v>
      </c>
      <c r="F371">
        <v>25</v>
      </c>
      <c r="G371">
        <v>-12.8</v>
      </c>
      <c r="H371">
        <v>-1.953125</v>
      </c>
      <c r="I371">
        <v>2.953125</v>
      </c>
      <c r="J371">
        <v>-1.0491804</v>
      </c>
    </row>
    <row r="372" spans="1:10" x14ac:dyDescent="0.3">
      <c r="A372">
        <v>370</v>
      </c>
      <c r="B372">
        <v>6034</v>
      </c>
      <c r="C372" t="b">
        <v>1</v>
      </c>
      <c r="D372">
        <v>8077</v>
      </c>
      <c r="E372">
        <v>8105</v>
      </c>
      <c r="F372">
        <v>25</v>
      </c>
      <c r="G372">
        <v>-12.4</v>
      </c>
      <c r="H372">
        <v>-2.0161289999999998</v>
      </c>
      <c r="I372">
        <v>3.0161292999999998</v>
      </c>
      <c r="J372">
        <v>-0.98412690000000003</v>
      </c>
    </row>
    <row r="373" spans="1:10" x14ac:dyDescent="0.3">
      <c r="A373">
        <v>371</v>
      </c>
      <c r="B373">
        <v>6050</v>
      </c>
      <c r="C373" t="b">
        <v>1</v>
      </c>
      <c r="D373">
        <v>8060</v>
      </c>
      <c r="E373">
        <v>8105</v>
      </c>
      <c r="F373">
        <v>25</v>
      </c>
      <c r="G373">
        <v>-12</v>
      </c>
      <c r="H373">
        <v>-2.0833333000000001</v>
      </c>
      <c r="I373">
        <v>3.0833333000000001</v>
      </c>
      <c r="J373">
        <v>-0.92307689999999998</v>
      </c>
    </row>
    <row r="374" spans="1:10" x14ac:dyDescent="0.3">
      <c r="A374">
        <v>372</v>
      </c>
      <c r="B374">
        <v>6066</v>
      </c>
      <c r="C374" t="b">
        <v>1</v>
      </c>
      <c r="D374">
        <v>8065</v>
      </c>
      <c r="E374">
        <v>8099</v>
      </c>
      <c r="F374">
        <v>25</v>
      </c>
      <c r="G374">
        <v>-12</v>
      </c>
      <c r="H374">
        <v>-2.0833333000000001</v>
      </c>
      <c r="I374">
        <v>3.0833333000000001</v>
      </c>
      <c r="J374">
        <v>-0.92307689999999998</v>
      </c>
    </row>
    <row r="375" spans="1:10" x14ac:dyDescent="0.3">
      <c r="A375">
        <v>373</v>
      </c>
      <c r="B375">
        <v>6082</v>
      </c>
      <c r="C375" t="b">
        <v>1</v>
      </c>
      <c r="D375">
        <v>8060</v>
      </c>
      <c r="E375">
        <v>8099</v>
      </c>
      <c r="F375">
        <v>25</v>
      </c>
      <c r="G375">
        <v>-12</v>
      </c>
      <c r="H375">
        <v>-2.0833333000000001</v>
      </c>
      <c r="I375">
        <v>3.0833333000000001</v>
      </c>
      <c r="J375">
        <v>-0.92307689999999998</v>
      </c>
    </row>
    <row r="376" spans="1:10" x14ac:dyDescent="0.3">
      <c r="A376">
        <v>374</v>
      </c>
      <c r="B376">
        <v>6098</v>
      </c>
      <c r="C376" t="b">
        <v>1</v>
      </c>
      <c r="D376">
        <v>8065</v>
      </c>
      <c r="E376">
        <v>8105</v>
      </c>
      <c r="F376">
        <v>25</v>
      </c>
      <c r="G376">
        <v>-11.6</v>
      </c>
      <c r="H376">
        <v>-2.1551722999999998</v>
      </c>
      <c r="I376">
        <v>3.1551719999999999</v>
      </c>
      <c r="J376">
        <v>-0.86567170000000004</v>
      </c>
    </row>
    <row r="377" spans="1:10" x14ac:dyDescent="0.3">
      <c r="A377">
        <v>375</v>
      </c>
      <c r="B377">
        <v>6114</v>
      </c>
      <c r="C377" t="b">
        <v>1</v>
      </c>
      <c r="D377">
        <v>8065</v>
      </c>
      <c r="E377">
        <v>8111</v>
      </c>
      <c r="F377">
        <v>25</v>
      </c>
      <c r="G377">
        <v>-11.2</v>
      </c>
      <c r="H377">
        <v>-2.2321430000000002</v>
      </c>
      <c r="I377">
        <v>3.2321430000000002</v>
      </c>
      <c r="J377">
        <v>-0.81159420000000004</v>
      </c>
    </row>
    <row r="378" spans="1:10" x14ac:dyDescent="0.3">
      <c r="A378">
        <v>376</v>
      </c>
      <c r="B378">
        <v>6130</v>
      </c>
      <c r="C378" t="b">
        <v>1</v>
      </c>
      <c r="D378">
        <v>8060</v>
      </c>
      <c r="E378">
        <v>8105</v>
      </c>
      <c r="F378">
        <v>25</v>
      </c>
      <c r="G378">
        <v>-10.8</v>
      </c>
      <c r="H378">
        <v>-2.3148148000000002</v>
      </c>
      <c r="I378">
        <v>3.3148146000000001</v>
      </c>
      <c r="J378">
        <v>-0.76056343000000004</v>
      </c>
    </row>
    <row r="379" spans="1:10" x14ac:dyDescent="0.3">
      <c r="A379">
        <v>377</v>
      </c>
      <c r="B379">
        <v>6161</v>
      </c>
      <c r="C379" t="b">
        <v>1</v>
      </c>
      <c r="D379">
        <v>8071</v>
      </c>
      <c r="E379">
        <v>8105</v>
      </c>
      <c r="F379">
        <v>25</v>
      </c>
      <c r="G379">
        <v>-10.4</v>
      </c>
      <c r="H379">
        <v>-2.4038463000000001</v>
      </c>
      <c r="I379">
        <v>3.4038465000000002</v>
      </c>
      <c r="J379">
        <v>-0.71232872999999997</v>
      </c>
    </row>
    <row r="380" spans="1:10" x14ac:dyDescent="0.3">
      <c r="A380">
        <v>378</v>
      </c>
      <c r="B380">
        <v>6177</v>
      </c>
      <c r="C380" t="b">
        <v>1</v>
      </c>
      <c r="D380">
        <v>8065</v>
      </c>
      <c r="E380">
        <v>8099</v>
      </c>
      <c r="F380">
        <v>25</v>
      </c>
      <c r="G380">
        <v>-10</v>
      </c>
      <c r="H380">
        <v>-2.5</v>
      </c>
      <c r="I380">
        <v>3.5</v>
      </c>
      <c r="J380">
        <v>-0.66666669999999995</v>
      </c>
    </row>
    <row r="381" spans="1:10" x14ac:dyDescent="0.3">
      <c r="A381">
        <v>379</v>
      </c>
      <c r="B381">
        <v>6193</v>
      </c>
      <c r="C381" t="b">
        <v>1</v>
      </c>
      <c r="D381">
        <v>8060</v>
      </c>
      <c r="E381">
        <v>8099</v>
      </c>
      <c r="F381">
        <v>25</v>
      </c>
      <c r="G381">
        <v>-9.6</v>
      </c>
      <c r="H381">
        <v>-2.6041664999999998</v>
      </c>
      <c r="I381">
        <v>3.6041663000000002</v>
      </c>
      <c r="J381">
        <v>-0.62337666999999997</v>
      </c>
    </row>
    <row r="382" spans="1:10" x14ac:dyDescent="0.3">
      <c r="A382">
        <v>380</v>
      </c>
      <c r="B382">
        <v>6209</v>
      </c>
      <c r="C382" t="b">
        <v>1</v>
      </c>
      <c r="D382">
        <v>8060</v>
      </c>
      <c r="E382">
        <v>8099</v>
      </c>
      <c r="F382">
        <v>24.666665999999999</v>
      </c>
      <c r="G382">
        <v>-9.6</v>
      </c>
      <c r="H382">
        <v>-2.5694442</v>
      </c>
      <c r="I382">
        <v>3.5694442</v>
      </c>
      <c r="J382">
        <v>-0.63716819999999996</v>
      </c>
    </row>
    <row r="383" spans="1:10" x14ac:dyDescent="0.3">
      <c r="A383">
        <v>381</v>
      </c>
      <c r="B383">
        <v>6225</v>
      </c>
      <c r="C383" t="b">
        <v>1</v>
      </c>
      <c r="D383">
        <v>8060</v>
      </c>
      <c r="E383">
        <v>8099</v>
      </c>
      <c r="F383">
        <v>24.333334000000001</v>
      </c>
      <c r="G383">
        <v>-9.6</v>
      </c>
      <c r="H383">
        <v>-2.5347219999999999</v>
      </c>
      <c r="I383">
        <v>3.5347219999999999</v>
      </c>
      <c r="J383">
        <v>-0.65158373000000003</v>
      </c>
    </row>
    <row r="384" spans="1:10" x14ac:dyDescent="0.3">
      <c r="A384">
        <v>382</v>
      </c>
      <c r="B384">
        <v>6240</v>
      </c>
      <c r="C384" t="b">
        <v>1</v>
      </c>
      <c r="D384">
        <v>8060</v>
      </c>
      <c r="E384">
        <v>8105</v>
      </c>
      <c r="F384">
        <v>24</v>
      </c>
      <c r="G384">
        <v>-9.6</v>
      </c>
      <c r="H384">
        <v>-2.5</v>
      </c>
      <c r="I384">
        <v>3.4999997999999999</v>
      </c>
      <c r="J384">
        <v>-0.66666669999999995</v>
      </c>
    </row>
    <row r="385" spans="1:10" x14ac:dyDescent="0.3">
      <c r="A385">
        <v>383</v>
      </c>
      <c r="B385">
        <v>6256</v>
      </c>
      <c r="C385" t="b">
        <v>1</v>
      </c>
      <c r="D385">
        <v>8060</v>
      </c>
      <c r="E385">
        <v>8105</v>
      </c>
      <c r="F385">
        <v>23.666665999999999</v>
      </c>
      <c r="G385">
        <v>-10.4</v>
      </c>
      <c r="H385">
        <v>-2.2756409999999998</v>
      </c>
      <c r="I385">
        <v>3.2756409999999998</v>
      </c>
      <c r="J385">
        <v>-0.78391960000000005</v>
      </c>
    </row>
    <row r="386" spans="1:10" x14ac:dyDescent="0.3">
      <c r="A386">
        <v>384</v>
      </c>
      <c r="B386">
        <v>6272</v>
      </c>
      <c r="C386" t="b">
        <v>1</v>
      </c>
      <c r="D386">
        <v>8071</v>
      </c>
      <c r="E386">
        <v>8105</v>
      </c>
      <c r="F386">
        <v>23.333334000000001</v>
      </c>
      <c r="G386">
        <v>-10.8</v>
      </c>
      <c r="H386">
        <v>-2.1604939000000001</v>
      </c>
      <c r="I386">
        <v>3.1604939000000001</v>
      </c>
      <c r="J386">
        <v>-0.86170210000000003</v>
      </c>
    </row>
    <row r="387" spans="1:10" x14ac:dyDescent="0.3">
      <c r="A387">
        <v>385</v>
      </c>
      <c r="B387">
        <v>6288</v>
      </c>
      <c r="C387" t="b">
        <v>1</v>
      </c>
      <c r="D387">
        <v>8065</v>
      </c>
      <c r="E387">
        <v>8105</v>
      </c>
      <c r="F387">
        <v>23</v>
      </c>
      <c r="G387">
        <v>-11.2</v>
      </c>
      <c r="H387">
        <v>-2.0535714999999999</v>
      </c>
      <c r="I387">
        <v>3.0535714999999999</v>
      </c>
      <c r="J387">
        <v>-0.94915249999999995</v>
      </c>
    </row>
    <row r="388" spans="1:10" x14ac:dyDescent="0.3">
      <c r="A388">
        <v>386</v>
      </c>
      <c r="B388">
        <v>6304</v>
      </c>
      <c r="C388" t="b">
        <v>1</v>
      </c>
      <c r="D388">
        <v>8065</v>
      </c>
      <c r="E388">
        <v>8105</v>
      </c>
      <c r="F388">
        <v>23</v>
      </c>
      <c r="G388">
        <v>-11.6</v>
      </c>
      <c r="H388">
        <v>-1.9827585000000001</v>
      </c>
      <c r="I388">
        <v>2.9827583</v>
      </c>
      <c r="J388">
        <v>-1.0175438999999999</v>
      </c>
    </row>
    <row r="389" spans="1:10" x14ac:dyDescent="0.3">
      <c r="A389">
        <v>387</v>
      </c>
      <c r="B389">
        <v>6319</v>
      </c>
      <c r="C389" t="b">
        <v>1</v>
      </c>
      <c r="D389">
        <v>8065</v>
      </c>
      <c r="E389">
        <v>8105</v>
      </c>
      <c r="F389">
        <v>23</v>
      </c>
      <c r="G389">
        <v>-11.6</v>
      </c>
      <c r="H389">
        <v>-1.9827585000000001</v>
      </c>
      <c r="I389">
        <v>2.9827583</v>
      </c>
      <c r="J389">
        <v>-1.0175438999999999</v>
      </c>
    </row>
    <row r="390" spans="1:10" x14ac:dyDescent="0.3">
      <c r="A390">
        <v>388</v>
      </c>
      <c r="B390">
        <v>6335</v>
      </c>
      <c r="C390" t="b">
        <v>1</v>
      </c>
      <c r="D390">
        <v>8065</v>
      </c>
      <c r="E390">
        <v>8099</v>
      </c>
      <c r="F390">
        <v>23</v>
      </c>
      <c r="G390">
        <v>-11.6</v>
      </c>
      <c r="H390">
        <v>-1.9827585000000001</v>
      </c>
      <c r="I390">
        <v>2.9827583</v>
      </c>
      <c r="J390">
        <v>-1.0175438999999999</v>
      </c>
    </row>
    <row r="391" spans="1:10" x14ac:dyDescent="0.3">
      <c r="A391">
        <v>389</v>
      </c>
      <c r="B391">
        <v>6351</v>
      </c>
      <c r="C391" t="b">
        <v>1</v>
      </c>
      <c r="D391">
        <v>8065</v>
      </c>
      <c r="E391">
        <v>8099</v>
      </c>
      <c r="F391">
        <v>23</v>
      </c>
      <c r="G391">
        <v>-11.6</v>
      </c>
      <c r="H391">
        <v>-1.9827585000000001</v>
      </c>
      <c r="I391">
        <v>2.9827583</v>
      </c>
      <c r="J391">
        <v>-1.0175438999999999</v>
      </c>
    </row>
    <row r="392" spans="1:10" x14ac:dyDescent="0.3">
      <c r="A392">
        <v>390</v>
      </c>
      <c r="B392">
        <v>6367</v>
      </c>
      <c r="C392" t="b">
        <v>1</v>
      </c>
      <c r="D392">
        <v>8065</v>
      </c>
      <c r="E392">
        <v>8105</v>
      </c>
      <c r="F392">
        <v>23</v>
      </c>
      <c r="G392">
        <v>-11.6</v>
      </c>
      <c r="H392">
        <v>-1.9827585000000001</v>
      </c>
      <c r="I392">
        <v>2.9827583</v>
      </c>
      <c r="J392">
        <v>-1.0175438999999999</v>
      </c>
    </row>
    <row r="393" spans="1:10" x14ac:dyDescent="0.3">
      <c r="A393">
        <v>391</v>
      </c>
      <c r="B393">
        <v>6383</v>
      </c>
      <c r="C393" t="b">
        <v>1</v>
      </c>
      <c r="D393">
        <v>8060</v>
      </c>
      <c r="E393">
        <v>8105</v>
      </c>
      <c r="F393">
        <v>23</v>
      </c>
      <c r="G393">
        <v>-11.6</v>
      </c>
      <c r="H393">
        <v>-1.9827585000000001</v>
      </c>
      <c r="I393">
        <v>2.9827583</v>
      </c>
      <c r="J393">
        <v>-1.0175438999999999</v>
      </c>
    </row>
    <row r="394" spans="1:10" x14ac:dyDescent="0.3">
      <c r="A394">
        <v>392</v>
      </c>
      <c r="B394">
        <v>6398</v>
      </c>
      <c r="C394" t="b">
        <v>1</v>
      </c>
      <c r="D394">
        <v>8065</v>
      </c>
      <c r="E394">
        <v>8111</v>
      </c>
      <c r="F394">
        <v>23</v>
      </c>
      <c r="G394">
        <v>-11.6</v>
      </c>
      <c r="H394">
        <v>-1.9827585000000001</v>
      </c>
      <c r="I394">
        <v>2.9827583</v>
      </c>
      <c r="J394">
        <v>-1.0175438999999999</v>
      </c>
    </row>
    <row r="395" spans="1:10" x14ac:dyDescent="0.3">
      <c r="A395">
        <v>393</v>
      </c>
      <c r="B395">
        <v>6414</v>
      </c>
      <c r="C395" t="b">
        <v>1</v>
      </c>
      <c r="D395">
        <v>8071</v>
      </c>
      <c r="E395">
        <v>8111</v>
      </c>
      <c r="F395">
        <v>23</v>
      </c>
      <c r="G395">
        <v>-11.6</v>
      </c>
      <c r="H395">
        <v>-1.9827585000000001</v>
      </c>
      <c r="I395">
        <v>2.9827583</v>
      </c>
      <c r="J395">
        <v>-1.0175438999999999</v>
      </c>
    </row>
    <row r="396" spans="1:10" x14ac:dyDescent="0.3">
      <c r="A396">
        <v>394</v>
      </c>
      <c r="B396">
        <v>6430</v>
      </c>
      <c r="C396" t="b">
        <v>1</v>
      </c>
      <c r="D396">
        <v>8071</v>
      </c>
      <c r="E396">
        <v>8111</v>
      </c>
      <c r="F396">
        <v>23</v>
      </c>
      <c r="G396">
        <v>-11.2</v>
      </c>
      <c r="H396">
        <v>-2.0535714999999999</v>
      </c>
      <c r="I396">
        <v>3.0535714999999999</v>
      </c>
      <c r="J396">
        <v>-0.94915249999999995</v>
      </c>
    </row>
    <row r="397" spans="1:10" x14ac:dyDescent="0.3">
      <c r="A397">
        <v>395</v>
      </c>
      <c r="B397">
        <v>6446</v>
      </c>
      <c r="C397" t="b">
        <v>1</v>
      </c>
      <c r="D397">
        <v>8065</v>
      </c>
      <c r="E397">
        <v>8111</v>
      </c>
      <c r="F397">
        <v>23.333334000000001</v>
      </c>
      <c r="G397">
        <v>-10.4</v>
      </c>
      <c r="H397">
        <v>-2.2435898999999999</v>
      </c>
      <c r="I397">
        <v>3.2435898999999999</v>
      </c>
      <c r="J397">
        <v>-0.80412364000000003</v>
      </c>
    </row>
    <row r="398" spans="1:10" x14ac:dyDescent="0.3">
      <c r="A398">
        <v>396</v>
      </c>
      <c r="B398">
        <v>6462</v>
      </c>
      <c r="C398" t="b">
        <v>1</v>
      </c>
      <c r="D398">
        <v>8060</v>
      </c>
      <c r="E398">
        <v>8105</v>
      </c>
      <c r="F398">
        <v>23.666665999999999</v>
      </c>
      <c r="G398">
        <v>-9.6</v>
      </c>
      <c r="H398">
        <v>-2.4652777000000001</v>
      </c>
      <c r="I398">
        <v>3.4652777000000001</v>
      </c>
      <c r="J398">
        <v>-0.68246454000000001</v>
      </c>
    </row>
    <row r="399" spans="1:10" x14ac:dyDescent="0.3">
      <c r="A399">
        <v>397</v>
      </c>
      <c r="B399">
        <v>6478</v>
      </c>
      <c r="C399" t="b">
        <v>1</v>
      </c>
      <c r="D399">
        <v>8060</v>
      </c>
      <c r="E399">
        <v>8099</v>
      </c>
      <c r="F399">
        <v>24</v>
      </c>
      <c r="G399">
        <v>-8.8000000000000007</v>
      </c>
      <c r="H399">
        <v>-2.7272726999999999</v>
      </c>
      <c r="I399">
        <v>3.7272725000000002</v>
      </c>
      <c r="J399">
        <v>-0.57894736999999996</v>
      </c>
    </row>
    <row r="400" spans="1:10" x14ac:dyDescent="0.3">
      <c r="A400">
        <v>398</v>
      </c>
      <c r="B400">
        <v>6493</v>
      </c>
      <c r="C400" t="b">
        <v>1</v>
      </c>
      <c r="D400">
        <v>8060</v>
      </c>
      <c r="E400">
        <v>8099</v>
      </c>
      <c r="F400">
        <v>24</v>
      </c>
      <c r="G400">
        <v>-8.4</v>
      </c>
      <c r="H400">
        <v>-2.8571430000000002</v>
      </c>
      <c r="I400">
        <v>3.8571431999999999</v>
      </c>
      <c r="J400">
        <v>-0.53846150000000004</v>
      </c>
    </row>
    <row r="401" spans="1:10" x14ac:dyDescent="0.3">
      <c r="A401">
        <v>399</v>
      </c>
      <c r="B401">
        <v>6509</v>
      </c>
      <c r="C401" t="b">
        <v>1</v>
      </c>
      <c r="D401">
        <v>8054</v>
      </c>
      <c r="E401">
        <v>8093</v>
      </c>
      <c r="F401">
        <v>24</v>
      </c>
      <c r="G401">
        <v>-8.8000000000000007</v>
      </c>
      <c r="H401">
        <v>-2.7272726999999999</v>
      </c>
      <c r="I401">
        <v>3.7272725000000002</v>
      </c>
      <c r="J401">
        <v>-0.57894736999999996</v>
      </c>
    </row>
    <row r="402" spans="1:10" x14ac:dyDescent="0.3">
      <c r="A402">
        <v>400</v>
      </c>
      <c r="B402">
        <v>6525</v>
      </c>
      <c r="C402" t="b">
        <v>1</v>
      </c>
      <c r="D402">
        <v>8060</v>
      </c>
      <c r="E402">
        <v>8099</v>
      </c>
      <c r="F402">
        <v>24</v>
      </c>
      <c r="G402">
        <v>-9.1999999999999993</v>
      </c>
      <c r="H402">
        <v>-2.6086957000000002</v>
      </c>
      <c r="I402">
        <v>3.6086957000000002</v>
      </c>
      <c r="J402">
        <v>-0.6216216</v>
      </c>
    </row>
    <row r="403" spans="1:10" x14ac:dyDescent="0.3">
      <c r="A403">
        <v>401</v>
      </c>
      <c r="B403">
        <v>6541</v>
      </c>
      <c r="C403" t="b">
        <v>1</v>
      </c>
      <c r="D403">
        <v>8065</v>
      </c>
      <c r="E403">
        <v>8105</v>
      </c>
      <c r="F403">
        <v>23.666665999999999</v>
      </c>
      <c r="G403">
        <v>-9.6</v>
      </c>
      <c r="H403">
        <v>-2.4652777000000001</v>
      </c>
      <c r="I403">
        <v>3.4652777000000001</v>
      </c>
      <c r="J403">
        <v>-0.68246454000000001</v>
      </c>
    </row>
    <row r="404" spans="1:10" x14ac:dyDescent="0.3">
      <c r="A404">
        <v>402</v>
      </c>
      <c r="B404">
        <v>6557</v>
      </c>
      <c r="C404" t="b">
        <v>1</v>
      </c>
      <c r="D404">
        <v>8071</v>
      </c>
      <c r="E404">
        <v>8105</v>
      </c>
      <c r="F404">
        <v>23.333334000000001</v>
      </c>
      <c r="G404">
        <v>-10</v>
      </c>
      <c r="H404">
        <v>-2.3333335000000002</v>
      </c>
      <c r="I404">
        <v>3.3333335000000002</v>
      </c>
      <c r="J404">
        <v>-0.74999994000000003</v>
      </c>
    </row>
    <row r="405" spans="1:10" x14ac:dyDescent="0.3">
      <c r="A405">
        <v>403</v>
      </c>
      <c r="B405">
        <v>6573</v>
      </c>
      <c r="C405" t="b">
        <v>1</v>
      </c>
      <c r="D405">
        <v>8065</v>
      </c>
      <c r="E405">
        <v>8105</v>
      </c>
      <c r="F405">
        <v>23.333334000000001</v>
      </c>
      <c r="G405">
        <v>-10</v>
      </c>
      <c r="H405">
        <v>-2.3333335000000002</v>
      </c>
      <c r="I405">
        <v>3.3333335000000002</v>
      </c>
      <c r="J405">
        <v>-0.74999994000000003</v>
      </c>
    </row>
    <row r="406" spans="1:10" x14ac:dyDescent="0.3">
      <c r="A406">
        <v>404</v>
      </c>
      <c r="B406">
        <v>6589</v>
      </c>
      <c r="C406" t="b">
        <v>1</v>
      </c>
      <c r="D406">
        <v>8065</v>
      </c>
      <c r="E406">
        <v>8093</v>
      </c>
      <c r="F406">
        <v>23.333334000000001</v>
      </c>
      <c r="G406">
        <v>-10</v>
      </c>
      <c r="H406">
        <v>-2.3333335000000002</v>
      </c>
      <c r="I406">
        <v>3.3333335000000002</v>
      </c>
      <c r="J406">
        <v>-0.74999994000000003</v>
      </c>
    </row>
    <row r="407" spans="1:10" x14ac:dyDescent="0.3">
      <c r="A407">
        <v>405</v>
      </c>
      <c r="B407">
        <v>6604</v>
      </c>
      <c r="C407" t="b">
        <v>1</v>
      </c>
      <c r="D407">
        <v>8060</v>
      </c>
      <c r="E407">
        <v>8099</v>
      </c>
      <c r="F407">
        <v>23.333334000000001</v>
      </c>
      <c r="G407">
        <v>-10</v>
      </c>
      <c r="H407">
        <v>-2.3333335000000002</v>
      </c>
      <c r="I407">
        <v>3.3333335000000002</v>
      </c>
      <c r="J407">
        <v>-0.74999994000000003</v>
      </c>
    </row>
    <row r="408" spans="1:10" x14ac:dyDescent="0.3">
      <c r="A408">
        <v>406</v>
      </c>
      <c r="B408">
        <v>6620</v>
      </c>
      <c r="C408" t="b">
        <v>1</v>
      </c>
      <c r="D408">
        <v>8054</v>
      </c>
      <c r="E408">
        <v>8099</v>
      </c>
      <c r="F408">
        <v>23.333334000000001</v>
      </c>
      <c r="G408">
        <v>-10.4</v>
      </c>
      <c r="H408">
        <v>-2.2435898999999999</v>
      </c>
      <c r="I408">
        <v>3.2435898999999999</v>
      </c>
      <c r="J408">
        <v>-0.80412364000000003</v>
      </c>
    </row>
    <row r="409" spans="1:10" x14ac:dyDescent="0.3">
      <c r="A409">
        <v>407</v>
      </c>
      <c r="B409">
        <v>6636</v>
      </c>
      <c r="C409" t="b">
        <v>1</v>
      </c>
      <c r="D409">
        <v>8065</v>
      </c>
      <c r="E409">
        <v>8111</v>
      </c>
      <c r="F409">
        <v>23.333334000000001</v>
      </c>
      <c r="G409">
        <v>-10.8</v>
      </c>
      <c r="H409">
        <v>-2.1604939000000001</v>
      </c>
      <c r="I409">
        <v>3.1604939000000001</v>
      </c>
      <c r="J409">
        <v>-0.86170210000000003</v>
      </c>
    </row>
    <row r="410" spans="1:10" x14ac:dyDescent="0.3">
      <c r="A410">
        <v>408</v>
      </c>
      <c r="B410">
        <v>6652</v>
      </c>
      <c r="C410" t="b">
        <v>1</v>
      </c>
      <c r="D410">
        <v>8065</v>
      </c>
      <c r="E410">
        <v>8105</v>
      </c>
      <c r="F410">
        <v>23.333334000000001</v>
      </c>
      <c r="G410">
        <v>-11.2</v>
      </c>
      <c r="H410">
        <v>-2.0833335000000002</v>
      </c>
      <c r="I410">
        <v>3.0833333000000001</v>
      </c>
      <c r="J410">
        <v>-0.92307687000000005</v>
      </c>
    </row>
    <row r="411" spans="1:10" x14ac:dyDescent="0.3">
      <c r="A411">
        <v>409</v>
      </c>
      <c r="B411">
        <v>6668</v>
      </c>
      <c r="C411" t="b">
        <v>1</v>
      </c>
      <c r="D411">
        <v>8065</v>
      </c>
      <c r="E411">
        <v>8105</v>
      </c>
      <c r="F411">
        <v>23.333334000000001</v>
      </c>
      <c r="G411">
        <v>-11.6</v>
      </c>
      <c r="H411">
        <v>-2.0114942</v>
      </c>
      <c r="I411">
        <v>3.0114942</v>
      </c>
      <c r="J411">
        <v>-0.98863639999999997</v>
      </c>
    </row>
    <row r="412" spans="1:10" x14ac:dyDescent="0.3">
      <c r="A412">
        <v>410</v>
      </c>
      <c r="B412">
        <v>6684</v>
      </c>
      <c r="C412" t="b">
        <v>1</v>
      </c>
      <c r="D412">
        <v>8071</v>
      </c>
      <c r="E412">
        <v>8111</v>
      </c>
      <c r="F412">
        <v>23.333334000000001</v>
      </c>
      <c r="G412">
        <v>-12</v>
      </c>
      <c r="H412">
        <v>-1.9444444999999999</v>
      </c>
      <c r="I412">
        <v>2.9444447</v>
      </c>
      <c r="J412">
        <v>-1.0588234999999999</v>
      </c>
    </row>
    <row r="413" spans="1:10" x14ac:dyDescent="0.3">
      <c r="A413">
        <v>411</v>
      </c>
      <c r="B413">
        <v>6700</v>
      </c>
      <c r="C413" t="b">
        <v>1</v>
      </c>
      <c r="D413">
        <v>8065</v>
      </c>
      <c r="E413">
        <v>8105</v>
      </c>
      <c r="F413">
        <v>23.333334000000001</v>
      </c>
      <c r="G413">
        <v>-12.4</v>
      </c>
      <c r="H413">
        <v>-1.8817204999999999</v>
      </c>
      <c r="I413">
        <v>2.8817205000000001</v>
      </c>
      <c r="J413">
        <v>-1.1341462</v>
      </c>
    </row>
    <row r="414" spans="1:10" x14ac:dyDescent="0.3">
      <c r="A414">
        <v>412</v>
      </c>
      <c r="B414">
        <v>6716</v>
      </c>
      <c r="C414" t="b">
        <v>1</v>
      </c>
      <c r="D414">
        <v>8060</v>
      </c>
      <c r="E414">
        <v>8105</v>
      </c>
      <c r="F414">
        <v>23.333334000000001</v>
      </c>
      <c r="G414">
        <v>-12.8</v>
      </c>
      <c r="H414">
        <v>-1.8229166999999999</v>
      </c>
      <c r="I414">
        <v>2.8229166999999999</v>
      </c>
      <c r="J414">
        <v>-1.2151898000000001</v>
      </c>
    </row>
    <row r="415" spans="1:10" x14ac:dyDescent="0.3">
      <c r="A415">
        <v>413</v>
      </c>
      <c r="B415">
        <v>6732</v>
      </c>
      <c r="C415" t="b">
        <v>1</v>
      </c>
      <c r="D415">
        <v>8060</v>
      </c>
      <c r="E415">
        <v>8105</v>
      </c>
      <c r="F415">
        <v>23.666665999999999</v>
      </c>
      <c r="G415">
        <v>-12.8</v>
      </c>
      <c r="H415">
        <v>-1.8489583000000001</v>
      </c>
      <c r="I415">
        <v>2.8489583000000001</v>
      </c>
      <c r="J415">
        <v>-1.1779143000000001</v>
      </c>
    </row>
    <row r="416" spans="1:10" x14ac:dyDescent="0.3">
      <c r="A416">
        <v>414</v>
      </c>
      <c r="B416">
        <v>6748</v>
      </c>
      <c r="C416" t="b">
        <v>1</v>
      </c>
      <c r="D416">
        <v>8048</v>
      </c>
      <c r="E416">
        <v>8105</v>
      </c>
      <c r="F416">
        <v>23.666665999999999</v>
      </c>
      <c r="G416">
        <v>-12.4</v>
      </c>
      <c r="H416">
        <v>-1.9086021</v>
      </c>
      <c r="I416">
        <v>2.9086021999999998</v>
      </c>
      <c r="J416">
        <v>-1.1005917000000001</v>
      </c>
    </row>
    <row r="417" spans="1:10" x14ac:dyDescent="0.3">
      <c r="A417">
        <v>415</v>
      </c>
      <c r="B417">
        <v>6764</v>
      </c>
      <c r="C417" t="b">
        <v>1</v>
      </c>
      <c r="D417">
        <v>8060</v>
      </c>
      <c r="E417">
        <v>8105</v>
      </c>
      <c r="F417">
        <v>23.666665999999999</v>
      </c>
      <c r="G417">
        <v>-12</v>
      </c>
      <c r="H417">
        <v>-1.9722222</v>
      </c>
      <c r="I417">
        <v>2.9722219999999999</v>
      </c>
      <c r="J417">
        <v>-1.0285715</v>
      </c>
    </row>
    <row r="418" spans="1:10" x14ac:dyDescent="0.3">
      <c r="A418">
        <v>416</v>
      </c>
      <c r="B418">
        <v>6780</v>
      </c>
      <c r="C418" t="b">
        <v>1</v>
      </c>
      <c r="D418">
        <v>8060</v>
      </c>
      <c r="E418">
        <v>8099</v>
      </c>
      <c r="F418">
        <v>23.666665999999999</v>
      </c>
      <c r="G418">
        <v>-11.6</v>
      </c>
      <c r="H418">
        <v>-2.0402298000000001</v>
      </c>
      <c r="I418">
        <v>3.0402298000000001</v>
      </c>
      <c r="J418">
        <v>-0.96132605999999998</v>
      </c>
    </row>
    <row r="419" spans="1:10" x14ac:dyDescent="0.3">
      <c r="A419">
        <v>417</v>
      </c>
      <c r="B419">
        <v>6796</v>
      </c>
      <c r="C419" t="b">
        <v>1</v>
      </c>
      <c r="D419">
        <v>8060</v>
      </c>
      <c r="E419">
        <v>8105</v>
      </c>
      <c r="F419">
        <v>23.666665999999999</v>
      </c>
      <c r="G419">
        <v>-11.2</v>
      </c>
      <c r="H419">
        <v>-2.1130952999999999</v>
      </c>
      <c r="I419">
        <v>3.1130949999999999</v>
      </c>
      <c r="J419">
        <v>-0.89839570000000002</v>
      </c>
    </row>
    <row r="420" spans="1:10" x14ac:dyDescent="0.3">
      <c r="A420">
        <v>418</v>
      </c>
      <c r="B420">
        <v>6811</v>
      </c>
      <c r="C420" t="b">
        <v>1</v>
      </c>
      <c r="D420">
        <v>8060</v>
      </c>
      <c r="E420">
        <v>8105</v>
      </c>
      <c r="F420">
        <v>23.333334000000001</v>
      </c>
      <c r="G420">
        <v>-11.2</v>
      </c>
      <c r="H420">
        <v>-2.0833335000000002</v>
      </c>
      <c r="I420">
        <v>3.0833333000000001</v>
      </c>
      <c r="J420">
        <v>-0.92307687000000005</v>
      </c>
    </row>
    <row r="421" spans="1:10" x14ac:dyDescent="0.3">
      <c r="A421">
        <v>419</v>
      </c>
      <c r="B421">
        <v>6827</v>
      </c>
      <c r="C421" t="b">
        <v>1</v>
      </c>
      <c r="D421">
        <v>8065</v>
      </c>
      <c r="E421">
        <v>8099</v>
      </c>
      <c r="F421">
        <v>23</v>
      </c>
      <c r="G421">
        <v>-11.2</v>
      </c>
      <c r="H421">
        <v>-2.0535714999999999</v>
      </c>
      <c r="I421">
        <v>3.0535714999999999</v>
      </c>
      <c r="J421">
        <v>-0.94915249999999995</v>
      </c>
    </row>
    <row r="422" spans="1:10" x14ac:dyDescent="0.3">
      <c r="A422">
        <v>420</v>
      </c>
      <c r="B422">
        <v>6843</v>
      </c>
      <c r="C422" t="b">
        <v>1</v>
      </c>
      <c r="D422">
        <v>8060</v>
      </c>
      <c r="E422">
        <v>8093</v>
      </c>
      <c r="F422">
        <v>22.666665999999999</v>
      </c>
      <c r="G422">
        <v>-11.6</v>
      </c>
      <c r="H422">
        <v>-1.9540229</v>
      </c>
      <c r="I422">
        <v>2.9540229999999998</v>
      </c>
      <c r="J422">
        <v>-1.0481929000000001</v>
      </c>
    </row>
    <row r="423" spans="1:10" x14ac:dyDescent="0.3">
      <c r="A423">
        <v>421</v>
      </c>
      <c r="B423">
        <v>6859</v>
      </c>
      <c r="C423" t="b">
        <v>1</v>
      </c>
      <c r="D423">
        <v>8065</v>
      </c>
      <c r="E423">
        <v>8105</v>
      </c>
      <c r="F423">
        <v>22.333334000000001</v>
      </c>
      <c r="G423">
        <v>-11.2</v>
      </c>
      <c r="H423">
        <v>-1.9940477999999999</v>
      </c>
      <c r="I423">
        <v>2.9940476</v>
      </c>
      <c r="J423">
        <v>-1.0059879</v>
      </c>
    </row>
    <row r="424" spans="1:10" x14ac:dyDescent="0.3">
      <c r="A424">
        <v>422</v>
      </c>
      <c r="B424">
        <v>6875</v>
      </c>
      <c r="C424" t="b">
        <v>1</v>
      </c>
      <c r="D424">
        <v>8060</v>
      </c>
      <c r="E424">
        <v>8111</v>
      </c>
      <c r="F424">
        <v>22</v>
      </c>
      <c r="G424">
        <v>-10.8</v>
      </c>
      <c r="H424">
        <v>-2.0370370000000002</v>
      </c>
      <c r="I424">
        <v>3.0370370000000002</v>
      </c>
      <c r="J424">
        <v>-0.96428572999999995</v>
      </c>
    </row>
    <row r="425" spans="1:10" x14ac:dyDescent="0.3">
      <c r="A425">
        <v>423</v>
      </c>
      <c r="B425">
        <v>6891</v>
      </c>
      <c r="C425" t="b">
        <v>1</v>
      </c>
      <c r="D425">
        <v>8065</v>
      </c>
      <c r="E425">
        <v>8105</v>
      </c>
      <c r="F425">
        <v>22</v>
      </c>
      <c r="G425">
        <v>-10.4</v>
      </c>
      <c r="H425">
        <v>-2.1153846000000001</v>
      </c>
      <c r="I425">
        <v>3.1153848000000002</v>
      </c>
      <c r="J425">
        <v>-0.89655167000000002</v>
      </c>
    </row>
    <row r="426" spans="1:10" x14ac:dyDescent="0.3">
      <c r="A426">
        <v>424</v>
      </c>
      <c r="B426">
        <v>6907</v>
      </c>
      <c r="C426" t="b">
        <v>1</v>
      </c>
      <c r="D426">
        <v>8060</v>
      </c>
      <c r="E426">
        <v>8111</v>
      </c>
      <c r="F426">
        <v>21.666665999999999</v>
      </c>
      <c r="G426">
        <v>-10.4</v>
      </c>
      <c r="H426">
        <v>-2.0833333000000001</v>
      </c>
      <c r="I426">
        <v>3.0833333000000001</v>
      </c>
      <c r="J426">
        <v>-0.92307689999999998</v>
      </c>
    </row>
    <row r="427" spans="1:10" x14ac:dyDescent="0.3">
      <c r="A427">
        <v>425</v>
      </c>
      <c r="B427">
        <v>6923</v>
      </c>
      <c r="C427" t="b">
        <v>1</v>
      </c>
      <c r="D427">
        <v>8065</v>
      </c>
      <c r="E427">
        <v>8105</v>
      </c>
      <c r="F427">
        <v>21.666665999999999</v>
      </c>
      <c r="G427">
        <v>-10.4</v>
      </c>
      <c r="H427">
        <v>-2.0833333000000001</v>
      </c>
      <c r="I427">
        <v>3.0833333000000001</v>
      </c>
      <c r="J427">
        <v>-0.92307689999999998</v>
      </c>
    </row>
    <row r="428" spans="1:10" x14ac:dyDescent="0.3">
      <c r="A428">
        <v>426</v>
      </c>
      <c r="B428">
        <v>6939</v>
      </c>
      <c r="C428" t="b">
        <v>1</v>
      </c>
      <c r="D428">
        <v>8060</v>
      </c>
      <c r="E428">
        <v>8105</v>
      </c>
      <c r="F428">
        <v>21.333334000000001</v>
      </c>
      <c r="G428">
        <v>-10.4</v>
      </c>
      <c r="H428">
        <v>-2.0512822000000002</v>
      </c>
      <c r="I428">
        <v>3.0512822000000002</v>
      </c>
      <c r="J428">
        <v>-0.95121940000000005</v>
      </c>
    </row>
    <row r="429" spans="1:10" x14ac:dyDescent="0.3">
      <c r="A429">
        <v>427</v>
      </c>
      <c r="B429">
        <v>6954</v>
      </c>
      <c r="C429" t="b">
        <v>1</v>
      </c>
      <c r="D429">
        <v>8060</v>
      </c>
      <c r="E429">
        <v>8099</v>
      </c>
      <c r="F429">
        <v>21</v>
      </c>
      <c r="G429">
        <v>-10.4</v>
      </c>
      <c r="H429">
        <v>-2.0192307999999999</v>
      </c>
      <c r="I429">
        <v>3.0192307999999999</v>
      </c>
      <c r="J429">
        <v>-0.98113203000000004</v>
      </c>
    </row>
    <row r="430" spans="1:10" x14ac:dyDescent="0.3">
      <c r="A430">
        <v>428</v>
      </c>
      <c r="B430">
        <v>6970</v>
      </c>
      <c r="C430" t="b">
        <v>1</v>
      </c>
      <c r="D430">
        <v>8060</v>
      </c>
      <c r="E430">
        <v>8105</v>
      </c>
      <c r="F430">
        <v>20.666665999999999</v>
      </c>
      <c r="G430">
        <v>-10.4</v>
      </c>
      <c r="H430">
        <v>-1.9871795000000001</v>
      </c>
      <c r="I430">
        <v>2.9871794999999999</v>
      </c>
      <c r="J430">
        <v>-1.0129870000000001</v>
      </c>
    </row>
    <row r="431" spans="1:10" x14ac:dyDescent="0.3">
      <c r="A431">
        <v>429</v>
      </c>
      <c r="B431">
        <v>6986</v>
      </c>
      <c r="C431" t="b">
        <v>1</v>
      </c>
      <c r="D431">
        <v>8065</v>
      </c>
      <c r="E431">
        <v>8105</v>
      </c>
      <c r="F431">
        <v>20.666665999999999</v>
      </c>
      <c r="G431">
        <v>-10.4</v>
      </c>
      <c r="H431">
        <v>-1.9871795000000001</v>
      </c>
      <c r="I431">
        <v>2.9871794999999999</v>
      </c>
      <c r="J431">
        <v>-1.0129870000000001</v>
      </c>
    </row>
    <row r="432" spans="1:10" x14ac:dyDescent="0.3">
      <c r="A432">
        <v>430</v>
      </c>
      <c r="B432">
        <v>7002</v>
      </c>
      <c r="C432" t="b">
        <v>1</v>
      </c>
      <c r="D432">
        <v>8060</v>
      </c>
      <c r="E432">
        <v>8105</v>
      </c>
      <c r="F432">
        <v>20.666665999999999</v>
      </c>
      <c r="G432">
        <v>-10.4</v>
      </c>
      <c r="H432">
        <v>-1.9871795000000001</v>
      </c>
      <c r="I432">
        <v>2.9871794999999999</v>
      </c>
      <c r="J432">
        <v>-1.0129870000000001</v>
      </c>
    </row>
    <row r="433" spans="1:10" x14ac:dyDescent="0.3">
      <c r="A433">
        <v>431</v>
      </c>
      <c r="B433">
        <v>7018</v>
      </c>
      <c r="C433" t="b">
        <v>1</v>
      </c>
      <c r="D433">
        <v>8060</v>
      </c>
      <c r="E433">
        <v>8105</v>
      </c>
      <c r="F433">
        <v>20.666665999999999</v>
      </c>
      <c r="G433">
        <v>-10.4</v>
      </c>
      <c r="H433">
        <v>-1.9871795000000001</v>
      </c>
      <c r="I433">
        <v>2.9871794999999999</v>
      </c>
      <c r="J433">
        <v>-1.0129870000000001</v>
      </c>
    </row>
    <row r="434" spans="1:10" x14ac:dyDescent="0.3">
      <c r="A434">
        <v>432</v>
      </c>
      <c r="B434">
        <v>7034</v>
      </c>
      <c r="C434" t="b">
        <v>1</v>
      </c>
      <c r="D434">
        <v>8060</v>
      </c>
      <c r="E434">
        <v>8105</v>
      </c>
      <c r="F434">
        <v>20.666665999999999</v>
      </c>
      <c r="G434">
        <v>-10.4</v>
      </c>
      <c r="H434">
        <v>-1.9871795000000001</v>
      </c>
      <c r="I434">
        <v>2.9871794999999999</v>
      </c>
      <c r="J434">
        <v>-1.0129870000000001</v>
      </c>
    </row>
    <row r="435" spans="1:10" x14ac:dyDescent="0.3">
      <c r="A435">
        <v>433</v>
      </c>
      <c r="B435">
        <v>7050</v>
      </c>
      <c r="C435" t="b">
        <v>1</v>
      </c>
      <c r="D435">
        <v>8065</v>
      </c>
      <c r="E435">
        <v>8111</v>
      </c>
      <c r="F435">
        <v>20.666665999999999</v>
      </c>
      <c r="G435">
        <v>-10.4</v>
      </c>
      <c r="H435">
        <v>-1.9871795000000001</v>
      </c>
      <c r="I435">
        <v>2.9871794999999999</v>
      </c>
      <c r="J435">
        <v>-1.0129870000000001</v>
      </c>
    </row>
    <row r="436" spans="1:10" x14ac:dyDescent="0.3">
      <c r="A436">
        <v>434</v>
      </c>
      <c r="B436">
        <v>7066</v>
      </c>
      <c r="C436" t="b">
        <v>1</v>
      </c>
      <c r="D436">
        <v>8077</v>
      </c>
      <c r="E436">
        <v>8117</v>
      </c>
      <c r="F436">
        <v>20.666665999999999</v>
      </c>
      <c r="G436">
        <v>-10.4</v>
      </c>
      <c r="H436">
        <v>-1.9871795000000001</v>
      </c>
      <c r="I436">
        <v>2.9871794999999999</v>
      </c>
      <c r="J436">
        <v>-1.0129870000000001</v>
      </c>
    </row>
    <row r="437" spans="1:10" x14ac:dyDescent="0.3">
      <c r="A437">
        <v>435</v>
      </c>
      <c r="B437">
        <v>7082</v>
      </c>
      <c r="C437" t="b">
        <v>1</v>
      </c>
      <c r="D437">
        <v>8071</v>
      </c>
      <c r="E437">
        <v>8111</v>
      </c>
      <c r="F437">
        <v>21</v>
      </c>
      <c r="G437">
        <v>-9.6</v>
      </c>
      <c r="H437">
        <v>-2.1875</v>
      </c>
      <c r="I437">
        <v>3.1875</v>
      </c>
      <c r="J437">
        <v>-0.84210529999999995</v>
      </c>
    </row>
    <row r="438" spans="1:10" x14ac:dyDescent="0.3">
      <c r="A438">
        <v>436</v>
      </c>
      <c r="B438">
        <v>7098</v>
      </c>
      <c r="C438" t="b">
        <v>1</v>
      </c>
      <c r="D438">
        <v>8071</v>
      </c>
      <c r="E438">
        <v>8099</v>
      </c>
      <c r="F438">
        <v>21.733333999999999</v>
      </c>
      <c r="G438">
        <v>-9.1999999999999993</v>
      </c>
      <c r="H438">
        <v>-2.3623189999999998</v>
      </c>
      <c r="I438">
        <v>3.3623189999999998</v>
      </c>
      <c r="J438">
        <v>-0.73404250000000004</v>
      </c>
    </row>
    <row r="439" spans="1:10" x14ac:dyDescent="0.3">
      <c r="A439">
        <v>437</v>
      </c>
      <c r="B439">
        <v>7114</v>
      </c>
      <c r="C439" t="b">
        <v>1</v>
      </c>
      <c r="D439">
        <v>8065</v>
      </c>
      <c r="E439">
        <v>8105</v>
      </c>
      <c r="F439">
        <v>22.466667000000001</v>
      </c>
      <c r="G439">
        <v>-8.8000000000000007</v>
      </c>
      <c r="H439">
        <v>-2.5530303000000001</v>
      </c>
      <c r="I439">
        <v>3.5530303000000001</v>
      </c>
      <c r="J439">
        <v>-0.64390239999999999</v>
      </c>
    </row>
    <row r="440" spans="1:10" x14ac:dyDescent="0.3">
      <c r="A440">
        <v>438</v>
      </c>
      <c r="B440">
        <v>7129</v>
      </c>
      <c r="C440" t="b">
        <v>1</v>
      </c>
      <c r="D440">
        <v>8060</v>
      </c>
      <c r="E440">
        <v>8105</v>
      </c>
      <c r="F440">
        <v>22.866667</v>
      </c>
      <c r="G440">
        <v>-8.8000000000000007</v>
      </c>
      <c r="H440">
        <v>-2.5984848</v>
      </c>
      <c r="I440">
        <v>3.5984850000000002</v>
      </c>
      <c r="J440">
        <v>-0.62559240000000005</v>
      </c>
    </row>
    <row r="441" spans="1:10" x14ac:dyDescent="0.3">
      <c r="A441">
        <v>439</v>
      </c>
      <c r="B441">
        <v>7146</v>
      </c>
      <c r="C441" t="b">
        <v>1</v>
      </c>
      <c r="D441">
        <v>8060</v>
      </c>
      <c r="E441">
        <v>8099</v>
      </c>
      <c r="F441">
        <v>23.2</v>
      </c>
      <c r="G441">
        <v>-8.8000000000000007</v>
      </c>
      <c r="H441">
        <v>-2.6363637</v>
      </c>
      <c r="I441">
        <v>3.6363634999999999</v>
      </c>
      <c r="J441">
        <v>-0.61111110000000002</v>
      </c>
    </row>
    <row r="442" spans="1:10" x14ac:dyDescent="0.3">
      <c r="A442">
        <v>440</v>
      </c>
      <c r="B442">
        <v>7161</v>
      </c>
      <c r="C442" t="b">
        <v>1</v>
      </c>
      <c r="D442">
        <v>8060</v>
      </c>
      <c r="E442">
        <v>8099</v>
      </c>
      <c r="F442">
        <v>22.866667</v>
      </c>
      <c r="G442">
        <v>-9.1999999999999993</v>
      </c>
      <c r="H442">
        <v>-2.4855071999999998</v>
      </c>
      <c r="I442">
        <v>3.4855071999999998</v>
      </c>
      <c r="J442">
        <v>-0.67317070000000001</v>
      </c>
    </row>
    <row r="443" spans="1:10" x14ac:dyDescent="0.3">
      <c r="A443">
        <v>441</v>
      </c>
      <c r="B443">
        <v>7177</v>
      </c>
      <c r="C443" t="b">
        <v>1</v>
      </c>
      <c r="D443">
        <v>8065</v>
      </c>
      <c r="E443">
        <v>8105</v>
      </c>
      <c r="F443">
        <v>22.866667</v>
      </c>
      <c r="G443">
        <v>-9.1999999999999993</v>
      </c>
      <c r="H443">
        <v>-2.4855071999999998</v>
      </c>
      <c r="I443">
        <v>3.4855071999999998</v>
      </c>
      <c r="J443">
        <v>-0.67317070000000001</v>
      </c>
    </row>
    <row r="444" spans="1:10" x14ac:dyDescent="0.3">
      <c r="A444">
        <v>442</v>
      </c>
      <c r="B444">
        <v>7193</v>
      </c>
      <c r="C444" t="b">
        <v>1</v>
      </c>
      <c r="D444">
        <v>8065</v>
      </c>
      <c r="E444">
        <v>8105</v>
      </c>
      <c r="F444">
        <v>22.866667</v>
      </c>
      <c r="G444">
        <v>-9.1999999999999993</v>
      </c>
      <c r="H444">
        <v>-2.4855071999999998</v>
      </c>
      <c r="I444">
        <v>3.4855071999999998</v>
      </c>
      <c r="J444">
        <v>-0.67317070000000001</v>
      </c>
    </row>
    <row r="445" spans="1:10" x14ac:dyDescent="0.3">
      <c r="A445">
        <v>443</v>
      </c>
      <c r="B445">
        <v>7209</v>
      </c>
      <c r="C445" t="b">
        <v>1</v>
      </c>
      <c r="D445">
        <v>8065</v>
      </c>
      <c r="E445">
        <v>8099</v>
      </c>
      <c r="F445">
        <v>23.2</v>
      </c>
      <c r="G445">
        <v>-9.6</v>
      </c>
      <c r="H445">
        <v>-2.4166666999999999</v>
      </c>
      <c r="I445">
        <v>3.4166666999999999</v>
      </c>
      <c r="J445">
        <v>-0.70588240000000002</v>
      </c>
    </row>
    <row r="446" spans="1:10" x14ac:dyDescent="0.3">
      <c r="A446">
        <v>444</v>
      </c>
      <c r="B446">
        <v>7225</v>
      </c>
      <c r="C446" t="b">
        <v>1</v>
      </c>
      <c r="D446">
        <v>8060</v>
      </c>
      <c r="E446">
        <v>8105</v>
      </c>
      <c r="F446">
        <v>23.533332999999999</v>
      </c>
      <c r="G446">
        <v>-9.6</v>
      </c>
      <c r="H446">
        <v>-2.4513888000000001</v>
      </c>
      <c r="I446">
        <v>3.4513886</v>
      </c>
      <c r="J446">
        <v>-0.68899529999999998</v>
      </c>
    </row>
    <row r="447" spans="1:10" x14ac:dyDescent="0.3">
      <c r="A447">
        <v>445</v>
      </c>
      <c r="B447">
        <v>7240</v>
      </c>
      <c r="C447" t="b">
        <v>1</v>
      </c>
      <c r="D447">
        <v>8054</v>
      </c>
      <c r="E447">
        <v>8105</v>
      </c>
      <c r="F447">
        <v>23.866667</v>
      </c>
      <c r="G447">
        <v>-9.6</v>
      </c>
      <c r="H447">
        <v>-2.4861110000000002</v>
      </c>
      <c r="I447">
        <v>3.4861110000000002</v>
      </c>
      <c r="J447">
        <v>-0.67289719999999997</v>
      </c>
    </row>
    <row r="448" spans="1:10" x14ac:dyDescent="0.3">
      <c r="A448">
        <v>446</v>
      </c>
      <c r="B448">
        <v>7256</v>
      </c>
      <c r="C448" t="b">
        <v>1</v>
      </c>
      <c r="D448">
        <v>8065</v>
      </c>
      <c r="E448">
        <v>8111</v>
      </c>
      <c r="F448">
        <v>24.2</v>
      </c>
      <c r="G448">
        <v>-9.6</v>
      </c>
      <c r="H448">
        <v>-2.5208333000000001</v>
      </c>
      <c r="I448">
        <v>3.5208335000000002</v>
      </c>
      <c r="J448">
        <v>-0.65753424000000005</v>
      </c>
    </row>
    <row r="449" spans="1:10" x14ac:dyDescent="0.3">
      <c r="A449">
        <v>447</v>
      </c>
      <c r="B449">
        <v>7272</v>
      </c>
      <c r="C449" t="b">
        <v>1</v>
      </c>
      <c r="D449">
        <v>8065</v>
      </c>
      <c r="E449">
        <v>8111</v>
      </c>
      <c r="F449">
        <v>24.533332999999999</v>
      </c>
      <c r="G449">
        <v>-9.6</v>
      </c>
      <c r="H449">
        <v>-2.5555553</v>
      </c>
      <c r="I449">
        <v>3.555555</v>
      </c>
      <c r="J449">
        <v>-0.64285720000000002</v>
      </c>
    </row>
    <row r="450" spans="1:10" x14ac:dyDescent="0.3">
      <c r="A450">
        <v>448</v>
      </c>
      <c r="B450">
        <v>7288</v>
      </c>
      <c r="C450" t="b">
        <v>1</v>
      </c>
      <c r="D450">
        <v>8060</v>
      </c>
      <c r="E450">
        <v>8105</v>
      </c>
      <c r="F450">
        <v>24.533332999999999</v>
      </c>
      <c r="G450">
        <v>-9.6</v>
      </c>
      <c r="H450">
        <v>-2.5555553</v>
      </c>
      <c r="I450">
        <v>3.555555</v>
      </c>
      <c r="J450">
        <v>-0.64285720000000002</v>
      </c>
    </row>
    <row r="451" spans="1:10" x14ac:dyDescent="0.3">
      <c r="A451">
        <v>449</v>
      </c>
      <c r="B451">
        <v>7304</v>
      </c>
      <c r="C451" t="b">
        <v>1</v>
      </c>
      <c r="D451">
        <v>8071</v>
      </c>
      <c r="E451">
        <v>8111</v>
      </c>
      <c r="F451">
        <v>24.866667</v>
      </c>
      <c r="G451">
        <v>-9.1999999999999993</v>
      </c>
      <c r="H451">
        <v>-2.7028984999999999</v>
      </c>
      <c r="I451">
        <v>3.7028984999999999</v>
      </c>
      <c r="J451">
        <v>-0.58723400000000003</v>
      </c>
    </row>
    <row r="452" spans="1:10" x14ac:dyDescent="0.3">
      <c r="A452">
        <v>450</v>
      </c>
      <c r="B452">
        <v>7319</v>
      </c>
      <c r="C452" t="b">
        <v>1</v>
      </c>
      <c r="D452">
        <v>8065</v>
      </c>
      <c r="E452">
        <v>8111</v>
      </c>
      <c r="F452">
        <v>24.866667</v>
      </c>
      <c r="G452">
        <v>-9.1999999999999993</v>
      </c>
      <c r="H452">
        <v>-2.7028984999999999</v>
      </c>
      <c r="I452">
        <v>3.7028984999999999</v>
      </c>
      <c r="J452">
        <v>-0.58723400000000003</v>
      </c>
    </row>
    <row r="453" spans="1:10" x14ac:dyDescent="0.3">
      <c r="A453">
        <v>451</v>
      </c>
      <c r="B453">
        <v>7335</v>
      </c>
      <c r="C453" t="b">
        <v>1</v>
      </c>
      <c r="D453">
        <v>8071</v>
      </c>
      <c r="E453">
        <v>8105</v>
      </c>
      <c r="F453">
        <v>24.466667000000001</v>
      </c>
      <c r="G453">
        <v>-9.1999999999999993</v>
      </c>
      <c r="H453">
        <v>-2.6594205</v>
      </c>
      <c r="I453">
        <v>3.6594205</v>
      </c>
      <c r="J453">
        <v>-0.60262006999999995</v>
      </c>
    </row>
    <row r="454" spans="1:10" x14ac:dyDescent="0.3">
      <c r="A454">
        <v>452</v>
      </c>
      <c r="B454">
        <v>7351</v>
      </c>
      <c r="C454" t="b">
        <v>1</v>
      </c>
      <c r="D454">
        <v>8071</v>
      </c>
      <c r="E454">
        <v>8099</v>
      </c>
      <c r="F454">
        <v>24.466667000000001</v>
      </c>
      <c r="G454">
        <v>-9.6</v>
      </c>
      <c r="H454">
        <v>-2.5486111999999999</v>
      </c>
      <c r="I454">
        <v>3.5486110000000002</v>
      </c>
      <c r="J454">
        <v>-0.64573990000000003</v>
      </c>
    </row>
    <row r="455" spans="1:10" x14ac:dyDescent="0.3">
      <c r="A455">
        <v>453</v>
      </c>
      <c r="B455">
        <v>7367</v>
      </c>
      <c r="C455" t="b">
        <v>1</v>
      </c>
      <c r="D455">
        <v>8065</v>
      </c>
      <c r="E455">
        <v>8105</v>
      </c>
      <c r="F455">
        <v>24.466667000000001</v>
      </c>
      <c r="G455">
        <v>-9.6</v>
      </c>
      <c r="H455">
        <v>-2.5486111999999999</v>
      </c>
      <c r="I455">
        <v>3.5486110000000002</v>
      </c>
      <c r="J455">
        <v>-0.64573990000000003</v>
      </c>
    </row>
    <row r="456" spans="1:10" x14ac:dyDescent="0.3">
      <c r="A456">
        <v>454</v>
      </c>
      <c r="B456">
        <v>7382</v>
      </c>
      <c r="C456" t="b">
        <v>1</v>
      </c>
      <c r="D456">
        <v>8060</v>
      </c>
      <c r="E456">
        <v>8105</v>
      </c>
      <c r="F456">
        <v>24.466667000000001</v>
      </c>
      <c r="G456">
        <v>-9.6</v>
      </c>
      <c r="H456">
        <v>-2.5486111999999999</v>
      </c>
      <c r="I456">
        <v>3.5486110000000002</v>
      </c>
      <c r="J456">
        <v>-0.64573990000000003</v>
      </c>
    </row>
    <row r="457" spans="1:10" x14ac:dyDescent="0.3">
      <c r="A457">
        <v>455</v>
      </c>
      <c r="B457">
        <v>7398</v>
      </c>
      <c r="C457" t="b">
        <v>1</v>
      </c>
      <c r="D457">
        <v>8054</v>
      </c>
      <c r="E457">
        <v>8105</v>
      </c>
      <c r="F457">
        <v>24.8</v>
      </c>
      <c r="G457">
        <v>-9.1999999999999993</v>
      </c>
      <c r="H457">
        <v>-2.6956522000000001</v>
      </c>
      <c r="I457">
        <v>3.6956522000000001</v>
      </c>
      <c r="J457">
        <v>-0.58974360000000003</v>
      </c>
    </row>
    <row r="458" spans="1:10" x14ac:dyDescent="0.3">
      <c r="A458">
        <v>456</v>
      </c>
      <c r="B458">
        <v>7414</v>
      </c>
      <c r="C458" t="b">
        <v>1</v>
      </c>
      <c r="D458">
        <v>8065</v>
      </c>
      <c r="E458">
        <v>8105</v>
      </c>
      <c r="F458">
        <v>25.133333</v>
      </c>
      <c r="G458">
        <v>-9.1999999999999993</v>
      </c>
      <c r="H458">
        <v>-2.731884</v>
      </c>
      <c r="I458">
        <v>3.731884</v>
      </c>
      <c r="J458">
        <v>-0.57740586999999999</v>
      </c>
    </row>
    <row r="459" spans="1:10" x14ac:dyDescent="0.3">
      <c r="A459">
        <v>457</v>
      </c>
      <c r="B459">
        <v>7430</v>
      </c>
      <c r="C459" t="b">
        <v>1</v>
      </c>
      <c r="D459">
        <v>8071</v>
      </c>
      <c r="E459">
        <v>8099</v>
      </c>
      <c r="F459">
        <v>25.466667000000001</v>
      </c>
      <c r="G459">
        <v>-9.1999999999999993</v>
      </c>
      <c r="H459">
        <v>-2.768116</v>
      </c>
      <c r="I459">
        <v>3.7681162000000001</v>
      </c>
      <c r="J459">
        <v>-0.56557374999999999</v>
      </c>
    </row>
    <row r="460" spans="1:10" x14ac:dyDescent="0.3">
      <c r="A460">
        <v>458</v>
      </c>
      <c r="B460">
        <v>7446</v>
      </c>
      <c r="C460" t="b">
        <v>1</v>
      </c>
      <c r="D460">
        <v>8060</v>
      </c>
      <c r="E460">
        <v>8105</v>
      </c>
      <c r="F460">
        <v>25.133333</v>
      </c>
      <c r="G460">
        <v>-8.8000000000000007</v>
      </c>
      <c r="H460">
        <v>-2.8560604999999999</v>
      </c>
      <c r="I460">
        <v>3.8560607</v>
      </c>
      <c r="J460">
        <v>-0.53877556000000004</v>
      </c>
    </row>
    <row r="461" spans="1:10" x14ac:dyDescent="0.3">
      <c r="A461">
        <v>459</v>
      </c>
      <c r="B461">
        <v>7462</v>
      </c>
      <c r="C461" t="b">
        <v>1</v>
      </c>
      <c r="D461">
        <v>8054</v>
      </c>
      <c r="E461">
        <v>8105</v>
      </c>
      <c r="F461">
        <v>24.8</v>
      </c>
      <c r="G461">
        <v>-8.8000000000000007</v>
      </c>
      <c r="H461">
        <v>-2.8181818000000001</v>
      </c>
      <c r="I461">
        <v>3.8181815000000001</v>
      </c>
      <c r="J461">
        <v>-0.55000009999999999</v>
      </c>
    </row>
    <row r="462" spans="1:10" x14ac:dyDescent="0.3">
      <c r="A462">
        <v>460</v>
      </c>
      <c r="B462">
        <v>7478</v>
      </c>
      <c r="C462" t="b">
        <v>1</v>
      </c>
      <c r="D462">
        <v>8054</v>
      </c>
      <c r="E462">
        <v>8117</v>
      </c>
      <c r="F462">
        <v>24.466667000000001</v>
      </c>
      <c r="G462">
        <v>-8.8000000000000007</v>
      </c>
      <c r="H462">
        <v>-2.780303</v>
      </c>
      <c r="I462">
        <v>3.780303</v>
      </c>
      <c r="J462">
        <v>-0.56170213000000002</v>
      </c>
    </row>
    <row r="463" spans="1:10" x14ac:dyDescent="0.3">
      <c r="A463">
        <v>461</v>
      </c>
      <c r="B463">
        <v>7493</v>
      </c>
      <c r="C463" t="b">
        <v>1</v>
      </c>
      <c r="D463">
        <v>8048</v>
      </c>
      <c r="E463">
        <v>8111</v>
      </c>
      <c r="F463">
        <v>23.733333999999999</v>
      </c>
      <c r="G463">
        <v>-8.8000000000000007</v>
      </c>
      <c r="H463">
        <v>-2.6969696999999999</v>
      </c>
      <c r="I463">
        <v>3.6969694999999998</v>
      </c>
      <c r="J463">
        <v>-0.58928572999999995</v>
      </c>
    </row>
    <row r="464" spans="1:10" x14ac:dyDescent="0.3">
      <c r="A464">
        <v>462</v>
      </c>
      <c r="B464">
        <v>7509</v>
      </c>
      <c r="C464" t="b">
        <v>1</v>
      </c>
      <c r="D464">
        <v>8060</v>
      </c>
      <c r="E464">
        <v>8105</v>
      </c>
      <c r="F464">
        <v>23</v>
      </c>
      <c r="G464">
        <v>-8.8000000000000007</v>
      </c>
      <c r="H464">
        <v>-2.6136363</v>
      </c>
      <c r="I464">
        <v>3.6136363</v>
      </c>
      <c r="J464">
        <v>-0.61971830000000006</v>
      </c>
    </row>
    <row r="465" spans="1:10" x14ac:dyDescent="0.3">
      <c r="A465">
        <v>463</v>
      </c>
      <c r="B465">
        <v>7525</v>
      </c>
      <c r="C465" t="b">
        <v>1</v>
      </c>
      <c r="D465">
        <v>8065</v>
      </c>
      <c r="E465">
        <v>8123</v>
      </c>
      <c r="F465">
        <v>22.6</v>
      </c>
      <c r="G465">
        <v>-8.4</v>
      </c>
      <c r="H465">
        <v>-2.6904764000000001</v>
      </c>
      <c r="I465">
        <v>3.6904764000000001</v>
      </c>
      <c r="J465">
        <v>-0.5915492</v>
      </c>
    </row>
    <row r="466" spans="1:10" x14ac:dyDescent="0.3">
      <c r="A466">
        <v>464</v>
      </c>
      <c r="B466">
        <v>7541</v>
      </c>
      <c r="C466" t="b">
        <v>1</v>
      </c>
      <c r="D466">
        <v>8065</v>
      </c>
      <c r="E466">
        <v>8105</v>
      </c>
      <c r="F466">
        <v>22.266666000000001</v>
      </c>
      <c r="G466">
        <v>-8.4</v>
      </c>
      <c r="H466">
        <v>-2.6507938000000002</v>
      </c>
      <c r="I466">
        <v>3.6507938000000002</v>
      </c>
      <c r="J466">
        <v>-0.60576920000000001</v>
      </c>
    </row>
    <row r="467" spans="1:10" x14ac:dyDescent="0.3">
      <c r="A467">
        <v>465</v>
      </c>
      <c r="B467">
        <v>7557</v>
      </c>
      <c r="C467" t="b">
        <v>1</v>
      </c>
      <c r="D467">
        <v>8065</v>
      </c>
      <c r="E467">
        <v>8105</v>
      </c>
      <c r="F467">
        <v>22.266666000000001</v>
      </c>
      <c r="G467">
        <v>-8.8000000000000007</v>
      </c>
      <c r="H467">
        <v>-2.530303</v>
      </c>
      <c r="I467">
        <v>3.5303027999999999</v>
      </c>
      <c r="J467">
        <v>-0.65346539999999997</v>
      </c>
    </row>
    <row r="468" spans="1:10" x14ac:dyDescent="0.3">
      <c r="A468">
        <v>466</v>
      </c>
      <c r="B468">
        <v>7572</v>
      </c>
      <c r="C468" t="b">
        <v>1</v>
      </c>
      <c r="D468">
        <v>8060</v>
      </c>
      <c r="E468">
        <v>8105</v>
      </c>
      <c r="F468">
        <v>22.266666000000001</v>
      </c>
      <c r="G468">
        <v>-9.1999999999999993</v>
      </c>
      <c r="H468">
        <v>-2.4202900000000001</v>
      </c>
      <c r="I468">
        <v>3.4202900000000001</v>
      </c>
      <c r="J468">
        <v>-0.70408159999999997</v>
      </c>
    </row>
    <row r="469" spans="1:10" x14ac:dyDescent="0.3">
      <c r="A469">
        <v>467</v>
      </c>
      <c r="B469">
        <v>7588</v>
      </c>
      <c r="C469" t="b">
        <v>1</v>
      </c>
      <c r="D469">
        <v>8065</v>
      </c>
      <c r="E469">
        <v>8111</v>
      </c>
      <c r="F469">
        <v>21.866667</v>
      </c>
      <c r="G469">
        <v>-9.1999999999999993</v>
      </c>
      <c r="H469">
        <v>-2.3768117000000002</v>
      </c>
      <c r="I469">
        <v>3.3768115000000001</v>
      </c>
      <c r="J469">
        <v>-0.72631573999999999</v>
      </c>
    </row>
    <row r="470" spans="1:10" x14ac:dyDescent="0.3">
      <c r="A470">
        <v>468</v>
      </c>
      <c r="B470">
        <v>7604</v>
      </c>
      <c r="C470" t="b">
        <v>1</v>
      </c>
      <c r="D470">
        <v>8071</v>
      </c>
      <c r="E470">
        <v>8099</v>
      </c>
      <c r="F470">
        <v>21.466667000000001</v>
      </c>
      <c r="G470">
        <v>-9.1999999999999993</v>
      </c>
      <c r="H470">
        <v>-2.3333335000000002</v>
      </c>
      <c r="I470">
        <v>3.3333335000000002</v>
      </c>
      <c r="J470">
        <v>-0.74999994000000003</v>
      </c>
    </row>
    <row r="471" spans="1:10" x14ac:dyDescent="0.3">
      <c r="A471">
        <v>469</v>
      </c>
      <c r="B471">
        <v>7620</v>
      </c>
      <c r="C471" t="b">
        <v>1</v>
      </c>
      <c r="D471">
        <v>8060</v>
      </c>
      <c r="E471">
        <v>8093</v>
      </c>
      <c r="F471">
        <v>21.466667000000001</v>
      </c>
      <c r="G471">
        <v>-9.1999999999999993</v>
      </c>
      <c r="H471">
        <v>-2.3333335000000002</v>
      </c>
      <c r="I471">
        <v>3.3333335000000002</v>
      </c>
      <c r="J471">
        <v>-0.74999994000000003</v>
      </c>
    </row>
    <row r="472" spans="1:10" x14ac:dyDescent="0.3">
      <c r="A472">
        <v>470</v>
      </c>
      <c r="B472">
        <v>7636</v>
      </c>
      <c r="C472" t="b">
        <v>1</v>
      </c>
      <c r="D472">
        <v>8071</v>
      </c>
      <c r="E472">
        <v>8099</v>
      </c>
      <c r="F472">
        <v>21.466667000000001</v>
      </c>
      <c r="G472">
        <v>-9.6</v>
      </c>
      <c r="H472">
        <v>-2.2361111999999999</v>
      </c>
      <c r="I472">
        <v>3.2361111999999999</v>
      </c>
      <c r="J472">
        <v>-0.80898879999999995</v>
      </c>
    </row>
    <row r="473" spans="1:10" x14ac:dyDescent="0.3">
      <c r="A473">
        <v>471</v>
      </c>
      <c r="B473">
        <v>7651</v>
      </c>
      <c r="C473" t="b">
        <v>1</v>
      </c>
      <c r="D473">
        <v>8065</v>
      </c>
      <c r="E473">
        <v>8111</v>
      </c>
      <c r="F473">
        <v>21.466667000000001</v>
      </c>
      <c r="G473">
        <v>-10</v>
      </c>
      <c r="H473">
        <v>-2.1466668000000002</v>
      </c>
      <c r="I473">
        <v>3.1466668000000002</v>
      </c>
      <c r="J473">
        <v>-0.87209296000000003</v>
      </c>
    </row>
    <row r="474" spans="1:10" x14ac:dyDescent="0.3">
      <c r="A474">
        <v>472</v>
      </c>
      <c r="B474">
        <v>7667</v>
      </c>
      <c r="C474" t="b">
        <v>1</v>
      </c>
      <c r="D474">
        <v>8065</v>
      </c>
      <c r="E474">
        <v>8111</v>
      </c>
      <c r="F474">
        <v>21.466667000000001</v>
      </c>
      <c r="G474">
        <v>-10.4</v>
      </c>
      <c r="H474">
        <v>-2.0641026</v>
      </c>
      <c r="I474">
        <v>3.0641026</v>
      </c>
      <c r="J474">
        <v>-0.93975889999999995</v>
      </c>
    </row>
    <row r="475" spans="1:10" x14ac:dyDescent="0.3">
      <c r="A475">
        <v>473</v>
      </c>
      <c r="B475">
        <v>7683</v>
      </c>
      <c r="C475" t="b">
        <v>1</v>
      </c>
      <c r="D475">
        <v>8065</v>
      </c>
      <c r="E475">
        <v>8111</v>
      </c>
      <c r="F475">
        <v>21.8</v>
      </c>
      <c r="G475">
        <v>-10</v>
      </c>
      <c r="H475">
        <v>-2.1799998</v>
      </c>
      <c r="I475">
        <v>3.1799998</v>
      </c>
      <c r="J475">
        <v>-0.84745769999999998</v>
      </c>
    </row>
    <row r="476" spans="1:10" x14ac:dyDescent="0.3">
      <c r="A476">
        <v>474</v>
      </c>
      <c r="B476">
        <v>7698</v>
      </c>
      <c r="C476" t="b">
        <v>1</v>
      </c>
      <c r="D476">
        <v>8060</v>
      </c>
      <c r="E476">
        <v>8105</v>
      </c>
      <c r="F476">
        <v>22.133333</v>
      </c>
      <c r="G476">
        <v>-9.6</v>
      </c>
      <c r="H476">
        <v>-2.3055553</v>
      </c>
      <c r="I476">
        <v>3.3055553</v>
      </c>
      <c r="J476">
        <v>-0.76595753</v>
      </c>
    </row>
    <row r="477" spans="1:10" x14ac:dyDescent="0.3">
      <c r="A477">
        <v>475</v>
      </c>
      <c r="B477">
        <v>7714</v>
      </c>
      <c r="C477" t="b">
        <v>1</v>
      </c>
      <c r="D477">
        <v>8065</v>
      </c>
      <c r="E477">
        <v>8099</v>
      </c>
      <c r="F477">
        <v>22.466667000000001</v>
      </c>
      <c r="G477">
        <v>-9.1999999999999993</v>
      </c>
      <c r="H477">
        <v>-2.4420289999999998</v>
      </c>
      <c r="I477">
        <v>3.4420291999999999</v>
      </c>
      <c r="J477">
        <v>-0.69346726000000003</v>
      </c>
    </row>
    <row r="478" spans="1:10" x14ac:dyDescent="0.3">
      <c r="A478">
        <v>476</v>
      </c>
      <c r="B478">
        <v>7730</v>
      </c>
      <c r="C478" t="b">
        <v>1</v>
      </c>
      <c r="D478">
        <v>8065</v>
      </c>
      <c r="E478">
        <v>8105</v>
      </c>
      <c r="F478">
        <v>23.2</v>
      </c>
      <c r="G478">
        <v>-9.1999999999999993</v>
      </c>
      <c r="H478">
        <v>-2.5217391999999998</v>
      </c>
      <c r="I478">
        <v>3.5217394999999998</v>
      </c>
      <c r="J478">
        <v>-0.65714280000000003</v>
      </c>
    </row>
    <row r="479" spans="1:10" x14ac:dyDescent="0.3">
      <c r="A479">
        <v>477</v>
      </c>
      <c r="B479">
        <v>7746</v>
      </c>
      <c r="C479" t="b">
        <v>1</v>
      </c>
      <c r="D479">
        <v>8060</v>
      </c>
      <c r="E479">
        <v>8105</v>
      </c>
      <c r="F479">
        <v>23.933332</v>
      </c>
      <c r="G479">
        <v>-9.1999999999999993</v>
      </c>
      <c r="H479">
        <v>-2.6014493000000001</v>
      </c>
      <c r="I479">
        <v>3.6014490000000001</v>
      </c>
      <c r="J479">
        <v>-0.62443439999999995</v>
      </c>
    </row>
    <row r="480" spans="1:10" x14ac:dyDescent="0.3">
      <c r="A480">
        <v>478</v>
      </c>
      <c r="B480">
        <v>7762</v>
      </c>
      <c r="C480" t="b">
        <v>1</v>
      </c>
      <c r="D480">
        <v>8060</v>
      </c>
      <c r="E480">
        <v>8093</v>
      </c>
      <c r="F480">
        <v>24.333334000000001</v>
      </c>
      <c r="G480">
        <v>-9.6</v>
      </c>
      <c r="H480">
        <v>-2.5347219999999999</v>
      </c>
      <c r="I480">
        <v>3.5347219999999999</v>
      </c>
      <c r="J480">
        <v>-0.65158373000000003</v>
      </c>
    </row>
    <row r="481" spans="1:10" x14ac:dyDescent="0.3">
      <c r="A481">
        <v>479</v>
      </c>
      <c r="B481">
        <v>7778</v>
      </c>
      <c r="C481" t="b">
        <v>1</v>
      </c>
      <c r="D481">
        <v>8060</v>
      </c>
      <c r="E481">
        <v>8105</v>
      </c>
      <c r="F481">
        <v>24.333334000000001</v>
      </c>
      <c r="G481">
        <v>-10</v>
      </c>
      <c r="H481">
        <v>-2.4333334</v>
      </c>
      <c r="I481">
        <v>3.4333336000000001</v>
      </c>
      <c r="J481">
        <v>-0.69767440000000003</v>
      </c>
    </row>
    <row r="482" spans="1:10" x14ac:dyDescent="0.3">
      <c r="A482">
        <v>480</v>
      </c>
      <c r="B482">
        <v>7794</v>
      </c>
      <c r="C482" t="b">
        <v>1</v>
      </c>
      <c r="D482">
        <v>8065</v>
      </c>
      <c r="E482">
        <v>8105</v>
      </c>
      <c r="F482">
        <v>24</v>
      </c>
      <c r="G482">
        <v>-10</v>
      </c>
      <c r="H482">
        <v>-2.4</v>
      </c>
      <c r="I482">
        <v>3.4</v>
      </c>
      <c r="J482">
        <v>-0.71428572999999995</v>
      </c>
    </row>
    <row r="483" spans="1:10" x14ac:dyDescent="0.3">
      <c r="A483">
        <v>481</v>
      </c>
      <c r="B483">
        <v>7809</v>
      </c>
      <c r="C483" t="b">
        <v>1</v>
      </c>
      <c r="D483">
        <v>8071</v>
      </c>
      <c r="E483">
        <v>8105</v>
      </c>
      <c r="F483">
        <v>23.666665999999999</v>
      </c>
      <c r="G483">
        <v>-10</v>
      </c>
      <c r="H483">
        <v>-2.3666665999999998</v>
      </c>
      <c r="I483">
        <v>3.3666662999999999</v>
      </c>
      <c r="J483">
        <v>-0.73170732999999999</v>
      </c>
    </row>
    <row r="484" spans="1:10" x14ac:dyDescent="0.3">
      <c r="A484">
        <v>482</v>
      </c>
      <c r="B484">
        <v>7825</v>
      </c>
      <c r="C484" t="b">
        <v>1</v>
      </c>
      <c r="D484">
        <v>8065</v>
      </c>
      <c r="E484">
        <v>8099</v>
      </c>
      <c r="F484">
        <v>23.666665999999999</v>
      </c>
      <c r="G484">
        <v>-10</v>
      </c>
      <c r="H484">
        <v>-2.3666665999999998</v>
      </c>
      <c r="I484">
        <v>3.3666662999999999</v>
      </c>
      <c r="J484">
        <v>-0.73170732999999999</v>
      </c>
    </row>
    <row r="485" spans="1:10" x14ac:dyDescent="0.3">
      <c r="A485">
        <v>483</v>
      </c>
      <c r="B485">
        <v>7841</v>
      </c>
      <c r="C485" t="b">
        <v>1</v>
      </c>
      <c r="D485">
        <v>8054</v>
      </c>
      <c r="E485">
        <v>8099</v>
      </c>
      <c r="F485">
        <v>23.666665999999999</v>
      </c>
      <c r="G485">
        <v>-10</v>
      </c>
      <c r="H485">
        <v>-2.3666665999999998</v>
      </c>
      <c r="I485">
        <v>3.3666662999999999</v>
      </c>
      <c r="J485">
        <v>-0.73170732999999999</v>
      </c>
    </row>
    <row r="486" spans="1:10" x14ac:dyDescent="0.3">
      <c r="A486">
        <v>484</v>
      </c>
      <c r="B486">
        <v>7857</v>
      </c>
      <c r="C486" t="b">
        <v>1</v>
      </c>
      <c r="D486">
        <v>8071</v>
      </c>
      <c r="E486">
        <v>8105</v>
      </c>
      <c r="F486">
        <v>23.666665999999999</v>
      </c>
      <c r="G486">
        <v>-10</v>
      </c>
      <c r="H486">
        <v>-2.3666665999999998</v>
      </c>
      <c r="I486">
        <v>3.3666662999999999</v>
      </c>
      <c r="J486">
        <v>-0.73170732999999999</v>
      </c>
    </row>
    <row r="487" spans="1:10" x14ac:dyDescent="0.3">
      <c r="A487">
        <v>485</v>
      </c>
      <c r="B487">
        <v>7872</v>
      </c>
      <c r="C487" t="b">
        <v>1</v>
      </c>
      <c r="D487">
        <v>8065</v>
      </c>
      <c r="E487">
        <v>8111</v>
      </c>
      <c r="F487">
        <v>23.666665999999999</v>
      </c>
      <c r="G487">
        <v>-9.6</v>
      </c>
      <c r="H487">
        <v>-2.4652777000000001</v>
      </c>
      <c r="I487">
        <v>3.4652777000000001</v>
      </c>
      <c r="J487">
        <v>-0.68246454000000001</v>
      </c>
    </row>
    <row r="488" spans="1:10" x14ac:dyDescent="0.3">
      <c r="A488">
        <v>486</v>
      </c>
      <c r="B488">
        <v>7888</v>
      </c>
      <c r="C488" t="b">
        <v>1</v>
      </c>
      <c r="D488">
        <v>8060</v>
      </c>
      <c r="E488">
        <v>8111</v>
      </c>
      <c r="F488">
        <v>23.666665999999999</v>
      </c>
      <c r="G488">
        <v>-9.1999999999999993</v>
      </c>
      <c r="H488">
        <v>-2.5724638</v>
      </c>
      <c r="I488">
        <v>3.5724638</v>
      </c>
      <c r="J488">
        <v>-0.63594470000000003</v>
      </c>
    </row>
    <row r="489" spans="1:10" x14ac:dyDescent="0.3">
      <c r="A489">
        <v>487</v>
      </c>
      <c r="B489">
        <v>7904</v>
      </c>
      <c r="C489" t="b">
        <v>1</v>
      </c>
      <c r="D489">
        <v>8071</v>
      </c>
      <c r="E489">
        <v>8111</v>
      </c>
      <c r="F489">
        <v>23.666665999999999</v>
      </c>
      <c r="G489">
        <v>-8.4</v>
      </c>
      <c r="H489">
        <v>-2.8174603</v>
      </c>
      <c r="I489">
        <v>3.8174603</v>
      </c>
      <c r="J489">
        <v>-0.55021834000000003</v>
      </c>
    </row>
    <row r="490" spans="1:10" x14ac:dyDescent="0.3">
      <c r="A490">
        <v>488</v>
      </c>
      <c r="B490">
        <v>7919</v>
      </c>
      <c r="C490" t="b">
        <v>1</v>
      </c>
      <c r="D490">
        <v>8060</v>
      </c>
      <c r="E490">
        <v>8105</v>
      </c>
      <c r="F490">
        <v>23.666665999999999</v>
      </c>
      <c r="G490">
        <v>-8.4</v>
      </c>
      <c r="H490">
        <v>-2.8174603</v>
      </c>
      <c r="I490">
        <v>3.8174603</v>
      </c>
      <c r="J490">
        <v>-0.55021834000000003</v>
      </c>
    </row>
    <row r="491" spans="1:10" x14ac:dyDescent="0.3">
      <c r="A491">
        <v>489</v>
      </c>
      <c r="B491">
        <v>7935</v>
      </c>
      <c r="C491" t="b">
        <v>1</v>
      </c>
      <c r="D491">
        <v>8060</v>
      </c>
      <c r="E491">
        <v>8093</v>
      </c>
      <c r="F491">
        <v>23.333334000000001</v>
      </c>
      <c r="G491">
        <v>-8.4</v>
      </c>
      <c r="H491">
        <v>-2.7777780000000001</v>
      </c>
      <c r="I491">
        <v>3.7777780000000001</v>
      </c>
      <c r="J491">
        <v>-0.56249994000000003</v>
      </c>
    </row>
    <row r="492" spans="1:10" x14ac:dyDescent="0.3">
      <c r="A492">
        <v>490</v>
      </c>
      <c r="B492">
        <v>7951</v>
      </c>
      <c r="C492" t="b">
        <v>1</v>
      </c>
      <c r="D492">
        <v>8065</v>
      </c>
      <c r="E492">
        <v>8099</v>
      </c>
      <c r="F492">
        <v>23</v>
      </c>
      <c r="G492">
        <v>-8.8000000000000007</v>
      </c>
      <c r="H492">
        <v>-2.6136363</v>
      </c>
      <c r="I492">
        <v>3.6136363</v>
      </c>
      <c r="J492">
        <v>-0.61971830000000006</v>
      </c>
    </row>
    <row r="493" spans="1:10" x14ac:dyDescent="0.3">
      <c r="A493">
        <v>491</v>
      </c>
      <c r="B493">
        <v>7967</v>
      </c>
      <c r="C493" t="b">
        <v>1</v>
      </c>
      <c r="D493">
        <v>8065</v>
      </c>
      <c r="E493">
        <v>8093</v>
      </c>
      <c r="F493">
        <v>23</v>
      </c>
      <c r="G493">
        <v>-9.1999999999999993</v>
      </c>
      <c r="H493">
        <v>-2.5</v>
      </c>
      <c r="I493">
        <v>3.5000002000000001</v>
      </c>
      <c r="J493">
        <v>-0.6666666</v>
      </c>
    </row>
    <row r="494" spans="1:10" x14ac:dyDescent="0.3">
      <c r="A494">
        <v>492</v>
      </c>
      <c r="B494">
        <v>7983</v>
      </c>
      <c r="C494" t="b">
        <v>1</v>
      </c>
      <c r="D494">
        <v>8065</v>
      </c>
      <c r="E494">
        <v>8099</v>
      </c>
      <c r="F494">
        <v>23</v>
      </c>
      <c r="G494">
        <v>-9.6</v>
      </c>
      <c r="H494">
        <v>-2.3958333000000001</v>
      </c>
      <c r="I494">
        <v>3.3958330000000001</v>
      </c>
      <c r="J494">
        <v>-0.71641796999999996</v>
      </c>
    </row>
    <row r="495" spans="1:10" x14ac:dyDescent="0.3">
      <c r="A495">
        <v>493</v>
      </c>
      <c r="B495">
        <v>7999</v>
      </c>
      <c r="C495" t="b">
        <v>1</v>
      </c>
      <c r="D495">
        <v>8065</v>
      </c>
      <c r="E495">
        <v>8105</v>
      </c>
      <c r="F495">
        <v>23.333334000000001</v>
      </c>
      <c r="G495">
        <v>-10</v>
      </c>
      <c r="H495">
        <v>-2.3333335000000002</v>
      </c>
      <c r="I495">
        <v>3.3333335000000002</v>
      </c>
      <c r="J495">
        <v>-0.74999994000000003</v>
      </c>
    </row>
    <row r="496" spans="1:10" x14ac:dyDescent="0.3">
      <c r="A496">
        <v>494</v>
      </c>
      <c r="B496">
        <v>8014</v>
      </c>
      <c r="C496" t="b">
        <v>1</v>
      </c>
      <c r="D496">
        <v>8054</v>
      </c>
      <c r="E496">
        <v>8093</v>
      </c>
      <c r="F496">
        <v>23.666665999999999</v>
      </c>
      <c r="G496">
        <v>-10.4</v>
      </c>
      <c r="H496">
        <v>-2.2756409999999998</v>
      </c>
      <c r="I496">
        <v>3.2756409999999998</v>
      </c>
      <c r="J496">
        <v>-0.78391960000000005</v>
      </c>
    </row>
    <row r="497" spans="1:10" x14ac:dyDescent="0.3">
      <c r="A497">
        <v>495</v>
      </c>
      <c r="B497">
        <v>8030</v>
      </c>
      <c r="C497" t="b">
        <v>1</v>
      </c>
      <c r="D497">
        <v>8060</v>
      </c>
      <c r="E497">
        <v>8105</v>
      </c>
      <c r="F497">
        <v>24</v>
      </c>
      <c r="G497">
        <v>-10.8</v>
      </c>
      <c r="H497">
        <v>-2.2222219999999999</v>
      </c>
      <c r="I497">
        <v>3.2222219999999999</v>
      </c>
      <c r="J497">
        <v>-0.81818190000000002</v>
      </c>
    </row>
    <row r="498" spans="1:10" x14ac:dyDescent="0.3">
      <c r="A498">
        <v>496</v>
      </c>
      <c r="B498">
        <v>8046</v>
      </c>
      <c r="C498" t="b">
        <v>1</v>
      </c>
      <c r="D498">
        <v>8060</v>
      </c>
      <c r="E498">
        <v>8099</v>
      </c>
      <c r="F498">
        <v>24</v>
      </c>
      <c r="G498">
        <v>-11.2</v>
      </c>
      <c r="H498">
        <v>-2.1428569999999998</v>
      </c>
      <c r="I498">
        <v>3.1428573000000002</v>
      </c>
      <c r="J498">
        <v>-0.875</v>
      </c>
    </row>
    <row r="499" spans="1:10" x14ac:dyDescent="0.3">
      <c r="A499">
        <v>497</v>
      </c>
      <c r="B499">
        <v>8062</v>
      </c>
      <c r="C499" t="b">
        <v>1</v>
      </c>
      <c r="D499">
        <v>8065</v>
      </c>
      <c r="E499">
        <v>8105</v>
      </c>
      <c r="F499">
        <v>23.666665999999999</v>
      </c>
      <c r="G499">
        <v>-11.2</v>
      </c>
      <c r="H499">
        <v>-2.1130952999999999</v>
      </c>
      <c r="I499">
        <v>3.1130949999999999</v>
      </c>
      <c r="J499">
        <v>-0.89839570000000002</v>
      </c>
    </row>
    <row r="500" spans="1:10" x14ac:dyDescent="0.3">
      <c r="A500">
        <v>498</v>
      </c>
      <c r="B500">
        <v>8078</v>
      </c>
      <c r="C500" t="b">
        <v>1</v>
      </c>
      <c r="D500">
        <v>8065</v>
      </c>
      <c r="E500">
        <v>8099</v>
      </c>
      <c r="F500">
        <v>23.333334000000001</v>
      </c>
      <c r="G500">
        <v>-11.6</v>
      </c>
      <c r="H500">
        <v>-2.0114942</v>
      </c>
      <c r="I500">
        <v>3.0114942</v>
      </c>
      <c r="J500">
        <v>-0.98863639999999997</v>
      </c>
    </row>
    <row r="501" spans="1:10" x14ac:dyDescent="0.3">
      <c r="A501">
        <v>499</v>
      </c>
      <c r="B501">
        <v>8094</v>
      </c>
      <c r="C501" t="b">
        <v>1</v>
      </c>
      <c r="D501">
        <v>8060</v>
      </c>
      <c r="E501">
        <v>8099</v>
      </c>
      <c r="F501">
        <v>23</v>
      </c>
      <c r="G501">
        <v>-12</v>
      </c>
      <c r="H501">
        <v>-1.9166666000000001</v>
      </c>
      <c r="I501">
        <v>2.9166666999999999</v>
      </c>
      <c r="J501">
        <v>-1.0909091</v>
      </c>
    </row>
    <row r="502" spans="1:10" x14ac:dyDescent="0.3">
      <c r="A502">
        <v>500</v>
      </c>
      <c r="B502">
        <v>8110</v>
      </c>
      <c r="C502" t="b">
        <v>1</v>
      </c>
      <c r="D502">
        <v>8077</v>
      </c>
      <c r="E502">
        <v>8105</v>
      </c>
      <c r="F502">
        <v>23</v>
      </c>
      <c r="G502">
        <v>-12.4</v>
      </c>
      <c r="H502">
        <v>-1.8548387</v>
      </c>
      <c r="I502">
        <v>2.8548388</v>
      </c>
      <c r="J502">
        <v>-1.1698112000000001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56EA-E528-477E-B49A-6900CE7D41AD}">
  <dimension ref="A1:J502"/>
  <sheetViews>
    <sheetView topLeftCell="A82"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8060</v>
      </c>
      <c r="E2">
        <v>8123</v>
      </c>
      <c r="F2">
        <v>20</v>
      </c>
      <c r="G2">
        <v>8</v>
      </c>
      <c r="H2">
        <v>2.5</v>
      </c>
      <c r="I2">
        <v>-1.5</v>
      </c>
      <c r="J2">
        <v>0.28571429999999998</v>
      </c>
    </row>
    <row r="3" spans="1:10" x14ac:dyDescent="0.3">
      <c r="A3">
        <v>1</v>
      </c>
      <c r="B3">
        <v>28</v>
      </c>
      <c r="C3" t="b">
        <v>1</v>
      </c>
      <c r="D3">
        <v>8054</v>
      </c>
      <c r="E3">
        <v>8123</v>
      </c>
      <c r="F3">
        <v>20</v>
      </c>
      <c r="G3">
        <v>8</v>
      </c>
      <c r="H3">
        <v>2.5</v>
      </c>
      <c r="I3">
        <v>-1.5</v>
      </c>
      <c r="J3">
        <v>0.28571429999999998</v>
      </c>
    </row>
    <row r="4" spans="1:10" x14ac:dyDescent="0.3">
      <c r="A4">
        <v>2</v>
      </c>
      <c r="B4">
        <v>44</v>
      </c>
      <c r="C4" t="b">
        <v>1</v>
      </c>
      <c r="D4">
        <v>8048</v>
      </c>
      <c r="E4">
        <v>8111</v>
      </c>
      <c r="F4">
        <v>18</v>
      </c>
      <c r="G4">
        <v>8</v>
      </c>
      <c r="H4">
        <v>2.25</v>
      </c>
      <c r="I4">
        <v>-1.25</v>
      </c>
      <c r="J4">
        <v>0.30769232000000002</v>
      </c>
    </row>
    <row r="5" spans="1:10" x14ac:dyDescent="0.3">
      <c r="A5">
        <v>3</v>
      </c>
      <c r="B5">
        <v>60</v>
      </c>
      <c r="C5" t="b">
        <v>1</v>
      </c>
      <c r="D5">
        <v>8048</v>
      </c>
      <c r="E5">
        <v>8117</v>
      </c>
      <c r="F5">
        <v>17</v>
      </c>
      <c r="G5">
        <v>8</v>
      </c>
      <c r="H5">
        <v>2.125</v>
      </c>
      <c r="I5">
        <v>-1.125</v>
      </c>
      <c r="J5">
        <v>0.32</v>
      </c>
    </row>
    <row r="6" spans="1:10" x14ac:dyDescent="0.3">
      <c r="A6">
        <v>4</v>
      </c>
      <c r="B6">
        <v>76</v>
      </c>
      <c r="C6" t="b">
        <v>1</v>
      </c>
      <c r="D6">
        <v>8054</v>
      </c>
      <c r="E6">
        <v>8111</v>
      </c>
      <c r="F6">
        <v>16.399999999999999</v>
      </c>
      <c r="G6">
        <v>6.8</v>
      </c>
      <c r="H6">
        <v>2.4117646000000001</v>
      </c>
      <c r="I6">
        <v>-1.4117645999999999</v>
      </c>
      <c r="J6">
        <v>0.29310345999999998</v>
      </c>
    </row>
    <row r="7" spans="1:10" x14ac:dyDescent="0.3">
      <c r="A7">
        <v>5</v>
      </c>
      <c r="B7">
        <v>91</v>
      </c>
      <c r="C7" t="b">
        <v>1</v>
      </c>
      <c r="D7">
        <v>8054</v>
      </c>
      <c r="E7">
        <v>8117</v>
      </c>
      <c r="F7">
        <v>16</v>
      </c>
      <c r="G7">
        <v>6</v>
      </c>
      <c r="H7">
        <v>2.6666666999999999</v>
      </c>
      <c r="I7">
        <v>-1.6666666000000001</v>
      </c>
      <c r="J7">
        <v>0.27272728000000002</v>
      </c>
    </row>
    <row r="8" spans="1:10" x14ac:dyDescent="0.3">
      <c r="A8">
        <v>6</v>
      </c>
      <c r="B8">
        <v>107</v>
      </c>
      <c r="C8" t="b">
        <v>1</v>
      </c>
      <c r="D8">
        <v>8048</v>
      </c>
      <c r="E8">
        <v>8111</v>
      </c>
      <c r="F8">
        <v>14.857142</v>
      </c>
      <c r="G8">
        <v>4.5714290000000002</v>
      </c>
      <c r="H8">
        <v>3.2499997999999999</v>
      </c>
      <c r="I8">
        <v>-2.2499997999999999</v>
      </c>
      <c r="J8">
        <v>0.23529412</v>
      </c>
    </row>
    <row r="9" spans="1:10" x14ac:dyDescent="0.3">
      <c r="A9">
        <v>7</v>
      </c>
      <c r="B9">
        <v>123</v>
      </c>
      <c r="C9" t="b">
        <v>1</v>
      </c>
      <c r="D9">
        <v>8048</v>
      </c>
      <c r="E9">
        <v>8117</v>
      </c>
      <c r="F9">
        <v>14</v>
      </c>
      <c r="G9">
        <v>4.25</v>
      </c>
      <c r="H9">
        <v>3.2941177000000001</v>
      </c>
      <c r="I9">
        <v>-2.2941177000000001</v>
      </c>
      <c r="J9">
        <v>0.23287672000000001</v>
      </c>
    </row>
    <row r="10" spans="1:10" x14ac:dyDescent="0.3">
      <c r="A10">
        <v>8</v>
      </c>
      <c r="B10">
        <v>140</v>
      </c>
      <c r="C10" t="b">
        <v>1</v>
      </c>
      <c r="D10">
        <v>8048</v>
      </c>
      <c r="E10">
        <v>8111</v>
      </c>
      <c r="F10">
        <v>13.333333</v>
      </c>
      <c r="G10">
        <v>3.3333333000000001</v>
      </c>
      <c r="H10">
        <v>4</v>
      </c>
      <c r="I10">
        <v>-3</v>
      </c>
      <c r="J10">
        <v>0.2</v>
      </c>
    </row>
    <row r="11" spans="1:10" x14ac:dyDescent="0.3">
      <c r="A11">
        <v>9</v>
      </c>
      <c r="B11">
        <v>155</v>
      </c>
      <c r="C11" t="b">
        <v>1</v>
      </c>
      <c r="D11">
        <v>8048</v>
      </c>
      <c r="E11">
        <v>8111</v>
      </c>
      <c r="F11">
        <v>12.8</v>
      </c>
      <c r="G11">
        <v>2.6</v>
      </c>
      <c r="H11">
        <v>4.9230770000000001</v>
      </c>
      <c r="I11">
        <v>-3.9230773000000001</v>
      </c>
      <c r="J11">
        <v>0.16883117</v>
      </c>
    </row>
    <row r="12" spans="1:10" x14ac:dyDescent="0.3">
      <c r="A12">
        <v>10</v>
      </c>
      <c r="B12">
        <v>171</v>
      </c>
      <c r="C12" t="b">
        <v>1</v>
      </c>
      <c r="D12">
        <v>8048</v>
      </c>
      <c r="E12">
        <v>8111</v>
      </c>
      <c r="F12">
        <v>12.363636</v>
      </c>
      <c r="G12">
        <v>2</v>
      </c>
      <c r="H12">
        <v>6.1818179999999998</v>
      </c>
      <c r="I12">
        <v>-5.1818179999999998</v>
      </c>
      <c r="J12">
        <v>0.13924049999999999</v>
      </c>
    </row>
    <row r="13" spans="1:10" x14ac:dyDescent="0.3">
      <c r="A13">
        <v>11</v>
      </c>
      <c r="B13">
        <v>187</v>
      </c>
      <c r="C13" t="b">
        <v>1</v>
      </c>
      <c r="D13">
        <v>8054</v>
      </c>
      <c r="E13">
        <v>8111</v>
      </c>
      <c r="F13">
        <v>12</v>
      </c>
      <c r="G13">
        <v>1.5</v>
      </c>
      <c r="H13">
        <v>8</v>
      </c>
      <c r="I13">
        <v>-7</v>
      </c>
      <c r="J13">
        <v>0.11111111</v>
      </c>
    </row>
    <row r="14" spans="1:10" x14ac:dyDescent="0.3">
      <c r="A14">
        <v>12</v>
      </c>
      <c r="B14">
        <v>202</v>
      </c>
      <c r="C14" t="b">
        <v>1</v>
      </c>
      <c r="D14">
        <v>8054</v>
      </c>
      <c r="E14">
        <v>8111</v>
      </c>
      <c r="F14">
        <v>11.692307</v>
      </c>
      <c r="G14">
        <v>1.0769230999999999</v>
      </c>
      <c r="H14">
        <v>10.857142</v>
      </c>
      <c r="I14">
        <v>-9.8571414999999991</v>
      </c>
      <c r="J14">
        <v>8.4337350000000005E-2</v>
      </c>
    </row>
    <row r="15" spans="1:10" x14ac:dyDescent="0.3">
      <c r="A15">
        <v>13</v>
      </c>
      <c r="B15">
        <v>218</v>
      </c>
      <c r="C15" t="b">
        <v>1</v>
      </c>
      <c r="D15">
        <v>8048</v>
      </c>
      <c r="E15">
        <v>8111</v>
      </c>
      <c r="F15">
        <v>11.428572000000001</v>
      </c>
      <c r="G15">
        <v>0.71428572999999995</v>
      </c>
      <c r="H15">
        <v>16</v>
      </c>
      <c r="I15">
        <v>-15</v>
      </c>
      <c r="J15">
        <v>5.8823529999999999E-2</v>
      </c>
    </row>
    <row r="16" spans="1:10" x14ac:dyDescent="0.3">
      <c r="A16">
        <v>14</v>
      </c>
      <c r="B16">
        <v>234</v>
      </c>
      <c r="C16" t="b">
        <v>1</v>
      </c>
      <c r="D16">
        <v>8054</v>
      </c>
      <c r="E16">
        <v>8111</v>
      </c>
      <c r="F16">
        <v>11.6</v>
      </c>
      <c r="G16">
        <v>0.4</v>
      </c>
      <c r="H16">
        <v>29</v>
      </c>
      <c r="I16">
        <v>-28.000001999999999</v>
      </c>
      <c r="J16">
        <v>3.3333334999999999E-2</v>
      </c>
    </row>
    <row r="17" spans="1:10" x14ac:dyDescent="0.3">
      <c r="A17">
        <v>15</v>
      </c>
      <c r="B17">
        <v>250</v>
      </c>
      <c r="C17" t="b">
        <v>1</v>
      </c>
      <c r="D17">
        <v>8048</v>
      </c>
      <c r="E17">
        <v>8117</v>
      </c>
      <c r="F17">
        <v>11.2</v>
      </c>
      <c r="G17">
        <v>-0.4</v>
      </c>
      <c r="H17">
        <v>-28</v>
      </c>
      <c r="I17">
        <v>28.999998000000001</v>
      </c>
      <c r="J17">
        <v>-3.7037037000000002E-2</v>
      </c>
    </row>
    <row r="18" spans="1:10" x14ac:dyDescent="0.3">
      <c r="A18">
        <v>16</v>
      </c>
      <c r="B18">
        <v>266</v>
      </c>
      <c r="C18" t="b">
        <v>1</v>
      </c>
      <c r="D18">
        <v>8054</v>
      </c>
      <c r="E18">
        <v>8117</v>
      </c>
      <c r="F18">
        <v>10.8</v>
      </c>
      <c r="G18">
        <v>-1.2</v>
      </c>
      <c r="H18">
        <v>-9</v>
      </c>
      <c r="I18">
        <v>10</v>
      </c>
      <c r="J18">
        <v>-0.125</v>
      </c>
    </row>
    <row r="19" spans="1:10" x14ac:dyDescent="0.3">
      <c r="A19">
        <v>17</v>
      </c>
      <c r="B19">
        <v>281</v>
      </c>
      <c r="C19" t="b">
        <v>1</v>
      </c>
      <c r="D19">
        <v>8048</v>
      </c>
      <c r="E19">
        <v>8123</v>
      </c>
      <c r="F19">
        <v>10.4</v>
      </c>
      <c r="G19">
        <v>-1.6</v>
      </c>
      <c r="H19">
        <v>-6.4999995000000004</v>
      </c>
      <c r="I19">
        <v>7.5</v>
      </c>
      <c r="J19">
        <v>-0.18181820000000001</v>
      </c>
    </row>
    <row r="20" spans="1:10" x14ac:dyDescent="0.3">
      <c r="A20">
        <v>18</v>
      </c>
      <c r="B20">
        <v>297</v>
      </c>
      <c r="C20" t="b">
        <v>1</v>
      </c>
      <c r="D20">
        <v>8048</v>
      </c>
      <c r="E20">
        <v>8123</v>
      </c>
      <c r="F20">
        <v>10</v>
      </c>
      <c r="G20">
        <v>-2</v>
      </c>
      <c r="H20">
        <v>-5</v>
      </c>
      <c r="I20">
        <v>6</v>
      </c>
      <c r="J20">
        <v>-0.25</v>
      </c>
    </row>
    <row r="21" spans="1:10" x14ac:dyDescent="0.3">
      <c r="A21">
        <v>19</v>
      </c>
      <c r="B21">
        <v>313</v>
      </c>
      <c r="C21" t="b">
        <v>1</v>
      </c>
      <c r="D21">
        <v>8054</v>
      </c>
      <c r="E21">
        <v>8117</v>
      </c>
      <c r="F21">
        <v>9.6</v>
      </c>
      <c r="G21">
        <v>-2</v>
      </c>
      <c r="H21">
        <v>-4.8</v>
      </c>
      <c r="I21">
        <v>5.8</v>
      </c>
      <c r="J21">
        <v>-0.26315787000000002</v>
      </c>
    </row>
    <row r="22" spans="1:10" x14ac:dyDescent="0.3">
      <c r="A22">
        <v>20</v>
      </c>
      <c r="B22">
        <v>329</v>
      </c>
      <c r="C22" t="b">
        <v>1</v>
      </c>
      <c r="D22">
        <v>8042</v>
      </c>
      <c r="E22">
        <v>8123</v>
      </c>
      <c r="F22">
        <v>9.1999999999999993</v>
      </c>
      <c r="G22">
        <v>-1.6</v>
      </c>
      <c r="H22">
        <v>-5.75</v>
      </c>
      <c r="I22">
        <v>6.75</v>
      </c>
      <c r="J22">
        <v>-0.21052631999999999</v>
      </c>
    </row>
    <row r="23" spans="1:10" x14ac:dyDescent="0.3">
      <c r="A23">
        <v>21</v>
      </c>
      <c r="B23">
        <v>345</v>
      </c>
      <c r="C23" t="b">
        <v>1</v>
      </c>
      <c r="D23">
        <v>8042</v>
      </c>
      <c r="E23">
        <v>8123</v>
      </c>
      <c r="F23">
        <v>9.1999999999999993</v>
      </c>
      <c r="G23">
        <v>-0.8</v>
      </c>
      <c r="H23">
        <v>-11.5</v>
      </c>
      <c r="I23">
        <v>12.5</v>
      </c>
      <c r="J23">
        <v>-9.5238104000000004E-2</v>
      </c>
    </row>
    <row r="24" spans="1:10" x14ac:dyDescent="0.3">
      <c r="A24">
        <v>22</v>
      </c>
      <c r="B24">
        <v>361</v>
      </c>
      <c r="C24" t="b">
        <v>1</v>
      </c>
      <c r="D24">
        <v>8042</v>
      </c>
      <c r="E24">
        <v>8111</v>
      </c>
      <c r="F24">
        <v>8.8000000000000007</v>
      </c>
      <c r="G24">
        <v>-0.4</v>
      </c>
      <c r="H24">
        <v>-22</v>
      </c>
      <c r="I24">
        <v>23</v>
      </c>
      <c r="J24">
        <v>-4.7619044999999999E-2</v>
      </c>
    </row>
    <row r="25" spans="1:10" x14ac:dyDescent="0.3">
      <c r="A25">
        <v>23</v>
      </c>
      <c r="B25">
        <v>377</v>
      </c>
      <c r="C25" t="b">
        <v>1</v>
      </c>
      <c r="D25">
        <v>8037</v>
      </c>
      <c r="E25">
        <v>8111</v>
      </c>
      <c r="F25">
        <v>8.4</v>
      </c>
      <c r="G25">
        <v>0</v>
      </c>
      <c r="H25" t="s">
        <v>19</v>
      </c>
      <c r="I25" t="e">
        <f>-inf</f>
        <v>#NAME?</v>
      </c>
      <c r="J25">
        <v>0</v>
      </c>
    </row>
    <row r="26" spans="1:10" x14ac:dyDescent="0.3">
      <c r="A26">
        <v>24</v>
      </c>
      <c r="B26">
        <v>393</v>
      </c>
      <c r="C26" t="b">
        <v>1</v>
      </c>
      <c r="D26">
        <v>8042</v>
      </c>
      <c r="E26">
        <v>8123</v>
      </c>
      <c r="F26">
        <v>8</v>
      </c>
      <c r="G26">
        <v>0.8</v>
      </c>
      <c r="H26">
        <v>10</v>
      </c>
      <c r="I26">
        <v>-9</v>
      </c>
      <c r="J26">
        <v>9.0909089999999998E-2</v>
      </c>
    </row>
    <row r="27" spans="1:10" x14ac:dyDescent="0.3">
      <c r="A27">
        <v>25</v>
      </c>
      <c r="B27">
        <v>409</v>
      </c>
      <c r="C27" t="b">
        <v>1</v>
      </c>
      <c r="D27">
        <v>8042</v>
      </c>
      <c r="E27">
        <v>8111</v>
      </c>
      <c r="F27">
        <v>7.6</v>
      </c>
      <c r="G27">
        <v>0.8</v>
      </c>
      <c r="H27">
        <v>9.5</v>
      </c>
      <c r="I27">
        <v>-8.4999990000000007</v>
      </c>
      <c r="J27">
        <v>9.5238104000000004E-2</v>
      </c>
    </row>
    <row r="28" spans="1:10" x14ac:dyDescent="0.3">
      <c r="A28">
        <v>26</v>
      </c>
      <c r="B28">
        <v>425</v>
      </c>
      <c r="C28" t="b">
        <v>1</v>
      </c>
      <c r="D28">
        <v>8042</v>
      </c>
      <c r="E28">
        <v>8117</v>
      </c>
      <c r="F28">
        <v>7.2</v>
      </c>
      <c r="G28">
        <v>0.8</v>
      </c>
      <c r="H28">
        <v>9</v>
      </c>
      <c r="I28">
        <v>-7.9999995000000004</v>
      </c>
      <c r="J28">
        <v>0.1</v>
      </c>
    </row>
    <row r="29" spans="1:10" x14ac:dyDescent="0.3">
      <c r="A29">
        <v>27</v>
      </c>
      <c r="B29">
        <v>441</v>
      </c>
      <c r="C29" t="b">
        <v>1</v>
      </c>
      <c r="D29">
        <v>8048</v>
      </c>
      <c r="E29">
        <v>8117</v>
      </c>
      <c r="F29">
        <v>6.8</v>
      </c>
      <c r="G29">
        <v>1.2</v>
      </c>
      <c r="H29">
        <v>5.6666664999999998</v>
      </c>
      <c r="I29">
        <v>-4.6666670000000003</v>
      </c>
      <c r="J29">
        <v>0.15</v>
      </c>
    </row>
    <row r="30" spans="1:10" x14ac:dyDescent="0.3">
      <c r="A30">
        <v>28</v>
      </c>
      <c r="B30">
        <v>457</v>
      </c>
      <c r="C30" t="b">
        <v>1</v>
      </c>
      <c r="D30">
        <v>8048</v>
      </c>
      <c r="E30">
        <v>8123</v>
      </c>
      <c r="F30">
        <v>6.4</v>
      </c>
      <c r="G30">
        <v>1.6</v>
      </c>
      <c r="H30">
        <v>4</v>
      </c>
      <c r="I30">
        <v>-3</v>
      </c>
      <c r="J30">
        <v>0.2</v>
      </c>
    </row>
    <row r="31" spans="1:10" x14ac:dyDescent="0.3">
      <c r="A31">
        <v>29</v>
      </c>
      <c r="B31">
        <v>473</v>
      </c>
      <c r="C31" t="b">
        <v>1</v>
      </c>
      <c r="D31">
        <v>8060</v>
      </c>
      <c r="E31">
        <v>8111</v>
      </c>
      <c r="F31">
        <v>6</v>
      </c>
      <c r="G31">
        <v>2</v>
      </c>
      <c r="H31">
        <v>3</v>
      </c>
      <c r="I31">
        <v>-2</v>
      </c>
      <c r="J31">
        <v>0.25</v>
      </c>
    </row>
    <row r="32" spans="1:10" x14ac:dyDescent="0.3">
      <c r="A32">
        <v>30</v>
      </c>
      <c r="B32">
        <v>489</v>
      </c>
      <c r="C32" t="b">
        <v>1</v>
      </c>
      <c r="D32">
        <v>8048</v>
      </c>
      <c r="E32">
        <v>8111</v>
      </c>
      <c r="F32">
        <v>5.6</v>
      </c>
      <c r="G32">
        <v>2.4</v>
      </c>
      <c r="H32">
        <v>2.3333333000000001</v>
      </c>
      <c r="I32">
        <v>-1.3333333000000001</v>
      </c>
      <c r="J32">
        <v>0.3</v>
      </c>
    </row>
    <row r="33" spans="1:10" x14ac:dyDescent="0.3">
      <c r="A33">
        <v>31</v>
      </c>
      <c r="B33">
        <v>505</v>
      </c>
      <c r="C33" t="b">
        <v>1</v>
      </c>
      <c r="D33">
        <v>8048</v>
      </c>
      <c r="E33">
        <v>8111</v>
      </c>
      <c r="F33">
        <v>5.2</v>
      </c>
      <c r="G33">
        <v>2.4</v>
      </c>
      <c r="H33">
        <v>2.1666664999999998</v>
      </c>
      <c r="I33">
        <v>-1.1666665000000001</v>
      </c>
      <c r="J33">
        <v>0.3157895</v>
      </c>
    </row>
    <row r="34" spans="1:10" x14ac:dyDescent="0.3">
      <c r="A34">
        <v>32</v>
      </c>
      <c r="B34">
        <v>521</v>
      </c>
      <c r="C34" t="b">
        <v>1</v>
      </c>
      <c r="D34">
        <v>8054</v>
      </c>
      <c r="E34">
        <v>8111</v>
      </c>
      <c r="F34">
        <v>5.2</v>
      </c>
      <c r="G34">
        <v>2</v>
      </c>
      <c r="H34">
        <v>2.6</v>
      </c>
      <c r="I34">
        <v>-1.5999999</v>
      </c>
      <c r="J34">
        <v>0.27777780000000002</v>
      </c>
    </row>
    <row r="35" spans="1:10" x14ac:dyDescent="0.3">
      <c r="A35">
        <v>33</v>
      </c>
      <c r="B35">
        <v>537</v>
      </c>
      <c r="C35" t="b">
        <v>1</v>
      </c>
      <c r="D35">
        <v>8042</v>
      </c>
      <c r="E35">
        <v>8123</v>
      </c>
      <c r="F35">
        <v>5.2</v>
      </c>
      <c r="G35">
        <v>1.6</v>
      </c>
      <c r="H35">
        <v>3.2499997999999999</v>
      </c>
      <c r="I35">
        <v>-2.25</v>
      </c>
      <c r="J35">
        <v>0.23529412999999999</v>
      </c>
    </row>
    <row r="36" spans="1:10" x14ac:dyDescent="0.3">
      <c r="A36">
        <v>34</v>
      </c>
      <c r="B36">
        <v>552</v>
      </c>
      <c r="C36" t="b">
        <v>1</v>
      </c>
      <c r="D36">
        <v>8042</v>
      </c>
      <c r="E36">
        <v>8111</v>
      </c>
      <c r="F36">
        <v>5.2</v>
      </c>
      <c r="G36">
        <v>1.2</v>
      </c>
      <c r="H36">
        <v>4.3333329999999997</v>
      </c>
      <c r="I36">
        <v>-3.3333330000000001</v>
      </c>
      <c r="J36">
        <v>0.18750000999999999</v>
      </c>
    </row>
    <row r="37" spans="1:10" x14ac:dyDescent="0.3">
      <c r="A37">
        <v>35</v>
      </c>
      <c r="B37">
        <v>569</v>
      </c>
      <c r="C37" t="b">
        <v>1</v>
      </c>
      <c r="D37">
        <v>8042</v>
      </c>
      <c r="E37">
        <v>8111</v>
      </c>
      <c r="F37">
        <v>4.8</v>
      </c>
      <c r="G37">
        <v>0.4</v>
      </c>
      <c r="H37">
        <v>12</v>
      </c>
      <c r="I37">
        <v>-11</v>
      </c>
      <c r="J37">
        <v>7.6923069999999996E-2</v>
      </c>
    </row>
    <row r="38" spans="1:10" x14ac:dyDescent="0.3">
      <c r="A38">
        <v>36</v>
      </c>
      <c r="B38">
        <v>585</v>
      </c>
      <c r="C38" t="b">
        <v>1</v>
      </c>
      <c r="D38">
        <v>8042</v>
      </c>
      <c r="E38">
        <v>8123</v>
      </c>
      <c r="F38">
        <v>4.4000000000000004</v>
      </c>
      <c r="G38">
        <v>-0.4</v>
      </c>
      <c r="H38">
        <v>-11</v>
      </c>
      <c r="I38">
        <v>12</v>
      </c>
      <c r="J38">
        <v>-0.1</v>
      </c>
    </row>
    <row r="39" spans="1:10" x14ac:dyDescent="0.3">
      <c r="A39">
        <v>37</v>
      </c>
      <c r="B39">
        <v>600</v>
      </c>
      <c r="C39" t="b">
        <v>1</v>
      </c>
      <c r="D39">
        <v>8042</v>
      </c>
      <c r="E39">
        <v>8111</v>
      </c>
      <c r="F39">
        <v>4.4000000000000004</v>
      </c>
      <c r="G39">
        <v>-1.2</v>
      </c>
      <c r="H39">
        <v>-3.6666664999999998</v>
      </c>
      <c r="I39">
        <v>4.6666670000000003</v>
      </c>
      <c r="J39">
        <v>-0.375</v>
      </c>
    </row>
    <row r="40" spans="1:10" x14ac:dyDescent="0.3">
      <c r="A40">
        <v>38</v>
      </c>
      <c r="B40">
        <v>616</v>
      </c>
      <c r="C40" t="b">
        <v>1</v>
      </c>
      <c r="D40">
        <v>8048</v>
      </c>
      <c r="E40">
        <v>8117</v>
      </c>
      <c r="F40">
        <v>4.4000000000000004</v>
      </c>
      <c r="G40">
        <v>-1.6</v>
      </c>
      <c r="H40">
        <v>-2.75</v>
      </c>
      <c r="I40">
        <v>3.75</v>
      </c>
      <c r="J40">
        <v>-0.57142853999999998</v>
      </c>
    </row>
    <row r="41" spans="1:10" x14ac:dyDescent="0.3">
      <c r="A41">
        <v>39</v>
      </c>
      <c r="B41">
        <v>632</v>
      </c>
      <c r="C41" t="b">
        <v>1</v>
      </c>
      <c r="D41">
        <v>8042</v>
      </c>
      <c r="E41">
        <v>8117</v>
      </c>
      <c r="F41">
        <v>4.4000000000000004</v>
      </c>
      <c r="G41">
        <v>-2</v>
      </c>
      <c r="H41">
        <v>-2.2000000000000002</v>
      </c>
      <c r="I41">
        <v>3.2</v>
      </c>
      <c r="J41">
        <v>-0.83333330000000005</v>
      </c>
    </row>
    <row r="42" spans="1:10" x14ac:dyDescent="0.3">
      <c r="A42">
        <v>40</v>
      </c>
      <c r="B42">
        <v>647</v>
      </c>
      <c r="C42" t="b">
        <v>1</v>
      </c>
      <c r="D42">
        <v>8054</v>
      </c>
      <c r="E42">
        <v>8117</v>
      </c>
      <c r="F42">
        <v>4.4000000000000004</v>
      </c>
      <c r="G42">
        <v>-1.6</v>
      </c>
      <c r="H42">
        <v>-2.75</v>
      </c>
      <c r="I42">
        <v>3.75</v>
      </c>
      <c r="J42">
        <v>-0.57142853999999998</v>
      </c>
    </row>
    <row r="43" spans="1:10" x14ac:dyDescent="0.3">
      <c r="A43">
        <v>41</v>
      </c>
      <c r="B43">
        <v>663</v>
      </c>
      <c r="C43" t="b">
        <v>1</v>
      </c>
      <c r="D43">
        <v>8054</v>
      </c>
      <c r="E43">
        <v>8117</v>
      </c>
      <c r="F43">
        <v>4.8</v>
      </c>
      <c r="G43">
        <v>-1.2</v>
      </c>
      <c r="H43">
        <v>-4</v>
      </c>
      <c r="I43">
        <v>5</v>
      </c>
      <c r="J43">
        <v>-0.33333333999999998</v>
      </c>
    </row>
    <row r="44" spans="1:10" x14ac:dyDescent="0.3">
      <c r="A44">
        <v>42</v>
      </c>
      <c r="B44">
        <v>679</v>
      </c>
      <c r="C44" t="b">
        <v>1</v>
      </c>
      <c r="D44">
        <v>8048</v>
      </c>
      <c r="E44">
        <v>8123</v>
      </c>
      <c r="F44">
        <v>5.2</v>
      </c>
      <c r="G44">
        <v>-1.2</v>
      </c>
      <c r="H44">
        <v>-4.3333329999999997</v>
      </c>
      <c r="I44">
        <v>5.3333329999999997</v>
      </c>
      <c r="J44">
        <v>-0.30000004000000002</v>
      </c>
    </row>
    <row r="45" spans="1:10" x14ac:dyDescent="0.3">
      <c r="A45">
        <v>43</v>
      </c>
      <c r="B45">
        <v>695</v>
      </c>
      <c r="C45" t="b">
        <v>1</v>
      </c>
      <c r="D45">
        <v>8048</v>
      </c>
      <c r="E45">
        <v>8111</v>
      </c>
      <c r="F45">
        <v>5.6</v>
      </c>
      <c r="G45">
        <v>-1.2</v>
      </c>
      <c r="H45">
        <v>-4.6666664999999998</v>
      </c>
      <c r="I45">
        <v>5.6666664999999998</v>
      </c>
      <c r="J45">
        <v>-0.27272730000000001</v>
      </c>
    </row>
    <row r="46" spans="1:10" x14ac:dyDescent="0.3">
      <c r="A46">
        <v>44</v>
      </c>
      <c r="B46">
        <v>711</v>
      </c>
      <c r="C46" t="b">
        <v>1</v>
      </c>
      <c r="D46">
        <v>8048</v>
      </c>
      <c r="E46">
        <v>8117</v>
      </c>
      <c r="F46">
        <v>5.6</v>
      </c>
      <c r="G46">
        <v>-1.2</v>
      </c>
      <c r="H46">
        <v>-4.6666664999999998</v>
      </c>
      <c r="I46">
        <v>5.6666664999999998</v>
      </c>
      <c r="J46">
        <v>-0.27272730000000001</v>
      </c>
    </row>
    <row r="47" spans="1:10" x14ac:dyDescent="0.3">
      <c r="A47">
        <v>45</v>
      </c>
      <c r="B47">
        <v>727</v>
      </c>
      <c r="C47" t="b">
        <v>1</v>
      </c>
      <c r="D47">
        <v>8048</v>
      </c>
      <c r="E47">
        <v>8117</v>
      </c>
      <c r="F47">
        <v>5.6</v>
      </c>
      <c r="G47">
        <v>-1.2</v>
      </c>
      <c r="H47">
        <v>-4.6666664999999998</v>
      </c>
      <c r="I47">
        <v>5.6666664999999998</v>
      </c>
      <c r="J47">
        <v>-0.27272730000000001</v>
      </c>
    </row>
    <row r="48" spans="1:10" x14ac:dyDescent="0.3">
      <c r="A48">
        <v>46</v>
      </c>
      <c r="B48">
        <v>743</v>
      </c>
      <c r="C48" t="b">
        <v>1</v>
      </c>
      <c r="D48">
        <v>8054</v>
      </c>
      <c r="E48">
        <v>8117</v>
      </c>
      <c r="F48">
        <v>5.6</v>
      </c>
      <c r="G48">
        <v>-0.8</v>
      </c>
      <c r="H48">
        <v>-7</v>
      </c>
      <c r="I48">
        <v>8</v>
      </c>
      <c r="J48">
        <v>-0.16666669000000001</v>
      </c>
    </row>
    <row r="49" spans="1:10" x14ac:dyDescent="0.3">
      <c r="A49">
        <v>47</v>
      </c>
      <c r="B49">
        <v>759</v>
      </c>
      <c r="C49" t="b">
        <v>1</v>
      </c>
      <c r="D49">
        <v>8054</v>
      </c>
      <c r="E49">
        <v>8111</v>
      </c>
      <c r="F49">
        <v>5.6</v>
      </c>
      <c r="G49">
        <v>-0.4</v>
      </c>
      <c r="H49">
        <v>-14</v>
      </c>
      <c r="I49">
        <v>15</v>
      </c>
      <c r="J49">
        <v>-7.6923080000000005E-2</v>
      </c>
    </row>
    <row r="50" spans="1:10" x14ac:dyDescent="0.3">
      <c r="A50">
        <v>48</v>
      </c>
      <c r="B50">
        <v>775</v>
      </c>
      <c r="C50" t="b">
        <v>1</v>
      </c>
      <c r="D50">
        <v>8054</v>
      </c>
      <c r="E50">
        <v>8117</v>
      </c>
      <c r="F50">
        <v>6</v>
      </c>
      <c r="G50">
        <v>0</v>
      </c>
      <c r="H50" t="s">
        <v>19</v>
      </c>
      <c r="I50" t="e">
        <f>-inf</f>
        <v>#NAME?</v>
      </c>
      <c r="J50">
        <v>0</v>
      </c>
    </row>
    <row r="51" spans="1:10" x14ac:dyDescent="0.3">
      <c r="A51">
        <v>49</v>
      </c>
      <c r="B51">
        <v>791</v>
      </c>
      <c r="C51" t="b">
        <v>1</v>
      </c>
      <c r="D51">
        <v>8048</v>
      </c>
      <c r="E51">
        <v>8123</v>
      </c>
      <c r="F51">
        <v>6.4</v>
      </c>
      <c r="G51">
        <v>0.4</v>
      </c>
      <c r="H51">
        <v>16</v>
      </c>
      <c r="I51">
        <v>-15</v>
      </c>
      <c r="J51">
        <v>5.8823529999999999E-2</v>
      </c>
    </row>
    <row r="52" spans="1:10" x14ac:dyDescent="0.3">
      <c r="A52">
        <v>50</v>
      </c>
      <c r="B52">
        <v>807</v>
      </c>
      <c r="C52" t="b">
        <v>1</v>
      </c>
      <c r="D52">
        <v>8048</v>
      </c>
      <c r="E52">
        <v>8117</v>
      </c>
      <c r="F52">
        <v>7.2</v>
      </c>
      <c r="G52">
        <v>0.8</v>
      </c>
      <c r="H52">
        <v>9</v>
      </c>
      <c r="I52">
        <v>-7.9999995000000004</v>
      </c>
      <c r="J52">
        <v>0.1</v>
      </c>
    </row>
    <row r="53" spans="1:10" x14ac:dyDescent="0.3">
      <c r="A53">
        <v>51</v>
      </c>
      <c r="B53">
        <v>823</v>
      </c>
      <c r="C53" t="b">
        <v>1</v>
      </c>
      <c r="D53">
        <v>8048</v>
      </c>
      <c r="E53">
        <v>8123</v>
      </c>
      <c r="F53">
        <v>7.6</v>
      </c>
      <c r="G53">
        <v>1.2</v>
      </c>
      <c r="H53">
        <v>6.3333329999999997</v>
      </c>
      <c r="I53">
        <v>-5.3333329999999997</v>
      </c>
      <c r="J53">
        <v>0.13636364000000001</v>
      </c>
    </row>
    <row r="54" spans="1:10" x14ac:dyDescent="0.3">
      <c r="A54">
        <v>52</v>
      </c>
      <c r="B54">
        <v>839</v>
      </c>
      <c r="C54" t="b">
        <v>1</v>
      </c>
      <c r="D54">
        <v>8054</v>
      </c>
      <c r="E54">
        <v>8123</v>
      </c>
      <c r="F54">
        <v>8</v>
      </c>
      <c r="G54">
        <v>2</v>
      </c>
      <c r="H54">
        <v>4</v>
      </c>
      <c r="I54">
        <v>-3</v>
      </c>
      <c r="J54">
        <v>0.2</v>
      </c>
    </row>
    <row r="55" spans="1:10" x14ac:dyDescent="0.3">
      <c r="A55">
        <v>53</v>
      </c>
      <c r="B55">
        <v>855</v>
      </c>
      <c r="C55" t="b">
        <v>1</v>
      </c>
      <c r="D55">
        <v>8048</v>
      </c>
      <c r="E55">
        <v>8111</v>
      </c>
      <c r="F55">
        <v>8.4</v>
      </c>
      <c r="G55">
        <v>2.8</v>
      </c>
      <c r="H55">
        <v>3</v>
      </c>
      <c r="I55">
        <v>-1.9999998999999999</v>
      </c>
      <c r="J55">
        <v>0.25</v>
      </c>
    </row>
    <row r="56" spans="1:10" x14ac:dyDescent="0.3">
      <c r="A56">
        <v>54</v>
      </c>
      <c r="B56">
        <v>871</v>
      </c>
      <c r="C56" t="b">
        <v>1</v>
      </c>
      <c r="D56">
        <v>8054</v>
      </c>
      <c r="E56">
        <v>8111</v>
      </c>
      <c r="F56">
        <v>8.8000000000000007</v>
      </c>
      <c r="G56">
        <v>2.8</v>
      </c>
      <c r="H56">
        <v>3.1428573000000002</v>
      </c>
      <c r="I56">
        <v>-2.1428569999999998</v>
      </c>
      <c r="J56">
        <v>0.24137929999999999</v>
      </c>
    </row>
    <row r="57" spans="1:10" x14ac:dyDescent="0.3">
      <c r="A57">
        <v>55</v>
      </c>
      <c r="B57">
        <v>887</v>
      </c>
      <c r="C57" t="b">
        <v>1</v>
      </c>
      <c r="D57">
        <v>8048</v>
      </c>
      <c r="E57">
        <v>8123</v>
      </c>
      <c r="F57">
        <v>9.1999999999999993</v>
      </c>
      <c r="G57">
        <v>3.2</v>
      </c>
      <c r="H57">
        <v>2.875</v>
      </c>
      <c r="I57">
        <v>-1.875</v>
      </c>
      <c r="J57">
        <v>0.25806454000000001</v>
      </c>
    </row>
    <row r="58" spans="1:10" x14ac:dyDescent="0.3">
      <c r="A58">
        <v>56</v>
      </c>
      <c r="B58">
        <v>903</v>
      </c>
      <c r="C58" t="b">
        <v>1</v>
      </c>
      <c r="D58">
        <v>8048</v>
      </c>
      <c r="E58">
        <v>8105</v>
      </c>
      <c r="F58">
        <v>9.1999999999999993</v>
      </c>
      <c r="G58">
        <v>2.8</v>
      </c>
      <c r="H58">
        <v>3.2857143999999998</v>
      </c>
      <c r="I58">
        <v>-2.2857140999999999</v>
      </c>
      <c r="J58">
        <v>0.23333333000000001</v>
      </c>
    </row>
    <row r="59" spans="1:10" x14ac:dyDescent="0.3">
      <c r="A59">
        <v>57</v>
      </c>
      <c r="B59">
        <v>919</v>
      </c>
      <c r="C59" t="b">
        <v>1</v>
      </c>
      <c r="D59">
        <v>8048</v>
      </c>
      <c r="E59">
        <v>8111</v>
      </c>
      <c r="F59">
        <v>9.1999999999999993</v>
      </c>
      <c r="G59">
        <v>2.4</v>
      </c>
      <c r="H59">
        <v>3.8333330000000001</v>
      </c>
      <c r="I59">
        <v>-2.8333330000000001</v>
      </c>
      <c r="J59">
        <v>0.20689656000000001</v>
      </c>
    </row>
    <row r="60" spans="1:10" x14ac:dyDescent="0.3">
      <c r="A60">
        <v>58</v>
      </c>
      <c r="B60">
        <v>935</v>
      </c>
      <c r="C60" t="b">
        <v>1</v>
      </c>
      <c r="D60">
        <v>8048</v>
      </c>
      <c r="E60">
        <v>8123</v>
      </c>
      <c r="F60">
        <v>9.1999999999999993</v>
      </c>
      <c r="G60">
        <v>2</v>
      </c>
      <c r="H60">
        <v>4.5999999999999996</v>
      </c>
      <c r="I60">
        <v>-3.6</v>
      </c>
      <c r="J60">
        <v>0.17857143</v>
      </c>
    </row>
    <row r="61" spans="1:10" x14ac:dyDescent="0.3">
      <c r="A61">
        <v>59</v>
      </c>
      <c r="B61">
        <v>950</v>
      </c>
      <c r="C61" t="b">
        <v>1</v>
      </c>
      <c r="D61">
        <v>8054</v>
      </c>
      <c r="E61">
        <v>8111</v>
      </c>
      <c r="F61">
        <v>9.1999999999999993</v>
      </c>
      <c r="G61">
        <v>1.6</v>
      </c>
      <c r="H61">
        <v>5.75</v>
      </c>
      <c r="I61">
        <v>-4.75</v>
      </c>
      <c r="J61">
        <v>0.14814815000000001</v>
      </c>
    </row>
    <row r="62" spans="1:10" x14ac:dyDescent="0.3">
      <c r="A62">
        <v>60</v>
      </c>
      <c r="B62">
        <v>966</v>
      </c>
      <c r="C62" t="b">
        <v>1</v>
      </c>
      <c r="D62">
        <v>8054</v>
      </c>
      <c r="E62">
        <v>8111</v>
      </c>
      <c r="F62">
        <v>9.1999999999999993</v>
      </c>
      <c r="G62">
        <v>1.2</v>
      </c>
      <c r="H62">
        <v>7.6666660000000002</v>
      </c>
      <c r="I62">
        <v>-6.6666664999999998</v>
      </c>
      <c r="J62">
        <v>0.11538461999999999</v>
      </c>
    </row>
    <row r="63" spans="1:10" x14ac:dyDescent="0.3">
      <c r="A63">
        <v>61</v>
      </c>
      <c r="B63">
        <v>982</v>
      </c>
      <c r="C63" t="b">
        <v>1</v>
      </c>
      <c r="D63">
        <v>8054</v>
      </c>
      <c r="E63">
        <v>8111</v>
      </c>
      <c r="F63">
        <v>9.6</v>
      </c>
      <c r="G63">
        <v>0.8</v>
      </c>
      <c r="H63">
        <v>12</v>
      </c>
      <c r="I63">
        <v>-11</v>
      </c>
      <c r="J63">
        <v>7.6923069999999996E-2</v>
      </c>
    </row>
    <row r="64" spans="1:10" x14ac:dyDescent="0.3">
      <c r="A64">
        <v>62</v>
      </c>
      <c r="B64">
        <v>998</v>
      </c>
      <c r="C64" t="b">
        <v>1</v>
      </c>
      <c r="D64">
        <v>8054</v>
      </c>
      <c r="E64">
        <v>8111</v>
      </c>
      <c r="F64">
        <v>10</v>
      </c>
      <c r="G64">
        <v>0.4</v>
      </c>
      <c r="H64">
        <v>25</v>
      </c>
      <c r="I64">
        <v>-24</v>
      </c>
      <c r="J64">
        <v>3.8461540000000002E-2</v>
      </c>
    </row>
    <row r="65" spans="1:10" x14ac:dyDescent="0.3">
      <c r="A65">
        <v>63</v>
      </c>
      <c r="B65">
        <v>1014</v>
      </c>
      <c r="C65" t="b">
        <v>1</v>
      </c>
      <c r="D65">
        <v>8060</v>
      </c>
      <c r="E65">
        <v>8117</v>
      </c>
      <c r="F65">
        <v>10</v>
      </c>
      <c r="G65">
        <v>0</v>
      </c>
      <c r="H65" t="s">
        <v>19</v>
      </c>
      <c r="I65" t="e">
        <f>-inf</f>
        <v>#NAME?</v>
      </c>
      <c r="J65">
        <v>0</v>
      </c>
    </row>
    <row r="66" spans="1:10" x14ac:dyDescent="0.3">
      <c r="A66">
        <v>64</v>
      </c>
      <c r="B66">
        <v>1030</v>
      </c>
      <c r="C66" t="b">
        <v>1</v>
      </c>
      <c r="D66">
        <v>8054</v>
      </c>
      <c r="E66">
        <v>8111</v>
      </c>
      <c r="F66">
        <v>10</v>
      </c>
      <c r="G66">
        <v>-0.4</v>
      </c>
      <c r="H66">
        <v>-25</v>
      </c>
      <c r="I66">
        <v>25.999998000000001</v>
      </c>
      <c r="J66">
        <v>-4.1666663999999999E-2</v>
      </c>
    </row>
    <row r="67" spans="1:10" x14ac:dyDescent="0.3">
      <c r="A67">
        <v>65</v>
      </c>
      <c r="B67">
        <v>1046</v>
      </c>
      <c r="C67" t="b">
        <v>1</v>
      </c>
      <c r="D67">
        <v>8054</v>
      </c>
      <c r="E67">
        <v>8117</v>
      </c>
      <c r="F67">
        <v>10</v>
      </c>
      <c r="G67">
        <v>-0.8</v>
      </c>
      <c r="H67">
        <v>-12.5</v>
      </c>
      <c r="I67">
        <v>13.5</v>
      </c>
      <c r="J67">
        <v>-8.6956519999999995E-2</v>
      </c>
    </row>
    <row r="68" spans="1:10" x14ac:dyDescent="0.3">
      <c r="A68">
        <v>66</v>
      </c>
      <c r="B68">
        <v>1061</v>
      </c>
      <c r="C68" t="b">
        <v>1</v>
      </c>
      <c r="D68">
        <v>8054</v>
      </c>
      <c r="E68">
        <v>8111</v>
      </c>
      <c r="F68">
        <v>10.4</v>
      </c>
      <c r="G68">
        <v>-1.2</v>
      </c>
      <c r="H68">
        <v>-8.6666659999999993</v>
      </c>
      <c r="I68">
        <v>9.6666659999999993</v>
      </c>
      <c r="J68">
        <v>-0.13043479999999999</v>
      </c>
    </row>
    <row r="69" spans="1:10" x14ac:dyDescent="0.3">
      <c r="A69">
        <v>67</v>
      </c>
      <c r="B69">
        <v>1077</v>
      </c>
      <c r="C69" t="b">
        <v>1</v>
      </c>
      <c r="D69">
        <v>8054</v>
      </c>
      <c r="E69">
        <v>8111</v>
      </c>
      <c r="F69">
        <v>10.8</v>
      </c>
      <c r="G69">
        <v>-2</v>
      </c>
      <c r="H69">
        <v>-5.4</v>
      </c>
      <c r="I69">
        <v>6.4</v>
      </c>
      <c r="J69">
        <v>-0.22727272000000001</v>
      </c>
    </row>
    <row r="70" spans="1:10" x14ac:dyDescent="0.3">
      <c r="A70">
        <v>68</v>
      </c>
      <c r="B70">
        <v>1093</v>
      </c>
      <c r="C70" t="b">
        <v>1</v>
      </c>
      <c r="D70">
        <v>8048</v>
      </c>
      <c r="E70">
        <v>8111</v>
      </c>
      <c r="F70">
        <v>11.2</v>
      </c>
      <c r="G70">
        <v>-2.8</v>
      </c>
      <c r="H70">
        <v>-4</v>
      </c>
      <c r="I70">
        <v>5</v>
      </c>
      <c r="J70">
        <v>-0.33333333999999998</v>
      </c>
    </row>
    <row r="71" spans="1:10" x14ac:dyDescent="0.3">
      <c r="A71">
        <v>69</v>
      </c>
      <c r="B71">
        <v>1109</v>
      </c>
      <c r="C71" t="b">
        <v>1</v>
      </c>
      <c r="D71">
        <v>8054</v>
      </c>
      <c r="E71">
        <v>8111</v>
      </c>
      <c r="F71">
        <v>11.6</v>
      </c>
      <c r="G71">
        <v>-3.2</v>
      </c>
      <c r="H71">
        <v>-3.625</v>
      </c>
      <c r="I71">
        <v>4.625</v>
      </c>
      <c r="J71">
        <v>-0.38095235999999999</v>
      </c>
    </row>
    <row r="72" spans="1:10" x14ac:dyDescent="0.3">
      <c r="A72">
        <v>70</v>
      </c>
      <c r="B72">
        <v>1125</v>
      </c>
      <c r="C72" t="b">
        <v>1</v>
      </c>
      <c r="D72">
        <v>8048</v>
      </c>
      <c r="E72">
        <v>8117</v>
      </c>
      <c r="F72">
        <v>12</v>
      </c>
      <c r="G72">
        <v>-4</v>
      </c>
      <c r="H72">
        <v>-3</v>
      </c>
      <c r="I72">
        <v>4</v>
      </c>
      <c r="J72">
        <v>-0.5</v>
      </c>
    </row>
    <row r="73" spans="1:10" x14ac:dyDescent="0.3">
      <c r="A73">
        <v>71</v>
      </c>
      <c r="B73">
        <v>1141</v>
      </c>
      <c r="C73" t="b">
        <v>1</v>
      </c>
      <c r="D73">
        <v>8054</v>
      </c>
      <c r="E73">
        <v>8123</v>
      </c>
      <c r="F73">
        <v>12.4</v>
      </c>
      <c r="G73">
        <v>-4</v>
      </c>
      <c r="H73">
        <v>-3.1</v>
      </c>
      <c r="I73">
        <v>4.0999999999999996</v>
      </c>
      <c r="J73">
        <v>-0.47619050000000002</v>
      </c>
    </row>
    <row r="74" spans="1:10" x14ac:dyDescent="0.3">
      <c r="A74">
        <v>72</v>
      </c>
      <c r="B74">
        <v>1157</v>
      </c>
      <c r="C74" t="b">
        <v>1</v>
      </c>
      <c r="D74">
        <v>8054</v>
      </c>
      <c r="E74">
        <v>8117</v>
      </c>
      <c r="F74">
        <v>12.8</v>
      </c>
      <c r="G74">
        <v>-3.6</v>
      </c>
      <c r="H74">
        <v>-3.5555558</v>
      </c>
      <c r="I74">
        <v>4.5555553</v>
      </c>
      <c r="J74">
        <v>-0.39130429999999999</v>
      </c>
    </row>
    <row r="75" spans="1:10" x14ac:dyDescent="0.3">
      <c r="A75">
        <v>73</v>
      </c>
      <c r="B75">
        <v>1173</v>
      </c>
      <c r="C75" t="b">
        <v>1</v>
      </c>
      <c r="D75">
        <v>8048</v>
      </c>
      <c r="E75">
        <v>8117</v>
      </c>
      <c r="F75">
        <v>13.2</v>
      </c>
      <c r="G75">
        <v>-3.2</v>
      </c>
      <c r="H75">
        <v>-4.125</v>
      </c>
      <c r="I75">
        <v>5.125</v>
      </c>
      <c r="J75">
        <v>-0.32</v>
      </c>
    </row>
    <row r="76" spans="1:10" x14ac:dyDescent="0.3">
      <c r="A76">
        <v>74</v>
      </c>
      <c r="B76">
        <v>1189</v>
      </c>
      <c r="C76" t="b">
        <v>1</v>
      </c>
      <c r="D76">
        <v>8048</v>
      </c>
      <c r="E76">
        <v>8123</v>
      </c>
      <c r="F76">
        <v>13.2</v>
      </c>
      <c r="G76">
        <v>-2.8</v>
      </c>
      <c r="H76">
        <v>-4.7142860000000004</v>
      </c>
      <c r="I76">
        <v>5.7142860000000004</v>
      </c>
      <c r="J76">
        <v>-0.26923078</v>
      </c>
    </row>
    <row r="77" spans="1:10" x14ac:dyDescent="0.3">
      <c r="A77">
        <v>75</v>
      </c>
      <c r="B77">
        <v>1205</v>
      </c>
      <c r="C77" t="b">
        <v>1</v>
      </c>
      <c r="D77">
        <v>8048</v>
      </c>
      <c r="E77">
        <v>8117</v>
      </c>
      <c r="F77">
        <v>13.2</v>
      </c>
      <c r="G77">
        <v>-2.4</v>
      </c>
      <c r="H77">
        <v>-5.4999995000000004</v>
      </c>
      <c r="I77">
        <v>6.5</v>
      </c>
      <c r="J77">
        <v>-0.22222225000000001</v>
      </c>
    </row>
    <row r="78" spans="1:10" x14ac:dyDescent="0.3">
      <c r="A78">
        <v>76</v>
      </c>
      <c r="B78">
        <v>1221</v>
      </c>
      <c r="C78" t="b">
        <v>1</v>
      </c>
      <c r="D78">
        <v>8060</v>
      </c>
      <c r="E78">
        <v>8111</v>
      </c>
      <c r="F78">
        <v>12.8</v>
      </c>
      <c r="G78">
        <v>-2</v>
      </c>
      <c r="H78">
        <v>-6.4</v>
      </c>
      <c r="I78">
        <v>7.4</v>
      </c>
      <c r="J78">
        <v>-0.18518518</v>
      </c>
    </row>
    <row r="79" spans="1:10" x14ac:dyDescent="0.3">
      <c r="A79">
        <v>77</v>
      </c>
      <c r="B79">
        <v>1237</v>
      </c>
      <c r="C79" t="b">
        <v>1</v>
      </c>
      <c r="D79">
        <v>8054</v>
      </c>
      <c r="E79">
        <v>8111</v>
      </c>
      <c r="F79">
        <v>12.4</v>
      </c>
      <c r="G79">
        <v>-1.6</v>
      </c>
      <c r="H79">
        <v>-7.7499995000000004</v>
      </c>
      <c r="I79">
        <v>8.75</v>
      </c>
      <c r="J79">
        <v>-0.14814816</v>
      </c>
    </row>
    <row r="80" spans="1:10" x14ac:dyDescent="0.3">
      <c r="A80">
        <v>78</v>
      </c>
      <c r="B80">
        <v>1252</v>
      </c>
      <c r="C80" t="b">
        <v>1</v>
      </c>
      <c r="D80">
        <v>8048</v>
      </c>
      <c r="E80">
        <v>8111</v>
      </c>
      <c r="F80">
        <v>12</v>
      </c>
      <c r="G80">
        <v>-1.6</v>
      </c>
      <c r="H80">
        <v>-7.5</v>
      </c>
      <c r="I80">
        <v>8.5</v>
      </c>
      <c r="J80">
        <v>-0.15384616000000001</v>
      </c>
    </row>
    <row r="81" spans="1:10" x14ac:dyDescent="0.3">
      <c r="A81">
        <v>79</v>
      </c>
      <c r="B81">
        <v>1268</v>
      </c>
      <c r="C81" t="b">
        <v>1</v>
      </c>
      <c r="D81">
        <v>8054</v>
      </c>
      <c r="E81">
        <v>8111</v>
      </c>
      <c r="F81">
        <v>12</v>
      </c>
      <c r="G81">
        <v>-1.6</v>
      </c>
      <c r="H81">
        <v>-7.5</v>
      </c>
      <c r="I81">
        <v>8.5</v>
      </c>
      <c r="J81">
        <v>-0.15384616000000001</v>
      </c>
    </row>
    <row r="82" spans="1:10" x14ac:dyDescent="0.3">
      <c r="A82">
        <v>80</v>
      </c>
      <c r="B82">
        <v>1285</v>
      </c>
      <c r="C82" t="b">
        <v>1</v>
      </c>
      <c r="D82">
        <v>8054</v>
      </c>
      <c r="E82">
        <v>8117</v>
      </c>
      <c r="F82">
        <v>12</v>
      </c>
      <c r="G82">
        <v>-1.6</v>
      </c>
      <c r="H82">
        <v>-7.5</v>
      </c>
      <c r="I82">
        <v>8.5</v>
      </c>
      <c r="J82">
        <v>-0.15384616000000001</v>
      </c>
    </row>
    <row r="83" spans="1:10" x14ac:dyDescent="0.3">
      <c r="A83">
        <v>81</v>
      </c>
      <c r="B83">
        <v>1300</v>
      </c>
      <c r="C83" t="b">
        <v>1</v>
      </c>
      <c r="D83">
        <v>8048</v>
      </c>
      <c r="E83">
        <v>8111</v>
      </c>
      <c r="F83">
        <v>12</v>
      </c>
      <c r="G83">
        <v>-1.6</v>
      </c>
      <c r="H83">
        <v>-7.5</v>
      </c>
      <c r="I83">
        <v>8.5</v>
      </c>
      <c r="J83">
        <v>-0.15384616000000001</v>
      </c>
    </row>
    <row r="84" spans="1:10" x14ac:dyDescent="0.3">
      <c r="A84">
        <v>82</v>
      </c>
      <c r="B84">
        <v>1316</v>
      </c>
      <c r="C84" t="b">
        <v>1</v>
      </c>
      <c r="D84">
        <v>8054</v>
      </c>
      <c r="E84">
        <v>8111</v>
      </c>
      <c r="F84">
        <v>12</v>
      </c>
      <c r="G84">
        <v>-1.6</v>
      </c>
      <c r="H84">
        <v>-7.5</v>
      </c>
      <c r="I84">
        <v>8.5</v>
      </c>
      <c r="J84">
        <v>-0.15384616000000001</v>
      </c>
    </row>
    <row r="85" spans="1:10" x14ac:dyDescent="0.3">
      <c r="A85">
        <v>83</v>
      </c>
      <c r="B85">
        <v>1332</v>
      </c>
      <c r="C85" t="b">
        <v>1</v>
      </c>
      <c r="D85">
        <v>8054</v>
      </c>
      <c r="E85">
        <v>8123</v>
      </c>
      <c r="F85">
        <v>12</v>
      </c>
      <c r="G85">
        <v>-1.6</v>
      </c>
      <c r="H85">
        <v>-7.5</v>
      </c>
      <c r="I85">
        <v>8.5</v>
      </c>
      <c r="J85">
        <v>-0.15384616000000001</v>
      </c>
    </row>
    <row r="86" spans="1:10" x14ac:dyDescent="0.3">
      <c r="A86">
        <v>84</v>
      </c>
      <c r="B86">
        <v>1348</v>
      </c>
      <c r="C86" t="b">
        <v>1</v>
      </c>
      <c r="D86">
        <v>8054</v>
      </c>
      <c r="E86">
        <v>8117</v>
      </c>
      <c r="F86">
        <v>12</v>
      </c>
      <c r="G86">
        <v>-1.2</v>
      </c>
      <c r="H86">
        <v>-10</v>
      </c>
      <c r="I86">
        <v>10.999999000000001</v>
      </c>
      <c r="J86">
        <v>-0.11111111</v>
      </c>
    </row>
    <row r="87" spans="1:10" x14ac:dyDescent="0.3">
      <c r="A87">
        <v>85</v>
      </c>
      <c r="B87">
        <v>1364</v>
      </c>
      <c r="C87" t="b">
        <v>1</v>
      </c>
      <c r="D87">
        <v>8048</v>
      </c>
      <c r="E87">
        <v>8123</v>
      </c>
      <c r="F87">
        <v>12</v>
      </c>
      <c r="G87">
        <v>-0.8</v>
      </c>
      <c r="H87">
        <v>-15</v>
      </c>
      <c r="I87">
        <v>16</v>
      </c>
      <c r="J87">
        <v>-7.1428574999999994E-2</v>
      </c>
    </row>
    <row r="88" spans="1:10" x14ac:dyDescent="0.3">
      <c r="A88">
        <v>86</v>
      </c>
      <c r="B88">
        <v>1380</v>
      </c>
      <c r="C88" t="b">
        <v>1</v>
      </c>
      <c r="D88">
        <v>8054</v>
      </c>
      <c r="E88">
        <v>8111</v>
      </c>
      <c r="F88">
        <v>12</v>
      </c>
      <c r="G88">
        <v>-0.4</v>
      </c>
      <c r="H88">
        <v>-30</v>
      </c>
      <c r="I88">
        <v>30.999998000000001</v>
      </c>
      <c r="J88">
        <v>-3.4482760000000001E-2</v>
      </c>
    </row>
    <row r="89" spans="1:10" x14ac:dyDescent="0.3">
      <c r="A89">
        <v>87</v>
      </c>
      <c r="B89">
        <v>1396</v>
      </c>
      <c r="C89" t="b">
        <v>1</v>
      </c>
      <c r="D89">
        <v>8054</v>
      </c>
      <c r="E89">
        <v>8123</v>
      </c>
      <c r="F89">
        <v>12</v>
      </c>
      <c r="G89">
        <v>0</v>
      </c>
      <c r="H89" t="s">
        <v>19</v>
      </c>
      <c r="I89" t="e">
        <f>-inf</f>
        <v>#NAME?</v>
      </c>
      <c r="J89">
        <v>0</v>
      </c>
    </row>
    <row r="90" spans="1:10" x14ac:dyDescent="0.3">
      <c r="A90">
        <v>88</v>
      </c>
      <c r="B90">
        <v>1412</v>
      </c>
      <c r="C90" t="b">
        <v>1</v>
      </c>
      <c r="D90">
        <v>8048</v>
      </c>
      <c r="E90">
        <v>8117</v>
      </c>
      <c r="F90">
        <v>12</v>
      </c>
      <c r="G90">
        <v>0</v>
      </c>
      <c r="H90" t="s">
        <v>19</v>
      </c>
      <c r="I90" t="e">
        <f>-inf</f>
        <v>#NAME?</v>
      </c>
      <c r="J90">
        <v>0</v>
      </c>
    </row>
    <row r="91" spans="1:10" x14ac:dyDescent="0.3">
      <c r="A91">
        <v>89</v>
      </c>
      <c r="B91">
        <v>1428</v>
      </c>
      <c r="C91" t="b">
        <v>1</v>
      </c>
      <c r="D91">
        <v>8048</v>
      </c>
      <c r="E91">
        <v>8111</v>
      </c>
      <c r="F91">
        <v>12</v>
      </c>
      <c r="G91">
        <v>0</v>
      </c>
      <c r="H91" t="s">
        <v>19</v>
      </c>
      <c r="I91" t="e">
        <f>-inf</f>
        <v>#NAME?</v>
      </c>
      <c r="J91">
        <v>0</v>
      </c>
    </row>
    <row r="92" spans="1:10" x14ac:dyDescent="0.3">
      <c r="A92">
        <v>90</v>
      </c>
      <c r="B92">
        <v>1443</v>
      </c>
      <c r="C92" t="b">
        <v>1</v>
      </c>
      <c r="D92">
        <v>8048</v>
      </c>
      <c r="E92">
        <v>8111</v>
      </c>
      <c r="F92">
        <v>12</v>
      </c>
      <c r="G92">
        <v>-0.4</v>
      </c>
      <c r="H92">
        <v>-30</v>
      </c>
      <c r="I92">
        <v>30.999998000000001</v>
      </c>
      <c r="J92">
        <v>-3.4482760000000001E-2</v>
      </c>
    </row>
    <row r="93" spans="1:10" x14ac:dyDescent="0.3">
      <c r="A93">
        <v>91</v>
      </c>
      <c r="B93">
        <v>1459</v>
      </c>
      <c r="C93" t="b">
        <v>1</v>
      </c>
      <c r="D93">
        <v>8054</v>
      </c>
      <c r="E93">
        <v>8111</v>
      </c>
      <c r="F93">
        <v>12</v>
      </c>
      <c r="G93">
        <v>-0.8</v>
      </c>
      <c r="H93">
        <v>-15</v>
      </c>
      <c r="I93">
        <v>16</v>
      </c>
      <c r="J93">
        <v>-7.1428574999999994E-2</v>
      </c>
    </row>
    <row r="94" spans="1:10" x14ac:dyDescent="0.3">
      <c r="A94">
        <v>92</v>
      </c>
      <c r="B94">
        <v>1475</v>
      </c>
      <c r="C94" t="b">
        <v>1</v>
      </c>
      <c r="D94">
        <v>8048</v>
      </c>
      <c r="E94">
        <v>8111</v>
      </c>
      <c r="F94">
        <v>12</v>
      </c>
      <c r="G94">
        <v>-1.2</v>
      </c>
      <c r="H94">
        <v>-10</v>
      </c>
      <c r="I94">
        <v>10.999999000000001</v>
      </c>
      <c r="J94">
        <v>-0.11111111</v>
      </c>
    </row>
    <row r="95" spans="1:10" x14ac:dyDescent="0.3">
      <c r="A95">
        <v>93</v>
      </c>
      <c r="B95">
        <v>1491</v>
      </c>
      <c r="C95" t="b">
        <v>1</v>
      </c>
      <c r="D95">
        <v>8048</v>
      </c>
      <c r="E95">
        <v>8111</v>
      </c>
      <c r="F95">
        <v>12</v>
      </c>
      <c r="G95">
        <v>-1.2</v>
      </c>
      <c r="H95">
        <v>-10</v>
      </c>
      <c r="I95">
        <v>10.999999000000001</v>
      </c>
      <c r="J95">
        <v>-0.11111111</v>
      </c>
    </row>
    <row r="96" spans="1:10" x14ac:dyDescent="0.3">
      <c r="A96">
        <v>94</v>
      </c>
      <c r="B96">
        <v>1507</v>
      </c>
      <c r="C96" t="b">
        <v>1</v>
      </c>
      <c r="D96">
        <v>8048</v>
      </c>
      <c r="E96">
        <v>8111</v>
      </c>
      <c r="F96">
        <v>11.6</v>
      </c>
      <c r="G96">
        <v>-1.2</v>
      </c>
      <c r="H96">
        <v>-9.6666670000000003</v>
      </c>
      <c r="I96">
        <v>10.666665999999999</v>
      </c>
      <c r="J96">
        <v>-0.115384616</v>
      </c>
    </row>
    <row r="97" spans="1:10" x14ac:dyDescent="0.3">
      <c r="A97">
        <v>95</v>
      </c>
      <c r="B97">
        <v>1523</v>
      </c>
      <c r="C97" t="b">
        <v>1</v>
      </c>
      <c r="D97">
        <v>8054</v>
      </c>
      <c r="E97">
        <v>8117</v>
      </c>
      <c r="F97">
        <v>11.2</v>
      </c>
      <c r="G97">
        <v>-1.2</v>
      </c>
      <c r="H97">
        <v>-9.3333329999999997</v>
      </c>
      <c r="I97">
        <v>10.333333</v>
      </c>
      <c r="J97">
        <v>-0.12000000500000001</v>
      </c>
    </row>
    <row r="98" spans="1:10" x14ac:dyDescent="0.3">
      <c r="A98">
        <v>96</v>
      </c>
      <c r="B98">
        <v>1539</v>
      </c>
      <c r="C98" t="b">
        <v>1</v>
      </c>
      <c r="D98">
        <v>8048</v>
      </c>
      <c r="E98">
        <v>8117</v>
      </c>
      <c r="F98">
        <v>10.8</v>
      </c>
      <c r="G98">
        <v>-1.2</v>
      </c>
      <c r="H98">
        <v>-9</v>
      </c>
      <c r="I98">
        <v>10</v>
      </c>
      <c r="J98">
        <v>-0.125</v>
      </c>
    </row>
    <row r="99" spans="1:10" x14ac:dyDescent="0.3">
      <c r="A99">
        <v>97</v>
      </c>
      <c r="B99">
        <v>1554</v>
      </c>
      <c r="C99" t="b">
        <v>1</v>
      </c>
      <c r="D99">
        <v>8054</v>
      </c>
      <c r="E99">
        <v>8111</v>
      </c>
      <c r="F99">
        <v>10.4</v>
      </c>
      <c r="G99">
        <v>-1.2</v>
      </c>
      <c r="H99">
        <v>-8.6666659999999993</v>
      </c>
      <c r="I99">
        <v>9.6666659999999993</v>
      </c>
      <c r="J99">
        <v>-0.13043479999999999</v>
      </c>
    </row>
    <row r="100" spans="1:10" x14ac:dyDescent="0.3">
      <c r="A100">
        <v>98</v>
      </c>
      <c r="B100">
        <v>1570</v>
      </c>
      <c r="C100" t="b">
        <v>1</v>
      </c>
      <c r="D100">
        <v>8048</v>
      </c>
      <c r="E100">
        <v>8117</v>
      </c>
      <c r="F100">
        <v>10</v>
      </c>
      <c r="G100">
        <v>-0.8</v>
      </c>
      <c r="H100">
        <v>-12.5</v>
      </c>
      <c r="I100">
        <v>13.5</v>
      </c>
      <c r="J100">
        <v>-8.6956519999999995E-2</v>
      </c>
    </row>
    <row r="101" spans="1:10" x14ac:dyDescent="0.3">
      <c r="A101">
        <v>99</v>
      </c>
      <c r="B101">
        <v>1586</v>
      </c>
      <c r="C101" t="b">
        <v>1</v>
      </c>
      <c r="D101">
        <v>8048</v>
      </c>
      <c r="E101">
        <v>8117</v>
      </c>
      <c r="F101">
        <v>9.6</v>
      </c>
      <c r="G101">
        <v>-0.8</v>
      </c>
      <c r="H101">
        <v>-12</v>
      </c>
      <c r="I101">
        <v>13.000000999999999</v>
      </c>
      <c r="J101">
        <v>-9.0909089999999998E-2</v>
      </c>
    </row>
    <row r="102" spans="1:10" x14ac:dyDescent="0.3">
      <c r="A102">
        <v>100</v>
      </c>
      <c r="B102">
        <v>1602</v>
      </c>
      <c r="C102" t="b">
        <v>1</v>
      </c>
      <c r="D102">
        <v>8054</v>
      </c>
      <c r="E102">
        <v>8117</v>
      </c>
      <c r="F102">
        <v>9.1999999999999993</v>
      </c>
      <c r="G102">
        <v>-0.8</v>
      </c>
      <c r="H102">
        <v>-11.5</v>
      </c>
      <c r="I102">
        <v>12.5</v>
      </c>
      <c r="J102">
        <v>-9.5238104000000004E-2</v>
      </c>
    </row>
    <row r="103" spans="1:10" x14ac:dyDescent="0.3">
      <c r="A103">
        <v>101</v>
      </c>
      <c r="B103">
        <v>1618</v>
      </c>
      <c r="C103" t="b">
        <v>1</v>
      </c>
      <c r="D103">
        <v>8054</v>
      </c>
      <c r="E103">
        <v>8111</v>
      </c>
      <c r="F103">
        <v>9.1999999999999993</v>
      </c>
      <c r="G103">
        <v>-0.8</v>
      </c>
      <c r="H103">
        <v>-11.5</v>
      </c>
      <c r="I103">
        <v>12.5</v>
      </c>
      <c r="J103">
        <v>-9.5238104000000004E-2</v>
      </c>
    </row>
    <row r="104" spans="1:10" x14ac:dyDescent="0.3">
      <c r="A104">
        <v>102</v>
      </c>
      <c r="B104">
        <v>1634</v>
      </c>
      <c r="C104" t="b">
        <v>1</v>
      </c>
      <c r="D104">
        <v>8048</v>
      </c>
      <c r="E104">
        <v>8111</v>
      </c>
      <c r="F104">
        <v>8.8000000000000007</v>
      </c>
      <c r="G104">
        <v>-1.2</v>
      </c>
      <c r="H104">
        <v>-7.3333329999999997</v>
      </c>
      <c r="I104">
        <v>8.3333329999999997</v>
      </c>
      <c r="J104">
        <v>-0.15789473000000001</v>
      </c>
    </row>
    <row r="105" spans="1:10" x14ac:dyDescent="0.3">
      <c r="A105">
        <v>103</v>
      </c>
      <c r="B105">
        <v>1650</v>
      </c>
      <c r="C105" t="b">
        <v>1</v>
      </c>
      <c r="D105">
        <v>8054</v>
      </c>
      <c r="E105">
        <v>8123</v>
      </c>
      <c r="F105">
        <v>8.8000000000000007</v>
      </c>
      <c r="G105">
        <v>-1.2</v>
      </c>
      <c r="H105">
        <v>-7.3333329999999997</v>
      </c>
      <c r="I105">
        <v>8.3333329999999997</v>
      </c>
      <c r="J105">
        <v>-0.15789473000000001</v>
      </c>
    </row>
    <row r="106" spans="1:10" x14ac:dyDescent="0.3">
      <c r="A106">
        <v>104</v>
      </c>
      <c r="B106">
        <v>1666</v>
      </c>
      <c r="C106" t="b">
        <v>1</v>
      </c>
      <c r="D106">
        <v>8054</v>
      </c>
      <c r="E106">
        <v>8117</v>
      </c>
      <c r="F106">
        <v>9.1999999999999993</v>
      </c>
      <c r="G106">
        <v>-1.2</v>
      </c>
      <c r="H106">
        <v>-7.6666660000000002</v>
      </c>
      <c r="I106">
        <v>8.6666659999999993</v>
      </c>
      <c r="J106">
        <v>-0.15</v>
      </c>
    </row>
    <row r="107" spans="1:10" x14ac:dyDescent="0.3">
      <c r="A107">
        <v>105</v>
      </c>
      <c r="B107">
        <v>1682</v>
      </c>
      <c r="C107" t="b">
        <v>1</v>
      </c>
      <c r="D107">
        <v>8060</v>
      </c>
      <c r="E107">
        <v>8111</v>
      </c>
      <c r="F107">
        <v>9.6</v>
      </c>
      <c r="G107">
        <v>-1.2</v>
      </c>
      <c r="H107">
        <v>-8</v>
      </c>
      <c r="I107">
        <v>9</v>
      </c>
      <c r="J107">
        <v>-0.14285713</v>
      </c>
    </row>
    <row r="108" spans="1:10" x14ac:dyDescent="0.3">
      <c r="A108">
        <v>106</v>
      </c>
      <c r="B108">
        <v>1698</v>
      </c>
      <c r="C108" t="b">
        <v>1</v>
      </c>
      <c r="D108">
        <v>8048</v>
      </c>
      <c r="E108">
        <v>8111</v>
      </c>
      <c r="F108">
        <v>10</v>
      </c>
      <c r="G108">
        <v>-1.2</v>
      </c>
      <c r="H108">
        <v>-8.3333329999999997</v>
      </c>
      <c r="I108">
        <v>9.3333329999999997</v>
      </c>
      <c r="J108">
        <v>-0.13636364000000001</v>
      </c>
    </row>
    <row r="109" spans="1:10" x14ac:dyDescent="0.3">
      <c r="A109">
        <v>107</v>
      </c>
      <c r="B109">
        <v>1714</v>
      </c>
      <c r="C109" t="b">
        <v>1</v>
      </c>
      <c r="D109">
        <v>8048</v>
      </c>
      <c r="E109">
        <v>8129</v>
      </c>
      <c r="F109">
        <v>10.4</v>
      </c>
      <c r="G109">
        <v>-0.8</v>
      </c>
      <c r="H109">
        <v>-12.999999000000001</v>
      </c>
      <c r="I109">
        <v>14</v>
      </c>
      <c r="J109">
        <v>-8.3333340000000006E-2</v>
      </c>
    </row>
    <row r="110" spans="1:10" x14ac:dyDescent="0.3">
      <c r="A110">
        <v>108</v>
      </c>
      <c r="B110">
        <v>1729</v>
      </c>
      <c r="C110" t="b">
        <v>1</v>
      </c>
      <c r="D110">
        <v>8054</v>
      </c>
      <c r="E110">
        <v>8117</v>
      </c>
      <c r="F110">
        <v>10.8</v>
      </c>
      <c r="G110">
        <v>-0.4</v>
      </c>
      <c r="H110">
        <v>-27</v>
      </c>
      <c r="I110">
        <v>28</v>
      </c>
      <c r="J110">
        <v>-3.8461535999999998E-2</v>
      </c>
    </row>
    <row r="111" spans="1:10" x14ac:dyDescent="0.3">
      <c r="A111">
        <v>109</v>
      </c>
      <c r="B111">
        <v>1745</v>
      </c>
      <c r="C111" t="b">
        <v>1</v>
      </c>
      <c r="D111">
        <v>8054</v>
      </c>
      <c r="E111">
        <v>8117</v>
      </c>
      <c r="F111">
        <v>11.2</v>
      </c>
      <c r="G111">
        <v>0</v>
      </c>
      <c r="H111" t="s">
        <v>19</v>
      </c>
      <c r="I111" t="e">
        <f>-inf</f>
        <v>#NAME?</v>
      </c>
      <c r="J111">
        <v>0</v>
      </c>
    </row>
    <row r="112" spans="1:10" x14ac:dyDescent="0.3">
      <c r="A112">
        <v>110</v>
      </c>
      <c r="B112">
        <v>1761</v>
      </c>
      <c r="C112" t="b">
        <v>1</v>
      </c>
      <c r="D112">
        <v>8048</v>
      </c>
      <c r="E112">
        <v>8117</v>
      </c>
      <c r="F112">
        <v>11.2</v>
      </c>
      <c r="G112">
        <v>0.4</v>
      </c>
      <c r="H112">
        <v>28</v>
      </c>
      <c r="I112">
        <v>-27</v>
      </c>
      <c r="J112">
        <v>3.4482762E-2</v>
      </c>
    </row>
    <row r="113" spans="1:10" x14ac:dyDescent="0.3">
      <c r="A113">
        <v>111</v>
      </c>
      <c r="B113">
        <v>1777</v>
      </c>
      <c r="C113" t="b">
        <v>1</v>
      </c>
      <c r="D113">
        <v>8037</v>
      </c>
      <c r="E113">
        <v>8123</v>
      </c>
      <c r="F113">
        <v>11.2</v>
      </c>
      <c r="G113">
        <v>0.8</v>
      </c>
      <c r="H113">
        <v>14</v>
      </c>
      <c r="I113">
        <v>-12.999999000000001</v>
      </c>
      <c r="J113">
        <v>6.6666669999999997E-2</v>
      </c>
    </row>
    <row r="114" spans="1:10" x14ac:dyDescent="0.3">
      <c r="A114">
        <v>112</v>
      </c>
      <c r="B114">
        <v>1793</v>
      </c>
      <c r="C114" t="b">
        <v>1</v>
      </c>
      <c r="D114">
        <v>8042</v>
      </c>
      <c r="E114">
        <v>8123</v>
      </c>
      <c r="F114">
        <v>11.2</v>
      </c>
      <c r="G114">
        <v>1.2</v>
      </c>
      <c r="H114">
        <v>9.3333329999999997</v>
      </c>
      <c r="I114">
        <v>-8.3333329999999997</v>
      </c>
      <c r="J114">
        <v>9.6774200000000005E-2</v>
      </c>
    </row>
    <row r="115" spans="1:10" x14ac:dyDescent="0.3">
      <c r="A115">
        <v>113</v>
      </c>
      <c r="B115">
        <v>1808</v>
      </c>
      <c r="C115" t="b">
        <v>1</v>
      </c>
      <c r="D115">
        <v>8042</v>
      </c>
      <c r="E115">
        <v>8117</v>
      </c>
      <c r="F115">
        <v>10.8</v>
      </c>
      <c r="G115">
        <v>1.2</v>
      </c>
      <c r="H115">
        <v>9</v>
      </c>
      <c r="I115">
        <v>-8</v>
      </c>
      <c r="J115">
        <v>0.1</v>
      </c>
    </row>
    <row r="116" spans="1:10" x14ac:dyDescent="0.3">
      <c r="A116">
        <v>114</v>
      </c>
      <c r="B116">
        <v>1824</v>
      </c>
      <c r="C116" t="b">
        <v>1</v>
      </c>
      <c r="D116">
        <v>8042</v>
      </c>
      <c r="E116">
        <v>8111</v>
      </c>
      <c r="F116">
        <v>10.4</v>
      </c>
      <c r="G116">
        <v>1.2</v>
      </c>
      <c r="H116">
        <v>8.6666659999999993</v>
      </c>
      <c r="I116">
        <v>-7.6666660000000002</v>
      </c>
      <c r="J116">
        <v>0.10344829</v>
      </c>
    </row>
    <row r="117" spans="1:10" x14ac:dyDescent="0.3">
      <c r="A117">
        <v>115</v>
      </c>
      <c r="B117">
        <v>1840</v>
      </c>
      <c r="C117" t="b">
        <v>1</v>
      </c>
      <c r="D117">
        <v>8037</v>
      </c>
      <c r="E117">
        <v>8111</v>
      </c>
      <c r="F117">
        <v>10</v>
      </c>
      <c r="G117">
        <v>1.2</v>
      </c>
      <c r="H117">
        <v>8.3333329999999997</v>
      </c>
      <c r="I117">
        <v>-7.3333329999999997</v>
      </c>
      <c r="J117">
        <v>0.107142866</v>
      </c>
    </row>
    <row r="118" spans="1:10" x14ac:dyDescent="0.3">
      <c r="A118">
        <v>116</v>
      </c>
      <c r="B118">
        <v>1856</v>
      </c>
      <c r="C118" t="b">
        <v>1</v>
      </c>
      <c r="D118">
        <v>8054</v>
      </c>
      <c r="E118">
        <v>8111</v>
      </c>
      <c r="F118">
        <v>9.1999999999999993</v>
      </c>
      <c r="G118">
        <v>0.8</v>
      </c>
      <c r="H118">
        <v>11.5</v>
      </c>
      <c r="I118">
        <v>-10.499999000000001</v>
      </c>
      <c r="J118">
        <v>0.08</v>
      </c>
    </row>
    <row r="119" spans="1:10" x14ac:dyDescent="0.3">
      <c r="A119">
        <v>117</v>
      </c>
      <c r="B119">
        <v>1872</v>
      </c>
      <c r="C119" t="b">
        <v>1</v>
      </c>
      <c r="D119">
        <v>8054</v>
      </c>
      <c r="E119">
        <v>8111</v>
      </c>
      <c r="F119">
        <v>8.8000000000000007</v>
      </c>
      <c r="G119">
        <v>0.4</v>
      </c>
      <c r="H119">
        <v>22</v>
      </c>
      <c r="I119">
        <v>-21.000001999999999</v>
      </c>
      <c r="J119">
        <v>4.3478259999999998E-2</v>
      </c>
    </row>
    <row r="120" spans="1:10" x14ac:dyDescent="0.3">
      <c r="A120">
        <v>118</v>
      </c>
      <c r="B120">
        <v>1888</v>
      </c>
      <c r="C120" t="b">
        <v>1</v>
      </c>
      <c r="D120">
        <v>8054</v>
      </c>
      <c r="E120">
        <v>8111</v>
      </c>
      <c r="F120">
        <v>8.8000000000000007</v>
      </c>
      <c r="G120">
        <v>0</v>
      </c>
      <c r="H120" t="s">
        <v>19</v>
      </c>
      <c r="I120" t="e">
        <f>-inf</f>
        <v>#NAME?</v>
      </c>
      <c r="J120">
        <v>0</v>
      </c>
    </row>
    <row r="121" spans="1:10" x14ac:dyDescent="0.3">
      <c r="A121">
        <v>119</v>
      </c>
      <c r="B121">
        <v>1904</v>
      </c>
      <c r="C121" t="b">
        <v>1</v>
      </c>
      <c r="D121">
        <v>8048</v>
      </c>
      <c r="E121">
        <v>8111</v>
      </c>
      <c r="F121">
        <v>8.8000000000000007</v>
      </c>
      <c r="G121">
        <v>-0.4</v>
      </c>
      <c r="H121">
        <v>-22</v>
      </c>
      <c r="I121">
        <v>23</v>
      </c>
      <c r="J121">
        <v>-4.7619044999999999E-2</v>
      </c>
    </row>
    <row r="122" spans="1:10" x14ac:dyDescent="0.3">
      <c r="A122">
        <v>120</v>
      </c>
      <c r="B122">
        <v>1920</v>
      </c>
      <c r="C122" t="b">
        <v>1</v>
      </c>
      <c r="D122">
        <v>8054</v>
      </c>
      <c r="E122">
        <v>8123</v>
      </c>
      <c r="F122">
        <v>8.8000000000000007</v>
      </c>
      <c r="G122">
        <v>-0.4</v>
      </c>
      <c r="H122">
        <v>-22</v>
      </c>
      <c r="I122">
        <v>23</v>
      </c>
      <c r="J122">
        <v>-4.7619044999999999E-2</v>
      </c>
    </row>
    <row r="123" spans="1:10" x14ac:dyDescent="0.3">
      <c r="A123">
        <v>121</v>
      </c>
      <c r="B123">
        <v>1936</v>
      </c>
      <c r="C123" t="b">
        <v>1</v>
      </c>
      <c r="D123">
        <v>8048</v>
      </c>
      <c r="E123">
        <v>8111</v>
      </c>
      <c r="F123">
        <v>8.8000000000000007</v>
      </c>
      <c r="G123">
        <v>-0.4</v>
      </c>
      <c r="H123">
        <v>-22</v>
      </c>
      <c r="I123">
        <v>23</v>
      </c>
      <c r="J123">
        <v>-4.7619044999999999E-2</v>
      </c>
    </row>
    <row r="124" spans="1:10" x14ac:dyDescent="0.3">
      <c r="A124">
        <v>122</v>
      </c>
      <c r="B124">
        <v>1952</v>
      </c>
      <c r="C124" t="b">
        <v>1</v>
      </c>
      <c r="D124">
        <v>8060</v>
      </c>
      <c r="E124">
        <v>8111</v>
      </c>
      <c r="F124">
        <v>8.8000000000000007</v>
      </c>
      <c r="G124">
        <v>-0.8</v>
      </c>
      <c r="H124">
        <v>-11</v>
      </c>
      <c r="I124">
        <v>12</v>
      </c>
      <c r="J124">
        <v>-0.1</v>
      </c>
    </row>
    <row r="125" spans="1:10" x14ac:dyDescent="0.3">
      <c r="A125">
        <v>123</v>
      </c>
      <c r="B125">
        <v>1968</v>
      </c>
      <c r="C125" t="b">
        <v>1</v>
      </c>
      <c r="D125">
        <v>8054</v>
      </c>
      <c r="E125">
        <v>8117</v>
      </c>
      <c r="F125">
        <v>8.8000000000000007</v>
      </c>
      <c r="G125">
        <v>-1.2</v>
      </c>
      <c r="H125">
        <v>-7.3333329999999997</v>
      </c>
      <c r="I125">
        <v>8.3333329999999997</v>
      </c>
      <c r="J125">
        <v>-0.15789473000000001</v>
      </c>
    </row>
    <row r="126" spans="1:10" x14ac:dyDescent="0.3">
      <c r="A126">
        <v>124</v>
      </c>
      <c r="B126">
        <v>1984</v>
      </c>
      <c r="C126" t="b">
        <v>1</v>
      </c>
      <c r="D126">
        <v>8048</v>
      </c>
      <c r="E126">
        <v>8123</v>
      </c>
      <c r="F126">
        <v>8.8000000000000007</v>
      </c>
      <c r="G126">
        <v>-1.2</v>
      </c>
      <c r="H126">
        <v>-7.3333329999999997</v>
      </c>
      <c r="I126">
        <v>8.3333329999999997</v>
      </c>
      <c r="J126">
        <v>-0.15789473000000001</v>
      </c>
    </row>
    <row r="127" spans="1:10" x14ac:dyDescent="0.3">
      <c r="A127">
        <v>125</v>
      </c>
      <c r="B127">
        <v>2000</v>
      </c>
      <c r="C127" t="b">
        <v>1</v>
      </c>
      <c r="D127">
        <v>8048</v>
      </c>
      <c r="E127">
        <v>8111</v>
      </c>
      <c r="F127">
        <v>8.8000000000000007</v>
      </c>
      <c r="G127">
        <v>-1.6</v>
      </c>
      <c r="H127">
        <v>-5.5</v>
      </c>
      <c r="I127">
        <v>6.5000004999999996</v>
      </c>
      <c r="J127">
        <v>-0.22222222</v>
      </c>
    </row>
    <row r="128" spans="1:10" x14ac:dyDescent="0.3">
      <c r="A128">
        <v>126</v>
      </c>
      <c r="B128">
        <v>2016</v>
      </c>
      <c r="C128" t="b">
        <v>1</v>
      </c>
      <c r="D128">
        <v>8048</v>
      </c>
      <c r="E128">
        <v>8111</v>
      </c>
      <c r="F128">
        <v>8.8000000000000007</v>
      </c>
      <c r="G128">
        <v>-2</v>
      </c>
      <c r="H128">
        <v>-4.4000000000000004</v>
      </c>
      <c r="I128">
        <v>5.4</v>
      </c>
      <c r="J128">
        <v>-0.29411763000000002</v>
      </c>
    </row>
    <row r="129" spans="1:10" x14ac:dyDescent="0.3">
      <c r="A129">
        <v>127</v>
      </c>
      <c r="B129">
        <v>2032</v>
      </c>
      <c r="C129" t="b">
        <v>1</v>
      </c>
      <c r="D129">
        <v>8048</v>
      </c>
      <c r="E129">
        <v>8123</v>
      </c>
      <c r="F129">
        <v>8.8000000000000007</v>
      </c>
      <c r="G129">
        <v>-2</v>
      </c>
      <c r="H129">
        <v>-4.4000000000000004</v>
      </c>
      <c r="I129">
        <v>5.4</v>
      </c>
      <c r="J129">
        <v>-0.29411763000000002</v>
      </c>
    </row>
    <row r="130" spans="1:10" x14ac:dyDescent="0.3">
      <c r="A130">
        <v>128</v>
      </c>
      <c r="B130">
        <v>2048</v>
      </c>
      <c r="C130" t="b">
        <v>1</v>
      </c>
      <c r="D130">
        <v>8048</v>
      </c>
      <c r="E130">
        <v>8111</v>
      </c>
      <c r="F130">
        <v>9.1999999999999993</v>
      </c>
      <c r="G130">
        <v>-2.4</v>
      </c>
      <c r="H130">
        <v>-3.8333330000000001</v>
      </c>
      <c r="I130">
        <v>4.8333335000000002</v>
      </c>
      <c r="J130">
        <v>-0.35294122</v>
      </c>
    </row>
    <row r="131" spans="1:10" x14ac:dyDescent="0.3">
      <c r="A131">
        <v>129</v>
      </c>
      <c r="B131">
        <v>2064</v>
      </c>
      <c r="C131" t="b">
        <v>1</v>
      </c>
      <c r="D131">
        <v>8048</v>
      </c>
      <c r="E131">
        <v>8111</v>
      </c>
      <c r="F131">
        <v>9.6</v>
      </c>
      <c r="G131">
        <v>-2.8</v>
      </c>
      <c r="H131">
        <v>-3.4285717</v>
      </c>
      <c r="I131">
        <v>4.4285717</v>
      </c>
      <c r="J131">
        <v>-0.41176467999999999</v>
      </c>
    </row>
    <row r="132" spans="1:10" x14ac:dyDescent="0.3">
      <c r="A132">
        <v>130</v>
      </c>
      <c r="B132">
        <v>2080</v>
      </c>
      <c r="C132" t="b">
        <v>1</v>
      </c>
      <c r="D132">
        <v>8048</v>
      </c>
      <c r="E132">
        <v>8123</v>
      </c>
      <c r="F132">
        <v>10</v>
      </c>
      <c r="G132">
        <v>-3.2</v>
      </c>
      <c r="H132">
        <v>-3.125</v>
      </c>
      <c r="I132">
        <v>4.125</v>
      </c>
      <c r="J132">
        <v>-0.47058823999999999</v>
      </c>
    </row>
    <row r="133" spans="1:10" x14ac:dyDescent="0.3">
      <c r="A133">
        <v>131</v>
      </c>
      <c r="B133">
        <v>2096</v>
      </c>
      <c r="C133" t="b">
        <v>1</v>
      </c>
      <c r="D133">
        <v>8048</v>
      </c>
      <c r="E133">
        <v>8117</v>
      </c>
      <c r="F133">
        <v>10.4</v>
      </c>
      <c r="G133">
        <v>-2.8</v>
      </c>
      <c r="H133">
        <v>-3.7142856000000002</v>
      </c>
      <c r="I133">
        <v>4.7142860000000004</v>
      </c>
      <c r="J133">
        <v>-0.36842108000000001</v>
      </c>
    </row>
    <row r="134" spans="1:10" x14ac:dyDescent="0.3">
      <c r="A134">
        <v>132</v>
      </c>
      <c r="B134">
        <v>2111</v>
      </c>
      <c r="C134" t="b">
        <v>1</v>
      </c>
      <c r="D134">
        <v>8048</v>
      </c>
      <c r="E134">
        <v>8111</v>
      </c>
      <c r="F134">
        <v>10.8</v>
      </c>
      <c r="G134">
        <v>-2.8</v>
      </c>
      <c r="H134">
        <v>-3.8571430000000002</v>
      </c>
      <c r="I134">
        <v>4.8571429999999998</v>
      </c>
      <c r="J134">
        <v>-0.35</v>
      </c>
    </row>
    <row r="135" spans="1:10" x14ac:dyDescent="0.3">
      <c r="A135">
        <v>133</v>
      </c>
      <c r="B135">
        <v>2127</v>
      </c>
      <c r="C135" t="b">
        <v>1</v>
      </c>
      <c r="D135">
        <v>8048</v>
      </c>
      <c r="E135">
        <v>8117</v>
      </c>
      <c r="F135">
        <v>10.4</v>
      </c>
      <c r="G135">
        <v>-2.4</v>
      </c>
      <c r="H135">
        <v>-4.3333329999999997</v>
      </c>
      <c r="I135">
        <v>5.3333329999999997</v>
      </c>
      <c r="J135">
        <v>-0.30000004000000002</v>
      </c>
    </row>
    <row r="136" spans="1:10" x14ac:dyDescent="0.3">
      <c r="A136">
        <v>134</v>
      </c>
      <c r="B136">
        <v>2144</v>
      </c>
      <c r="C136" t="b">
        <v>1</v>
      </c>
      <c r="D136">
        <v>8054</v>
      </c>
      <c r="E136">
        <v>8123</v>
      </c>
      <c r="F136">
        <v>10</v>
      </c>
      <c r="G136">
        <v>-2</v>
      </c>
      <c r="H136">
        <v>-5</v>
      </c>
      <c r="I136">
        <v>6</v>
      </c>
      <c r="J136">
        <v>-0.25</v>
      </c>
    </row>
    <row r="137" spans="1:10" x14ac:dyDescent="0.3">
      <c r="A137">
        <v>135</v>
      </c>
      <c r="B137">
        <v>2160</v>
      </c>
      <c r="C137" t="b">
        <v>1</v>
      </c>
      <c r="D137">
        <v>8048</v>
      </c>
      <c r="E137">
        <v>8117</v>
      </c>
      <c r="F137">
        <v>9.6</v>
      </c>
      <c r="G137">
        <v>-1.6</v>
      </c>
      <c r="H137">
        <v>-6</v>
      </c>
      <c r="I137">
        <v>7.0000004999999996</v>
      </c>
      <c r="J137">
        <v>-0.2</v>
      </c>
    </row>
    <row r="138" spans="1:10" x14ac:dyDescent="0.3">
      <c r="A138">
        <v>136</v>
      </c>
      <c r="B138">
        <v>2176</v>
      </c>
      <c r="C138" t="b">
        <v>1</v>
      </c>
      <c r="D138">
        <v>8048</v>
      </c>
      <c r="E138">
        <v>8117</v>
      </c>
      <c r="F138">
        <v>9.1999999999999993</v>
      </c>
      <c r="G138">
        <v>-1.2</v>
      </c>
      <c r="H138">
        <v>-7.6666660000000002</v>
      </c>
      <c r="I138">
        <v>8.6666659999999993</v>
      </c>
      <c r="J138">
        <v>-0.15</v>
      </c>
    </row>
    <row r="139" spans="1:10" x14ac:dyDescent="0.3">
      <c r="A139">
        <v>137</v>
      </c>
      <c r="B139">
        <v>2192</v>
      </c>
      <c r="C139" t="b">
        <v>1</v>
      </c>
      <c r="D139">
        <v>8048</v>
      </c>
      <c r="E139">
        <v>8117</v>
      </c>
      <c r="F139">
        <v>8.8000000000000007</v>
      </c>
      <c r="G139">
        <v>-0.8</v>
      </c>
      <c r="H139">
        <v>-11</v>
      </c>
      <c r="I139">
        <v>12</v>
      </c>
      <c r="J139">
        <v>-0.1</v>
      </c>
    </row>
    <row r="140" spans="1:10" x14ac:dyDescent="0.3">
      <c r="A140">
        <v>138</v>
      </c>
      <c r="B140">
        <v>2208</v>
      </c>
      <c r="C140" t="b">
        <v>1</v>
      </c>
      <c r="D140">
        <v>8048</v>
      </c>
      <c r="E140">
        <v>8111</v>
      </c>
      <c r="F140">
        <v>8.4</v>
      </c>
      <c r="G140">
        <v>-0.4</v>
      </c>
      <c r="H140">
        <v>-20.999998000000001</v>
      </c>
      <c r="I140">
        <v>21.999998000000001</v>
      </c>
      <c r="J140">
        <v>-5.0000004000000001E-2</v>
      </c>
    </row>
    <row r="141" spans="1:10" x14ac:dyDescent="0.3">
      <c r="A141">
        <v>139</v>
      </c>
      <c r="B141">
        <v>2224</v>
      </c>
      <c r="C141" t="b">
        <v>1</v>
      </c>
      <c r="D141">
        <v>8042</v>
      </c>
      <c r="E141">
        <v>8117</v>
      </c>
      <c r="F141">
        <v>8</v>
      </c>
      <c r="G141">
        <v>-0.4</v>
      </c>
      <c r="H141">
        <v>-20</v>
      </c>
      <c r="I141">
        <v>20.999998000000001</v>
      </c>
      <c r="J141">
        <v>-5.2631579999999997E-2</v>
      </c>
    </row>
    <row r="142" spans="1:10" x14ac:dyDescent="0.3">
      <c r="A142">
        <v>140</v>
      </c>
      <c r="B142">
        <v>2240</v>
      </c>
      <c r="C142" t="b">
        <v>1</v>
      </c>
      <c r="D142">
        <v>8048</v>
      </c>
      <c r="E142">
        <v>8111</v>
      </c>
      <c r="F142">
        <v>8</v>
      </c>
      <c r="G142">
        <v>0</v>
      </c>
      <c r="H142" t="s">
        <v>19</v>
      </c>
      <c r="I142" t="e">
        <f>-inf</f>
        <v>#NAME?</v>
      </c>
      <c r="J142">
        <v>0</v>
      </c>
    </row>
    <row r="143" spans="1:10" x14ac:dyDescent="0.3">
      <c r="A143">
        <v>141</v>
      </c>
      <c r="B143">
        <v>2255</v>
      </c>
      <c r="C143" t="b">
        <v>1</v>
      </c>
      <c r="D143">
        <v>8048</v>
      </c>
      <c r="E143">
        <v>8117</v>
      </c>
      <c r="F143">
        <v>8</v>
      </c>
      <c r="G143">
        <v>0.4</v>
      </c>
      <c r="H143">
        <v>20</v>
      </c>
      <c r="I143">
        <v>-19</v>
      </c>
      <c r="J143">
        <v>4.7619052000000002E-2</v>
      </c>
    </row>
    <row r="144" spans="1:10" x14ac:dyDescent="0.3">
      <c r="A144">
        <v>142</v>
      </c>
      <c r="B144">
        <v>2271</v>
      </c>
      <c r="C144" t="b">
        <v>1</v>
      </c>
      <c r="D144">
        <v>8048</v>
      </c>
      <c r="E144">
        <v>8111</v>
      </c>
      <c r="F144">
        <v>8</v>
      </c>
      <c r="G144">
        <v>0</v>
      </c>
      <c r="H144" t="s">
        <v>19</v>
      </c>
      <c r="I144" t="e">
        <f>-inf</f>
        <v>#NAME?</v>
      </c>
      <c r="J144">
        <v>0</v>
      </c>
    </row>
    <row r="145" spans="1:10" x14ac:dyDescent="0.3">
      <c r="A145">
        <v>143</v>
      </c>
      <c r="B145">
        <v>2288</v>
      </c>
      <c r="C145" t="b">
        <v>1</v>
      </c>
      <c r="D145">
        <v>8048</v>
      </c>
      <c r="E145">
        <v>8117</v>
      </c>
      <c r="F145">
        <v>8</v>
      </c>
      <c r="G145">
        <v>0.4</v>
      </c>
      <c r="H145">
        <v>20</v>
      </c>
      <c r="I145">
        <v>-19</v>
      </c>
      <c r="J145">
        <v>4.7619052000000002E-2</v>
      </c>
    </row>
    <row r="146" spans="1:10" x14ac:dyDescent="0.3">
      <c r="A146">
        <v>144</v>
      </c>
      <c r="B146">
        <v>2303</v>
      </c>
      <c r="C146" t="b">
        <v>1</v>
      </c>
      <c r="D146">
        <v>8048</v>
      </c>
      <c r="E146">
        <v>8111</v>
      </c>
      <c r="F146">
        <v>8</v>
      </c>
      <c r="G146">
        <v>0.4</v>
      </c>
      <c r="H146">
        <v>20</v>
      </c>
      <c r="I146">
        <v>-19</v>
      </c>
      <c r="J146">
        <v>4.7619052000000002E-2</v>
      </c>
    </row>
    <row r="147" spans="1:10" x14ac:dyDescent="0.3">
      <c r="A147">
        <v>145</v>
      </c>
      <c r="B147">
        <v>2319</v>
      </c>
      <c r="C147" t="b">
        <v>1</v>
      </c>
      <c r="D147">
        <v>8048</v>
      </c>
      <c r="E147">
        <v>8117</v>
      </c>
      <c r="F147">
        <v>8</v>
      </c>
      <c r="G147">
        <v>0.8</v>
      </c>
      <c r="H147">
        <v>10</v>
      </c>
      <c r="I147">
        <v>-9</v>
      </c>
      <c r="J147">
        <v>9.0909089999999998E-2</v>
      </c>
    </row>
    <row r="148" spans="1:10" x14ac:dyDescent="0.3">
      <c r="A148">
        <v>146</v>
      </c>
      <c r="B148">
        <v>2335</v>
      </c>
      <c r="C148" t="b">
        <v>1</v>
      </c>
      <c r="D148">
        <v>8048</v>
      </c>
      <c r="E148">
        <v>8117</v>
      </c>
      <c r="F148">
        <v>8</v>
      </c>
      <c r="G148">
        <v>0.8</v>
      </c>
      <c r="H148">
        <v>10</v>
      </c>
      <c r="I148">
        <v>-9</v>
      </c>
      <c r="J148">
        <v>9.0909089999999998E-2</v>
      </c>
    </row>
    <row r="149" spans="1:10" x14ac:dyDescent="0.3">
      <c r="A149">
        <v>147</v>
      </c>
      <c r="B149">
        <v>2351</v>
      </c>
      <c r="C149" t="b">
        <v>1</v>
      </c>
      <c r="D149">
        <v>8054</v>
      </c>
      <c r="E149">
        <v>8123</v>
      </c>
      <c r="F149">
        <v>8</v>
      </c>
      <c r="G149">
        <v>1.2</v>
      </c>
      <c r="H149">
        <v>6.6666664999999998</v>
      </c>
      <c r="I149">
        <v>-5.6666664999999998</v>
      </c>
      <c r="J149">
        <v>0.13043479999999999</v>
      </c>
    </row>
    <row r="150" spans="1:10" x14ac:dyDescent="0.3">
      <c r="A150">
        <v>148</v>
      </c>
      <c r="B150">
        <v>2367</v>
      </c>
      <c r="C150" t="b">
        <v>1</v>
      </c>
      <c r="D150">
        <v>8048</v>
      </c>
      <c r="E150">
        <v>8123</v>
      </c>
      <c r="F150">
        <v>8</v>
      </c>
      <c r="G150">
        <v>1.2</v>
      </c>
      <c r="H150">
        <v>6.6666664999999998</v>
      </c>
      <c r="I150">
        <v>-5.6666664999999998</v>
      </c>
      <c r="J150">
        <v>0.13043479999999999</v>
      </c>
    </row>
    <row r="151" spans="1:10" x14ac:dyDescent="0.3">
      <c r="A151">
        <v>149</v>
      </c>
      <c r="B151">
        <v>2383</v>
      </c>
      <c r="C151" t="b">
        <v>1</v>
      </c>
      <c r="D151">
        <v>8048</v>
      </c>
      <c r="E151">
        <v>8117</v>
      </c>
      <c r="F151">
        <v>8</v>
      </c>
      <c r="G151">
        <v>1.2</v>
      </c>
      <c r="H151">
        <v>6.6666664999999998</v>
      </c>
      <c r="I151">
        <v>-5.6666664999999998</v>
      </c>
      <c r="J151">
        <v>0.13043479999999999</v>
      </c>
    </row>
    <row r="152" spans="1:10" x14ac:dyDescent="0.3">
      <c r="A152">
        <v>150</v>
      </c>
      <c r="B152">
        <v>2398</v>
      </c>
      <c r="C152" t="b">
        <v>1</v>
      </c>
      <c r="D152">
        <v>8054</v>
      </c>
      <c r="E152">
        <v>8123</v>
      </c>
      <c r="F152">
        <v>8</v>
      </c>
      <c r="G152">
        <v>1.6</v>
      </c>
      <c r="H152">
        <v>5</v>
      </c>
      <c r="I152">
        <v>-4</v>
      </c>
      <c r="J152">
        <v>0.16666665999999999</v>
      </c>
    </row>
    <row r="153" spans="1:10" x14ac:dyDescent="0.3">
      <c r="A153">
        <v>151</v>
      </c>
      <c r="B153">
        <v>2414</v>
      </c>
      <c r="C153" t="b">
        <v>1</v>
      </c>
      <c r="D153">
        <v>8048</v>
      </c>
      <c r="E153">
        <v>8117</v>
      </c>
      <c r="F153">
        <v>8</v>
      </c>
      <c r="G153">
        <v>2</v>
      </c>
      <c r="H153">
        <v>4</v>
      </c>
      <c r="I153">
        <v>-3</v>
      </c>
      <c r="J153">
        <v>0.2</v>
      </c>
    </row>
    <row r="154" spans="1:10" x14ac:dyDescent="0.3">
      <c r="A154">
        <v>152</v>
      </c>
      <c r="B154">
        <v>2430</v>
      </c>
      <c r="C154" t="b">
        <v>1</v>
      </c>
      <c r="D154">
        <v>8048</v>
      </c>
      <c r="E154">
        <v>8117</v>
      </c>
      <c r="F154">
        <v>8</v>
      </c>
      <c r="G154">
        <v>2</v>
      </c>
      <c r="H154">
        <v>4</v>
      </c>
      <c r="I154">
        <v>-3</v>
      </c>
      <c r="J154">
        <v>0.2</v>
      </c>
    </row>
    <row r="155" spans="1:10" x14ac:dyDescent="0.3">
      <c r="A155">
        <v>153</v>
      </c>
      <c r="B155">
        <v>2446</v>
      </c>
      <c r="C155" t="b">
        <v>1</v>
      </c>
      <c r="D155">
        <v>8048</v>
      </c>
      <c r="E155">
        <v>8117</v>
      </c>
      <c r="F155">
        <v>8</v>
      </c>
      <c r="G155">
        <v>2</v>
      </c>
      <c r="H155">
        <v>4</v>
      </c>
      <c r="I155">
        <v>-3</v>
      </c>
      <c r="J155">
        <v>0.2</v>
      </c>
    </row>
    <row r="156" spans="1:10" x14ac:dyDescent="0.3">
      <c r="A156">
        <v>154</v>
      </c>
      <c r="B156">
        <v>2462</v>
      </c>
      <c r="C156" t="b">
        <v>1</v>
      </c>
      <c r="D156">
        <v>8048</v>
      </c>
      <c r="E156">
        <v>8117</v>
      </c>
      <c r="F156">
        <v>8</v>
      </c>
      <c r="G156">
        <v>2</v>
      </c>
      <c r="H156">
        <v>4</v>
      </c>
      <c r="I156">
        <v>-3</v>
      </c>
      <c r="J156">
        <v>0.2</v>
      </c>
    </row>
    <row r="157" spans="1:10" x14ac:dyDescent="0.3">
      <c r="A157">
        <v>155</v>
      </c>
      <c r="B157">
        <v>2478</v>
      </c>
      <c r="C157" t="b">
        <v>1</v>
      </c>
      <c r="D157">
        <v>8054</v>
      </c>
      <c r="E157">
        <v>8111</v>
      </c>
      <c r="F157">
        <v>8</v>
      </c>
      <c r="G157">
        <v>2</v>
      </c>
      <c r="H157">
        <v>4</v>
      </c>
      <c r="I157">
        <v>-3</v>
      </c>
      <c r="J157">
        <v>0.2</v>
      </c>
    </row>
    <row r="158" spans="1:10" x14ac:dyDescent="0.3">
      <c r="A158">
        <v>156</v>
      </c>
      <c r="B158">
        <v>2494</v>
      </c>
      <c r="C158" t="b">
        <v>1</v>
      </c>
      <c r="D158">
        <v>8054</v>
      </c>
      <c r="E158">
        <v>8111</v>
      </c>
      <c r="F158">
        <v>8</v>
      </c>
      <c r="G158">
        <v>2</v>
      </c>
      <c r="H158">
        <v>4</v>
      </c>
      <c r="I158">
        <v>-3</v>
      </c>
      <c r="J158">
        <v>0.2</v>
      </c>
    </row>
    <row r="159" spans="1:10" x14ac:dyDescent="0.3">
      <c r="A159">
        <v>157</v>
      </c>
      <c r="B159">
        <v>2509</v>
      </c>
      <c r="C159" t="b">
        <v>1</v>
      </c>
      <c r="D159">
        <v>8054</v>
      </c>
      <c r="E159">
        <v>8123</v>
      </c>
      <c r="F159">
        <v>8.4</v>
      </c>
      <c r="G159">
        <v>2.4</v>
      </c>
      <c r="H159">
        <v>3.4999997999999999</v>
      </c>
      <c r="I159">
        <v>-2.4999997999999999</v>
      </c>
      <c r="J159">
        <v>0.22222225000000001</v>
      </c>
    </row>
    <row r="160" spans="1:10" x14ac:dyDescent="0.3">
      <c r="A160">
        <v>158</v>
      </c>
      <c r="B160">
        <v>2525</v>
      </c>
      <c r="C160" t="b">
        <v>1</v>
      </c>
      <c r="D160">
        <v>8048</v>
      </c>
      <c r="E160">
        <v>8105</v>
      </c>
      <c r="F160">
        <v>8.8000000000000007</v>
      </c>
      <c r="G160">
        <v>2</v>
      </c>
      <c r="H160">
        <v>4.4000000000000004</v>
      </c>
      <c r="I160">
        <v>-3.4</v>
      </c>
      <c r="J160">
        <v>0.18518518</v>
      </c>
    </row>
    <row r="161" spans="1:10" x14ac:dyDescent="0.3">
      <c r="A161">
        <v>159</v>
      </c>
      <c r="B161">
        <v>2541</v>
      </c>
      <c r="C161" t="b">
        <v>1</v>
      </c>
      <c r="D161">
        <v>8048</v>
      </c>
      <c r="E161">
        <v>8111</v>
      </c>
      <c r="F161">
        <v>9.1999999999999993</v>
      </c>
      <c r="G161">
        <v>2</v>
      </c>
      <c r="H161">
        <v>4.5999999999999996</v>
      </c>
      <c r="I161">
        <v>-3.6</v>
      </c>
      <c r="J161">
        <v>0.17857143</v>
      </c>
    </row>
    <row r="162" spans="1:10" x14ac:dyDescent="0.3">
      <c r="A162">
        <v>160</v>
      </c>
      <c r="B162">
        <v>2557</v>
      </c>
      <c r="C162" t="b">
        <v>1</v>
      </c>
      <c r="D162">
        <v>8048</v>
      </c>
      <c r="E162">
        <v>8111</v>
      </c>
      <c r="F162">
        <v>9.1999999999999993</v>
      </c>
      <c r="G162">
        <v>1.6</v>
      </c>
      <c r="H162">
        <v>5.75</v>
      </c>
      <c r="I162">
        <v>-4.75</v>
      </c>
      <c r="J162">
        <v>0.14814815000000001</v>
      </c>
    </row>
    <row r="163" spans="1:10" x14ac:dyDescent="0.3">
      <c r="A163">
        <v>161</v>
      </c>
      <c r="B163">
        <v>2573</v>
      </c>
      <c r="C163" t="b">
        <v>1</v>
      </c>
      <c r="D163">
        <v>8048</v>
      </c>
      <c r="E163">
        <v>8111</v>
      </c>
      <c r="F163">
        <v>9.1999999999999993</v>
      </c>
      <c r="G163">
        <v>1.2</v>
      </c>
      <c r="H163">
        <v>7.6666660000000002</v>
      </c>
      <c r="I163">
        <v>-6.6666664999999998</v>
      </c>
      <c r="J163">
        <v>0.11538461999999999</v>
      </c>
    </row>
    <row r="164" spans="1:10" x14ac:dyDescent="0.3">
      <c r="A164">
        <v>162</v>
      </c>
      <c r="B164">
        <v>2589</v>
      </c>
      <c r="C164" t="b">
        <v>1</v>
      </c>
      <c r="D164">
        <v>8048</v>
      </c>
      <c r="E164">
        <v>8117</v>
      </c>
      <c r="F164">
        <v>9.1999999999999993</v>
      </c>
      <c r="G164">
        <v>0.8</v>
      </c>
      <c r="H164">
        <v>11.5</v>
      </c>
      <c r="I164">
        <v>-10.499999000000001</v>
      </c>
      <c r="J164">
        <v>0.08</v>
      </c>
    </row>
    <row r="165" spans="1:10" x14ac:dyDescent="0.3">
      <c r="A165">
        <v>163</v>
      </c>
      <c r="B165">
        <v>2605</v>
      </c>
      <c r="C165" t="b">
        <v>1</v>
      </c>
      <c r="D165">
        <v>8054</v>
      </c>
      <c r="E165">
        <v>8105</v>
      </c>
      <c r="F165">
        <v>9.1999999999999993</v>
      </c>
      <c r="G165">
        <v>0.4</v>
      </c>
      <c r="H165">
        <v>23</v>
      </c>
      <c r="I165">
        <v>-22</v>
      </c>
      <c r="J165">
        <v>4.1666670000000003E-2</v>
      </c>
    </row>
    <row r="166" spans="1:10" x14ac:dyDescent="0.3">
      <c r="A166">
        <v>164</v>
      </c>
      <c r="B166">
        <v>2621</v>
      </c>
      <c r="C166" t="b">
        <v>1</v>
      </c>
      <c r="D166">
        <v>8042</v>
      </c>
      <c r="E166">
        <v>8123</v>
      </c>
      <c r="F166">
        <v>9.1999999999999993</v>
      </c>
      <c r="G166">
        <v>0</v>
      </c>
      <c r="H166" t="s">
        <v>19</v>
      </c>
      <c r="I166" t="e">
        <f>-inf</f>
        <v>#NAME?</v>
      </c>
      <c r="J166">
        <v>0</v>
      </c>
    </row>
    <row r="167" spans="1:10" x14ac:dyDescent="0.3">
      <c r="A167">
        <v>165</v>
      </c>
      <c r="B167">
        <v>2637</v>
      </c>
      <c r="C167" t="b">
        <v>1</v>
      </c>
      <c r="D167">
        <v>8048</v>
      </c>
      <c r="E167">
        <v>8117</v>
      </c>
      <c r="F167">
        <v>9.1999999999999993</v>
      </c>
      <c r="G167">
        <v>-0.4</v>
      </c>
      <c r="H167">
        <v>-23</v>
      </c>
      <c r="I167">
        <v>23.999998000000001</v>
      </c>
      <c r="J167">
        <v>-4.5454546999999998E-2</v>
      </c>
    </row>
    <row r="168" spans="1:10" x14ac:dyDescent="0.3">
      <c r="A168">
        <v>166</v>
      </c>
      <c r="B168">
        <v>2653</v>
      </c>
      <c r="C168" t="b">
        <v>1</v>
      </c>
      <c r="D168">
        <v>8048</v>
      </c>
      <c r="E168">
        <v>8111</v>
      </c>
      <c r="F168">
        <v>9.1999999999999993</v>
      </c>
      <c r="G168">
        <v>-0.8</v>
      </c>
      <c r="H168">
        <v>-11.5</v>
      </c>
      <c r="I168">
        <v>12.5</v>
      </c>
      <c r="J168">
        <v>-9.5238104000000004E-2</v>
      </c>
    </row>
    <row r="169" spans="1:10" x14ac:dyDescent="0.3">
      <c r="A169">
        <v>167</v>
      </c>
      <c r="B169">
        <v>2668</v>
      </c>
      <c r="C169" t="b">
        <v>1</v>
      </c>
      <c r="D169">
        <v>8054</v>
      </c>
      <c r="E169">
        <v>8111</v>
      </c>
      <c r="F169">
        <v>9.1999999999999993</v>
      </c>
      <c r="G169">
        <v>-1.2</v>
      </c>
      <c r="H169">
        <v>-7.6666660000000002</v>
      </c>
      <c r="I169">
        <v>8.6666659999999993</v>
      </c>
      <c r="J169">
        <v>-0.15</v>
      </c>
    </row>
    <row r="170" spans="1:10" x14ac:dyDescent="0.3">
      <c r="A170">
        <v>168</v>
      </c>
      <c r="B170">
        <v>2684</v>
      </c>
      <c r="C170" t="b">
        <v>1</v>
      </c>
      <c r="D170">
        <v>8054</v>
      </c>
      <c r="E170">
        <v>8111</v>
      </c>
      <c r="F170">
        <v>9.1999999999999993</v>
      </c>
      <c r="G170">
        <v>-1.6</v>
      </c>
      <c r="H170">
        <v>-5.75</v>
      </c>
      <c r="I170">
        <v>6.75</v>
      </c>
      <c r="J170">
        <v>-0.21052631999999999</v>
      </c>
    </row>
    <row r="171" spans="1:10" x14ac:dyDescent="0.3">
      <c r="A171">
        <v>169</v>
      </c>
      <c r="B171">
        <v>2700</v>
      </c>
      <c r="C171" t="b">
        <v>1</v>
      </c>
      <c r="D171">
        <v>8054</v>
      </c>
      <c r="E171">
        <v>8117</v>
      </c>
      <c r="F171">
        <v>9.6</v>
      </c>
      <c r="G171">
        <v>-2</v>
      </c>
      <c r="H171">
        <v>-4.8</v>
      </c>
      <c r="I171">
        <v>5.8</v>
      </c>
      <c r="J171">
        <v>-0.26315787000000002</v>
      </c>
    </row>
    <row r="172" spans="1:10" x14ac:dyDescent="0.3">
      <c r="A172">
        <v>170</v>
      </c>
      <c r="B172">
        <v>2716</v>
      </c>
      <c r="C172" t="b">
        <v>1</v>
      </c>
      <c r="D172">
        <v>8060</v>
      </c>
      <c r="E172">
        <v>8117</v>
      </c>
      <c r="F172">
        <v>10</v>
      </c>
      <c r="G172">
        <v>-2.4</v>
      </c>
      <c r="H172">
        <v>-4.1666664999999998</v>
      </c>
      <c r="I172">
        <v>5.1666664999999998</v>
      </c>
      <c r="J172">
        <v>-0.3157895</v>
      </c>
    </row>
    <row r="173" spans="1:10" x14ac:dyDescent="0.3">
      <c r="A173">
        <v>171</v>
      </c>
      <c r="B173">
        <v>2732</v>
      </c>
      <c r="C173" t="b">
        <v>1</v>
      </c>
      <c r="D173">
        <v>8054</v>
      </c>
      <c r="E173">
        <v>8123</v>
      </c>
      <c r="F173">
        <v>10.4</v>
      </c>
      <c r="G173">
        <v>-2.4</v>
      </c>
      <c r="H173">
        <v>-4.3333329999999997</v>
      </c>
      <c r="I173">
        <v>5.3333329999999997</v>
      </c>
      <c r="J173">
        <v>-0.30000004000000002</v>
      </c>
    </row>
    <row r="174" spans="1:10" x14ac:dyDescent="0.3">
      <c r="A174">
        <v>172</v>
      </c>
      <c r="B174">
        <v>2748</v>
      </c>
      <c r="C174" t="b">
        <v>1</v>
      </c>
      <c r="D174">
        <v>8054</v>
      </c>
      <c r="E174">
        <v>8117</v>
      </c>
      <c r="F174">
        <v>10.4</v>
      </c>
      <c r="G174">
        <v>-2.4</v>
      </c>
      <c r="H174">
        <v>-4.3333329999999997</v>
      </c>
      <c r="I174">
        <v>5.3333329999999997</v>
      </c>
      <c r="J174">
        <v>-0.30000004000000002</v>
      </c>
    </row>
    <row r="175" spans="1:10" x14ac:dyDescent="0.3">
      <c r="A175">
        <v>173</v>
      </c>
      <c r="B175">
        <v>2763</v>
      </c>
      <c r="C175" t="b">
        <v>1</v>
      </c>
      <c r="D175">
        <v>8048</v>
      </c>
      <c r="E175">
        <v>8111</v>
      </c>
      <c r="F175">
        <v>10.4</v>
      </c>
      <c r="G175">
        <v>-2</v>
      </c>
      <c r="H175">
        <v>-5.2</v>
      </c>
      <c r="I175">
        <v>6.2</v>
      </c>
      <c r="J175">
        <v>-0.23809525000000001</v>
      </c>
    </row>
    <row r="176" spans="1:10" x14ac:dyDescent="0.3">
      <c r="A176">
        <v>174</v>
      </c>
      <c r="B176">
        <v>2779</v>
      </c>
      <c r="C176" t="b">
        <v>1</v>
      </c>
      <c r="D176">
        <v>8048</v>
      </c>
      <c r="E176">
        <v>8123</v>
      </c>
      <c r="F176">
        <v>10.4</v>
      </c>
      <c r="G176">
        <v>-1.6</v>
      </c>
      <c r="H176">
        <v>-6.4999995000000004</v>
      </c>
      <c r="I176">
        <v>7.5</v>
      </c>
      <c r="J176">
        <v>-0.18181820000000001</v>
      </c>
    </row>
    <row r="177" spans="1:10" x14ac:dyDescent="0.3">
      <c r="A177">
        <v>175</v>
      </c>
      <c r="B177">
        <v>2795</v>
      </c>
      <c r="C177" t="b">
        <v>1</v>
      </c>
      <c r="D177">
        <v>8048</v>
      </c>
      <c r="E177">
        <v>8123</v>
      </c>
      <c r="F177">
        <v>10.4</v>
      </c>
      <c r="G177">
        <v>-0.8</v>
      </c>
      <c r="H177">
        <v>-12.999999000000001</v>
      </c>
      <c r="I177">
        <v>14</v>
      </c>
      <c r="J177">
        <v>-8.3333340000000006E-2</v>
      </c>
    </row>
    <row r="178" spans="1:10" x14ac:dyDescent="0.3">
      <c r="A178">
        <v>176</v>
      </c>
      <c r="B178">
        <v>2811</v>
      </c>
      <c r="C178" t="b">
        <v>1</v>
      </c>
      <c r="D178">
        <v>8048</v>
      </c>
      <c r="E178">
        <v>8123</v>
      </c>
      <c r="F178">
        <v>10.4</v>
      </c>
      <c r="G178">
        <v>0</v>
      </c>
      <c r="H178" t="s">
        <v>19</v>
      </c>
      <c r="I178" t="e">
        <f>-inf</f>
        <v>#NAME?</v>
      </c>
      <c r="J178">
        <v>0</v>
      </c>
    </row>
    <row r="179" spans="1:10" x14ac:dyDescent="0.3">
      <c r="A179">
        <v>177</v>
      </c>
      <c r="B179">
        <v>2827</v>
      </c>
      <c r="C179" t="b">
        <v>1</v>
      </c>
      <c r="D179">
        <v>8048</v>
      </c>
      <c r="E179">
        <v>8123</v>
      </c>
      <c r="F179">
        <v>10.4</v>
      </c>
      <c r="G179">
        <v>0.8</v>
      </c>
      <c r="H179">
        <v>12.999999000000001</v>
      </c>
      <c r="I179">
        <v>-11.999999000000001</v>
      </c>
      <c r="J179">
        <v>7.1428574999999994E-2</v>
      </c>
    </row>
    <row r="180" spans="1:10" x14ac:dyDescent="0.3">
      <c r="A180">
        <v>178</v>
      </c>
      <c r="B180">
        <v>2843</v>
      </c>
      <c r="C180" t="b">
        <v>1</v>
      </c>
      <c r="D180">
        <v>8048</v>
      </c>
      <c r="E180">
        <v>8111</v>
      </c>
      <c r="F180">
        <v>10.4</v>
      </c>
      <c r="G180">
        <v>1.6</v>
      </c>
      <c r="H180">
        <v>6.4999995000000004</v>
      </c>
      <c r="I180">
        <v>-5.4999995000000004</v>
      </c>
      <c r="J180">
        <v>0.13333333999999999</v>
      </c>
    </row>
    <row r="181" spans="1:10" x14ac:dyDescent="0.3">
      <c r="A181">
        <v>179</v>
      </c>
      <c r="B181">
        <v>2859</v>
      </c>
      <c r="C181" t="b">
        <v>1</v>
      </c>
      <c r="D181">
        <v>8048</v>
      </c>
      <c r="E181">
        <v>8111</v>
      </c>
      <c r="F181">
        <v>10.4</v>
      </c>
      <c r="G181">
        <v>2.4</v>
      </c>
      <c r="H181">
        <v>4.3333329999999997</v>
      </c>
      <c r="I181">
        <v>-3.3333330000000001</v>
      </c>
      <c r="J181">
        <v>0.18750000999999999</v>
      </c>
    </row>
    <row r="182" spans="1:10" x14ac:dyDescent="0.3">
      <c r="A182">
        <v>180</v>
      </c>
      <c r="B182">
        <v>2875</v>
      </c>
      <c r="C182" t="b">
        <v>1</v>
      </c>
      <c r="D182">
        <v>8048</v>
      </c>
      <c r="E182">
        <v>8111</v>
      </c>
      <c r="F182">
        <v>10.4</v>
      </c>
      <c r="G182">
        <v>2</v>
      </c>
      <c r="H182">
        <v>5.2</v>
      </c>
      <c r="I182">
        <v>-4.2</v>
      </c>
      <c r="J182">
        <v>0.16129033000000001</v>
      </c>
    </row>
    <row r="183" spans="1:10" x14ac:dyDescent="0.3">
      <c r="A183">
        <v>181</v>
      </c>
      <c r="B183">
        <v>2891</v>
      </c>
      <c r="C183" t="b">
        <v>1</v>
      </c>
      <c r="D183">
        <v>8054</v>
      </c>
      <c r="E183">
        <v>8123</v>
      </c>
      <c r="F183">
        <v>10.4</v>
      </c>
      <c r="G183">
        <v>1.6</v>
      </c>
      <c r="H183">
        <v>6.4999995000000004</v>
      </c>
      <c r="I183">
        <v>-5.4999995000000004</v>
      </c>
      <c r="J183">
        <v>0.13333333999999999</v>
      </c>
    </row>
    <row r="184" spans="1:10" x14ac:dyDescent="0.3">
      <c r="A184">
        <v>182</v>
      </c>
      <c r="B184">
        <v>2907</v>
      </c>
      <c r="C184" t="b">
        <v>1</v>
      </c>
      <c r="D184">
        <v>8048</v>
      </c>
      <c r="E184">
        <v>8117</v>
      </c>
      <c r="F184">
        <v>10.4</v>
      </c>
      <c r="G184">
        <v>1.6</v>
      </c>
      <c r="H184">
        <v>6.4999995000000004</v>
      </c>
      <c r="I184">
        <v>-5.4999995000000004</v>
      </c>
      <c r="J184">
        <v>0.13333333999999999</v>
      </c>
    </row>
    <row r="185" spans="1:10" x14ac:dyDescent="0.3">
      <c r="A185">
        <v>183</v>
      </c>
      <c r="B185">
        <v>2923</v>
      </c>
      <c r="C185" t="b">
        <v>1</v>
      </c>
      <c r="D185">
        <v>8054</v>
      </c>
      <c r="E185">
        <v>8123</v>
      </c>
      <c r="F185">
        <v>10.4</v>
      </c>
      <c r="G185">
        <v>2</v>
      </c>
      <c r="H185">
        <v>5.2</v>
      </c>
      <c r="I185">
        <v>-4.2</v>
      </c>
      <c r="J185">
        <v>0.16129033000000001</v>
      </c>
    </row>
    <row r="186" spans="1:10" x14ac:dyDescent="0.3">
      <c r="A186">
        <v>184</v>
      </c>
      <c r="B186">
        <v>2939</v>
      </c>
      <c r="C186" t="b">
        <v>1</v>
      </c>
      <c r="D186">
        <v>8054</v>
      </c>
      <c r="E186">
        <v>8123</v>
      </c>
      <c r="F186">
        <v>10.4</v>
      </c>
      <c r="G186">
        <v>2.8</v>
      </c>
      <c r="H186">
        <v>3.7142856000000002</v>
      </c>
      <c r="I186">
        <v>-2.7142856000000002</v>
      </c>
      <c r="J186">
        <v>0.21212122</v>
      </c>
    </row>
    <row r="187" spans="1:10" x14ac:dyDescent="0.3">
      <c r="A187">
        <v>185</v>
      </c>
      <c r="B187">
        <v>2955</v>
      </c>
      <c r="C187" t="b">
        <v>1</v>
      </c>
      <c r="D187">
        <v>8048</v>
      </c>
      <c r="E187">
        <v>8117</v>
      </c>
      <c r="F187">
        <v>10.4</v>
      </c>
      <c r="G187">
        <v>3.6</v>
      </c>
      <c r="H187">
        <v>2.8888888000000001</v>
      </c>
      <c r="I187">
        <v>-1.8888887999999999</v>
      </c>
      <c r="J187">
        <v>0.25714283999999998</v>
      </c>
    </row>
    <row r="188" spans="1:10" x14ac:dyDescent="0.3">
      <c r="A188">
        <v>186</v>
      </c>
      <c r="B188">
        <v>2971</v>
      </c>
      <c r="C188" t="b">
        <v>1</v>
      </c>
      <c r="D188">
        <v>8048</v>
      </c>
      <c r="E188">
        <v>8111</v>
      </c>
      <c r="F188">
        <v>10</v>
      </c>
      <c r="G188">
        <v>3.6</v>
      </c>
      <c r="H188">
        <v>2.7777780000000001</v>
      </c>
      <c r="I188">
        <v>-1.7777779</v>
      </c>
      <c r="J188">
        <v>0.26470587000000001</v>
      </c>
    </row>
    <row r="189" spans="1:10" x14ac:dyDescent="0.3">
      <c r="A189">
        <v>187</v>
      </c>
      <c r="B189">
        <v>2987</v>
      </c>
      <c r="C189" t="b">
        <v>1</v>
      </c>
      <c r="D189">
        <v>8048</v>
      </c>
      <c r="E189">
        <v>8111</v>
      </c>
      <c r="F189">
        <v>9.6</v>
      </c>
      <c r="G189">
        <v>3.6</v>
      </c>
      <c r="H189">
        <v>2.6666666999999999</v>
      </c>
      <c r="I189">
        <v>-1.6666669000000001</v>
      </c>
      <c r="J189">
        <v>0.27272724999999998</v>
      </c>
    </row>
    <row r="190" spans="1:10" x14ac:dyDescent="0.3">
      <c r="A190">
        <v>188</v>
      </c>
      <c r="B190">
        <v>3003</v>
      </c>
      <c r="C190" t="b">
        <v>1</v>
      </c>
      <c r="D190">
        <v>8048</v>
      </c>
      <c r="E190">
        <v>8123</v>
      </c>
      <c r="F190">
        <v>9.1999999999999993</v>
      </c>
      <c r="G190">
        <v>3.6</v>
      </c>
      <c r="H190">
        <v>2.5555555999999999</v>
      </c>
      <c r="I190">
        <v>-1.5555555999999999</v>
      </c>
      <c r="J190">
        <v>0.28125</v>
      </c>
    </row>
    <row r="191" spans="1:10" x14ac:dyDescent="0.3">
      <c r="A191">
        <v>189</v>
      </c>
      <c r="B191">
        <v>3018</v>
      </c>
      <c r="C191" t="b">
        <v>1</v>
      </c>
      <c r="D191">
        <v>8048</v>
      </c>
      <c r="E191">
        <v>8123</v>
      </c>
      <c r="F191">
        <v>8.8000000000000007</v>
      </c>
      <c r="G191">
        <v>3.6</v>
      </c>
      <c r="H191">
        <v>2.4444447</v>
      </c>
      <c r="I191">
        <v>-1.4444444999999999</v>
      </c>
      <c r="J191">
        <v>0.29032257</v>
      </c>
    </row>
    <row r="192" spans="1:10" x14ac:dyDescent="0.3">
      <c r="A192">
        <v>190</v>
      </c>
      <c r="B192">
        <v>3034</v>
      </c>
      <c r="C192" t="b">
        <v>1</v>
      </c>
      <c r="D192">
        <v>8048</v>
      </c>
      <c r="E192">
        <v>8117</v>
      </c>
      <c r="F192">
        <v>8.8000000000000007</v>
      </c>
      <c r="G192">
        <v>3.2</v>
      </c>
      <c r="H192">
        <v>2.75</v>
      </c>
      <c r="I192">
        <v>-1.7500001000000001</v>
      </c>
      <c r="J192">
        <v>0.26666667999999999</v>
      </c>
    </row>
    <row r="193" spans="1:10" x14ac:dyDescent="0.3">
      <c r="A193">
        <v>191</v>
      </c>
      <c r="B193">
        <v>3050</v>
      </c>
      <c r="C193" t="b">
        <v>1</v>
      </c>
      <c r="D193">
        <v>8042</v>
      </c>
      <c r="E193">
        <v>8111</v>
      </c>
      <c r="F193">
        <v>8.8000000000000007</v>
      </c>
      <c r="G193">
        <v>2.8</v>
      </c>
      <c r="H193">
        <v>3.1428573000000002</v>
      </c>
      <c r="I193">
        <v>-2.1428569999999998</v>
      </c>
      <c r="J193">
        <v>0.24137929999999999</v>
      </c>
    </row>
    <row r="194" spans="1:10" x14ac:dyDescent="0.3">
      <c r="A194">
        <v>192</v>
      </c>
      <c r="B194">
        <v>3066</v>
      </c>
      <c r="C194" t="b">
        <v>1</v>
      </c>
      <c r="D194">
        <v>8054</v>
      </c>
      <c r="E194">
        <v>8123</v>
      </c>
      <c r="F194">
        <v>8.8000000000000007</v>
      </c>
      <c r="G194">
        <v>2.8</v>
      </c>
      <c r="H194">
        <v>3.1428573000000002</v>
      </c>
      <c r="I194">
        <v>-2.1428569999999998</v>
      </c>
      <c r="J194">
        <v>0.24137929999999999</v>
      </c>
    </row>
    <row r="195" spans="1:10" x14ac:dyDescent="0.3">
      <c r="A195">
        <v>193</v>
      </c>
      <c r="B195">
        <v>3082</v>
      </c>
      <c r="C195" t="b">
        <v>1</v>
      </c>
      <c r="D195">
        <v>8054</v>
      </c>
      <c r="E195">
        <v>8123</v>
      </c>
      <c r="F195">
        <v>8.8000000000000007</v>
      </c>
      <c r="G195">
        <v>2.8</v>
      </c>
      <c r="H195">
        <v>3.1428573000000002</v>
      </c>
      <c r="I195">
        <v>-2.1428569999999998</v>
      </c>
      <c r="J195">
        <v>0.24137929999999999</v>
      </c>
    </row>
    <row r="196" spans="1:10" x14ac:dyDescent="0.3">
      <c r="A196">
        <v>194</v>
      </c>
      <c r="B196">
        <v>3098</v>
      </c>
      <c r="C196" t="b">
        <v>1</v>
      </c>
      <c r="D196">
        <v>8060</v>
      </c>
      <c r="E196">
        <v>8117</v>
      </c>
      <c r="F196">
        <v>9.1999999999999993</v>
      </c>
      <c r="G196">
        <v>2.4</v>
      </c>
      <c r="H196">
        <v>3.8333330000000001</v>
      </c>
      <c r="I196">
        <v>-2.8333330000000001</v>
      </c>
      <c r="J196">
        <v>0.20689656000000001</v>
      </c>
    </row>
    <row r="197" spans="1:10" x14ac:dyDescent="0.3">
      <c r="A197">
        <v>195</v>
      </c>
      <c r="B197">
        <v>3114</v>
      </c>
      <c r="C197" t="b">
        <v>1</v>
      </c>
      <c r="D197">
        <v>8060</v>
      </c>
      <c r="E197">
        <v>8117</v>
      </c>
      <c r="F197">
        <v>9.6</v>
      </c>
      <c r="G197">
        <v>2.8</v>
      </c>
      <c r="H197">
        <v>3.4285717</v>
      </c>
      <c r="I197">
        <v>-2.4285714999999999</v>
      </c>
      <c r="J197">
        <v>0.22580643</v>
      </c>
    </row>
    <row r="198" spans="1:10" x14ac:dyDescent="0.3">
      <c r="A198">
        <v>196</v>
      </c>
      <c r="B198">
        <v>3130</v>
      </c>
      <c r="C198" t="b">
        <v>1</v>
      </c>
      <c r="D198">
        <v>8060</v>
      </c>
      <c r="E198">
        <v>8123</v>
      </c>
      <c r="F198">
        <v>10.4</v>
      </c>
      <c r="G198">
        <v>3.6</v>
      </c>
      <c r="H198">
        <v>2.8888888000000001</v>
      </c>
      <c r="I198">
        <v>-1.8888887999999999</v>
      </c>
      <c r="J198">
        <v>0.25714283999999998</v>
      </c>
    </row>
    <row r="199" spans="1:10" x14ac:dyDescent="0.3">
      <c r="A199">
        <v>197</v>
      </c>
      <c r="B199">
        <v>3146</v>
      </c>
      <c r="C199" t="b">
        <v>1</v>
      </c>
      <c r="D199">
        <v>8060</v>
      </c>
      <c r="E199">
        <v>8111</v>
      </c>
      <c r="F199">
        <v>11.2</v>
      </c>
      <c r="G199">
        <v>4</v>
      </c>
      <c r="H199">
        <v>2.8</v>
      </c>
      <c r="I199">
        <v>-1.8</v>
      </c>
      <c r="J199">
        <v>0.2631579</v>
      </c>
    </row>
    <row r="200" spans="1:10" x14ac:dyDescent="0.3">
      <c r="A200">
        <v>198</v>
      </c>
      <c r="B200">
        <v>3162</v>
      </c>
      <c r="C200" t="b">
        <v>1</v>
      </c>
      <c r="D200">
        <v>8054</v>
      </c>
      <c r="E200">
        <v>8117</v>
      </c>
      <c r="F200">
        <v>12</v>
      </c>
      <c r="G200">
        <v>4</v>
      </c>
      <c r="H200">
        <v>3</v>
      </c>
      <c r="I200">
        <v>-2</v>
      </c>
      <c r="J200">
        <v>0.25</v>
      </c>
    </row>
    <row r="201" spans="1:10" x14ac:dyDescent="0.3">
      <c r="A201">
        <v>199</v>
      </c>
      <c r="B201">
        <v>3178</v>
      </c>
      <c r="C201" t="b">
        <v>1</v>
      </c>
      <c r="D201">
        <v>8048</v>
      </c>
      <c r="E201">
        <v>8123</v>
      </c>
      <c r="F201">
        <v>12.4</v>
      </c>
      <c r="G201">
        <v>3.6</v>
      </c>
      <c r="H201">
        <v>3.4444444000000001</v>
      </c>
      <c r="I201">
        <v>-2.4444442</v>
      </c>
      <c r="J201">
        <v>0.22500000000000001</v>
      </c>
    </row>
    <row r="202" spans="1:10" x14ac:dyDescent="0.3">
      <c r="A202">
        <v>200</v>
      </c>
      <c r="B202">
        <v>3194</v>
      </c>
      <c r="C202" t="b">
        <v>1</v>
      </c>
      <c r="D202">
        <v>8048</v>
      </c>
      <c r="E202">
        <v>8123</v>
      </c>
      <c r="F202">
        <v>12.4</v>
      </c>
      <c r="G202">
        <v>3.6</v>
      </c>
      <c r="H202">
        <v>3.4444444000000001</v>
      </c>
      <c r="I202">
        <v>-2.4444442</v>
      </c>
      <c r="J202">
        <v>0.22500000000000001</v>
      </c>
    </row>
    <row r="203" spans="1:10" x14ac:dyDescent="0.3">
      <c r="A203">
        <v>201</v>
      </c>
      <c r="B203">
        <v>3210</v>
      </c>
      <c r="C203" t="b">
        <v>1</v>
      </c>
      <c r="D203">
        <v>8048</v>
      </c>
      <c r="E203">
        <v>8123</v>
      </c>
      <c r="F203">
        <v>12.4</v>
      </c>
      <c r="G203">
        <v>4</v>
      </c>
      <c r="H203">
        <v>3.1</v>
      </c>
      <c r="I203">
        <v>-2.1</v>
      </c>
      <c r="J203">
        <v>0.24390244</v>
      </c>
    </row>
    <row r="204" spans="1:10" x14ac:dyDescent="0.3">
      <c r="A204">
        <v>202</v>
      </c>
      <c r="B204">
        <v>3226</v>
      </c>
      <c r="C204" t="b">
        <v>1</v>
      </c>
      <c r="D204">
        <v>8054</v>
      </c>
      <c r="E204">
        <v>8117</v>
      </c>
      <c r="F204">
        <v>12.4</v>
      </c>
      <c r="G204">
        <v>4.4000000000000004</v>
      </c>
      <c r="H204">
        <v>2.8181818000000001</v>
      </c>
      <c r="I204">
        <v>-1.8181816</v>
      </c>
      <c r="J204">
        <v>0.26190478</v>
      </c>
    </row>
    <row r="205" spans="1:10" x14ac:dyDescent="0.3">
      <c r="A205">
        <v>203</v>
      </c>
      <c r="B205">
        <v>3242</v>
      </c>
      <c r="C205" t="b">
        <v>1</v>
      </c>
      <c r="D205">
        <v>8048</v>
      </c>
      <c r="E205">
        <v>8123</v>
      </c>
      <c r="F205">
        <v>12.4</v>
      </c>
      <c r="G205">
        <v>4.8</v>
      </c>
      <c r="H205">
        <v>2.5833333000000001</v>
      </c>
      <c r="I205">
        <v>-1.5833330999999999</v>
      </c>
      <c r="J205">
        <v>0.27906975000000001</v>
      </c>
    </row>
    <row r="206" spans="1:10" x14ac:dyDescent="0.3">
      <c r="A206">
        <v>204</v>
      </c>
      <c r="B206">
        <v>3258</v>
      </c>
      <c r="C206" t="b">
        <v>1</v>
      </c>
      <c r="D206">
        <v>8042</v>
      </c>
      <c r="E206">
        <v>8111</v>
      </c>
      <c r="F206">
        <v>12.4</v>
      </c>
      <c r="G206">
        <v>5.2</v>
      </c>
      <c r="H206">
        <v>2.3846153999999999</v>
      </c>
      <c r="I206">
        <v>-1.3846153999999999</v>
      </c>
      <c r="J206">
        <v>0.29545455999999998</v>
      </c>
    </row>
    <row r="207" spans="1:10" x14ac:dyDescent="0.3">
      <c r="A207">
        <v>205</v>
      </c>
      <c r="B207">
        <v>3274</v>
      </c>
      <c r="C207" t="b">
        <v>1</v>
      </c>
      <c r="D207">
        <v>8054</v>
      </c>
      <c r="E207">
        <v>8117</v>
      </c>
      <c r="F207">
        <v>12.4</v>
      </c>
      <c r="G207">
        <v>5.2</v>
      </c>
      <c r="H207">
        <v>2.3846153999999999</v>
      </c>
      <c r="I207">
        <v>-1.3846153999999999</v>
      </c>
      <c r="J207">
        <v>0.29545455999999998</v>
      </c>
    </row>
    <row r="208" spans="1:10" x14ac:dyDescent="0.3">
      <c r="A208">
        <v>206</v>
      </c>
      <c r="B208">
        <v>3290</v>
      </c>
      <c r="C208" t="b">
        <v>1</v>
      </c>
      <c r="D208">
        <v>8048</v>
      </c>
      <c r="E208">
        <v>8117</v>
      </c>
      <c r="F208">
        <v>12.4</v>
      </c>
      <c r="G208">
        <v>5.2</v>
      </c>
      <c r="H208">
        <v>2.3846153999999999</v>
      </c>
      <c r="I208">
        <v>-1.3846153999999999</v>
      </c>
      <c r="J208">
        <v>0.29545455999999998</v>
      </c>
    </row>
    <row r="209" spans="1:10" x14ac:dyDescent="0.3">
      <c r="A209">
        <v>207</v>
      </c>
      <c r="B209">
        <v>3306</v>
      </c>
      <c r="C209" t="b">
        <v>1</v>
      </c>
      <c r="D209">
        <v>8048</v>
      </c>
      <c r="E209">
        <v>8111</v>
      </c>
      <c r="F209">
        <v>12.4</v>
      </c>
      <c r="G209">
        <v>4.8</v>
      </c>
      <c r="H209">
        <v>2.5833333000000001</v>
      </c>
      <c r="I209">
        <v>-1.5833330999999999</v>
      </c>
      <c r="J209">
        <v>0.27906975000000001</v>
      </c>
    </row>
    <row r="210" spans="1:10" x14ac:dyDescent="0.3">
      <c r="A210">
        <v>208</v>
      </c>
      <c r="B210">
        <v>3322</v>
      </c>
      <c r="C210" t="b">
        <v>1</v>
      </c>
      <c r="D210">
        <v>8048</v>
      </c>
      <c r="E210">
        <v>8117</v>
      </c>
      <c r="F210">
        <v>12.4</v>
      </c>
      <c r="G210">
        <v>4.4000000000000004</v>
      </c>
      <c r="H210">
        <v>2.8181818000000001</v>
      </c>
      <c r="I210">
        <v>-1.8181816</v>
      </c>
      <c r="J210">
        <v>0.26190478</v>
      </c>
    </row>
    <row r="211" spans="1:10" x14ac:dyDescent="0.3">
      <c r="A211">
        <v>209</v>
      </c>
      <c r="B211">
        <v>3338</v>
      </c>
      <c r="C211" t="b">
        <v>1</v>
      </c>
      <c r="D211">
        <v>8054</v>
      </c>
      <c r="E211">
        <v>8123</v>
      </c>
      <c r="F211">
        <v>12</v>
      </c>
      <c r="G211">
        <v>4.4000000000000004</v>
      </c>
      <c r="H211">
        <v>2.7272726999999999</v>
      </c>
      <c r="I211">
        <v>-1.7272726</v>
      </c>
      <c r="J211">
        <v>0.2682927</v>
      </c>
    </row>
    <row r="212" spans="1:10" x14ac:dyDescent="0.3">
      <c r="A212">
        <v>210</v>
      </c>
      <c r="B212">
        <v>3354</v>
      </c>
      <c r="C212" t="b">
        <v>1</v>
      </c>
      <c r="D212">
        <v>8048</v>
      </c>
      <c r="E212">
        <v>8117</v>
      </c>
      <c r="F212">
        <v>11.6</v>
      </c>
      <c r="G212">
        <v>4.4000000000000004</v>
      </c>
      <c r="H212">
        <v>2.6363637</v>
      </c>
      <c r="I212">
        <v>-1.6363635999999999</v>
      </c>
      <c r="J212">
        <v>0.27500000000000002</v>
      </c>
    </row>
    <row r="213" spans="1:10" x14ac:dyDescent="0.3">
      <c r="A213">
        <v>211</v>
      </c>
      <c r="B213">
        <v>3370</v>
      </c>
      <c r="C213" t="b">
        <v>1</v>
      </c>
      <c r="D213">
        <v>8042</v>
      </c>
      <c r="E213">
        <v>8117</v>
      </c>
      <c r="F213">
        <v>10.8</v>
      </c>
      <c r="G213">
        <v>4</v>
      </c>
      <c r="H213">
        <v>2.7</v>
      </c>
      <c r="I213">
        <v>-1.7</v>
      </c>
      <c r="J213">
        <v>0.27027025999999998</v>
      </c>
    </row>
    <row r="214" spans="1:10" x14ac:dyDescent="0.3">
      <c r="A214">
        <v>212</v>
      </c>
      <c r="B214">
        <v>3386</v>
      </c>
      <c r="C214" t="b">
        <v>1</v>
      </c>
      <c r="D214">
        <v>8042</v>
      </c>
      <c r="E214">
        <v>8117</v>
      </c>
      <c r="F214">
        <v>10</v>
      </c>
      <c r="G214">
        <v>4</v>
      </c>
      <c r="H214">
        <v>2.5</v>
      </c>
      <c r="I214">
        <v>-1.5</v>
      </c>
      <c r="J214">
        <v>0.28571429999999998</v>
      </c>
    </row>
    <row r="215" spans="1:10" x14ac:dyDescent="0.3">
      <c r="A215">
        <v>213</v>
      </c>
      <c r="B215">
        <v>3402</v>
      </c>
      <c r="C215" t="b">
        <v>1</v>
      </c>
      <c r="D215">
        <v>8042</v>
      </c>
      <c r="E215">
        <v>8123</v>
      </c>
      <c r="F215">
        <v>8.8000000000000007</v>
      </c>
      <c r="G215">
        <v>4</v>
      </c>
      <c r="H215">
        <v>2.2000000000000002</v>
      </c>
      <c r="I215">
        <v>-1.2</v>
      </c>
      <c r="J215">
        <v>0.3125</v>
      </c>
    </row>
    <row r="216" spans="1:10" x14ac:dyDescent="0.3">
      <c r="A216">
        <v>214</v>
      </c>
      <c r="B216">
        <v>3417</v>
      </c>
      <c r="C216" t="b">
        <v>1</v>
      </c>
      <c r="D216">
        <v>8037</v>
      </c>
      <c r="E216">
        <v>8117</v>
      </c>
      <c r="F216">
        <v>7.6</v>
      </c>
      <c r="G216">
        <v>4</v>
      </c>
      <c r="H216">
        <v>1.9</v>
      </c>
      <c r="I216">
        <v>-0.9</v>
      </c>
      <c r="J216">
        <v>0.34482755999999998</v>
      </c>
    </row>
    <row r="217" spans="1:10" x14ac:dyDescent="0.3">
      <c r="A217">
        <v>215</v>
      </c>
      <c r="B217">
        <v>3434</v>
      </c>
      <c r="C217" t="b">
        <v>1</v>
      </c>
      <c r="D217">
        <v>8042</v>
      </c>
      <c r="E217">
        <v>8111</v>
      </c>
      <c r="F217">
        <v>6.8</v>
      </c>
      <c r="G217">
        <v>3.6</v>
      </c>
      <c r="H217">
        <v>1.888889</v>
      </c>
      <c r="I217">
        <v>-0.88888900000000004</v>
      </c>
      <c r="J217">
        <v>0.34615385999999998</v>
      </c>
    </row>
    <row r="218" spans="1:10" x14ac:dyDescent="0.3">
      <c r="A218">
        <v>216</v>
      </c>
      <c r="B218">
        <v>3450</v>
      </c>
      <c r="C218" t="b">
        <v>1</v>
      </c>
      <c r="D218">
        <v>8037</v>
      </c>
      <c r="E218">
        <v>8123</v>
      </c>
      <c r="F218">
        <v>6.4</v>
      </c>
      <c r="G218">
        <v>3.2</v>
      </c>
      <c r="H218">
        <v>2</v>
      </c>
      <c r="I218">
        <v>-1</v>
      </c>
      <c r="J218">
        <v>0.3333333</v>
      </c>
    </row>
    <row r="219" spans="1:10" x14ac:dyDescent="0.3">
      <c r="A219">
        <v>217</v>
      </c>
      <c r="B219">
        <v>3465</v>
      </c>
      <c r="C219" t="b">
        <v>1</v>
      </c>
      <c r="D219">
        <v>8042</v>
      </c>
      <c r="E219">
        <v>8123</v>
      </c>
      <c r="F219">
        <v>6</v>
      </c>
      <c r="G219">
        <v>3.2</v>
      </c>
      <c r="H219">
        <v>1.875</v>
      </c>
      <c r="I219">
        <v>-0.875</v>
      </c>
      <c r="J219">
        <v>0.34782610000000003</v>
      </c>
    </row>
    <row r="220" spans="1:10" x14ac:dyDescent="0.3">
      <c r="A220">
        <v>218</v>
      </c>
      <c r="B220">
        <v>3481</v>
      </c>
      <c r="C220" t="b">
        <v>1</v>
      </c>
      <c r="D220">
        <v>8048</v>
      </c>
      <c r="E220">
        <v>8123</v>
      </c>
      <c r="F220">
        <v>5.6</v>
      </c>
      <c r="G220">
        <v>3.2</v>
      </c>
      <c r="H220">
        <v>1.75</v>
      </c>
      <c r="I220">
        <v>-0.74999994000000003</v>
      </c>
      <c r="J220">
        <v>0.36363636999999999</v>
      </c>
    </row>
    <row r="221" spans="1:10" x14ac:dyDescent="0.3">
      <c r="A221">
        <v>219</v>
      </c>
      <c r="B221">
        <v>3497</v>
      </c>
      <c r="C221" t="b">
        <v>1</v>
      </c>
      <c r="D221">
        <v>8048</v>
      </c>
      <c r="E221">
        <v>8117</v>
      </c>
      <c r="F221">
        <v>5.2</v>
      </c>
      <c r="G221">
        <v>3.2</v>
      </c>
      <c r="H221">
        <v>1.6249998999999999</v>
      </c>
      <c r="I221">
        <v>-0.62499994000000003</v>
      </c>
      <c r="J221">
        <v>0.38095242000000001</v>
      </c>
    </row>
    <row r="222" spans="1:10" x14ac:dyDescent="0.3">
      <c r="A222">
        <v>220</v>
      </c>
      <c r="B222">
        <v>3513</v>
      </c>
      <c r="C222" t="b">
        <v>1</v>
      </c>
      <c r="D222">
        <v>8048</v>
      </c>
      <c r="E222">
        <v>8111</v>
      </c>
      <c r="F222">
        <v>5.2</v>
      </c>
      <c r="G222">
        <v>3.6</v>
      </c>
      <c r="H222">
        <v>1.4444444000000001</v>
      </c>
      <c r="I222">
        <v>-0.44444442000000001</v>
      </c>
      <c r="J222">
        <v>0.40909094000000001</v>
      </c>
    </row>
    <row r="223" spans="1:10" x14ac:dyDescent="0.3">
      <c r="A223">
        <v>221</v>
      </c>
      <c r="B223">
        <v>3529</v>
      </c>
      <c r="C223" t="b">
        <v>1</v>
      </c>
      <c r="D223">
        <v>8048</v>
      </c>
      <c r="E223">
        <v>8111</v>
      </c>
      <c r="F223">
        <v>5.2</v>
      </c>
      <c r="G223">
        <v>3.6</v>
      </c>
      <c r="H223">
        <v>1.4444444000000001</v>
      </c>
      <c r="I223">
        <v>-0.44444442000000001</v>
      </c>
      <c r="J223">
        <v>0.40909094000000001</v>
      </c>
    </row>
    <row r="224" spans="1:10" x14ac:dyDescent="0.3">
      <c r="A224">
        <v>222</v>
      </c>
      <c r="B224">
        <v>3544</v>
      </c>
      <c r="C224" t="b">
        <v>1</v>
      </c>
      <c r="D224">
        <v>8048</v>
      </c>
      <c r="E224">
        <v>8111</v>
      </c>
      <c r="F224">
        <v>5.2</v>
      </c>
      <c r="G224">
        <v>3.2</v>
      </c>
      <c r="H224">
        <v>1.6249998999999999</v>
      </c>
      <c r="I224">
        <v>-0.62499994000000003</v>
      </c>
      <c r="J224">
        <v>0.38095242000000001</v>
      </c>
    </row>
    <row r="225" spans="1:10" x14ac:dyDescent="0.3">
      <c r="A225">
        <v>223</v>
      </c>
      <c r="B225">
        <v>3560</v>
      </c>
      <c r="C225" t="b">
        <v>1</v>
      </c>
      <c r="D225">
        <v>8054</v>
      </c>
      <c r="E225">
        <v>8123</v>
      </c>
      <c r="F225">
        <v>5.2</v>
      </c>
      <c r="G225">
        <v>2.8</v>
      </c>
      <c r="H225">
        <v>1.8571428000000001</v>
      </c>
      <c r="I225">
        <v>-0.85714279999999998</v>
      </c>
      <c r="J225">
        <v>0.35</v>
      </c>
    </row>
    <row r="226" spans="1:10" x14ac:dyDescent="0.3">
      <c r="A226">
        <v>224</v>
      </c>
      <c r="B226">
        <v>3576</v>
      </c>
      <c r="C226" t="b">
        <v>1</v>
      </c>
      <c r="D226">
        <v>8048</v>
      </c>
      <c r="E226">
        <v>8123</v>
      </c>
      <c r="F226">
        <v>5.2</v>
      </c>
      <c r="G226">
        <v>2.4</v>
      </c>
      <c r="H226">
        <v>2.1666664999999998</v>
      </c>
      <c r="I226">
        <v>-1.1666665000000001</v>
      </c>
      <c r="J226">
        <v>0.3157895</v>
      </c>
    </row>
    <row r="227" spans="1:10" x14ac:dyDescent="0.3">
      <c r="A227">
        <v>225</v>
      </c>
      <c r="B227">
        <v>3608</v>
      </c>
      <c r="C227" t="b">
        <v>1</v>
      </c>
      <c r="D227">
        <v>8054</v>
      </c>
      <c r="E227">
        <v>8123</v>
      </c>
      <c r="F227">
        <v>5.2</v>
      </c>
      <c r="G227">
        <v>2.8</v>
      </c>
      <c r="H227">
        <v>1.8571428000000001</v>
      </c>
      <c r="I227">
        <v>-0.85714279999999998</v>
      </c>
      <c r="J227">
        <v>0.35</v>
      </c>
    </row>
    <row r="228" spans="1:10" x14ac:dyDescent="0.3">
      <c r="A228">
        <v>226</v>
      </c>
      <c r="B228">
        <v>3624</v>
      </c>
      <c r="C228" t="b">
        <v>1</v>
      </c>
      <c r="D228">
        <v>8048</v>
      </c>
      <c r="E228">
        <v>8123</v>
      </c>
      <c r="F228">
        <v>5.2</v>
      </c>
      <c r="G228">
        <v>3.2</v>
      </c>
      <c r="H228">
        <v>1.6249998999999999</v>
      </c>
      <c r="I228">
        <v>-0.62499994000000003</v>
      </c>
      <c r="J228">
        <v>0.38095242000000001</v>
      </c>
    </row>
    <row r="229" spans="1:10" x14ac:dyDescent="0.3">
      <c r="A229">
        <v>227</v>
      </c>
      <c r="B229">
        <v>3640</v>
      </c>
      <c r="C229" t="b">
        <v>1</v>
      </c>
      <c r="D229">
        <v>8048</v>
      </c>
      <c r="E229">
        <v>8123</v>
      </c>
      <c r="F229">
        <v>5.2</v>
      </c>
      <c r="G229">
        <v>3.6</v>
      </c>
      <c r="H229">
        <v>1.4444444000000001</v>
      </c>
      <c r="I229">
        <v>-0.44444442000000001</v>
      </c>
      <c r="J229">
        <v>0.40909094000000001</v>
      </c>
    </row>
    <row r="230" spans="1:10" x14ac:dyDescent="0.3">
      <c r="A230">
        <v>228</v>
      </c>
      <c r="B230">
        <v>3655</v>
      </c>
      <c r="C230" t="b">
        <v>1</v>
      </c>
      <c r="D230">
        <v>8048</v>
      </c>
      <c r="E230">
        <v>8129</v>
      </c>
      <c r="F230">
        <v>5.6</v>
      </c>
      <c r="G230">
        <v>4</v>
      </c>
      <c r="H230">
        <v>1.4</v>
      </c>
      <c r="I230">
        <v>-0.39999997999999998</v>
      </c>
      <c r="J230">
        <v>0.41666666000000002</v>
      </c>
    </row>
    <row r="231" spans="1:10" x14ac:dyDescent="0.3">
      <c r="A231">
        <v>229</v>
      </c>
      <c r="B231">
        <v>3671</v>
      </c>
      <c r="C231" t="b">
        <v>1</v>
      </c>
      <c r="D231">
        <v>8048</v>
      </c>
      <c r="E231">
        <v>8123</v>
      </c>
      <c r="F231">
        <v>6</v>
      </c>
      <c r="G231">
        <v>4.4000000000000004</v>
      </c>
      <c r="H231">
        <v>1.3636364000000001</v>
      </c>
      <c r="I231">
        <v>-0.36363634</v>
      </c>
      <c r="J231">
        <v>0.42307696</v>
      </c>
    </row>
    <row r="232" spans="1:10" x14ac:dyDescent="0.3">
      <c r="A232">
        <v>230</v>
      </c>
      <c r="B232">
        <v>3687</v>
      </c>
      <c r="C232" t="b">
        <v>1</v>
      </c>
      <c r="D232">
        <v>8048</v>
      </c>
      <c r="E232">
        <v>8117</v>
      </c>
      <c r="F232">
        <v>6.4</v>
      </c>
      <c r="G232">
        <v>4.8</v>
      </c>
      <c r="H232">
        <v>1.3333333000000001</v>
      </c>
      <c r="I232">
        <v>-0.3333333</v>
      </c>
      <c r="J232">
        <v>0.42857139999999999</v>
      </c>
    </row>
    <row r="233" spans="1:10" x14ac:dyDescent="0.3">
      <c r="A233">
        <v>231</v>
      </c>
      <c r="B233">
        <v>3703</v>
      </c>
      <c r="C233" t="b">
        <v>1</v>
      </c>
      <c r="D233">
        <v>8054</v>
      </c>
      <c r="E233">
        <v>8123</v>
      </c>
      <c r="F233">
        <v>6.8</v>
      </c>
      <c r="G233">
        <v>5.2</v>
      </c>
      <c r="H233">
        <v>1.3076924000000001</v>
      </c>
      <c r="I233">
        <v>-0.30769237999999999</v>
      </c>
      <c r="J233">
        <v>0.43333329999999998</v>
      </c>
    </row>
    <row r="234" spans="1:10" x14ac:dyDescent="0.3">
      <c r="A234">
        <v>232</v>
      </c>
      <c r="B234">
        <v>3719</v>
      </c>
      <c r="C234" t="b">
        <v>1</v>
      </c>
      <c r="D234">
        <v>8048</v>
      </c>
      <c r="E234">
        <v>8117</v>
      </c>
      <c r="F234">
        <v>7.2</v>
      </c>
      <c r="G234">
        <v>5.2</v>
      </c>
      <c r="H234">
        <v>1.3846153999999999</v>
      </c>
      <c r="I234">
        <v>-0.3846154</v>
      </c>
      <c r="J234">
        <v>0.41935483000000001</v>
      </c>
    </row>
    <row r="235" spans="1:10" x14ac:dyDescent="0.3">
      <c r="A235">
        <v>233</v>
      </c>
      <c r="B235">
        <v>3735</v>
      </c>
      <c r="C235" t="b">
        <v>1</v>
      </c>
      <c r="D235">
        <v>8054</v>
      </c>
      <c r="E235">
        <v>8123</v>
      </c>
      <c r="F235">
        <v>7.6</v>
      </c>
      <c r="G235">
        <v>5.2</v>
      </c>
      <c r="H235">
        <v>1.4615385999999999</v>
      </c>
      <c r="I235">
        <v>-0.46153850000000002</v>
      </c>
      <c r="J235">
        <v>0.40625</v>
      </c>
    </row>
    <row r="236" spans="1:10" x14ac:dyDescent="0.3">
      <c r="A236">
        <v>234</v>
      </c>
      <c r="B236">
        <v>3751</v>
      </c>
      <c r="C236" t="b">
        <v>1</v>
      </c>
      <c r="D236">
        <v>8048</v>
      </c>
      <c r="E236">
        <v>8117</v>
      </c>
      <c r="F236">
        <v>8</v>
      </c>
      <c r="G236">
        <v>4.8</v>
      </c>
      <c r="H236">
        <v>1.6666666000000001</v>
      </c>
      <c r="I236">
        <v>-0.6666666</v>
      </c>
      <c r="J236">
        <v>0.375</v>
      </c>
    </row>
    <row r="237" spans="1:10" x14ac:dyDescent="0.3">
      <c r="A237">
        <v>235</v>
      </c>
      <c r="B237">
        <v>3767</v>
      </c>
      <c r="C237" t="b">
        <v>1</v>
      </c>
      <c r="D237">
        <v>8060</v>
      </c>
      <c r="E237">
        <v>8123</v>
      </c>
      <c r="F237">
        <v>8.4</v>
      </c>
      <c r="G237">
        <v>4.8</v>
      </c>
      <c r="H237">
        <v>1.7499998999999999</v>
      </c>
      <c r="I237">
        <v>-0.74999990000000005</v>
      </c>
      <c r="J237">
        <v>0.36363636999999999</v>
      </c>
    </row>
    <row r="238" spans="1:10" x14ac:dyDescent="0.3">
      <c r="A238">
        <v>236</v>
      </c>
      <c r="B238">
        <v>3783</v>
      </c>
      <c r="C238" t="b">
        <v>1</v>
      </c>
      <c r="D238">
        <v>8048</v>
      </c>
      <c r="E238">
        <v>8123</v>
      </c>
      <c r="F238">
        <v>8.4</v>
      </c>
      <c r="G238">
        <v>5.2</v>
      </c>
      <c r="H238">
        <v>1.6153846000000001</v>
      </c>
      <c r="I238">
        <v>-0.61538459999999995</v>
      </c>
      <c r="J238">
        <v>0.38235295000000002</v>
      </c>
    </row>
    <row r="239" spans="1:10" x14ac:dyDescent="0.3">
      <c r="A239">
        <v>237</v>
      </c>
      <c r="B239">
        <v>3799</v>
      </c>
      <c r="C239" t="b">
        <v>1</v>
      </c>
      <c r="D239">
        <v>8054</v>
      </c>
      <c r="E239">
        <v>8117</v>
      </c>
      <c r="F239">
        <v>8.8000000000000007</v>
      </c>
      <c r="G239">
        <v>6</v>
      </c>
      <c r="H239">
        <v>1.4666667</v>
      </c>
      <c r="I239">
        <v>-0.46666669999999999</v>
      </c>
      <c r="J239">
        <v>0.40540540000000003</v>
      </c>
    </row>
    <row r="240" spans="1:10" x14ac:dyDescent="0.3">
      <c r="A240">
        <v>238</v>
      </c>
      <c r="B240">
        <v>3815</v>
      </c>
      <c r="C240" t="b">
        <v>1</v>
      </c>
      <c r="D240">
        <v>8048</v>
      </c>
      <c r="E240">
        <v>8123</v>
      </c>
      <c r="F240">
        <v>8.8000000000000007</v>
      </c>
      <c r="G240">
        <v>6.8</v>
      </c>
      <c r="H240">
        <v>1.2941176999999999</v>
      </c>
      <c r="I240">
        <v>-0.29411763000000002</v>
      </c>
      <c r="J240">
        <v>0.43589744000000002</v>
      </c>
    </row>
    <row r="241" spans="1:10" x14ac:dyDescent="0.3">
      <c r="A241">
        <v>239</v>
      </c>
      <c r="B241">
        <v>3830</v>
      </c>
      <c r="C241" t="b">
        <v>1</v>
      </c>
      <c r="D241">
        <v>8048</v>
      </c>
      <c r="E241">
        <v>8123</v>
      </c>
      <c r="F241">
        <v>8.8000000000000007</v>
      </c>
      <c r="G241">
        <v>7.6</v>
      </c>
      <c r="H241">
        <v>1.1578946999999999</v>
      </c>
      <c r="I241">
        <v>-0.15789478000000001</v>
      </c>
      <c r="J241">
        <v>0.46341463999999999</v>
      </c>
    </row>
    <row r="242" spans="1:10" x14ac:dyDescent="0.3">
      <c r="A242">
        <v>240</v>
      </c>
      <c r="B242">
        <v>3846</v>
      </c>
      <c r="C242" t="b">
        <v>1</v>
      </c>
      <c r="D242">
        <v>8048</v>
      </c>
      <c r="E242">
        <v>8123</v>
      </c>
      <c r="F242">
        <v>8.8000000000000007</v>
      </c>
      <c r="G242">
        <v>7.6</v>
      </c>
      <c r="H242">
        <v>1.1578946999999999</v>
      </c>
      <c r="I242">
        <v>-0.15789478000000001</v>
      </c>
      <c r="J242">
        <v>0.46341463999999999</v>
      </c>
    </row>
    <row r="243" spans="1:10" x14ac:dyDescent="0.3">
      <c r="A243">
        <v>241</v>
      </c>
      <c r="B243">
        <v>3862</v>
      </c>
      <c r="C243" t="b">
        <v>1</v>
      </c>
      <c r="D243">
        <v>8054</v>
      </c>
      <c r="E243">
        <v>8117</v>
      </c>
      <c r="F243">
        <v>8.8000000000000007</v>
      </c>
      <c r="G243">
        <v>7.6</v>
      </c>
      <c r="H243">
        <v>1.1578946999999999</v>
      </c>
      <c r="I243">
        <v>-0.15789478000000001</v>
      </c>
      <c r="J243">
        <v>0.46341463999999999</v>
      </c>
    </row>
    <row r="244" spans="1:10" x14ac:dyDescent="0.3">
      <c r="A244">
        <v>242</v>
      </c>
      <c r="B244">
        <v>3878</v>
      </c>
      <c r="C244" t="b">
        <v>1</v>
      </c>
      <c r="D244">
        <v>8048</v>
      </c>
      <c r="E244">
        <v>8123</v>
      </c>
      <c r="F244">
        <v>8.8000000000000007</v>
      </c>
      <c r="G244">
        <v>7.6</v>
      </c>
      <c r="H244">
        <v>1.1578946999999999</v>
      </c>
      <c r="I244">
        <v>-0.15789478000000001</v>
      </c>
      <c r="J244">
        <v>0.46341463999999999</v>
      </c>
    </row>
    <row r="245" spans="1:10" x14ac:dyDescent="0.3">
      <c r="A245">
        <v>243</v>
      </c>
      <c r="B245">
        <v>3894</v>
      </c>
      <c r="C245" t="b">
        <v>1</v>
      </c>
      <c r="D245">
        <v>8054</v>
      </c>
      <c r="E245">
        <v>8117</v>
      </c>
      <c r="F245">
        <v>8.8000000000000007</v>
      </c>
      <c r="G245">
        <v>7.6</v>
      </c>
      <c r="H245">
        <v>1.1578946999999999</v>
      </c>
      <c r="I245">
        <v>-0.15789478000000001</v>
      </c>
      <c r="J245">
        <v>0.46341463999999999</v>
      </c>
    </row>
    <row r="246" spans="1:10" x14ac:dyDescent="0.3">
      <c r="A246">
        <v>244</v>
      </c>
      <c r="B246">
        <v>3910</v>
      </c>
      <c r="C246" t="b">
        <v>1</v>
      </c>
      <c r="D246">
        <v>8048</v>
      </c>
      <c r="E246">
        <v>8123</v>
      </c>
      <c r="F246">
        <v>8.8000000000000007</v>
      </c>
      <c r="G246">
        <v>7.6</v>
      </c>
      <c r="H246">
        <v>1.1578946999999999</v>
      </c>
      <c r="I246">
        <v>-0.15789478000000001</v>
      </c>
      <c r="J246">
        <v>0.46341463999999999</v>
      </c>
    </row>
    <row r="247" spans="1:10" x14ac:dyDescent="0.3">
      <c r="A247">
        <v>245</v>
      </c>
      <c r="B247">
        <v>3926</v>
      </c>
      <c r="C247" t="b">
        <v>1</v>
      </c>
      <c r="D247">
        <v>8048</v>
      </c>
      <c r="E247">
        <v>8123</v>
      </c>
      <c r="F247">
        <v>8.8000000000000007</v>
      </c>
      <c r="G247">
        <v>7.6</v>
      </c>
      <c r="H247">
        <v>1.1578946999999999</v>
      </c>
      <c r="I247">
        <v>-0.15789478000000001</v>
      </c>
      <c r="J247">
        <v>0.46341463999999999</v>
      </c>
    </row>
    <row r="248" spans="1:10" x14ac:dyDescent="0.3">
      <c r="A248">
        <v>246</v>
      </c>
      <c r="B248">
        <v>3942</v>
      </c>
      <c r="C248" t="b">
        <v>1</v>
      </c>
      <c r="D248">
        <v>8048</v>
      </c>
      <c r="E248">
        <v>8111</v>
      </c>
      <c r="F248">
        <v>8.8000000000000007</v>
      </c>
      <c r="G248">
        <v>7.6</v>
      </c>
      <c r="H248">
        <v>1.1578946999999999</v>
      </c>
      <c r="I248">
        <v>-0.15789478000000001</v>
      </c>
      <c r="J248">
        <v>0.46341463999999999</v>
      </c>
    </row>
    <row r="249" spans="1:10" x14ac:dyDescent="0.3">
      <c r="A249">
        <v>247</v>
      </c>
      <c r="B249">
        <v>3958</v>
      </c>
      <c r="C249" t="b">
        <v>1</v>
      </c>
      <c r="D249">
        <v>8054</v>
      </c>
      <c r="E249">
        <v>8117</v>
      </c>
      <c r="F249">
        <v>8.8000000000000007</v>
      </c>
      <c r="G249">
        <v>7.2</v>
      </c>
      <c r="H249">
        <v>1.2222223000000001</v>
      </c>
      <c r="I249">
        <v>-0.22222227999999999</v>
      </c>
      <c r="J249">
        <v>0.45</v>
      </c>
    </row>
    <row r="250" spans="1:10" x14ac:dyDescent="0.3">
      <c r="A250">
        <v>248</v>
      </c>
      <c r="B250">
        <v>3973</v>
      </c>
      <c r="C250" t="b">
        <v>1</v>
      </c>
      <c r="D250">
        <v>8048</v>
      </c>
      <c r="E250">
        <v>8123</v>
      </c>
      <c r="F250">
        <v>8.8000000000000007</v>
      </c>
      <c r="G250">
        <v>7.2</v>
      </c>
      <c r="H250">
        <v>1.2222223000000001</v>
      </c>
      <c r="I250">
        <v>-0.22222227999999999</v>
      </c>
      <c r="J250">
        <v>0.45</v>
      </c>
    </row>
    <row r="251" spans="1:10" x14ac:dyDescent="0.3">
      <c r="A251">
        <v>249</v>
      </c>
      <c r="B251">
        <v>3989</v>
      </c>
      <c r="C251" t="b">
        <v>1</v>
      </c>
      <c r="D251">
        <v>8048</v>
      </c>
      <c r="E251">
        <v>8129</v>
      </c>
      <c r="F251">
        <v>8.8000000000000007</v>
      </c>
      <c r="G251">
        <v>7.6</v>
      </c>
      <c r="H251">
        <v>1.1578946999999999</v>
      </c>
      <c r="I251">
        <v>-0.15789478000000001</v>
      </c>
      <c r="J251">
        <v>0.46341463999999999</v>
      </c>
    </row>
    <row r="252" spans="1:10" x14ac:dyDescent="0.3">
      <c r="A252">
        <v>250</v>
      </c>
      <c r="B252">
        <v>4005</v>
      </c>
      <c r="C252" t="b">
        <v>1</v>
      </c>
      <c r="D252">
        <v>8048</v>
      </c>
      <c r="E252">
        <v>8117</v>
      </c>
      <c r="F252">
        <v>8.4</v>
      </c>
      <c r="G252">
        <v>7.2</v>
      </c>
      <c r="H252">
        <v>1.1666666000000001</v>
      </c>
      <c r="I252">
        <v>-0.16666664</v>
      </c>
      <c r="J252">
        <v>0.46153845999999998</v>
      </c>
    </row>
    <row r="253" spans="1:10" x14ac:dyDescent="0.3">
      <c r="A253">
        <v>251</v>
      </c>
      <c r="B253">
        <v>4020</v>
      </c>
      <c r="C253" t="b">
        <v>1</v>
      </c>
      <c r="D253">
        <v>8048</v>
      </c>
      <c r="E253">
        <v>8111</v>
      </c>
      <c r="F253">
        <v>8.4</v>
      </c>
      <c r="G253">
        <v>6.8</v>
      </c>
      <c r="H253">
        <v>1.2352939999999999</v>
      </c>
      <c r="I253">
        <v>-0.23529402999999999</v>
      </c>
      <c r="J253">
        <v>0.44736843999999998</v>
      </c>
    </row>
    <row r="254" spans="1:10" x14ac:dyDescent="0.3">
      <c r="A254">
        <v>252</v>
      </c>
      <c r="B254">
        <v>4036</v>
      </c>
      <c r="C254" t="b">
        <v>1</v>
      </c>
      <c r="D254">
        <v>8054</v>
      </c>
      <c r="E254">
        <v>8111</v>
      </c>
      <c r="F254">
        <v>8</v>
      </c>
      <c r="G254">
        <v>6.4</v>
      </c>
      <c r="H254">
        <v>1.25</v>
      </c>
      <c r="I254">
        <v>-0.24999999000000001</v>
      </c>
      <c r="J254">
        <v>0.44444447999999998</v>
      </c>
    </row>
    <row r="255" spans="1:10" x14ac:dyDescent="0.3">
      <c r="A255">
        <v>253</v>
      </c>
      <c r="B255">
        <v>4053</v>
      </c>
      <c r="C255" t="b">
        <v>1</v>
      </c>
      <c r="D255">
        <v>8054</v>
      </c>
      <c r="E255">
        <v>8123</v>
      </c>
      <c r="F255">
        <v>8</v>
      </c>
      <c r="G255">
        <v>6</v>
      </c>
      <c r="H255">
        <v>1.3333333999999999</v>
      </c>
      <c r="I255">
        <v>-0.33333333999999998</v>
      </c>
      <c r="J255">
        <v>0.42857142999999998</v>
      </c>
    </row>
    <row r="256" spans="1:10" x14ac:dyDescent="0.3">
      <c r="A256">
        <v>254</v>
      </c>
      <c r="B256">
        <v>4069</v>
      </c>
      <c r="C256" t="b">
        <v>1</v>
      </c>
      <c r="D256">
        <v>8048</v>
      </c>
      <c r="E256">
        <v>8111</v>
      </c>
      <c r="F256">
        <v>8</v>
      </c>
      <c r="G256">
        <v>5.2</v>
      </c>
      <c r="H256">
        <v>1.5384616</v>
      </c>
      <c r="I256">
        <v>-0.53846156999999994</v>
      </c>
      <c r="J256">
        <v>0.39393938000000001</v>
      </c>
    </row>
    <row r="257" spans="1:10" x14ac:dyDescent="0.3">
      <c r="A257">
        <v>255</v>
      </c>
      <c r="B257">
        <v>4084</v>
      </c>
      <c r="C257" t="b">
        <v>1</v>
      </c>
      <c r="D257">
        <v>8048</v>
      </c>
      <c r="E257">
        <v>8117</v>
      </c>
      <c r="F257">
        <v>8</v>
      </c>
      <c r="G257">
        <v>4.4000000000000004</v>
      </c>
      <c r="H257">
        <v>1.8181818000000001</v>
      </c>
      <c r="I257">
        <v>-0.81818175000000004</v>
      </c>
      <c r="J257">
        <v>0.35483872999999999</v>
      </c>
    </row>
    <row r="258" spans="1:10" x14ac:dyDescent="0.3">
      <c r="A258">
        <v>256</v>
      </c>
      <c r="B258">
        <v>4100</v>
      </c>
      <c r="C258" t="b">
        <v>1</v>
      </c>
      <c r="D258">
        <v>8054</v>
      </c>
      <c r="E258">
        <v>8117</v>
      </c>
      <c r="F258">
        <v>8.4</v>
      </c>
      <c r="G258">
        <v>4</v>
      </c>
      <c r="H258">
        <v>2.1</v>
      </c>
      <c r="I258">
        <v>-1.0999999</v>
      </c>
      <c r="J258">
        <v>0.32258067000000001</v>
      </c>
    </row>
    <row r="259" spans="1:10" x14ac:dyDescent="0.3">
      <c r="A259">
        <v>257</v>
      </c>
      <c r="B259">
        <v>4116</v>
      </c>
      <c r="C259" t="b">
        <v>1</v>
      </c>
      <c r="D259">
        <v>8048</v>
      </c>
      <c r="E259">
        <v>8129</v>
      </c>
      <c r="F259">
        <v>8.4</v>
      </c>
      <c r="G259">
        <v>3.6</v>
      </c>
      <c r="H259">
        <v>2.3333333000000001</v>
      </c>
      <c r="I259">
        <v>-1.3333333000000001</v>
      </c>
      <c r="J259">
        <v>0.29999998</v>
      </c>
    </row>
    <row r="260" spans="1:10" x14ac:dyDescent="0.3">
      <c r="A260">
        <v>258</v>
      </c>
      <c r="B260">
        <v>4132</v>
      </c>
      <c r="C260" t="b">
        <v>1</v>
      </c>
      <c r="D260">
        <v>8054</v>
      </c>
      <c r="E260">
        <v>8117</v>
      </c>
      <c r="F260">
        <v>8.4</v>
      </c>
      <c r="G260">
        <v>3.2</v>
      </c>
      <c r="H260">
        <v>2.6249997999999999</v>
      </c>
      <c r="I260">
        <v>-1.6249998999999999</v>
      </c>
      <c r="J260">
        <v>0.2758621</v>
      </c>
    </row>
    <row r="261" spans="1:10" x14ac:dyDescent="0.3">
      <c r="A261">
        <v>259</v>
      </c>
      <c r="B261">
        <v>4148</v>
      </c>
      <c r="C261" t="b">
        <v>1</v>
      </c>
      <c r="D261">
        <v>8054</v>
      </c>
      <c r="E261">
        <v>8117</v>
      </c>
      <c r="F261">
        <v>8.8000000000000007</v>
      </c>
      <c r="G261">
        <v>2.8</v>
      </c>
      <c r="H261">
        <v>3.1428573000000002</v>
      </c>
      <c r="I261">
        <v>-2.1428569999999998</v>
      </c>
      <c r="J261">
        <v>0.24137929999999999</v>
      </c>
    </row>
    <row r="262" spans="1:10" x14ac:dyDescent="0.3">
      <c r="A262">
        <v>260</v>
      </c>
      <c r="B262">
        <v>4164</v>
      </c>
      <c r="C262" t="b">
        <v>1</v>
      </c>
      <c r="D262">
        <v>8048</v>
      </c>
      <c r="E262">
        <v>8117</v>
      </c>
      <c r="F262">
        <v>9.1999999999999993</v>
      </c>
      <c r="G262">
        <v>2.4</v>
      </c>
      <c r="H262">
        <v>3.8333330000000001</v>
      </c>
      <c r="I262">
        <v>-2.8333330000000001</v>
      </c>
      <c r="J262">
        <v>0.20689656000000001</v>
      </c>
    </row>
    <row r="263" spans="1:10" x14ac:dyDescent="0.3">
      <c r="A263">
        <v>261</v>
      </c>
      <c r="B263">
        <v>4180</v>
      </c>
      <c r="C263" t="b">
        <v>1</v>
      </c>
      <c r="D263">
        <v>8054</v>
      </c>
      <c r="E263">
        <v>8111</v>
      </c>
      <c r="F263">
        <v>9.6</v>
      </c>
      <c r="G263">
        <v>2</v>
      </c>
      <c r="H263">
        <v>4.8</v>
      </c>
      <c r="I263">
        <v>-3.8000001999999999</v>
      </c>
      <c r="J263">
        <v>0.17241377999999999</v>
      </c>
    </row>
    <row r="264" spans="1:10" x14ac:dyDescent="0.3">
      <c r="A264">
        <v>262</v>
      </c>
      <c r="B264">
        <v>4196</v>
      </c>
      <c r="C264" t="b">
        <v>1</v>
      </c>
      <c r="D264">
        <v>8054</v>
      </c>
      <c r="E264">
        <v>8111</v>
      </c>
      <c r="F264">
        <v>10</v>
      </c>
      <c r="G264">
        <v>2</v>
      </c>
      <c r="H264">
        <v>5</v>
      </c>
      <c r="I264">
        <v>-4</v>
      </c>
      <c r="J264">
        <v>0.16666666999999999</v>
      </c>
    </row>
    <row r="265" spans="1:10" x14ac:dyDescent="0.3">
      <c r="A265">
        <v>263</v>
      </c>
      <c r="B265">
        <v>4211</v>
      </c>
      <c r="C265" t="b">
        <v>1</v>
      </c>
      <c r="D265">
        <v>8048</v>
      </c>
      <c r="E265">
        <v>8111</v>
      </c>
      <c r="F265">
        <v>10.4</v>
      </c>
      <c r="G265">
        <v>1.2</v>
      </c>
      <c r="H265">
        <v>8.6666659999999993</v>
      </c>
      <c r="I265">
        <v>-7.6666660000000002</v>
      </c>
      <c r="J265">
        <v>0.10344829</v>
      </c>
    </row>
    <row r="266" spans="1:10" x14ac:dyDescent="0.3">
      <c r="A266">
        <v>264</v>
      </c>
      <c r="B266">
        <v>4227</v>
      </c>
      <c r="C266" t="b">
        <v>1</v>
      </c>
      <c r="D266">
        <v>8048</v>
      </c>
      <c r="E266">
        <v>8111</v>
      </c>
      <c r="F266">
        <v>10.4</v>
      </c>
      <c r="G266">
        <v>0.4</v>
      </c>
      <c r="H266">
        <v>25.999998000000001</v>
      </c>
      <c r="I266">
        <v>-25</v>
      </c>
      <c r="J266">
        <v>3.703704E-2</v>
      </c>
    </row>
    <row r="267" spans="1:10" x14ac:dyDescent="0.3">
      <c r="A267">
        <v>265</v>
      </c>
      <c r="B267">
        <v>4243</v>
      </c>
      <c r="C267" t="b">
        <v>1</v>
      </c>
      <c r="D267">
        <v>8054</v>
      </c>
      <c r="E267">
        <v>8123</v>
      </c>
      <c r="F267">
        <v>10.8</v>
      </c>
      <c r="G267">
        <v>0</v>
      </c>
      <c r="H267" t="s">
        <v>19</v>
      </c>
      <c r="I267" t="e">
        <f>-inf</f>
        <v>#NAME?</v>
      </c>
      <c r="J267">
        <v>0</v>
      </c>
    </row>
    <row r="268" spans="1:10" x14ac:dyDescent="0.3">
      <c r="A268">
        <v>266</v>
      </c>
      <c r="B268">
        <v>4259</v>
      </c>
      <c r="C268" t="b">
        <v>1</v>
      </c>
      <c r="D268">
        <v>8054</v>
      </c>
      <c r="E268">
        <v>8117</v>
      </c>
      <c r="F268">
        <v>11.2</v>
      </c>
      <c r="G268">
        <v>-0.4</v>
      </c>
      <c r="H268">
        <v>-28</v>
      </c>
      <c r="I268">
        <v>28.999998000000001</v>
      </c>
      <c r="J268">
        <v>-3.7037037000000002E-2</v>
      </c>
    </row>
    <row r="269" spans="1:10" x14ac:dyDescent="0.3">
      <c r="A269">
        <v>267</v>
      </c>
      <c r="B269">
        <v>4275</v>
      </c>
      <c r="C269" t="b">
        <v>1</v>
      </c>
      <c r="D269">
        <v>8048</v>
      </c>
      <c r="E269">
        <v>8117</v>
      </c>
      <c r="F269">
        <v>11.2</v>
      </c>
      <c r="G269">
        <v>-0.4</v>
      </c>
      <c r="H269">
        <v>-28</v>
      </c>
      <c r="I269">
        <v>28.999998000000001</v>
      </c>
      <c r="J269">
        <v>-3.7037037000000002E-2</v>
      </c>
    </row>
    <row r="270" spans="1:10" x14ac:dyDescent="0.3">
      <c r="A270">
        <v>268</v>
      </c>
      <c r="B270">
        <v>4291</v>
      </c>
      <c r="C270" t="b">
        <v>1</v>
      </c>
      <c r="D270">
        <v>8048</v>
      </c>
      <c r="E270">
        <v>8111</v>
      </c>
      <c r="F270">
        <v>11.2</v>
      </c>
      <c r="G270">
        <v>-0.4</v>
      </c>
      <c r="H270">
        <v>-28</v>
      </c>
      <c r="I270">
        <v>28.999998000000001</v>
      </c>
      <c r="J270">
        <v>-3.7037037000000002E-2</v>
      </c>
    </row>
    <row r="271" spans="1:10" x14ac:dyDescent="0.3">
      <c r="A271">
        <v>269</v>
      </c>
      <c r="B271">
        <v>4307</v>
      </c>
      <c r="C271" t="b">
        <v>1</v>
      </c>
      <c r="D271">
        <v>8054</v>
      </c>
      <c r="E271">
        <v>8123</v>
      </c>
      <c r="F271">
        <v>11.6</v>
      </c>
      <c r="G271">
        <v>0</v>
      </c>
      <c r="H271" t="s">
        <v>19</v>
      </c>
      <c r="I271" t="e">
        <f>-inf</f>
        <v>#NAME?</v>
      </c>
      <c r="J271">
        <v>0</v>
      </c>
    </row>
    <row r="272" spans="1:10" x14ac:dyDescent="0.3">
      <c r="A272">
        <v>270</v>
      </c>
      <c r="B272">
        <v>4323</v>
      </c>
      <c r="C272" t="b">
        <v>1</v>
      </c>
      <c r="D272">
        <v>8048</v>
      </c>
      <c r="E272">
        <v>8123</v>
      </c>
      <c r="F272">
        <v>11.6</v>
      </c>
      <c r="G272">
        <v>0.4</v>
      </c>
      <c r="H272">
        <v>29</v>
      </c>
      <c r="I272">
        <v>-28.000001999999999</v>
      </c>
      <c r="J272">
        <v>3.3333334999999999E-2</v>
      </c>
    </row>
    <row r="273" spans="1:10" x14ac:dyDescent="0.3">
      <c r="A273">
        <v>271</v>
      </c>
      <c r="B273">
        <v>4339</v>
      </c>
      <c r="C273" t="b">
        <v>1</v>
      </c>
      <c r="D273">
        <v>8048</v>
      </c>
      <c r="E273">
        <v>8123</v>
      </c>
      <c r="F273">
        <v>11.2</v>
      </c>
      <c r="G273">
        <v>0.8</v>
      </c>
      <c r="H273">
        <v>14</v>
      </c>
      <c r="I273">
        <v>-12.999999000000001</v>
      </c>
      <c r="J273">
        <v>6.6666669999999997E-2</v>
      </c>
    </row>
    <row r="274" spans="1:10" x14ac:dyDescent="0.3">
      <c r="A274">
        <v>272</v>
      </c>
      <c r="B274">
        <v>4355</v>
      </c>
      <c r="C274" t="b">
        <v>1</v>
      </c>
      <c r="D274">
        <v>8054</v>
      </c>
      <c r="E274">
        <v>8111</v>
      </c>
      <c r="F274">
        <v>11.2</v>
      </c>
      <c r="G274">
        <v>1.2</v>
      </c>
      <c r="H274">
        <v>9.3333329999999997</v>
      </c>
      <c r="I274">
        <v>-8.3333329999999997</v>
      </c>
      <c r="J274">
        <v>9.6774200000000005E-2</v>
      </c>
    </row>
    <row r="275" spans="1:10" x14ac:dyDescent="0.3">
      <c r="A275">
        <v>273</v>
      </c>
      <c r="B275">
        <v>4370</v>
      </c>
      <c r="C275" t="b">
        <v>1</v>
      </c>
      <c r="D275">
        <v>8060</v>
      </c>
      <c r="E275">
        <v>8111</v>
      </c>
      <c r="F275">
        <v>11.6</v>
      </c>
      <c r="G275">
        <v>1.6</v>
      </c>
      <c r="H275">
        <v>7.25</v>
      </c>
      <c r="I275">
        <v>-6.25</v>
      </c>
      <c r="J275">
        <v>0.12121212000000001</v>
      </c>
    </row>
    <row r="276" spans="1:10" x14ac:dyDescent="0.3">
      <c r="A276">
        <v>274</v>
      </c>
      <c r="B276">
        <v>4386</v>
      </c>
      <c r="C276" t="b">
        <v>1</v>
      </c>
      <c r="D276">
        <v>8048</v>
      </c>
      <c r="E276">
        <v>8111</v>
      </c>
      <c r="F276">
        <v>11.2</v>
      </c>
      <c r="G276">
        <v>1.2</v>
      </c>
      <c r="H276">
        <v>9.3333329999999997</v>
      </c>
      <c r="I276">
        <v>-8.3333329999999997</v>
      </c>
      <c r="J276">
        <v>9.6774200000000005E-2</v>
      </c>
    </row>
    <row r="277" spans="1:10" x14ac:dyDescent="0.3">
      <c r="A277">
        <v>275</v>
      </c>
      <c r="B277">
        <v>4402</v>
      </c>
      <c r="C277" t="b">
        <v>1</v>
      </c>
      <c r="D277">
        <v>8048</v>
      </c>
      <c r="E277">
        <v>8111</v>
      </c>
      <c r="F277">
        <v>10.8</v>
      </c>
      <c r="G277">
        <v>0.8</v>
      </c>
      <c r="H277">
        <v>13.5</v>
      </c>
      <c r="I277">
        <v>-12.5</v>
      </c>
      <c r="J277">
        <v>6.8965520000000002E-2</v>
      </c>
    </row>
    <row r="278" spans="1:10" x14ac:dyDescent="0.3">
      <c r="A278">
        <v>276</v>
      </c>
      <c r="B278">
        <v>4418</v>
      </c>
      <c r="C278" t="b">
        <v>1</v>
      </c>
      <c r="D278">
        <v>8048</v>
      </c>
      <c r="E278">
        <v>8123</v>
      </c>
      <c r="F278">
        <v>10.4</v>
      </c>
      <c r="G278">
        <v>0.4</v>
      </c>
      <c r="H278">
        <v>25.999998000000001</v>
      </c>
      <c r="I278">
        <v>-25</v>
      </c>
      <c r="J278">
        <v>3.703704E-2</v>
      </c>
    </row>
    <row r="279" spans="1:10" x14ac:dyDescent="0.3">
      <c r="A279">
        <v>277</v>
      </c>
      <c r="B279">
        <v>4434</v>
      </c>
      <c r="C279" t="b">
        <v>1</v>
      </c>
      <c r="D279">
        <v>8048</v>
      </c>
      <c r="E279">
        <v>8117</v>
      </c>
      <c r="F279">
        <v>10</v>
      </c>
      <c r="G279">
        <v>0</v>
      </c>
      <c r="H279" t="s">
        <v>19</v>
      </c>
      <c r="I279" t="e">
        <f>-inf</f>
        <v>#NAME?</v>
      </c>
      <c r="J279">
        <v>0</v>
      </c>
    </row>
    <row r="280" spans="1:10" x14ac:dyDescent="0.3">
      <c r="A280">
        <v>278</v>
      </c>
      <c r="B280">
        <v>4450</v>
      </c>
      <c r="C280" t="b">
        <v>1</v>
      </c>
      <c r="D280">
        <v>8048</v>
      </c>
      <c r="E280">
        <v>8111</v>
      </c>
      <c r="F280">
        <v>9.6</v>
      </c>
      <c r="G280">
        <v>0</v>
      </c>
      <c r="H280" t="s">
        <v>19</v>
      </c>
      <c r="I280" t="e">
        <f>-inf</f>
        <v>#NAME?</v>
      </c>
      <c r="J280">
        <v>0</v>
      </c>
    </row>
    <row r="281" spans="1:10" x14ac:dyDescent="0.3">
      <c r="A281">
        <v>279</v>
      </c>
      <c r="B281">
        <v>4466</v>
      </c>
      <c r="C281" t="b">
        <v>1</v>
      </c>
      <c r="D281">
        <v>8048</v>
      </c>
      <c r="E281">
        <v>8117</v>
      </c>
      <c r="F281">
        <v>9.6</v>
      </c>
      <c r="G281">
        <v>0.4</v>
      </c>
      <c r="H281">
        <v>24</v>
      </c>
      <c r="I281">
        <v>-23.000001999999999</v>
      </c>
      <c r="J281">
        <v>0.04</v>
      </c>
    </row>
    <row r="282" spans="1:10" x14ac:dyDescent="0.3">
      <c r="A282">
        <v>280</v>
      </c>
      <c r="B282">
        <v>4482</v>
      </c>
      <c r="C282" t="b">
        <v>1</v>
      </c>
      <c r="D282">
        <v>8054</v>
      </c>
      <c r="E282">
        <v>8123</v>
      </c>
      <c r="F282">
        <v>9.1999999999999993</v>
      </c>
      <c r="G282">
        <v>0.8</v>
      </c>
      <c r="H282">
        <v>11.5</v>
      </c>
      <c r="I282">
        <v>-10.499999000000001</v>
      </c>
      <c r="J282">
        <v>0.08</v>
      </c>
    </row>
    <row r="283" spans="1:10" x14ac:dyDescent="0.3">
      <c r="A283">
        <v>281</v>
      </c>
      <c r="B283">
        <v>4498</v>
      </c>
      <c r="C283" t="b">
        <v>1</v>
      </c>
      <c r="D283">
        <v>8054</v>
      </c>
      <c r="E283">
        <v>8123</v>
      </c>
      <c r="F283">
        <v>8.8000000000000007</v>
      </c>
      <c r="G283">
        <v>1.2</v>
      </c>
      <c r="H283">
        <v>7.3333329999999997</v>
      </c>
      <c r="I283">
        <v>-6.3333335000000002</v>
      </c>
      <c r="J283">
        <v>0.12000000500000001</v>
      </c>
    </row>
    <row r="284" spans="1:10" x14ac:dyDescent="0.3">
      <c r="A284">
        <v>282</v>
      </c>
      <c r="B284">
        <v>4514</v>
      </c>
      <c r="C284" t="b">
        <v>1</v>
      </c>
      <c r="D284">
        <v>8048</v>
      </c>
      <c r="E284">
        <v>8123</v>
      </c>
      <c r="F284">
        <v>8.8000000000000007</v>
      </c>
      <c r="G284">
        <v>1.6</v>
      </c>
      <c r="H284">
        <v>5.5</v>
      </c>
      <c r="I284">
        <v>-4.5</v>
      </c>
      <c r="J284">
        <v>0.15384613999999999</v>
      </c>
    </row>
    <row r="285" spans="1:10" x14ac:dyDescent="0.3">
      <c r="A285">
        <v>283</v>
      </c>
      <c r="B285">
        <v>4529</v>
      </c>
      <c r="C285" t="b">
        <v>1</v>
      </c>
      <c r="D285">
        <v>8054</v>
      </c>
      <c r="E285">
        <v>8123</v>
      </c>
      <c r="F285">
        <v>9.1999999999999993</v>
      </c>
      <c r="G285">
        <v>2</v>
      </c>
      <c r="H285">
        <v>4.5999999999999996</v>
      </c>
      <c r="I285">
        <v>-3.6</v>
      </c>
      <c r="J285">
        <v>0.17857143</v>
      </c>
    </row>
    <row r="286" spans="1:10" x14ac:dyDescent="0.3">
      <c r="A286">
        <v>284</v>
      </c>
      <c r="B286">
        <v>4546</v>
      </c>
      <c r="C286" t="b">
        <v>1</v>
      </c>
      <c r="D286">
        <v>8054</v>
      </c>
      <c r="E286">
        <v>8117</v>
      </c>
      <c r="F286">
        <v>9.1999999999999993</v>
      </c>
      <c r="G286">
        <v>2.4</v>
      </c>
      <c r="H286">
        <v>3.8333330000000001</v>
      </c>
      <c r="I286">
        <v>-2.8333330000000001</v>
      </c>
      <c r="J286">
        <v>0.20689656000000001</v>
      </c>
    </row>
    <row r="287" spans="1:10" x14ac:dyDescent="0.3">
      <c r="A287">
        <v>285</v>
      </c>
      <c r="B287">
        <v>4562</v>
      </c>
      <c r="C287" t="b">
        <v>1</v>
      </c>
      <c r="D287">
        <v>8048</v>
      </c>
      <c r="E287">
        <v>8123</v>
      </c>
      <c r="F287">
        <v>9.6</v>
      </c>
      <c r="G287">
        <v>2.8</v>
      </c>
      <c r="H287">
        <v>3.4285717</v>
      </c>
      <c r="I287">
        <v>-2.4285714999999999</v>
      </c>
      <c r="J287">
        <v>0.22580643</v>
      </c>
    </row>
    <row r="288" spans="1:10" x14ac:dyDescent="0.3">
      <c r="A288">
        <v>286</v>
      </c>
      <c r="B288">
        <v>4578</v>
      </c>
      <c r="C288" t="b">
        <v>1</v>
      </c>
      <c r="D288">
        <v>8048</v>
      </c>
      <c r="E288">
        <v>8117</v>
      </c>
      <c r="F288">
        <v>9.6</v>
      </c>
      <c r="G288">
        <v>2.8</v>
      </c>
      <c r="H288">
        <v>3.4285717</v>
      </c>
      <c r="I288">
        <v>-2.4285714999999999</v>
      </c>
      <c r="J288">
        <v>0.22580643</v>
      </c>
    </row>
    <row r="289" spans="1:10" x14ac:dyDescent="0.3">
      <c r="A289">
        <v>287</v>
      </c>
      <c r="B289">
        <v>4594</v>
      </c>
      <c r="C289" t="b">
        <v>1</v>
      </c>
      <c r="D289">
        <v>8054</v>
      </c>
      <c r="E289">
        <v>8123</v>
      </c>
      <c r="F289">
        <v>10</v>
      </c>
      <c r="G289">
        <v>2.8</v>
      </c>
      <c r="H289">
        <v>3.5714285000000001</v>
      </c>
      <c r="I289">
        <v>-2.5714285000000001</v>
      </c>
      <c r="J289">
        <v>0.21875</v>
      </c>
    </row>
    <row r="290" spans="1:10" x14ac:dyDescent="0.3">
      <c r="A290">
        <v>288</v>
      </c>
      <c r="B290">
        <v>4610</v>
      </c>
      <c r="C290" t="b">
        <v>1</v>
      </c>
      <c r="D290">
        <v>8048</v>
      </c>
      <c r="E290">
        <v>8117</v>
      </c>
      <c r="F290">
        <v>9.6</v>
      </c>
      <c r="G290">
        <v>2.4</v>
      </c>
      <c r="H290">
        <v>4</v>
      </c>
      <c r="I290">
        <v>-3</v>
      </c>
      <c r="J290">
        <v>0.2</v>
      </c>
    </row>
    <row r="291" spans="1:10" x14ac:dyDescent="0.3">
      <c r="A291">
        <v>289</v>
      </c>
      <c r="B291">
        <v>4625</v>
      </c>
      <c r="C291" t="b">
        <v>1</v>
      </c>
      <c r="D291">
        <v>8048</v>
      </c>
      <c r="E291">
        <v>8117</v>
      </c>
      <c r="F291">
        <v>9.6</v>
      </c>
      <c r="G291">
        <v>2.8</v>
      </c>
      <c r="H291">
        <v>3.4285717</v>
      </c>
      <c r="I291">
        <v>-2.4285714999999999</v>
      </c>
      <c r="J291">
        <v>0.22580643</v>
      </c>
    </row>
    <row r="292" spans="1:10" x14ac:dyDescent="0.3">
      <c r="A292">
        <v>290</v>
      </c>
      <c r="B292">
        <v>4641</v>
      </c>
      <c r="C292" t="b">
        <v>1</v>
      </c>
      <c r="D292">
        <v>8048</v>
      </c>
      <c r="E292">
        <v>8111</v>
      </c>
      <c r="F292">
        <v>9.6</v>
      </c>
      <c r="G292">
        <v>3.2</v>
      </c>
      <c r="H292">
        <v>3</v>
      </c>
      <c r="I292">
        <v>-2.0000002000000001</v>
      </c>
      <c r="J292">
        <v>0.25</v>
      </c>
    </row>
    <row r="293" spans="1:10" x14ac:dyDescent="0.3">
      <c r="A293">
        <v>291</v>
      </c>
      <c r="B293">
        <v>4657</v>
      </c>
      <c r="C293" t="b">
        <v>1</v>
      </c>
      <c r="D293">
        <v>8048</v>
      </c>
      <c r="E293">
        <v>8123</v>
      </c>
      <c r="F293">
        <v>9.6</v>
      </c>
      <c r="G293">
        <v>3.6</v>
      </c>
      <c r="H293">
        <v>2.6666666999999999</v>
      </c>
      <c r="I293">
        <v>-1.6666669000000001</v>
      </c>
      <c r="J293">
        <v>0.27272724999999998</v>
      </c>
    </row>
    <row r="294" spans="1:10" x14ac:dyDescent="0.3">
      <c r="A294">
        <v>292</v>
      </c>
      <c r="B294">
        <v>4673</v>
      </c>
      <c r="C294" t="b">
        <v>1</v>
      </c>
      <c r="D294">
        <v>8054</v>
      </c>
      <c r="E294">
        <v>8123</v>
      </c>
      <c r="F294">
        <v>9.6</v>
      </c>
      <c r="G294">
        <v>4</v>
      </c>
      <c r="H294">
        <v>2.4</v>
      </c>
      <c r="I294">
        <v>-1.4000001</v>
      </c>
      <c r="J294">
        <v>0.29411763000000002</v>
      </c>
    </row>
    <row r="295" spans="1:10" x14ac:dyDescent="0.3">
      <c r="A295">
        <v>293</v>
      </c>
      <c r="B295">
        <v>4689</v>
      </c>
      <c r="C295" t="b">
        <v>1</v>
      </c>
      <c r="D295">
        <v>8054</v>
      </c>
      <c r="E295">
        <v>8117</v>
      </c>
      <c r="F295">
        <v>9.6</v>
      </c>
      <c r="G295">
        <v>4.4000000000000004</v>
      </c>
      <c r="H295">
        <v>2.1818181999999999</v>
      </c>
      <c r="I295">
        <v>-1.1818181999999999</v>
      </c>
      <c r="J295">
        <v>0.31428572999999999</v>
      </c>
    </row>
    <row r="296" spans="1:10" x14ac:dyDescent="0.3">
      <c r="A296">
        <v>294</v>
      </c>
      <c r="B296">
        <v>4705</v>
      </c>
      <c r="C296" t="b">
        <v>1</v>
      </c>
      <c r="D296">
        <v>8048</v>
      </c>
      <c r="E296">
        <v>8111</v>
      </c>
      <c r="F296">
        <v>9.6</v>
      </c>
      <c r="G296">
        <v>4.4000000000000004</v>
      </c>
      <c r="H296">
        <v>2.1818181999999999</v>
      </c>
      <c r="I296">
        <v>-1.1818181999999999</v>
      </c>
      <c r="J296">
        <v>0.31428572999999999</v>
      </c>
    </row>
    <row r="297" spans="1:10" x14ac:dyDescent="0.3">
      <c r="A297">
        <v>295</v>
      </c>
      <c r="B297">
        <v>4721</v>
      </c>
      <c r="C297" t="b">
        <v>1</v>
      </c>
      <c r="D297">
        <v>8054</v>
      </c>
      <c r="E297">
        <v>8123</v>
      </c>
      <c r="F297">
        <v>10</v>
      </c>
      <c r="G297">
        <v>4.8</v>
      </c>
      <c r="H297">
        <v>2.0833333000000001</v>
      </c>
      <c r="I297">
        <v>-1.0833333000000001</v>
      </c>
      <c r="J297">
        <v>0.32432433999999999</v>
      </c>
    </row>
    <row r="298" spans="1:10" x14ac:dyDescent="0.3">
      <c r="A298">
        <v>296</v>
      </c>
      <c r="B298">
        <v>4737</v>
      </c>
      <c r="C298" t="b">
        <v>1</v>
      </c>
      <c r="D298">
        <v>8048</v>
      </c>
      <c r="E298">
        <v>8123</v>
      </c>
      <c r="F298">
        <v>10.4</v>
      </c>
      <c r="G298">
        <v>5.2</v>
      </c>
      <c r="H298">
        <v>2</v>
      </c>
      <c r="I298">
        <v>-1</v>
      </c>
      <c r="J298">
        <v>0.33333333999999998</v>
      </c>
    </row>
    <row r="299" spans="1:10" x14ac:dyDescent="0.3">
      <c r="A299">
        <v>297</v>
      </c>
      <c r="B299">
        <v>4753</v>
      </c>
      <c r="C299" t="b">
        <v>1</v>
      </c>
      <c r="D299">
        <v>8054</v>
      </c>
      <c r="E299">
        <v>8123</v>
      </c>
      <c r="F299">
        <v>10.8</v>
      </c>
      <c r="G299">
        <v>5.2</v>
      </c>
      <c r="H299">
        <v>2.0769231000000001</v>
      </c>
      <c r="I299">
        <v>-1.0769230999999999</v>
      </c>
      <c r="J299">
        <v>0.32500000000000001</v>
      </c>
    </row>
    <row r="300" spans="1:10" x14ac:dyDescent="0.3">
      <c r="A300">
        <v>298</v>
      </c>
      <c r="B300">
        <v>4769</v>
      </c>
      <c r="C300" t="b">
        <v>1</v>
      </c>
      <c r="D300">
        <v>8054</v>
      </c>
      <c r="E300">
        <v>8117</v>
      </c>
      <c r="F300">
        <v>10.8</v>
      </c>
      <c r="G300">
        <v>5.2</v>
      </c>
      <c r="H300">
        <v>2.0769231000000001</v>
      </c>
      <c r="I300">
        <v>-1.0769230999999999</v>
      </c>
      <c r="J300">
        <v>0.32500000000000001</v>
      </c>
    </row>
    <row r="301" spans="1:10" x14ac:dyDescent="0.3">
      <c r="A301">
        <v>299</v>
      </c>
      <c r="B301">
        <v>4784</v>
      </c>
      <c r="C301" t="b">
        <v>1</v>
      </c>
      <c r="D301">
        <v>8054</v>
      </c>
      <c r="E301">
        <v>8105</v>
      </c>
      <c r="F301">
        <v>10.8</v>
      </c>
      <c r="G301">
        <v>5.2</v>
      </c>
      <c r="H301">
        <v>2.0769231000000001</v>
      </c>
      <c r="I301">
        <v>-1.0769230999999999</v>
      </c>
      <c r="J301">
        <v>0.32500000000000001</v>
      </c>
    </row>
    <row r="302" spans="1:10" x14ac:dyDescent="0.3">
      <c r="A302">
        <v>300</v>
      </c>
      <c r="B302">
        <v>4800</v>
      </c>
      <c r="C302" t="b">
        <v>1</v>
      </c>
      <c r="D302">
        <v>8054</v>
      </c>
      <c r="E302">
        <v>8105</v>
      </c>
      <c r="F302">
        <v>10.8</v>
      </c>
      <c r="G302">
        <v>4.8</v>
      </c>
      <c r="H302">
        <v>2.25</v>
      </c>
      <c r="I302">
        <v>-1.25</v>
      </c>
      <c r="J302">
        <v>0.30769232000000002</v>
      </c>
    </row>
    <row r="303" spans="1:10" x14ac:dyDescent="0.3">
      <c r="A303">
        <v>301</v>
      </c>
      <c r="B303">
        <v>4816</v>
      </c>
      <c r="C303" t="b">
        <v>1</v>
      </c>
      <c r="D303">
        <v>8054</v>
      </c>
      <c r="E303">
        <v>8111</v>
      </c>
      <c r="F303">
        <v>11.2</v>
      </c>
      <c r="G303">
        <v>4</v>
      </c>
      <c r="H303">
        <v>2.8</v>
      </c>
      <c r="I303">
        <v>-1.8</v>
      </c>
      <c r="J303">
        <v>0.2631579</v>
      </c>
    </row>
    <row r="304" spans="1:10" x14ac:dyDescent="0.3">
      <c r="A304">
        <v>302</v>
      </c>
      <c r="B304">
        <v>4831</v>
      </c>
      <c r="C304" t="b">
        <v>1</v>
      </c>
      <c r="D304">
        <v>8048</v>
      </c>
      <c r="E304">
        <v>8105</v>
      </c>
      <c r="F304">
        <v>11.2</v>
      </c>
      <c r="G304">
        <v>2.8</v>
      </c>
      <c r="H304">
        <v>4</v>
      </c>
      <c r="I304">
        <v>-3</v>
      </c>
      <c r="J304">
        <v>0.2</v>
      </c>
    </row>
    <row r="305" spans="1:10" x14ac:dyDescent="0.3">
      <c r="A305">
        <v>303</v>
      </c>
      <c r="B305">
        <v>4847</v>
      </c>
      <c r="C305" t="b">
        <v>1</v>
      </c>
      <c r="D305">
        <v>8054</v>
      </c>
      <c r="E305">
        <v>8111</v>
      </c>
      <c r="F305">
        <v>11.6</v>
      </c>
      <c r="G305">
        <v>2</v>
      </c>
      <c r="H305">
        <v>5.8</v>
      </c>
      <c r="I305">
        <v>-4.8</v>
      </c>
      <c r="J305">
        <v>0.14705881000000001</v>
      </c>
    </row>
    <row r="306" spans="1:10" x14ac:dyDescent="0.3">
      <c r="A306">
        <v>304</v>
      </c>
      <c r="B306">
        <v>4863</v>
      </c>
      <c r="C306" t="b">
        <v>1</v>
      </c>
      <c r="D306">
        <v>8048</v>
      </c>
      <c r="E306">
        <v>8111</v>
      </c>
      <c r="F306">
        <v>12</v>
      </c>
      <c r="G306">
        <v>1.6</v>
      </c>
      <c r="H306">
        <v>7.5</v>
      </c>
      <c r="I306">
        <v>-6.4999995000000004</v>
      </c>
      <c r="J306">
        <v>0.11764706</v>
      </c>
    </row>
    <row r="307" spans="1:10" x14ac:dyDescent="0.3">
      <c r="A307">
        <v>305</v>
      </c>
      <c r="B307">
        <v>4879</v>
      </c>
      <c r="C307" t="b">
        <v>1</v>
      </c>
      <c r="D307">
        <v>8048</v>
      </c>
      <c r="E307">
        <v>8117</v>
      </c>
      <c r="F307">
        <v>12</v>
      </c>
      <c r="G307">
        <v>1.2</v>
      </c>
      <c r="H307">
        <v>10</v>
      </c>
      <c r="I307">
        <v>-9</v>
      </c>
      <c r="J307">
        <v>9.0909089999999998E-2</v>
      </c>
    </row>
    <row r="308" spans="1:10" x14ac:dyDescent="0.3">
      <c r="A308">
        <v>306</v>
      </c>
      <c r="B308">
        <v>4895</v>
      </c>
      <c r="C308" t="b">
        <v>1</v>
      </c>
      <c r="D308">
        <v>8042</v>
      </c>
      <c r="E308">
        <v>8117</v>
      </c>
      <c r="F308">
        <v>12</v>
      </c>
      <c r="G308">
        <v>0.8</v>
      </c>
      <c r="H308">
        <v>15</v>
      </c>
      <c r="I308">
        <v>-14</v>
      </c>
      <c r="J308">
        <v>6.25E-2</v>
      </c>
    </row>
    <row r="309" spans="1:10" x14ac:dyDescent="0.3">
      <c r="A309">
        <v>307</v>
      </c>
      <c r="B309">
        <v>4911</v>
      </c>
      <c r="C309" t="b">
        <v>1</v>
      </c>
      <c r="D309">
        <v>8048</v>
      </c>
      <c r="E309">
        <v>8111</v>
      </c>
      <c r="F309">
        <v>12</v>
      </c>
      <c r="G309">
        <v>0.4</v>
      </c>
      <c r="H309">
        <v>30</v>
      </c>
      <c r="I309">
        <v>-29</v>
      </c>
      <c r="J309">
        <v>3.2258067000000001E-2</v>
      </c>
    </row>
    <row r="310" spans="1:10" x14ac:dyDescent="0.3">
      <c r="A310">
        <v>308</v>
      </c>
      <c r="B310">
        <v>4927</v>
      </c>
      <c r="C310" t="b">
        <v>1</v>
      </c>
      <c r="D310">
        <v>8048</v>
      </c>
      <c r="E310">
        <v>8117</v>
      </c>
      <c r="F310">
        <v>12</v>
      </c>
      <c r="G310">
        <v>0.4</v>
      </c>
      <c r="H310">
        <v>30</v>
      </c>
      <c r="I310">
        <v>-29</v>
      </c>
      <c r="J310">
        <v>3.2258067000000001E-2</v>
      </c>
    </row>
    <row r="311" spans="1:10" x14ac:dyDescent="0.3">
      <c r="A311">
        <v>309</v>
      </c>
      <c r="B311">
        <v>4943</v>
      </c>
      <c r="C311" t="b">
        <v>1</v>
      </c>
      <c r="D311">
        <v>8048</v>
      </c>
      <c r="E311">
        <v>8123</v>
      </c>
      <c r="F311">
        <v>12</v>
      </c>
      <c r="G311">
        <v>0.4</v>
      </c>
      <c r="H311">
        <v>30</v>
      </c>
      <c r="I311">
        <v>-29</v>
      </c>
      <c r="J311">
        <v>3.2258067000000001E-2</v>
      </c>
    </row>
    <row r="312" spans="1:10" x14ac:dyDescent="0.3">
      <c r="A312">
        <v>310</v>
      </c>
      <c r="B312">
        <v>4958</v>
      </c>
      <c r="C312" t="b">
        <v>1</v>
      </c>
      <c r="D312">
        <v>8048</v>
      </c>
      <c r="E312">
        <v>8111</v>
      </c>
      <c r="F312">
        <v>11.6</v>
      </c>
      <c r="G312">
        <v>0</v>
      </c>
      <c r="H312" t="s">
        <v>19</v>
      </c>
      <c r="I312" t="e">
        <f>-inf</f>
        <v>#NAME?</v>
      </c>
      <c r="J312">
        <v>0</v>
      </c>
    </row>
    <row r="313" spans="1:10" x14ac:dyDescent="0.3">
      <c r="A313">
        <v>311</v>
      </c>
      <c r="B313">
        <v>4974</v>
      </c>
      <c r="C313" t="b">
        <v>1</v>
      </c>
      <c r="D313">
        <v>8048</v>
      </c>
      <c r="E313">
        <v>8111</v>
      </c>
      <c r="F313">
        <v>11.2</v>
      </c>
      <c r="G313">
        <v>-0.8</v>
      </c>
      <c r="H313">
        <v>-14</v>
      </c>
      <c r="I313">
        <v>15</v>
      </c>
      <c r="J313">
        <v>-7.6923080000000005E-2</v>
      </c>
    </row>
    <row r="314" spans="1:10" x14ac:dyDescent="0.3">
      <c r="A314">
        <v>312</v>
      </c>
      <c r="B314">
        <v>4990</v>
      </c>
      <c r="C314" t="b">
        <v>1</v>
      </c>
      <c r="D314">
        <v>8048</v>
      </c>
      <c r="E314">
        <v>8123</v>
      </c>
      <c r="F314">
        <v>10.8</v>
      </c>
      <c r="G314">
        <v>-1.2</v>
      </c>
      <c r="H314">
        <v>-9</v>
      </c>
      <c r="I314">
        <v>10</v>
      </c>
      <c r="J314">
        <v>-0.125</v>
      </c>
    </row>
    <row r="315" spans="1:10" x14ac:dyDescent="0.3">
      <c r="A315">
        <v>313</v>
      </c>
      <c r="B315">
        <v>5006</v>
      </c>
      <c r="C315" t="b">
        <v>1</v>
      </c>
      <c r="D315">
        <v>8054</v>
      </c>
      <c r="E315">
        <v>8117</v>
      </c>
      <c r="F315">
        <v>10.4</v>
      </c>
      <c r="G315">
        <v>-1.6</v>
      </c>
      <c r="H315">
        <v>-6.4999995000000004</v>
      </c>
      <c r="I315">
        <v>7.5</v>
      </c>
      <c r="J315">
        <v>-0.18181820000000001</v>
      </c>
    </row>
    <row r="316" spans="1:10" x14ac:dyDescent="0.3">
      <c r="A316">
        <v>314</v>
      </c>
      <c r="B316">
        <v>5022</v>
      </c>
      <c r="C316" t="b">
        <v>1</v>
      </c>
      <c r="D316">
        <v>8054</v>
      </c>
      <c r="E316">
        <v>8111</v>
      </c>
      <c r="F316">
        <v>10</v>
      </c>
      <c r="G316">
        <v>-2.4</v>
      </c>
      <c r="H316">
        <v>-4.1666664999999998</v>
      </c>
      <c r="I316">
        <v>5.1666664999999998</v>
      </c>
      <c r="J316">
        <v>-0.3157895</v>
      </c>
    </row>
    <row r="317" spans="1:10" x14ac:dyDescent="0.3">
      <c r="A317">
        <v>315</v>
      </c>
      <c r="B317">
        <v>5038</v>
      </c>
      <c r="C317" t="b">
        <v>1</v>
      </c>
      <c r="D317">
        <v>8048</v>
      </c>
      <c r="E317">
        <v>8129</v>
      </c>
      <c r="F317">
        <v>9.6</v>
      </c>
      <c r="G317">
        <v>-2.4</v>
      </c>
      <c r="H317">
        <v>-4</v>
      </c>
      <c r="I317">
        <v>5</v>
      </c>
      <c r="J317">
        <v>-0.33333333999999998</v>
      </c>
    </row>
    <row r="318" spans="1:10" x14ac:dyDescent="0.3">
      <c r="A318">
        <v>316</v>
      </c>
      <c r="B318">
        <v>5054</v>
      </c>
      <c r="C318" t="b">
        <v>1</v>
      </c>
      <c r="D318">
        <v>8048</v>
      </c>
      <c r="E318">
        <v>8117</v>
      </c>
      <c r="F318">
        <v>9.1999999999999993</v>
      </c>
      <c r="G318">
        <v>-2</v>
      </c>
      <c r="H318">
        <v>-4.5999999999999996</v>
      </c>
      <c r="I318">
        <v>5.6</v>
      </c>
      <c r="J318">
        <v>-0.27777780000000002</v>
      </c>
    </row>
    <row r="319" spans="1:10" x14ac:dyDescent="0.3">
      <c r="A319">
        <v>317</v>
      </c>
      <c r="B319">
        <v>5069</v>
      </c>
      <c r="C319" t="b">
        <v>1</v>
      </c>
      <c r="D319">
        <v>8048</v>
      </c>
      <c r="E319">
        <v>8117</v>
      </c>
      <c r="F319">
        <v>8.8000000000000007</v>
      </c>
      <c r="G319">
        <v>-1.2</v>
      </c>
      <c r="H319">
        <v>-7.3333329999999997</v>
      </c>
      <c r="I319">
        <v>8.3333329999999997</v>
      </c>
      <c r="J319">
        <v>-0.15789473000000001</v>
      </c>
    </row>
    <row r="320" spans="1:10" x14ac:dyDescent="0.3">
      <c r="A320">
        <v>318</v>
      </c>
      <c r="B320">
        <v>5085</v>
      </c>
      <c r="C320" t="b">
        <v>1</v>
      </c>
      <c r="D320">
        <v>8048</v>
      </c>
      <c r="E320">
        <v>8123</v>
      </c>
      <c r="F320">
        <v>8.4</v>
      </c>
      <c r="G320">
        <v>-0.4</v>
      </c>
      <c r="H320">
        <v>-20.999998000000001</v>
      </c>
      <c r="I320">
        <v>21.999998000000001</v>
      </c>
      <c r="J320">
        <v>-5.0000004000000001E-2</v>
      </c>
    </row>
    <row r="321" spans="1:10" x14ac:dyDescent="0.3">
      <c r="A321">
        <v>319</v>
      </c>
      <c r="B321">
        <v>5101</v>
      </c>
      <c r="C321" t="b">
        <v>1</v>
      </c>
      <c r="D321">
        <v>8048</v>
      </c>
      <c r="E321">
        <v>8123</v>
      </c>
      <c r="F321">
        <v>8</v>
      </c>
      <c r="G321">
        <v>0.4</v>
      </c>
      <c r="H321">
        <v>20</v>
      </c>
      <c r="I321">
        <v>-19</v>
      </c>
      <c r="J321">
        <v>4.7619052000000002E-2</v>
      </c>
    </row>
    <row r="322" spans="1:10" x14ac:dyDescent="0.3">
      <c r="A322">
        <v>320</v>
      </c>
      <c r="B322">
        <v>5117</v>
      </c>
      <c r="C322" t="b">
        <v>1</v>
      </c>
      <c r="D322">
        <v>8048</v>
      </c>
      <c r="E322">
        <v>8117</v>
      </c>
      <c r="F322">
        <v>8</v>
      </c>
      <c r="G322">
        <v>0.8</v>
      </c>
      <c r="H322">
        <v>10</v>
      </c>
      <c r="I322">
        <v>-9</v>
      </c>
      <c r="J322">
        <v>9.0909089999999998E-2</v>
      </c>
    </row>
    <row r="323" spans="1:10" x14ac:dyDescent="0.3">
      <c r="A323">
        <v>321</v>
      </c>
      <c r="B323">
        <v>5132</v>
      </c>
      <c r="C323" t="b">
        <v>1</v>
      </c>
      <c r="D323">
        <v>8048</v>
      </c>
      <c r="E323">
        <v>8117</v>
      </c>
      <c r="F323">
        <v>8</v>
      </c>
      <c r="G323">
        <v>1.2</v>
      </c>
      <c r="H323">
        <v>6.6666664999999998</v>
      </c>
      <c r="I323">
        <v>-5.6666664999999998</v>
      </c>
      <c r="J323">
        <v>0.13043479999999999</v>
      </c>
    </row>
    <row r="324" spans="1:10" x14ac:dyDescent="0.3">
      <c r="A324">
        <v>322</v>
      </c>
      <c r="B324">
        <v>5148</v>
      </c>
      <c r="C324" t="b">
        <v>1</v>
      </c>
      <c r="D324">
        <v>8042</v>
      </c>
      <c r="E324">
        <v>8117</v>
      </c>
      <c r="F324">
        <v>8</v>
      </c>
      <c r="G324">
        <v>1.6</v>
      </c>
      <c r="H324">
        <v>5</v>
      </c>
      <c r="I324">
        <v>-4</v>
      </c>
      <c r="J324">
        <v>0.16666665999999999</v>
      </c>
    </row>
    <row r="325" spans="1:10" x14ac:dyDescent="0.3">
      <c r="A325">
        <v>323</v>
      </c>
      <c r="B325">
        <v>5164</v>
      </c>
      <c r="C325" t="b">
        <v>1</v>
      </c>
      <c r="D325">
        <v>8048</v>
      </c>
      <c r="E325">
        <v>8123</v>
      </c>
      <c r="F325">
        <v>8</v>
      </c>
      <c r="G325">
        <v>1.6</v>
      </c>
      <c r="H325">
        <v>5</v>
      </c>
      <c r="I325">
        <v>-4</v>
      </c>
      <c r="J325">
        <v>0.16666665999999999</v>
      </c>
    </row>
    <row r="326" spans="1:10" x14ac:dyDescent="0.3">
      <c r="A326">
        <v>324</v>
      </c>
      <c r="B326">
        <v>5180</v>
      </c>
      <c r="C326" t="b">
        <v>1</v>
      </c>
      <c r="D326">
        <v>8048</v>
      </c>
      <c r="E326">
        <v>8123</v>
      </c>
      <c r="F326">
        <v>8</v>
      </c>
      <c r="G326">
        <v>1.6</v>
      </c>
      <c r="H326">
        <v>5</v>
      </c>
      <c r="I326">
        <v>-4</v>
      </c>
      <c r="J326">
        <v>0.16666665999999999</v>
      </c>
    </row>
    <row r="327" spans="1:10" x14ac:dyDescent="0.3">
      <c r="A327">
        <v>325</v>
      </c>
      <c r="B327">
        <v>5195</v>
      </c>
      <c r="C327" t="b">
        <v>1</v>
      </c>
      <c r="D327">
        <v>8048</v>
      </c>
      <c r="E327">
        <v>8123</v>
      </c>
      <c r="F327">
        <v>8</v>
      </c>
      <c r="G327">
        <v>2</v>
      </c>
      <c r="H327">
        <v>4</v>
      </c>
      <c r="I327">
        <v>-3</v>
      </c>
      <c r="J327">
        <v>0.2</v>
      </c>
    </row>
    <row r="328" spans="1:10" x14ac:dyDescent="0.3">
      <c r="A328">
        <v>326</v>
      </c>
      <c r="B328">
        <v>5211</v>
      </c>
      <c r="C328" t="b">
        <v>1</v>
      </c>
      <c r="D328">
        <v>8048</v>
      </c>
      <c r="E328">
        <v>8117</v>
      </c>
      <c r="F328">
        <v>8</v>
      </c>
      <c r="G328">
        <v>2.8</v>
      </c>
      <c r="H328">
        <v>2.8571430000000002</v>
      </c>
      <c r="I328">
        <v>-1.8571428000000001</v>
      </c>
      <c r="J328">
        <v>0.25925925</v>
      </c>
    </row>
    <row r="329" spans="1:10" x14ac:dyDescent="0.3">
      <c r="A329">
        <v>327</v>
      </c>
      <c r="B329">
        <v>5227</v>
      </c>
      <c r="C329" t="b">
        <v>1</v>
      </c>
      <c r="D329">
        <v>8054</v>
      </c>
      <c r="E329">
        <v>8117</v>
      </c>
      <c r="F329">
        <v>8</v>
      </c>
      <c r="G329">
        <v>3.2</v>
      </c>
      <c r="H329">
        <v>2.5</v>
      </c>
      <c r="I329">
        <v>-1.5</v>
      </c>
      <c r="J329">
        <v>0.28571429999999998</v>
      </c>
    </row>
    <row r="330" spans="1:10" x14ac:dyDescent="0.3">
      <c r="A330">
        <v>328</v>
      </c>
      <c r="B330">
        <v>5243</v>
      </c>
      <c r="C330" t="b">
        <v>1</v>
      </c>
      <c r="D330">
        <v>8048</v>
      </c>
      <c r="E330">
        <v>8123</v>
      </c>
      <c r="F330">
        <v>8</v>
      </c>
      <c r="G330">
        <v>3.6</v>
      </c>
      <c r="H330">
        <v>2.2222222999999999</v>
      </c>
      <c r="I330">
        <v>-1.2222223000000001</v>
      </c>
      <c r="J330">
        <v>0.31034482000000002</v>
      </c>
    </row>
    <row r="331" spans="1:10" x14ac:dyDescent="0.3">
      <c r="A331">
        <v>329</v>
      </c>
      <c r="B331">
        <v>5266</v>
      </c>
      <c r="C331" t="b">
        <v>1</v>
      </c>
      <c r="D331">
        <v>8048</v>
      </c>
      <c r="E331">
        <v>8123</v>
      </c>
      <c r="F331">
        <v>8</v>
      </c>
      <c r="G331">
        <v>4.4000000000000004</v>
      </c>
      <c r="H331">
        <v>1.8181818000000001</v>
      </c>
      <c r="I331">
        <v>-0.81818175000000004</v>
      </c>
      <c r="J331">
        <v>0.35483872999999999</v>
      </c>
    </row>
    <row r="332" spans="1:10" x14ac:dyDescent="0.3">
      <c r="A332">
        <v>330</v>
      </c>
      <c r="B332">
        <v>5282</v>
      </c>
      <c r="C332" t="b">
        <v>1</v>
      </c>
      <c r="D332">
        <v>8048</v>
      </c>
      <c r="E332">
        <v>8123</v>
      </c>
      <c r="F332">
        <v>8</v>
      </c>
      <c r="G332">
        <v>4.8</v>
      </c>
      <c r="H332">
        <v>1.6666666000000001</v>
      </c>
      <c r="I332">
        <v>-0.6666666</v>
      </c>
      <c r="J332">
        <v>0.375</v>
      </c>
    </row>
    <row r="333" spans="1:10" x14ac:dyDescent="0.3">
      <c r="A333">
        <v>331</v>
      </c>
      <c r="B333">
        <v>5298</v>
      </c>
      <c r="C333" t="b">
        <v>1</v>
      </c>
      <c r="D333">
        <v>8054</v>
      </c>
      <c r="E333">
        <v>8117</v>
      </c>
      <c r="F333">
        <v>8</v>
      </c>
      <c r="G333">
        <v>5.2</v>
      </c>
      <c r="H333">
        <v>1.5384616</v>
      </c>
      <c r="I333">
        <v>-0.53846156999999994</v>
      </c>
      <c r="J333">
        <v>0.39393938000000001</v>
      </c>
    </row>
    <row r="334" spans="1:10" x14ac:dyDescent="0.3">
      <c r="A334">
        <v>332</v>
      </c>
      <c r="B334">
        <v>5314</v>
      </c>
      <c r="C334" t="b">
        <v>1</v>
      </c>
      <c r="D334">
        <v>8048</v>
      </c>
      <c r="E334">
        <v>8123</v>
      </c>
      <c r="F334">
        <v>8</v>
      </c>
      <c r="G334">
        <v>5.6</v>
      </c>
      <c r="H334">
        <v>1.4285715000000001</v>
      </c>
      <c r="I334">
        <v>-0.42857146000000002</v>
      </c>
      <c r="J334">
        <v>0.41176467999999999</v>
      </c>
    </row>
    <row r="335" spans="1:10" x14ac:dyDescent="0.3">
      <c r="A335">
        <v>333</v>
      </c>
      <c r="B335">
        <v>5330</v>
      </c>
      <c r="C335" t="b">
        <v>1</v>
      </c>
      <c r="D335">
        <v>8048</v>
      </c>
      <c r="E335">
        <v>8117</v>
      </c>
      <c r="F335">
        <v>8</v>
      </c>
      <c r="G335">
        <v>6</v>
      </c>
      <c r="H335">
        <v>1.3333333999999999</v>
      </c>
      <c r="I335">
        <v>-0.33333333999999998</v>
      </c>
      <c r="J335">
        <v>0.42857142999999998</v>
      </c>
    </row>
    <row r="336" spans="1:10" x14ac:dyDescent="0.3">
      <c r="A336">
        <v>334</v>
      </c>
      <c r="B336">
        <v>5346</v>
      </c>
      <c r="C336" t="b">
        <v>1</v>
      </c>
      <c r="D336">
        <v>8042</v>
      </c>
      <c r="E336">
        <v>8117</v>
      </c>
      <c r="F336">
        <v>8</v>
      </c>
      <c r="G336">
        <v>5.6</v>
      </c>
      <c r="H336">
        <v>1.4285715000000001</v>
      </c>
      <c r="I336">
        <v>-0.42857146000000002</v>
      </c>
      <c r="J336">
        <v>0.41176467999999999</v>
      </c>
    </row>
    <row r="337" spans="1:10" x14ac:dyDescent="0.3">
      <c r="A337">
        <v>335</v>
      </c>
      <c r="B337">
        <v>5361</v>
      </c>
      <c r="C337" t="b">
        <v>1</v>
      </c>
      <c r="D337">
        <v>8054</v>
      </c>
      <c r="E337">
        <v>8117</v>
      </c>
      <c r="F337">
        <v>8</v>
      </c>
      <c r="G337">
        <v>5.6</v>
      </c>
      <c r="H337">
        <v>1.4285715000000001</v>
      </c>
      <c r="I337">
        <v>-0.42857146000000002</v>
      </c>
      <c r="J337">
        <v>0.41176467999999999</v>
      </c>
    </row>
    <row r="338" spans="1:10" x14ac:dyDescent="0.3">
      <c r="A338">
        <v>336</v>
      </c>
      <c r="B338">
        <v>5377</v>
      </c>
      <c r="C338" t="b">
        <v>1</v>
      </c>
      <c r="D338">
        <v>8054</v>
      </c>
      <c r="E338">
        <v>8123</v>
      </c>
      <c r="F338">
        <v>8</v>
      </c>
      <c r="G338">
        <v>5.6</v>
      </c>
      <c r="H338">
        <v>1.4285715000000001</v>
      </c>
      <c r="I338">
        <v>-0.42857146000000002</v>
      </c>
      <c r="J338">
        <v>0.41176467999999999</v>
      </c>
    </row>
    <row r="339" spans="1:10" x14ac:dyDescent="0.3">
      <c r="A339">
        <v>337</v>
      </c>
      <c r="B339">
        <v>5393</v>
      </c>
      <c r="C339" t="b">
        <v>1</v>
      </c>
      <c r="D339">
        <v>8048</v>
      </c>
      <c r="E339">
        <v>8117</v>
      </c>
      <c r="F339">
        <v>8</v>
      </c>
      <c r="G339">
        <v>5.6</v>
      </c>
      <c r="H339">
        <v>1.4285715000000001</v>
      </c>
      <c r="I339">
        <v>-0.42857146000000002</v>
      </c>
      <c r="J339">
        <v>0.41176467999999999</v>
      </c>
    </row>
    <row r="340" spans="1:10" x14ac:dyDescent="0.3">
      <c r="A340">
        <v>338</v>
      </c>
      <c r="B340">
        <v>5409</v>
      </c>
      <c r="C340" t="b">
        <v>1</v>
      </c>
      <c r="D340">
        <v>8054</v>
      </c>
      <c r="E340">
        <v>8117</v>
      </c>
      <c r="F340">
        <v>8.4</v>
      </c>
      <c r="G340">
        <v>5.6</v>
      </c>
      <c r="H340">
        <v>1.5</v>
      </c>
      <c r="I340">
        <v>-0.49999997000000002</v>
      </c>
      <c r="J340">
        <v>0.4</v>
      </c>
    </row>
    <row r="341" spans="1:10" x14ac:dyDescent="0.3">
      <c r="A341">
        <v>339</v>
      </c>
      <c r="B341">
        <v>5425</v>
      </c>
      <c r="C341" t="b">
        <v>1</v>
      </c>
      <c r="D341">
        <v>8054</v>
      </c>
      <c r="E341">
        <v>8123</v>
      </c>
      <c r="F341">
        <v>8.8000000000000007</v>
      </c>
      <c r="G341">
        <v>5.6</v>
      </c>
      <c r="H341">
        <v>1.5714287</v>
      </c>
      <c r="I341">
        <v>-0.57142866000000003</v>
      </c>
      <c r="J341">
        <v>0.38888889999999998</v>
      </c>
    </row>
    <row r="342" spans="1:10" x14ac:dyDescent="0.3">
      <c r="A342">
        <v>340</v>
      </c>
      <c r="B342">
        <v>5441</v>
      </c>
      <c r="C342" t="b">
        <v>1</v>
      </c>
      <c r="D342">
        <v>8054</v>
      </c>
      <c r="E342">
        <v>8117</v>
      </c>
      <c r="F342">
        <v>9.1999999999999993</v>
      </c>
      <c r="G342">
        <v>5.2</v>
      </c>
      <c r="H342">
        <v>1.7692308000000001</v>
      </c>
      <c r="I342">
        <v>-0.76923079999999999</v>
      </c>
      <c r="J342">
        <v>0.36111110000000002</v>
      </c>
    </row>
    <row r="343" spans="1:10" x14ac:dyDescent="0.3">
      <c r="A343">
        <v>341</v>
      </c>
      <c r="B343">
        <v>5456</v>
      </c>
      <c r="C343" t="b">
        <v>1</v>
      </c>
      <c r="D343">
        <v>8054</v>
      </c>
      <c r="E343">
        <v>8111</v>
      </c>
      <c r="F343">
        <v>9.6</v>
      </c>
      <c r="G343">
        <v>4.8</v>
      </c>
      <c r="H343">
        <v>2</v>
      </c>
      <c r="I343">
        <v>-1</v>
      </c>
      <c r="J343">
        <v>0.33333333999999998</v>
      </c>
    </row>
    <row r="344" spans="1:10" x14ac:dyDescent="0.3">
      <c r="A344">
        <v>342</v>
      </c>
      <c r="B344">
        <v>5472</v>
      </c>
      <c r="C344" t="b">
        <v>1</v>
      </c>
      <c r="D344">
        <v>8054</v>
      </c>
      <c r="E344">
        <v>8117</v>
      </c>
      <c r="F344">
        <v>10</v>
      </c>
      <c r="G344">
        <v>4.4000000000000004</v>
      </c>
      <c r="H344">
        <v>2.2727273000000001</v>
      </c>
      <c r="I344">
        <v>-1.2727272999999999</v>
      </c>
      <c r="J344">
        <v>0.30555557999999999</v>
      </c>
    </row>
    <row r="345" spans="1:10" x14ac:dyDescent="0.3">
      <c r="A345">
        <v>343</v>
      </c>
      <c r="B345">
        <v>5488</v>
      </c>
      <c r="C345" t="b">
        <v>1</v>
      </c>
      <c r="D345">
        <v>8048</v>
      </c>
      <c r="E345">
        <v>8117</v>
      </c>
      <c r="F345">
        <v>10.4</v>
      </c>
      <c r="G345">
        <v>4</v>
      </c>
      <c r="H345">
        <v>2.6</v>
      </c>
      <c r="I345">
        <v>-1.5999999</v>
      </c>
      <c r="J345">
        <v>0.27777780000000002</v>
      </c>
    </row>
    <row r="346" spans="1:10" x14ac:dyDescent="0.3">
      <c r="A346">
        <v>344</v>
      </c>
      <c r="B346">
        <v>5504</v>
      </c>
      <c r="C346" t="b">
        <v>1</v>
      </c>
      <c r="D346">
        <v>8048</v>
      </c>
      <c r="E346">
        <v>8117</v>
      </c>
      <c r="F346">
        <v>10.8</v>
      </c>
      <c r="G346">
        <v>3.6</v>
      </c>
      <c r="H346">
        <v>3.0000002000000001</v>
      </c>
      <c r="I346">
        <v>-2.0000002000000001</v>
      </c>
      <c r="J346">
        <v>0.25</v>
      </c>
    </row>
    <row r="347" spans="1:10" x14ac:dyDescent="0.3">
      <c r="A347">
        <v>345</v>
      </c>
      <c r="B347">
        <v>5519</v>
      </c>
      <c r="C347" t="b">
        <v>1</v>
      </c>
      <c r="D347">
        <v>8048</v>
      </c>
      <c r="E347">
        <v>8123</v>
      </c>
      <c r="F347">
        <v>10.8</v>
      </c>
      <c r="G347">
        <v>3.2</v>
      </c>
      <c r="H347">
        <v>3.375</v>
      </c>
      <c r="I347">
        <v>-2.375</v>
      </c>
      <c r="J347">
        <v>0.22857142999999999</v>
      </c>
    </row>
    <row r="348" spans="1:10" x14ac:dyDescent="0.3">
      <c r="A348">
        <v>346</v>
      </c>
      <c r="B348">
        <v>5535</v>
      </c>
      <c r="C348" t="b">
        <v>1</v>
      </c>
      <c r="D348">
        <v>8048</v>
      </c>
      <c r="E348">
        <v>8111</v>
      </c>
      <c r="F348">
        <v>10.8</v>
      </c>
      <c r="G348">
        <v>2.8</v>
      </c>
      <c r="H348">
        <v>3.8571430000000002</v>
      </c>
      <c r="I348">
        <v>-2.8571430000000002</v>
      </c>
      <c r="J348">
        <v>0.20588234</v>
      </c>
    </row>
    <row r="349" spans="1:10" x14ac:dyDescent="0.3">
      <c r="A349">
        <v>347</v>
      </c>
      <c r="B349">
        <v>5551</v>
      </c>
      <c r="C349" t="b">
        <v>1</v>
      </c>
      <c r="D349">
        <v>8048</v>
      </c>
      <c r="E349">
        <v>8111</v>
      </c>
      <c r="F349">
        <v>10.8</v>
      </c>
      <c r="G349">
        <v>2.4</v>
      </c>
      <c r="H349">
        <v>4.5</v>
      </c>
      <c r="I349">
        <v>-3.4999997999999999</v>
      </c>
      <c r="J349">
        <v>0.18181817</v>
      </c>
    </row>
    <row r="350" spans="1:10" x14ac:dyDescent="0.3">
      <c r="A350">
        <v>348</v>
      </c>
      <c r="B350">
        <v>5567</v>
      </c>
      <c r="C350" t="b">
        <v>1</v>
      </c>
      <c r="D350">
        <v>8048</v>
      </c>
      <c r="E350">
        <v>8111</v>
      </c>
      <c r="F350">
        <v>10.8</v>
      </c>
      <c r="G350">
        <v>1.6</v>
      </c>
      <c r="H350">
        <v>6.75</v>
      </c>
      <c r="I350">
        <v>-5.75</v>
      </c>
      <c r="J350">
        <v>0.12903224999999999</v>
      </c>
    </row>
    <row r="351" spans="1:10" x14ac:dyDescent="0.3">
      <c r="A351">
        <v>349</v>
      </c>
      <c r="B351">
        <v>5583</v>
      </c>
      <c r="C351" t="b">
        <v>1</v>
      </c>
      <c r="D351">
        <v>8054</v>
      </c>
      <c r="E351">
        <v>8117</v>
      </c>
      <c r="F351">
        <v>10.8</v>
      </c>
      <c r="G351">
        <v>1.2</v>
      </c>
      <c r="H351">
        <v>9</v>
      </c>
      <c r="I351">
        <v>-8</v>
      </c>
      <c r="J351">
        <v>0.1</v>
      </c>
    </row>
    <row r="352" spans="1:10" x14ac:dyDescent="0.3">
      <c r="A352">
        <v>350</v>
      </c>
      <c r="B352">
        <v>5598</v>
      </c>
      <c r="C352" t="b">
        <v>1</v>
      </c>
      <c r="D352">
        <v>8042</v>
      </c>
      <c r="E352">
        <v>8123</v>
      </c>
      <c r="F352">
        <v>10.8</v>
      </c>
      <c r="G352">
        <v>0.8</v>
      </c>
      <c r="H352">
        <v>13.5</v>
      </c>
      <c r="I352">
        <v>-12.5</v>
      </c>
      <c r="J352">
        <v>6.8965520000000002E-2</v>
      </c>
    </row>
    <row r="353" spans="1:10" x14ac:dyDescent="0.3">
      <c r="A353">
        <v>351</v>
      </c>
      <c r="B353">
        <v>5614</v>
      </c>
      <c r="C353" t="b">
        <v>1</v>
      </c>
      <c r="D353">
        <v>8048</v>
      </c>
      <c r="E353">
        <v>8123</v>
      </c>
      <c r="F353">
        <v>10.8</v>
      </c>
      <c r="G353">
        <v>0.8</v>
      </c>
      <c r="H353">
        <v>13.5</v>
      </c>
      <c r="I353">
        <v>-12.5</v>
      </c>
      <c r="J353">
        <v>6.8965520000000002E-2</v>
      </c>
    </row>
    <row r="354" spans="1:10" x14ac:dyDescent="0.3">
      <c r="A354">
        <v>352</v>
      </c>
      <c r="B354">
        <v>5630</v>
      </c>
      <c r="C354" t="b">
        <v>1</v>
      </c>
      <c r="D354">
        <v>8048</v>
      </c>
      <c r="E354">
        <v>8123</v>
      </c>
      <c r="F354">
        <v>10.8</v>
      </c>
      <c r="G354">
        <v>1.2</v>
      </c>
      <c r="H354">
        <v>9</v>
      </c>
      <c r="I354">
        <v>-8</v>
      </c>
      <c r="J354">
        <v>0.1</v>
      </c>
    </row>
    <row r="355" spans="1:10" x14ac:dyDescent="0.3">
      <c r="A355">
        <v>353</v>
      </c>
      <c r="B355">
        <v>5646</v>
      </c>
      <c r="C355" t="b">
        <v>1</v>
      </c>
      <c r="D355">
        <v>8048</v>
      </c>
      <c r="E355">
        <v>8111</v>
      </c>
      <c r="F355">
        <v>10.4</v>
      </c>
      <c r="G355">
        <v>1.6</v>
      </c>
      <c r="H355">
        <v>6.4999995000000004</v>
      </c>
      <c r="I355">
        <v>-5.4999995000000004</v>
      </c>
      <c r="J355">
        <v>0.13333333999999999</v>
      </c>
    </row>
    <row r="356" spans="1:10" x14ac:dyDescent="0.3">
      <c r="A356">
        <v>354</v>
      </c>
      <c r="B356">
        <v>5661</v>
      </c>
      <c r="C356" t="b">
        <v>1</v>
      </c>
      <c r="D356">
        <v>8054</v>
      </c>
      <c r="E356">
        <v>8123</v>
      </c>
      <c r="F356">
        <v>10</v>
      </c>
      <c r="G356">
        <v>2</v>
      </c>
      <c r="H356">
        <v>5</v>
      </c>
      <c r="I356">
        <v>-4</v>
      </c>
      <c r="J356">
        <v>0.16666666999999999</v>
      </c>
    </row>
    <row r="357" spans="1:10" x14ac:dyDescent="0.3">
      <c r="A357">
        <v>355</v>
      </c>
      <c r="B357">
        <v>5677</v>
      </c>
      <c r="C357" t="b">
        <v>1</v>
      </c>
      <c r="D357">
        <v>8048</v>
      </c>
      <c r="E357">
        <v>8123</v>
      </c>
      <c r="F357">
        <v>9.6</v>
      </c>
      <c r="G357">
        <v>2.4</v>
      </c>
      <c r="H357">
        <v>4</v>
      </c>
      <c r="I357">
        <v>-3</v>
      </c>
      <c r="J357">
        <v>0.2</v>
      </c>
    </row>
    <row r="358" spans="1:10" x14ac:dyDescent="0.3">
      <c r="A358">
        <v>356</v>
      </c>
      <c r="B358">
        <v>5693</v>
      </c>
      <c r="C358" t="b">
        <v>1</v>
      </c>
      <c r="D358">
        <v>8048</v>
      </c>
      <c r="E358">
        <v>8123</v>
      </c>
      <c r="F358">
        <v>9.1999999999999993</v>
      </c>
      <c r="G358">
        <v>2.8</v>
      </c>
      <c r="H358">
        <v>3.2857143999999998</v>
      </c>
      <c r="I358">
        <v>-2.2857140999999999</v>
      </c>
      <c r="J358">
        <v>0.23333333000000001</v>
      </c>
    </row>
    <row r="359" spans="1:10" x14ac:dyDescent="0.3">
      <c r="A359">
        <v>357</v>
      </c>
      <c r="B359">
        <v>5709</v>
      </c>
      <c r="C359" t="b">
        <v>1</v>
      </c>
      <c r="D359">
        <v>8042</v>
      </c>
      <c r="E359">
        <v>8123</v>
      </c>
      <c r="F359">
        <v>8.8000000000000007</v>
      </c>
      <c r="G359">
        <v>3.2</v>
      </c>
      <c r="H359">
        <v>2.75</v>
      </c>
      <c r="I359">
        <v>-1.7500001000000001</v>
      </c>
      <c r="J359">
        <v>0.26666667999999999</v>
      </c>
    </row>
    <row r="360" spans="1:10" x14ac:dyDescent="0.3">
      <c r="A360">
        <v>358</v>
      </c>
      <c r="B360">
        <v>5725</v>
      </c>
      <c r="C360" t="b">
        <v>1</v>
      </c>
      <c r="D360">
        <v>8048</v>
      </c>
      <c r="E360">
        <v>8123</v>
      </c>
      <c r="F360">
        <v>8.4</v>
      </c>
      <c r="G360">
        <v>3.6</v>
      </c>
      <c r="H360">
        <v>2.3333333000000001</v>
      </c>
      <c r="I360">
        <v>-1.3333333000000001</v>
      </c>
      <c r="J360">
        <v>0.29999998</v>
      </c>
    </row>
    <row r="361" spans="1:10" x14ac:dyDescent="0.3">
      <c r="A361">
        <v>359</v>
      </c>
      <c r="B361">
        <v>5741</v>
      </c>
      <c r="C361" t="b">
        <v>1</v>
      </c>
      <c r="D361">
        <v>8048</v>
      </c>
      <c r="E361">
        <v>8123</v>
      </c>
      <c r="F361">
        <v>8</v>
      </c>
      <c r="G361">
        <v>4</v>
      </c>
      <c r="H361">
        <v>2</v>
      </c>
      <c r="I361">
        <v>-1</v>
      </c>
      <c r="J361">
        <v>0.33333333999999998</v>
      </c>
    </row>
    <row r="362" spans="1:10" x14ac:dyDescent="0.3">
      <c r="A362">
        <v>360</v>
      </c>
      <c r="B362">
        <v>5757</v>
      </c>
      <c r="C362" t="b">
        <v>1</v>
      </c>
      <c r="D362">
        <v>8048</v>
      </c>
      <c r="E362">
        <v>8117</v>
      </c>
      <c r="F362">
        <v>8</v>
      </c>
      <c r="G362">
        <v>4.4000000000000004</v>
      </c>
      <c r="H362">
        <v>1.8181818000000001</v>
      </c>
      <c r="I362">
        <v>-0.81818175000000004</v>
      </c>
      <c r="J362">
        <v>0.35483872999999999</v>
      </c>
    </row>
    <row r="363" spans="1:10" x14ac:dyDescent="0.3">
      <c r="A363">
        <v>361</v>
      </c>
      <c r="B363">
        <v>5772</v>
      </c>
      <c r="C363" t="b">
        <v>1</v>
      </c>
      <c r="D363">
        <v>8048</v>
      </c>
      <c r="E363">
        <v>8123</v>
      </c>
      <c r="F363">
        <v>8</v>
      </c>
      <c r="G363">
        <v>4.8</v>
      </c>
      <c r="H363">
        <v>1.6666666000000001</v>
      </c>
      <c r="I363">
        <v>-0.6666666</v>
      </c>
      <c r="J363">
        <v>0.375</v>
      </c>
    </row>
    <row r="364" spans="1:10" x14ac:dyDescent="0.3">
      <c r="A364">
        <v>362</v>
      </c>
      <c r="B364">
        <v>5788</v>
      </c>
      <c r="C364" t="b">
        <v>1</v>
      </c>
      <c r="D364">
        <v>8048</v>
      </c>
      <c r="E364">
        <v>8123</v>
      </c>
      <c r="F364">
        <v>8</v>
      </c>
      <c r="G364">
        <v>5.2</v>
      </c>
      <c r="H364">
        <v>1.5384616</v>
      </c>
      <c r="I364">
        <v>-0.53846156999999994</v>
      </c>
      <c r="J364">
        <v>0.39393938000000001</v>
      </c>
    </row>
    <row r="365" spans="1:10" x14ac:dyDescent="0.3">
      <c r="A365">
        <v>363</v>
      </c>
      <c r="B365">
        <v>5804</v>
      </c>
      <c r="C365" t="b">
        <v>1</v>
      </c>
      <c r="D365">
        <v>8048</v>
      </c>
      <c r="E365">
        <v>8117</v>
      </c>
      <c r="F365">
        <v>8</v>
      </c>
      <c r="G365">
        <v>6</v>
      </c>
      <c r="H365">
        <v>1.3333333999999999</v>
      </c>
      <c r="I365">
        <v>-0.33333333999999998</v>
      </c>
      <c r="J365">
        <v>0.42857142999999998</v>
      </c>
    </row>
    <row r="366" spans="1:10" x14ac:dyDescent="0.3">
      <c r="A366">
        <v>364</v>
      </c>
      <c r="B366">
        <v>5820</v>
      </c>
      <c r="C366" t="b">
        <v>1</v>
      </c>
      <c r="D366">
        <v>8048</v>
      </c>
      <c r="E366">
        <v>8123</v>
      </c>
      <c r="F366">
        <v>8</v>
      </c>
      <c r="G366">
        <v>6.8</v>
      </c>
      <c r="H366">
        <v>1.1764705</v>
      </c>
      <c r="I366">
        <v>-0.17647055</v>
      </c>
      <c r="J366">
        <v>0.45945944999999999</v>
      </c>
    </row>
    <row r="367" spans="1:10" x14ac:dyDescent="0.3">
      <c r="A367">
        <v>365</v>
      </c>
      <c r="B367">
        <v>5835</v>
      </c>
      <c r="C367" t="b">
        <v>1</v>
      </c>
      <c r="D367">
        <v>8048</v>
      </c>
      <c r="E367">
        <v>8123</v>
      </c>
      <c r="F367">
        <v>8</v>
      </c>
      <c r="G367">
        <v>7.6</v>
      </c>
      <c r="H367">
        <v>1.0526316</v>
      </c>
      <c r="I367">
        <v>-5.2631589999999999E-2</v>
      </c>
      <c r="J367">
        <v>0.48717946000000001</v>
      </c>
    </row>
    <row r="368" spans="1:10" x14ac:dyDescent="0.3">
      <c r="A368">
        <v>366</v>
      </c>
      <c r="B368">
        <v>5851</v>
      </c>
      <c r="C368" t="b">
        <v>1</v>
      </c>
      <c r="D368">
        <v>8048</v>
      </c>
      <c r="E368">
        <v>8129</v>
      </c>
      <c r="F368">
        <v>8</v>
      </c>
      <c r="G368">
        <v>8</v>
      </c>
      <c r="H368">
        <v>1</v>
      </c>
      <c r="I368">
        <v>0</v>
      </c>
      <c r="J368">
        <v>0.5</v>
      </c>
    </row>
    <row r="369" spans="1:10" x14ac:dyDescent="0.3">
      <c r="A369">
        <v>367</v>
      </c>
      <c r="B369">
        <v>5867</v>
      </c>
      <c r="C369" t="b">
        <v>1</v>
      </c>
      <c r="D369">
        <v>8048</v>
      </c>
      <c r="E369">
        <v>8117</v>
      </c>
      <c r="F369">
        <v>8</v>
      </c>
      <c r="G369">
        <v>8</v>
      </c>
      <c r="H369">
        <v>1</v>
      </c>
      <c r="I369">
        <v>0</v>
      </c>
      <c r="J369">
        <v>0.5</v>
      </c>
    </row>
    <row r="370" spans="1:10" x14ac:dyDescent="0.3">
      <c r="A370">
        <v>368</v>
      </c>
      <c r="B370">
        <v>5883</v>
      </c>
      <c r="C370" t="b">
        <v>1</v>
      </c>
      <c r="D370">
        <v>8054</v>
      </c>
      <c r="E370">
        <v>8123</v>
      </c>
      <c r="F370">
        <v>8</v>
      </c>
      <c r="G370">
        <v>8</v>
      </c>
      <c r="H370">
        <v>1</v>
      </c>
      <c r="I370">
        <v>0</v>
      </c>
      <c r="J370">
        <v>0.5</v>
      </c>
    </row>
    <row r="371" spans="1:10" x14ac:dyDescent="0.3">
      <c r="A371">
        <v>369</v>
      </c>
      <c r="B371">
        <v>5899</v>
      </c>
      <c r="C371" t="b">
        <v>1</v>
      </c>
      <c r="D371">
        <v>8054</v>
      </c>
      <c r="E371">
        <v>8123</v>
      </c>
      <c r="F371">
        <v>8</v>
      </c>
      <c r="G371">
        <v>8</v>
      </c>
      <c r="H371">
        <v>1</v>
      </c>
      <c r="I371">
        <v>0</v>
      </c>
      <c r="J371">
        <v>0.5</v>
      </c>
    </row>
    <row r="372" spans="1:10" x14ac:dyDescent="0.3">
      <c r="A372">
        <v>370</v>
      </c>
      <c r="B372">
        <v>5915</v>
      </c>
      <c r="C372" t="b">
        <v>1</v>
      </c>
      <c r="D372">
        <v>8048</v>
      </c>
      <c r="E372">
        <v>8117</v>
      </c>
      <c r="F372">
        <v>8</v>
      </c>
      <c r="G372">
        <v>8</v>
      </c>
      <c r="H372">
        <v>1</v>
      </c>
      <c r="I372">
        <v>0</v>
      </c>
      <c r="J372">
        <v>0.5</v>
      </c>
    </row>
    <row r="373" spans="1:10" x14ac:dyDescent="0.3">
      <c r="A373">
        <v>371</v>
      </c>
      <c r="B373">
        <v>5931</v>
      </c>
      <c r="C373" t="b">
        <v>1</v>
      </c>
      <c r="D373">
        <v>8054</v>
      </c>
      <c r="E373">
        <v>8123</v>
      </c>
      <c r="F373">
        <v>8.4</v>
      </c>
      <c r="G373">
        <v>8</v>
      </c>
      <c r="H373">
        <v>1.05</v>
      </c>
      <c r="I373">
        <v>-4.9999952E-2</v>
      </c>
      <c r="J373">
        <v>0.48780489999999999</v>
      </c>
    </row>
    <row r="374" spans="1:10" x14ac:dyDescent="0.3">
      <c r="A374">
        <v>372</v>
      </c>
      <c r="B374">
        <v>5946</v>
      </c>
      <c r="C374" t="b">
        <v>1</v>
      </c>
      <c r="D374">
        <v>8048</v>
      </c>
      <c r="E374">
        <v>8123</v>
      </c>
      <c r="F374">
        <v>8.8000000000000007</v>
      </c>
      <c r="G374">
        <v>8</v>
      </c>
      <c r="H374">
        <v>1.1000000000000001</v>
      </c>
      <c r="I374">
        <v>-0.10000002400000001</v>
      </c>
      <c r="J374">
        <v>0.47619050000000002</v>
      </c>
    </row>
    <row r="375" spans="1:10" x14ac:dyDescent="0.3">
      <c r="A375">
        <v>373</v>
      </c>
      <c r="B375">
        <v>5962</v>
      </c>
      <c r="C375" t="b">
        <v>1</v>
      </c>
      <c r="D375">
        <v>8048</v>
      </c>
      <c r="E375">
        <v>8111</v>
      </c>
      <c r="F375">
        <v>8.8000000000000007</v>
      </c>
      <c r="G375">
        <v>8</v>
      </c>
      <c r="H375">
        <v>1.1000000000000001</v>
      </c>
      <c r="I375">
        <v>-0.10000002400000001</v>
      </c>
      <c r="J375">
        <v>0.47619050000000002</v>
      </c>
    </row>
    <row r="376" spans="1:10" x14ac:dyDescent="0.3">
      <c r="A376">
        <v>374</v>
      </c>
      <c r="B376">
        <v>5978</v>
      </c>
      <c r="C376" t="b">
        <v>1</v>
      </c>
      <c r="D376">
        <v>8048</v>
      </c>
      <c r="E376">
        <v>8123</v>
      </c>
      <c r="F376">
        <v>8.8000000000000007</v>
      </c>
      <c r="G376">
        <v>8</v>
      </c>
      <c r="H376">
        <v>1.1000000000000001</v>
      </c>
      <c r="I376">
        <v>-0.10000002400000001</v>
      </c>
      <c r="J376">
        <v>0.47619050000000002</v>
      </c>
    </row>
    <row r="377" spans="1:10" x14ac:dyDescent="0.3">
      <c r="A377">
        <v>375</v>
      </c>
      <c r="B377">
        <v>5993</v>
      </c>
      <c r="C377" t="b">
        <v>1</v>
      </c>
      <c r="D377">
        <v>8054</v>
      </c>
      <c r="E377">
        <v>8123</v>
      </c>
      <c r="F377">
        <v>8.8000000000000007</v>
      </c>
      <c r="G377">
        <v>8</v>
      </c>
      <c r="H377">
        <v>1.1000000000000001</v>
      </c>
      <c r="I377">
        <v>-0.10000002400000001</v>
      </c>
      <c r="J377">
        <v>0.47619050000000002</v>
      </c>
    </row>
    <row r="378" spans="1:10" x14ac:dyDescent="0.3">
      <c r="A378">
        <v>376</v>
      </c>
      <c r="B378">
        <v>6009</v>
      </c>
      <c r="C378" t="b">
        <v>1</v>
      </c>
      <c r="D378">
        <v>8048</v>
      </c>
      <c r="E378">
        <v>8117</v>
      </c>
      <c r="F378">
        <v>8.8000000000000007</v>
      </c>
      <c r="G378">
        <v>8</v>
      </c>
      <c r="H378">
        <v>1.1000000000000001</v>
      </c>
      <c r="I378">
        <v>-0.10000002400000001</v>
      </c>
      <c r="J378">
        <v>0.47619050000000002</v>
      </c>
    </row>
    <row r="379" spans="1:10" x14ac:dyDescent="0.3">
      <c r="A379">
        <v>377</v>
      </c>
      <c r="B379">
        <v>6025</v>
      </c>
      <c r="C379" t="b">
        <v>1</v>
      </c>
      <c r="D379">
        <v>8048</v>
      </c>
      <c r="E379">
        <v>8117</v>
      </c>
      <c r="F379">
        <v>8.8000000000000007</v>
      </c>
      <c r="G379">
        <v>7.6</v>
      </c>
      <c r="H379">
        <v>1.1578946999999999</v>
      </c>
      <c r="I379">
        <v>-0.15789478000000001</v>
      </c>
      <c r="J379">
        <v>0.46341463999999999</v>
      </c>
    </row>
    <row r="380" spans="1:10" x14ac:dyDescent="0.3">
      <c r="A380">
        <v>378</v>
      </c>
      <c r="B380">
        <v>6041</v>
      </c>
      <c r="C380" t="b">
        <v>1</v>
      </c>
      <c r="D380">
        <v>8048</v>
      </c>
      <c r="E380">
        <v>8123</v>
      </c>
      <c r="F380">
        <v>8.8000000000000007</v>
      </c>
      <c r="G380">
        <v>7.6</v>
      </c>
      <c r="H380">
        <v>1.1578946999999999</v>
      </c>
      <c r="I380">
        <v>-0.15789478000000001</v>
      </c>
      <c r="J380">
        <v>0.46341463999999999</v>
      </c>
    </row>
    <row r="381" spans="1:10" x14ac:dyDescent="0.3">
      <c r="A381">
        <v>379</v>
      </c>
      <c r="B381">
        <v>6057</v>
      </c>
      <c r="C381" t="b">
        <v>1</v>
      </c>
      <c r="D381">
        <v>8054</v>
      </c>
      <c r="E381">
        <v>8123</v>
      </c>
      <c r="F381">
        <v>8.8000000000000007</v>
      </c>
      <c r="G381">
        <v>7.6</v>
      </c>
      <c r="H381">
        <v>1.1578946999999999</v>
      </c>
      <c r="I381">
        <v>-0.15789478000000001</v>
      </c>
      <c r="J381">
        <v>0.46341463999999999</v>
      </c>
    </row>
    <row r="382" spans="1:10" x14ac:dyDescent="0.3">
      <c r="A382">
        <v>380</v>
      </c>
      <c r="B382">
        <v>6073</v>
      </c>
      <c r="C382" t="b">
        <v>1</v>
      </c>
      <c r="D382">
        <v>8054</v>
      </c>
      <c r="E382">
        <v>8117</v>
      </c>
      <c r="F382">
        <v>8.8000000000000007</v>
      </c>
      <c r="G382">
        <v>7.2</v>
      </c>
      <c r="H382">
        <v>1.2222223000000001</v>
      </c>
      <c r="I382">
        <v>-0.22222227999999999</v>
      </c>
      <c r="J382">
        <v>0.45</v>
      </c>
    </row>
    <row r="383" spans="1:10" x14ac:dyDescent="0.3">
      <c r="A383">
        <v>381</v>
      </c>
      <c r="B383">
        <v>6089</v>
      </c>
      <c r="C383" t="b">
        <v>1</v>
      </c>
      <c r="D383">
        <v>8048</v>
      </c>
      <c r="E383">
        <v>8111</v>
      </c>
      <c r="F383">
        <v>8.8000000000000007</v>
      </c>
      <c r="G383">
        <v>6.8</v>
      </c>
      <c r="H383">
        <v>1.2941176999999999</v>
      </c>
      <c r="I383">
        <v>-0.29411763000000002</v>
      </c>
      <c r="J383">
        <v>0.43589744000000002</v>
      </c>
    </row>
    <row r="384" spans="1:10" x14ac:dyDescent="0.3">
      <c r="A384">
        <v>382</v>
      </c>
      <c r="B384">
        <v>6104</v>
      </c>
      <c r="C384" t="b">
        <v>1</v>
      </c>
      <c r="D384">
        <v>8048</v>
      </c>
      <c r="E384">
        <v>8111</v>
      </c>
      <c r="F384">
        <v>8.8000000000000007</v>
      </c>
      <c r="G384">
        <v>6.4</v>
      </c>
      <c r="H384">
        <v>1.375</v>
      </c>
      <c r="I384">
        <v>-0.375</v>
      </c>
      <c r="J384">
        <v>0.4210526</v>
      </c>
    </row>
    <row r="385" spans="1:10" x14ac:dyDescent="0.3">
      <c r="A385">
        <v>383</v>
      </c>
      <c r="B385">
        <v>6120</v>
      </c>
      <c r="C385" t="b">
        <v>1</v>
      </c>
      <c r="D385">
        <v>8048</v>
      </c>
      <c r="E385">
        <v>8123</v>
      </c>
      <c r="F385">
        <v>8.8000000000000007</v>
      </c>
      <c r="G385">
        <v>6</v>
      </c>
      <c r="H385">
        <v>1.4666667</v>
      </c>
      <c r="I385">
        <v>-0.46666669999999999</v>
      </c>
      <c r="J385">
        <v>0.40540540000000003</v>
      </c>
    </row>
    <row r="386" spans="1:10" x14ac:dyDescent="0.3">
      <c r="A386">
        <v>384</v>
      </c>
      <c r="B386">
        <v>6135</v>
      </c>
      <c r="C386" t="b">
        <v>1</v>
      </c>
      <c r="D386">
        <v>8054</v>
      </c>
      <c r="E386">
        <v>8117</v>
      </c>
      <c r="F386">
        <v>8.8000000000000007</v>
      </c>
      <c r="G386">
        <v>5.6</v>
      </c>
      <c r="H386">
        <v>1.5714287</v>
      </c>
      <c r="I386">
        <v>-0.57142866000000003</v>
      </c>
      <c r="J386">
        <v>0.38888889999999998</v>
      </c>
    </row>
    <row r="387" spans="1:10" x14ac:dyDescent="0.3">
      <c r="A387">
        <v>385</v>
      </c>
      <c r="B387">
        <v>6151</v>
      </c>
      <c r="C387" t="b">
        <v>1</v>
      </c>
      <c r="D387">
        <v>8048</v>
      </c>
      <c r="E387">
        <v>8111</v>
      </c>
      <c r="F387">
        <v>8.8000000000000007</v>
      </c>
      <c r="G387">
        <v>4.8</v>
      </c>
      <c r="H387">
        <v>1.8333333000000001</v>
      </c>
      <c r="I387">
        <v>-0.83333330000000005</v>
      </c>
      <c r="J387">
        <v>0.35294120000000001</v>
      </c>
    </row>
    <row r="388" spans="1:10" x14ac:dyDescent="0.3">
      <c r="A388">
        <v>386</v>
      </c>
      <c r="B388">
        <v>6168</v>
      </c>
      <c r="C388" t="b">
        <v>1</v>
      </c>
      <c r="D388">
        <v>8054</v>
      </c>
      <c r="E388">
        <v>8123</v>
      </c>
      <c r="F388">
        <v>8.4</v>
      </c>
      <c r="G388">
        <v>4.4000000000000004</v>
      </c>
      <c r="H388">
        <v>1.9090908</v>
      </c>
      <c r="I388">
        <v>-0.90909076</v>
      </c>
      <c r="J388">
        <v>0.34375002999999998</v>
      </c>
    </row>
    <row r="389" spans="1:10" x14ac:dyDescent="0.3">
      <c r="A389">
        <v>387</v>
      </c>
      <c r="B389">
        <v>6183</v>
      </c>
      <c r="C389" t="b">
        <v>1</v>
      </c>
      <c r="D389">
        <v>8054</v>
      </c>
      <c r="E389">
        <v>8123</v>
      </c>
      <c r="F389">
        <v>8.4</v>
      </c>
      <c r="G389">
        <v>4.4000000000000004</v>
      </c>
      <c r="H389">
        <v>1.9090908</v>
      </c>
      <c r="I389">
        <v>-0.90909076</v>
      </c>
      <c r="J389">
        <v>0.34375002999999998</v>
      </c>
    </row>
    <row r="390" spans="1:10" x14ac:dyDescent="0.3">
      <c r="A390">
        <v>388</v>
      </c>
      <c r="B390">
        <v>6199</v>
      </c>
      <c r="C390" t="b">
        <v>1</v>
      </c>
      <c r="D390">
        <v>8048</v>
      </c>
      <c r="E390">
        <v>8117</v>
      </c>
      <c r="F390">
        <v>8.8000000000000007</v>
      </c>
      <c r="G390">
        <v>4</v>
      </c>
      <c r="H390">
        <v>2.2000000000000002</v>
      </c>
      <c r="I390">
        <v>-1.2</v>
      </c>
      <c r="J390">
        <v>0.3125</v>
      </c>
    </row>
    <row r="391" spans="1:10" x14ac:dyDescent="0.3">
      <c r="A391">
        <v>389</v>
      </c>
      <c r="B391">
        <v>6215</v>
      </c>
      <c r="C391" t="b">
        <v>1</v>
      </c>
      <c r="D391">
        <v>8060</v>
      </c>
      <c r="E391">
        <v>8111</v>
      </c>
      <c r="F391">
        <v>9.1999999999999993</v>
      </c>
      <c r="G391">
        <v>3.6</v>
      </c>
      <c r="H391">
        <v>2.5555555999999999</v>
      </c>
      <c r="I391">
        <v>-1.5555555999999999</v>
      </c>
      <c r="J391">
        <v>0.28125</v>
      </c>
    </row>
    <row r="392" spans="1:10" x14ac:dyDescent="0.3">
      <c r="A392">
        <v>390</v>
      </c>
      <c r="B392">
        <v>6231</v>
      </c>
      <c r="C392" t="b">
        <v>1</v>
      </c>
      <c r="D392">
        <v>8048</v>
      </c>
      <c r="E392">
        <v>8117</v>
      </c>
      <c r="F392">
        <v>9.6</v>
      </c>
      <c r="G392">
        <v>3.2</v>
      </c>
      <c r="H392">
        <v>3</v>
      </c>
      <c r="I392">
        <v>-2.0000002000000001</v>
      </c>
      <c r="J392">
        <v>0.25</v>
      </c>
    </row>
    <row r="393" spans="1:10" x14ac:dyDescent="0.3">
      <c r="A393">
        <v>391</v>
      </c>
      <c r="B393">
        <v>6247</v>
      </c>
      <c r="C393" t="b">
        <v>1</v>
      </c>
      <c r="D393">
        <v>8042</v>
      </c>
      <c r="E393">
        <v>8123</v>
      </c>
      <c r="F393">
        <v>9.6</v>
      </c>
      <c r="G393">
        <v>2.8</v>
      </c>
      <c r="H393">
        <v>3.4285717</v>
      </c>
      <c r="I393">
        <v>-2.4285714999999999</v>
      </c>
      <c r="J393">
        <v>0.22580643</v>
      </c>
    </row>
    <row r="394" spans="1:10" x14ac:dyDescent="0.3">
      <c r="A394">
        <v>392</v>
      </c>
      <c r="B394">
        <v>6262</v>
      </c>
      <c r="C394" t="b">
        <v>1</v>
      </c>
      <c r="D394">
        <v>8048</v>
      </c>
      <c r="E394">
        <v>8111</v>
      </c>
      <c r="F394">
        <v>9.6</v>
      </c>
      <c r="G394">
        <v>2.8</v>
      </c>
      <c r="H394">
        <v>3.4285717</v>
      </c>
      <c r="I394">
        <v>-2.4285714999999999</v>
      </c>
      <c r="J394">
        <v>0.22580643</v>
      </c>
    </row>
    <row r="395" spans="1:10" x14ac:dyDescent="0.3">
      <c r="A395">
        <v>393</v>
      </c>
      <c r="B395">
        <v>6277</v>
      </c>
      <c r="C395" t="b">
        <v>1</v>
      </c>
      <c r="D395">
        <v>8054</v>
      </c>
      <c r="E395">
        <v>8117</v>
      </c>
      <c r="F395">
        <v>9.6</v>
      </c>
      <c r="G395">
        <v>2.4</v>
      </c>
      <c r="H395">
        <v>4</v>
      </c>
      <c r="I395">
        <v>-3</v>
      </c>
      <c r="J395">
        <v>0.2</v>
      </c>
    </row>
    <row r="396" spans="1:10" x14ac:dyDescent="0.3">
      <c r="A396">
        <v>394</v>
      </c>
      <c r="B396">
        <v>6293</v>
      </c>
      <c r="C396" t="b">
        <v>1</v>
      </c>
      <c r="D396">
        <v>8048</v>
      </c>
      <c r="E396">
        <v>8111</v>
      </c>
      <c r="F396">
        <v>9.6</v>
      </c>
      <c r="G396">
        <v>2</v>
      </c>
      <c r="H396">
        <v>4.8</v>
      </c>
      <c r="I396">
        <v>-3.8000001999999999</v>
      </c>
      <c r="J396">
        <v>0.17241377999999999</v>
      </c>
    </row>
    <row r="397" spans="1:10" x14ac:dyDescent="0.3">
      <c r="A397">
        <v>395</v>
      </c>
      <c r="B397">
        <v>6309</v>
      </c>
      <c r="C397" t="b">
        <v>1</v>
      </c>
      <c r="D397">
        <v>8048</v>
      </c>
      <c r="E397">
        <v>8111</v>
      </c>
      <c r="F397">
        <v>9.6</v>
      </c>
      <c r="G397">
        <v>1.6</v>
      </c>
      <c r="H397">
        <v>6</v>
      </c>
      <c r="I397">
        <v>-5</v>
      </c>
      <c r="J397">
        <v>0.14285713</v>
      </c>
    </row>
    <row r="398" spans="1:10" x14ac:dyDescent="0.3">
      <c r="A398">
        <v>396</v>
      </c>
      <c r="B398">
        <v>6325</v>
      </c>
      <c r="C398" t="b">
        <v>1</v>
      </c>
      <c r="D398">
        <v>8054</v>
      </c>
      <c r="E398">
        <v>8123</v>
      </c>
      <c r="F398">
        <v>9.6</v>
      </c>
      <c r="G398">
        <v>1.2</v>
      </c>
      <c r="H398">
        <v>8</v>
      </c>
      <c r="I398">
        <v>-7</v>
      </c>
      <c r="J398">
        <v>0.11111111</v>
      </c>
    </row>
    <row r="399" spans="1:10" x14ac:dyDescent="0.3">
      <c r="A399">
        <v>397</v>
      </c>
      <c r="B399">
        <v>6341</v>
      </c>
      <c r="C399" t="b">
        <v>1</v>
      </c>
      <c r="D399">
        <v>8054</v>
      </c>
      <c r="E399">
        <v>8111</v>
      </c>
      <c r="F399">
        <v>10</v>
      </c>
      <c r="G399">
        <v>0.8</v>
      </c>
      <c r="H399">
        <v>12.5</v>
      </c>
      <c r="I399">
        <v>-11.5</v>
      </c>
      <c r="J399">
        <v>7.4074075000000003E-2</v>
      </c>
    </row>
    <row r="400" spans="1:10" x14ac:dyDescent="0.3">
      <c r="A400">
        <v>398</v>
      </c>
      <c r="B400">
        <v>6357</v>
      </c>
      <c r="C400" t="b">
        <v>1</v>
      </c>
      <c r="D400">
        <v>8048</v>
      </c>
      <c r="E400">
        <v>8111</v>
      </c>
      <c r="F400">
        <v>10</v>
      </c>
      <c r="G400">
        <v>0.4</v>
      </c>
      <c r="H400">
        <v>25</v>
      </c>
      <c r="I400">
        <v>-24</v>
      </c>
      <c r="J400">
        <v>3.8461540000000002E-2</v>
      </c>
    </row>
    <row r="401" spans="1:10" x14ac:dyDescent="0.3">
      <c r="A401">
        <v>399</v>
      </c>
      <c r="B401">
        <v>6373</v>
      </c>
      <c r="C401" t="b">
        <v>1</v>
      </c>
      <c r="D401">
        <v>8048</v>
      </c>
      <c r="E401">
        <v>8123</v>
      </c>
      <c r="F401">
        <v>10</v>
      </c>
      <c r="G401">
        <v>0</v>
      </c>
      <c r="H401" t="s">
        <v>19</v>
      </c>
      <c r="I401" t="e">
        <f>-inf</f>
        <v>#NAME?</v>
      </c>
      <c r="J401">
        <v>0</v>
      </c>
    </row>
    <row r="402" spans="1:10" x14ac:dyDescent="0.3">
      <c r="A402">
        <v>400</v>
      </c>
      <c r="B402">
        <v>6388</v>
      </c>
      <c r="C402" t="b">
        <v>1</v>
      </c>
      <c r="D402">
        <v>8048</v>
      </c>
      <c r="E402">
        <v>8123</v>
      </c>
      <c r="F402">
        <v>10</v>
      </c>
      <c r="G402">
        <v>0.8</v>
      </c>
      <c r="H402">
        <v>12.5</v>
      </c>
      <c r="I402">
        <v>-11.5</v>
      </c>
      <c r="J402">
        <v>7.4074075000000003E-2</v>
      </c>
    </row>
    <row r="403" spans="1:10" x14ac:dyDescent="0.3">
      <c r="A403">
        <v>401</v>
      </c>
      <c r="B403">
        <v>6404</v>
      </c>
      <c r="C403" t="b">
        <v>1</v>
      </c>
      <c r="D403">
        <v>8048</v>
      </c>
      <c r="E403">
        <v>8123</v>
      </c>
      <c r="F403">
        <v>10</v>
      </c>
      <c r="G403">
        <v>1.2</v>
      </c>
      <c r="H403">
        <v>8.3333329999999997</v>
      </c>
      <c r="I403">
        <v>-7.3333329999999997</v>
      </c>
      <c r="J403">
        <v>0.107142866</v>
      </c>
    </row>
    <row r="404" spans="1:10" x14ac:dyDescent="0.3">
      <c r="A404">
        <v>402</v>
      </c>
      <c r="B404">
        <v>6420</v>
      </c>
      <c r="C404" t="b">
        <v>1</v>
      </c>
      <c r="D404">
        <v>8048</v>
      </c>
      <c r="E404">
        <v>8117</v>
      </c>
      <c r="F404">
        <v>9.6</v>
      </c>
      <c r="G404">
        <v>1.2</v>
      </c>
      <c r="H404">
        <v>8</v>
      </c>
      <c r="I404">
        <v>-7</v>
      </c>
      <c r="J404">
        <v>0.11111111</v>
      </c>
    </row>
    <row r="405" spans="1:10" x14ac:dyDescent="0.3">
      <c r="A405">
        <v>403</v>
      </c>
      <c r="B405">
        <v>6435</v>
      </c>
      <c r="C405" t="b">
        <v>1</v>
      </c>
      <c r="D405">
        <v>8048</v>
      </c>
      <c r="E405">
        <v>8123</v>
      </c>
      <c r="F405">
        <v>9.1999999999999993</v>
      </c>
      <c r="G405">
        <v>1.6</v>
      </c>
      <c r="H405">
        <v>5.75</v>
      </c>
      <c r="I405">
        <v>-4.75</v>
      </c>
      <c r="J405">
        <v>0.14814815000000001</v>
      </c>
    </row>
    <row r="406" spans="1:10" x14ac:dyDescent="0.3">
      <c r="A406">
        <v>404</v>
      </c>
      <c r="B406">
        <v>6451</v>
      </c>
      <c r="C406" t="b">
        <v>1</v>
      </c>
      <c r="D406">
        <v>8054</v>
      </c>
      <c r="E406">
        <v>8117</v>
      </c>
      <c r="F406">
        <v>8.8000000000000007</v>
      </c>
      <c r="G406">
        <v>2</v>
      </c>
      <c r="H406">
        <v>4.4000000000000004</v>
      </c>
      <c r="I406">
        <v>-3.4</v>
      </c>
      <c r="J406">
        <v>0.18518518</v>
      </c>
    </row>
    <row r="407" spans="1:10" x14ac:dyDescent="0.3">
      <c r="A407">
        <v>405</v>
      </c>
      <c r="B407">
        <v>6466</v>
      </c>
      <c r="C407" t="b">
        <v>1</v>
      </c>
      <c r="D407">
        <v>8048</v>
      </c>
      <c r="E407">
        <v>8117</v>
      </c>
      <c r="F407">
        <v>8.4</v>
      </c>
      <c r="G407">
        <v>2</v>
      </c>
      <c r="H407">
        <v>4.2</v>
      </c>
      <c r="I407">
        <v>-3.1999998000000001</v>
      </c>
      <c r="J407">
        <v>0.1923077</v>
      </c>
    </row>
    <row r="408" spans="1:10" x14ac:dyDescent="0.3">
      <c r="A408">
        <v>406</v>
      </c>
      <c r="B408">
        <v>6482</v>
      </c>
      <c r="C408" t="b">
        <v>1</v>
      </c>
      <c r="D408">
        <v>8048</v>
      </c>
      <c r="E408">
        <v>8111</v>
      </c>
      <c r="F408">
        <v>8.4</v>
      </c>
      <c r="G408">
        <v>2</v>
      </c>
      <c r="H408">
        <v>4.2</v>
      </c>
      <c r="I408">
        <v>-3.1999998000000001</v>
      </c>
      <c r="J408">
        <v>0.1923077</v>
      </c>
    </row>
    <row r="409" spans="1:10" x14ac:dyDescent="0.3">
      <c r="A409">
        <v>407</v>
      </c>
      <c r="B409">
        <v>6498</v>
      </c>
      <c r="C409" t="b">
        <v>1</v>
      </c>
      <c r="D409">
        <v>8054</v>
      </c>
      <c r="E409">
        <v>8105</v>
      </c>
      <c r="F409">
        <v>8.4</v>
      </c>
      <c r="G409">
        <v>2</v>
      </c>
      <c r="H409">
        <v>4.2</v>
      </c>
      <c r="I409">
        <v>-3.1999998000000001</v>
      </c>
      <c r="J409">
        <v>0.1923077</v>
      </c>
    </row>
    <row r="410" spans="1:10" x14ac:dyDescent="0.3">
      <c r="A410">
        <v>408</v>
      </c>
      <c r="B410">
        <v>6514</v>
      </c>
      <c r="C410" t="b">
        <v>1</v>
      </c>
      <c r="D410">
        <v>8060</v>
      </c>
      <c r="E410">
        <v>8111</v>
      </c>
      <c r="F410">
        <v>8.8000000000000007</v>
      </c>
      <c r="G410">
        <v>1.6</v>
      </c>
      <c r="H410">
        <v>5.5</v>
      </c>
      <c r="I410">
        <v>-4.5</v>
      </c>
      <c r="J410">
        <v>0.15384613999999999</v>
      </c>
    </row>
    <row r="411" spans="1:10" x14ac:dyDescent="0.3">
      <c r="A411">
        <v>409</v>
      </c>
      <c r="B411">
        <v>6530</v>
      </c>
      <c r="C411" t="b">
        <v>1</v>
      </c>
      <c r="D411">
        <v>8054</v>
      </c>
      <c r="E411">
        <v>8117</v>
      </c>
      <c r="F411">
        <v>9.1999999999999993</v>
      </c>
      <c r="G411">
        <v>1.2</v>
      </c>
      <c r="H411">
        <v>7.6666660000000002</v>
      </c>
      <c r="I411">
        <v>-6.6666664999999998</v>
      </c>
      <c r="J411">
        <v>0.11538461999999999</v>
      </c>
    </row>
    <row r="412" spans="1:10" x14ac:dyDescent="0.3">
      <c r="A412">
        <v>410</v>
      </c>
      <c r="B412">
        <v>6546</v>
      </c>
      <c r="C412" t="b">
        <v>1</v>
      </c>
      <c r="D412">
        <v>8060</v>
      </c>
      <c r="E412">
        <v>8123</v>
      </c>
      <c r="F412">
        <v>9.6</v>
      </c>
      <c r="G412">
        <v>1.2</v>
      </c>
      <c r="H412">
        <v>8</v>
      </c>
      <c r="I412">
        <v>-7</v>
      </c>
      <c r="J412">
        <v>0.11111111</v>
      </c>
    </row>
    <row r="413" spans="1:10" x14ac:dyDescent="0.3">
      <c r="A413">
        <v>411</v>
      </c>
      <c r="B413">
        <v>6561</v>
      </c>
      <c r="C413" t="b">
        <v>1</v>
      </c>
      <c r="D413">
        <v>8054</v>
      </c>
      <c r="E413">
        <v>8117</v>
      </c>
      <c r="F413">
        <v>10</v>
      </c>
      <c r="G413">
        <v>1.6</v>
      </c>
      <c r="H413">
        <v>6.25</v>
      </c>
      <c r="I413">
        <v>-5.2499995000000004</v>
      </c>
      <c r="J413">
        <v>0.13793103000000001</v>
      </c>
    </row>
    <row r="414" spans="1:10" x14ac:dyDescent="0.3">
      <c r="A414">
        <v>412</v>
      </c>
      <c r="B414">
        <v>6577</v>
      </c>
      <c r="C414" t="b">
        <v>1</v>
      </c>
      <c r="D414">
        <v>8054</v>
      </c>
      <c r="E414">
        <v>8123</v>
      </c>
      <c r="F414">
        <v>10</v>
      </c>
      <c r="G414">
        <v>2</v>
      </c>
      <c r="H414">
        <v>5</v>
      </c>
      <c r="I414">
        <v>-4</v>
      </c>
      <c r="J414">
        <v>0.16666666999999999</v>
      </c>
    </row>
    <row r="415" spans="1:10" x14ac:dyDescent="0.3">
      <c r="A415">
        <v>413</v>
      </c>
      <c r="B415">
        <v>6593</v>
      </c>
      <c r="C415" t="b">
        <v>1</v>
      </c>
      <c r="D415">
        <v>8054</v>
      </c>
      <c r="E415">
        <v>8123</v>
      </c>
      <c r="F415">
        <v>10.4</v>
      </c>
      <c r="G415">
        <v>2.8</v>
      </c>
      <c r="H415">
        <v>3.7142856000000002</v>
      </c>
      <c r="I415">
        <v>-2.7142856000000002</v>
      </c>
      <c r="J415">
        <v>0.21212122</v>
      </c>
    </row>
    <row r="416" spans="1:10" x14ac:dyDescent="0.3">
      <c r="A416">
        <v>414</v>
      </c>
      <c r="B416">
        <v>6609</v>
      </c>
      <c r="C416" t="b">
        <v>1</v>
      </c>
      <c r="D416">
        <v>8054</v>
      </c>
      <c r="E416">
        <v>8129</v>
      </c>
      <c r="F416">
        <v>10.8</v>
      </c>
      <c r="G416">
        <v>3.6</v>
      </c>
      <c r="H416">
        <v>3.0000002000000001</v>
      </c>
      <c r="I416">
        <v>-2.0000002000000001</v>
      </c>
      <c r="J416">
        <v>0.25</v>
      </c>
    </row>
    <row r="417" spans="1:10" x14ac:dyDescent="0.3">
      <c r="A417">
        <v>415</v>
      </c>
      <c r="B417">
        <v>6625</v>
      </c>
      <c r="C417" t="b">
        <v>1</v>
      </c>
      <c r="D417">
        <v>8054</v>
      </c>
      <c r="E417">
        <v>8129</v>
      </c>
      <c r="F417">
        <v>11.2</v>
      </c>
      <c r="G417">
        <v>3.6</v>
      </c>
      <c r="H417">
        <v>3.1111111999999999</v>
      </c>
      <c r="I417">
        <v>-2.1111111999999999</v>
      </c>
      <c r="J417">
        <v>0.24324324999999999</v>
      </c>
    </row>
    <row r="418" spans="1:10" x14ac:dyDescent="0.3">
      <c r="A418">
        <v>416</v>
      </c>
      <c r="B418">
        <v>6641</v>
      </c>
      <c r="C418" t="b">
        <v>1</v>
      </c>
      <c r="D418">
        <v>8048</v>
      </c>
      <c r="E418">
        <v>8117</v>
      </c>
      <c r="F418">
        <v>11.6</v>
      </c>
      <c r="G418">
        <v>3.6</v>
      </c>
      <c r="H418">
        <v>3.2222222999999999</v>
      </c>
      <c r="I418">
        <v>-2.2222222999999999</v>
      </c>
      <c r="J418">
        <v>0.23684208000000001</v>
      </c>
    </row>
    <row r="419" spans="1:10" x14ac:dyDescent="0.3">
      <c r="A419">
        <v>417</v>
      </c>
      <c r="B419">
        <v>6657</v>
      </c>
      <c r="C419" t="b">
        <v>1</v>
      </c>
      <c r="D419">
        <v>8048</v>
      </c>
      <c r="E419">
        <v>8123</v>
      </c>
      <c r="F419">
        <v>12</v>
      </c>
      <c r="G419">
        <v>3.6</v>
      </c>
      <c r="H419">
        <v>3.3333335000000002</v>
      </c>
      <c r="I419">
        <v>-2.3333333000000001</v>
      </c>
      <c r="J419">
        <v>0.23076922</v>
      </c>
    </row>
    <row r="420" spans="1:10" x14ac:dyDescent="0.3">
      <c r="A420">
        <v>418</v>
      </c>
      <c r="B420">
        <v>6672</v>
      </c>
      <c r="C420" t="b">
        <v>1</v>
      </c>
      <c r="D420">
        <v>8048</v>
      </c>
      <c r="E420">
        <v>8123</v>
      </c>
      <c r="F420">
        <v>12</v>
      </c>
      <c r="G420">
        <v>3.6</v>
      </c>
      <c r="H420">
        <v>3.3333335000000002</v>
      </c>
      <c r="I420">
        <v>-2.3333333000000001</v>
      </c>
      <c r="J420">
        <v>0.23076922</v>
      </c>
    </row>
    <row r="421" spans="1:10" x14ac:dyDescent="0.3">
      <c r="A421">
        <v>419</v>
      </c>
      <c r="B421">
        <v>6688</v>
      </c>
      <c r="C421" t="b">
        <v>1</v>
      </c>
      <c r="D421">
        <v>8048</v>
      </c>
      <c r="E421">
        <v>8111</v>
      </c>
      <c r="F421">
        <v>12</v>
      </c>
      <c r="G421">
        <v>3.6</v>
      </c>
      <c r="H421">
        <v>3.3333335000000002</v>
      </c>
      <c r="I421">
        <v>-2.3333333000000001</v>
      </c>
      <c r="J421">
        <v>0.23076922</v>
      </c>
    </row>
    <row r="422" spans="1:10" x14ac:dyDescent="0.3">
      <c r="A422">
        <v>420</v>
      </c>
      <c r="B422">
        <v>6704</v>
      </c>
      <c r="C422" t="b">
        <v>1</v>
      </c>
      <c r="D422">
        <v>8048</v>
      </c>
      <c r="E422">
        <v>8111</v>
      </c>
      <c r="F422">
        <v>12</v>
      </c>
      <c r="G422">
        <v>3.6</v>
      </c>
      <c r="H422">
        <v>3.3333335000000002</v>
      </c>
      <c r="I422">
        <v>-2.3333333000000001</v>
      </c>
      <c r="J422">
        <v>0.23076922</v>
      </c>
    </row>
    <row r="423" spans="1:10" x14ac:dyDescent="0.3">
      <c r="A423">
        <v>421</v>
      </c>
      <c r="B423">
        <v>6720</v>
      </c>
      <c r="C423" t="b">
        <v>1</v>
      </c>
      <c r="D423">
        <v>8048</v>
      </c>
      <c r="E423">
        <v>8117</v>
      </c>
      <c r="F423">
        <v>12</v>
      </c>
      <c r="G423">
        <v>3.6</v>
      </c>
      <c r="H423">
        <v>3.3333335000000002</v>
      </c>
      <c r="I423">
        <v>-2.3333333000000001</v>
      </c>
      <c r="J423">
        <v>0.23076922</v>
      </c>
    </row>
    <row r="424" spans="1:10" x14ac:dyDescent="0.3">
      <c r="A424">
        <v>422</v>
      </c>
      <c r="B424">
        <v>6736</v>
      </c>
      <c r="C424" t="b">
        <v>1</v>
      </c>
      <c r="D424">
        <v>8048</v>
      </c>
      <c r="E424">
        <v>8123</v>
      </c>
      <c r="F424">
        <v>12</v>
      </c>
      <c r="G424">
        <v>3.6</v>
      </c>
      <c r="H424">
        <v>3.3333335000000002</v>
      </c>
      <c r="I424">
        <v>-2.3333333000000001</v>
      </c>
      <c r="J424">
        <v>0.23076922</v>
      </c>
    </row>
    <row r="425" spans="1:10" x14ac:dyDescent="0.3">
      <c r="A425">
        <v>423</v>
      </c>
      <c r="B425">
        <v>6752</v>
      </c>
      <c r="C425" t="b">
        <v>1</v>
      </c>
      <c r="D425">
        <v>8042</v>
      </c>
      <c r="E425">
        <v>8123</v>
      </c>
      <c r="F425">
        <v>11.6</v>
      </c>
      <c r="G425">
        <v>4</v>
      </c>
      <c r="H425">
        <v>2.9</v>
      </c>
      <c r="I425">
        <v>-1.9000001</v>
      </c>
      <c r="J425">
        <v>0.25641024000000001</v>
      </c>
    </row>
    <row r="426" spans="1:10" x14ac:dyDescent="0.3">
      <c r="A426">
        <v>424</v>
      </c>
      <c r="B426">
        <v>6768</v>
      </c>
      <c r="C426" t="b">
        <v>1</v>
      </c>
      <c r="D426">
        <v>8048</v>
      </c>
      <c r="E426">
        <v>8111</v>
      </c>
      <c r="F426">
        <v>11.2</v>
      </c>
      <c r="G426">
        <v>4.4000000000000004</v>
      </c>
      <c r="H426">
        <v>2.5454545</v>
      </c>
      <c r="I426">
        <v>-1.5454545</v>
      </c>
      <c r="J426">
        <v>0.2820513</v>
      </c>
    </row>
    <row r="427" spans="1:10" x14ac:dyDescent="0.3">
      <c r="A427">
        <v>425</v>
      </c>
      <c r="B427">
        <v>6783</v>
      </c>
      <c r="C427" t="b">
        <v>1</v>
      </c>
      <c r="D427">
        <v>8048</v>
      </c>
      <c r="E427">
        <v>8123</v>
      </c>
      <c r="F427">
        <v>10.8</v>
      </c>
      <c r="G427">
        <v>5.2</v>
      </c>
      <c r="H427">
        <v>2.0769231000000001</v>
      </c>
      <c r="I427">
        <v>-1.0769230999999999</v>
      </c>
      <c r="J427">
        <v>0.32500000000000001</v>
      </c>
    </row>
    <row r="428" spans="1:10" x14ac:dyDescent="0.3">
      <c r="A428">
        <v>426</v>
      </c>
      <c r="B428">
        <v>6799</v>
      </c>
      <c r="C428" t="b">
        <v>1</v>
      </c>
      <c r="D428">
        <v>8048</v>
      </c>
      <c r="E428">
        <v>8117</v>
      </c>
      <c r="F428">
        <v>10.4</v>
      </c>
      <c r="G428">
        <v>5.6</v>
      </c>
      <c r="H428">
        <v>1.8571428000000001</v>
      </c>
      <c r="I428">
        <v>-0.85714279999999998</v>
      </c>
      <c r="J428">
        <v>0.35</v>
      </c>
    </row>
    <row r="429" spans="1:10" x14ac:dyDescent="0.3">
      <c r="A429">
        <v>427</v>
      </c>
      <c r="B429">
        <v>6815</v>
      </c>
      <c r="C429" t="b">
        <v>1</v>
      </c>
      <c r="D429">
        <v>8054</v>
      </c>
      <c r="E429">
        <v>8117</v>
      </c>
      <c r="F429">
        <v>10</v>
      </c>
      <c r="G429">
        <v>5.6</v>
      </c>
      <c r="H429">
        <v>1.7857143</v>
      </c>
      <c r="I429">
        <v>-0.78571429999999998</v>
      </c>
      <c r="J429">
        <v>0.35897434</v>
      </c>
    </row>
    <row r="430" spans="1:10" x14ac:dyDescent="0.3">
      <c r="A430">
        <v>428</v>
      </c>
      <c r="B430">
        <v>6831</v>
      </c>
      <c r="C430" t="b">
        <v>1</v>
      </c>
      <c r="D430">
        <v>8048</v>
      </c>
      <c r="E430">
        <v>8117</v>
      </c>
      <c r="F430">
        <v>9.6</v>
      </c>
      <c r="G430">
        <v>5.2</v>
      </c>
      <c r="H430">
        <v>1.8461540000000001</v>
      </c>
      <c r="I430">
        <v>-0.84615399999999996</v>
      </c>
      <c r="J430">
        <v>0.35135132000000002</v>
      </c>
    </row>
    <row r="431" spans="1:10" x14ac:dyDescent="0.3">
      <c r="A431">
        <v>429</v>
      </c>
      <c r="B431">
        <v>6847</v>
      </c>
      <c r="C431" t="b">
        <v>1</v>
      </c>
      <c r="D431">
        <v>8054</v>
      </c>
      <c r="E431">
        <v>8117</v>
      </c>
      <c r="F431">
        <v>9.1999999999999993</v>
      </c>
      <c r="G431">
        <v>4.8</v>
      </c>
      <c r="H431">
        <v>1.9166665000000001</v>
      </c>
      <c r="I431">
        <v>-0.91666656999999996</v>
      </c>
      <c r="J431">
        <v>0.34285715</v>
      </c>
    </row>
    <row r="432" spans="1:10" x14ac:dyDescent="0.3">
      <c r="A432">
        <v>430</v>
      </c>
      <c r="B432">
        <v>6863</v>
      </c>
      <c r="C432" t="b">
        <v>1</v>
      </c>
      <c r="D432">
        <v>8048</v>
      </c>
      <c r="E432">
        <v>8123</v>
      </c>
      <c r="F432">
        <v>8.8000000000000007</v>
      </c>
      <c r="G432">
        <v>4.4000000000000004</v>
      </c>
      <c r="H432">
        <v>2</v>
      </c>
      <c r="I432">
        <v>-1</v>
      </c>
      <c r="J432">
        <v>0.3333333</v>
      </c>
    </row>
    <row r="433" spans="1:10" x14ac:dyDescent="0.3">
      <c r="A433">
        <v>431</v>
      </c>
      <c r="B433">
        <v>6878</v>
      </c>
      <c r="C433" t="b">
        <v>1</v>
      </c>
      <c r="D433">
        <v>8042</v>
      </c>
      <c r="E433">
        <v>8111</v>
      </c>
      <c r="F433">
        <v>8.4</v>
      </c>
      <c r="G433">
        <v>4</v>
      </c>
      <c r="H433">
        <v>2.1</v>
      </c>
      <c r="I433">
        <v>-1.0999999</v>
      </c>
      <c r="J433">
        <v>0.32258067000000001</v>
      </c>
    </row>
    <row r="434" spans="1:10" x14ac:dyDescent="0.3">
      <c r="A434">
        <v>432</v>
      </c>
      <c r="B434">
        <v>6894</v>
      </c>
      <c r="C434" t="b">
        <v>1</v>
      </c>
      <c r="D434">
        <v>8042</v>
      </c>
      <c r="E434">
        <v>8117</v>
      </c>
      <c r="F434">
        <v>8</v>
      </c>
      <c r="G434">
        <v>3.6</v>
      </c>
      <c r="H434">
        <v>2.2222222999999999</v>
      </c>
      <c r="I434">
        <v>-1.2222223000000001</v>
      </c>
      <c r="J434">
        <v>0.31034482000000002</v>
      </c>
    </row>
    <row r="435" spans="1:10" x14ac:dyDescent="0.3">
      <c r="A435">
        <v>433</v>
      </c>
      <c r="B435">
        <v>6910</v>
      </c>
      <c r="C435" t="b">
        <v>1</v>
      </c>
      <c r="D435">
        <v>8054</v>
      </c>
      <c r="E435">
        <v>8117</v>
      </c>
      <c r="F435">
        <v>8</v>
      </c>
      <c r="G435">
        <v>3.2</v>
      </c>
      <c r="H435">
        <v>2.5</v>
      </c>
      <c r="I435">
        <v>-1.5</v>
      </c>
      <c r="J435">
        <v>0.28571429999999998</v>
      </c>
    </row>
    <row r="436" spans="1:10" x14ac:dyDescent="0.3">
      <c r="A436">
        <v>434</v>
      </c>
      <c r="B436">
        <v>6926</v>
      </c>
      <c r="C436" t="b">
        <v>1</v>
      </c>
      <c r="D436">
        <v>8054</v>
      </c>
      <c r="E436">
        <v>8111</v>
      </c>
      <c r="F436">
        <v>8</v>
      </c>
      <c r="G436">
        <v>2.8</v>
      </c>
      <c r="H436">
        <v>2.8571430000000002</v>
      </c>
      <c r="I436">
        <v>-1.8571428000000001</v>
      </c>
      <c r="J436">
        <v>0.25925925</v>
      </c>
    </row>
    <row r="437" spans="1:10" x14ac:dyDescent="0.3">
      <c r="A437">
        <v>435</v>
      </c>
      <c r="B437">
        <v>6942</v>
      </c>
      <c r="C437" t="b">
        <v>1</v>
      </c>
      <c r="D437">
        <v>8048</v>
      </c>
      <c r="E437">
        <v>8117</v>
      </c>
      <c r="F437">
        <v>8</v>
      </c>
      <c r="G437">
        <v>2.8</v>
      </c>
      <c r="H437">
        <v>2.8571430000000002</v>
      </c>
      <c r="I437">
        <v>-1.8571428000000001</v>
      </c>
      <c r="J437">
        <v>0.25925925</v>
      </c>
    </row>
    <row r="438" spans="1:10" x14ac:dyDescent="0.3">
      <c r="A438">
        <v>436</v>
      </c>
      <c r="B438">
        <v>6958</v>
      </c>
      <c r="C438" t="b">
        <v>1</v>
      </c>
      <c r="D438">
        <v>8048</v>
      </c>
      <c r="E438">
        <v>8117</v>
      </c>
      <c r="F438">
        <v>8</v>
      </c>
      <c r="G438">
        <v>2.8</v>
      </c>
      <c r="H438">
        <v>2.8571430000000002</v>
      </c>
      <c r="I438">
        <v>-1.8571428000000001</v>
      </c>
      <c r="J438">
        <v>0.25925925</v>
      </c>
    </row>
    <row r="439" spans="1:10" x14ac:dyDescent="0.3">
      <c r="A439">
        <v>437</v>
      </c>
      <c r="B439">
        <v>6974</v>
      </c>
      <c r="C439" t="b">
        <v>1</v>
      </c>
      <c r="D439">
        <v>8054</v>
      </c>
      <c r="E439">
        <v>8123</v>
      </c>
      <c r="F439">
        <v>8.4</v>
      </c>
      <c r="G439">
        <v>2.8</v>
      </c>
      <c r="H439">
        <v>3</v>
      </c>
      <c r="I439">
        <v>-1.9999998999999999</v>
      </c>
      <c r="J439">
        <v>0.25</v>
      </c>
    </row>
    <row r="440" spans="1:10" x14ac:dyDescent="0.3">
      <c r="A440">
        <v>438</v>
      </c>
      <c r="B440">
        <v>6990</v>
      </c>
      <c r="C440" t="b">
        <v>1</v>
      </c>
      <c r="D440">
        <v>8048</v>
      </c>
      <c r="E440">
        <v>8123</v>
      </c>
      <c r="F440">
        <v>8.4</v>
      </c>
      <c r="G440">
        <v>2.8</v>
      </c>
      <c r="H440">
        <v>3</v>
      </c>
      <c r="I440">
        <v>-1.9999998999999999</v>
      </c>
      <c r="J440">
        <v>0.25</v>
      </c>
    </row>
    <row r="441" spans="1:10" x14ac:dyDescent="0.3">
      <c r="A441">
        <v>439</v>
      </c>
      <c r="B441">
        <v>7006</v>
      </c>
      <c r="C441" t="b">
        <v>1</v>
      </c>
      <c r="D441">
        <v>8048</v>
      </c>
      <c r="E441">
        <v>8117</v>
      </c>
      <c r="F441">
        <v>8.4</v>
      </c>
      <c r="G441">
        <v>2.8</v>
      </c>
      <c r="H441">
        <v>3</v>
      </c>
      <c r="I441">
        <v>-1.9999998999999999</v>
      </c>
      <c r="J441">
        <v>0.25</v>
      </c>
    </row>
    <row r="442" spans="1:10" x14ac:dyDescent="0.3">
      <c r="A442">
        <v>440</v>
      </c>
      <c r="B442">
        <v>7022</v>
      </c>
      <c r="C442" t="b">
        <v>1</v>
      </c>
      <c r="D442">
        <v>8042</v>
      </c>
      <c r="E442">
        <v>8123</v>
      </c>
      <c r="F442">
        <v>8.4</v>
      </c>
      <c r="G442">
        <v>2.8</v>
      </c>
      <c r="H442">
        <v>3</v>
      </c>
      <c r="I442">
        <v>-1.9999998999999999</v>
      </c>
      <c r="J442">
        <v>0.25</v>
      </c>
    </row>
    <row r="443" spans="1:10" x14ac:dyDescent="0.3">
      <c r="A443">
        <v>441</v>
      </c>
      <c r="B443">
        <v>7037</v>
      </c>
      <c r="C443" t="b">
        <v>1</v>
      </c>
      <c r="D443">
        <v>8037</v>
      </c>
      <c r="E443">
        <v>8123</v>
      </c>
      <c r="F443">
        <v>8.4</v>
      </c>
      <c r="G443">
        <v>2.8</v>
      </c>
      <c r="H443">
        <v>3</v>
      </c>
      <c r="I443">
        <v>-1.9999998999999999</v>
      </c>
      <c r="J443">
        <v>0.25</v>
      </c>
    </row>
    <row r="444" spans="1:10" x14ac:dyDescent="0.3">
      <c r="A444">
        <v>442</v>
      </c>
      <c r="B444">
        <v>7053</v>
      </c>
      <c r="C444" t="b">
        <v>1</v>
      </c>
      <c r="D444">
        <v>8037</v>
      </c>
      <c r="E444">
        <v>8111</v>
      </c>
      <c r="F444">
        <v>8</v>
      </c>
      <c r="G444">
        <v>3.2</v>
      </c>
      <c r="H444">
        <v>2.5</v>
      </c>
      <c r="I444">
        <v>-1.5</v>
      </c>
      <c r="J444">
        <v>0.28571429999999998</v>
      </c>
    </row>
    <row r="445" spans="1:10" x14ac:dyDescent="0.3">
      <c r="A445">
        <v>443</v>
      </c>
      <c r="B445">
        <v>7069</v>
      </c>
      <c r="C445" t="b">
        <v>1</v>
      </c>
      <c r="D445">
        <v>8037</v>
      </c>
      <c r="E445">
        <v>8117</v>
      </c>
      <c r="F445">
        <v>7.266667</v>
      </c>
      <c r="G445">
        <v>3.2</v>
      </c>
      <c r="H445">
        <v>2.2708333000000001</v>
      </c>
      <c r="I445">
        <v>-1.2708333000000001</v>
      </c>
      <c r="J445">
        <v>0.30573250000000002</v>
      </c>
    </row>
    <row r="446" spans="1:10" x14ac:dyDescent="0.3">
      <c r="A446">
        <v>444</v>
      </c>
      <c r="B446">
        <v>7085</v>
      </c>
      <c r="C446" t="b">
        <v>1</v>
      </c>
      <c r="D446">
        <v>8042</v>
      </c>
      <c r="E446">
        <v>8111</v>
      </c>
      <c r="F446">
        <v>6.5333332999999998</v>
      </c>
      <c r="G446">
        <v>3.2</v>
      </c>
      <c r="H446">
        <v>2.0416664999999998</v>
      </c>
      <c r="I446">
        <v>-1.0416666000000001</v>
      </c>
      <c r="J446">
        <v>0.32876712000000002</v>
      </c>
    </row>
    <row r="447" spans="1:10" x14ac:dyDescent="0.3">
      <c r="A447">
        <v>445</v>
      </c>
      <c r="B447">
        <v>7101</v>
      </c>
      <c r="C447" t="b">
        <v>1</v>
      </c>
      <c r="D447">
        <v>8042</v>
      </c>
      <c r="E447">
        <v>8117</v>
      </c>
      <c r="F447">
        <v>5.8</v>
      </c>
      <c r="G447">
        <v>3.2</v>
      </c>
      <c r="H447">
        <v>1.8125</v>
      </c>
      <c r="I447">
        <v>-0.81250005999999997</v>
      </c>
      <c r="J447">
        <v>0.35555555999999999</v>
      </c>
    </row>
    <row r="448" spans="1:10" x14ac:dyDescent="0.3">
      <c r="A448">
        <v>446</v>
      </c>
      <c r="B448">
        <v>7117</v>
      </c>
      <c r="C448" t="b">
        <v>1</v>
      </c>
      <c r="D448">
        <v>8054</v>
      </c>
      <c r="E448">
        <v>8117</v>
      </c>
      <c r="F448">
        <v>5.4</v>
      </c>
      <c r="G448">
        <v>3.2</v>
      </c>
      <c r="H448">
        <v>1.6875</v>
      </c>
      <c r="I448">
        <v>-0.6875</v>
      </c>
      <c r="J448">
        <v>0.37209302</v>
      </c>
    </row>
    <row r="449" spans="1:10" x14ac:dyDescent="0.3">
      <c r="A449">
        <v>447</v>
      </c>
      <c r="B449">
        <v>7133</v>
      </c>
      <c r="C449" t="b">
        <v>1</v>
      </c>
      <c r="D449">
        <v>8048</v>
      </c>
      <c r="E449">
        <v>8117</v>
      </c>
      <c r="F449">
        <v>5</v>
      </c>
      <c r="G449">
        <v>3.2</v>
      </c>
      <c r="H449">
        <v>1.5625</v>
      </c>
      <c r="I449">
        <v>-0.5625</v>
      </c>
      <c r="J449">
        <v>0.39024392000000002</v>
      </c>
    </row>
    <row r="450" spans="1:10" x14ac:dyDescent="0.3">
      <c r="A450">
        <v>448</v>
      </c>
      <c r="B450">
        <v>7148</v>
      </c>
      <c r="C450" t="b">
        <v>1</v>
      </c>
      <c r="D450">
        <v>8048</v>
      </c>
      <c r="E450">
        <v>8111</v>
      </c>
      <c r="F450">
        <v>5</v>
      </c>
      <c r="G450">
        <v>3.2</v>
      </c>
      <c r="H450">
        <v>1.5625</v>
      </c>
      <c r="I450">
        <v>-0.5625</v>
      </c>
      <c r="J450">
        <v>0.39024392000000002</v>
      </c>
    </row>
    <row r="451" spans="1:10" x14ac:dyDescent="0.3">
      <c r="A451">
        <v>449</v>
      </c>
      <c r="B451">
        <v>7164</v>
      </c>
      <c r="C451" t="b">
        <v>1</v>
      </c>
      <c r="D451">
        <v>8054</v>
      </c>
      <c r="E451">
        <v>8123</v>
      </c>
      <c r="F451">
        <v>5</v>
      </c>
      <c r="G451">
        <v>3.2</v>
      </c>
      <c r="H451">
        <v>1.5625</v>
      </c>
      <c r="I451">
        <v>-0.5625</v>
      </c>
      <c r="J451">
        <v>0.39024392000000002</v>
      </c>
    </row>
    <row r="452" spans="1:10" x14ac:dyDescent="0.3">
      <c r="A452">
        <v>450</v>
      </c>
      <c r="B452">
        <v>7180</v>
      </c>
      <c r="C452" t="b">
        <v>1</v>
      </c>
      <c r="D452">
        <v>8048</v>
      </c>
      <c r="E452">
        <v>8123</v>
      </c>
      <c r="F452">
        <v>5</v>
      </c>
      <c r="G452">
        <v>3.2</v>
      </c>
      <c r="H452">
        <v>1.5625</v>
      </c>
      <c r="I452">
        <v>-0.5625</v>
      </c>
      <c r="J452">
        <v>0.39024392000000002</v>
      </c>
    </row>
    <row r="453" spans="1:10" x14ac:dyDescent="0.3">
      <c r="A453">
        <v>451</v>
      </c>
      <c r="B453">
        <v>7196</v>
      </c>
      <c r="C453" t="b">
        <v>1</v>
      </c>
      <c r="D453">
        <v>8048</v>
      </c>
      <c r="E453">
        <v>8117</v>
      </c>
      <c r="F453">
        <v>5</v>
      </c>
      <c r="G453">
        <v>3.2</v>
      </c>
      <c r="H453">
        <v>1.5625</v>
      </c>
      <c r="I453">
        <v>-0.5625</v>
      </c>
      <c r="J453">
        <v>0.39024392000000002</v>
      </c>
    </row>
    <row r="454" spans="1:10" x14ac:dyDescent="0.3">
      <c r="A454">
        <v>452</v>
      </c>
      <c r="B454">
        <v>7212</v>
      </c>
      <c r="C454" t="b">
        <v>1</v>
      </c>
      <c r="D454">
        <v>8048</v>
      </c>
      <c r="E454">
        <v>8117</v>
      </c>
      <c r="F454">
        <v>4.5999999999999996</v>
      </c>
      <c r="G454">
        <v>3.2</v>
      </c>
      <c r="H454">
        <v>1.4375</v>
      </c>
      <c r="I454">
        <v>-0.43749993999999998</v>
      </c>
      <c r="J454">
        <v>0.41025642000000001</v>
      </c>
    </row>
    <row r="455" spans="1:10" x14ac:dyDescent="0.3">
      <c r="A455">
        <v>453</v>
      </c>
      <c r="B455">
        <v>7228</v>
      </c>
      <c r="C455" t="b">
        <v>1</v>
      </c>
      <c r="D455">
        <v>8048</v>
      </c>
      <c r="E455">
        <v>8111</v>
      </c>
      <c r="F455">
        <v>4.5999999999999996</v>
      </c>
      <c r="G455">
        <v>3.2</v>
      </c>
      <c r="H455">
        <v>1.4375</v>
      </c>
      <c r="I455">
        <v>-0.43749993999999998</v>
      </c>
      <c r="J455">
        <v>0.41025642000000001</v>
      </c>
    </row>
    <row r="456" spans="1:10" x14ac:dyDescent="0.3">
      <c r="A456">
        <v>454</v>
      </c>
      <c r="B456">
        <v>7244</v>
      </c>
      <c r="C456" t="b">
        <v>1</v>
      </c>
      <c r="D456">
        <v>8048</v>
      </c>
      <c r="E456">
        <v>8117</v>
      </c>
      <c r="F456">
        <v>4.5999999999999996</v>
      </c>
      <c r="G456">
        <v>3.2</v>
      </c>
      <c r="H456">
        <v>1.4375</v>
      </c>
      <c r="I456">
        <v>-0.43749993999999998</v>
      </c>
      <c r="J456">
        <v>0.41025642000000001</v>
      </c>
    </row>
    <row r="457" spans="1:10" x14ac:dyDescent="0.3">
      <c r="A457">
        <v>455</v>
      </c>
      <c r="B457">
        <v>7260</v>
      </c>
      <c r="C457" t="b">
        <v>1</v>
      </c>
      <c r="D457">
        <v>8042</v>
      </c>
      <c r="E457">
        <v>8123</v>
      </c>
      <c r="F457">
        <v>4.5999999999999996</v>
      </c>
      <c r="G457">
        <v>2.8</v>
      </c>
      <c r="H457">
        <v>1.6428571999999999</v>
      </c>
      <c r="I457">
        <v>-0.64285713</v>
      </c>
      <c r="J457">
        <v>0.3783784</v>
      </c>
    </row>
    <row r="458" spans="1:10" x14ac:dyDescent="0.3">
      <c r="A458">
        <v>456</v>
      </c>
      <c r="B458">
        <v>7276</v>
      </c>
      <c r="C458" t="b">
        <v>1</v>
      </c>
      <c r="D458">
        <v>8048</v>
      </c>
      <c r="E458">
        <v>8111</v>
      </c>
      <c r="F458">
        <v>4.5999999999999996</v>
      </c>
      <c r="G458">
        <v>2.4</v>
      </c>
      <c r="H458">
        <v>1.9166665000000001</v>
      </c>
      <c r="I458">
        <v>-0.91666656999999996</v>
      </c>
      <c r="J458">
        <v>0.34285715</v>
      </c>
    </row>
    <row r="459" spans="1:10" x14ac:dyDescent="0.3">
      <c r="A459">
        <v>457</v>
      </c>
      <c r="B459">
        <v>7292</v>
      </c>
      <c r="C459" t="b">
        <v>1</v>
      </c>
      <c r="D459">
        <v>8048</v>
      </c>
      <c r="E459">
        <v>8123</v>
      </c>
      <c r="F459">
        <v>5</v>
      </c>
      <c r="G459">
        <v>2</v>
      </c>
      <c r="H459">
        <v>2.5</v>
      </c>
      <c r="I459">
        <v>-1.5</v>
      </c>
      <c r="J459">
        <v>0.28571429999999998</v>
      </c>
    </row>
    <row r="460" spans="1:10" x14ac:dyDescent="0.3">
      <c r="A460">
        <v>458</v>
      </c>
      <c r="B460">
        <v>7308</v>
      </c>
      <c r="C460" t="b">
        <v>1</v>
      </c>
      <c r="D460">
        <v>8048</v>
      </c>
      <c r="E460">
        <v>8123</v>
      </c>
      <c r="F460">
        <v>5.733333</v>
      </c>
      <c r="G460">
        <v>2.4</v>
      </c>
      <c r="H460">
        <v>2.3888886</v>
      </c>
      <c r="I460">
        <v>-1.3888887000000001</v>
      </c>
      <c r="J460">
        <v>0.29508197000000003</v>
      </c>
    </row>
    <row r="461" spans="1:10" x14ac:dyDescent="0.3">
      <c r="A461">
        <v>459</v>
      </c>
      <c r="B461">
        <v>7323</v>
      </c>
      <c r="C461" t="b">
        <v>1</v>
      </c>
      <c r="D461">
        <v>8054</v>
      </c>
      <c r="E461">
        <v>8111</v>
      </c>
      <c r="F461">
        <v>6.4666667000000002</v>
      </c>
      <c r="G461">
        <v>2.8</v>
      </c>
      <c r="H461">
        <v>2.3095238</v>
      </c>
      <c r="I461">
        <v>-1.3095238</v>
      </c>
      <c r="J461">
        <v>0.30215827000000001</v>
      </c>
    </row>
    <row r="462" spans="1:10" x14ac:dyDescent="0.3">
      <c r="A462">
        <v>460</v>
      </c>
      <c r="B462">
        <v>7339</v>
      </c>
      <c r="C462" t="b">
        <v>1</v>
      </c>
      <c r="D462">
        <v>8048</v>
      </c>
      <c r="E462">
        <v>8117</v>
      </c>
      <c r="F462">
        <v>7.2</v>
      </c>
      <c r="G462">
        <v>2.8</v>
      </c>
      <c r="H462">
        <v>2.5714285000000001</v>
      </c>
      <c r="I462">
        <v>-1.5714284000000001</v>
      </c>
      <c r="J462">
        <v>0.28000000000000003</v>
      </c>
    </row>
    <row r="463" spans="1:10" x14ac:dyDescent="0.3">
      <c r="A463">
        <v>461</v>
      </c>
      <c r="B463">
        <v>7355</v>
      </c>
      <c r="C463" t="b">
        <v>1</v>
      </c>
      <c r="D463">
        <v>8048</v>
      </c>
      <c r="E463">
        <v>8123</v>
      </c>
      <c r="F463">
        <v>7.6</v>
      </c>
      <c r="G463">
        <v>3.2</v>
      </c>
      <c r="H463">
        <v>2.375</v>
      </c>
      <c r="I463">
        <v>-1.3749998999999999</v>
      </c>
      <c r="J463">
        <v>0.29629630000000001</v>
      </c>
    </row>
    <row r="464" spans="1:10" x14ac:dyDescent="0.3">
      <c r="A464">
        <v>462</v>
      </c>
      <c r="B464">
        <v>7371</v>
      </c>
      <c r="C464" t="b">
        <v>1</v>
      </c>
      <c r="D464">
        <v>8048</v>
      </c>
      <c r="E464">
        <v>8123</v>
      </c>
      <c r="F464">
        <v>8</v>
      </c>
      <c r="G464">
        <v>3.6</v>
      </c>
      <c r="H464">
        <v>2.2222222999999999</v>
      </c>
      <c r="I464">
        <v>-1.2222223000000001</v>
      </c>
      <c r="J464">
        <v>0.31034482000000002</v>
      </c>
    </row>
    <row r="465" spans="1:10" x14ac:dyDescent="0.3">
      <c r="A465">
        <v>463</v>
      </c>
      <c r="B465">
        <v>7387</v>
      </c>
      <c r="C465" t="b">
        <v>1</v>
      </c>
      <c r="D465">
        <v>8048</v>
      </c>
      <c r="E465">
        <v>8123</v>
      </c>
      <c r="F465">
        <v>8</v>
      </c>
      <c r="G465">
        <v>4</v>
      </c>
      <c r="H465">
        <v>2</v>
      </c>
      <c r="I465">
        <v>-1</v>
      </c>
      <c r="J465">
        <v>0.33333333999999998</v>
      </c>
    </row>
    <row r="466" spans="1:10" x14ac:dyDescent="0.3">
      <c r="A466">
        <v>464</v>
      </c>
      <c r="B466">
        <v>7403</v>
      </c>
      <c r="C466" t="b">
        <v>1</v>
      </c>
      <c r="D466">
        <v>8048</v>
      </c>
      <c r="E466">
        <v>8117</v>
      </c>
      <c r="F466">
        <v>8</v>
      </c>
      <c r="G466">
        <v>4.4000000000000004</v>
      </c>
      <c r="H466">
        <v>1.8181818000000001</v>
      </c>
      <c r="I466">
        <v>-0.81818175000000004</v>
      </c>
      <c r="J466">
        <v>0.35483872999999999</v>
      </c>
    </row>
    <row r="467" spans="1:10" x14ac:dyDescent="0.3">
      <c r="A467">
        <v>465</v>
      </c>
      <c r="B467">
        <v>7419</v>
      </c>
      <c r="C467" t="b">
        <v>1</v>
      </c>
      <c r="D467">
        <v>8048</v>
      </c>
      <c r="E467">
        <v>8123</v>
      </c>
      <c r="F467">
        <v>8</v>
      </c>
      <c r="G467">
        <v>4.8</v>
      </c>
      <c r="H467">
        <v>1.6666666000000001</v>
      </c>
      <c r="I467">
        <v>-0.6666666</v>
      </c>
      <c r="J467">
        <v>0.375</v>
      </c>
    </row>
    <row r="468" spans="1:10" x14ac:dyDescent="0.3">
      <c r="A468">
        <v>466</v>
      </c>
      <c r="B468">
        <v>7435</v>
      </c>
      <c r="C468" t="b">
        <v>1</v>
      </c>
      <c r="D468">
        <v>8054</v>
      </c>
      <c r="E468">
        <v>8111</v>
      </c>
      <c r="F468">
        <v>8</v>
      </c>
      <c r="G468">
        <v>5.2</v>
      </c>
      <c r="H468">
        <v>1.5384616</v>
      </c>
      <c r="I468">
        <v>-0.53846156999999994</v>
      </c>
      <c r="J468">
        <v>0.39393938000000001</v>
      </c>
    </row>
    <row r="469" spans="1:10" x14ac:dyDescent="0.3">
      <c r="A469">
        <v>467</v>
      </c>
      <c r="B469">
        <v>7451</v>
      </c>
      <c r="C469" t="b">
        <v>1</v>
      </c>
      <c r="D469">
        <v>8048</v>
      </c>
      <c r="E469">
        <v>8111</v>
      </c>
      <c r="F469">
        <v>8</v>
      </c>
      <c r="G469">
        <v>5.2</v>
      </c>
      <c r="H469">
        <v>1.5384616</v>
      </c>
      <c r="I469">
        <v>-0.53846156999999994</v>
      </c>
      <c r="J469">
        <v>0.39393938000000001</v>
      </c>
    </row>
    <row r="470" spans="1:10" x14ac:dyDescent="0.3">
      <c r="A470">
        <v>468</v>
      </c>
      <c r="B470">
        <v>7466</v>
      </c>
      <c r="C470" t="b">
        <v>1</v>
      </c>
      <c r="D470">
        <v>8054</v>
      </c>
      <c r="E470">
        <v>8123</v>
      </c>
      <c r="F470">
        <v>8</v>
      </c>
      <c r="G470">
        <v>5.2</v>
      </c>
      <c r="H470">
        <v>1.5384616</v>
      </c>
      <c r="I470">
        <v>-0.53846156999999994</v>
      </c>
      <c r="J470">
        <v>0.39393938000000001</v>
      </c>
    </row>
    <row r="471" spans="1:10" x14ac:dyDescent="0.3">
      <c r="A471">
        <v>469</v>
      </c>
      <c r="B471">
        <v>7482</v>
      </c>
      <c r="C471" t="b">
        <v>1</v>
      </c>
      <c r="D471">
        <v>8048</v>
      </c>
      <c r="E471">
        <v>8123</v>
      </c>
      <c r="F471">
        <v>8</v>
      </c>
      <c r="G471">
        <v>5.6</v>
      </c>
      <c r="H471">
        <v>1.4285715000000001</v>
      </c>
      <c r="I471">
        <v>-0.42857146000000002</v>
      </c>
      <c r="J471">
        <v>0.41176467999999999</v>
      </c>
    </row>
    <row r="472" spans="1:10" x14ac:dyDescent="0.3">
      <c r="A472">
        <v>470</v>
      </c>
      <c r="B472">
        <v>7498</v>
      </c>
      <c r="C472" t="b">
        <v>1</v>
      </c>
      <c r="D472">
        <v>8054</v>
      </c>
      <c r="E472">
        <v>8117</v>
      </c>
      <c r="F472">
        <v>8.4</v>
      </c>
      <c r="G472">
        <v>5.6</v>
      </c>
      <c r="H472">
        <v>1.5</v>
      </c>
      <c r="I472">
        <v>-0.49999997000000002</v>
      </c>
      <c r="J472">
        <v>0.4</v>
      </c>
    </row>
    <row r="473" spans="1:10" x14ac:dyDescent="0.3">
      <c r="A473">
        <v>471</v>
      </c>
      <c r="B473">
        <v>7514</v>
      </c>
      <c r="C473" t="b">
        <v>1</v>
      </c>
      <c r="D473">
        <v>8048</v>
      </c>
      <c r="E473">
        <v>8123</v>
      </c>
      <c r="F473">
        <v>8.4</v>
      </c>
      <c r="G473">
        <v>6</v>
      </c>
      <c r="H473">
        <v>1.4</v>
      </c>
      <c r="I473">
        <v>-0.39999994999999999</v>
      </c>
      <c r="J473">
        <v>0.4166667</v>
      </c>
    </row>
    <row r="474" spans="1:10" x14ac:dyDescent="0.3">
      <c r="A474">
        <v>472</v>
      </c>
      <c r="B474">
        <v>7530</v>
      </c>
      <c r="C474" t="b">
        <v>1</v>
      </c>
      <c r="D474">
        <v>8048</v>
      </c>
      <c r="E474">
        <v>8117</v>
      </c>
      <c r="F474">
        <v>8.4</v>
      </c>
      <c r="G474">
        <v>6.4</v>
      </c>
      <c r="H474">
        <v>1.3124998999999999</v>
      </c>
      <c r="I474">
        <v>-0.3124999</v>
      </c>
      <c r="J474">
        <v>0.43243247000000001</v>
      </c>
    </row>
    <row r="475" spans="1:10" x14ac:dyDescent="0.3">
      <c r="A475">
        <v>473</v>
      </c>
      <c r="B475">
        <v>7546</v>
      </c>
      <c r="C475" t="b">
        <v>1</v>
      </c>
      <c r="D475">
        <v>8048</v>
      </c>
      <c r="E475">
        <v>8111</v>
      </c>
      <c r="F475">
        <v>8.4</v>
      </c>
      <c r="G475">
        <v>6</v>
      </c>
      <c r="H475">
        <v>1.4</v>
      </c>
      <c r="I475">
        <v>-0.39999994999999999</v>
      </c>
      <c r="J475">
        <v>0.4166667</v>
      </c>
    </row>
    <row r="476" spans="1:10" x14ac:dyDescent="0.3">
      <c r="A476">
        <v>474</v>
      </c>
      <c r="B476">
        <v>7561</v>
      </c>
      <c r="C476" t="b">
        <v>1</v>
      </c>
      <c r="D476">
        <v>8048</v>
      </c>
      <c r="E476">
        <v>8117</v>
      </c>
      <c r="F476">
        <v>8.4</v>
      </c>
      <c r="G476">
        <v>5.6</v>
      </c>
      <c r="H476">
        <v>1.5</v>
      </c>
      <c r="I476">
        <v>-0.49999997000000002</v>
      </c>
      <c r="J476">
        <v>0.4</v>
      </c>
    </row>
    <row r="477" spans="1:10" x14ac:dyDescent="0.3">
      <c r="A477">
        <v>475</v>
      </c>
      <c r="B477">
        <v>7577</v>
      </c>
      <c r="C477" t="b">
        <v>1</v>
      </c>
      <c r="D477">
        <v>8048</v>
      </c>
      <c r="E477">
        <v>8117</v>
      </c>
      <c r="F477">
        <v>8.4</v>
      </c>
      <c r="G477">
        <v>5.6</v>
      </c>
      <c r="H477">
        <v>1.5</v>
      </c>
      <c r="I477">
        <v>-0.49999997000000002</v>
      </c>
      <c r="J477">
        <v>0.4</v>
      </c>
    </row>
    <row r="478" spans="1:10" x14ac:dyDescent="0.3">
      <c r="A478">
        <v>476</v>
      </c>
      <c r="B478">
        <v>7593</v>
      </c>
      <c r="C478" t="b">
        <v>1</v>
      </c>
      <c r="D478">
        <v>8042</v>
      </c>
      <c r="E478">
        <v>8117</v>
      </c>
      <c r="F478">
        <v>8.4</v>
      </c>
      <c r="G478">
        <v>5.2</v>
      </c>
      <c r="H478">
        <v>1.6153846000000001</v>
      </c>
      <c r="I478">
        <v>-0.61538459999999995</v>
      </c>
      <c r="J478">
        <v>0.38235295000000002</v>
      </c>
    </row>
    <row r="479" spans="1:10" x14ac:dyDescent="0.3">
      <c r="A479">
        <v>477</v>
      </c>
      <c r="B479">
        <v>7609</v>
      </c>
      <c r="C479" t="b">
        <v>1</v>
      </c>
      <c r="D479">
        <v>8048</v>
      </c>
      <c r="E479">
        <v>8129</v>
      </c>
      <c r="F479">
        <v>8.4</v>
      </c>
      <c r="G479">
        <v>4.8</v>
      </c>
      <c r="H479">
        <v>1.7499998999999999</v>
      </c>
      <c r="I479">
        <v>-0.74999990000000005</v>
      </c>
      <c r="J479">
        <v>0.36363636999999999</v>
      </c>
    </row>
    <row r="480" spans="1:10" x14ac:dyDescent="0.3">
      <c r="A480">
        <v>478</v>
      </c>
      <c r="B480">
        <v>7626</v>
      </c>
      <c r="C480" t="b">
        <v>1</v>
      </c>
      <c r="D480">
        <v>8048</v>
      </c>
      <c r="E480">
        <v>8105</v>
      </c>
      <c r="F480">
        <v>8.4</v>
      </c>
      <c r="G480">
        <v>4.4000000000000004</v>
      </c>
      <c r="H480">
        <v>1.9090908</v>
      </c>
      <c r="I480">
        <v>-0.90909076</v>
      </c>
      <c r="J480">
        <v>0.34375002999999998</v>
      </c>
    </row>
    <row r="481" spans="1:10" x14ac:dyDescent="0.3">
      <c r="A481">
        <v>479</v>
      </c>
      <c r="B481">
        <v>7641</v>
      </c>
      <c r="C481" t="b">
        <v>1</v>
      </c>
      <c r="D481">
        <v>8048</v>
      </c>
      <c r="E481">
        <v>8105</v>
      </c>
      <c r="F481">
        <v>8.4</v>
      </c>
      <c r="G481">
        <v>4</v>
      </c>
      <c r="H481">
        <v>2.1</v>
      </c>
      <c r="I481">
        <v>-1.0999999</v>
      </c>
      <c r="J481">
        <v>0.32258067000000001</v>
      </c>
    </row>
    <row r="482" spans="1:10" x14ac:dyDescent="0.3">
      <c r="A482">
        <v>480</v>
      </c>
      <c r="B482">
        <v>7657</v>
      </c>
      <c r="C482" t="b">
        <v>1</v>
      </c>
      <c r="D482">
        <v>8048</v>
      </c>
      <c r="E482">
        <v>8111</v>
      </c>
      <c r="F482">
        <v>8.4</v>
      </c>
      <c r="G482">
        <v>3.2</v>
      </c>
      <c r="H482">
        <v>2.6249997999999999</v>
      </c>
      <c r="I482">
        <v>-1.6249998999999999</v>
      </c>
      <c r="J482">
        <v>0.2758621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8111</v>
      </c>
      <c r="F483">
        <v>8.4</v>
      </c>
      <c r="G483">
        <v>2.4</v>
      </c>
      <c r="H483">
        <v>3.4999997999999999</v>
      </c>
      <c r="I483">
        <v>-2.4999997999999999</v>
      </c>
      <c r="J483">
        <v>0.22222225000000001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8105</v>
      </c>
      <c r="F484">
        <v>8.4</v>
      </c>
      <c r="G484">
        <v>1.6</v>
      </c>
      <c r="H484">
        <v>5.2499995000000004</v>
      </c>
      <c r="I484">
        <v>-4.2499995000000004</v>
      </c>
      <c r="J484">
        <v>0.16</v>
      </c>
    </row>
    <row r="485" spans="1:10" x14ac:dyDescent="0.3">
      <c r="A485">
        <v>483</v>
      </c>
      <c r="B485">
        <v>7705</v>
      </c>
      <c r="C485" t="b">
        <v>1</v>
      </c>
      <c r="D485">
        <v>8048</v>
      </c>
      <c r="E485">
        <v>8105</v>
      </c>
      <c r="F485">
        <v>8.4</v>
      </c>
      <c r="G485">
        <v>0.8</v>
      </c>
      <c r="H485">
        <v>10.499999000000001</v>
      </c>
      <c r="I485">
        <v>-9.4999990000000007</v>
      </c>
      <c r="J485">
        <v>8.6956519999999995E-2</v>
      </c>
    </row>
    <row r="486" spans="1:10" x14ac:dyDescent="0.3">
      <c r="A486">
        <v>484</v>
      </c>
      <c r="B486">
        <v>7720</v>
      </c>
      <c r="C486" t="b">
        <v>1</v>
      </c>
      <c r="D486">
        <v>8054</v>
      </c>
      <c r="E486">
        <v>8111</v>
      </c>
      <c r="F486">
        <v>8.4</v>
      </c>
      <c r="G486">
        <v>0</v>
      </c>
      <c r="H486" t="s">
        <v>19</v>
      </c>
      <c r="I486" t="e">
        <f>-inf</f>
        <v>#NAME?</v>
      </c>
      <c r="J486">
        <v>0</v>
      </c>
    </row>
    <row r="487" spans="1:10" x14ac:dyDescent="0.3">
      <c r="A487">
        <v>485</v>
      </c>
      <c r="B487">
        <v>7736</v>
      </c>
      <c r="C487" t="b">
        <v>1</v>
      </c>
      <c r="D487">
        <v>8054</v>
      </c>
      <c r="E487">
        <v>8111</v>
      </c>
      <c r="F487">
        <v>8</v>
      </c>
      <c r="G487">
        <v>-0.4</v>
      </c>
      <c r="H487">
        <v>-20</v>
      </c>
      <c r="I487">
        <v>20.999998000000001</v>
      </c>
      <c r="J487">
        <v>-5.2631579999999997E-2</v>
      </c>
    </row>
    <row r="488" spans="1:10" x14ac:dyDescent="0.3">
      <c r="A488">
        <v>486</v>
      </c>
      <c r="B488">
        <v>7752</v>
      </c>
      <c r="C488" t="b">
        <v>1</v>
      </c>
      <c r="D488">
        <v>8060</v>
      </c>
      <c r="E488">
        <v>8123</v>
      </c>
      <c r="F488">
        <v>8.4</v>
      </c>
      <c r="G488">
        <v>-1.2</v>
      </c>
      <c r="H488">
        <v>-6.9999995000000004</v>
      </c>
      <c r="I488">
        <v>7.9999989999999999</v>
      </c>
      <c r="J488">
        <v>-0.16666666999999999</v>
      </c>
    </row>
    <row r="489" spans="1:10" x14ac:dyDescent="0.3">
      <c r="A489">
        <v>487</v>
      </c>
      <c r="B489">
        <v>7768</v>
      </c>
      <c r="C489" t="b">
        <v>1</v>
      </c>
      <c r="D489">
        <v>8042</v>
      </c>
      <c r="E489">
        <v>8123</v>
      </c>
      <c r="F489">
        <v>8.8000000000000007</v>
      </c>
      <c r="G489">
        <v>-2</v>
      </c>
      <c r="H489">
        <v>-4.4000000000000004</v>
      </c>
      <c r="I489">
        <v>5.4</v>
      </c>
      <c r="J489">
        <v>-0.29411763000000002</v>
      </c>
    </row>
    <row r="490" spans="1:10" x14ac:dyDescent="0.3">
      <c r="A490">
        <v>488</v>
      </c>
      <c r="B490">
        <v>7784</v>
      </c>
      <c r="C490" t="b">
        <v>1</v>
      </c>
      <c r="D490">
        <v>8054</v>
      </c>
      <c r="E490">
        <v>8117</v>
      </c>
      <c r="F490">
        <v>9.1999999999999993</v>
      </c>
      <c r="G490">
        <v>-2</v>
      </c>
      <c r="H490">
        <v>-4.5999999999999996</v>
      </c>
      <c r="I490">
        <v>5.6</v>
      </c>
      <c r="J490">
        <v>-0.27777780000000002</v>
      </c>
    </row>
    <row r="491" spans="1:10" x14ac:dyDescent="0.3">
      <c r="A491">
        <v>489</v>
      </c>
      <c r="B491">
        <v>7800</v>
      </c>
      <c r="C491" t="b">
        <v>1</v>
      </c>
      <c r="D491">
        <v>8048</v>
      </c>
      <c r="E491">
        <v>8117</v>
      </c>
      <c r="F491">
        <v>9.6</v>
      </c>
      <c r="G491">
        <v>-2</v>
      </c>
      <c r="H491">
        <v>-4.8</v>
      </c>
      <c r="I491">
        <v>5.8</v>
      </c>
      <c r="J491">
        <v>-0.26315787000000002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8111</v>
      </c>
      <c r="F492">
        <v>9.6</v>
      </c>
      <c r="G492">
        <v>-2</v>
      </c>
      <c r="H492">
        <v>-4.8</v>
      </c>
      <c r="I492">
        <v>5.8</v>
      </c>
      <c r="J492">
        <v>-0.26315787000000002</v>
      </c>
    </row>
    <row r="493" spans="1:10" x14ac:dyDescent="0.3">
      <c r="A493">
        <v>491</v>
      </c>
      <c r="B493">
        <v>7831</v>
      </c>
      <c r="C493" t="b">
        <v>1</v>
      </c>
      <c r="D493">
        <v>8048</v>
      </c>
      <c r="E493">
        <v>8117</v>
      </c>
      <c r="F493">
        <v>9.6</v>
      </c>
      <c r="G493">
        <v>-2</v>
      </c>
      <c r="H493">
        <v>-4.8</v>
      </c>
      <c r="I493">
        <v>5.8</v>
      </c>
      <c r="J493">
        <v>-0.26315787000000002</v>
      </c>
    </row>
    <row r="494" spans="1:10" x14ac:dyDescent="0.3">
      <c r="A494">
        <v>492</v>
      </c>
      <c r="B494">
        <v>7847</v>
      </c>
      <c r="C494" t="b">
        <v>1</v>
      </c>
      <c r="D494">
        <v>8048</v>
      </c>
      <c r="E494">
        <v>8117</v>
      </c>
      <c r="F494">
        <v>9.6</v>
      </c>
      <c r="G494">
        <v>-2</v>
      </c>
      <c r="H494">
        <v>-4.8</v>
      </c>
      <c r="I494">
        <v>5.8</v>
      </c>
      <c r="J494">
        <v>-0.26315787000000002</v>
      </c>
    </row>
    <row r="495" spans="1:10" x14ac:dyDescent="0.3">
      <c r="A495">
        <v>493</v>
      </c>
      <c r="B495">
        <v>7863</v>
      </c>
      <c r="C495" t="b">
        <v>1</v>
      </c>
      <c r="D495">
        <v>8048</v>
      </c>
      <c r="E495">
        <v>8111</v>
      </c>
      <c r="F495">
        <v>9.6</v>
      </c>
      <c r="G495">
        <v>-2</v>
      </c>
      <c r="H495">
        <v>-4.8</v>
      </c>
      <c r="I495">
        <v>5.8</v>
      </c>
      <c r="J495">
        <v>-0.26315787000000002</v>
      </c>
    </row>
    <row r="496" spans="1:10" x14ac:dyDescent="0.3">
      <c r="A496">
        <v>494</v>
      </c>
      <c r="B496">
        <v>7879</v>
      </c>
      <c r="C496" t="b">
        <v>1</v>
      </c>
      <c r="D496">
        <v>8048</v>
      </c>
      <c r="E496">
        <v>8117</v>
      </c>
      <c r="F496">
        <v>9.6</v>
      </c>
      <c r="G496">
        <v>-2</v>
      </c>
      <c r="H496">
        <v>-4.8</v>
      </c>
      <c r="I496">
        <v>5.8</v>
      </c>
      <c r="J496">
        <v>-0.26315787000000002</v>
      </c>
    </row>
    <row r="497" spans="1:10" x14ac:dyDescent="0.3">
      <c r="A497">
        <v>495</v>
      </c>
      <c r="B497">
        <v>7895</v>
      </c>
      <c r="C497" t="b">
        <v>1</v>
      </c>
      <c r="D497">
        <v>8048</v>
      </c>
      <c r="E497">
        <v>8111</v>
      </c>
      <c r="F497">
        <v>9.6</v>
      </c>
      <c r="G497">
        <v>-1.6</v>
      </c>
      <c r="H497">
        <v>-6</v>
      </c>
      <c r="I497">
        <v>7.0000004999999996</v>
      </c>
      <c r="J497">
        <v>-0.2</v>
      </c>
    </row>
    <row r="498" spans="1:10" x14ac:dyDescent="0.3">
      <c r="A498">
        <v>496</v>
      </c>
      <c r="B498">
        <v>7911</v>
      </c>
      <c r="C498" t="b">
        <v>1</v>
      </c>
      <c r="D498">
        <v>8048</v>
      </c>
      <c r="E498">
        <v>8117</v>
      </c>
      <c r="F498">
        <v>9.6</v>
      </c>
      <c r="G498">
        <v>-1.2</v>
      </c>
      <c r="H498">
        <v>-8</v>
      </c>
      <c r="I498">
        <v>9</v>
      </c>
      <c r="J498">
        <v>-0.14285713</v>
      </c>
    </row>
    <row r="499" spans="1:10" x14ac:dyDescent="0.3">
      <c r="A499">
        <v>497</v>
      </c>
      <c r="B499">
        <v>7927</v>
      </c>
      <c r="C499" t="b">
        <v>1</v>
      </c>
      <c r="D499">
        <v>8054</v>
      </c>
      <c r="E499">
        <v>8123</v>
      </c>
      <c r="F499">
        <v>9.6</v>
      </c>
      <c r="G499">
        <v>-0.4</v>
      </c>
      <c r="H499">
        <v>-24</v>
      </c>
      <c r="I499">
        <v>25</v>
      </c>
      <c r="J499">
        <v>-4.3478257999999999E-2</v>
      </c>
    </row>
    <row r="500" spans="1:10" x14ac:dyDescent="0.3">
      <c r="A500">
        <v>498</v>
      </c>
      <c r="B500">
        <v>7943</v>
      </c>
      <c r="C500" t="b">
        <v>1</v>
      </c>
      <c r="D500">
        <v>8048</v>
      </c>
      <c r="E500">
        <v>8123</v>
      </c>
      <c r="F500">
        <v>9.6</v>
      </c>
      <c r="G500">
        <v>0.4</v>
      </c>
      <c r="H500">
        <v>24</v>
      </c>
      <c r="I500">
        <v>-23.000001999999999</v>
      </c>
      <c r="J500">
        <v>0.04</v>
      </c>
    </row>
    <row r="501" spans="1:10" x14ac:dyDescent="0.3">
      <c r="A501">
        <v>499</v>
      </c>
      <c r="B501">
        <v>7958</v>
      </c>
      <c r="C501" t="b">
        <v>1</v>
      </c>
      <c r="D501">
        <v>8048</v>
      </c>
      <c r="E501">
        <v>8117</v>
      </c>
      <c r="F501">
        <v>9.6</v>
      </c>
      <c r="G501">
        <v>0.8</v>
      </c>
      <c r="H501">
        <v>12</v>
      </c>
      <c r="I501">
        <v>-11</v>
      </c>
      <c r="J501">
        <v>7.6923069999999996E-2</v>
      </c>
    </row>
    <row r="502" spans="1:10" x14ac:dyDescent="0.3">
      <c r="A502">
        <v>500</v>
      </c>
      <c r="B502">
        <v>7974</v>
      </c>
      <c r="C502" t="b">
        <v>1</v>
      </c>
      <c r="D502">
        <v>8054</v>
      </c>
      <c r="E502">
        <v>8117</v>
      </c>
      <c r="F502">
        <v>9.6</v>
      </c>
      <c r="G502">
        <v>1.2</v>
      </c>
      <c r="H502">
        <v>8</v>
      </c>
      <c r="I502">
        <v>-7</v>
      </c>
      <c r="J502">
        <v>0.11111111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2EE-35D8-4492-8D89-E619023C044C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8071</v>
      </c>
      <c r="E2">
        <v>8105</v>
      </c>
      <c r="F2">
        <v>31</v>
      </c>
      <c r="G2">
        <v>-10</v>
      </c>
      <c r="H2">
        <v>-3.1</v>
      </c>
      <c r="I2">
        <v>4.0999999999999996</v>
      </c>
      <c r="J2">
        <v>-0.47619048000000003</v>
      </c>
    </row>
    <row r="3" spans="1:10" x14ac:dyDescent="0.3">
      <c r="A3">
        <v>1</v>
      </c>
      <c r="B3">
        <v>23</v>
      </c>
      <c r="C3" t="b">
        <v>1</v>
      </c>
      <c r="D3">
        <v>8054</v>
      </c>
      <c r="E3">
        <v>8105</v>
      </c>
      <c r="F3">
        <v>31</v>
      </c>
      <c r="G3">
        <v>-10</v>
      </c>
      <c r="H3">
        <v>-3.1</v>
      </c>
      <c r="I3">
        <v>4.0999999999999996</v>
      </c>
      <c r="J3">
        <v>-0.47619048000000003</v>
      </c>
    </row>
    <row r="4" spans="1:10" x14ac:dyDescent="0.3">
      <c r="A4">
        <v>2</v>
      </c>
      <c r="B4">
        <v>38</v>
      </c>
      <c r="C4" t="b">
        <v>1</v>
      </c>
      <c r="D4">
        <v>8060</v>
      </c>
      <c r="E4">
        <v>8123</v>
      </c>
      <c r="F4">
        <v>27.333334000000001</v>
      </c>
      <c r="G4">
        <v>-10</v>
      </c>
      <c r="H4">
        <v>-2.7333333</v>
      </c>
      <c r="I4">
        <v>3.7333335999999999</v>
      </c>
      <c r="J4">
        <v>-0.57692310000000002</v>
      </c>
    </row>
    <row r="5" spans="1:10" x14ac:dyDescent="0.3">
      <c r="A5">
        <v>3</v>
      </c>
      <c r="B5">
        <v>54</v>
      </c>
      <c r="C5" t="b">
        <v>1</v>
      </c>
      <c r="D5">
        <v>8065</v>
      </c>
      <c r="E5">
        <v>8117</v>
      </c>
      <c r="F5">
        <v>26.75</v>
      </c>
      <c r="G5">
        <v>-7</v>
      </c>
      <c r="H5">
        <v>-3.8214285000000001</v>
      </c>
      <c r="I5">
        <v>4.8214290000000002</v>
      </c>
      <c r="J5">
        <v>-0.35443037999999999</v>
      </c>
    </row>
    <row r="6" spans="1:10" x14ac:dyDescent="0.3">
      <c r="A6">
        <v>4</v>
      </c>
      <c r="B6">
        <v>70</v>
      </c>
      <c r="C6" t="b">
        <v>1</v>
      </c>
      <c r="D6">
        <v>8071</v>
      </c>
      <c r="E6">
        <v>8123</v>
      </c>
      <c r="F6">
        <v>26.4</v>
      </c>
      <c r="G6">
        <v>-5.2</v>
      </c>
      <c r="H6">
        <v>-5.0769234000000001</v>
      </c>
      <c r="I6">
        <v>6.0769229999999999</v>
      </c>
      <c r="J6">
        <v>-0.24528301</v>
      </c>
    </row>
    <row r="7" spans="1:10" x14ac:dyDescent="0.3">
      <c r="A7">
        <v>5</v>
      </c>
      <c r="B7">
        <v>86</v>
      </c>
      <c r="C7" t="b">
        <v>1</v>
      </c>
      <c r="D7">
        <v>8071</v>
      </c>
      <c r="E7">
        <v>8111</v>
      </c>
      <c r="F7">
        <v>26.166665999999999</v>
      </c>
      <c r="G7">
        <v>-4</v>
      </c>
      <c r="H7">
        <v>-6.5416664999999998</v>
      </c>
      <c r="I7">
        <v>7.5416664999999998</v>
      </c>
      <c r="J7">
        <v>-0.18045114000000001</v>
      </c>
    </row>
    <row r="8" spans="1:10" x14ac:dyDescent="0.3">
      <c r="A8">
        <v>6</v>
      </c>
      <c r="B8">
        <v>102</v>
      </c>
      <c r="C8" t="b">
        <v>1</v>
      </c>
      <c r="D8">
        <v>8071</v>
      </c>
      <c r="E8">
        <v>8117</v>
      </c>
      <c r="F8">
        <v>26.857143000000001</v>
      </c>
      <c r="G8">
        <v>-3.1428569999999998</v>
      </c>
      <c r="H8">
        <v>-8.5454550000000005</v>
      </c>
      <c r="I8">
        <v>9.5454550000000005</v>
      </c>
      <c r="J8">
        <v>-0.13253011000000001</v>
      </c>
    </row>
    <row r="9" spans="1:10" x14ac:dyDescent="0.3">
      <c r="A9">
        <v>7</v>
      </c>
      <c r="B9">
        <v>118</v>
      </c>
      <c r="C9" t="b">
        <v>1</v>
      </c>
      <c r="D9">
        <v>8060</v>
      </c>
      <c r="E9">
        <v>8117</v>
      </c>
      <c r="F9">
        <v>27.375</v>
      </c>
      <c r="G9">
        <v>-2.5</v>
      </c>
      <c r="H9">
        <v>-10.95</v>
      </c>
      <c r="I9">
        <v>11.95</v>
      </c>
      <c r="J9">
        <v>-0.10050251</v>
      </c>
    </row>
    <row r="10" spans="1:10" x14ac:dyDescent="0.3">
      <c r="A10">
        <v>8</v>
      </c>
      <c r="B10">
        <v>134</v>
      </c>
      <c r="C10" t="b">
        <v>1</v>
      </c>
      <c r="D10">
        <v>8065</v>
      </c>
      <c r="E10">
        <v>8117</v>
      </c>
      <c r="F10">
        <v>27.777778999999999</v>
      </c>
      <c r="G10">
        <v>-2</v>
      </c>
      <c r="H10">
        <v>-13.888889000000001</v>
      </c>
      <c r="I10">
        <v>14.888889000000001</v>
      </c>
      <c r="J10">
        <v>-7.7586204000000006E-2</v>
      </c>
    </row>
    <row r="11" spans="1:10" x14ac:dyDescent="0.3">
      <c r="A11">
        <v>9</v>
      </c>
      <c r="B11">
        <v>150</v>
      </c>
      <c r="C11" t="b">
        <v>1</v>
      </c>
      <c r="D11">
        <v>8065</v>
      </c>
      <c r="E11">
        <v>8111</v>
      </c>
      <c r="F11">
        <v>27.5</v>
      </c>
      <c r="G11">
        <v>-1.6</v>
      </c>
      <c r="H11">
        <v>-17.1875</v>
      </c>
      <c r="I11">
        <v>18.1875</v>
      </c>
      <c r="J11">
        <v>-6.1776063999999999E-2</v>
      </c>
    </row>
    <row r="12" spans="1:10" x14ac:dyDescent="0.3">
      <c r="A12">
        <v>10</v>
      </c>
      <c r="B12">
        <v>166</v>
      </c>
      <c r="C12" t="b">
        <v>1</v>
      </c>
      <c r="D12">
        <v>8071</v>
      </c>
      <c r="E12">
        <v>8111</v>
      </c>
      <c r="F12">
        <v>27.272728000000001</v>
      </c>
      <c r="G12">
        <v>-1.2727272999999999</v>
      </c>
      <c r="H12">
        <v>-21.428571999999999</v>
      </c>
      <c r="I12">
        <v>22.428574000000001</v>
      </c>
      <c r="J12">
        <v>-4.8951050000000003E-2</v>
      </c>
    </row>
    <row r="13" spans="1:10" x14ac:dyDescent="0.3">
      <c r="A13">
        <v>11</v>
      </c>
      <c r="B13">
        <v>182</v>
      </c>
      <c r="C13" t="b">
        <v>1</v>
      </c>
      <c r="D13">
        <v>8060</v>
      </c>
      <c r="E13">
        <v>8123</v>
      </c>
      <c r="F13">
        <v>27.083334000000001</v>
      </c>
      <c r="G13">
        <v>-1</v>
      </c>
      <c r="H13">
        <v>-27.083334000000001</v>
      </c>
      <c r="I13">
        <v>28.083334000000001</v>
      </c>
      <c r="J13">
        <v>-3.8338656999999998E-2</v>
      </c>
    </row>
    <row r="14" spans="1:10" x14ac:dyDescent="0.3">
      <c r="A14">
        <v>12</v>
      </c>
      <c r="B14">
        <v>198</v>
      </c>
      <c r="C14" t="b">
        <v>1</v>
      </c>
      <c r="D14">
        <v>8060</v>
      </c>
      <c r="E14">
        <v>8111</v>
      </c>
      <c r="F14">
        <v>26.923076999999999</v>
      </c>
      <c r="G14">
        <v>-1.2307693</v>
      </c>
      <c r="H14">
        <v>-21.874998000000001</v>
      </c>
      <c r="I14">
        <v>22.875</v>
      </c>
      <c r="J14">
        <v>-4.7904197000000003E-2</v>
      </c>
    </row>
    <row r="15" spans="1:10" x14ac:dyDescent="0.3">
      <c r="A15">
        <v>13</v>
      </c>
      <c r="B15">
        <v>213</v>
      </c>
      <c r="C15" t="b">
        <v>1</v>
      </c>
      <c r="D15">
        <v>8054</v>
      </c>
      <c r="E15">
        <v>8111</v>
      </c>
      <c r="F15">
        <v>26.428571999999999</v>
      </c>
      <c r="G15">
        <v>-1.4285715000000001</v>
      </c>
      <c r="H15">
        <v>-18.5</v>
      </c>
      <c r="I15">
        <v>19.5</v>
      </c>
      <c r="J15">
        <v>-5.7142856999999998E-2</v>
      </c>
    </row>
    <row r="16" spans="1:10" x14ac:dyDescent="0.3">
      <c r="A16">
        <v>14</v>
      </c>
      <c r="B16">
        <v>229</v>
      </c>
      <c r="C16" t="b">
        <v>1</v>
      </c>
      <c r="D16">
        <v>8060</v>
      </c>
      <c r="E16">
        <v>8117</v>
      </c>
      <c r="F16">
        <v>26</v>
      </c>
      <c r="G16">
        <v>-1.6</v>
      </c>
      <c r="H16">
        <v>-16.25</v>
      </c>
      <c r="I16">
        <v>17.25</v>
      </c>
      <c r="J16">
        <v>-6.5573774000000001E-2</v>
      </c>
    </row>
    <row r="17" spans="1:10" x14ac:dyDescent="0.3">
      <c r="A17">
        <v>15</v>
      </c>
      <c r="B17">
        <v>261</v>
      </c>
      <c r="C17" t="b">
        <v>1</v>
      </c>
      <c r="D17">
        <v>8065</v>
      </c>
      <c r="E17">
        <v>8111</v>
      </c>
      <c r="F17">
        <v>25.266666000000001</v>
      </c>
      <c r="G17">
        <v>-1.2</v>
      </c>
      <c r="H17">
        <v>-21.055554999999998</v>
      </c>
      <c r="I17">
        <v>22.055554999999998</v>
      </c>
      <c r="J17">
        <v>-4.9861500000000003E-2</v>
      </c>
    </row>
    <row r="18" spans="1:10" x14ac:dyDescent="0.3">
      <c r="A18">
        <v>16</v>
      </c>
      <c r="B18">
        <v>277</v>
      </c>
      <c r="C18" t="b">
        <v>1</v>
      </c>
      <c r="D18">
        <v>8054</v>
      </c>
      <c r="E18">
        <v>8123</v>
      </c>
      <c r="F18">
        <v>24.533332999999999</v>
      </c>
      <c r="G18">
        <v>-0.8</v>
      </c>
      <c r="H18">
        <v>-30.666665999999999</v>
      </c>
      <c r="I18">
        <v>31.666664000000001</v>
      </c>
      <c r="J18">
        <v>-3.3707864999999997E-2</v>
      </c>
    </row>
    <row r="19" spans="1:10" x14ac:dyDescent="0.3">
      <c r="A19">
        <v>17</v>
      </c>
      <c r="B19">
        <v>293</v>
      </c>
      <c r="C19" t="b">
        <v>1</v>
      </c>
      <c r="D19">
        <v>8065</v>
      </c>
      <c r="E19">
        <v>8117</v>
      </c>
      <c r="F19">
        <v>24.533332999999999</v>
      </c>
      <c r="G19">
        <v>0</v>
      </c>
      <c r="H19" t="s">
        <v>19</v>
      </c>
      <c r="I19" t="e">
        <f t="shared" ref="I19:I24" si="0">-inf</f>
        <v>#NAME?</v>
      </c>
      <c r="J19">
        <v>0</v>
      </c>
    </row>
    <row r="20" spans="1:10" x14ac:dyDescent="0.3">
      <c r="A20">
        <v>18</v>
      </c>
      <c r="B20">
        <v>309</v>
      </c>
      <c r="C20" t="b">
        <v>1</v>
      </c>
      <c r="D20">
        <v>8065</v>
      </c>
      <c r="E20">
        <v>8117</v>
      </c>
      <c r="F20">
        <v>24.533332999999999</v>
      </c>
      <c r="G20">
        <v>0</v>
      </c>
      <c r="H20" t="s">
        <v>19</v>
      </c>
      <c r="I20" t="e">
        <f t="shared" si="0"/>
        <v>#NAME?</v>
      </c>
      <c r="J20">
        <v>0</v>
      </c>
    </row>
    <row r="21" spans="1:10" x14ac:dyDescent="0.3">
      <c r="A21">
        <v>19</v>
      </c>
      <c r="B21">
        <v>325</v>
      </c>
      <c r="C21" t="b">
        <v>1</v>
      </c>
      <c r="D21">
        <v>8054</v>
      </c>
      <c r="E21">
        <v>8117</v>
      </c>
      <c r="F21">
        <v>24.533332999999999</v>
      </c>
      <c r="G21">
        <v>0</v>
      </c>
      <c r="H21" t="s">
        <v>19</v>
      </c>
      <c r="I21" t="e">
        <f t="shared" si="0"/>
        <v>#NAME?</v>
      </c>
      <c r="J21">
        <v>0</v>
      </c>
    </row>
    <row r="22" spans="1:10" x14ac:dyDescent="0.3">
      <c r="A22">
        <v>20</v>
      </c>
      <c r="B22">
        <v>340</v>
      </c>
      <c r="C22" t="b">
        <v>1</v>
      </c>
      <c r="D22">
        <v>8060</v>
      </c>
      <c r="E22">
        <v>8123</v>
      </c>
      <c r="F22">
        <v>24.2</v>
      </c>
      <c r="G22">
        <v>0</v>
      </c>
      <c r="H22" t="s">
        <v>19</v>
      </c>
      <c r="I22" t="e">
        <f t="shared" si="0"/>
        <v>#NAME?</v>
      </c>
      <c r="J22">
        <v>0</v>
      </c>
    </row>
    <row r="23" spans="1:10" x14ac:dyDescent="0.3">
      <c r="A23">
        <v>21</v>
      </c>
      <c r="B23">
        <v>356</v>
      </c>
      <c r="C23" t="b">
        <v>1</v>
      </c>
      <c r="D23">
        <v>8065</v>
      </c>
      <c r="E23">
        <v>8111</v>
      </c>
      <c r="F23">
        <v>23.8</v>
      </c>
      <c r="G23">
        <v>0</v>
      </c>
      <c r="H23" t="s">
        <v>19</v>
      </c>
      <c r="I23" t="e">
        <f t="shared" si="0"/>
        <v>#NAME?</v>
      </c>
      <c r="J23">
        <v>0</v>
      </c>
    </row>
    <row r="24" spans="1:10" x14ac:dyDescent="0.3">
      <c r="A24">
        <v>22</v>
      </c>
      <c r="B24">
        <v>372</v>
      </c>
      <c r="C24" t="b">
        <v>1</v>
      </c>
      <c r="D24">
        <v>8060</v>
      </c>
      <c r="E24">
        <v>8111</v>
      </c>
      <c r="F24">
        <v>23.066668</v>
      </c>
      <c r="G24">
        <v>0</v>
      </c>
      <c r="H24" t="s">
        <v>19</v>
      </c>
      <c r="I24" t="e">
        <f t="shared" si="0"/>
        <v>#NAME?</v>
      </c>
      <c r="J24">
        <v>0</v>
      </c>
    </row>
    <row r="25" spans="1:10" x14ac:dyDescent="0.3">
      <c r="A25">
        <v>23</v>
      </c>
      <c r="B25">
        <v>388</v>
      </c>
      <c r="C25" t="b">
        <v>1</v>
      </c>
      <c r="D25">
        <v>8054</v>
      </c>
      <c r="E25">
        <v>8111</v>
      </c>
      <c r="F25">
        <v>22.333334000000001</v>
      </c>
      <c r="G25">
        <v>-0.4</v>
      </c>
      <c r="H25">
        <v>-55.833336000000003</v>
      </c>
      <c r="I25">
        <v>56.833331999999999</v>
      </c>
      <c r="J25">
        <v>-1.8237082000000002E-2</v>
      </c>
    </row>
    <row r="26" spans="1:10" x14ac:dyDescent="0.3">
      <c r="A26">
        <v>24</v>
      </c>
      <c r="B26">
        <v>404</v>
      </c>
      <c r="C26" t="b">
        <v>1</v>
      </c>
      <c r="D26">
        <v>8065</v>
      </c>
      <c r="E26">
        <v>8111</v>
      </c>
      <c r="F26">
        <v>22</v>
      </c>
      <c r="G26">
        <v>-0.8</v>
      </c>
      <c r="H26">
        <v>-27.5</v>
      </c>
      <c r="I26">
        <v>28.499998000000001</v>
      </c>
      <c r="J26">
        <v>-3.7735850000000001E-2</v>
      </c>
    </row>
    <row r="27" spans="1:10" x14ac:dyDescent="0.3">
      <c r="A27">
        <v>25</v>
      </c>
      <c r="B27">
        <v>420</v>
      </c>
      <c r="C27" t="b">
        <v>1</v>
      </c>
      <c r="D27">
        <v>8071</v>
      </c>
      <c r="E27">
        <v>8123</v>
      </c>
      <c r="F27">
        <v>22</v>
      </c>
      <c r="G27">
        <v>-1.2</v>
      </c>
      <c r="H27">
        <v>-18.333331999999999</v>
      </c>
      <c r="I27">
        <v>19.333334000000001</v>
      </c>
      <c r="J27">
        <v>-5.7692309999999997E-2</v>
      </c>
    </row>
    <row r="28" spans="1:10" x14ac:dyDescent="0.3">
      <c r="A28">
        <v>26</v>
      </c>
      <c r="B28">
        <v>435</v>
      </c>
      <c r="C28" t="b">
        <v>1</v>
      </c>
      <c r="D28">
        <v>8071</v>
      </c>
      <c r="E28">
        <v>8123</v>
      </c>
      <c r="F28">
        <v>22</v>
      </c>
      <c r="G28">
        <v>-1.6</v>
      </c>
      <c r="H28">
        <v>-13.75</v>
      </c>
      <c r="I28">
        <v>14.75</v>
      </c>
      <c r="J28">
        <v>-7.8431374999999998E-2</v>
      </c>
    </row>
    <row r="29" spans="1:10" x14ac:dyDescent="0.3">
      <c r="A29">
        <v>27</v>
      </c>
      <c r="B29">
        <v>451</v>
      </c>
      <c r="C29" t="b">
        <v>1</v>
      </c>
      <c r="D29">
        <v>8071</v>
      </c>
      <c r="E29">
        <v>8111</v>
      </c>
      <c r="F29">
        <v>22.4</v>
      </c>
      <c r="G29">
        <v>-1.6</v>
      </c>
      <c r="H29">
        <v>-14</v>
      </c>
      <c r="I29">
        <v>15</v>
      </c>
      <c r="J29">
        <v>-7.6923080000000005E-2</v>
      </c>
    </row>
    <row r="30" spans="1:10" x14ac:dyDescent="0.3">
      <c r="A30">
        <v>28</v>
      </c>
      <c r="B30">
        <v>467</v>
      </c>
      <c r="C30" t="b">
        <v>1</v>
      </c>
      <c r="D30">
        <v>8065</v>
      </c>
      <c r="E30">
        <v>8117</v>
      </c>
      <c r="F30">
        <v>23.133333</v>
      </c>
      <c r="G30">
        <v>-1.2</v>
      </c>
      <c r="H30">
        <v>-19.277777</v>
      </c>
      <c r="I30">
        <v>20.277777</v>
      </c>
      <c r="J30">
        <v>-5.4711252000000002E-2</v>
      </c>
    </row>
    <row r="31" spans="1:10" x14ac:dyDescent="0.3">
      <c r="A31">
        <v>29</v>
      </c>
      <c r="B31">
        <v>484</v>
      </c>
      <c r="C31" t="b">
        <v>1</v>
      </c>
      <c r="D31">
        <v>8065</v>
      </c>
      <c r="E31">
        <v>8111</v>
      </c>
      <c r="F31">
        <v>23.866667</v>
      </c>
      <c r="G31">
        <v>-0.8</v>
      </c>
      <c r="H31">
        <v>-29.833334000000001</v>
      </c>
      <c r="I31">
        <v>30.833331999999999</v>
      </c>
      <c r="J31">
        <v>-3.4682079999999997E-2</v>
      </c>
    </row>
    <row r="32" spans="1:10" x14ac:dyDescent="0.3">
      <c r="A32">
        <v>30</v>
      </c>
      <c r="B32">
        <v>500</v>
      </c>
      <c r="C32" t="b">
        <v>1</v>
      </c>
      <c r="D32">
        <v>8071</v>
      </c>
      <c r="E32">
        <v>8123</v>
      </c>
      <c r="F32">
        <v>24.6</v>
      </c>
      <c r="G32">
        <v>-0.4</v>
      </c>
      <c r="H32">
        <v>-61.5</v>
      </c>
      <c r="I32">
        <v>62.5</v>
      </c>
      <c r="J32">
        <v>-1.6528925E-2</v>
      </c>
    </row>
    <row r="33" spans="1:10" x14ac:dyDescent="0.3">
      <c r="A33">
        <v>31</v>
      </c>
      <c r="B33">
        <v>515</v>
      </c>
      <c r="C33" t="b">
        <v>1</v>
      </c>
      <c r="D33">
        <v>8065</v>
      </c>
      <c r="E33">
        <v>8111</v>
      </c>
      <c r="F33">
        <v>24.933332</v>
      </c>
      <c r="G33">
        <v>-0.4</v>
      </c>
      <c r="H33">
        <v>-62.333331999999999</v>
      </c>
      <c r="I33">
        <v>63.333329999999997</v>
      </c>
      <c r="J33">
        <v>-1.6304348E-2</v>
      </c>
    </row>
    <row r="34" spans="1:10" x14ac:dyDescent="0.3">
      <c r="A34">
        <v>32</v>
      </c>
      <c r="B34">
        <v>531</v>
      </c>
      <c r="C34" t="b">
        <v>1</v>
      </c>
      <c r="D34">
        <v>8065</v>
      </c>
      <c r="E34">
        <v>8105</v>
      </c>
      <c r="F34">
        <v>25.266666000000001</v>
      </c>
      <c r="G34">
        <v>-0.8</v>
      </c>
      <c r="H34">
        <v>-31.583331999999999</v>
      </c>
      <c r="I34">
        <v>32.583331999999999</v>
      </c>
      <c r="J34">
        <v>-3.2697547E-2</v>
      </c>
    </row>
    <row r="35" spans="1:10" x14ac:dyDescent="0.3">
      <c r="A35">
        <v>33</v>
      </c>
      <c r="B35">
        <v>547</v>
      </c>
      <c r="C35" t="b">
        <v>1</v>
      </c>
      <c r="D35">
        <v>8060</v>
      </c>
      <c r="E35">
        <v>8105</v>
      </c>
      <c r="F35">
        <v>25.266666000000001</v>
      </c>
      <c r="G35">
        <v>-1.2</v>
      </c>
      <c r="H35">
        <v>-21.055554999999998</v>
      </c>
      <c r="I35">
        <v>22.055554999999998</v>
      </c>
      <c r="J35">
        <v>-4.9861500000000003E-2</v>
      </c>
    </row>
    <row r="36" spans="1:10" x14ac:dyDescent="0.3">
      <c r="A36">
        <v>34</v>
      </c>
      <c r="B36">
        <v>563</v>
      </c>
      <c r="C36" t="b">
        <v>1</v>
      </c>
      <c r="D36">
        <v>8065</v>
      </c>
      <c r="E36">
        <v>8117</v>
      </c>
      <c r="F36">
        <v>25.266666000000001</v>
      </c>
      <c r="G36">
        <v>-1.6</v>
      </c>
      <c r="H36">
        <v>-15.791665999999999</v>
      </c>
      <c r="I36">
        <v>16.791665999999999</v>
      </c>
      <c r="J36">
        <v>-6.7605639999999995E-2</v>
      </c>
    </row>
    <row r="37" spans="1:10" x14ac:dyDescent="0.3">
      <c r="A37">
        <v>35</v>
      </c>
      <c r="B37">
        <v>579</v>
      </c>
      <c r="C37" t="b">
        <v>1</v>
      </c>
      <c r="D37">
        <v>8065</v>
      </c>
      <c r="E37">
        <v>8105</v>
      </c>
      <c r="F37">
        <v>25.6</v>
      </c>
      <c r="G37">
        <v>-2.4</v>
      </c>
      <c r="H37">
        <v>-10.666665999999999</v>
      </c>
      <c r="I37">
        <v>11.666665999999999</v>
      </c>
      <c r="J37">
        <v>-0.10344828</v>
      </c>
    </row>
    <row r="38" spans="1:10" x14ac:dyDescent="0.3">
      <c r="A38">
        <v>36</v>
      </c>
      <c r="B38">
        <v>594</v>
      </c>
      <c r="C38" t="b">
        <v>1</v>
      </c>
      <c r="D38">
        <v>8060</v>
      </c>
      <c r="E38">
        <v>8105</v>
      </c>
      <c r="F38">
        <v>25.6</v>
      </c>
      <c r="G38">
        <v>-3.2</v>
      </c>
      <c r="H38">
        <v>-8</v>
      </c>
      <c r="I38">
        <v>9</v>
      </c>
      <c r="J38">
        <v>-0.14285714999999999</v>
      </c>
    </row>
    <row r="39" spans="1:10" x14ac:dyDescent="0.3">
      <c r="A39">
        <v>37</v>
      </c>
      <c r="B39">
        <v>610</v>
      </c>
      <c r="C39" t="b">
        <v>1</v>
      </c>
      <c r="D39">
        <v>8060</v>
      </c>
      <c r="E39">
        <v>8111</v>
      </c>
      <c r="F39">
        <v>25.6</v>
      </c>
      <c r="G39">
        <v>-4</v>
      </c>
      <c r="H39">
        <v>-6.4</v>
      </c>
      <c r="I39">
        <v>7.4</v>
      </c>
      <c r="J39">
        <v>-0.18518518</v>
      </c>
    </row>
    <row r="40" spans="1:10" x14ac:dyDescent="0.3">
      <c r="A40">
        <v>38</v>
      </c>
      <c r="B40">
        <v>626</v>
      </c>
      <c r="C40" t="b">
        <v>1</v>
      </c>
      <c r="D40">
        <v>8071</v>
      </c>
      <c r="E40">
        <v>8123</v>
      </c>
      <c r="F40">
        <v>25.933332</v>
      </c>
      <c r="G40">
        <v>-4</v>
      </c>
      <c r="H40">
        <v>-6.483333</v>
      </c>
      <c r="I40">
        <v>7.483333</v>
      </c>
      <c r="J40">
        <v>-0.18237083000000001</v>
      </c>
    </row>
    <row r="41" spans="1:10" x14ac:dyDescent="0.3">
      <c r="A41">
        <v>39</v>
      </c>
      <c r="B41">
        <v>642</v>
      </c>
      <c r="C41" t="b">
        <v>1</v>
      </c>
      <c r="D41">
        <v>8065</v>
      </c>
      <c r="E41">
        <v>8117</v>
      </c>
      <c r="F41">
        <v>26.266666000000001</v>
      </c>
      <c r="G41">
        <v>-4</v>
      </c>
      <c r="H41">
        <v>-6.5666665999999996</v>
      </c>
      <c r="I41">
        <v>7.5666665999999996</v>
      </c>
      <c r="J41">
        <v>-0.17964073</v>
      </c>
    </row>
    <row r="42" spans="1:10" x14ac:dyDescent="0.3">
      <c r="A42">
        <v>40</v>
      </c>
      <c r="B42">
        <v>658</v>
      </c>
      <c r="C42" t="b">
        <v>1</v>
      </c>
      <c r="D42">
        <v>8060</v>
      </c>
      <c r="E42">
        <v>8123</v>
      </c>
      <c r="F42">
        <v>25.933332</v>
      </c>
      <c r="G42">
        <v>-3.6</v>
      </c>
      <c r="H42">
        <v>-7.2037040000000001</v>
      </c>
      <c r="I42">
        <v>8.2037040000000001</v>
      </c>
      <c r="J42">
        <v>-0.16119404000000001</v>
      </c>
    </row>
    <row r="43" spans="1:10" x14ac:dyDescent="0.3">
      <c r="A43">
        <v>41</v>
      </c>
      <c r="B43">
        <v>674</v>
      </c>
      <c r="C43" t="b">
        <v>1</v>
      </c>
      <c r="D43">
        <v>8065</v>
      </c>
      <c r="E43">
        <v>8117</v>
      </c>
      <c r="F43">
        <v>25.933332</v>
      </c>
      <c r="G43">
        <v>-3.2</v>
      </c>
      <c r="H43">
        <v>-8.1041659999999993</v>
      </c>
      <c r="I43">
        <v>9.1041659999999993</v>
      </c>
      <c r="J43">
        <v>-0.14076248</v>
      </c>
    </row>
    <row r="44" spans="1:10" x14ac:dyDescent="0.3">
      <c r="A44">
        <v>42</v>
      </c>
      <c r="B44">
        <v>690</v>
      </c>
      <c r="C44" t="b">
        <v>1</v>
      </c>
      <c r="D44">
        <v>8071</v>
      </c>
      <c r="E44">
        <v>8111</v>
      </c>
      <c r="F44">
        <v>25.533332999999999</v>
      </c>
      <c r="G44">
        <v>-2.8</v>
      </c>
      <c r="H44">
        <v>-9.1190470000000001</v>
      </c>
      <c r="I44">
        <v>10.119047</v>
      </c>
      <c r="J44">
        <v>-0.12316715</v>
      </c>
    </row>
    <row r="45" spans="1:10" x14ac:dyDescent="0.3">
      <c r="A45">
        <v>43</v>
      </c>
      <c r="B45">
        <v>706</v>
      </c>
      <c r="C45" t="b">
        <v>1</v>
      </c>
      <c r="D45">
        <v>8065</v>
      </c>
      <c r="E45">
        <v>8117</v>
      </c>
      <c r="F45">
        <v>25.133333</v>
      </c>
      <c r="G45">
        <v>-2.8</v>
      </c>
      <c r="H45">
        <v>-8.976191</v>
      </c>
      <c r="I45">
        <v>9.976191</v>
      </c>
      <c r="J45">
        <v>-0.12537313</v>
      </c>
    </row>
    <row r="46" spans="1:10" x14ac:dyDescent="0.3">
      <c r="A46">
        <v>44</v>
      </c>
      <c r="B46">
        <v>722</v>
      </c>
      <c r="C46" t="b">
        <v>1</v>
      </c>
      <c r="D46">
        <v>8065</v>
      </c>
      <c r="E46">
        <v>8105</v>
      </c>
      <c r="F46">
        <v>24.733333999999999</v>
      </c>
      <c r="G46">
        <v>-2.8</v>
      </c>
      <c r="H46">
        <v>-8.8333340000000007</v>
      </c>
      <c r="I46">
        <v>9.8333329999999997</v>
      </c>
      <c r="J46">
        <v>-0.12765956000000001</v>
      </c>
    </row>
    <row r="47" spans="1:10" x14ac:dyDescent="0.3">
      <c r="A47">
        <v>45</v>
      </c>
      <c r="B47">
        <v>737</v>
      </c>
      <c r="C47" t="b">
        <v>1</v>
      </c>
      <c r="D47">
        <v>8065</v>
      </c>
      <c r="E47">
        <v>8111</v>
      </c>
      <c r="F47">
        <v>24.333334000000001</v>
      </c>
      <c r="G47">
        <v>-3.2</v>
      </c>
      <c r="H47">
        <v>-7.6041670000000003</v>
      </c>
      <c r="I47">
        <v>8.6041670000000003</v>
      </c>
      <c r="J47">
        <v>-0.15141957</v>
      </c>
    </row>
    <row r="48" spans="1:10" x14ac:dyDescent="0.3">
      <c r="A48">
        <v>46</v>
      </c>
      <c r="B48">
        <v>753</v>
      </c>
      <c r="C48" t="b">
        <v>1</v>
      </c>
      <c r="D48">
        <v>8065</v>
      </c>
      <c r="E48">
        <v>8105</v>
      </c>
      <c r="F48">
        <v>24.333334000000001</v>
      </c>
      <c r="G48">
        <v>-3.2</v>
      </c>
      <c r="H48">
        <v>-7.6041670000000003</v>
      </c>
      <c r="I48">
        <v>8.6041670000000003</v>
      </c>
      <c r="J48">
        <v>-0.15141957</v>
      </c>
    </row>
    <row r="49" spans="1:10" x14ac:dyDescent="0.3">
      <c r="A49">
        <v>47</v>
      </c>
      <c r="B49">
        <v>769</v>
      </c>
      <c r="C49" t="b">
        <v>1</v>
      </c>
      <c r="D49">
        <v>8065</v>
      </c>
      <c r="E49">
        <v>8105</v>
      </c>
      <c r="F49">
        <v>24.333334000000001</v>
      </c>
      <c r="G49">
        <v>-3.6</v>
      </c>
      <c r="H49">
        <v>-6.7592597000000003</v>
      </c>
      <c r="I49">
        <v>7.7592597000000003</v>
      </c>
      <c r="J49">
        <v>-0.17363343000000001</v>
      </c>
    </row>
    <row r="50" spans="1:10" x14ac:dyDescent="0.3">
      <c r="A50">
        <v>48</v>
      </c>
      <c r="B50">
        <v>785</v>
      </c>
      <c r="C50" t="b">
        <v>1</v>
      </c>
      <c r="D50">
        <v>8060</v>
      </c>
      <c r="E50">
        <v>8105</v>
      </c>
      <c r="F50">
        <v>24.333334000000001</v>
      </c>
      <c r="G50">
        <v>-4</v>
      </c>
      <c r="H50">
        <v>-6.0833335000000002</v>
      </c>
      <c r="I50">
        <v>7.0833335000000002</v>
      </c>
      <c r="J50">
        <v>-0.19672129999999999</v>
      </c>
    </row>
    <row r="51" spans="1:10" x14ac:dyDescent="0.3">
      <c r="A51">
        <v>49</v>
      </c>
      <c r="B51">
        <v>801</v>
      </c>
      <c r="C51" t="b">
        <v>1</v>
      </c>
      <c r="D51">
        <v>8071</v>
      </c>
      <c r="E51">
        <v>8105</v>
      </c>
      <c r="F51">
        <v>24.333334000000001</v>
      </c>
      <c r="G51">
        <v>-4.4000000000000004</v>
      </c>
      <c r="H51">
        <v>-5.530303</v>
      </c>
      <c r="I51">
        <v>6.530303</v>
      </c>
      <c r="J51">
        <v>-0.22073577</v>
      </c>
    </row>
    <row r="52" spans="1:10" x14ac:dyDescent="0.3">
      <c r="A52">
        <v>50</v>
      </c>
      <c r="B52">
        <v>817</v>
      </c>
      <c r="C52" t="b">
        <v>1</v>
      </c>
      <c r="D52">
        <v>8065</v>
      </c>
      <c r="E52">
        <v>8117</v>
      </c>
      <c r="F52">
        <v>24.333334000000001</v>
      </c>
      <c r="G52">
        <v>-4.4000000000000004</v>
      </c>
      <c r="H52">
        <v>-5.530303</v>
      </c>
      <c r="I52">
        <v>6.530303</v>
      </c>
      <c r="J52">
        <v>-0.22073577</v>
      </c>
    </row>
    <row r="53" spans="1:10" x14ac:dyDescent="0.3">
      <c r="A53">
        <v>51</v>
      </c>
      <c r="B53">
        <v>833</v>
      </c>
      <c r="C53" t="b">
        <v>1</v>
      </c>
      <c r="D53">
        <v>8065</v>
      </c>
      <c r="E53">
        <v>8105</v>
      </c>
      <c r="F53">
        <v>24.333334000000001</v>
      </c>
      <c r="G53">
        <v>-4.4000000000000004</v>
      </c>
      <c r="H53">
        <v>-5.530303</v>
      </c>
      <c r="I53">
        <v>6.530303</v>
      </c>
      <c r="J53">
        <v>-0.22073577</v>
      </c>
    </row>
    <row r="54" spans="1:10" x14ac:dyDescent="0.3">
      <c r="A54">
        <v>52</v>
      </c>
      <c r="B54">
        <v>849</v>
      </c>
      <c r="C54" t="b">
        <v>1</v>
      </c>
      <c r="D54">
        <v>8071</v>
      </c>
      <c r="E54">
        <v>8111</v>
      </c>
      <c r="F54">
        <v>24.666665999999999</v>
      </c>
      <c r="G54">
        <v>-4.4000000000000004</v>
      </c>
      <c r="H54">
        <v>-5.6060604999999999</v>
      </c>
      <c r="I54">
        <v>6.6060600000000003</v>
      </c>
      <c r="J54">
        <v>-0.21710526999999999</v>
      </c>
    </row>
    <row r="55" spans="1:10" x14ac:dyDescent="0.3">
      <c r="A55">
        <v>53</v>
      </c>
      <c r="B55">
        <v>865</v>
      </c>
      <c r="C55" t="b">
        <v>1</v>
      </c>
      <c r="D55">
        <v>8060</v>
      </c>
      <c r="E55">
        <v>8111</v>
      </c>
      <c r="F55">
        <v>24.666665999999999</v>
      </c>
      <c r="G55">
        <v>-4.4000000000000004</v>
      </c>
      <c r="H55">
        <v>-5.6060604999999999</v>
      </c>
      <c r="I55">
        <v>6.6060600000000003</v>
      </c>
      <c r="J55">
        <v>-0.21710526999999999</v>
      </c>
    </row>
    <row r="56" spans="1:10" x14ac:dyDescent="0.3">
      <c r="A56">
        <v>54</v>
      </c>
      <c r="B56">
        <v>881</v>
      </c>
      <c r="C56" t="b">
        <v>1</v>
      </c>
      <c r="D56">
        <v>8060</v>
      </c>
      <c r="E56">
        <v>8117</v>
      </c>
      <c r="F56">
        <v>24.666665999999999</v>
      </c>
      <c r="G56">
        <v>-4.4000000000000004</v>
      </c>
      <c r="H56">
        <v>-5.6060604999999999</v>
      </c>
      <c r="I56">
        <v>6.6060600000000003</v>
      </c>
      <c r="J56">
        <v>-0.21710526999999999</v>
      </c>
    </row>
    <row r="57" spans="1:10" x14ac:dyDescent="0.3">
      <c r="A57">
        <v>55</v>
      </c>
      <c r="B57">
        <v>897</v>
      </c>
      <c r="C57" t="b">
        <v>1</v>
      </c>
      <c r="D57">
        <v>8065</v>
      </c>
      <c r="E57">
        <v>8111</v>
      </c>
      <c r="F57">
        <v>25</v>
      </c>
      <c r="G57">
        <v>-4.8</v>
      </c>
      <c r="H57">
        <v>-5.2083329999999997</v>
      </c>
      <c r="I57">
        <v>6.2083329999999997</v>
      </c>
      <c r="J57">
        <v>-0.23762377000000001</v>
      </c>
    </row>
    <row r="58" spans="1:10" x14ac:dyDescent="0.3">
      <c r="A58">
        <v>56</v>
      </c>
      <c r="B58">
        <v>929</v>
      </c>
      <c r="C58" t="b">
        <v>1</v>
      </c>
      <c r="D58">
        <v>8071</v>
      </c>
      <c r="E58">
        <v>8123</v>
      </c>
      <c r="F58">
        <v>25</v>
      </c>
      <c r="G58">
        <v>-5.2</v>
      </c>
      <c r="H58">
        <v>-4.8076924999999999</v>
      </c>
      <c r="I58">
        <v>5.8076924999999999</v>
      </c>
      <c r="J58">
        <v>-0.26262626</v>
      </c>
    </row>
    <row r="59" spans="1:10" x14ac:dyDescent="0.3">
      <c r="A59">
        <v>57</v>
      </c>
      <c r="B59">
        <v>945</v>
      </c>
      <c r="C59" t="b">
        <v>1</v>
      </c>
      <c r="D59">
        <v>8060</v>
      </c>
      <c r="E59">
        <v>8111</v>
      </c>
      <c r="F59">
        <v>24.666665999999999</v>
      </c>
      <c r="G59">
        <v>-5.6</v>
      </c>
      <c r="H59">
        <v>-4.4047619999999998</v>
      </c>
      <c r="I59">
        <v>5.4047619999999998</v>
      </c>
      <c r="J59">
        <v>-0.29370629999999998</v>
      </c>
    </row>
    <row r="60" spans="1:10" x14ac:dyDescent="0.3">
      <c r="A60">
        <v>58</v>
      </c>
      <c r="B60">
        <v>961</v>
      </c>
      <c r="C60" t="b">
        <v>1</v>
      </c>
      <c r="D60">
        <v>8065</v>
      </c>
      <c r="E60">
        <v>8111</v>
      </c>
      <c r="F60">
        <v>24.666665999999999</v>
      </c>
      <c r="G60">
        <v>-6</v>
      </c>
      <c r="H60">
        <v>-4.1111110000000002</v>
      </c>
      <c r="I60">
        <v>5.1111110000000002</v>
      </c>
      <c r="J60">
        <v>-0.32142860000000001</v>
      </c>
    </row>
    <row r="61" spans="1:10" x14ac:dyDescent="0.3">
      <c r="A61">
        <v>59</v>
      </c>
      <c r="B61">
        <v>976</v>
      </c>
      <c r="C61" t="b">
        <v>1</v>
      </c>
      <c r="D61">
        <v>8065</v>
      </c>
      <c r="E61">
        <v>8123</v>
      </c>
      <c r="F61">
        <v>24.666665999999999</v>
      </c>
      <c r="G61">
        <v>-6.4</v>
      </c>
      <c r="H61">
        <v>-3.8541664999999998</v>
      </c>
      <c r="I61">
        <v>4.8541664999999998</v>
      </c>
      <c r="J61">
        <v>-0.35036497999999999</v>
      </c>
    </row>
    <row r="62" spans="1:10" x14ac:dyDescent="0.3">
      <c r="A62">
        <v>60</v>
      </c>
      <c r="B62">
        <v>992</v>
      </c>
      <c r="C62" t="b">
        <v>1</v>
      </c>
      <c r="D62">
        <v>8065</v>
      </c>
      <c r="E62">
        <v>8111</v>
      </c>
      <c r="F62">
        <v>24.666665999999999</v>
      </c>
      <c r="G62">
        <v>-6.4</v>
      </c>
      <c r="H62">
        <v>-3.8541664999999998</v>
      </c>
      <c r="I62">
        <v>4.8541664999999998</v>
      </c>
      <c r="J62">
        <v>-0.35036497999999999</v>
      </c>
    </row>
    <row r="63" spans="1:10" x14ac:dyDescent="0.3">
      <c r="A63">
        <v>61</v>
      </c>
      <c r="B63">
        <v>1008</v>
      </c>
      <c r="C63" t="b">
        <v>1</v>
      </c>
      <c r="D63">
        <v>8054</v>
      </c>
      <c r="E63">
        <v>8117</v>
      </c>
      <c r="F63">
        <v>24.666665999999999</v>
      </c>
      <c r="G63">
        <v>-6.4</v>
      </c>
      <c r="H63">
        <v>-3.8541664999999998</v>
      </c>
      <c r="I63">
        <v>4.8541664999999998</v>
      </c>
      <c r="J63">
        <v>-0.35036497999999999</v>
      </c>
    </row>
    <row r="64" spans="1:10" x14ac:dyDescent="0.3">
      <c r="A64">
        <v>62</v>
      </c>
      <c r="B64">
        <v>1024</v>
      </c>
      <c r="C64" t="b">
        <v>1</v>
      </c>
      <c r="D64">
        <v>8065</v>
      </c>
      <c r="E64">
        <v>8111</v>
      </c>
      <c r="F64">
        <v>24.666665999999999</v>
      </c>
      <c r="G64">
        <v>-6</v>
      </c>
      <c r="H64">
        <v>-4.1111110000000002</v>
      </c>
      <c r="I64">
        <v>5.1111110000000002</v>
      </c>
      <c r="J64">
        <v>-0.32142860000000001</v>
      </c>
    </row>
    <row r="65" spans="1:10" x14ac:dyDescent="0.3">
      <c r="A65">
        <v>63</v>
      </c>
      <c r="B65">
        <v>1039</v>
      </c>
      <c r="C65" t="b">
        <v>1</v>
      </c>
      <c r="D65">
        <v>8065</v>
      </c>
      <c r="E65">
        <v>8123</v>
      </c>
      <c r="F65">
        <v>24.666665999999999</v>
      </c>
      <c r="G65">
        <v>-5.2</v>
      </c>
      <c r="H65">
        <v>-4.7435900000000002</v>
      </c>
      <c r="I65">
        <v>5.7435894000000003</v>
      </c>
      <c r="J65">
        <v>-0.26712328000000002</v>
      </c>
    </row>
    <row r="66" spans="1:10" x14ac:dyDescent="0.3">
      <c r="A66">
        <v>64</v>
      </c>
      <c r="B66">
        <v>1056</v>
      </c>
      <c r="C66" t="b">
        <v>1</v>
      </c>
      <c r="D66">
        <v>8060</v>
      </c>
      <c r="E66">
        <v>8117</v>
      </c>
      <c r="F66">
        <v>24.666665999999999</v>
      </c>
      <c r="G66">
        <v>-4.4000000000000004</v>
      </c>
      <c r="H66">
        <v>-5.6060604999999999</v>
      </c>
      <c r="I66">
        <v>6.6060600000000003</v>
      </c>
      <c r="J66">
        <v>-0.21710526999999999</v>
      </c>
    </row>
    <row r="67" spans="1:10" x14ac:dyDescent="0.3">
      <c r="A67">
        <v>65</v>
      </c>
      <c r="B67">
        <v>1072</v>
      </c>
      <c r="C67" t="b">
        <v>1</v>
      </c>
      <c r="D67">
        <v>8065</v>
      </c>
      <c r="E67">
        <v>8111</v>
      </c>
      <c r="F67">
        <v>24.666665999999999</v>
      </c>
      <c r="G67">
        <v>-3.6</v>
      </c>
      <c r="H67">
        <v>-6.8518520000000001</v>
      </c>
      <c r="I67">
        <v>7.8518520000000001</v>
      </c>
      <c r="J67">
        <v>-0.17088608</v>
      </c>
    </row>
    <row r="68" spans="1:10" x14ac:dyDescent="0.3">
      <c r="A68">
        <v>66</v>
      </c>
      <c r="B68">
        <v>1088</v>
      </c>
      <c r="C68" t="b">
        <v>1</v>
      </c>
      <c r="D68">
        <v>8065</v>
      </c>
      <c r="E68">
        <v>8117</v>
      </c>
      <c r="F68">
        <v>24.666665999999999</v>
      </c>
      <c r="G68">
        <v>-2.8</v>
      </c>
      <c r="H68">
        <v>-8.8095239999999997</v>
      </c>
      <c r="I68">
        <v>9.8095239999999997</v>
      </c>
      <c r="J68">
        <v>-0.12804878</v>
      </c>
    </row>
    <row r="69" spans="1:10" x14ac:dyDescent="0.3">
      <c r="A69">
        <v>67</v>
      </c>
      <c r="B69">
        <v>1104</v>
      </c>
      <c r="C69" t="b">
        <v>1</v>
      </c>
      <c r="D69">
        <v>8071</v>
      </c>
      <c r="E69">
        <v>8123</v>
      </c>
      <c r="F69">
        <v>24.666665999999999</v>
      </c>
      <c r="G69">
        <v>-2</v>
      </c>
      <c r="H69">
        <v>-12.333333</v>
      </c>
      <c r="I69">
        <v>13.333333</v>
      </c>
      <c r="J69">
        <v>-8.8235300000000003E-2</v>
      </c>
    </row>
    <row r="70" spans="1:10" x14ac:dyDescent="0.3">
      <c r="A70">
        <v>68</v>
      </c>
      <c r="B70">
        <v>1120</v>
      </c>
      <c r="C70" t="b">
        <v>1</v>
      </c>
      <c r="D70">
        <v>8065</v>
      </c>
      <c r="E70">
        <v>8105</v>
      </c>
      <c r="F70">
        <v>24.666665999999999</v>
      </c>
      <c r="G70">
        <v>-1.6</v>
      </c>
      <c r="H70">
        <v>-15.416665999999999</v>
      </c>
      <c r="I70">
        <v>16.416665999999999</v>
      </c>
      <c r="J70">
        <v>-6.9364170000000003E-2</v>
      </c>
    </row>
    <row r="71" spans="1:10" x14ac:dyDescent="0.3">
      <c r="A71">
        <v>69</v>
      </c>
      <c r="B71">
        <v>1136</v>
      </c>
      <c r="C71" t="b">
        <v>1</v>
      </c>
      <c r="D71">
        <v>8060</v>
      </c>
      <c r="E71">
        <v>8111</v>
      </c>
      <c r="F71">
        <v>24.666665999999999</v>
      </c>
      <c r="G71">
        <v>-1.6</v>
      </c>
      <c r="H71">
        <v>-15.416665999999999</v>
      </c>
      <c r="I71">
        <v>16.416665999999999</v>
      </c>
      <c r="J71">
        <v>-6.9364170000000003E-2</v>
      </c>
    </row>
    <row r="72" spans="1:10" x14ac:dyDescent="0.3">
      <c r="A72">
        <v>70</v>
      </c>
      <c r="B72">
        <v>1152</v>
      </c>
      <c r="C72" t="b">
        <v>1</v>
      </c>
      <c r="D72">
        <v>8060</v>
      </c>
      <c r="E72">
        <v>8111</v>
      </c>
      <c r="F72">
        <v>24.666665999999999</v>
      </c>
      <c r="G72">
        <v>-1.6</v>
      </c>
      <c r="H72">
        <v>-15.416665999999999</v>
      </c>
      <c r="I72">
        <v>16.416665999999999</v>
      </c>
      <c r="J72">
        <v>-6.9364170000000003E-2</v>
      </c>
    </row>
    <row r="73" spans="1:10" x14ac:dyDescent="0.3">
      <c r="A73">
        <v>71</v>
      </c>
      <c r="B73">
        <v>1168</v>
      </c>
      <c r="C73" t="b">
        <v>1</v>
      </c>
      <c r="D73">
        <v>8071</v>
      </c>
      <c r="E73">
        <v>8111</v>
      </c>
      <c r="F73">
        <v>24.666665999999999</v>
      </c>
      <c r="G73">
        <v>-1.6</v>
      </c>
      <c r="H73">
        <v>-15.416665999999999</v>
      </c>
      <c r="I73">
        <v>16.416665999999999</v>
      </c>
      <c r="J73">
        <v>-6.9364170000000003E-2</v>
      </c>
    </row>
    <row r="74" spans="1:10" x14ac:dyDescent="0.3">
      <c r="A74">
        <v>72</v>
      </c>
      <c r="B74">
        <v>1184</v>
      </c>
      <c r="C74" t="b">
        <v>1</v>
      </c>
      <c r="D74">
        <v>8071</v>
      </c>
      <c r="E74">
        <v>8105</v>
      </c>
      <c r="F74">
        <v>25</v>
      </c>
      <c r="G74">
        <v>-1.6</v>
      </c>
      <c r="H74">
        <v>-15.625</v>
      </c>
      <c r="I74">
        <v>16.625</v>
      </c>
      <c r="J74">
        <v>-6.8376069999999997E-2</v>
      </c>
    </row>
    <row r="75" spans="1:10" x14ac:dyDescent="0.3">
      <c r="A75">
        <v>73</v>
      </c>
      <c r="B75">
        <v>1199</v>
      </c>
      <c r="C75" t="b">
        <v>1</v>
      </c>
      <c r="D75">
        <v>8065</v>
      </c>
      <c r="E75">
        <v>8117</v>
      </c>
      <c r="F75">
        <v>25</v>
      </c>
      <c r="G75">
        <v>-1.6</v>
      </c>
      <c r="H75">
        <v>-15.625</v>
      </c>
      <c r="I75">
        <v>16.625</v>
      </c>
      <c r="J75">
        <v>-6.8376069999999997E-2</v>
      </c>
    </row>
    <row r="76" spans="1:10" x14ac:dyDescent="0.3">
      <c r="A76">
        <v>74</v>
      </c>
      <c r="B76">
        <v>1231</v>
      </c>
      <c r="C76" t="b">
        <v>1</v>
      </c>
      <c r="D76">
        <v>8060</v>
      </c>
      <c r="E76">
        <v>8111</v>
      </c>
      <c r="F76">
        <v>25</v>
      </c>
      <c r="G76">
        <v>-1.6</v>
      </c>
      <c r="H76">
        <v>-15.625</v>
      </c>
      <c r="I76">
        <v>16.625</v>
      </c>
      <c r="J76">
        <v>-6.8376069999999997E-2</v>
      </c>
    </row>
    <row r="77" spans="1:10" x14ac:dyDescent="0.3">
      <c r="A77">
        <v>75</v>
      </c>
      <c r="B77">
        <v>1247</v>
      </c>
      <c r="C77" t="b">
        <v>1</v>
      </c>
      <c r="D77">
        <v>8065</v>
      </c>
      <c r="E77">
        <v>8123</v>
      </c>
      <c r="F77">
        <v>25</v>
      </c>
      <c r="G77">
        <v>-1.6</v>
      </c>
      <c r="H77">
        <v>-15.625</v>
      </c>
      <c r="I77">
        <v>16.625</v>
      </c>
      <c r="J77">
        <v>-6.8376069999999997E-2</v>
      </c>
    </row>
    <row r="78" spans="1:10" x14ac:dyDescent="0.3">
      <c r="A78">
        <v>76</v>
      </c>
      <c r="B78">
        <v>1263</v>
      </c>
      <c r="C78" t="b">
        <v>1</v>
      </c>
      <c r="D78">
        <v>8065</v>
      </c>
      <c r="E78">
        <v>8111</v>
      </c>
      <c r="F78">
        <v>25</v>
      </c>
      <c r="G78">
        <v>-1.6</v>
      </c>
      <c r="H78">
        <v>-15.625</v>
      </c>
      <c r="I78">
        <v>16.625</v>
      </c>
      <c r="J78">
        <v>-6.8376069999999997E-2</v>
      </c>
    </row>
    <row r="79" spans="1:10" x14ac:dyDescent="0.3">
      <c r="A79">
        <v>77</v>
      </c>
      <c r="B79">
        <v>1279</v>
      </c>
      <c r="C79" t="b">
        <v>1</v>
      </c>
      <c r="D79">
        <v>8065</v>
      </c>
      <c r="E79">
        <v>8111</v>
      </c>
      <c r="F79">
        <v>25</v>
      </c>
      <c r="G79">
        <v>-1.6</v>
      </c>
      <c r="H79">
        <v>-15.625</v>
      </c>
      <c r="I79">
        <v>16.625</v>
      </c>
      <c r="J79">
        <v>-6.8376069999999997E-2</v>
      </c>
    </row>
    <row r="80" spans="1:10" x14ac:dyDescent="0.3">
      <c r="A80">
        <v>78</v>
      </c>
      <c r="B80">
        <v>1295</v>
      </c>
      <c r="C80" t="b">
        <v>1</v>
      </c>
      <c r="D80">
        <v>8071</v>
      </c>
      <c r="E80">
        <v>8123</v>
      </c>
      <c r="F80">
        <v>25</v>
      </c>
      <c r="G80">
        <v>-2</v>
      </c>
      <c r="H80">
        <v>-12.5</v>
      </c>
      <c r="I80">
        <v>13.5</v>
      </c>
      <c r="J80">
        <v>-8.6956519999999995E-2</v>
      </c>
    </row>
    <row r="81" spans="1:10" x14ac:dyDescent="0.3">
      <c r="A81">
        <v>79</v>
      </c>
      <c r="B81">
        <v>1311</v>
      </c>
      <c r="C81" t="b">
        <v>1</v>
      </c>
      <c r="D81">
        <v>8065</v>
      </c>
      <c r="E81">
        <v>8105</v>
      </c>
      <c r="F81">
        <v>25</v>
      </c>
      <c r="G81">
        <v>-2.4</v>
      </c>
      <c r="H81">
        <v>-10.416665999999999</v>
      </c>
      <c r="I81">
        <v>11.416665999999999</v>
      </c>
      <c r="J81">
        <v>-0.10619468999999999</v>
      </c>
    </row>
    <row r="82" spans="1:10" x14ac:dyDescent="0.3">
      <c r="A82">
        <v>80</v>
      </c>
      <c r="B82">
        <v>1327</v>
      </c>
      <c r="C82" t="b">
        <v>1</v>
      </c>
      <c r="D82">
        <v>8060</v>
      </c>
      <c r="E82">
        <v>8111</v>
      </c>
      <c r="F82">
        <v>25</v>
      </c>
      <c r="G82">
        <v>-2.8</v>
      </c>
      <c r="H82">
        <v>-8.9285720000000008</v>
      </c>
      <c r="I82">
        <v>9.9285720000000008</v>
      </c>
      <c r="J82">
        <v>-0.12612613</v>
      </c>
    </row>
    <row r="83" spans="1:10" x14ac:dyDescent="0.3">
      <c r="A83">
        <v>81</v>
      </c>
      <c r="B83">
        <v>1343</v>
      </c>
      <c r="C83" t="b">
        <v>1</v>
      </c>
      <c r="D83">
        <v>8071</v>
      </c>
      <c r="E83">
        <v>8117</v>
      </c>
      <c r="F83">
        <v>25</v>
      </c>
      <c r="G83">
        <v>-3.2</v>
      </c>
      <c r="H83">
        <v>-7.8125</v>
      </c>
      <c r="I83">
        <v>8.8125</v>
      </c>
      <c r="J83">
        <v>-0.146789</v>
      </c>
    </row>
    <row r="84" spans="1:10" x14ac:dyDescent="0.3">
      <c r="A84">
        <v>82</v>
      </c>
      <c r="B84">
        <v>1358</v>
      </c>
      <c r="C84" t="b">
        <v>1</v>
      </c>
      <c r="D84">
        <v>8060</v>
      </c>
      <c r="E84">
        <v>8105</v>
      </c>
      <c r="F84">
        <v>25</v>
      </c>
      <c r="G84">
        <v>-3.6</v>
      </c>
      <c r="H84">
        <v>-6.9444447</v>
      </c>
      <c r="I84">
        <v>7.9444447</v>
      </c>
      <c r="J84">
        <v>-0.16822429999999999</v>
      </c>
    </row>
    <row r="85" spans="1:10" x14ac:dyDescent="0.3">
      <c r="A85">
        <v>83</v>
      </c>
      <c r="B85">
        <v>1374</v>
      </c>
      <c r="C85" t="b">
        <v>1</v>
      </c>
      <c r="D85">
        <v>8071</v>
      </c>
      <c r="E85">
        <v>8105</v>
      </c>
      <c r="F85">
        <v>25</v>
      </c>
      <c r="G85">
        <v>-4.4000000000000004</v>
      </c>
      <c r="H85">
        <v>-5.6818179999999998</v>
      </c>
      <c r="I85">
        <v>6.6818179999999998</v>
      </c>
      <c r="J85">
        <v>-0.21359222999999999</v>
      </c>
    </row>
    <row r="86" spans="1:10" x14ac:dyDescent="0.3">
      <c r="A86">
        <v>84</v>
      </c>
      <c r="B86">
        <v>1390</v>
      </c>
      <c r="C86" t="b">
        <v>1</v>
      </c>
      <c r="D86">
        <v>8071</v>
      </c>
      <c r="E86">
        <v>8105</v>
      </c>
      <c r="F86">
        <v>25.4</v>
      </c>
      <c r="G86">
        <v>-4.8</v>
      </c>
      <c r="H86">
        <v>-5.2916664999999998</v>
      </c>
      <c r="I86">
        <v>6.2916664999999998</v>
      </c>
      <c r="J86">
        <v>-0.23300973999999999</v>
      </c>
    </row>
    <row r="87" spans="1:10" x14ac:dyDescent="0.3">
      <c r="A87">
        <v>85</v>
      </c>
      <c r="B87">
        <v>1406</v>
      </c>
      <c r="C87" t="b">
        <v>1</v>
      </c>
      <c r="D87">
        <v>8071</v>
      </c>
      <c r="E87">
        <v>8111</v>
      </c>
      <c r="F87">
        <v>25.8</v>
      </c>
      <c r="G87">
        <v>-5.2</v>
      </c>
      <c r="H87">
        <v>-4.9615383</v>
      </c>
      <c r="I87">
        <v>5.9615390000000001</v>
      </c>
      <c r="J87">
        <v>-0.25242720000000002</v>
      </c>
    </row>
    <row r="88" spans="1:10" x14ac:dyDescent="0.3">
      <c r="A88">
        <v>86</v>
      </c>
      <c r="B88">
        <v>1421</v>
      </c>
      <c r="C88" t="b">
        <v>1</v>
      </c>
      <c r="D88">
        <v>8065</v>
      </c>
      <c r="E88">
        <v>8117</v>
      </c>
      <c r="F88">
        <v>26.2</v>
      </c>
      <c r="G88">
        <v>-5.6</v>
      </c>
      <c r="H88">
        <v>-4.6785717</v>
      </c>
      <c r="I88">
        <v>5.6785717</v>
      </c>
      <c r="J88">
        <v>-0.27184466000000002</v>
      </c>
    </row>
    <row r="89" spans="1:10" x14ac:dyDescent="0.3">
      <c r="A89">
        <v>87</v>
      </c>
      <c r="B89">
        <v>1437</v>
      </c>
      <c r="C89" t="b">
        <v>1</v>
      </c>
      <c r="D89">
        <v>8071</v>
      </c>
      <c r="E89">
        <v>8123</v>
      </c>
      <c r="F89">
        <v>26.6</v>
      </c>
      <c r="G89">
        <v>-5.6</v>
      </c>
      <c r="H89">
        <v>-4.75</v>
      </c>
      <c r="I89">
        <v>5.75</v>
      </c>
      <c r="J89">
        <v>-0.26666665000000001</v>
      </c>
    </row>
    <row r="90" spans="1:10" x14ac:dyDescent="0.3">
      <c r="A90">
        <v>88</v>
      </c>
      <c r="B90">
        <v>1453</v>
      </c>
      <c r="C90" t="b">
        <v>1</v>
      </c>
      <c r="D90">
        <v>8077</v>
      </c>
      <c r="E90">
        <v>8123</v>
      </c>
      <c r="F90">
        <v>27</v>
      </c>
      <c r="G90">
        <v>-5.2</v>
      </c>
      <c r="H90">
        <v>-5.1923079999999997</v>
      </c>
      <c r="I90">
        <v>6.1923079999999997</v>
      </c>
      <c r="J90">
        <v>-0.23853210999999999</v>
      </c>
    </row>
    <row r="91" spans="1:10" x14ac:dyDescent="0.3">
      <c r="A91">
        <v>89</v>
      </c>
      <c r="B91">
        <v>1469</v>
      </c>
      <c r="C91" t="b">
        <v>1</v>
      </c>
      <c r="D91">
        <v>8077</v>
      </c>
      <c r="E91">
        <v>8111</v>
      </c>
      <c r="F91">
        <v>27.4</v>
      </c>
      <c r="G91">
        <v>-4.8</v>
      </c>
      <c r="H91">
        <v>-5.7083329999999997</v>
      </c>
      <c r="I91">
        <v>6.7083329999999997</v>
      </c>
      <c r="J91">
        <v>-0.21238941</v>
      </c>
    </row>
    <row r="92" spans="1:10" x14ac:dyDescent="0.3">
      <c r="A92">
        <v>90</v>
      </c>
      <c r="B92">
        <v>1484</v>
      </c>
      <c r="C92" t="b">
        <v>1</v>
      </c>
      <c r="D92">
        <v>8060</v>
      </c>
      <c r="E92">
        <v>8117</v>
      </c>
      <c r="F92">
        <v>27.8</v>
      </c>
      <c r="G92">
        <v>-4.4000000000000004</v>
      </c>
      <c r="H92">
        <v>-6.3181814999999997</v>
      </c>
      <c r="I92">
        <v>7.3181820000000002</v>
      </c>
      <c r="J92">
        <v>-0.18803418999999999</v>
      </c>
    </row>
    <row r="93" spans="1:10" x14ac:dyDescent="0.3">
      <c r="A93">
        <v>91</v>
      </c>
      <c r="B93">
        <v>1500</v>
      </c>
      <c r="C93" t="b">
        <v>1</v>
      </c>
      <c r="D93">
        <v>8065</v>
      </c>
      <c r="E93">
        <v>8111</v>
      </c>
      <c r="F93">
        <v>28.2</v>
      </c>
      <c r="G93">
        <v>-4</v>
      </c>
      <c r="H93">
        <v>-7.05</v>
      </c>
      <c r="I93">
        <v>8.0500000000000007</v>
      </c>
      <c r="J93">
        <v>-0.16528925</v>
      </c>
    </row>
    <row r="94" spans="1:10" x14ac:dyDescent="0.3">
      <c r="A94">
        <v>92</v>
      </c>
      <c r="B94">
        <v>1516</v>
      </c>
      <c r="C94" t="b">
        <v>1</v>
      </c>
      <c r="D94">
        <v>8065</v>
      </c>
      <c r="E94">
        <v>8117</v>
      </c>
      <c r="F94">
        <v>28.2</v>
      </c>
      <c r="G94">
        <v>-3.6</v>
      </c>
      <c r="H94">
        <v>-7.8333339999999998</v>
      </c>
      <c r="I94">
        <v>8.8333340000000007</v>
      </c>
      <c r="J94">
        <v>-0.14634146000000001</v>
      </c>
    </row>
    <row r="95" spans="1:10" x14ac:dyDescent="0.3">
      <c r="A95">
        <v>93</v>
      </c>
      <c r="B95">
        <v>1532</v>
      </c>
      <c r="C95" t="b">
        <v>1</v>
      </c>
      <c r="D95">
        <v>8060</v>
      </c>
      <c r="E95">
        <v>8111</v>
      </c>
      <c r="F95">
        <v>28.2</v>
      </c>
      <c r="G95">
        <v>-3.6</v>
      </c>
      <c r="H95">
        <v>-7.8333339999999998</v>
      </c>
      <c r="I95">
        <v>8.8333340000000007</v>
      </c>
      <c r="J95">
        <v>-0.14634146000000001</v>
      </c>
    </row>
    <row r="96" spans="1:10" x14ac:dyDescent="0.3">
      <c r="A96">
        <v>94</v>
      </c>
      <c r="B96">
        <v>1548</v>
      </c>
      <c r="C96" t="b">
        <v>1</v>
      </c>
      <c r="D96">
        <v>8060</v>
      </c>
      <c r="E96">
        <v>8123</v>
      </c>
      <c r="F96">
        <v>27.866667</v>
      </c>
      <c r="G96">
        <v>-3.2</v>
      </c>
      <c r="H96">
        <v>-8.7083329999999997</v>
      </c>
      <c r="I96">
        <v>9.7083329999999997</v>
      </c>
      <c r="J96">
        <v>-0.12972972999999999</v>
      </c>
    </row>
    <row r="97" spans="1:10" x14ac:dyDescent="0.3">
      <c r="A97">
        <v>95</v>
      </c>
      <c r="B97">
        <v>1563</v>
      </c>
      <c r="C97" t="b">
        <v>1</v>
      </c>
      <c r="D97">
        <v>8060</v>
      </c>
      <c r="E97">
        <v>8111</v>
      </c>
      <c r="F97">
        <v>27.533332999999999</v>
      </c>
      <c r="G97">
        <v>-3.2</v>
      </c>
      <c r="H97">
        <v>-8.6041659999999993</v>
      </c>
      <c r="I97">
        <v>9.6041670000000003</v>
      </c>
      <c r="J97">
        <v>-0.13150686</v>
      </c>
    </row>
    <row r="98" spans="1:10" x14ac:dyDescent="0.3">
      <c r="A98">
        <v>96</v>
      </c>
      <c r="B98">
        <v>1579</v>
      </c>
      <c r="C98" t="b">
        <v>1</v>
      </c>
      <c r="D98">
        <v>8065</v>
      </c>
      <c r="E98">
        <v>8117</v>
      </c>
      <c r="F98">
        <v>27.2</v>
      </c>
      <c r="G98">
        <v>-2.8</v>
      </c>
      <c r="H98">
        <v>-9.7142859999999995</v>
      </c>
      <c r="I98">
        <v>10.714286</v>
      </c>
      <c r="J98">
        <v>-0.11475409</v>
      </c>
    </row>
    <row r="99" spans="1:10" x14ac:dyDescent="0.3">
      <c r="A99">
        <v>97</v>
      </c>
      <c r="B99">
        <v>1595</v>
      </c>
      <c r="C99" t="b">
        <v>1</v>
      </c>
      <c r="D99">
        <v>8065</v>
      </c>
      <c r="E99">
        <v>8111</v>
      </c>
      <c r="F99">
        <v>26.866667</v>
      </c>
      <c r="G99">
        <v>-2.8</v>
      </c>
      <c r="H99">
        <v>-9.5952389999999994</v>
      </c>
      <c r="I99">
        <v>10.595238</v>
      </c>
      <c r="J99">
        <v>-0.11634348</v>
      </c>
    </row>
    <row r="100" spans="1:10" x14ac:dyDescent="0.3">
      <c r="A100">
        <v>98</v>
      </c>
      <c r="B100">
        <v>1611</v>
      </c>
      <c r="C100" t="b">
        <v>1</v>
      </c>
      <c r="D100">
        <v>8065</v>
      </c>
      <c r="E100">
        <v>8117</v>
      </c>
      <c r="F100">
        <v>26.866667</v>
      </c>
      <c r="G100">
        <v>-2</v>
      </c>
      <c r="H100">
        <v>-13.433332999999999</v>
      </c>
      <c r="I100">
        <v>14.433332999999999</v>
      </c>
      <c r="J100">
        <v>-8.0428949999999999E-2</v>
      </c>
    </row>
    <row r="101" spans="1:10" x14ac:dyDescent="0.3">
      <c r="A101">
        <v>99</v>
      </c>
      <c r="B101">
        <v>1627</v>
      </c>
      <c r="C101" t="b">
        <v>1</v>
      </c>
      <c r="D101">
        <v>8077</v>
      </c>
      <c r="E101">
        <v>8111</v>
      </c>
      <c r="F101">
        <v>26.466667000000001</v>
      </c>
      <c r="G101">
        <v>-1.6</v>
      </c>
      <c r="H101">
        <v>-16.541665999999999</v>
      </c>
      <c r="I101">
        <v>17.541665999999999</v>
      </c>
      <c r="J101">
        <v>-6.4343159999999996E-2</v>
      </c>
    </row>
    <row r="102" spans="1:10" x14ac:dyDescent="0.3">
      <c r="A102">
        <v>100</v>
      </c>
      <c r="B102">
        <v>1643</v>
      </c>
      <c r="C102" t="b">
        <v>1</v>
      </c>
      <c r="D102">
        <v>8065</v>
      </c>
      <c r="E102">
        <v>8111</v>
      </c>
      <c r="F102">
        <v>26.066668</v>
      </c>
      <c r="G102">
        <v>-1.2</v>
      </c>
      <c r="H102">
        <v>-21.722221000000001</v>
      </c>
      <c r="I102">
        <v>22.722223</v>
      </c>
      <c r="J102">
        <v>-4.8257372999999999E-2</v>
      </c>
    </row>
    <row r="103" spans="1:10" x14ac:dyDescent="0.3">
      <c r="A103">
        <v>101</v>
      </c>
      <c r="B103">
        <v>1659</v>
      </c>
      <c r="C103" t="b">
        <v>1</v>
      </c>
      <c r="D103">
        <v>8060</v>
      </c>
      <c r="E103">
        <v>8111</v>
      </c>
      <c r="F103">
        <v>25.666665999999999</v>
      </c>
      <c r="G103">
        <v>-0.8</v>
      </c>
      <c r="H103">
        <v>-32.083331999999999</v>
      </c>
      <c r="I103">
        <v>33.083331999999999</v>
      </c>
      <c r="J103">
        <v>-3.2171579999999998E-2</v>
      </c>
    </row>
    <row r="104" spans="1:10" x14ac:dyDescent="0.3">
      <c r="A104">
        <v>102</v>
      </c>
      <c r="B104">
        <v>1675</v>
      </c>
      <c r="C104" t="b">
        <v>1</v>
      </c>
      <c r="D104">
        <v>8071</v>
      </c>
      <c r="E104">
        <v>8111</v>
      </c>
      <c r="F104">
        <v>25.266666000000001</v>
      </c>
      <c r="G104">
        <v>-0.8</v>
      </c>
      <c r="H104">
        <v>-31.583331999999999</v>
      </c>
      <c r="I104">
        <v>32.583331999999999</v>
      </c>
      <c r="J104">
        <v>-3.2697547E-2</v>
      </c>
    </row>
    <row r="105" spans="1:10" x14ac:dyDescent="0.3">
      <c r="A105">
        <v>103</v>
      </c>
      <c r="B105">
        <v>1690</v>
      </c>
      <c r="C105" t="b">
        <v>1</v>
      </c>
      <c r="D105">
        <v>8071</v>
      </c>
      <c r="E105">
        <v>8123</v>
      </c>
      <c r="F105">
        <v>25.266666000000001</v>
      </c>
      <c r="G105">
        <v>-1.2</v>
      </c>
      <c r="H105">
        <v>-21.055554999999998</v>
      </c>
      <c r="I105">
        <v>22.055554999999998</v>
      </c>
      <c r="J105">
        <v>-4.9861500000000003E-2</v>
      </c>
    </row>
    <row r="106" spans="1:10" x14ac:dyDescent="0.3">
      <c r="A106">
        <v>104</v>
      </c>
      <c r="B106">
        <v>1706</v>
      </c>
      <c r="C106" t="b">
        <v>1</v>
      </c>
      <c r="D106">
        <v>8065</v>
      </c>
      <c r="E106">
        <v>8111</v>
      </c>
      <c r="F106">
        <v>24.866667</v>
      </c>
      <c r="G106">
        <v>-1.6</v>
      </c>
      <c r="H106">
        <v>-15.541667</v>
      </c>
      <c r="I106">
        <v>16.541665999999999</v>
      </c>
      <c r="J106">
        <v>-6.8767910000000002E-2</v>
      </c>
    </row>
    <row r="107" spans="1:10" x14ac:dyDescent="0.3">
      <c r="A107">
        <v>105</v>
      </c>
      <c r="B107">
        <v>1722</v>
      </c>
      <c r="C107" t="b">
        <v>1</v>
      </c>
      <c r="D107">
        <v>8065</v>
      </c>
      <c r="E107">
        <v>8117</v>
      </c>
      <c r="F107">
        <v>24.466667000000001</v>
      </c>
      <c r="G107">
        <v>-2</v>
      </c>
      <c r="H107">
        <v>-12.233333999999999</v>
      </c>
      <c r="I107">
        <v>13.233333999999999</v>
      </c>
      <c r="J107">
        <v>-8.9020769999999999E-2</v>
      </c>
    </row>
    <row r="108" spans="1:10" x14ac:dyDescent="0.3">
      <c r="A108">
        <v>106</v>
      </c>
      <c r="B108">
        <v>1737</v>
      </c>
      <c r="C108" t="b">
        <v>1</v>
      </c>
      <c r="D108">
        <v>8065</v>
      </c>
      <c r="E108">
        <v>8099</v>
      </c>
      <c r="F108">
        <v>24.066668</v>
      </c>
      <c r="G108">
        <v>-2.4</v>
      </c>
      <c r="H108">
        <v>-10.027778</v>
      </c>
      <c r="I108">
        <v>11.027778</v>
      </c>
      <c r="J108">
        <v>-0.11076923</v>
      </c>
    </row>
    <row r="109" spans="1:10" x14ac:dyDescent="0.3">
      <c r="A109">
        <v>107</v>
      </c>
      <c r="B109">
        <v>1753</v>
      </c>
      <c r="C109" t="b">
        <v>1</v>
      </c>
      <c r="D109">
        <v>8065</v>
      </c>
      <c r="E109">
        <v>8105</v>
      </c>
      <c r="F109">
        <v>24.066668</v>
      </c>
      <c r="G109">
        <v>-2.8</v>
      </c>
      <c r="H109">
        <v>-8.5952389999999994</v>
      </c>
      <c r="I109">
        <v>9.5952389999999994</v>
      </c>
      <c r="J109">
        <v>-0.13166143</v>
      </c>
    </row>
    <row r="110" spans="1:10" x14ac:dyDescent="0.3">
      <c r="A110">
        <v>108</v>
      </c>
      <c r="B110">
        <v>1769</v>
      </c>
      <c r="C110" t="b">
        <v>1</v>
      </c>
      <c r="D110">
        <v>8060</v>
      </c>
      <c r="E110">
        <v>8117</v>
      </c>
      <c r="F110">
        <v>24.066668</v>
      </c>
      <c r="G110">
        <v>-2.8</v>
      </c>
      <c r="H110">
        <v>-8.5952389999999994</v>
      </c>
      <c r="I110">
        <v>9.5952389999999994</v>
      </c>
      <c r="J110">
        <v>-0.13166143</v>
      </c>
    </row>
    <row r="111" spans="1:10" x14ac:dyDescent="0.3">
      <c r="A111">
        <v>109</v>
      </c>
      <c r="B111">
        <v>1785</v>
      </c>
      <c r="C111" t="b">
        <v>1</v>
      </c>
      <c r="D111">
        <v>8071</v>
      </c>
      <c r="E111">
        <v>8105</v>
      </c>
      <c r="F111">
        <v>24.4</v>
      </c>
      <c r="G111">
        <v>-3.6</v>
      </c>
      <c r="H111">
        <v>-6.7777776999999997</v>
      </c>
      <c r="I111">
        <v>7.7777779999999996</v>
      </c>
      <c r="J111">
        <v>-0.17307692999999999</v>
      </c>
    </row>
    <row r="112" spans="1:10" x14ac:dyDescent="0.3">
      <c r="A112">
        <v>110</v>
      </c>
      <c r="B112">
        <v>1801</v>
      </c>
      <c r="C112" t="b">
        <v>1</v>
      </c>
      <c r="D112">
        <v>8065</v>
      </c>
      <c r="E112">
        <v>8111</v>
      </c>
      <c r="F112">
        <v>24.733333999999999</v>
      </c>
      <c r="G112">
        <v>-4</v>
      </c>
      <c r="H112">
        <v>-6.1833334000000004</v>
      </c>
      <c r="I112">
        <v>7.1833334000000004</v>
      </c>
      <c r="J112">
        <v>-0.19292604999999999</v>
      </c>
    </row>
    <row r="113" spans="1:10" x14ac:dyDescent="0.3">
      <c r="A113">
        <v>111</v>
      </c>
      <c r="B113">
        <v>1817</v>
      </c>
      <c r="C113" t="b">
        <v>1</v>
      </c>
      <c r="D113">
        <v>8071</v>
      </c>
      <c r="E113">
        <v>8111</v>
      </c>
      <c r="F113">
        <v>25.066668</v>
      </c>
      <c r="G113">
        <v>-4.4000000000000004</v>
      </c>
      <c r="H113">
        <v>-5.6969700000000003</v>
      </c>
      <c r="I113">
        <v>6.6969694999999998</v>
      </c>
      <c r="J113">
        <v>-0.21290322</v>
      </c>
    </row>
    <row r="114" spans="1:10" x14ac:dyDescent="0.3">
      <c r="A114">
        <v>112</v>
      </c>
      <c r="B114">
        <v>1833</v>
      </c>
      <c r="C114" t="b">
        <v>1</v>
      </c>
      <c r="D114">
        <v>8071</v>
      </c>
      <c r="E114">
        <v>8111</v>
      </c>
      <c r="F114">
        <v>25.8</v>
      </c>
      <c r="G114">
        <v>-4.4000000000000004</v>
      </c>
      <c r="H114">
        <v>-5.8636359999999996</v>
      </c>
      <c r="I114">
        <v>6.8636359999999996</v>
      </c>
      <c r="J114">
        <v>-0.20560749</v>
      </c>
    </row>
    <row r="115" spans="1:10" x14ac:dyDescent="0.3">
      <c r="A115">
        <v>113</v>
      </c>
      <c r="B115">
        <v>1849</v>
      </c>
      <c r="C115" t="b">
        <v>1</v>
      </c>
      <c r="D115">
        <v>8060</v>
      </c>
      <c r="E115">
        <v>8123</v>
      </c>
      <c r="F115">
        <v>26.2</v>
      </c>
      <c r="G115">
        <v>-4.8</v>
      </c>
      <c r="H115">
        <v>-5.4583335000000002</v>
      </c>
      <c r="I115">
        <v>6.4583329999999997</v>
      </c>
      <c r="J115">
        <v>-0.22429905999999999</v>
      </c>
    </row>
    <row r="116" spans="1:10" x14ac:dyDescent="0.3">
      <c r="A116">
        <v>114</v>
      </c>
      <c r="B116">
        <v>1880</v>
      </c>
      <c r="C116" t="b">
        <v>1</v>
      </c>
      <c r="D116">
        <v>8060</v>
      </c>
      <c r="E116">
        <v>8123</v>
      </c>
      <c r="F116">
        <v>26.2</v>
      </c>
      <c r="G116">
        <v>-4.8</v>
      </c>
      <c r="H116">
        <v>-5.4583335000000002</v>
      </c>
      <c r="I116">
        <v>6.4583329999999997</v>
      </c>
      <c r="J116">
        <v>-0.22429905999999999</v>
      </c>
    </row>
    <row r="117" spans="1:10" x14ac:dyDescent="0.3">
      <c r="A117">
        <v>115</v>
      </c>
      <c r="B117">
        <v>1912</v>
      </c>
      <c r="C117" t="b">
        <v>1</v>
      </c>
      <c r="D117">
        <v>8065</v>
      </c>
      <c r="E117">
        <v>8111</v>
      </c>
      <c r="F117">
        <v>26.2</v>
      </c>
      <c r="G117">
        <v>-4.8</v>
      </c>
      <c r="H117">
        <v>-5.4583335000000002</v>
      </c>
      <c r="I117">
        <v>6.4583329999999997</v>
      </c>
      <c r="J117">
        <v>-0.22429905999999999</v>
      </c>
    </row>
    <row r="118" spans="1:10" x14ac:dyDescent="0.3">
      <c r="A118">
        <v>116</v>
      </c>
      <c r="B118">
        <v>1928</v>
      </c>
      <c r="C118" t="b">
        <v>1</v>
      </c>
      <c r="D118">
        <v>8054</v>
      </c>
      <c r="E118">
        <v>8111</v>
      </c>
      <c r="F118">
        <v>25.866667</v>
      </c>
      <c r="G118">
        <v>-4.8</v>
      </c>
      <c r="H118">
        <v>-5.3888889999999998</v>
      </c>
      <c r="I118">
        <v>6.3888889999999998</v>
      </c>
      <c r="J118">
        <v>-0.22784813000000001</v>
      </c>
    </row>
    <row r="119" spans="1:10" x14ac:dyDescent="0.3">
      <c r="A119">
        <v>117</v>
      </c>
      <c r="B119">
        <v>1944</v>
      </c>
      <c r="C119" t="b">
        <v>1</v>
      </c>
      <c r="D119">
        <v>8060</v>
      </c>
      <c r="E119">
        <v>8105</v>
      </c>
      <c r="F119">
        <v>25.533332999999999</v>
      </c>
      <c r="G119">
        <v>-4.8</v>
      </c>
      <c r="H119">
        <v>-5.3194439999999998</v>
      </c>
      <c r="I119">
        <v>6.3194436999999999</v>
      </c>
      <c r="J119">
        <v>-0.23151126999999999</v>
      </c>
    </row>
    <row r="120" spans="1:10" x14ac:dyDescent="0.3">
      <c r="A120">
        <v>118</v>
      </c>
      <c r="B120">
        <v>1960</v>
      </c>
      <c r="C120" t="b">
        <v>1</v>
      </c>
      <c r="D120">
        <v>8065</v>
      </c>
      <c r="E120">
        <v>8123</v>
      </c>
      <c r="F120">
        <v>24.8</v>
      </c>
      <c r="G120">
        <v>-4.8</v>
      </c>
      <c r="H120">
        <v>-5.1666664999999998</v>
      </c>
      <c r="I120">
        <v>6.1666660000000002</v>
      </c>
      <c r="J120">
        <v>-0.24000001000000001</v>
      </c>
    </row>
    <row r="121" spans="1:10" x14ac:dyDescent="0.3">
      <c r="A121">
        <v>119</v>
      </c>
      <c r="B121">
        <v>1976</v>
      </c>
      <c r="C121" t="b">
        <v>1</v>
      </c>
      <c r="D121">
        <v>8065</v>
      </c>
      <c r="E121">
        <v>8111</v>
      </c>
      <c r="F121">
        <v>24.8</v>
      </c>
      <c r="G121">
        <v>-4.8</v>
      </c>
      <c r="H121">
        <v>-5.1666664999999998</v>
      </c>
      <c r="I121">
        <v>6.1666660000000002</v>
      </c>
      <c r="J121">
        <v>-0.24000001000000001</v>
      </c>
    </row>
    <row r="122" spans="1:10" x14ac:dyDescent="0.3">
      <c r="A122">
        <v>120</v>
      </c>
      <c r="B122">
        <v>1992</v>
      </c>
      <c r="C122" t="b">
        <v>1</v>
      </c>
      <c r="D122">
        <v>8071</v>
      </c>
      <c r="E122">
        <v>8117</v>
      </c>
      <c r="F122">
        <v>24.8</v>
      </c>
      <c r="G122">
        <v>-4.8</v>
      </c>
      <c r="H122">
        <v>-5.1666664999999998</v>
      </c>
      <c r="I122">
        <v>6.1666660000000002</v>
      </c>
      <c r="J122">
        <v>-0.24000001000000001</v>
      </c>
    </row>
    <row r="123" spans="1:10" x14ac:dyDescent="0.3">
      <c r="A123">
        <v>121</v>
      </c>
      <c r="B123">
        <v>2008</v>
      </c>
      <c r="C123" t="b">
        <v>1</v>
      </c>
      <c r="D123">
        <v>8065</v>
      </c>
      <c r="E123">
        <v>8099</v>
      </c>
      <c r="F123">
        <v>24.8</v>
      </c>
      <c r="G123">
        <v>-4.8</v>
      </c>
      <c r="H123">
        <v>-5.1666664999999998</v>
      </c>
      <c r="I123">
        <v>6.1666660000000002</v>
      </c>
      <c r="J123">
        <v>-0.24000001000000001</v>
      </c>
    </row>
    <row r="124" spans="1:10" x14ac:dyDescent="0.3">
      <c r="A124">
        <v>122</v>
      </c>
      <c r="B124">
        <v>2023</v>
      </c>
      <c r="C124" t="b">
        <v>1</v>
      </c>
      <c r="D124">
        <v>8054</v>
      </c>
      <c r="E124">
        <v>8099</v>
      </c>
      <c r="F124">
        <v>24.8</v>
      </c>
      <c r="G124">
        <v>-4.8</v>
      </c>
      <c r="H124">
        <v>-5.1666664999999998</v>
      </c>
      <c r="I124">
        <v>6.1666660000000002</v>
      </c>
      <c r="J124">
        <v>-0.24000001000000001</v>
      </c>
    </row>
    <row r="125" spans="1:10" x14ac:dyDescent="0.3">
      <c r="A125">
        <v>123</v>
      </c>
      <c r="B125">
        <v>2039</v>
      </c>
      <c r="C125" t="b">
        <v>1</v>
      </c>
      <c r="D125">
        <v>8071</v>
      </c>
      <c r="E125">
        <v>8111</v>
      </c>
      <c r="F125">
        <v>24.8</v>
      </c>
      <c r="G125">
        <v>-4.8</v>
      </c>
      <c r="H125">
        <v>-5.1666664999999998</v>
      </c>
      <c r="I125">
        <v>6.1666660000000002</v>
      </c>
      <c r="J125">
        <v>-0.24000001000000001</v>
      </c>
    </row>
    <row r="126" spans="1:10" x14ac:dyDescent="0.3">
      <c r="A126">
        <v>124</v>
      </c>
      <c r="B126">
        <v>2055</v>
      </c>
      <c r="C126" t="b">
        <v>1</v>
      </c>
      <c r="D126">
        <v>8060</v>
      </c>
      <c r="E126">
        <v>8117</v>
      </c>
      <c r="F126">
        <v>24.8</v>
      </c>
      <c r="G126">
        <v>-4.4000000000000004</v>
      </c>
      <c r="H126">
        <v>-5.6363634999999999</v>
      </c>
      <c r="I126">
        <v>6.6363630000000002</v>
      </c>
      <c r="J126">
        <v>-0.21568628000000001</v>
      </c>
    </row>
    <row r="127" spans="1:10" x14ac:dyDescent="0.3">
      <c r="A127">
        <v>125</v>
      </c>
      <c r="B127">
        <v>2071</v>
      </c>
      <c r="C127" t="b">
        <v>1</v>
      </c>
      <c r="D127">
        <v>8065</v>
      </c>
      <c r="E127">
        <v>8105</v>
      </c>
      <c r="F127">
        <v>24.8</v>
      </c>
      <c r="G127">
        <v>-4.4000000000000004</v>
      </c>
      <c r="H127">
        <v>-5.6363634999999999</v>
      </c>
      <c r="I127">
        <v>6.6363630000000002</v>
      </c>
      <c r="J127">
        <v>-0.21568628000000001</v>
      </c>
    </row>
    <row r="128" spans="1:10" x14ac:dyDescent="0.3">
      <c r="A128">
        <v>126</v>
      </c>
      <c r="B128">
        <v>2086</v>
      </c>
      <c r="C128" t="b">
        <v>1</v>
      </c>
      <c r="D128">
        <v>8065</v>
      </c>
      <c r="E128">
        <v>8111</v>
      </c>
      <c r="F128">
        <v>24.8</v>
      </c>
      <c r="G128">
        <v>-4.4000000000000004</v>
      </c>
      <c r="H128">
        <v>-5.6363634999999999</v>
      </c>
      <c r="I128">
        <v>6.6363630000000002</v>
      </c>
      <c r="J128">
        <v>-0.21568628000000001</v>
      </c>
    </row>
    <row r="129" spans="1:10" x14ac:dyDescent="0.3">
      <c r="A129">
        <v>127</v>
      </c>
      <c r="B129">
        <v>2102</v>
      </c>
      <c r="C129" t="b">
        <v>1</v>
      </c>
      <c r="D129">
        <v>8060</v>
      </c>
      <c r="E129">
        <v>8111</v>
      </c>
      <c r="F129">
        <v>24.4</v>
      </c>
      <c r="G129">
        <v>-4.4000000000000004</v>
      </c>
      <c r="H129">
        <v>-5.5454545</v>
      </c>
      <c r="I129">
        <v>6.5454540000000003</v>
      </c>
      <c r="J129">
        <v>-0.22</v>
      </c>
    </row>
    <row r="130" spans="1:10" x14ac:dyDescent="0.3">
      <c r="A130">
        <v>128</v>
      </c>
      <c r="B130">
        <v>2118</v>
      </c>
      <c r="C130" t="b">
        <v>1</v>
      </c>
      <c r="D130">
        <v>8048</v>
      </c>
      <c r="E130">
        <v>8105</v>
      </c>
      <c r="F130">
        <v>23.666665999999999</v>
      </c>
      <c r="G130">
        <v>-4.4000000000000004</v>
      </c>
      <c r="H130">
        <v>-5.3787874999999996</v>
      </c>
      <c r="I130">
        <v>6.3787874999999996</v>
      </c>
      <c r="J130">
        <v>-0.22837370000000001</v>
      </c>
    </row>
    <row r="131" spans="1:10" x14ac:dyDescent="0.3">
      <c r="A131">
        <v>129</v>
      </c>
      <c r="B131">
        <v>2134</v>
      </c>
      <c r="C131" t="b">
        <v>1</v>
      </c>
      <c r="D131">
        <v>8065</v>
      </c>
      <c r="E131">
        <v>8105</v>
      </c>
      <c r="F131">
        <v>23.666665999999999</v>
      </c>
      <c r="G131">
        <v>-4.8</v>
      </c>
      <c r="H131">
        <v>-4.9305553</v>
      </c>
      <c r="I131">
        <v>5.9305553</v>
      </c>
      <c r="J131">
        <v>-0.254417</v>
      </c>
    </row>
    <row r="132" spans="1:10" x14ac:dyDescent="0.3">
      <c r="A132">
        <v>130</v>
      </c>
      <c r="B132">
        <v>2150</v>
      </c>
      <c r="C132" t="b">
        <v>1</v>
      </c>
      <c r="D132">
        <v>8065</v>
      </c>
      <c r="E132">
        <v>8117</v>
      </c>
      <c r="F132">
        <v>23.666665999999999</v>
      </c>
      <c r="G132">
        <v>-4.8</v>
      </c>
      <c r="H132">
        <v>-4.9305553</v>
      </c>
      <c r="I132">
        <v>5.9305553</v>
      </c>
      <c r="J132">
        <v>-0.254417</v>
      </c>
    </row>
    <row r="133" spans="1:10" x14ac:dyDescent="0.3">
      <c r="A133">
        <v>131</v>
      </c>
      <c r="B133">
        <v>2181</v>
      </c>
      <c r="C133" t="b">
        <v>1</v>
      </c>
      <c r="D133">
        <v>8065</v>
      </c>
      <c r="E133">
        <v>8117</v>
      </c>
      <c r="F133">
        <v>24</v>
      </c>
      <c r="G133">
        <v>-4.8</v>
      </c>
      <c r="H133">
        <v>-5</v>
      </c>
      <c r="I133">
        <v>5.9999995000000004</v>
      </c>
      <c r="J133">
        <v>-0.25</v>
      </c>
    </row>
    <row r="134" spans="1:10" x14ac:dyDescent="0.3">
      <c r="A134">
        <v>132</v>
      </c>
      <c r="B134">
        <v>2197</v>
      </c>
      <c r="C134" t="b">
        <v>1</v>
      </c>
      <c r="D134">
        <v>8054</v>
      </c>
      <c r="E134">
        <v>8123</v>
      </c>
      <c r="F134">
        <v>24.333334000000001</v>
      </c>
      <c r="G134">
        <v>-4.4000000000000004</v>
      </c>
      <c r="H134">
        <v>-5.530303</v>
      </c>
      <c r="I134">
        <v>6.530303</v>
      </c>
      <c r="J134">
        <v>-0.22073577</v>
      </c>
    </row>
    <row r="135" spans="1:10" x14ac:dyDescent="0.3">
      <c r="A135">
        <v>133</v>
      </c>
      <c r="B135">
        <v>2213</v>
      </c>
      <c r="C135" t="b">
        <v>1</v>
      </c>
      <c r="D135">
        <v>8065</v>
      </c>
      <c r="E135">
        <v>8123</v>
      </c>
      <c r="F135">
        <v>24.666665999999999</v>
      </c>
      <c r="G135">
        <v>-4</v>
      </c>
      <c r="H135">
        <v>-6.1666664999999998</v>
      </c>
      <c r="I135">
        <v>7.1666664999999998</v>
      </c>
      <c r="J135">
        <v>-0.19354840000000001</v>
      </c>
    </row>
    <row r="136" spans="1:10" x14ac:dyDescent="0.3">
      <c r="A136">
        <v>134</v>
      </c>
      <c r="B136">
        <v>2229</v>
      </c>
      <c r="C136" t="b">
        <v>1</v>
      </c>
      <c r="D136">
        <v>8071</v>
      </c>
      <c r="E136">
        <v>8123</v>
      </c>
      <c r="F136">
        <v>24.666665999999999</v>
      </c>
      <c r="G136">
        <v>-3.2</v>
      </c>
      <c r="H136">
        <v>-7.7083329999999997</v>
      </c>
      <c r="I136">
        <v>8.7083329999999997</v>
      </c>
      <c r="J136">
        <v>-0.14906833999999999</v>
      </c>
    </row>
    <row r="137" spans="1:10" x14ac:dyDescent="0.3">
      <c r="A137">
        <v>135</v>
      </c>
      <c r="B137">
        <v>2245</v>
      </c>
      <c r="C137" t="b">
        <v>1</v>
      </c>
      <c r="D137">
        <v>8071</v>
      </c>
      <c r="E137">
        <v>8123</v>
      </c>
      <c r="F137">
        <v>24.666665999999999</v>
      </c>
      <c r="G137">
        <v>-2.4</v>
      </c>
      <c r="H137">
        <v>-10.277777</v>
      </c>
      <c r="I137">
        <v>11.277777</v>
      </c>
      <c r="J137">
        <v>-0.107784435</v>
      </c>
    </row>
    <row r="138" spans="1:10" x14ac:dyDescent="0.3">
      <c r="A138">
        <v>136</v>
      </c>
      <c r="B138">
        <v>2260</v>
      </c>
      <c r="C138" t="b">
        <v>1</v>
      </c>
      <c r="D138">
        <v>8065</v>
      </c>
      <c r="E138">
        <v>8117</v>
      </c>
      <c r="F138">
        <v>24.666665999999999</v>
      </c>
      <c r="G138">
        <v>-1.6</v>
      </c>
      <c r="H138">
        <v>-15.416665999999999</v>
      </c>
      <c r="I138">
        <v>16.416665999999999</v>
      </c>
      <c r="J138">
        <v>-6.9364170000000003E-2</v>
      </c>
    </row>
    <row r="139" spans="1:10" x14ac:dyDescent="0.3">
      <c r="A139">
        <v>137</v>
      </c>
      <c r="B139">
        <v>2277</v>
      </c>
      <c r="C139" t="b">
        <v>1</v>
      </c>
      <c r="D139">
        <v>8054</v>
      </c>
      <c r="E139">
        <v>8117</v>
      </c>
      <c r="F139">
        <v>24.666665999999999</v>
      </c>
      <c r="G139">
        <v>-0.8</v>
      </c>
      <c r="H139">
        <v>-30.833331999999999</v>
      </c>
      <c r="I139">
        <v>31.833331999999999</v>
      </c>
      <c r="J139">
        <v>-3.3519554999999999E-2</v>
      </c>
    </row>
    <row r="140" spans="1:10" x14ac:dyDescent="0.3">
      <c r="A140">
        <v>138</v>
      </c>
      <c r="B140">
        <v>2308</v>
      </c>
      <c r="C140" t="b">
        <v>1</v>
      </c>
      <c r="D140">
        <v>8071</v>
      </c>
      <c r="E140">
        <v>8105</v>
      </c>
      <c r="F140">
        <v>25.066668</v>
      </c>
      <c r="G140">
        <v>-0.4</v>
      </c>
      <c r="H140">
        <v>-62.666668000000001</v>
      </c>
      <c r="I140">
        <v>63.666668000000001</v>
      </c>
      <c r="J140">
        <v>-1.6216214999999999E-2</v>
      </c>
    </row>
    <row r="141" spans="1:10" x14ac:dyDescent="0.3">
      <c r="A141">
        <v>139</v>
      </c>
      <c r="B141">
        <v>2324</v>
      </c>
      <c r="C141" t="b">
        <v>1</v>
      </c>
      <c r="D141">
        <v>8065</v>
      </c>
      <c r="E141">
        <v>8099</v>
      </c>
      <c r="F141">
        <v>25.066668</v>
      </c>
      <c r="G141">
        <v>0</v>
      </c>
      <c r="H141" t="s">
        <v>19</v>
      </c>
      <c r="I141" t="e">
        <f>-inf</f>
        <v>#NAME?</v>
      </c>
      <c r="J141">
        <v>0</v>
      </c>
    </row>
    <row r="142" spans="1:10" x14ac:dyDescent="0.3">
      <c r="A142">
        <v>140</v>
      </c>
      <c r="B142">
        <v>2340</v>
      </c>
      <c r="C142" t="b">
        <v>1</v>
      </c>
      <c r="D142">
        <v>8065</v>
      </c>
      <c r="E142">
        <v>8105</v>
      </c>
      <c r="F142">
        <v>25.066668</v>
      </c>
      <c r="G142">
        <v>0</v>
      </c>
      <c r="H142" t="s">
        <v>19</v>
      </c>
      <c r="I142" t="e">
        <f>-inf</f>
        <v>#NAME?</v>
      </c>
      <c r="J142">
        <v>0</v>
      </c>
    </row>
    <row r="143" spans="1:10" x14ac:dyDescent="0.3">
      <c r="A143">
        <v>141</v>
      </c>
      <c r="B143">
        <v>2356</v>
      </c>
      <c r="C143" t="b">
        <v>1</v>
      </c>
      <c r="D143">
        <v>8071</v>
      </c>
      <c r="E143">
        <v>8105</v>
      </c>
      <c r="F143">
        <v>25.066668</v>
      </c>
      <c r="G143">
        <v>-0.4</v>
      </c>
      <c r="H143">
        <v>-62.666668000000001</v>
      </c>
      <c r="I143">
        <v>63.666668000000001</v>
      </c>
      <c r="J143">
        <v>-1.6216214999999999E-2</v>
      </c>
    </row>
    <row r="144" spans="1:10" x14ac:dyDescent="0.3">
      <c r="A144">
        <v>142</v>
      </c>
      <c r="B144">
        <v>2372</v>
      </c>
      <c r="C144" t="b">
        <v>1</v>
      </c>
      <c r="D144">
        <v>8060</v>
      </c>
      <c r="E144">
        <v>8117</v>
      </c>
      <c r="F144">
        <v>25.066668</v>
      </c>
      <c r="G144">
        <v>-0.8</v>
      </c>
      <c r="H144">
        <v>-31.333334000000001</v>
      </c>
      <c r="I144">
        <v>32.333331999999999</v>
      </c>
      <c r="J144">
        <v>-3.2967030000000001E-2</v>
      </c>
    </row>
    <row r="145" spans="1:10" x14ac:dyDescent="0.3">
      <c r="A145">
        <v>143</v>
      </c>
      <c r="B145">
        <v>2388</v>
      </c>
      <c r="C145" t="b">
        <v>1</v>
      </c>
      <c r="D145">
        <v>8065</v>
      </c>
      <c r="E145">
        <v>8111</v>
      </c>
      <c r="F145">
        <v>25.4</v>
      </c>
      <c r="G145">
        <v>-1.2</v>
      </c>
      <c r="H145">
        <v>-21.166665999999999</v>
      </c>
      <c r="I145">
        <v>22.166665999999999</v>
      </c>
      <c r="J145">
        <v>-4.9586779999999997E-2</v>
      </c>
    </row>
    <row r="146" spans="1:10" x14ac:dyDescent="0.3">
      <c r="A146">
        <v>144</v>
      </c>
      <c r="B146">
        <v>2404</v>
      </c>
      <c r="C146" t="b">
        <v>1</v>
      </c>
      <c r="D146">
        <v>8065</v>
      </c>
      <c r="E146">
        <v>8123</v>
      </c>
      <c r="F146">
        <v>25.4</v>
      </c>
      <c r="G146">
        <v>-0.8</v>
      </c>
      <c r="H146">
        <v>-31.75</v>
      </c>
      <c r="I146">
        <v>32.749996000000003</v>
      </c>
      <c r="J146">
        <v>-3.2520324000000003E-2</v>
      </c>
    </row>
    <row r="147" spans="1:10" x14ac:dyDescent="0.3">
      <c r="A147">
        <v>145</v>
      </c>
      <c r="B147">
        <v>2419</v>
      </c>
      <c r="C147" t="b">
        <v>1</v>
      </c>
      <c r="D147">
        <v>8054</v>
      </c>
      <c r="E147">
        <v>8117</v>
      </c>
      <c r="F147">
        <v>25.4</v>
      </c>
      <c r="G147">
        <v>-0.4</v>
      </c>
      <c r="H147">
        <v>-63.5</v>
      </c>
      <c r="I147">
        <v>64.5</v>
      </c>
      <c r="J147">
        <v>-1.6E-2</v>
      </c>
    </row>
    <row r="148" spans="1:10" x14ac:dyDescent="0.3">
      <c r="A148">
        <v>146</v>
      </c>
      <c r="B148">
        <v>2435</v>
      </c>
      <c r="C148" t="b">
        <v>1</v>
      </c>
      <c r="D148">
        <v>8054</v>
      </c>
      <c r="E148">
        <v>8123</v>
      </c>
      <c r="F148">
        <v>25.066668</v>
      </c>
      <c r="G148">
        <v>0</v>
      </c>
      <c r="H148" t="s">
        <v>19</v>
      </c>
      <c r="I148" t="e">
        <f>-inf</f>
        <v>#NAME?</v>
      </c>
      <c r="J148">
        <v>0</v>
      </c>
    </row>
    <row r="149" spans="1:10" x14ac:dyDescent="0.3">
      <c r="A149">
        <v>147</v>
      </c>
      <c r="B149">
        <v>2451</v>
      </c>
      <c r="C149" t="b">
        <v>1</v>
      </c>
      <c r="D149">
        <v>8054</v>
      </c>
      <c r="E149">
        <v>8117</v>
      </c>
      <c r="F149">
        <v>24.333334000000001</v>
      </c>
      <c r="G149">
        <v>0</v>
      </c>
      <c r="H149" t="s">
        <v>19</v>
      </c>
      <c r="I149" t="e">
        <f>-inf</f>
        <v>#NAME?</v>
      </c>
      <c r="J149">
        <v>0</v>
      </c>
    </row>
    <row r="150" spans="1:10" x14ac:dyDescent="0.3">
      <c r="A150">
        <v>148</v>
      </c>
      <c r="B150">
        <v>2467</v>
      </c>
      <c r="C150" t="b">
        <v>1</v>
      </c>
      <c r="D150">
        <v>8065</v>
      </c>
      <c r="E150">
        <v>8123</v>
      </c>
      <c r="F150">
        <v>23.6</v>
      </c>
      <c r="G150">
        <v>0.4</v>
      </c>
      <c r="H150">
        <v>59</v>
      </c>
      <c r="I150">
        <v>-58</v>
      </c>
      <c r="J150">
        <v>1.6666667999999999E-2</v>
      </c>
    </row>
    <row r="151" spans="1:10" x14ac:dyDescent="0.3">
      <c r="A151">
        <v>149</v>
      </c>
      <c r="B151">
        <v>2483</v>
      </c>
      <c r="C151" t="b">
        <v>1</v>
      </c>
      <c r="D151">
        <v>8065</v>
      </c>
      <c r="E151">
        <v>8111</v>
      </c>
      <c r="F151">
        <v>22.866667</v>
      </c>
      <c r="G151">
        <v>0</v>
      </c>
      <c r="H151" t="s">
        <v>19</v>
      </c>
      <c r="I151" t="e">
        <f>-inf</f>
        <v>#NAME?</v>
      </c>
      <c r="J151">
        <v>0</v>
      </c>
    </row>
    <row r="152" spans="1:10" x14ac:dyDescent="0.3">
      <c r="A152">
        <v>150</v>
      </c>
      <c r="B152">
        <v>2499</v>
      </c>
      <c r="C152" t="b">
        <v>1</v>
      </c>
      <c r="D152">
        <v>8065</v>
      </c>
      <c r="E152">
        <v>8123</v>
      </c>
      <c r="F152">
        <v>22.866667</v>
      </c>
      <c r="G152">
        <v>0</v>
      </c>
      <c r="H152" t="s">
        <v>19</v>
      </c>
      <c r="I152" t="e">
        <f>-inf</f>
        <v>#NAME?</v>
      </c>
      <c r="J152">
        <v>0</v>
      </c>
    </row>
    <row r="153" spans="1:10" x14ac:dyDescent="0.3">
      <c r="A153">
        <v>151</v>
      </c>
      <c r="B153">
        <v>2514</v>
      </c>
      <c r="C153" t="b">
        <v>1</v>
      </c>
      <c r="D153">
        <v>8077</v>
      </c>
      <c r="E153">
        <v>8111</v>
      </c>
      <c r="F153">
        <v>22.866667</v>
      </c>
      <c r="G153">
        <v>-0.4</v>
      </c>
      <c r="H153">
        <v>-57.166668000000001</v>
      </c>
      <c r="I153">
        <v>58.166663999999997</v>
      </c>
      <c r="J153">
        <v>-1.7804153E-2</v>
      </c>
    </row>
    <row r="154" spans="1:10" x14ac:dyDescent="0.3">
      <c r="A154">
        <v>152</v>
      </c>
      <c r="B154">
        <v>2530</v>
      </c>
      <c r="C154" t="b">
        <v>1</v>
      </c>
      <c r="D154">
        <v>8071</v>
      </c>
      <c r="E154">
        <v>8123</v>
      </c>
      <c r="F154">
        <v>22.866667</v>
      </c>
      <c r="G154">
        <v>-0.4</v>
      </c>
      <c r="H154">
        <v>-57.166668000000001</v>
      </c>
      <c r="I154">
        <v>58.166663999999997</v>
      </c>
      <c r="J154">
        <v>-1.7804153E-2</v>
      </c>
    </row>
    <row r="155" spans="1:10" x14ac:dyDescent="0.3">
      <c r="A155">
        <v>153</v>
      </c>
      <c r="B155">
        <v>2546</v>
      </c>
      <c r="C155" t="b">
        <v>1</v>
      </c>
      <c r="D155">
        <v>8060</v>
      </c>
      <c r="E155">
        <v>8123</v>
      </c>
      <c r="F155">
        <v>22.466667000000001</v>
      </c>
      <c r="G155">
        <v>0</v>
      </c>
      <c r="H155" t="s">
        <v>19</v>
      </c>
      <c r="I155" t="e">
        <f>-inf</f>
        <v>#NAME?</v>
      </c>
      <c r="J155">
        <v>0</v>
      </c>
    </row>
    <row r="156" spans="1:10" x14ac:dyDescent="0.3">
      <c r="A156">
        <v>154</v>
      </c>
      <c r="B156">
        <v>2562</v>
      </c>
      <c r="C156" t="b">
        <v>1</v>
      </c>
      <c r="D156">
        <v>8077</v>
      </c>
      <c r="E156">
        <v>8123</v>
      </c>
      <c r="F156">
        <v>22.866667</v>
      </c>
      <c r="G156">
        <v>0.4</v>
      </c>
      <c r="H156">
        <v>57.166668000000001</v>
      </c>
      <c r="I156">
        <v>-56.166668000000001</v>
      </c>
      <c r="J156">
        <v>1.7191978E-2</v>
      </c>
    </row>
    <row r="157" spans="1:10" x14ac:dyDescent="0.3">
      <c r="A157">
        <v>155</v>
      </c>
      <c r="B157">
        <v>2578</v>
      </c>
      <c r="C157" t="b">
        <v>1</v>
      </c>
      <c r="D157">
        <v>8065</v>
      </c>
      <c r="E157">
        <v>8123</v>
      </c>
      <c r="F157">
        <v>23.266666000000001</v>
      </c>
      <c r="G157">
        <v>1.6</v>
      </c>
      <c r="H157">
        <v>14.541665999999999</v>
      </c>
      <c r="I157">
        <v>-13.541665999999999</v>
      </c>
      <c r="J157">
        <v>6.4343159999999996E-2</v>
      </c>
    </row>
    <row r="158" spans="1:10" x14ac:dyDescent="0.3">
      <c r="A158">
        <v>156</v>
      </c>
      <c r="B158">
        <v>2594</v>
      </c>
      <c r="C158" t="b">
        <v>1</v>
      </c>
      <c r="D158">
        <v>8065</v>
      </c>
      <c r="E158">
        <v>8105</v>
      </c>
      <c r="F158">
        <v>23.266666000000001</v>
      </c>
      <c r="G158">
        <v>2.8</v>
      </c>
      <c r="H158">
        <v>8.3095239999999997</v>
      </c>
      <c r="I158">
        <v>-7.3095239999999997</v>
      </c>
      <c r="J158">
        <v>0.10741688000000001</v>
      </c>
    </row>
    <row r="159" spans="1:10" x14ac:dyDescent="0.3">
      <c r="A159">
        <v>157</v>
      </c>
      <c r="B159">
        <v>2609</v>
      </c>
      <c r="C159" t="b">
        <v>1</v>
      </c>
      <c r="D159">
        <v>8060</v>
      </c>
      <c r="E159">
        <v>8117</v>
      </c>
      <c r="F159">
        <v>23.266666000000001</v>
      </c>
      <c r="G159">
        <v>4</v>
      </c>
      <c r="H159">
        <v>5.8166665999999996</v>
      </c>
      <c r="I159">
        <v>-4.8166665999999996</v>
      </c>
      <c r="J159">
        <v>0.14669926</v>
      </c>
    </row>
    <row r="160" spans="1:10" x14ac:dyDescent="0.3">
      <c r="A160">
        <v>158</v>
      </c>
      <c r="B160">
        <v>2626</v>
      </c>
      <c r="C160" t="b">
        <v>1</v>
      </c>
      <c r="D160">
        <v>8060</v>
      </c>
      <c r="E160">
        <v>8117</v>
      </c>
      <c r="F160">
        <v>23.266666000000001</v>
      </c>
      <c r="G160">
        <v>4.8</v>
      </c>
      <c r="H160">
        <v>4.8472220000000004</v>
      </c>
      <c r="I160">
        <v>-3.8472219999999999</v>
      </c>
      <c r="J160">
        <v>0.17102139</v>
      </c>
    </row>
    <row r="161" spans="1:10" x14ac:dyDescent="0.3">
      <c r="A161">
        <v>159</v>
      </c>
      <c r="B161">
        <v>2641</v>
      </c>
      <c r="C161" t="b">
        <v>1</v>
      </c>
      <c r="D161">
        <v>8065</v>
      </c>
      <c r="E161">
        <v>8105</v>
      </c>
      <c r="F161">
        <v>23.266666000000001</v>
      </c>
      <c r="G161">
        <v>5.2</v>
      </c>
      <c r="H161">
        <v>4.4743589999999998</v>
      </c>
      <c r="I161">
        <v>-3.4743588000000001</v>
      </c>
      <c r="J161">
        <v>0.18266977000000001</v>
      </c>
    </row>
    <row r="162" spans="1:10" x14ac:dyDescent="0.3">
      <c r="A162">
        <v>160</v>
      </c>
      <c r="B162">
        <v>2657</v>
      </c>
      <c r="C162" t="b">
        <v>1</v>
      </c>
      <c r="D162">
        <v>8065</v>
      </c>
      <c r="E162">
        <v>8105</v>
      </c>
      <c r="F162">
        <v>23.266666000000001</v>
      </c>
      <c r="G162">
        <v>4.4000000000000004</v>
      </c>
      <c r="H162">
        <v>5.2878784999999997</v>
      </c>
      <c r="I162">
        <v>-4.2878784999999997</v>
      </c>
      <c r="J162">
        <v>0.15903613999999999</v>
      </c>
    </row>
    <row r="163" spans="1:10" x14ac:dyDescent="0.3">
      <c r="A163">
        <v>161</v>
      </c>
      <c r="B163">
        <v>2673</v>
      </c>
      <c r="C163" t="b">
        <v>1</v>
      </c>
      <c r="D163">
        <v>8071</v>
      </c>
      <c r="E163">
        <v>8105</v>
      </c>
      <c r="F163">
        <v>23.6</v>
      </c>
      <c r="G163">
        <v>3.6</v>
      </c>
      <c r="H163">
        <v>6.5555560000000002</v>
      </c>
      <c r="I163">
        <v>-5.5555560000000002</v>
      </c>
      <c r="J163">
        <v>0.13235293000000001</v>
      </c>
    </row>
    <row r="164" spans="1:10" x14ac:dyDescent="0.3">
      <c r="A164">
        <v>162</v>
      </c>
      <c r="B164">
        <v>2689</v>
      </c>
      <c r="C164" t="b">
        <v>1</v>
      </c>
      <c r="D164">
        <v>8071</v>
      </c>
      <c r="E164">
        <v>8117</v>
      </c>
      <c r="F164">
        <v>24.333334000000001</v>
      </c>
      <c r="G164">
        <v>2.8</v>
      </c>
      <c r="H164">
        <v>8.6904760000000003</v>
      </c>
      <c r="I164">
        <v>-7.6904769999999996</v>
      </c>
      <c r="J164">
        <v>0.1031941</v>
      </c>
    </row>
    <row r="165" spans="1:10" x14ac:dyDescent="0.3">
      <c r="A165">
        <v>163</v>
      </c>
      <c r="B165">
        <v>2704</v>
      </c>
      <c r="C165" t="b">
        <v>1</v>
      </c>
      <c r="D165">
        <v>8077</v>
      </c>
      <c r="E165">
        <v>8123</v>
      </c>
      <c r="F165">
        <v>25.466667000000001</v>
      </c>
      <c r="G165">
        <v>1.6</v>
      </c>
      <c r="H165">
        <v>15.916667</v>
      </c>
      <c r="I165">
        <v>-14.916667</v>
      </c>
      <c r="J165">
        <v>5.9113298000000002E-2</v>
      </c>
    </row>
    <row r="166" spans="1:10" x14ac:dyDescent="0.3">
      <c r="A166">
        <v>164</v>
      </c>
      <c r="B166">
        <v>2720</v>
      </c>
      <c r="C166" t="b">
        <v>1</v>
      </c>
      <c r="D166">
        <v>8071</v>
      </c>
      <c r="E166">
        <v>8111</v>
      </c>
      <c r="F166">
        <v>26.6</v>
      </c>
      <c r="G166">
        <v>1.2</v>
      </c>
      <c r="H166">
        <v>22.166665999999999</v>
      </c>
      <c r="I166">
        <v>-21.166665999999999</v>
      </c>
      <c r="J166">
        <v>4.3165467999999999E-2</v>
      </c>
    </row>
    <row r="167" spans="1:10" x14ac:dyDescent="0.3">
      <c r="A167">
        <v>165</v>
      </c>
      <c r="B167">
        <v>2736</v>
      </c>
      <c r="C167" t="b">
        <v>1</v>
      </c>
      <c r="D167">
        <v>8071</v>
      </c>
      <c r="E167">
        <v>8117</v>
      </c>
      <c r="F167">
        <v>27</v>
      </c>
      <c r="G167">
        <v>0.8</v>
      </c>
      <c r="H167">
        <v>33.75</v>
      </c>
      <c r="I167">
        <v>-32.75</v>
      </c>
      <c r="J167">
        <v>2.8776980000000001E-2</v>
      </c>
    </row>
    <row r="168" spans="1:10" x14ac:dyDescent="0.3">
      <c r="A168">
        <v>166</v>
      </c>
      <c r="B168">
        <v>2752</v>
      </c>
      <c r="C168" t="b">
        <v>1</v>
      </c>
      <c r="D168">
        <v>8065</v>
      </c>
      <c r="E168">
        <v>8111</v>
      </c>
      <c r="F168">
        <v>27.4</v>
      </c>
      <c r="G168">
        <v>0.8</v>
      </c>
      <c r="H168">
        <v>34.25</v>
      </c>
      <c r="I168">
        <v>-33.25</v>
      </c>
      <c r="J168">
        <v>2.8368794999999999E-2</v>
      </c>
    </row>
    <row r="169" spans="1:10" x14ac:dyDescent="0.3">
      <c r="A169">
        <v>167</v>
      </c>
      <c r="B169">
        <v>2768</v>
      </c>
      <c r="C169" t="b">
        <v>1</v>
      </c>
      <c r="D169">
        <v>8071</v>
      </c>
      <c r="E169">
        <v>8117</v>
      </c>
      <c r="F169">
        <v>27.8</v>
      </c>
      <c r="G169">
        <v>0.4</v>
      </c>
      <c r="H169">
        <v>69.5</v>
      </c>
      <c r="I169">
        <v>-68.5</v>
      </c>
      <c r="J169">
        <v>1.4184398000000001E-2</v>
      </c>
    </row>
    <row r="170" spans="1:10" x14ac:dyDescent="0.3">
      <c r="A170">
        <v>168</v>
      </c>
      <c r="B170">
        <v>2784</v>
      </c>
      <c r="C170" t="b">
        <v>1</v>
      </c>
      <c r="D170">
        <v>8071</v>
      </c>
      <c r="E170">
        <v>8117</v>
      </c>
      <c r="F170">
        <v>28.2</v>
      </c>
      <c r="G170">
        <v>0</v>
      </c>
      <c r="H170" t="s">
        <v>19</v>
      </c>
      <c r="I170" t="e">
        <f>-inf</f>
        <v>#NAME?</v>
      </c>
      <c r="J170">
        <v>0</v>
      </c>
    </row>
    <row r="171" spans="1:10" x14ac:dyDescent="0.3">
      <c r="A171">
        <v>169</v>
      </c>
      <c r="B171">
        <v>2800</v>
      </c>
      <c r="C171" t="b">
        <v>1</v>
      </c>
      <c r="D171">
        <v>8071</v>
      </c>
      <c r="E171">
        <v>8105</v>
      </c>
      <c r="F171">
        <v>28.2</v>
      </c>
      <c r="G171">
        <v>-0.4</v>
      </c>
      <c r="H171">
        <v>-70.5</v>
      </c>
      <c r="I171">
        <v>71.5</v>
      </c>
      <c r="J171">
        <v>-1.4388489000000001E-2</v>
      </c>
    </row>
    <row r="172" spans="1:10" x14ac:dyDescent="0.3">
      <c r="A172">
        <v>170</v>
      </c>
      <c r="B172">
        <v>2816</v>
      </c>
      <c r="C172" t="b">
        <v>1</v>
      </c>
      <c r="D172">
        <v>8077</v>
      </c>
      <c r="E172">
        <v>8105</v>
      </c>
      <c r="F172">
        <v>28.2</v>
      </c>
      <c r="G172">
        <v>-1.2</v>
      </c>
      <c r="H172">
        <v>-23.5</v>
      </c>
      <c r="I172">
        <v>24.5</v>
      </c>
      <c r="J172">
        <v>-4.4444445999999999E-2</v>
      </c>
    </row>
    <row r="173" spans="1:10" x14ac:dyDescent="0.3">
      <c r="A173">
        <v>171</v>
      </c>
      <c r="B173">
        <v>2832</v>
      </c>
      <c r="C173" t="b">
        <v>1</v>
      </c>
      <c r="D173">
        <v>8065</v>
      </c>
      <c r="E173">
        <v>8105</v>
      </c>
      <c r="F173">
        <v>28.6</v>
      </c>
      <c r="G173">
        <v>-2.4</v>
      </c>
      <c r="H173">
        <v>-11.916665999999999</v>
      </c>
      <c r="I173">
        <v>12.916665999999999</v>
      </c>
      <c r="J173">
        <v>-9.1603056000000002E-2</v>
      </c>
    </row>
    <row r="174" spans="1:10" x14ac:dyDescent="0.3">
      <c r="A174">
        <v>172</v>
      </c>
      <c r="B174">
        <v>2848</v>
      </c>
      <c r="C174" t="b">
        <v>1</v>
      </c>
      <c r="D174">
        <v>8060</v>
      </c>
      <c r="E174">
        <v>8117</v>
      </c>
      <c r="F174">
        <v>29</v>
      </c>
      <c r="G174">
        <v>-3.6</v>
      </c>
      <c r="H174">
        <v>-8.055555</v>
      </c>
      <c r="I174">
        <v>9.055555</v>
      </c>
      <c r="J174">
        <v>-0.14173227999999999</v>
      </c>
    </row>
    <row r="175" spans="1:10" x14ac:dyDescent="0.3">
      <c r="A175">
        <v>173</v>
      </c>
      <c r="B175">
        <v>2863</v>
      </c>
      <c r="C175" t="b">
        <v>1</v>
      </c>
      <c r="D175">
        <v>8065</v>
      </c>
      <c r="E175">
        <v>8105</v>
      </c>
      <c r="F175">
        <v>29</v>
      </c>
      <c r="G175">
        <v>-4.4000000000000004</v>
      </c>
      <c r="H175">
        <v>-6.5909089999999999</v>
      </c>
      <c r="I175">
        <v>7.5909095000000004</v>
      </c>
      <c r="J175">
        <v>-0.17886179999999999</v>
      </c>
    </row>
    <row r="176" spans="1:10" x14ac:dyDescent="0.3">
      <c r="A176">
        <v>174</v>
      </c>
      <c r="B176">
        <v>2879</v>
      </c>
      <c r="C176" t="b">
        <v>1</v>
      </c>
      <c r="D176">
        <v>8065</v>
      </c>
      <c r="E176">
        <v>8117</v>
      </c>
      <c r="F176">
        <v>29</v>
      </c>
      <c r="G176">
        <v>-5.2</v>
      </c>
      <c r="H176">
        <v>-5.5769234000000001</v>
      </c>
      <c r="I176">
        <v>6.5769234000000001</v>
      </c>
      <c r="J176">
        <v>-0.2184874</v>
      </c>
    </row>
    <row r="177" spans="1:10" x14ac:dyDescent="0.3">
      <c r="A177">
        <v>175</v>
      </c>
      <c r="B177">
        <v>2911</v>
      </c>
      <c r="C177" t="b">
        <v>1</v>
      </c>
      <c r="D177">
        <v>8065</v>
      </c>
      <c r="E177">
        <v>8111</v>
      </c>
      <c r="F177">
        <v>29</v>
      </c>
      <c r="G177">
        <v>-4.8</v>
      </c>
      <c r="H177">
        <v>-6.0416664999999998</v>
      </c>
      <c r="I177">
        <v>7.0416660000000002</v>
      </c>
      <c r="J177">
        <v>-0.1983471</v>
      </c>
    </row>
    <row r="178" spans="1:10" x14ac:dyDescent="0.3">
      <c r="A178">
        <v>176</v>
      </c>
      <c r="B178">
        <v>2927</v>
      </c>
      <c r="C178" t="b">
        <v>1</v>
      </c>
      <c r="D178">
        <v>8065</v>
      </c>
      <c r="E178">
        <v>8111</v>
      </c>
      <c r="F178">
        <v>29</v>
      </c>
      <c r="G178">
        <v>-4.4000000000000004</v>
      </c>
      <c r="H178">
        <v>-6.5909089999999999</v>
      </c>
      <c r="I178">
        <v>7.5909095000000004</v>
      </c>
      <c r="J178">
        <v>-0.17886179999999999</v>
      </c>
    </row>
    <row r="179" spans="1:10" x14ac:dyDescent="0.3">
      <c r="A179">
        <v>177</v>
      </c>
      <c r="B179">
        <v>2943</v>
      </c>
      <c r="C179" t="b">
        <v>1</v>
      </c>
      <c r="D179">
        <v>8065</v>
      </c>
      <c r="E179">
        <v>8111</v>
      </c>
      <c r="F179">
        <v>29</v>
      </c>
      <c r="G179">
        <v>-4</v>
      </c>
      <c r="H179">
        <v>-7.25</v>
      </c>
      <c r="I179">
        <v>8.25</v>
      </c>
      <c r="J179">
        <v>-0.16</v>
      </c>
    </row>
    <row r="180" spans="1:10" x14ac:dyDescent="0.3">
      <c r="A180">
        <v>178</v>
      </c>
      <c r="B180">
        <v>2959</v>
      </c>
      <c r="C180" t="b">
        <v>1</v>
      </c>
      <c r="D180">
        <v>8060</v>
      </c>
      <c r="E180">
        <v>8123</v>
      </c>
      <c r="F180">
        <v>28.6</v>
      </c>
      <c r="G180">
        <v>-3.6</v>
      </c>
      <c r="H180">
        <v>-7.9444447</v>
      </c>
      <c r="I180">
        <v>8.944445</v>
      </c>
      <c r="J180">
        <v>-0.14399999999999999</v>
      </c>
    </row>
    <row r="181" spans="1:10" x14ac:dyDescent="0.3">
      <c r="A181">
        <v>179</v>
      </c>
      <c r="B181">
        <v>2974</v>
      </c>
      <c r="C181" t="b">
        <v>1</v>
      </c>
      <c r="D181">
        <v>8065</v>
      </c>
      <c r="E181">
        <v>8123</v>
      </c>
      <c r="F181">
        <v>28.2</v>
      </c>
      <c r="G181">
        <v>-3.6</v>
      </c>
      <c r="H181">
        <v>-7.8333339999999998</v>
      </c>
      <c r="I181">
        <v>8.8333340000000007</v>
      </c>
      <c r="J181">
        <v>-0.14634146000000001</v>
      </c>
    </row>
    <row r="182" spans="1:10" x14ac:dyDescent="0.3">
      <c r="A182">
        <v>180</v>
      </c>
      <c r="B182">
        <v>2990</v>
      </c>
      <c r="C182" t="b">
        <v>1</v>
      </c>
      <c r="D182">
        <v>8071</v>
      </c>
      <c r="E182">
        <v>8111</v>
      </c>
      <c r="F182">
        <v>27.8</v>
      </c>
      <c r="G182">
        <v>-4</v>
      </c>
      <c r="H182">
        <v>-6.95</v>
      </c>
      <c r="I182">
        <v>7.95</v>
      </c>
      <c r="J182">
        <v>-0.16806723000000001</v>
      </c>
    </row>
    <row r="183" spans="1:10" x14ac:dyDescent="0.3">
      <c r="A183">
        <v>181</v>
      </c>
      <c r="B183">
        <v>3006</v>
      </c>
      <c r="C183" t="b">
        <v>1</v>
      </c>
      <c r="D183">
        <v>8065</v>
      </c>
      <c r="E183">
        <v>8111</v>
      </c>
      <c r="F183">
        <v>27.4</v>
      </c>
      <c r="G183">
        <v>-4.4000000000000004</v>
      </c>
      <c r="H183">
        <v>-6.2272724999999998</v>
      </c>
      <c r="I183">
        <v>7.2272724999999998</v>
      </c>
      <c r="J183">
        <v>-0.19130436000000001</v>
      </c>
    </row>
    <row r="184" spans="1:10" x14ac:dyDescent="0.3">
      <c r="A184">
        <v>182</v>
      </c>
      <c r="B184">
        <v>3022</v>
      </c>
      <c r="C184" t="b">
        <v>1</v>
      </c>
      <c r="D184">
        <v>8071</v>
      </c>
      <c r="E184">
        <v>8105</v>
      </c>
      <c r="F184">
        <v>27</v>
      </c>
      <c r="G184">
        <v>-4.8</v>
      </c>
      <c r="H184">
        <v>-5.625</v>
      </c>
      <c r="I184">
        <v>6.6249995000000004</v>
      </c>
      <c r="J184">
        <v>-0.21621621999999999</v>
      </c>
    </row>
    <row r="185" spans="1:10" x14ac:dyDescent="0.3">
      <c r="A185">
        <v>183</v>
      </c>
      <c r="B185">
        <v>3038</v>
      </c>
      <c r="C185" t="b">
        <v>1</v>
      </c>
      <c r="D185">
        <v>8077</v>
      </c>
      <c r="E185">
        <v>8123</v>
      </c>
      <c r="F185">
        <v>27</v>
      </c>
      <c r="G185">
        <v>-5.2</v>
      </c>
      <c r="H185">
        <v>-5.1923079999999997</v>
      </c>
      <c r="I185">
        <v>6.1923079999999997</v>
      </c>
      <c r="J185">
        <v>-0.23853210999999999</v>
      </c>
    </row>
    <row r="186" spans="1:10" x14ac:dyDescent="0.3">
      <c r="A186">
        <v>184</v>
      </c>
      <c r="B186">
        <v>3054</v>
      </c>
      <c r="C186" t="b">
        <v>1</v>
      </c>
      <c r="D186">
        <v>8065</v>
      </c>
      <c r="E186">
        <v>8111</v>
      </c>
      <c r="F186">
        <v>27</v>
      </c>
      <c r="G186">
        <v>-5.6</v>
      </c>
      <c r="H186">
        <v>-4.8214290000000002</v>
      </c>
      <c r="I186">
        <v>5.8214283</v>
      </c>
      <c r="J186">
        <v>-0.26168224000000001</v>
      </c>
    </row>
    <row r="187" spans="1:10" x14ac:dyDescent="0.3">
      <c r="A187">
        <v>185</v>
      </c>
      <c r="B187">
        <v>3070</v>
      </c>
      <c r="C187" t="b">
        <v>1</v>
      </c>
      <c r="D187">
        <v>8065</v>
      </c>
      <c r="E187">
        <v>8111</v>
      </c>
      <c r="F187">
        <v>26.6</v>
      </c>
      <c r="G187">
        <v>-5.6</v>
      </c>
      <c r="H187">
        <v>-4.75</v>
      </c>
      <c r="I187">
        <v>5.75</v>
      </c>
      <c r="J187">
        <v>-0.26666665000000001</v>
      </c>
    </row>
    <row r="188" spans="1:10" x14ac:dyDescent="0.3">
      <c r="A188">
        <v>186</v>
      </c>
      <c r="B188">
        <v>3086</v>
      </c>
      <c r="C188" t="b">
        <v>1</v>
      </c>
      <c r="D188">
        <v>8060</v>
      </c>
      <c r="E188">
        <v>8123</v>
      </c>
      <c r="F188">
        <v>26.2</v>
      </c>
      <c r="G188">
        <v>-5.2</v>
      </c>
      <c r="H188">
        <v>-5.0384617</v>
      </c>
      <c r="I188">
        <v>6.038462</v>
      </c>
      <c r="J188">
        <v>-0.24761902999999999</v>
      </c>
    </row>
    <row r="189" spans="1:10" x14ac:dyDescent="0.3">
      <c r="A189">
        <v>187</v>
      </c>
      <c r="B189">
        <v>3102</v>
      </c>
      <c r="C189" t="b">
        <v>1</v>
      </c>
      <c r="D189">
        <v>8071</v>
      </c>
      <c r="E189">
        <v>8105</v>
      </c>
      <c r="F189">
        <v>25.8</v>
      </c>
      <c r="G189">
        <v>-4.8</v>
      </c>
      <c r="H189">
        <v>-5.3749995000000004</v>
      </c>
      <c r="I189">
        <v>6.3749995000000004</v>
      </c>
      <c r="J189">
        <v>-0.22857143999999999</v>
      </c>
    </row>
    <row r="190" spans="1:10" x14ac:dyDescent="0.3">
      <c r="A190">
        <v>188</v>
      </c>
      <c r="B190">
        <v>3118</v>
      </c>
      <c r="C190" t="b">
        <v>1</v>
      </c>
      <c r="D190">
        <v>8060</v>
      </c>
      <c r="E190">
        <v>8111</v>
      </c>
      <c r="F190">
        <v>25.8</v>
      </c>
      <c r="G190">
        <v>-4.4000000000000004</v>
      </c>
      <c r="H190">
        <v>-5.8636359999999996</v>
      </c>
      <c r="I190">
        <v>6.8636359999999996</v>
      </c>
      <c r="J190">
        <v>-0.20560749</v>
      </c>
    </row>
    <row r="191" spans="1:10" x14ac:dyDescent="0.3">
      <c r="A191">
        <v>189</v>
      </c>
      <c r="B191">
        <v>3134</v>
      </c>
      <c r="C191" t="b">
        <v>1</v>
      </c>
      <c r="D191">
        <v>8060</v>
      </c>
      <c r="E191">
        <v>8117</v>
      </c>
      <c r="F191">
        <v>25.466667000000001</v>
      </c>
      <c r="G191">
        <v>-4</v>
      </c>
      <c r="H191">
        <v>-6.3666669999999996</v>
      </c>
      <c r="I191">
        <v>7.3666669999999996</v>
      </c>
      <c r="J191">
        <v>-0.18633540000000001</v>
      </c>
    </row>
    <row r="192" spans="1:10" x14ac:dyDescent="0.3">
      <c r="A192">
        <v>190</v>
      </c>
      <c r="B192">
        <v>3149</v>
      </c>
      <c r="C192" t="b">
        <v>1</v>
      </c>
      <c r="D192">
        <v>8060</v>
      </c>
      <c r="E192">
        <v>8123</v>
      </c>
      <c r="F192">
        <v>25.133333</v>
      </c>
      <c r="G192">
        <v>-3.6</v>
      </c>
      <c r="H192">
        <v>-6.9814816000000004</v>
      </c>
      <c r="I192">
        <v>7.9814816000000004</v>
      </c>
      <c r="J192">
        <v>-0.16718267000000001</v>
      </c>
    </row>
    <row r="193" spans="1:10" x14ac:dyDescent="0.3">
      <c r="A193">
        <v>191</v>
      </c>
      <c r="B193">
        <v>3165</v>
      </c>
      <c r="C193" t="b">
        <v>1</v>
      </c>
      <c r="D193">
        <v>8060</v>
      </c>
      <c r="E193">
        <v>8111</v>
      </c>
      <c r="F193">
        <v>24.8</v>
      </c>
      <c r="G193">
        <v>-3.6</v>
      </c>
      <c r="H193">
        <v>-6.8888889999999998</v>
      </c>
      <c r="I193">
        <v>7.8888889999999998</v>
      </c>
      <c r="J193">
        <v>-0.16981131999999999</v>
      </c>
    </row>
    <row r="194" spans="1:10" x14ac:dyDescent="0.3">
      <c r="A194">
        <v>192</v>
      </c>
      <c r="B194">
        <v>3181</v>
      </c>
      <c r="C194" t="b">
        <v>1</v>
      </c>
      <c r="D194">
        <v>8060</v>
      </c>
      <c r="E194">
        <v>8099</v>
      </c>
      <c r="F194">
        <v>24.466667000000001</v>
      </c>
      <c r="G194">
        <v>-3.6</v>
      </c>
      <c r="H194">
        <v>-6.7962965999999998</v>
      </c>
      <c r="I194">
        <v>7.7962965999999998</v>
      </c>
      <c r="J194">
        <v>-0.17252396</v>
      </c>
    </row>
    <row r="195" spans="1:10" x14ac:dyDescent="0.3">
      <c r="A195">
        <v>193</v>
      </c>
      <c r="B195">
        <v>3197</v>
      </c>
      <c r="C195" t="b">
        <v>1</v>
      </c>
      <c r="D195">
        <v>8071</v>
      </c>
      <c r="E195">
        <v>8111</v>
      </c>
      <c r="F195">
        <v>24.133333</v>
      </c>
      <c r="G195">
        <v>-3.6</v>
      </c>
      <c r="H195">
        <v>-6.7037040000000001</v>
      </c>
      <c r="I195">
        <v>7.7037040000000001</v>
      </c>
      <c r="J195">
        <v>-0.17532468000000001</v>
      </c>
    </row>
    <row r="196" spans="1:10" x14ac:dyDescent="0.3">
      <c r="A196">
        <v>194</v>
      </c>
      <c r="B196">
        <v>3213</v>
      </c>
      <c r="C196" t="b">
        <v>1</v>
      </c>
      <c r="D196">
        <v>8065</v>
      </c>
      <c r="E196">
        <v>8111</v>
      </c>
      <c r="F196">
        <v>23.8</v>
      </c>
      <c r="G196">
        <v>-3.6</v>
      </c>
      <c r="H196">
        <v>-6.6111110000000002</v>
      </c>
      <c r="I196">
        <v>7.6111110000000002</v>
      </c>
      <c r="J196">
        <v>-0.17821782999999999</v>
      </c>
    </row>
    <row r="197" spans="1:10" x14ac:dyDescent="0.3">
      <c r="A197">
        <v>195</v>
      </c>
      <c r="B197">
        <v>3229</v>
      </c>
      <c r="C197" t="b">
        <v>1</v>
      </c>
      <c r="D197">
        <v>8065</v>
      </c>
      <c r="E197">
        <v>8111</v>
      </c>
      <c r="F197">
        <v>23.8</v>
      </c>
      <c r="G197">
        <v>-3.6</v>
      </c>
      <c r="H197">
        <v>-6.6111110000000002</v>
      </c>
      <c r="I197">
        <v>7.6111110000000002</v>
      </c>
      <c r="J197">
        <v>-0.17821782999999999</v>
      </c>
    </row>
    <row r="198" spans="1:10" x14ac:dyDescent="0.3">
      <c r="A198">
        <v>196</v>
      </c>
      <c r="B198">
        <v>3245</v>
      </c>
      <c r="C198" t="b">
        <v>1</v>
      </c>
      <c r="D198">
        <v>8054</v>
      </c>
      <c r="E198">
        <v>8105</v>
      </c>
      <c r="F198">
        <v>23.8</v>
      </c>
      <c r="G198">
        <v>-3.6</v>
      </c>
      <c r="H198">
        <v>-6.6111110000000002</v>
      </c>
      <c r="I198">
        <v>7.6111110000000002</v>
      </c>
      <c r="J198">
        <v>-0.17821782999999999</v>
      </c>
    </row>
    <row r="199" spans="1:10" x14ac:dyDescent="0.3">
      <c r="A199">
        <v>197</v>
      </c>
      <c r="B199">
        <v>3261</v>
      </c>
      <c r="C199" t="b">
        <v>1</v>
      </c>
      <c r="D199">
        <v>8065</v>
      </c>
      <c r="E199">
        <v>8117</v>
      </c>
      <c r="F199">
        <v>23.8</v>
      </c>
      <c r="G199">
        <v>-3.6</v>
      </c>
      <c r="H199">
        <v>-6.6111110000000002</v>
      </c>
      <c r="I199">
        <v>7.6111110000000002</v>
      </c>
      <c r="J199">
        <v>-0.17821782999999999</v>
      </c>
    </row>
    <row r="200" spans="1:10" x14ac:dyDescent="0.3">
      <c r="A200">
        <v>198</v>
      </c>
      <c r="B200">
        <v>3277</v>
      </c>
      <c r="C200" t="b">
        <v>1</v>
      </c>
      <c r="D200">
        <v>8071</v>
      </c>
      <c r="E200">
        <v>8123</v>
      </c>
      <c r="F200">
        <v>23.4</v>
      </c>
      <c r="G200">
        <v>-3.6</v>
      </c>
      <c r="H200">
        <v>-6.5</v>
      </c>
      <c r="I200">
        <v>7.5</v>
      </c>
      <c r="J200">
        <v>-0.18181818999999999</v>
      </c>
    </row>
    <row r="201" spans="1:10" x14ac:dyDescent="0.3">
      <c r="A201">
        <v>199</v>
      </c>
      <c r="B201">
        <v>3293</v>
      </c>
      <c r="C201" t="b">
        <v>1</v>
      </c>
      <c r="D201">
        <v>8065</v>
      </c>
      <c r="E201">
        <v>8111</v>
      </c>
      <c r="F201">
        <v>23</v>
      </c>
      <c r="G201">
        <v>-3.6</v>
      </c>
      <c r="H201">
        <v>-6.3888889999999998</v>
      </c>
      <c r="I201">
        <v>7.3888892999999998</v>
      </c>
      <c r="J201">
        <v>-0.18556700000000001</v>
      </c>
    </row>
    <row r="202" spans="1:10" x14ac:dyDescent="0.3">
      <c r="A202">
        <v>200</v>
      </c>
      <c r="B202">
        <v>3309</v>
      </c>
      <c r="C202" t="b">
        <v>1</v>
      </c>
      <c r="D202">
        <v>8065</v>
      </c>
      <c r="E202">
        <v>8123</v>
      </c>
      <c r="F202">
        <v>23</v>
      </c>
      <c r="G202">
        <v>-3.2</v>
      </c>
      <c r="H202">
        <v>-7.1875</v>
      </c>
      <c r="I202">
        <v>8.1875</v>
      </c>
      <c r="J202">
        <v>-0.16161618</v>
      </c>
    </row>
    <row r="203" spans="1:10" x14ac:dyDescent="0.3">
      <c r="A203">
        <v>201</v>
      </c>
      <c r="B203">
        <v>3325</v>
      </c>
      <c r="C203" t="b">
        <v>1</v>
      </c>
      <c r="D203">
        <v>8060</v>
      </c>
      <c r="E203">
        <v>8111</v>
      </c>
      <c r="F203">
        <v>23</v>
      </c>
      <c r="G203">
        <v>-2.8</v>
      </c>
      <c r="H203">
        <v>-8.2142859999999995</v>
      </c>
      <c r="I203">
        <v>9.2142859999999995</v>
      </c>
      <c r="J203">
        <v>-0.13861385000000001</v>
      </c>
    </row>
    <row r="204" spans="1:10" x14ac:dyDescent="0.3">
      <c r="A204">
        <v>202</v>
      </c>
      <c r="B204">
        <v>3340</v>
      </c>
      <c r="C204" t="b">
        <v>1</v>
      </c>
      <c r="D204">
        <v>8071</v>
      </c>
      <c r="E204">
        <v>8123</v>
      </c>
      <c r="F204">
        <v>23</v>
      </c>
      <c r="G204">
        <v>-2</v>
      </c>
      <c r="H204">
        <v>-11.5</v>
      </c>
      <c r="I204">
        <v>12.5</v>
      </c>
      <c r="J204">
        <v>-9.5238100000000006E-2</v>
      </c>
    </row>
    <row r="205" spans="1:10" x14ac:dyDescent="0.3">
      <c r="A205">
        <v>203</v>
      </c>
      <c r="B205">
        <v>3356</v>
      </c>
      <c r="C205" t="b">
        <v>1</v>
      </c>
      <c r="D205">
        <v>8060</v>
      </c>
      <c r="E205">
        <v>8117</v>
      </c>
      <c r="F205">
        <v>23</v>
      </c>
      <c r="G205">
        <v>-1.6</v>
      </c>
      <c r="H205">
        <v>-14.375</v>
      </c>
      <c r="I205">
        <v>15.375</v>
      </c>
      <c r="J205">
        <v>-7.4766360000000004E-2</v>
      </c>
    </row>
    <row r="206" spans="1:10" x14ac:dyDescent="0.3">
      <c r="A206">
        <v>204</v>
      </c>
      <c r="B206">
        <v>3372</v>
      </c>
      <c r="C206" t="b">
        <v>1</v>
      </c>
      <c r="D206">
        <v>8060</v>
      </c>
      <c r="E206">
        <v>8111</v>
      </c>
      <c r="F206">
        <v>23</v>
      </c>
      <c r="G206">
        <v>-1.2</v>
      </c>
      <c r="H206">
        <v>-19.166665999999999</v>
      </c>
      <c r="I206">
        <v>20.166665999999999</v>
      </c>
      <c r="J206">
        <v>-5.5045877E-2</v>
      </c>
    </row>
    <row r="207" spans="1:10" x14ac:dyDescent="0.3">
      <c r="A207">
        <v>205</v>
      </c>
      <c r="B207">
        <v>3388</v>
      </c>
      <c r="C207" t="b">
        <v>1</v>
      </c>
      <c r="D207">
        <v>8065</v>
      </c>
      <c r="E207">
        <v>8117</v>
      </c>
      <c r="F207">
        <v>23</v>
      </c>
      <c r="G207">
        <v>-1.2</v>
      </c>
      <c r="H207">
        <v>-19.166665999999999</v>
      </c>
      <c r="I207">
        <v>20.166665999999999</v>
      </c>
      <c r="J207">
        <v>-5.5045877E-2</v>
      </c>
    </row>
    <row r="208" spans="1:10" x14ac:dyDescent="0.3">
      <c r="A208">
        <v>206</v>
      </c>
      <c r="B208">
        <v>3404</v>
      </c>
      <c r="C208" t="b">
        <v>1</v>
      </c>
      <c r="D208">
        <v>8065</v>
      </c>
      <c r="E208">
        <v>8111</v>
      </c>
      <c r="F208">
        <v>23.333334000000001</v>
      </c>
      <c r="G208">
        <v>-0.8</v>
      </c>
      <c r="H208">
        <v>-29.166668000000001</v>
      </c>
      <c r="I208">
        <v>30.166665999999999</v>
      </c>
      <c r="J208">
        <v>-3.5502955000000003E-2</v>
      </c>
    </row>
    <row r="209" spans="1:10" x14ac:dyDescent="0.3">
      <c r="A209">
        <v>207</v>
      </c>
      <c r="B209">
        <v>3419</v>
      </c>
      <c r="C209" t="b">
        <v>1</v>
      </c>
      <c r="D209">
        <v>8065</v>
      </c>
      <c r="E209">
        <v>8117</v>
      </c>
      <c r="F209">
        <v>23.666665999999999</v>
      </c>
      <c r="G209">
        <v>-0.4</v>
      </c>
      <c r="H209">
        <v>-59.166663999999997</v>
      </c>
      <c r="I209">
        <v>60.166663999999997</v>
      </c>
      <c r="J209">
        <v>-1.7191978E-2</v>
      </c>
    </row>
    <row r="210" spans="1:10" x14ac:dyDescent="0.3">
      <c r="A210">
        <v>208</v>
      </c>
      <c r="B210">
        <v>3435</v>
      </c>
      <c r="C210" t="b">
        <v>1</v>
      </c>
      <c r="D210">
        <v>8071</v>
      </c>
      <c r="E210">
        <v>8117</v>
      </c>
      <c r="F210">
        <v>24</v>
      </c>
      <c r="G210">
        <v>0</v>
      </c>
      <c r="H210" t="s">
        <v>19</v>
      </c>
      <c r="I210" t="e">
        <f>-inf</f>
        <v>#NAME?</v>
      </c>
      <c r="J210">
        <v>0</v>
      </c>
    </row>
    <row r="211" spans="1:10" x14ac:dyDescent="0.3">
      <c r="A211">
        <v>209</v>
      </c>
      <c r="B211">
        <v>3451</v>
      </c>
      <c r="C211" t="b">
        <v>1</v>
      </c>
      <c r="D211">
        <v>8060</v>
      </c>
      <c r="E211">
        <v>8105</v>
      </c>
      <c r="F211">
        <v>24.333334000000001</v>
      </c>
      <c r="G211">
        <v>0.4</v>
      </c>
      <c r="H211">
        <v>60.833336000000003</v>
      </c>
      <c r="I211">
        <v>-59.833336000000003</v>
      </c>
      <c r="J211">
        <v>1.6172506E-2</v>
      </c>
    </row>
    <row r="212" spans="1:10" x14ac:dyDescent="0.3">
      <c r="A212">
        <v>210</v>
      </c>
      <c r="B212">
        <v>3467</v>
      </c>
      <c r="C212" t="b">
        <v>1</v>
      </c>
      <c r="D212">
        <v>8071</v>
      </c>
      <c r="E212">
        <v>8111</v>
      </c>
      <c r="F212">
        <v>24.333334000000001</v>
      </c>
      <c r="G212">
        <v>0.4</v>
      </c>
      <c r="H212">
        <v>60.833336000000003</v>
      </c>
      <c r="I212">
        <v>-59.833336000000003</v>
      </c>
      <c r="J212">
        <v>1.6172506E-2</v>
      </c>
    </row>
    <row r="213" spans="1:10" x14ac:dyDescent="0.3">
      <c r="A213">
        <v>211</v>
      </c>
      <c r="B213">
        <v>3483</v>
      </c>
      <c r="C213" t="b">
        <v>1</v>
      </c>
      <c r="D213">
        <v>8065</v>
      </c>
      <c r="E213">
        <v>8111</v>
      </c>
      <c r="F213">
        <v>24.333334000000001</v>
      </c>
      <c r="G213">
        <v>0.4</v>
      </c>
      <c r="H213">
        <v>60.833336000000003</v>
      </c>
      <c r="I213">
        <v>-59.833336000000003</v>
      </c>
      <c r="J213">
        <v>1.6172506E-2</v>
      </c>
    </row>
    <row r="214" spans="1:10" x14ac:dyDescent="0.3">
      <c r="A214">
        <v>212</v>
      </c>
      <c r="B214">
        <v>3499</v>
      </c>
      <c r="C214" t="b">
        <v>1</v>
      </c>
      <c r="D214">
        <v>8054</v>
      </c>
      <c r="E214">
        <v>8117</v>
      </c>
      <c r="F214">
        <v>24.333334000000001</v>
      </c>
      <c r="G214">
        <v>0.4</v>
      </c>
      <c r="H214">
        <v>60.833336000000003</v>
      </c>
      <c r="I214">
        <v>-59.833336000000003</v>
      </c>
      <c r="J214">
        <v>1.6172506E-2</v>
      </c>
    </row>
    <row r="215" spans="1:10" x14ac:dyDescent="0.3">
      <c r="A215">
        <v>213</v>
      </c>
      <c r="B215">
        <v>3514</v>
      </c>
      <c r="C215" t="b">
        <v>1</v>
      </c>
      <c r="D215">
        <v>8060</v>
      </c>
      <c r="E215">
        <v>8117</v>
      </c>
      <c r="F215">
        <v>24</v>
      </c>
      <c r="G215">
        <v>0.4</v>
      </c>
      <c r="H215">
        <v>60</v>
      </c>
      <c r="I215">
        <v>-59</v>
      </c>
      <c r="J215">
        <v>1.6393444E-2</v>
      </c>
    </row>
    <row r="216" spans="1:10" x14ac:dyDescent="0.3">
      <c r="A216">
        <v>214</v>
      </c>
      <c r="B216">
        <v>3530</v>
      </c>
      <c r="C216" t="b">
        <v>1</v>
      </c>
      <c r="D216">
        <v>8071</v>
      </c>
      <c r="E216">
        <v>8117</v>
      </c>
      <c r="F216">
        <v>24</v>
      </c>
      <c r="G216">
        <v>0.8</v>
      </c>
      <c r="H216">
        <v>30</v>
      </c>
      <c r="I216">
        <v>-29</v>
      </c>
      <c r="J216">
        <v>3.2258067000000001E-2</v>
      </c>
    </row>
    <row r="217" spans="1:10" x14ac:dyDescent="0.3">
      <c r="A217">
        <v>215</v>
      </c>
      <c r="B217">
        <v>3546</v>
      </c>
      <c r="C217" t="b">
        <v>1</v>
      </c>
      <c r="D217">
        <v>8077</v>
      </c>
      <c r="E217">
        <v>8111</v>
      </c>
      <c r="F217">
        <v>24</v>
      </c>
      <c r="G217">
        <v>0.8</v>
      </c>
      <c r="H217">
        <v>30</v>
      </c>
      <c r="I217">
        <v>-29</v>
      </c>
      <c r="J217">
        <v>3.2258067000000001E-2</v>
      </c>
    </row>
    <row r="218" spans="1:10" x14ac:dyDescent="0.3">
      <c r="A218">
        <v>216</v>
      </c>
      <c r="B218">
        <v>3562</v>
      </c>
      <c r="C218" t="b">
        <v>1</v>
      </c>
      <c r="D218">
        <v>8065</v>
      </c>
      <c r="E218">
        <v>8111</v>
      </c>
      <c r="F218">
        <v>24</v>
      </c>
      <c r="G218">
        <v>0.8</v>
      </c>
      <c r="H218">
        <v>30</v>
      </c>
      <c r="I218">
        <v>-29</v>
      </c>
      <c r="J218">
        <v>3.2258067000000001E-2</v>
      </c>
    </row>
    <row r="219" spans="1:10" x14ac:dyDescent="0.3">
      <c r="A219">
        <v>217</v>
      </c>
      <c r="B219">
        <v>3578</v>
      </c>
      <c r="C219" t="b">
        <v>1</v>
      </c>
      <c r="D219">
        <v>8065</v>
      </c>
      <c r="E219">
        <v>8111</v>
      </c>
      <c r="F219">
        <v>24</v>
      </c>
      <c r="G219">
        <v>0</v>
      </c>
      <c r="H219" t="s">
        <v>19</v>
      </c>
      <c r="I219" t="e">
        <f>-inf</f>
        <v>#NAME?</v>
      </c>
      <c r="J219">
        <v>0</v>
      </c>
    </row>
    <row r="220" spans="1:10" x14ac:dyDescent="0.3">
      <c r="A220">
        <v>218</v>
      </c>
      <c r="B220">
        <v>3594</v>
      </c>
      <c r="C220" t="b">
        <v>1</v>
      </c>
      <c r="D220">
        <v>8060</v>
      </c>
      <c r="E220">
        <v>8123</v>
      </c>
      <c r="F220">
        <v>24</v>
      </c>
      <c r="G220">
        <v>-0.4</v>
      </c>
      <c r="H220">
        <v>-60</v>
      </c>
      <c r="I220">
        <v>61</v>
      </c>
      <c r="J220">
        <v>-1.6949153000000002E-2</v>
      </c>
    </row>
    <row r="221" spans="1:10" x14ac:dyDescent="0.3">
      <c r="A221">
        <v>219</v>
      </c>
      <c r="B221">
        <v>3609</v>
      </c>
      <c r="C221" t="b">
        <v>1</v>
      </c>
      <c r="D221">
        <v>8060</v>
      </c>
      <c r="E221">
        <v>8111</v>
      </c>
      <c r="F221">
        <v>24.333334000000001</v>
      </c>
      <c r="G221">
        <v>-0.8</v>
      </c>
      <c r="H221">
        <v>-30.416668000000001</v>
      </c>
      <c r="I221">
        <v>31.416665999999999</v>
      </c>
      <c r="J221">
        <v>-3.3994332000000002E-2</v>
      </c>
    </row>
    <row r="222" spans="1:10" x14ac:dyDescent="0.3">
      <c r="A222">
        <v>220</v>
      </c>
      <c r="B222">
        <v>3625</v>
      </c>
      <c r="C222" t="b">
        <v>1</v>
      </c>
      <c r="D222">
        <v>8065</v>
      </c>
      <c r="E222">
        <v>8123</v>
      </c>
      <c r="F222">
        <v>24.666665999999999</v>
      </c>
      <c r="G222">
        <v>-1.2</v>
      </c>
      <c r="H222">
        <v>-20.555553</v>
      </c>
      <c r="I222">
        <v>21.555554999999998</v>
      </c>
      <c r="J222">
        <v>-5.1136367000000002E-2</v>
      </c>
    </row>
    <row r="223" spans="1:10" x14ac:dyDescent="0.3">
      <c r="A223">
        <v>221</v>
      </c>
      <c r="B223">
        <v>3641</v>
      </c>
      <c r="C223" t="b">
        <v>1</v>
      </c>
      <c r="D223">
        <v>8054</v>
      </c>
      <c r="E223">
        <v>8123</v>
      </c>
      <c r="F223">
        <v>24.333334000000001</v>
      </c>
      <c r="G223">
        <v>-0.8</v>
      </c>
      <c r="H223">
        <v>-30.416668000000001</v>
      </c>
      <c r="I223">
        <v>31.416665999999999</v>
      </c>
      <c r="J223">
        <v>-3.3994332000000002E-2</v>
      </c>
    </row>
    <row r="224" spans="1:10" x14ac:dyDescent="0.3">
      <c r="A224">
        <v>222</v>
      </c>
      <c r="B224">
        <v>3657</v>
      </c>
      <c r="C224" t="b">
        <v>1</v>
      </c>
      <c r="D224">
        <v>8065</v>
      </c>
      <c r="E224">
        <v>8123</v>
      </c>
      <c r="F224">
        <v>24</v>
      </c>
      <c r="G224">
        <v>-0.4</v>
      </c>
      <c r="H224">
        <v>-60</v>
      </c>
      <c r="I224">
        <v>61</v>
      </c>
      <c r="J224">
        <v>-1.6949153000000002E-2</v>
      </c>
    </row>
    <row r="225" spans="1:10" x14ac:dyDescent="0.3">
      <c r="A225">
        <v>223</v>
      </c>
      <c r="B225">
        <v>3673</v>
      </c>
      <c r="C225" t="b">
        <v>1</v>
      </c>
      <c r="D225">
        <v>8065</v>
      </c>
      <c r="E225">
        <v>8117</v>
      </c>
      <c r="F225">
        <v>24</v>
      </c>
      <c r="G225">
        <v>0</v>
      </c>
      <c r="H225" t="s">
        <v>19</v>
      </c>
      <c r="I225" t="e">
        <f>-inf</f>
        <v>#NAME?</v>
      </c>
      <c r="J225">
        <v>0</v>
      </c>
    </row>
    <row r="226" spans="1:10" x14ac:dyDescent="0.3">
      <c r="A226">
        <v>224</v>
      </c>
      <c r="B226">
        <v>3689</v>
      </c>
      <c r="C226" t="b">
        <v>1</v>
      </c>
      <c r="D226">
        <v>8071</v>
      </c>
      <c r="E226">
        <v>8123</v>
      </c>
      <c r="F226">
        <v>24</v>
      </c>
      <c r="G226">
        <v>0.4</v>
      </c>
      <c r="H226">
        <v>60</v>
      </c>
      <c r="I226">
        <v>-59</v>
      </c>
      <c r="J226">
        <v>1.6393444E-2</v>
      </c>
    </row>
    <row r="227" spans="1:10" x14ac:dyDescent="0.3">
      <c r="A227">
        <v>225</v>
      </c>
      <c r="B227">
        <v>3705</v>
      </c>
      <c r="C227" t="b">
        <v>1</v>
      </c>
      <c r="D227">
        <v>8071</v>
      </c>
      <c r="E227">
        <v>8111</v>
      </c>
      <c r="F227">
        <v>24</v>
      </c>
      <c r="G227">
        <v>1.2</v>
      </c>
      <c r="H227">
        <v>20</v>
      </c>
      <c r="I227">
        <v>-18.999998000000001</v>
      </c>
      <c r="J227">
        <v>4.7619050000000003E-2</v>
      </c>
    </row>
    <row r="228" spans="1:10" x14ac:dyDescent="0.3">
      <c r="A228">
        <v>226</v>
      </c>
      <c r="B228">
        <v>3721</v>
      </c>
      <c r="C228" t="b">
        <v>1</v>
      </c>
      <c r="D228">
        <v>8071</v>
      </c>
      <c r="E228">
        <v>8123</v>
      </c>
      <c r="F228">
        <v>24.4</v>
      </c>
      <c r="G228">
        <v>2</v>
      </c>
      <c r="H228">
        <v>12.2</v>
      </c>
      <c r="I228">
        <v>-11.2</v>
      </c>
      <c r="J228">
        <v>7.5757580000000005E-2</v>
      </c>
    </row>
    <row r="229" spans="1:10" x14ac:dyDescent="0.3">
      <c r="A229">
        <v>227</v>
      </c>
      <c r="B229">
        <v>3737</v>
      </c>
      <c r="C229" t="b">
        <v>1</v>
      </c>
      <c r="D229">
        <v>8065</v>
      </c>
      <c r="E229">
        <v>8105</v>
      </c>
      <c r="F229">
        <v>24.8</v>
      </c>
      <c r="G229">
        <v>2.4</v>
      </c>
      <c r="H229">
        <v>10.333333</v>
      </c>
      <c r="I229">
        <v>-9.3333329999999997</v>
      </c>
      <c r="J229">
        <v>8.8235304000000001E-2</v>
      </c>
    </row>
    <row r="230" spans="1:10" x14ac:dyDescent="0.3">
      <c r="A230">
        <v>228</v>
      </c>
      <c r="B230">
        <v>3752</v>
      </c>
      <c r="C230" t="b">
        <v>1</v>
      </c>
      <c r="D230">
        <v>8065</v>
      </c>
      <c r="E230">
        <v>8123</v>
      </c>
      <c r="F230">
        <v>25.533332999999999</v>
      </c>
      <c r="G230">
        <v>3.2</v>
      </c>
      <c r="H230">
        <v>7.9791664999999998</v>
      </c>
      <c r="I230">
        <v>-6.9791660000000002</v>
      </c>
      <c r="J230">
        <v>0.11136891</v>
      </c>
    </row>
    <row r="231" spans="1:10" x14ac:dyDescent="0.3">
      <c r="A231">
        <v>229</v>
      </c>
      <c r="B231">
        <v>3768</v>
      </c>
      <c r="C231" t="b">
        <v>1</v>
      </c>
      <c r="D231">
        <v>8060</v>
      </c>
      <c r="E231">
        <v>8111</v>
      </c>
      <c r="F231">
        <v>25.533332999999999</v>
      </c>
      <c r="G231">
        <v>2.8</v>
      </c>
      <c r="H231">
        <v>9.1190470000000001</v>
      </c>
      <c r="I231">
        <v>-8.1190479999999994</v>
      </c>
      <c r="J231">
        <v>9.8823530000000007E-2</v>
      </c>
    </row>
    <row r="232" spans="1:10" x14ac:dyDescent="0.3">
      <c r="A232">
        <v>230</v>
      </c>
      <c r="B232">
        <v>3784</v>
      </c>
      <c r="C232" t="b">
        <v>1</v>
      </c>
      <c r="D232">
        <v>8071</v>
      </c>
      <c r="E232">
        <v>8111</v>
      </c>
      <c r="F232">
        <v>25.533332999999999</v>
      </c>
      <c r="G232">
        <v>2.4</v>
      </c>
      <c r="H232">
        <v>10.638888</v>
      </c>
      <c r="I232">
        <v>-9.6388879999999997</v>
      </c>
      <c r="J232">
        <v>8.591886E-2</v>
      </c>
    </row>
    <row r="233" spans="1:10" x14ac:dyDescent="0.3">
      <c r="A233">
        <v>231</v>
      </c>
      <c r="B233">
        <v>3800</v>
      </c>
      <c r="C233" t="b">
        <v>1</v>
      </c>
      <c r="D233">
        <v>8071</v>
      </c>
      <c r="E233">
        <v>8105</v>
      </c>
      <c r="F233">
        <v>25.533332999999999</v>
      </c>
      <c r="G233">
        <v>2</v>
      </c>
      <c r="H233">
        <v>12.766666000000001</v>
      </c>
      <c r="I233">
        <v>-11.766666000000001</v>
      </c>
      <c r="J233">
        <v>7.2639229999999999E-2</v>
      </c>
    </row>
    <row r="234" spans="1:10" x14ac:dyDescent="0.3">
      <c r="A234">
        <v>232</v>
      </c>
      <c r="B234">
        <v>3816</v>
      </c>
      <c r="C234" t="b">
        <v>1</v>
      </c>
      <c r="D234">
        <v>8071</v>
      </c>
      <c r="E234">
        <v>8111</v>
      </c>
      <c r="F234">
        <v>25.933332</v>
      </c>
      <c r="G234">
        <v>2</v>
      </c>
      <c r="H234">
        <v>12.966666</v>
      </c>
      <c r="I234">
        <v>-11.966666</v>
      </c>
      <c r="J234">
        <v>7.1599044000000001E-2</v>
      </c>
    </row>
    <row r="235" spans="1:10" x14ac:dyDescent="0.3">
      <c r="A235">
        <v>233</v>
      </c>
      <c r="B235">
        <v>3832</v>
      </c>
      <c r="C235" t="b">
        <v>1</v>
      </c>
      <c r="D235">
        <v>8071</v>
      </c>
      <c r="E235">
        <v>8117</v>
      </c>
      <c r="F235">
        <v>26.333334000000001</v>
      </c>
      <c r="G235">
        <v>2</v>
      </c>
      <c r="H235">
        <v>13.166667</v>
      </c>
      <c r="I235">
        <v>-12.166667</v>
      </c>
      <c r="J235">
        <v>7.0588230000000002E-2</v>
      </c>
    </row>
    <row r="236" spans="1:10" x14ac:dyDescent="0.3">
      <c r="A236">
        <v>234</v>
      </c>
      <c r="B236">
        <v>3848</v>
      </c>
      <c r="C236" t="b">
        <v>1</v>
      </c>
      <c r="D236">
        <v>8060</v>
      </c>
      <c r="E236">
        <v>8105</v>
      </c>
      <c r="F236">
        <v>26.733333999999999</v>
      </c>
      <c r="G236">
        <v>2</v>
      </c>
      <c r="H236">
        <v>13.366667</v>
      </c>
      <c r="I236">
        <v>-12.366667</v>
      </c>
      <c r="J236">
        <v>6.9605570000000005E-2</v>
      </c>
    </row>
    <row r="237" spans="1:10" x14ac:dyDescent="0.3">
      <c r="A237">
        <v>235</v>
      </c>
      <c r="B237">
        <v>3864</v>
      </c>
      <c r="C237" t="b">
        <v>1</v>
      </c>
      <c r="D237">
        <v>8071</v>
      </c>
      <c r="E237">
        <v>8093</v>
      </c>
      <c r="F237">
        <v>27.133333</v>
      </c>
      <c r="G237">
        <v>1.6</v>
      </c>
      <c r="H237">
        <v>16.958331999999999</v>
      </c>
      <c r="I237">
        <v>-15.958333</v>
      </c>
      <c r="J237">
        <v>5.5684455000000001E-2</v>
      </c>
    </row>
    <row r="238" spans="1:10" x14ac:dyDescent="0.3">
      <c r="A238">
        <v>236</v>
      </c>
      <c r="B238">
        <v>3880</v>
      </c>
      <c r="C238" t="b">
        <v>1</v>
      </c>
      <c r="D238">
        <v>8065</v>
      </c>
      <c r="E238">
        <v>8105</v>
      </c>
      <c r="F238">
        <v>27.866667</v>
      </c>
      <c r="G238">
        <v>0.4</v>
      </c>
      <c r="H238">
        <v>69.666663999999997</v>
      </c>
      <c r="I238">
        <v>-68.666663999999997</v>
      </c>
      <c r="J238">
        <v>1.4150944E-2</v>
      </c>
    </row>
    <row r="239" spans="1:10" x14ac:dyDescent="0.3">
      <c r="A239">
        <v>237</v>
      </c>
      <c r="B239">
        <v>3896</v>
      </c>
      <c r="C239" t="b">
        <v>1</v>
      </c>
      <c r="D239">
        <v>8060</v>
      </c>
      <c r="E239">
        <v>8111</v>
      </c>
      <c r="F239">
        <v>28.2</v>
      </c>
      <c r="G239">
        <v>-0.8</v>
      </c>
      <c r="H239">
        <v>-35.25</v>
      </c>
      <c r="I239">
        <v>36.25</v>
      </c>
      <c r="J239">
        <v>-2.9197078000000001E-2</v>
      </c>
    </row>
    <row r="240" spans="1:10" x14ac:dyDescent="0.3">
      <c r="A240">
        <v>238</v>
      </c>
      <c r="B240">
        <v>3912</v>
      </c>
      <c r="C240" t="b">
        <v>1</v>
      </c>
      <c r="D240">
        <v>8065</v>
      </c>
      <c r="E240">
        <v>8105</v>
      </c>
      <c r="F240">
        <v>28.2</v>
      </c>
      <c r="G240">
        <v>-2</v>
      </c>
      <c r="H240">
        <v>-14.1</v>
      </c>
      <c r="I240">
        <v>15.1</v>
      </c>
      <c r="J240">
        <v>-7.6335879999999995E-2</v>
      </c>
    </row>
    <row r="241" spans="1:10" x14ac:dyDescent="0.3">
      <c r="A241">
        <v>239</v>
      </c>
      <c r="B241">
        <v>3928</v>
      </c>
      <c r="C241" t="b">
        <v>1</v>
      </c>
      <c r="D241">
        <v>8065</v>
      </c>
      <c r="E241">
        <v>8111</v>
      </c>
      <c r="F241">
        <v>28.2</v>
      </c>
      <c r="G241">
        <v>-3.2</v>
      </c>
      <c r="H241">
        <v>-8.8125</v>
      </c>
      <c r="I241">
        <v>9.8125</v>
      </c>
      <c r="J241">
        <v>-0.128</v>
      </c>
    </row>
    <row r="242" spans="1:10" x14ac:dyDescent="0.3">
      <c r="A242">
        <v>240</v>
      </c>
      <c r="B242">
        <v>3944</v>
      </c>
      <c r="C242" t="b">
        <v>1</v>
      </c>
      <c r="D242">
        <v>8065</v>
      </c>
      <c r="E242">
        <v>8123</v>
      </c>
      <c r="F242">
        <v>28.2</v>
      </c>
      <c r="G242">
        <v>-4</v>
      </c>
      <c r="H242">
        <v>-7.05</v>
      </c>
      <c r="I242">
        <v>8.0500000000000007</v>
      </c>
      <c r="J242">
        <v>-0.16528925</v>
      </c>
    </row>
    <row r="243" spans="1:10" x14ac:dyDescent="0.3">
      <c r="A243">
        <v>241</v>
      </c>
      <c r="B243">
        <v>3960</v>
      </c>
      <c r="C243" t="b">
        <v>1</v>
      </c>
      <c r="D243">
        <v>8071</v>
      </c>
      <c r="E243">
        <v>8117</v>
      </c>
      <c r="F243">
        <v>27.8</v>
      </c>
      <c r="G243">
        <v>-4.8</v>
      </c>
      <c r="H243">
        <v>-5.7916664999999998</v>
      </c>
      <c r="I243">
        <v>6.7916660000000002</v>
      </c>
      <c r="J243">
        <v>-0.20869567</v>
      </c>
    </row>
    <row r="244" spans="1:10" x14ac:dyDescent="0.3">
      <c r="A244">
        <v>242</v>
      </c>
      <c r="B244">
        <v>3976</v>
      </c>
      <c r="C244" t="b">
        <v>1</v>
      </c>
      <c r="D244">
        <v>8065</v>
      </c>
      <c r="E244">
        <v>8111</v>
      </c>
      <c r="F244">
        <v>27.4</v>
      </c>
      <c r="G244">
        <v>-5.2</v>
      </c>
      <c r="H244">
        <v>-5.2692310000000004</v>
      </c>
      <c r="I244">
        <v>6.2692310000000004</v>
      </c>
      <c r="J244">
        <v>-0.23423421</v>
      </c>
    </row>
    <row r="245" spans="1:10" x14ac:dyDescent="0.3">
      <c r="A245">
        <v>243</v>
      </c>
      <c r="B245">
        <v>3992</v>
      </c>
      <c r="C245" t="b">
        <v>1</v>
      </c>
      <c r="D245">
        <v>8065</v>
      </c>
      <c r="E245">
        <v>8123</v>
      </c>
      <c r="F245">
        <v>27</v>
      </c>
      <c r="G245">
        <v>-5.6</v>
      </c>
      <c r="H245">
        <v>-4.8214290000000002</v>
      </c>
      <c r="I245">
        <v>5.8214283</v>
      </c>
      <c r="J245">
        <v>-0.26168224000000001</v>
      </c>
    </row>
    <row r="246" spans="1:10" x14ac:dyDescent="0.3">
      <c r="A246">
        <v>244</v>
      </c>
      <c r="B246">
        <v>4008</v>
      </c>
      <c r="C246" t="b">
        <v>1</v>
      </c>
      <c r="D246">
        <v>8071</v>
      </c>
      <c r="E246">
        <v>8105</v>
      </c>
      <c r="F246">
        <v>27</v>
      </c>
      <c r="G246">
        <v>-5.2</v>
      </c>
      <c r="H246">
        <v>-5.1923079999999997</v>
      </c>
      <c r="I246">
        <v>6.1923079999999997</v>
      </c>
      <c r="J246">
        <v>-0.23853210999999999</v>
      </c>
    </row>
    <row r="247" spans="1:10" x14ac:dyDescent="0.3">
      <c r="A247">
        <v>245</v>
      </c>
      <c r="B247">
        <v>4024</v>
      </c>
      <c r="C247" t="b">
        <v>1</v>
      </c>
      <c r="D247">
        <v>8065</v>
      </c>
      <c r="E247">
        <v>8111</v>
      </c>
      <c r="F247">
        <v>27</v>
      </c>
      <c r="G247">
        <v>-5.2</v>
      </c>
      <c r="H247">
        <v>-5.1923079999999997</v>
      </c>
      <c r="I247">
        <v>6.1923079999999997</v>
      </c>
      <c r="J247">
        <v>-0.23853210999999999</v>
      </c>
    </row>
    <row r="248" spans="1:10" x14ac:dyDescent="0.3">
      <c r="A248">
        <v>246</v>
      </c>
      <c r="B248">
        <v>4039</v>
      </c>
      <c r="C248" t="b">
        <v>1</v>
      </c>
      <c r="D248">
        <v>8071</v>
      </c>
      <c r="E248">
        <v>8111</v>
      </c>
      <c r="F248">
        <v>27</v>
      </c>
      <c r="G248">
        <v>-5.2</v>
      </c>
      <c r="H248">
        <v>-5.1923079999999997</v>
      </c>
      <c r="I248">
        <v>6.1923079999999997</v>
      </c>
      <c r="J248">
        <v>-0.23853210999999999</v>
      </c>
    </row>
    <row r="249" spans="1:10" x14ac:dyDescent="0.3">
      <c r="A249">
        <v>247</v>
      </c>
      <c r="B249">
        <v>4055</v>
      </c>
      <c r="C249" t="b">
        <v>1</v>
      </c>
      <c r="D249">
        <v>8065</v>
      </c>
      <c r="E249">
        <v>8117</v>
      </c>
      <c r="F249">
        <v>26.6</v>
      </c>
      <c r="G249">
        <v>-5.2</v>
      </c>
      <c r="H249">
        <v>-5.1153849999999998</v>
      </c>
      <c r="I249">
        <v>6.1153845999999996</v>
      </c>
      <c r="J249">
        <v>-0.24299063000000001</v>
      </c>
    </row>
    <row r="250" spans="1:10" x14ac:dyDescent="0.3">
      <c r="A250">
        <v>248</v>
      </c>
      <c r="B250">
        <v>4071</v>
      </c>
      <c r="C250" t="b">
        <v>1</v>
      </c>
      <c r="D250">
        <v>8065</v>
      </c>
      <c r="E250">
        <v>8111</v>
      </c>
      <c r="F250">
        <v>26.2</v>
      </c>
      <c r="G250">
        <v>-5.2</v>
      </c>
      <c r="H250">
        <v>-5.0384617</v>
      </c>
      <c r="I250">
        <v>6.038462</v>
      </c>
      <c r="J250">
        <v>-0.24761902999999999</v>
      </c>
    </row>
    <row r="251" spans="1:10" x14ac:dyDescent="0.3">
      <c r="A251">
        <v>249</v>
      </c>
      <c r="B251">
        <v>4087</v>
      </c>
      <c r="C251" t="b">
        <v>1</v>
      </c>
      <c r="D251">
        <v>8060</v>
      </c>
      <c r="E251">
        <v>8111</v>
      </c>
      <c r="F251">
        <v>25.8</v>
      </c>
      <c r="G251">
        <v>-5.2</v>
      </c>
      <c r="H251">
        <v>-4.9615383</v>
      </c>
      <c r="I251">
        <v>5.9615390000000001</v>
      </c>
      <c r="J251">
        <v>-0.25242720000000002</v>
      </c>
    </row>
    <row r="252" spans="1:10" x14ac:dyDescent="0.3">
      <c r="A252">
        <v>250</v>
      </c>
      <c r="B252">
        <v>4103</v>
      </c>
      <c r="C252" t="b">
        <v>1</v>
      </c>
      <c r="D252">
        <v>8060</v>
      </c>
      <c r="E252">
        <v>8117</v>
      </c>
      <c r="F252">
        <v>25.4</v>
      </c>
      <c r="G252">
        <v>-4.8</v>
      </c>
      <c r="H252">
        <v>-5.2916664999999998</v>
      </c>
      <c r="I252">
        <v>6.2916664999999998</v>
      </c>
      <c r="J252">
        <v>-0.23300973999999999</v>
      </c>
    </row>
    <row r="253" spans="1:10" x14ac:dyDescent="0.3">
      <c r="A253">
        <v>251</v>
      </c>
      <c r="B253">
        <v>4119</v>
      </c>
      <c r="C253" t="b">
        <v>1</v>
      </c>
      <c r="D253">
        <v>8060</v>
      </c>
      <c r="E253">
        <v>8111</v>
      </c>
      <c r="F253">
        <v>24.666665999999999</v>
      </c>
      <c r="G253">
        <v>-4.4000000000000004</v>
      </c>
      <c r="H253">
        <v>-5.6060604999999999</v>
      </c>
      <c r="I253">
        <v>6.6060600000000003</v>
      </c>
      <c r="J253">
        <v>-0.21710526999999999</v>
      </c>
    </row>
    <row r="254" spans="1:10" x14ac:dyDescent="0.3">
      <c r="A254">
        <v>252</v>
      </c>
      <c r="B254">
        <v>4135</v>
      </c>
      <c r="C254" t="b">
        <v>1</v>
      </c>
      <c r="D254">
        <v>8054</v>
      </c>
      <c r="E254">
        <v>8105</v>
      </c>
      <c r="F254">
        <v>24.333334000000001</v>
      </c>
      <c r="G254">
        <v>-4</v>
      </c>
      <c r="H254">
        <v>-6.0833335000000002</v>
      </c>
      <c r="I254">
        <v>7.0833335000000002</v>
      </c>
      <c r="J254">
        <v>-0.19672129999999999</v>
      </c>
    </row>
    <row r="255" spans="1:10" x14ac:dyDescent="0.3">
      <c r="A255">
        <v>253</v>
      </c>
      <c r="B255">
        <v>4151</v>
      </c>
      <c r="C255" t="b">
        <v>1</v>
      </c>
      <c r="D255">
        <v>8060</v>
      </c>
      <c r="E255">
        <v>8123</v>
      </c>
      <c r="F255">
        <v>24</v>
      </c>
      <c r="G255">
        <v>-3.6</v>
      </c>
      <c r="H255">
        <v>-6.6666670000000003</v>
      </c>
      <c r="I255">
        <v>7.6666670000000003</v>
      </c>
      <c r="J255">
        <v>-0.17647060000000001</v>
      </c>
    </row>
    <row r="256" spans="1:10" x14ac:dyDescent="0.3">
      <c r="A256">
        <v>254</v>
      </c>
      <c r="B256">
        <v>4167</v>
      </c>
      <c r="C256" t="b">
        <v>1</v>
      </c>
      <c r="D256">
        <v>8065</v>
      </c>
      <c r="E256">
        <v>8129</v>
      </c>
      <c r="F256">
        <v>23.666665999999999</v>
      </c>
      <c r="G256">
        <v>-2.8</v>
      </c>
      <c r="H256">
        <v>-8.4523810000000008</v>
      </c>
      <c r="I256">
        <v>9.4523799999999998</v>
      </c>
      <c r="J256">
        <v>-0.13418530000000001</v>
      </c>
    </row>
    <row r="257" spans="1:10" x14ac:dyDescent="0.3">
      <c r="A257">
        <v>255</v>
      </c>
      <c r="B257">
        <v>4182</v>
      </c>
      <c r="C257" t="b">
        <v>1</v>
      </c>
      <c r="D257">
        <v>8065</v>
      </c>
      <c r="E257">
        <v>8123</v>
      </c>
      <c r="F257">
        <v>23.333334000000001</v>
      </c>
      <c r="G257">
        <v>-2</v>
      </c>
      <c r="H257">
        <v>-11.666667</v>
      </c>
      <c r="I257">
        <v>12.666667</v>
      </c>
      <c r="J257">
        <v>-9.375E-2</v>
      </c>
    </row>
    <row r="258" spans="1:10" x14ac:dyDescent="0.3">
      <c r="A258">
        <v>256</v>
      </c>
      <c r="B258">
        <v>4198</v>
      </c>
      <c r="C258" t="b">
        <v>1</v>
      </c>
      <c r="D258">
        <v>8060</v>
      </c>
      <c r="E258">
        <v>8111</v>
      </c>
      <c r="F258">
        <v>23</v>
      </c>
      <c r="G258">
        <v>-1.2</v>
      </c>
      <c r="H258">
        <v>-19.166665999999999</v>
      </c>
      <c r="I258">
        <v>20.166665999999999</v>
      </c>
      <c r="J258">
        <v>-5.5045877E-2</v>
      </c>
    </row>
    <row r="259" spans="1:10" x14ac:dyDescent="0.3">
      <c r="A259">
        <v>257</v>
      </c>
      <c r="B259">
        <v>4214</v>
      </c>
      <c r="C259" t="b">
        <v>1</v>
      </c>
      <c r="D259">
        <v>8060</v>
      </c>
      <c r="E259">
        <v>8111</v>
      </c>
      <c r="F259">
        <v>22.666665999999999</v>
      </c>
      <c r="G259">
        <v>-0.4</v>
      </c>
      <c r="H259">
        <v>-56.666663999999997</v>
      </c>
      <c r="I259">
        <v>57.666663999999997</v>
      </c>
      <c r="J259">
        <v>-1.7964073000000001E-2</v>
      </c>
    </row>
    <row r="260" spans="1:10" x14ac:dyDescent="0.3">
      <c r="A260">
        <v>258</v>
      </c>
      <c r="B260">
        <v>4230</v>
      </c>
      <c r="C260" t="b">
        <v>1</v>
      </c>
      <c r="D260">
        <v>8065</v>
      </c>
      <c r="E260">
        <v>8111</v>
      </c>
      <c r="F260">
        <v>22.666665999999999</v>
      </c>
      <c r="G260">
        <v>-0.8</v>
      </c>
      <c r="H260">
        <v>-28.333331999999999</v>
      </c>
      <c r="I260">
        <v>29.333331999999999</v>
      </c>
      <c r="J260">
        <v>-3.6585364000000002E-2</v>
      </c>
    </row>
    <row r="261" spans="1:10" x14ac:dyDescent="0.3">
      <c r="A261">
        <v>259</v>
      </c>
      <c r="B261">
        <v>4246</v>
      </c>
      <c r="C261" t="b">
        <v>1</v>
      </c>
      <c r="D261">
        <v>8065</v>
      </c>
      <c r="E261">
        <v>8105</v>
      </c>
      <c r="F261">
        <v>22.666665999999999</v>
      </c>
      <c r="G261">
        <v>-1.2</v>
      </c>
      <c r="H261">
        <v>-18.888887</v>
      </c>
      <c r="I261">
        <v>19.888887</v>
      </c>
      <c r="J261">
        <v>-5.5900626000000002E-2</v>
      </c>
    </row>
    <row r="262" spans="1:10" x14ac:dyDescent="0.3">
      <c r="A262">
        <v>260</v>
      </c>
      <c r="B262">
        <v>4262</v>
      </c>
      <c r="C262" t="b">
        <v>1</v>
      </c>
      <c r="D262">
        <v>8060</v>
      </c>
      <c r="E262">
        <v>8111</v>
      </c>
      <c r="F262">
        <v>22.333334000000001</v>
      </c>
      <c r="G262">
        <v>-1.2</v>
      </c>
      <c r="H262">
        <v>-18.61111</v>
      </c>
      <c r="I262">
        <v>19.61111</v>
      </c>
      <c r="J262">
        <v>-5.6782340000000001E-2</v>
      </c>
    </row>
    <row r="263" spans="1:10" x14ac:dyDescent="0.3">
      <c r="A263">
        <v>261</v>
      </c>
      <c r="B263">
        <v>4277</v>
      </c>
      <c r="C263" t="b">
        <v>1</v>
      </c>
      <c r="D263">
        <v>8054</v>
      </c>
      <c r="E263">
        <v>8111</v>
      </c>
      <c r="F263">
        <v>22</v>
      </c>
      <c r="G263">
        <v>-1.2</v>
      </c>
      <c r="H263">
        <v>-18.333331999999999</v>
      </c>
      <c r="I263">
        <v>19.333334000000001</v>
      </c>
      <c r="J263">
        <v>-5.7692309999999997E-2</v>
      </c>
    </row>
    <row r="264" spans="1:10" x14ac:dyDescent="0.3">
      <c r="A264">
        <v>262</v>
      </c>
      <c r="B264">
        <v>4308</v>
      </c>
      <c r="C264" t="b">
        <v>1</v>
      </c>
      <c r="D264">
        <v>8065</v>
      </c>
      <c r="E264">
        <v>8111</v>
      </c>
      <c r="F264">
        <v>22</v>
      </c>
      <c r="G264">
        <v>-1.2</v>
      </c>
      <c r="H264">
        <v>-18.333331999999999</v>
      </c>
      <c r="I264">
        <v>19.333334000000001</v>
      </c>
      <c r="J264">
        <v>-5.7692309999999997E-2</v>
      </c>
    </row>
    <row r="265" spans="1:10" x14ac:dyDescent="0.3">
      <c r="A265">
        <v>263</v>
      </c>
      <c r="B265">
        <v>4324</v>
      </c>
      <c r="C265" t="b">
        <v>1</v>
      </c>
      <c r="D265">
        <v>8077</v>
      </c>
      <c r="E265">
        <v>8117</v>
      </c>
      <c r="F265">
        <v>22</v>
      </c>
      <c r="G265">
        <v>-1.2</v>
      </c>
      <c r="H265">
        <v>-18.333331999999999</v>
      </c>
      <c r="I265">
        <v>19.333334000000001</v>
      </c>
      <c r="J265">
        <v>-5.7692309999999997E-2</v>
      </c>
    </row>
    <row r="266" spans="1:10" x14ac:dyDescent="0.3">
      <c r="A266">
        <v>264</v>
      </c>
      <c r="B266">
        <v>4340</v>
      </c>
      <c r="C266" t="b">
        <v>1</v>
      </c>
      <c r="D266">
        <v>8071</v>
      </c>
      <c r="E266">
        <v>8111</v>
      </c>
      <c r="F266">
        <v>22</v>
      </c>
      <c r="G266">
        <v>-1.2</v>
      </c>
      <c r="H266">
        <v>-18.333331999999999</v>
      </c>
      <c r="I266">
        <v>19.333334000000001</v>
      </c>
      <c r="J266">
        <v>-5.7692309999999997E-2</v>
      </c>
    </row>
    <row r="267" spans="1:10" x14ac:dyDescent="0.3">
      <c r="A267">
        <v>265</v>
      </c>
      <c r="B267">
        <v>4356</v>
      </c>
      <c r="C267" t="b">
        <v>1</v>
      </c>
      <c r="D267">
        <v>8071</v>
      </c>
      <c r="E267">
        <v>8111</v>
      </c>
      <c r="F267">
        <v>22.4</v>
      </c>
      <c r="G267">
        <v>-1.2</v>
      </c>
      <c r="H267">
        <v>-18.666665999999999</v>
      </c>
      <c r="I267">
        <v>19.666665999999999</v>
      </c>
      <c r="J267">
        <v>-5.6603779999999999E-2</v>
      </c>
    </row>
    <row r="268" spans="1:10" x14ac:dyDescent="0.3">
      <c r="A268">
        <v>266</v>
      </c>
      <c r="B268">
        <v>4372</v>
      </c>
      <c r="C268" t="b">
        <v>1</v>
      </c>
      <c r="D268">
        <v>8071</v>
      </c>
      <c r="E268">
        <v>8105</v>
      </c>
      <c r="F268">
        <v>23.133333</v>
      </c>
      <c r="G268">
        <v>-1.2</v>
      </c>
      <c r="H268">
        <v>-19.277777</v>
      </c>
      <c r="I268">
        <v>20.277777</v>
      </c>
      <c r="J268">
        <v>-5.4711252000000002E-2</v>
      </c>
    </row>
    <row r="269" spans="1:10" x14ac:dyDescent="0.3">
      <c r="A269">
        <v>267</v>
      </c>
      <c r="B269">
        <v>4392</v>
      </c>
      <c r="C269" t="b">
        <v>1</v>
      </c>
      <c r="D269">
        <v>8065</v>
      </c>
      <c r="E269">
        <v>8111</v>
      </c>
      <c r="F269">
        <v>23.866667</v>
      </c>
      <c r="G269">
        <v>-1.2</v>
      </c>
      <c r="H269">
        <v>-19.888887</v>
      </c>
      <c r="I269">
        <v>20.88889</v>
      </c>
      <c r="J269">
        <v>-5.2941179999999997E-2</v>
      </c>
    </row>
    <row r="270" spans="1:10" x14ac:dyDescent="0.3">
      <c r="A270">
        <v>268</v>
      </c>
      <c r="B270">
        <v>4407</v>
      </c>
      <c r="C270" t="b">
        <v>1</v>
      </c>
      <c r="D270">
        <v>8065</v>
      </c>
      <c r="E270">
        <v>8105</v>
      </c>
      <c r="F270">
        <v>24.6</v>
      </c>
      <c r="G270">
        <v>-1.2</v>
      </c>
      <c r="H270">
        <v>-20.5</v>
      </c>
      <c r="I270">
        <v>21.5</v>
      </c>
      <c r="J270">
        <v>-5.1282055999999999E-2</v>
      </c>
    </row>
    <row r="271" spans="1:10" x14ac:dyDescent="0.3">
      <c r="A271">
        <v>269</v>
      </c>
      <c r="B271">
        <v>4423</v>
      </c>
      <c r="C271" t="b">
        <v>1</v>
      </c>
      <c r="D271">
        <v>8060</v>
      </c>
      <c r="E271">
        <v>8105</v>
      </c>
      <c r="F271">
        <v>24.933332</v>
      </c>
      <c r="G271">
        <v>-2</v>
      </c>
      <c r="H271">
        <v>-12.466666</v>
      </c>
      <c r="I271">
        <v>13.466666</v>
      </c>
      <c r="J271">
        <v>-8.7209309999999998E-2</v>
      </c>
    </row>
    <row r="272" spans="1:10" x14ac:dyDescent="0.3">
      <c r="A272">
        <v>270</v>
      </c>
      <c r="B272">
        <v>4439</v>
      </c>
      <c r="C272" t="b">
        <v>1</v>
      </c>
      <c r="D272">
        <v>8071</v>
      </c>
      <c r="E272">
        <v>8099</v>
      </c>
      <c r="F272">
        <v>25.266666000000001</v>
      </c>
      <c r="G272">
        <v>-3.2</v>
      </c>
      <c r="H272">
        <v>-7.8958329999999997</v>
      </c>
      <c r="I272">
        <v>8.8958329999999997</v>
      </c>
      <c r="J272">
        <v>-0.14501512</v>
      </c>
    </row>
    <row r="273" spans="1:10" x14ac:dyDescent="0.3">
      <c r="A273">
        <v>271</v>
      </c>
      <c r="B273">
        <v>4455</v>
      </c>
      <c r="C273" t="b">
        <v>1</v>
      </c>
      <c r="D273">
        <v>8065</v>
      </c>
      <c r="E273">
        <v>8105</v>
      </c>
      <c r="F273">
        <v>25.6</v>
      </c>
      <c r="G273">
        <v>-4.4000000000000004</v>
      </c>
      <c r="H273">
        <v>-5.8181820000000002</v>
      </c>
      <c r="I273">
        <v>6.8181814999999997</v>
      </c>
      <c r="J273">
        <v>-0.20754717</v>
      </c>
    </row>
    <row r="274" spans="1:10" x14ac:dyDescent="0.3">
      <c r="A274">
        <v>272</v>
      </c>
      <c r="B274">
        <v>4470</v>
      </c>
      <c r="C274" t="b">
        <v>1</v>
      </c>
      <c r="D274">
        <v>8060</v>
      </c>
      <c r="E274">
        <v>8105</v>
      </c>
      <c r="F274">
        <v>25.933332</v>
      </c>
      <c r="G274">
        <v>-5.6</v>
      </c>
      <c r="H274">
        <v>-4.6309524</v>
      </c>
      <c r="I274">
        <v>5.6309524</v>
      </c>
      <c r="J274">
        <v>-0.27540985000000001</v>
      </c>
    </row>
    <row r="275" spans="1:10" x14ac:dyDescent="0.3">
      <c r="A275">
        <v>273</v>
      </c>
      <c r="B275">
        <v>4486</v>
      </c>
      <c r="C275" t="b">
        <v>1</v>
      </c>
      <c r="D275">
        <v>8065</v>
      </c>
      <c r="E275">
        <v>8105</v>
      </c>
      <c r="F275">
        <v>25.933332</v>
      </c>
      <c r="G275">
        <v>-6</v>
      </c>
      <c r="H275">
        <v>-4.322222</v>
      </c>
      <c r="I275">
        <v>5.322222</v>
      </c>
      <c r="J275">
        <v>-0.30100336999999999</v>
      </c>
    </row>
    <row r="276" spans="1:10" x14ac:dyDescent="0.3">
      <c r="A276">
        <v>274</v>
      </c>
      <c r="B276">
        <v>4502</v>
      </c>
      <c r="C276" t="b">
        <v>1</v>
      </c>
      <c r="D276">
        <v>8054</v>
      </c>
      <c r="E276">
        <v>8111</v>
      </c>
      <c r="F276">
        <v>25.933332</v>
      </c>
      <c r="G276">
        <v>-6.4</v>
      </c>
      <c r="H276">
        <v>-4.0520829999999997</v>
      </c>
      <c r="I276">
        <v>5.0520829999999997</v>
      </c>
      <c r="J276">
        <v>-0.32764505999999999</v>
      </c>
    </row>
    <row r="277" spans="1:10" x14ac:dyDescent="0.3">
      <c r="A277">
        <v>275</v>
      </c>
      <c r="B277">
        <v>4517</v>
      </c>
      <c r="C277" t="b">
        <v>1</v>
      </c>
      <c r="D277">
        <v>8048</v>
      </c>
      <c r="E277">
        <v>8117</v>
      </c>
      <c r="F277">
        <v>25.933332</v>
      </c>
      <c r="G277">
        <v>-6.8</v>
      </c>
      <c r="H277">
        <v>-3.8137251999999999</v>
      </c>
      <c r="I277">
        <v>4.8137255000000003</v>
      </c>
      <c r="J277">
        <v>-0.35540073999999999</v>
      </c>
    </row>
    <row r="278" spans="1:10" x14ac:dyDescent="0.3">
      <c r="A278">
        <v>276</v>
      </c>
      <c r="B278">
        <v>4533</v>
      </c>
      <c r="C278" t="b">
        <v>1</v>
      </c>
      <c r="D278">
        <v>8060</v>
      </c>
      <c r="E278">
        <v>8117</v>
      </c>
      <c r="F278">
        <v>25.933332</v>
      </c>
      <c r="G278">
        <v>-6.8</v>
      </c>
      <c r="H278">
        <v>-3.8137251999999999</v>
      </c>
      <c r="I278">
        <v>4.8137255000000003</v>
      </c>
      <c r="J278">
        <v>-0.35540073999999999</v>
      </c>
    </row>
    <row r="279" spans="1:10" x14ac:dyDescent="0.3">
      <c r="A279">
        <v>277</v>
      </c>
      <c r="B279">
        <v>4549</v>
      </c>
      <c r="C279" t="b">
        <v>1</v>
      </c>
      <c r="D279">
        <v>8048</v>
      </c>
      <c r="E279">
        <v>8111</v>
      </c>
      <c r="F279">
        <v>25.2</v>
      </c>
      <c r="G279">
        <v>-6.8</v>
      </c>
      <c r="H279">
        <v>-3.7058822999999999</v>
      </c>
      <c r="I279">
        <v>4.7058819999999999</v>
      </c>
      <c r="J279">
        <v>-0.36956519999999998</v>
      </c>
    </row>
    <row r="280" spans="1:10" x14ac:dyDescent="0.3">
      <c r="A280">
        <v>278</v>
      </c>
      <c r="B280">
        <v>4565</v>
      </c>
      <c r="C280" t="b">
        <v>1</v>
      </c>
      <c r="D280">
        <v>8048</v>
      </c>
      <c r="E280">
        <v>8129</v>
      </c>
      <c r="F280">
        <v>24.066668</v>
      </c>
      <c r="G280">
        <v>-6.4</v>
      </c>
      <c r="H280">
        <v>-3.7604166999999999</v>
      </c>
      <c r="I280">
        <v>4.7604164999999998</v>
      </c>
      <c r="J280">
        <v>-0.36226413000000002</v>
      </c>
    </row>
    <row r="281" spans="1:10" x14ac:dyDescent="0.3">
      <c r="A281">
        <v>279</v>
      </c>
      <c r="B281">
        <v>4581</v>
      </c>
      <c r="C281" t="b">
        <v>1</v>
      </c>
      <c r="D281">
        <v>8054</v>
      </c>
      <c r="E281">
        <v>8111</v>
      </c>
      <c r="F281">
        <v>22.933332</v>
      </c>
      <c r="G281">
        <v>-6</v>
      </c>
      <c r="H281">
        <v>-3.822222</v>
      </c>
      <c r="I281">
        <v>4.822222</v>
      </c>
      <c r="J281">
        <v>-0.35433071999999999</v>
      </c>
    </row>
    <row r="282" spans="1:10" x14ac:dyDescent="0.3">
      <c r="A282">
        <v>280</v>
      </c>
      <c r="B282">
        <v>4596</v>
      </c>
      <c r="C282" t="b">
        <v>1</v>
      </c>
      <c r="D282">
        <v>8071</v>
      </c>
      <c r="E282">
        <v>8123</v>
      </c>
      <c r="F282">
        <v>21.8</v>
      </c>
      <c r="G282">
        <v>-5.6</v>
      </c>
      <c r="H282">
        <v>-3.8928569999999998</v>
      </c>
      <c r="I282">
        <v>4.8928570000000002</v>
      </c>
      <c r="J282">
        <v>-0.34567903999999999</v>
      </c>
    </row>
    <row r="283" spans="1:10" x14ac:dyDescent="0.3">
      <c r="A283">
        <v>281</v>
      </c>
      <c r="B283">
        <v>4612</v>
      </c>
      <c r="C283" t="b">
        <v>1</v>
      </c>
      <c r="D283">
        <v>8071</v>
      </c>
      <c r="E283">
        <v>8123</v>
      </c>
      <c r="F283">
        <v>20.666665999999999</v>
      </c>
      <c r="G283">
        <v>-4.8</v>
      </c>
      <c r="H283">
        <v>-4.3055553</v>
      </c>
      <c r="I283">
        <v>5.3055553</v>
      </c>
      <c r="J283">
        <v>-0.30252105000000001</v>
      </c>
    </row>
    <row r="284" spans="1:10" x14ac:dyDescent="0.3">
      <c r="A284">
        <v>282</v>
      </c>
      <c r="B284">
        <v>4628</v>
      </c>
      <c r="C284" t="b">
        <v>1</v>
      </c>
      <c r="D284">
        <v>8060</v>
      </c>
      <c r="E284">
        <v>8123</v>
      </c>
      <c r="F284">
        <v>19.933332</v>
      </c>
      <c r="G284">
        <v>-4</v>
      </c>
      <c r="H284">
        <v>-4.983333</v>
      </c>
      <c r="I284">
        <v>5.983333</v>
      </c>
      <c r="J284">
        <v>-0.25104602999999998</v>
      </c>
    </row>
    <row r="285" spans="1:10" x14ac:dyDescent="0.3">
      <c r="A285">
        <v>283</v>
      </c>
      <c r="B285">
        <v>4644</v>
      </c>
      <c r="C285" t="b">
        <v>1</v>
      </c>
      <c r="D285">
        <v>8060</v>
      </c>
      <c r="E285">
        <v>8111</v>
      </c>
      <c r="F285">
        <v>19.2</v>
      </c>
      <c r="G285">
        <v>-3.2</v>
      </c>
      <c r="H285">
        <v>-6</v>
      </c>
      <c r="I285">
        <v>7.0000004999999996</v>
      </c>
      <c r="J285">
        <v>-0.2</v>
      </c>
    </row>
    <row r="286" spans="1:10" x14ac:dyDescent="0.3">
      <c r="A286">
        <v>284</v>
      </c>
      <c r="B286">
        <v>4660</v>
      </c>
      <c r="C286" t="b">
        <v>1</v>
      </c>
      <c r="D286">
        <v>8060</v>
      </c>
      <c r="E286">
        <v>8111</v>
      </c>
      <c r="F286">
        <v>18.866667</v>
      </c>
      <c r="G286">
        <v>-2</v>
      </c>
      <c r="H286">
        <v>-9.4333329999999993</v>
      </c>
      <c r="I286">
        <v>10.433332999999999</v>
      </c>
      <c r="J286">
        <v>-0.11857707000000001</v>
      </c>
    </row>
    <row r="287" spans="1:10" x14ac:dyDescent="0.3">
      <c r="A287">
        <v>285</v>
      </c>
      <c r="B287">
        <v>4675</v>
      </c>
      <c r="C287" t="b">
        <v>1</v>
      </c>
      <c r="D287">
        <v>8060</v>
      </c>
      <c r="E287">
        <v>8111</v>
      </c>
      <c r="F287">
        <v>18.533332999999999</v>
      </c>
      <c r="G287">
        <v>-1.6</v>
      </c>
      <c r="H287">
        <v>-11.583333</v>
      </c>
      <c r="I287">
        <v>12.583333</v>
      </c>
      <c r="J287">
        <v>-9.4488195999999997E-2</v>
      </c>
    </row>
    <row r="288" spans="1:10" x14ac:dyDescent="0.3">
      <c r="A288">
        <v>286</v>
      </c>
      <c r="B288">
        <v>4690</v>
      </c>
      <c r="C288" t="b">
        <v>1</v>
      </c>
      <c r="D288">
        <v>8065</v>
      </c>
      <c r="E288">
        <v>8117</v>
      </c>
      <c r="F288">
        <v>18.2</v>
      </c>
      <c r="G288">
        <v>-1.2</v>
      </c>
      <c r="H288">
        <v>-15.166667</v>
      </c>
      <c r="I288">
        <v>16.166668000000001</v>
      </c>
      <c r="J288">
        <v>-7.0588239999999997E-2</v>
      </c>
    </row>
    <row r="289" spans="1:10" x14ac:dyDescent="0.3">
      <c r="A289">
        <v>287</v>
      </c>
      <c r="B289">
        <v>4706</v>
      </c>
      <c r="C289" t="b">
        <v>1</v>
      </c>
      <c r="D289">
        <v>8060</v>
      </c>
      <c r="E289">
        <v>8117</v>
      </c>
      <c r="F289">
        <v>17.866667</v>
      </c>
      <c r="G289">
        <v>-0.8</v>
      </c>
      <c r="H289">
        <v>-22.333334000000001</v>
      </c>
      <c r="I289">
        <v>23.333331999999999</v>
      </c>
      <c r="J289">
        <v>-4.6875E-2</v>
      </c>
    </row>
    <row r="290" spans="1:10" x14ac:dyDescent="0.3">
      <c r="A290">
        <v>288</v>
      </c>
      <c r="B290">
        <v>4722</v>
      </c>
      <c r="C290" t="b">
        <v>1</v>
      </c>
      <c r="D290">
        <v>8060</v>
      </c>
      <c r="E290">
        <v>8117</v>
      </c>
      <c r="F290">
        <v>17.533332999999999</v>
      </c>
      <c r="G290">
        <v>0</v>
      </c>
      <c r="H290" t="s">
        <v>19</v>
      </c>
      <c r="I290" t="e">
        <f>-inf</f>
        <v>#NAME?</v>
      </c>
      <c r="J290">
        <v>0</v>
      </c>
    </row>
    <row r="291" spans="1:10" x14ac:dyDescent="0.3">
      <c r="A291">
        <v>289</v>
      </c>
      <c r="B291">
        <v>4737</v>
      </c>
      <c r="C291" t="b">
        <v>1</v>
      </c>
      <c r="D291">
        <v>8054</v>
      </c>
      <c r="E291">
        <v>8111</v>
      </c>
      <c r="F291">
        <v>17.2</v>
      </c>
      <c r="G291">
        <v>0.8</v>
      </c>
      <c r="H291">
        <v>21.5</v>
      </c>
      <c r="I291">
        <v>-20.500001999999999</v>
      </c>
      <c r="J291">
        <v>4.4444445999999999E-2</v>
      </c>
    </row>
    <row r="292" spans="1:10" x14ac:dyDescent="0.3">
      <c r="A292">
        <v>290</v>
      </c>
      <c r="B292">
        <v>4753</v>
      </c>
      <c r="C292" t="b">
        <v>1</v>
      </c>
      <c r="D292">
        <v>8060</v>
      </c>
      <c r="E292">
        <v>8117</v>
      </c>
      <c r="F292">
        <v>17.2</v>
      </c>
      <c r="G292">
        <v>1.6</v>
      </c>
      <c r="H292">
        <v>10.75</v>
      </c>
      <c r="I292">
        <v>-9.75</v>
      </c>
      <c r="J292">
        <v>8.5106379999999995E-2</v>
      </c>
    </row>
    <row r="293" spans="1:10" x14ac:dyDescent="0.3">
      <c r="A293">
        <v>291</v>
      </c>
      <c r="B293">
        <v>4769</v>
      </c>
      <c r="C293" t="b">
        <v>1</v>
      </c>
      <c r="D293">
        <v>8077</v>
      </c>
      <c r="E293">
        <v>8123</v>
      </c>
      <c r="F293">
        <v>17.2</v>
      </c>
      <c r="G293">
        <v>2</v>
      </c>
      <c r="H293">
        <v>8.6</v>
      </c>
      <c r="I293">
        <v>-7.6000003999999999</v>
      </c>
      <c r="J293">
        <v>0.10416666400000001</v>
      </c>
    </row>
    <row r="294" spans="1:10" x14ac:dyDescent="0.3">
      <c r="A294">
        <v>292</v>
      </c>
      <c r="B294">
        <v>4784</v>
      </c>
      <c r="C294" t="b">
        <v>1</v>
      </c>
      <c r="D294">
        <v>8060</v>
      </c>
      <c r="E294">
        <v>8123</v>
      </c>
      <c r="F294">
        <v>17.600000000000001</v>
      </c>
      <c r="G294">
        <v>2.4</v>
      </c>
      <c r="H294">
        <v>7.3333329999999997</v>
      </c>
      <c r="I294">
        <v>-6.3333335000000002</v>
      </c>
      <c r="J294">
        <v>0.12000000500000001</v>
      </c>
    </row>
    <row r="295" spans="1:10" x14ac:dyDescent="0.3">
      <c r="A295">
        <v>293</v>
      </c>
      <c r="B295">
        <v>4800</v>
      </c>
      <c r="C295" t="b">
        <v>1</v>
      </c>
      <c r="D295">
        <v>8065</v>
      </c>
      <c r="E295">
        <v>8123</v>
      </c>
      <c r="F295">
        <v>18.399999999999999</v>
      </c>
      <c r="G295">
        <v>2.8</v>
      </c>
      <c r="H295">
        <v>6.5714290000000002</v>
      </c>
      <c r="I295">
        <v>-5.5714283</v>
      </c>
      <c r="J295">
        <v>0.13207547</v>
      </c>
    </row>
    <row r="296" spans="1:10" x14ac:dyDescent="0.3">
      <c r="A296">
        <v>294</v>
      </c>
      <c r="B296">
        <v>4816</v>
      </c>
      <c r="C296" t="b">
        <v>1</v>
      </c>
      <c r="D296">
        <v>8054</v>
      </c>
      <c r="E296">
        <v>8117</v>
      </c>
      <c r="F296">
        <v>19.2</v>
      </c>
      <c r="G296">
        <v>3.2</v>
      </c>
      <c r="H296">
        <v>6</v>
      </c>
      <c r="I296">
        <v>-5</v>
      </c>
      <c r="J296">
        <v>0.14285713</v>
      </c>
    </row>
    <row r="297" spans="1:10" x14ac:dyDescent="0.3">
      <c r="A297">
        <v>295</v>
      </c>
      <c r="B297">
        <v>4832</v>
      </c>
      <c r="C297" t="b">
        <v>1</v>
      </c>
      <c r="D297">
        <v>8060</v>
      </c>
      <c r="E297">
        <v>8111</v>
      </c>
      <c r="F297">
        <v>19.600000000000001</v>
      </c>
      <c r="G297">
        <v>3.6</v>
      </c>
      <c r="H297">
        <v>5.4444447</v>
      </c>
      <c r="I297">
        <v>-4.4444447</v>
      </c>
      <c r="J297">
        <v>0.15517241000000001</v>
      </c>
    </row>
    <row r="298" spans="1:10" x14ac:dyDescent="0.3">
      <c r="A298">
        <v>296</v>
      </c>
      <c r="B298">
        <v>4848</v>
      </c>
      <c r="C298" t="b">
        <v>1</v>
      </c>
      <c r="D298">
        <v>8065</v>
      </c>
      <c r="E298">
        <v>8117</v>
      </c>
      <c r="F298">
        <v>20</v>
      </c>
      <c r="G298">
        <v>3.2</v>
      </c>
      <c r="H298">
        <v>6.25</v>
      </c>
      <c r="I298">
        <v>-5.2499995000000004</v>
      </c>
      <c r="J298">
        <v>0.13793103000000001</v>
      </c>
    </row>
    <row r="299" spans="1:10" x14ac:dyDescent="0.3">
      <c r="A299">
        <v>297</v>
      </c>
      <c r="B299">
        <v>4863</v>
      </c>
      <c r="C299" t="b">
        <v>1</v>
      </c>
      <c r="D299">
        <v>8060</v>
      </c>
      <c r="E299">
        <v>8117</v>
      </c>
      <c r="F299">
        <v>20</v>
      </c>
      <c r="G299">
        <v>2.8</v>
      </c>
      <c r="H299">
        <v>7.1428570000000002</v>
      </c>
      <c r="I299">
        <v>-6.1428576000000001</v>
      </c>
      <c r="J299">
        <v>0.12280702</v>
      </c>
    </row>
    <row r="300" spans="1:10" x14ac:dyDescent="0.3">
      <c r="A300">
        <v>298</v>
      </c>
      <c r="B300">
        <v>4879</v>
      </c>
      <c r="C300" t="b">
        <v>1</v>
      </c>
      <c r="D300">
        <v>8065</v>
      </c>
      <c r="E300">
        <v>8123</v>
      </c>
      <c r="F300">
        <v>20</v>
      </c>
      <c r="G300">
        <v>2.4</v>
      </c>
      <c r="H300">
        <v>8.3333329999999997</v>
      </c>
      <c r="I300">
        <v>-7.3333329999999997</v>
      </c>
      <c r="J300">
        <v>0.107142866</v>
      </c>
    </row>
    <row r="301" spans="1:10" x14ac:dyDescent="0.3">
      <c r="A301">
        <v>299</v>
      </c>
      <c r="B301">
        <v>4895</v>
      </c>
      <c r="C301" t="b">
        <v>1</v>
      </c>
      <c r="D301">
        <v>8065</v>
      </c>
      <c r="E301">
        <v>8123</v>
      </c>
      <c r="F301">
        <v>20.333334000000001</v>
      </c>
      <c r="G301">
        <v>2</v>
      </c>
      <c r="H301">
        <v>10.166667</v>
      </c>
      <c r="I301">
        <v>-9.1666670000000003</v>
      </c>
      <c r="J301">
        <v>8.9552240000000005E-2</v>
      </c>
    </row>
    <row r="302" spans="1:10" x14ac:dyDescent="0.3">
      <c r="A302">
        <v>300</v>
      </c>
      <c r="B302">
        <v>4910</v>
      </c>
      <c r="C302" t="b">
        <v>1</v>
      </c>
      <c r="D302">
        <v>8071</v>
      </c>
      <c r="E302">
        <v>8111</v>
      </c>
      <c r="F302">
        <v>20.666665999999999</v>
      </c>
      <c r="G302">
        <v>2.4</v>
      </c>
      <c r="H302">
        <v>8.6111109999999993</v>
      </c>
      <c r="I302">
        <v>-7.6111107000000002</v>
      </c>
      <c r="J302">
        <v>0.10404625000000001</v>
      </c>
    </row>
    <row r="303" spans="1:10" x14ac:dyDescent="0.3">
      <c r="A303">
        <v>301</v>
      </c>
      <c r="B303">
        <v>4925</v>
      </c>
      <c r="C303" t="b">
        <v>1</v>
      </c>
      <c r="D303">
        <v>8071</v>
      </c>
      <c r="E303">
        <v>8117</v>
      </c>
      <c r="F303">
        <v>21</v>
      </c>
      <c r="G303">
        <v>2.8</v>
      </c>
      <c r="H303">
        <v>7.5</v>
      </c>
      <c r="I303">
        <v>-6.5000004999999996</v>
      </c>
      <c r="J303">
        <v>0.11764706</v>
      </c>
    </row>
    <row r="304" spans="1:10" x14ac:dyDescent="0.3">
      <c r="A304">
        <v>302</v>
      </c>
      <c r="B304">
        <v>4941</v>
      </c>
      <c r="C304" t="b">
        <v>1</v>
      </c>
      <c r="D304">
        <v>8060</v>
      </c>
      <c r="E304">
        <v>8123</v>
      </c>
      <c r="F304">
        <v>21.333334000000001</v>
      </c>
      <c r="G304">
        <v>3.6</v>
      </c>
      <c r="H304">
        <v>5.9259259999999996</v>
      </c>
      <c r="I304">
        <v>-4.9259259999999996</v>
      </c>
      <c r="J304">
        <v>0.14438501000000001</v>
      </c>
    </row>
    <row r="305" spans="1:10" x14ac:dyDescent="0.3">
      <c r="A305">
        <v>303</v>
      </c>
      <c r="B305">
        <v>4957</v>
      </c>
      <c r="C305" t="b">
        <v>1</v>
      </c>
      <c r="D305">
        <v>8065</v>
      </c>
      <c r="E305">
        <v>8111</v>
      </c>
      <c r="F305">
        <v>21.666665999999999</v>
      </c>
      <c r="G305">
        <v>3.6</v>
      </c>
      <c r="H305">
        <v>6.0185183999999996</v>
      </c>
      <c r="I305">
        <v>-5.0185183999999996</v>
      </c>
      <c r="J305">
        <v>0.14248021</v>
      </c>
    </row>
    <row r="306" spans="1:10" x14ac:dyDescent="0.3">
      <c r="A306">
        <v>304</v>
      </c>
      <c r="B306">
        <v>4973</v>
      </c>
      <c r="C306" t="b">
        <v>1</v>
      </c>
      <c r="D306">
        <v>8065</v>
      </c>
      <c r="E306">
        <v>8105</v>
      </c>
      <c r="F306">
        <v>22</v>
      </c>
      <c r="G306">
        <v>3.2</v>
      </c>
      <c r="H306">
        <v>6.875</v>
      </c>
      <c r="I306">
        <v>-5.8749995000000004</v>
      </c>
      <c r="J306">
        <v>0.12698412000000001</v>
      </c>
    </row>
    <row r="307" spans="1:10" x14ac:dyDescent="0.3">
      <c r="A307">
        <v>305</v>
      </c>
      <c r="B307">
        <v>4989</v>
      </c>
      <c r="C307" t="b">
        <v>1</v>
      </c>
      <c r="D307">
        <v>8060</v>
      </c>
      <c r="E307">
        <v>8111</v>
      </c>
      <c r="F307">
        <v>22.333334000000001</v>
      </c>
      <c r="G307">
        <v>2.8</v>
      </c>
      <c r="H307">
        <v>7.976191</v>
      </c>
      <c r="I307">
        <v>-6.976191</v>
      </c>
      <c r="J307">
        <v>0.11140583499999999</v>
      </c>
    </row>
    <row r="308" spans="1:10" x14ac:dyDescent="0.3">
      <c r="A308">
        <v>306</v>
      </c>
      <c r="B308">
        <v>5005</v>
      </c>
      <c r="C308" t="b">
        <v>1</v>
      </c>
      <c r="D308">
        <v>8054</v>
      </c>
      <c r="E308">
        <v>8117</v>
      </c>
      <c r="F308">
        <v>22.333334000000001</v>
      </c>
      <c r="G308">
        <v>2.4</v>
      </c>
      <c r="H308">
        <v>9.305555</v>
      </c>
      <c r="I308">
        <v>-8.305555</v>
      </c>
      <c r="J308">
        <v>9.7035040000000003E-2</v>
      </c>
    </row>
    <row r="309" spans="1:10" x14ac:dyDescent="0.3">
      <c r="A309">
        <v>307</v>
      </c>
      <c r="B309">
        <v>5021</v>
      </c>
      <c r="C309" t="b">
        <v>1</v>
      </c>
      <c r="D309">
        <v>8060</v>
      </c>
      <c r="E309">
        <v>8117</v>
      </c>
      <c r="F309">
        <v>22.333334000000001</v>
      </c>
      <c r="G309">
        <v>2</v>
      </c>
      <c r="H309">
        <v>11.166667</v>
      </c>
      <c r="I309">
        <v>-10.166667</v>
      </c>
      <c r="J309">
        <v>8.2191780000000006E-2</v>
      </c>
    </row>
    <row r="310" spans="1:10" x14ac:dyDescent="0.3">
      <c r="A310">
        <v>308</v>
      </c>
      <c r="B310">
        <v>5036</v>
      </c>
      <c r="C310" t="b">
        <v>1</v>
      </c>
      <c r="D310">
        <v>8065</v>
      </c>
      <c r="E310">
        <v>8111</v>
      </c>
      <c r="F310">
        <v>22.333334000000001</v>
      </c>
      <c r="G310">
        <v>1.2</v>
      </c>
      <c r="H310">
        <v>18.61111</v>
      </c>
      <c r="I310">
        <v>-17.61111</v>
      </c>
      <c r="J310">
        <v>5.0991500000000002E-2</v>
      </c>
    </row>
    <row r="311" spans="1:10" x14ac:dyDescent="0.3">
      <c r="A311">
        <v>309</v>
      </c>
      <c r="B311">
        <v>5052</v>
      </c>
      <c r="C311" t="b">
        <v>1</v>
      </c>
      <c r="D311">
        <v>8060</v>
      </c>
      <c r="E311">
        <v>8111</v>
      </c>
      <c r="F311">
        <v>22.333334000000001</v>
      </c>
      <c r="G311">
        <v>0.4</v>
      </c>
      <c r="H311">
        <v>55.833336000000003</v>
      </c>
      <c r="I311">
        <v>-54.833336000000003</v>
      </c>
      <c r="J311">
        <v>1.7595308E-2</v>
      </c>
    </row>
    <row r="312" spans="1:10" x14ac:dyDescent="0.3">
      <c r="A312">
        <v>310</v>
      </c>
      <c r="B312">
        <v>5068</v>
      </c>
      <c r="C312" t="b">
        <v>1</v>
      </c>
      <c r="D312">
        <v>8060</v>
      </c>
      <c r="E312">
        <v>8117</v>
      </c>
      <c r="F312">
        <v>22.333334000000001</v>
      </c>
      <c r="G312">
        <v>0</v>
      </c>
      <c r="H312" t="s">
        <v>19</v>
      </c>
      <c r="I312" t="e">
        <f>-inf</f>
        <v>#NAME?</v>
      </c>
      <c r="J312">
        <v>0</v>
      </c>
    </row>
    <row r="313" spans="1:10" x14ac:dyDescent="0.3">
      <c r="A313">
        <v>311</v>
      </c>
      <c r="B313">
        <v>5084</v>
      </c>
      <c r="C313" t="b">
        <v>1</v>
      </c>
      <c r="D313">
        <v>8077</v>
      </c>
      <c r="E313">
        <v>8123</v>
      </c>
      <c r="F313">
        <v>22.333334000000001</v>
      </c>
      <c r="G313">
        <v>0</v>
      </c>
      <c r="H313" t="s">
        <v>19</v>
      </c>
      <c r="I313" t="e">
        <f>-inf</f>
        <v>#NAME?</v>
      </c>
      <c r="J313">
        <v>0</v>
      </c>
    </row>
    <row r="314" spans="1:10" x14ac:dyDescent="0.3">
      <c r="A314">
        <v>312</v>
      </c>
      <c r="B314">
        <v>5100</v>
      </c>
      <c r="C314" t="b">
        <v>1</v>
      </c>
      <c r="D314">
        <v>8065</v>
      </c>
      <c r="E314">
        <v>8111</v>
      </c>
      <c r="F314">
        <v>22.666665999999999</v>
      </c>
      <c r="G314">
        <v>-0.4</v>
      </c>
      <c r="H314">
        <v>-56.666663999999997</v>
      </c>
      <c r="I314">
        <v>57.666663999999997</v>
      </c>
      <c r="J314">
        <v>-1.7964073000000001E-2</v>
      </c>
    </row>
    <row r="315" spans="1:10" x14ac:dyDescent="0.3">
      <c r="A315">
        <v>313</v>
      </c>
      <c r="B315">
        <v>5115</v>
      </c>
      <c r="C315" t="b">
        <v>1</v>
      </c>
      <c r="D315">
        <v>8060</v>
      </c>
      <c r="E315">
        <v>8105</v>
      </c>
      <c r="F315">
        <v>22.666665999999999</v>
      </c>
      <c r="G315">
        <v>-0.8</v>
      </c>
      <c r="H315">
        <v>-28.333331999999999</v>
      </c>
      <c r="I315">
        <v>29.333331999999999</v>
      </c>
      <c r="J315">
        <v>-3.6585364000000002E-2</v>
      </c>
    </row>
    <row r="316" spans="1:10" x14ac:dyDescent="0.3">
      <c r="A316">
        <v>314</v>
      </c>
      <c r="B316">
        <v>5131</v>
      </c>
      <c r="C316" t="b">
        <v>1</v>
      </c>
      <c r="D316">
        <v>8071</v>
      </c>
      <c r="E316">
        <v>8105</v>
      </c>
      <c r="F316">
        <v>22.666665999999999</v>
      </c>
      <c r="G316">
        <v>-1.2</v>
      </c>
      <c r="H316">
        <v>-18.888887</v>
      </c>
      <c r="I316">
        <v>19.888887</v>
      </c>
      <c r="J316">
        <v>-5.5900626000000002E-2</v>
      </c>
    </row>
    <row r="317" spans="1:10" x14ac:dyDescent="0.3">
      <c r="A317">
        <v>315</v>
      </c>
      <c r="B317">
        <v>5147</v>
      </c>
      <c r="C317" t="b">
        <v>1</v>
      </c>
      <c r="D317">
        <v>8060</v>
      </c>
      <c r="E317">
        <v>8111</v>
      </c>
      <c r="F317">
        <v>22.666665999999999</v>
      </c>
      <c r="G317">
        <v>-1.6</v>
      </c>
      <c r="H317">
        <v>-14.166665999999999</v>
      </c>
      <c r="I317">
        <v>15.166665999999999</v>
      </c>
      <c r="J317">
        <v>-7.5949370000000002E-2</v>
      </c>
    </row>
    <row r="318" spans="1:10" x14ac:dyDescent="0.3">
      <c r="A318">
        <v>316</v>
      </c>
      <c r="B318">
        <v>5163</v>
      </c>
      <c r="C318" t="b">
        <v>1</v>
      </c>
      <c r="D318">
        <v>8065</v>
      </c>
      <c r="E318">
        <v>8117</v>
      </c>
      <c r="F318">
        <v>22.666665999999999</v>
      </c>
      <c r="G318">
        <v>-2</v>
      </c>
      <c r="H318">
        <v>-11.333333</v>
      </c>
      <c r="I318">
        <v>12.333333</v>
      </c>
      <c r="J318">
        <v>-9.6774200000000005E-2</v>
      </c>
    </row>
    <row r="319" spans="1:10" x14ac:dyDescent="0.3">
      <c r="A319">
        <v>317</v>
      </c>
      <c r="B319">
        <v>5179</v>
      </c>
      <c r="C319" t="b">
        <v>1</v>
      </c>
      <c r="D319">
        <v>8065</v>
      </c>
      <c r="E319">
        <v>8123</v>
      </c>
      <c r="F319">
        <v>22.666665999999999</v>
      </c>
      <c r="G319">
        <v>-2.8</v>
      </c>
      <c r="H319">
        <v>-8.0952380000000002</v>
      </c>
      <c r="I319">
        <v>9.0952380000000002</v>
      </c>
      <c r="J319">
        <v>-0.1409396</v>
      </c>
    </row>
    <row r="320" spans="1:10" x14ac:dyDescent="0.3">
      <c r="A320">
        <v>318</v>
      </c>
      <c r="B320">
        <v>5195</v>
      </c>
      <c r="C320" t="b">
        <v>1</v>
      </c>
      <c r="D320">
        <v>8060</v>
      </c>
      <c r="E320">
        <v>8117</v>
      </c>
      <c r="F320">
        <v>22.666665999999999</v>
      </c>
      <c r="G320">
        <v>-2.8</v>
      </c>
      <c r="H320">
        <v>-8.0952380000000002</v>
      </c>
      <c r="I320">
        <v>9.0952380000000002</v>
      </c>
      <c r="J320">
        <v>-0.1409396</v>
      </c>
    </row>
    <row r="321" spans="1:10" x14ac:dyDescent="0.3">
      <c r="A321">
        <v>319</v>
      </c>
      <c r="B321">
        <v>5211</v>
      </c>
      <c r="C321" t="b">
        <v>1</v>
      </c>
      <c r="D321">
        <v>8060</v>
      </c>
      <c r="E321">
        <v>8117</v>
      </c>
      <c r="F321">
        <v>22.333334000000001</v>
      </c>
      <c r="G321">
        <v>-2.4</v>
      </c>
      <c r="H321">
        <v>-9.305555</v>
      </c>
      <c r="I321">
        <v>10.305555</v>
      </c>
      <c r="J321">
        <v>-0.12040134</v>
      </c>
    </row>
    <row r="322" spans="1:10" x14ac:dyDescent="0.3">
      <c r="A322">
        <v>320</v>
      </c>
      <c r="B322">
        <v>5227</v>
      </c>
      <c r="C322" t="b">
        <v>1</v>
      </c>
      <c r="D322">
        <v>8060</v>
      </c>
      <c r="E322">
        <v>8111</v>
      </c>
      <c r="F322">
        <v>22</v>
      </c>
      <c r="G322">
        <v>-2</v>
      </c>
      <c r="H322">
        <v>-11</v>
      </c>
      <c r="I322">
        <v>12</v>
      </c>
      <c r="J322">
        <v>-0.1</v>
      </c>
    </row>
    <row r="323" spans="1:10" x14ac:dyDescent="0.3">
      <c r="A323">
        <v>321</v>
      </c>
      <c r="B323">
        <v>5243</v>
      </c>
      <c r="C323" t="b">
        <v>1</v>
      </c>
      <c r="D323">
        <v>8060</v>
      </c>
      <c r="E323">
        <v>8111</v>
      </c>
      <c r="F323">
        <v>22</v>
      </c>
      <c r="G323">
        <v>-1.6</v>
      </c>
      <c r="H323">
        <v>-13.75</v>
      </c>
      <c r="I323">
        <v>14.75</v>
      </c>
      <c r="J323">
        <v>-7.8431374999999998E-2</v>
      </c>
    </row>
    <row r="324" spans="1:10" x14ac:dyDescent="0.3">
      <c r="A324">
        <v>322</v>
      </c>
      <c r="B324">
        <v>5259</v>
      </c>
      <c r="C324" t="b">
        <v>1</v>
      </c>
      <c r="D324">
        <v>8065</v>
      </c>
      <c r="E324">
        <v>8123</v>
      </c>
      <c r="F324">
        <v>22</v>
      </c>
      <c r="G324">
        <v>-1.2</v>
      </c>
      <c r="H324">
        <v>-18.333331999999999</v>
      </c>
      <c r="I324">
        <v>19.333334000000001</v>
      </c>
      <c r="J324">
        <v>-5.7692309999999997E-2</v>
      </c>
    </row>
    <row r="325" spans="1:10" x14ac:dyDescent="0.3">
      <c r="A325">
        <v>323</v>
      </c>
      <c r="B325">
        <v>5275</v>
      </c>
      <c r="C325" t="b">
        <v>1</v>
      </c>
      <c r="D325">
        <v>8065</v>
      </c>
      <c r="E325">
        <v>8117</v>
      </c>
      <c r="F325">
        <v>22</v>
      </c>
      <c r="G325">
        <v>-0.8</v>
      </c>
      <c r="H325">
        <v>-27.5</v>
      </c>
      <c r="I325">
        <v>28.499998000000001</v>
      </c>
      <c r="J325">
        <v>-3.7735850000000001E-2</v>
      </c>
    </row>
    <row r="326" spans="1:10" x14ac:dyDescent="0.3">
      <c r="A326">
        <v>324</v>
      </c>
      <c r="B326">
        <v>5290</v>
      </c>
      <c r="C326" t="b">
        <v>1</v>
      </c>
      <c r="D326">
        <v>8060</v>
      </c>
      <c r="E326">
        <v>8123</v>
      </c>
      <c r="F326">
        <v>22</v>
      </c>
      <c r="G326">
        <v>-0.4</v>
      </c>
      <c r="H326">
        <v>-55</v>
      </c>
      <c r="I326">
        <v>56</v>
      </c>
      <c r="J326">
        <v>-1.8518519000000001E-2</v>
      </c>
    </row>
    <row r="327" spans="1:10" x14ac:dyDescent="0.3">
      <c r="A327">
        <v>325</v>
      </c>
      <c r="B327">
        <v>5306</v>
      </c>
      <c r="C327" t="b">
        <v>1</v>
      </c>
      <c r="D327">
        <v>8071</v>
      </c>
      <c r="E327">
        <v>8111</v>
      </c>
      <c r="F327">
        <v>22.333334000000001</v>
      </c>
      <c r="G327">
        <v>-0.4</v>
      </c>
      <c r="H327">
        <v>-55.833336000000003</v>
      </c>
      <c r="I327">
        <v>56.833331999999999</v>
      </c>
      <c r="J327">
        <v>-1.8237082000000002E-2</v>
      </c>
    </row>
    <row r="328" spans="1:10" x14ac:dyDescent="0.3">
      <c r="A328">
        <v>326</v>
      </c>
      <c r="B328">
        <v>5322</v>
      </c>
      <c r="C328" t="b">
        <v>1</v>
      </c>
      <c r="D328">
        <v>8065</v>
      </c>
      <c r="E328">
        <v>8111</v>
      </c>
      <c r="F328">
        <v>22.666665999999999</v>
      </c>
      <c r="G328">
        <v>-0.4</v>
      </c>
      <c r="H328">
        <v>-56.666663999999997</v>
      </c>
      <c r="I328">
        <v>57.666663999999997</v>
      </c>
      <c r="J328">
        <v>-1.7964073000000001E-2</v>
      </c>
    </row>
    <row r="329" spans="1:10" x14ac:dyDescent="0.3">
      <c r="A329">
        <v>327</v>
      </c>
      <c r="B329">
        <v>5338</v>
      </c>
      <c r="C329" t="b">
        <v>1</v>
      </c>
      <c r="D329">
        <v>8065</v>
      </c>
      <c r="E329">
        <v>8111</v>
      </c>
      <c r="F329">
        <v>22.666665999999999</v>
      </c>
      <c r="G329">
        <v>-0.4</v>
      </c>
      <c r="H329">
        <v>-56.666663999999997</v>
      </c>
      <c r="I329">
        <v>57.666663999999997</v>
      </c>
      <c r="J329">
        <v>-1.7964073000000001E-2</v>
      </c>
    </row>
    <row r="330" spans="1:10" x14ac:dyDescent="0.3">
      <c r="A330">
        <v>328</v>
      </c>
      <c r="B330">
        <v>5354</v>
      </c>
      <c r="C330" t="b">
        <v>1</v>
      </c>
      <c r="D330">
        <v>8065</v>
      </c>
      <c r="E330">
        <v>8111</v>
      </c>
      <c r="F330">
        <v>23</v>
      </c>
      <c r="G330">
        <v>-0.4</v>
      </c>
      <c r="H330">
        <v>-57.5</v>
      </c>
      <c r="I330">
        <v>58.5</v>
      </c>
      <c r="J330">
        <v>-1.7699115000000001E-2</v>
      </c>
    </row>
    <row r="331" spans="1:10" x14ac:dyDescent="0.3">
      <c r="A331">
        <v>329</v>
      </c>
      <c r="B331">
        <v>5370</v>
      </c>
      <c r="C331" t="b">
        <v>1</v>
      </c>
      <c r="D331">
        <v>8060</v>
      </c>
      <c r="E331">
        <v>8099</v>
      </c>
      <c r="F331">
        <v>23</v>
      </c>
      <c r="G331">
        <v>-0.4</v>
      </c>
      <c r="H331">
        <v>-57.5</v>
      </c>
      <c r="I331">
        <v>58.5</v>
      </c>
      <c r="J331">
        <v>-1.7699115000000001E-2</v>
      </c>
    </row>
    <row r="332" spans="1:10" x14ac:dyDescent="0.3">
      <c r="A332">
        <v>330</v>
      </c>
      <c r="B332">
        <v>5386</v>
      </c>
      <c r="C332" t="b">
        <v>1</v>
      </c>
      <c r="D332">
        <v>8065</v>
      </c>
      <c r="E332">
        <v>8111</v>
      </c>
      <c r="F332">
        <v>23</v>
      </c>
      <c r="G332">
        <v>-0.4</v>
      </c>
      <c r="H332">
        <v>-57.5</v>
      </c>
      <c r="I332">
        <v>58.5</v>
      </c>
      <c r="J332">
        <v>-1.7699115000000001E-2</v>
      </c>
    </row>
    <row r="333" spans="1:10" x14ac:dyDescent="0.3">
      <c r="A333">
        <v>331</v>
      </c>
      <c r="B333">
        <v>5402</v>
      </c>
      <c r="C333" t="b">
        <v>1</v>
      </c>
      <c r="D333">
        <v>8077</v>
      </c>
      <c r="E333">
        <v>8105</v>
      </c>
      <c r="F333">
        <v>23</v>
      </c>
      <c r="G333">
        <v>-0.4</v>
      </c>
      <c r="H333">
        <v>-57.5</v>
      </c>
      <c r="I333">
        <v>58.5</v>
      </c>
      <c r="J333">
        <v>-1.7699115000000001E-2</v>
      </c>
    </row>
    <row r="334" spans="1:10" x14ac:dyDescent="0.3">
      <c r="A334">
        <v>332</v>
      </c>
      <c r="B334">
        <v>5418</v>
      </c>
      <c r="C334" t="b">
        <v>1</v>
      </c>
      <c r="D334">
        <v>8071</v>
      </c>
      <c r="E334">
        <v>8105</v>
      </c>
      <c r="F334">
        <v>23</v>
      </c>
      <c r="G334">
        <v>-0.8</v>
      </c>
      <c r="H334">
        <v>-28.75</v>
      </c>
      <c r="I334">
        <v>29.749998000000001</v>
      </c>
      <c r="J334">
        <v>-3.6036037E-2</v>
      </c>
    </row>
    <row r="335" spans="1:10" x14ac:dyDescent="0.3">
      <c r="A335">
        <v>333</v>
      </c>
      <c r="B335">
        <v>5433</v>
      </c>
      <c r="C335" t="b">
        <v>1</v>
      </c>
      <c r="D335">
        <v>8060</v>
      </c>
      <c r="E335">
        <v>8111</v>
      </c>
      <c r="F335">
        <v>23</v>
      </c>
      <c r="G335">
        <v>-1.6</v>
      </c>
      <c r="H335">
        <v>-14.375</v>
      </c>
      <c r="I335">
        <v>15.375</v>
      </c>
      <c r="J335">
        <v>-7.4766360000000004E-2</v>
      </c>
    </row>
    <row r="336" spans="1:10" x14ac:dyDescent="0.3">
      <c r="A336">
        <v>334</v>
      </c>
      <c r="B336">
        <v>5449</v>
      </c>
      <c r="C336" t="b">
        <v>1</v>
      </c>
      <c r="D336">
        <v>8060</v>
      </c>
      <c r="E336">
        <v>8117</v>
      </c>
      <c r="F336">
        <v>23.333334000000001</v>
      </c>
      <c r="G336">
        <v>-2</v>
      </c>
      <c r="H336">
        <v>-11.666667</v>
      </c>
      <c r="I336">
        <v>12.666667</v>
      </c>
      <c r="J336">
        <v>-9.375E-2</v>
      </c>
    </row>
    <row r="337" spans="1:10" x14ac:dyDescent="0.3">
      <c r="A337">
        <v>335</v>
      </c>
      <c r="B337">
        <v>5465</v>
      </c>
      <c r="C337" t="b">
        <v>1</v>
      </c>
      <c r="D337">
        <v>8060</v>
      </c>
      <c r="E337">
        <v>8117</v>
      </c>
      <c r="F337">
        <v>23.333334000000001</v>
      </c>
      <c r="G337">
        <v>-2.4</v>
      </c>
      <c r="H337">
        <v>-9.7222220000000004</v>
      </c>
      <c r="I337">
        <v>10.722222</v>
      </c>
      <c r="J337">
        <v>-0.11464968</v>
      </c>
    </row>
    <row r="338" spans="1:10" x14ac:dyDescent="0.3">
      <c r="A338">
        <v>336</v>
      </c>
      <c r="B338">
        <v>5481</v>
      </c>
      <c r="C338" t="b">
        <v>1</v>
      </c>
      <c r="D338">
        <v>8060</v>
      </c>
      <c r="E338">
        <v>8123</v>
      </c>
      <c r="F338">
        <v>23.333334000000001</v>
      </c>
      <c r="G338">
        <v>-2.4</v>
      </c>
      <c r="H338">
        <v>-9.7222220000000004</v>
      </c>
      <c r="I338">
        <v>10.722222</v>
      </c>
      <c r="J338">
        <v>-0.11464968</v>
      </c>
    </row>
    <row r="339" spans="1:10" x14ac:dyDescent="0.3">
      <c r="A339">
        <v>337</v>
      </c>
      <c r="B339">
        <v>5497</v>
      </c>
      <c r="C339" t="b">
        <v>1</v>
      </c>
      <c r="D339">
        <v>8065</v>
      </c>
      <c r="E339">
        <v>8123</v>
      </c>
      <c r="F339">
        <v>23.333334000000001</v>
      </c>
      <c r="G339">
        <v>-2.4</v>
      </c>
      <c r="H339">
        <v>-9.7222220000000004</v>
      </c>
      <c r="I339">
        <v>10.722222</v>
      </c>
      <c r="J339">
        <v>-0.11464968</v>
      </c>
    </row>
    <row r="340" spans="1:10" x14ac:dyDescent="0.3">
      <c r="A340">
        <v>338</v>
      </c>
      <c r="B340">
        <v>5513</v>
      </c>
      <c r="C340" t="b">
        <v>1</v>
      </c>
      <c r="D340">
        <v>8071</v>
      </c>
      <c r="E340">
        <v>8117</v>
      </c>
      <c r="F340">
        <v>23.333334000000001</v>
      </c>
      <c r="G340">
        <v>-2.4</v>
      </c>
      <c r="H340">
        <v>-9.7222220000000004</v>
      </c>
      <c r="I340">
        <v>10.722222</v>
      </c>
      <c r="J340">
        <v>-0.11464968</v>
      </c>
    </row>
    <row r="341" spans="1:10" x14ac:dyDescent="0.3">
      <c r="A341">
        <v>339</v>
      </c>
      <c r="B341">
        <v>5528</v>
      </c>
      <c r="C341" t="b">
        <v>1</v>
      </c>
      <c r="D341">
        <v>8065</v>
      </c>
      <c r="E341">
        <v>8117</v>
      </c>
      <c r="F341">
        <v>23.666665999999999</v>
      </c>
      <c r="G341">
        <v>-2.4</v>
      </c>
      <c r="H341">
        <v>-9.8611109999999993</v>
      </c>
      <c r="I341">
        <v>10.861110999999999</v>
      </c>
      <c r="J341">
        <v>-0.11285267</v>
      </c>
    </row>
    <row r="342" spans="1:10" x14ac:dyDescent="0.3">
      <c r="A342">
        <v>340</v>
      </c>
      <c r="B342">
        <v>5544</v>
      </c>
      <c r="C342" t="b">
        <v>1</v>
      </c>
      <c r="D342">
        <v>8065</v>
      </c>
      <c r="E342">
        <v>8111</v>
      </c>
      <c r="F342">
        <v>23.666665999999999</v>
      </c>
      <c r="G342">
        <v>-2.4</v>
      </c>
      <c r="H342">
        <v>-9.8611109999999993</v>
      </c>
      <c r="I342">
        <v>10.861110999999999</v>
      </c>
      <c r="J342">
        <v>-0.11285267</v>
      </c>
    </row>
    <row r="343" spans="1:10" x14ac:dyDescent="0.3">
      <c r="A343">
        <v>341</v>
      </c>
      <c r="B343">
        <v>5560</v>
      </c>
      <c r="C343" t="b">
        <v>1</v>
      </c>
      <c r="D343">
        <v>8065</v>
      </c>
      <c r="E343">
        <v>8123</v>
      </c>
      <c r="F343">
        <v>23.666665999999999</v>
      </c>
      <c r="G343">
        <v>-2.4</v>
      </c>
      <c r="H343">
        <v>-9.8611109999999993</v>
      </c>
      <c r="I343">
        <v>10.861110999999999</v>
      </c>
      <c r="J343">
        <v>-0.11285267</v>
      </c>
    </row>
    <row r="344" spans="1:10" x14ac:dyDescent="0.3">
      <c r="A344">
        <v>342</v>
      </c>
      <c r="B344">
        <v>5576</v>
      </c>
      <c r="C344" t="b">
        <v>1</v>
      </c>
      <c r="D344">
        <v>8071</v>
      </c>
      <c r="E344">
        <v>8117</v>
      </c>
      <c r="F344">
        <v>23.666665999999999</v>
      </c>
      <c r="G344">
        <v>-2</v>
      </c>
      <c r="H344">
        <v>-11.833333</v>
      </c>
      <c r="I344">
        <v>12.833333</v>
      </c>
      <c r="J344">
        <v>-9.2307693999999996E-2</v>
      </c>
    </row>
    <row r="345" spans="1:10" x14ac:dyDescent="0.3">
      <c r="A345">
        <v>343</v>
      </c>
      <c r="B345">
        <v>5592</v>
      </c>
      <c r="C345" t="b">
        <v>1</v>
      </c>
      <c r="D345">
        <v>8065</v>
      </c>
      <c r="E345">
        <v>8123</v>
      </c>
      <c r="F345">
        <v>23.666665999999999</v>
      </c>
      <c r="G345">
        <v>-1.6</v>
      </c>
      <c r="H345">
        <v>-14.791665999999999</v>
      </c>
      <c r="I345">
        <v>15.791665999999999</v>
      </c>
      <c r="J345">
        <v>-7.2507559999999999E-2</v>
      </c>
    </row>
    <row r="346" spans="1:10" x14ac:dyDescent="0.3">
      <c r="A346">
        <v>344</v>
      </c>
      <c r="B346">
        <v>5608</v>
      </c>
      <c r="C346" t="b">
        <v>1</v>
      </c>
      <c r="D346">
        <v>8060</v>
      </c>
      <c r="E346">
        <v>8123</v>
      </c>
      <c r="F346">
        <v>23.666665999999999</v>
      </c>
      <c r="G346">
        <v>-0.8</v>
      </c>
      <c r="H346">
        <v>-29.583331999999999</v>
      </c>
      <c r="I346">
        <v>30.583331999999999</v>
      </c>
      <c r="J346">
        <v>-3.4985423000000002E-2</v>
      </c>
    </row>
    <row r="347" spans="1:10" x14ac:dyDescent="0.3">
      <c r="A347">
        <v>345</v>
      </c>
      <c r="B347">
        <v>5624</v>
      </c>
      <c r="C347" t="b">
        <v>1</v>
      </c>
      <c r="D347">
        <v>8065</v>
      </c>
      <c r="E347">
        <v>8105</v>
      </c>
      <c r="F347">
        <v>23.666665999999999</v>
      </c>
      <c r="G347">
        <v>0</v>
      </c>
      <c r="H347" t="s">
        <v>19</v>
      </c>
      <c r="I347" t="e">
        <f>-inf</f>
        <v>#NAME?</v>
      </c>
      <c r="J347">
        <v>0</v>
      </c>
    </row>
    <row r="348" spans="1:10" x14ac:dyDescent="0.3">
      <c r="A348">
        <v>346</v>
      </c>
      <c r="B348">
        <v>5639</v>
      </c>
      <c r="C348" t="b">
        <v>1</v>
      </c>
      <c r="D348">
        <v>8065</v>
      </c>
      <c r="E348">
        <v>8117</v>
      </c>
      <c r="F348">
        <v>23.666665999999999</v>
      </c>
      <c r="G348">
        <v>0.4</v>
      </c>
      <c r="H348">
        <v>59.166663999999997</v>
      </c>
      <c r="I348">
        <v>-58.166663999999997</v>
      </c>
      <c r="J348">
        <v>1.66205E-2</v>
      </c>
    </row>
    <row r="349" spans="1:10" x14ac:dyDescent="0.3">
      <c r="A349">
        <v>347</v>
      </c>
      <c r="B349">
        <v>5655</v>
      </c>
      <c r="C349" t="b">
        <v>1</v>
      </c>
      <c r="D349">
        <v>8060</v>
      </c>
      <c r="E349">
        <v>8117</v>
      </c>
      <c r="F349">
        <v>23.666665999999999</v>
      </c>
      <c r="G349">
        <v>1.2</v>
      </c>
      <c r="H349">
        <v>19.722221000000001</v>
      </c>
      <c r="I349">
        <v>-18.72222</v>
      </c>
      <c r="J349">
        <v>4.8257372999999999E-2</v>
      </c>
    </row>
    <row r="350" spans="1:10" x14ac:dyDescent="0.3">
      <c r="A350">
        <v>348</v>
      </c>
      <c r="B350">
        <v>5671</v>
      </c>
      <c r="C350" t="b">
        <v>1</v>
      </c>
      <c r="D350">
        <v>8060</v>
      </c>
      <c r="E350">
        <v>8111</v>
      </c>
      <c r="F350">
        <v>23.333334000000001</v>
      </c>
      <c r="G350">
        <v>2</v>
      </c>
      <c r="H350">
        <v>11.666667</v>
      </c>
      <c r="I350">
        <v>-10.666667</v>
      </c>
      <c r="J350">
        <v>7.8947365000000005E-2</v>
      </c>
    </row>
    <row r="351" spans="1:10" x14ac:dyDescent="0.3">
      <c r="A351">
        <v>349</v>
      </c>
      <c r="B351">
        <v>5687</v>
      </c>
      <c r="C351" t="b">
        <v>1</v>
      </c>
      <c r="D351">
        <v>8065</v>
      </c>
      <c r="E351">
        <v>8123</v>
      </c>
      <c r="F351">
        <v>23.333334000000001</v>
      </c>
      <c r="G351">
        <v>2.4</v>
      </c>
      <c r="H351">
        <v>9.7222220000000004</v>
      </c>
      <c r="I351">
        <v>-8.7222220000000004</v>
      </c>
      <c r="J351">
        <v>9.3264250000000007E-2</v>
      </c>
    </row>
    <row r="352" spans="1:10" x14ac:dyDescent="0.3">
      <c r="A352">
        <v>350</v>
      </c>
      <c r="B352">
        <v>5703</v>
      </c>
      <c r="C352" t="b">
        <v>1</v>
      </c>
      <c r="D352">
        <v>8065</v>
      </c>
      <c r="E352">
        <v>8117</v>
      </c>
      <c r="F352">
        <v>23.666665999999999</v>
      </c>
      <c r="G352">
        <v>2.8</v>
      </c>
      <c r="H352">
        <v>8.4523810000000008</v>
      </c>
      <c r="I352">
        <v>-7.4523809999999999</v>
      </c>
      <c r="J352">
        <v>0.105793454</v>
      </c>
    </row>
    <row r="353" spans="1:10" x14ac:dyDescent="0.3">
      <c r="A353">
        <v>351</v>
      </c>
      <c r="B353">
        <v>5719</v>
      </c>
      <c r="C353" t="b">
        <v>1</v>
      </c>
      <c r="D353">
        <v>8065</v>
      </c>
      <c r="E353">
        <v>8129</v>
      </c>
      <c r="F353">
        <v>24</v>
      </c>
      <c r="G353">
        <v>2.8</v>
      </c>
      <c r="H353">
        <v>8.5714279999999992</v>
      </c>
      <c r="I353">
        <v>-7.5714290000000002</v>
      </c>
      <c r="J353">
        <v>0.104477614</v>
      </c>
    </row>
    <row r="354" spans="1:10" x14ac:dyDescent="0.3">
      <c r="A354">
        <v>352</v>
      </c>
      <c r="B354">
        <v>5735</v>
      </c>
      <c r="C354" t="b">
        <v>1</v>
      </c>
      <c r="D354">
        <v>8060</v>
      </c>
      <c r="E354">
        <v>8123</v>
      </c>
      <c r="F354">
        <v>24.333334000000001</v>
      </c>
      <c r="G354">
        <v>3.2</v>
      </c>
      <c r="H354">
        <v>7.6041670000000003</v>
      </c>
      <c r="I354">
        <v>-6.6041664999999998</v>
      </c>
      <c r="J354">
        <v>0.116222754</v>
      </c>
    </row>
    <row r="355" spans="1:10" x14ac:dyDescent="0.3">
      <c r="A355">
        <v>353</v>
      </c>
      <c r="B355">
        <v>5751</v>
      </c>
      <c r="C355" t="b">
        <v>1</v>
      </c>
      <c r="D355">
        <v>8065</v>
      </c>
      <c r="E355">
        <v>8111</v>
      </c>
      <c r="F355">
        <v>24.666665999999999</v>
      </c>
      <c r="G355">
        <v>3.6</v>
      </c>
      <c r="H355">
        <v>6.8518520000000001</v>
      </c>
      <c r="I355">
        <v>-5.8518520000000001</v>
      </c>
      <c r="J355">
        <v>0.12735848</v>
      </c>
    </row>
    <row r="356" spans="1:10" x14ac:dyDescent="0.3">
      <c r="A356">
        <v>354</v>
      </c>
      <c r="B356">
        <v>5766</v>
      </c>
      <c r="C356" t="b">
        <v>1</v>
      </c>
      <c r="D356">
        <v>8060</v>
      </c>
      <c r="E356">
        <v>8117</v>
      </c>
      <c r="F356">
        <v>24.666665999999999</v>
      </c>
      <c r="G356">
        <v>3.6</v>
      </c>
      <c r="H356">
        <v>6.8518520000000001</v>
      </c>
      <c r="I356">
        <v>-5.8518520000000001</v>
      </c>
      <c r="J356">
        <v>0.12735848</v>
      </c>
    </row>
    <row r="357" spans="1:10" x14ac:dyDescent="0.3">
      <c r="A357">
        <v>355</v>
      </c>
      <c r="B357">
        <v>5782</v>
      </c>
      <c r="C357" t="b">
        <v>1</v>
      </c>
      <c r="D357">
        <v>8071</v>
      </c>
      <c r="E357">
        <v>8105</v>
      </c>
      <c r="F357">
        <v>24.666665999999999</v>
      </c>
      <c r="G357">
        <v>3.6</v>
      </c>
      <c r="H357">
        <v>6.8518520000000001</v>
      </c>
      <c r="I357">
        <v>-5.8518520000000001</v>
      </c>
      <c r="J357">
        <v>0.12735848</v>
      </c>
    </row>
    <row r="358" spans="1:10" x14ac:dyDescent="0.3">
      <c r="A358">
        <v>356</v>
      </c>
      <c r="B358">
        <v>5798</v>
      </c>
      <c r="C358" t="b">
        <v>1</v>
      </c>
      <c r="D358">
        <v>8065</v>
      </c>
      <c r="E358">
        <v>8105</v>
      </c>
      <c r="F358">
        <v>24.666665999999999</v>
      </c>
      <c r="G358">
        <v>3.2</v>
      </c>
      <c r="H358">
        <v>7.7083329999999997</v>
      </c>
      <c r="I358">
        <v>-6.7083329999999997</v>
      </c>
      <c r="J358">
        <v>0.114832535</v>
      </c>
    </row>
    <row r="359" spans="1:10" x14ac:dyDescent="0.3">
      <c r="A359">
        <v>357</v>
      </c>
      <c r="B359">
        <v>5814</v>
      </c>
      <c r="C359" t="b">
        <v>1</v>
      </c>
      <c r="D359">
        <v>8065</v>
      </c>
      <c r="E359">
        <v>8105</v>
      </c>
      <c r="F359">
        <v>24.666665999999999</v>
      </c>
      <c r="G359">
        <v>2.4</v>
      </c>
      <c r="H359">
        <v>10.277777</v>
      </c>
      <c r="I359">
        <v>-9.2777779999999996</v>
      </c>
      <c r="J359">
        <v>8.8669955999999994E-2</v>
      </c>
    </row>
    <row r="360" spans="1:10" x14ac:dyDescent="0.3">
      <c r="A360">
        <v>358</v>
      </c>
      <c r="B360">
        <v>5830</v>
      </c>
      <c r="C360" t="b">
        <v>1</v>
      </c>
      <c r="D360">
        <v>8071</v>
      </c>
      <c r="E360">
        <v>8117</v>
      </c>
      <c r="F360">
        <v>24.666665999999999</v>
      </c>
      <c r="G360">
        <v>1.6</v>
      </c>
      <c r="H360">
        <v>15.416665999999999</v>
      </c>
      <c r="I360">
        <v>-14.416665999999999</v>
      </c>
      <c r="J360">
        <v>6.0913707999999997E-2</v>
      </c>
    </row>
    <row r="361" spans="1:10" x14ac:dyDescent="0.3">
      <c r="A361">
        <v>359</v>
      </c>
      <c r="B361">
        <v>5846</v>
      </c>
      <c r="C361" t="b">
        <v>1</v>
      </c>
      <c r="D361">
        <v>8065</v>
      </c>
      <c r="E361">
        <v>8123</v>
      </c>
      <c r="F361">
        <v>24.666665999999999</v>
      </c>
      <c r="G361">
        <v>0.4</v>
      </c>
      <c r="H361">
        <v>61.666663999999997</v>
      </c>
      <c r="I361">
        <v>-60.666663999999997</v>
      </c>
      <c r="J361">
        <v>1.5957447E-2</v>
      </c>
    </row>
    <row r="362" spans="1:10" x14ac:dyDescent="0.3">
      <c r="A362">
        <v>360</v>
      </c>
      <c r="B362">
        <v>5862</v>
      </c>
      <c r="C362" t="b">
        <v>1</v>
      </c>
      <c r="D362">
        <v>8060</v>
      </c>
      <c r="E362">
        <v>8117</v>
      </c>
      <c r="F362">
        <v>24.666665999999999</v>
      </c>
      <c r="G362">
        <v>0</v>
      </c>
      <c r="H362" t="s">
        <v>19</v>
      </c>
      <c r="I362" t="e">
        <f t="shared" ref="I362:I368" si="1">-inf</f>
        <v>#NAME?</v>
      </c>
      <c r="J362">
        <v>0</v>
      </c>
    </row>
    <row r="363" spans="1:10" x14ac:dyDescent="0.3">
      <c r="A363">
        <v>361</v>
      </c>
      <c r="B363">
        <v>5878</v>
      </c>
      <c r="C363" t="b">
        <v>1</v>
      </c>
      <c r="D363">
        <v>8060</v>
      </c>
      <c r="E363">
        <v>8111</v>
      </c>
      <c r="F363">
        <v>24.666665999999999</v>
      </c>
      <c r="G363">
        <v>0</v>
      </c>
      <c r="H363" t="s">
        <v>19</v>
      </c>
      <c r="I363" t="e">
        <f t="shared" si="1"/>
        <v>#NAME?</v>
      </c>
      <c r="J363">
        <v>0</v>
      </c>
    </row>
    <row r="364" spans="1:10" x14ac:dyDescent="0.3">
      <c r="A364">
        <v>362</v>
      </c>
      <c r="B364">
        <v>5894</v>
      </c>
      <c r="C364" t="b">
        <v>1</v>
      </c>
      <c r="D364">
        <v>8060</v>
      </c>
      <c r="E364">
        <v>8123</v>
      </c>
      <c r="F364">
        <v>24.333334000000001</v>
      </c>
      <c r="G364">
        <v>0</v>
      </c>
      <c r="H364" t="s">
        <v>19</v>
      </c>
      <c r="I364" t="e">
        <f t="shared" si="1"/>
        <v>#NAME?</v>
      </c>
      <c r="J364">
        <v>0</v>
      </c>
    </row>
    <row r="365" spans="1:10" x14ac:dyDescent="0.3">
      <c r="A365">
        <v>363</v>
      </c>
      <c r="B365">
        <v>5909</v>
      </c>
      <c r="C365" t="b">
        <v>1</v>
      </c>
      <c r="D365">
        <v>8060</v>
      </c>
      <c r="E365">
        <v>8117</v>
      </c>
      <c r="F365">
        <v>24.333334000000001</v>
      </c>
      <c r="G365">
        <v>0</v>
      </c>
      <c r="H365" t="s">
        <v>19</v>
      </c>
      <c r="I365" t="e">
        <f t="shared" si="1"/>
        <v>#NAME?</v>
      </c>
      <c r="J365">
        <v>0</v>
      </c>
    </row>
    <row r="366" spans="1:10" x14ac:dyDescent="0.3">
      <c r="A366">
        <v>364</v>
      </c>
      <c r="B366">
        <v>5925</v>
      </c>
      <c r="C366" t="b">
        <v>1</v>
      </c>
      <c r="D366">
        <v>8065</v>
      </c>
      <c r="E366">
        <v>8123</v>
      </c>
      <c r="F366">
        <v>24</v>
      </c>
      <c r="G366">
        <v>0</v>
      </c>
      <c r="H366" t="s">
        <v>19</v>
      </c>
      <c r="I366" t="e">
        <f t="shared" si="1"/>
        <v>#NAME?</v>
      </c>
      <c r="J366">
        <v>0</v>
      </c>
    </row>
    <row r="367" spans="1:10" x14ac:dyDescent="0.3">
      <c r="A367">
        <v>365</v>
      </c>
      <c r="B367">
        <v>5941</v>
      </c>
      <c r="C367" t="b">
        <v>1</v>
      </c>
      <c r="D367">
        <v>8071</v>
      </c>
      <c r="E367">
        <v>8117</v>
      </c>
      <c r="F367">
        <v>23.666665999999999</v>
      </c>
      <c r="G367">
        <v>0</v>
      </c>
      <c r="H367" t="s">
        <v>19</v>
      </c>
      <c r="I367" t="e">
        <f t="shared" si="1"/>
        <v>#NAME?</v>
      </c>
      <c r="J367">
        <v>0</v>
      </c>
    </row>
    <row r="368" spans="1:10" x14ac:dyDescent="0.3">
      <c r="A368">
        <v>366</v>
      </c>
      <c r="B368">
        <v>5957</v>
      </c>
      <c r="C368" t="b">
        <v>1</v>
      </c>
      <c r="D368">
        <v>8071</v>
      </c>
      <c r="E368">
        <v>8117</v>
      </c>
      <c r="F368">
        <v>23.666665999999999</v>
      </c>
      <c r="G368">
        <v>0</v>
      </c>
      <c r="H368" t="s">
        <v>19</v>
      </c>
      <c r="I368" t="e">
        <f t="shared" si="1"/>
        <v>#NAME?</v>
      </c>
      <c r="J368">
        <v>0</v>
      </c>
    </row>
    <row r="369" spans="1:10" x14ac:dyDescent="0.3">
      <c r="A369">
        <v>367</v>
      </c>
      <c r="B369">
        <v>5973</v>
      </c>
      <c r="C369" t="b">
        <v>1</v>
      </c>
      <c r="D369">
        <v>8071</v>
      </c>
      <c r="E369">
        <v>8111</v>
      </c>
      <c r="F369">
        <v>24.066668</v>
      </c>
      <c r="G369">
        <v>-0.4</v>
      </c>
      <c r="H369">
        <v>-60.166668000000001</v>
      </c>
      <c r="I369">
        <v>61.166668000000001</v>
      </c>
      <c r="J369">
        <v>-1.6901407E-2</v>
      </c>
    </row>
    <row r="370" spans="1:10" x14ac:dyDescent="0.3">
      <c r="A370">
        <v>368</v>
      </c>
      <c r="B370">
        <v>5989</v>
      </c>
      <c r="C370" t="b">
        <v>1</v>
      </c>
      <c r="D370">
        <v>8060</v>
      </c>
      <c r="E370">
        <v>8105</v>
      </c>
      <c r="F370">
        <v>24.466667000000001</v>
      </c>
      <c r="G370">
        <v>-0.8</v>
      </c>
      <c r="H370">
        <v>-30.583334000000001</v>
      </c>
      <c r="I370">
        <v>31.583331999999999</v>
      </c>
      <c r="J370">
        <v>-3.3802815E-2</v>
      </c>
    </row>
    <row r="371" spans="1:10" x14ac:dyDescent="0.3">
      <c r="A371">
        <v>369</v>
      </c>
      <c r="B371">
        <v>6005</v>
      </c>
      <c r="C371" t="b">
        <v>1</v>
      </c>
      <c r="D371">
        <v>8060</v>
      </c>
      <c r="E371">
        <v>8117</v>
      </c>
      <c r="F371">
        <v>24.866667</v>
      </c>
      <c r="G371">
        <v>-0.8</v>
      </c>
      <c r="H371">
        <v>-31.083334000000001</v>
      </c>
      <c r="I371">
        <v>32.083331999999999</v>
      </c>
      <c r="J371">
        <v>-3.3240996000000002E-2</v>
      </c>
    </row>
    <row r="372" spans="1:10" x14ac:dyDescent="0.3">
      <c r="A372">
        <v>370</v>
      </c>
      <c r="B372">
        <v>6021</v>
      </c>
      <c r="C372" t="b">
        <v>1</v>
      </c>
      <c r="D372">
        <v>8065</v>
      </c>
      <c r="E372">
        <v>8105</v>
      </c>
      <c r="F372">
        <v>24.866667</v>
      </c>
      <c r="G372">
        <v>-1.2</v>
      </c>
      <c r="H372">
        <v>-20.722221000000001</v>
      </c>
      <c r="I372">
        <v>21.722221000000001</v>
      </c>
      <c r="J372">
        <v>-5.0704230000000003E-2</v>
      </c>
    </row>
    <row r="373" spans="1:10" x14ac:dyDescent="0.3">
      <c r="A373">
        <v>371</v>
      </c>
      <c r="B373">
        <v>6037</v>
      </c>
      <c r="C373" t="b">
        <v>1</v>
      </c>
      <c r="D373">
        <v>8054</v>
      </c>
      <c r="E373">
        <v>8117</v>
      </c>
      <c r="F373">
        <v>24.533332999999999</v>
      </c>
      <c r="G373">
        <v>-1.2</v>
      </c>
      <c r="H373">
        <v>-20.444443</v>
      </c>
      <c r="I373">
        <v>21.444445000000002</v>
      </c>
      <c r="J373">
        <v>-5.1428574999999997E-2</v>
      </c>
    </row>
    <row r="374" spans="1:10" x14ac:dyDescent="0.3">
      <c r="A374">
        <v>372</v>
      </c>
      <c r="B374">
        <v>6053</v>
      </c>
      <c r="C374" t="b">
        <v>1</v>
      </c>
      <c r="D374">
        <v>8065</v>
      </c>
      <c r="E374">
        <v>8117</v>
      </c>
      <c r="F374">
        <v>24.2</v>
      </c>
      <c r="G374">
        <v>-0.4</v>
      </c>
      <c r="H374">
        <v>-60.5</v>
      </c>
      <c r="I374">
        <v>61.5</v>
      </c>
      <c r="J374">
        <v>-1.6806722E-2</v>
      </c>
    </row>
    <row r="375" spans="1:10" x14ac:dyDescent="0.3">
      <c r="A375">
        <v>373</v>
      </c>
      <c r="B375">
        <v>6069</v>
      </c>
      <c r="C375" t="b">
        <v>1</v>
      </c>
      <c r="D375">
        <v>8060</v>
      </c>
      <c r="E375">
        <v>8117</v>
      </c>
      <c r="F375">
        <v>23.866667</v>
      </c>
      <c r="G375">
        <v>0.4</v>
      </c>
      <c r="H375">
        <v>59.666668000000001</v>
      </c>
      <c r="I375">
        <v>-58.666668000000001</v>
      </c>
      <c r="J375">
        <v>1.6483517E-2</v>
      </c>
    </row>
    <row r="376" spans="1:10" x14ac:dyDescent="0.3">
      <c r="A376">
        <v>374</v>
      </c>
      <c r="B376">
        <v>6085</v>
      </c>
      <c r="C376" t="b">
        <v>1</v>
      </c>
      <c r="D376">
        <v>8065</v>
      </c>
      <c r="E376">
        <v>8117</v>
      </c>
      <c r="F376">
        <v>23.866667</v>
      </c>
      <c r="G376">
        <v>1.2</v>
      </c>
      <c r="H376">
        <v>19.888887</v>
      </c>
      <c r="I376">
        <v>-18.888887</v>
      </c>
      <c r="J376">
        <v>4.7872341999999998E-2</v>
      </c>
    </row>
    <row r="377" spans="1:10" x14ac:dyDescent="0.3">
      <c r="A377">
        <v>375</v>
      </c>
      <c r="B377">
        <v>6101</v>
      </c>
      <c r="C377" t="b">
        <v>1</v>
      </c>
      <c r="D377">
        <v>8065</v>
      </c>
      <c r="E377">
        <v>8117</v>
      </c>
      <c r="F377">
        <v>23.866667</v>
      </c>
      <c r="G377">
        <v>1.2</v>
      </c>
      <c r="H377">
        <v>19.888887</v>
      </c>
      <c r="I377">
        <v>-18.888887</v>
      </c>
      <c r="J377">
        <v>4.7872341999999998E-2</v>
      </c>
    </row>
    <row r="378" spans="1:10" x14ac:dyDescent="0.3">
      <c r="A378">
        <v>376</v>
      </c>
      <c r="B378">
        <v>6116</v>
      </c>
      <c r="C378" t="b">
        <v>1</v>
      </c>
      <c r="D378">
        <v>8071</v>
      </c>
      <c r="E378">
        <v>8111</v>
      </c>
      <c r="F378">
        <v>23.866667</v>
      </c>
      <c r="G378">
        <v>1.2</v>
      </c>
      <c r="H378">
        <v>19.888887</v>
      </c>
      <c r="I378">
        <v>-18.888887</v>
      </c>
      <c r="J378">
        <v>4.7872341999999998E-2</v>
      </c>
    </row>
    <row r="379" spans="1:10" x14ac:dyDescent="0.3">
      <c r="A379">
        <v>377</v>
      </c>
      <c r="B379">
        <v>6132</v>
      </c>
      <c r="C379" t="b">
        <v>1</v>
      </c>
      <c r="D379">
        <v>8071</v>
      </c>
      <c r="E379">
        <v>8117</v>
      </c>
      <c r="F379">
        <v>24.2</v>
      </c>
      <c r="G379">
        <v>1.2</v>
      </c>
      <c r="H379">
        <v>20.166665999999999</v>
      </c>
      <c r="I379">
        <v>-19.166665999999999</v>
      </c>
      <c r="J379">
        <v>4.7244094E-2</v>
      </c>
    </row>
    <row r="380" spans="1:10" x14ac:dyDescent="0.3">
      <c r="A380">
        <v>378</v>
      </c>
      <c r="B380">
        <v>6148</v>
      </c>
      <c r="C380" t="b">
        <v>1</v>
      </c>
      <c r="D380">
        <v>8060</v>
      </c>
      <c r="E380">
        <v>8105</v>
      </c>
      <c r="F380">
        <v>24.533332999999999</v>
      </c>
      <c r="G380">
        <v>1.2</v>
      </c>
      <c r="H380">
        <v>20.444443</v>
      </c>
      <c r="I380">
        <v>-19.444443</v>
      </c>
      <c r="J380">
        <v>4.6632126000000003E-2</v>
      </c>
    </row>
    <row r="381" spans="1:10" x14ac:dyDescent="0.3">
      <c r="A381">
        <v>379</v>
      </c>
      <c r="B381">
        <v>6164</v>
      </c>
      <c r="C381" t="b">
        <v>1</v>
      </c>
      <c r="D381">
        <v>8065</v>
      </c>
      <c r="E381">
        <v>8111</v>
      </c>
      <c r="F381">
        <v>24.866667</v>
      </c>
      <c r="G381">
        <v>0.8</v>
      </c>
      <c r="H381">
        <v>31.083334000000001</v>
      </c>
      <c r="I381">
        <v>-30.083334000000001</v>
      </c>
      <c r="J381">
        <v>3.1168832E-2</v>
      </c>
    </row>
    <row r="382" spans="1:10" x14ac:dyDescent="0.3">
      <c r="A382">
        <v>380</v>
      </c>
      <c r="B382">
        <v>6180</v>
      </c>
      <c r="C382" t="b">
        <v>1</v>
      </c>
      <c r="D382">
        <v>8077</v>
      </c>
      <c r="E382">
        <v>8111</v>
      </c>
      <c r="F382">
        <v>25.6</v>
      </c>
      <c r="G382">
        <v>0.4</v>
      </c>
      <c r="H382">
        <v>64</v>
      </c>
      <c r="I382">
        <v>-63</v>
      </c>
      <c r="J382">
        <v>1.5384615000000001E-2</v>
      </c>
    </row>
    <row r="383" spans="1:10" x14ac:dyDescent="0.3">
      <c r="A383">
        <v>381</v>
      </c>
      <c r="B383">
        <v>6196</v>
      </c>
      <c r="C383" t="b">
        <v>1</v>
      </c>
      <c r="D383">
        <v>8071</v>
      </c>
      <c r="E383">
        <v>8117</v>
      </c>
      <c r="F383">
        <v>26</v>
      </c>
      <c r="G383">
        <v>0</v>
      </c>
      <c r="H383" t="s">
        <v>19</v>
      </c>
      <c r="I383" t="e">
        <f>-inf</f>
        <v>#NAME?</v>
      </c>
      <c r="J383">
        <v>0</v>
      </c>
    </row>
    <row r="384" spans="1:10" x14ac:dyDescent="0.3">
      <c r="A384">
        <v>382</v>
      </c>
      <c r="B384">
        <v>6212</v>
      </c>
      <c r="C384" t="b">
        <v>1</v>
      </c>
      <c r="D384">
        <v>8060</v>
      </c>
      <c r="E384">
        <v>8117</v>
      </c>
      <c r="F384">
        <v>25.6</v>
      </c>
      <c r="G384">
        <v>-0.4</v>
      </c>
      <c r="H384">
        <v>-64</v>
      </c>
      <c r="I384">
        <v>65</v>
      </c>
      <c r="J384">
        <v>-1.5873015000000001E-2</v>
      </c>
    </row>
    <row r="385" spans="1:10" x14ac:dyDescent="0.3">
      <c r="A385">
        <v>383</v>
      </c>
      <c r="B385">
        <v>6228</v>
      </c>
      <c r="C385" t="b">
        <v>1</v>
      </c>
      <c r="D385">
        <v>8071</v>
      </c>
      <c r="E385">
        <v>8117</v>
      </c>
      <c r="F385">
        <v>25.6</v>
      </c>
      <c r="G385">
        <v>-0.4</v>
      </c>
      <c r="H385">
        <v>-64</v>
      </c>
      <c r="I385">
        <v>65</v>
      </c>
      <c r="J385">
        <v>-1.5873015000000001E-2</v>
      </c>
    </row>
    <row r="386" spans="1:10" x14ac:dyDescent="0.3">
      <c r="A386">
        <v>384</v>
      </c>
      <c r="B386">
        <v>6244</v>
      </c>
      <c r="C386" t="b">
        <v>1</v>
      </c>
      <c r="D386">
        <v>8065</v>
      </c>
      <c r="E386">
        <v>8111</v>
      </c>
      <c r="F386">
        <v>25.6</v>
      </c>
      <c r="G386">
        <v>-0.4</v>
      </c>
      <c r="H386">
        <v>-64</v>
      </c>
      <c r="I386">
        <v>65</v>
      </c>
      <c r="J386">
        <v>-1.5873015000000001E-2</v>
      </c>
    </row>
    <row r="387" spans="1:10" x14ac:dyDescent="0.3">
      <c r="A387">
        <v>385</v>
      </c>
      <c r="B387">
        <v>6260</v>
      </c>
      <c r="C387" t="b">
        <v>1</v>
      </c>
      <c r="D387">
        <v>8054</v>
      </c>
      <c r="E387">
        <v>8117</v>
      </c>
      <c r="F387">
        <v>25.6</v>
      </c>
      <c r="G387">
        <v>0</v>
      </c>
      <c r="H387" t="s">
        <v>19</v>
      </c>
      <c r="I387" t="e">
        <f>-inf</f>
        <v>#NAME?</v>
      </c>
      <c r="J387">
        <v>0</v>
      </c>
    </row>
    <row r="388" spans="1:10" x14ac:dyDescent="0.3">
      <c r="A388">
        <v>386</v>
      </c>
      <c r="B388">
        <v>6276</v>
      </c>
      <c r="C388" t="b">
        <v>1</v>
      </c>
      <c r="D388">
        <v>8065</v>
      </c>
      <c r="E388">
        <v>8111</v>
      </c>
      <c r="F388">
        <v>25.933332</v>
      </c>
      <c r="G388">
        <v>0.4</v>
      </c>
      <c r="H388">
        <v>64.833330000000004</v>
      </c>
      <c r="I388">
        <v>-63.833331999999999</v>
      </c>
      <c r="J388">
        <v>1.5189874000000001E-2</v>
      </c>
    </row>
    <row r="389" spans="1:10" x14ac:dyDescent="0.3">
      <c r="A389">
        <v>387</v>
      </c>
      <c r="B389">
        <v>6292</v>
      </c>
      <c r="C389" t="b">
        <v>1</v>
      </c>
      <c r="D389">
        <v>8054</v>
      </c>
      <c r="E389">
        <v>8105</v>
      </c>
      <c r="F389">
        <v>26.266666000000001</v>
      </c>
      <c r="G389">
        <v>0</v>
      </c>
      <c r="H389" t="s">
        <v>19</v>
      </c>
      <c r="I389" t="e">
        <f>-inf</f>
        <v>#NAME?</v>
      </c>
      <c r="J389">
        <v>0</v>
      </c>
    </row>
    <row r="390" spans="1:10" x14ac:dyDescent="0.3">
      <c r="A390">
        <v>388</v>
      </c>
      <c r="B390">
        <v>6307</v>
      </c>
      <c r="C390" t="b">
        <v>1</v>
      </c>
      <c r="D390">
        <v>8065</v>
      </c>
      <c r="E390">
        <v>8117</v>
      </c>
      <c r="F390">
        <v>26.6</v>
      </c>
      <c r="G390">
        <v>-0.4</v>
      </c>
      <c r="H390">
        <v>-66.5</v>
      </c>
      <c r="I390">
        <v>67.5</v>
      </c>
      <c r="J390">
        <v>-1.5267176E-2</v>
      </c>
    </row>
    <row r="391" spans="1:10" x14ac:dyDescent="0.3">
      <c r="A391">
        <v>389</v>
      </c>
      <c r="B391">
        <v>6323</v>
      </c>
      <c r="C391" t="b">
        <v>1</v>
      </c>
      <c r="D391">
        <v>8060</v>
      </c>
      <c r="E391">
        <v>8117</v>
      </c>
      <c r="F391">
        <v>26.266666000000001</v>
      </c>
      <c r="G391">
        <v>-0.4</v>
      </c>
      <c r="H391">
        <v>-65.666663999999997</v>
      </c>
      <c r="I391">
        <v>66.666663999999997</v>
      </c>
      <c r="J391">
        <v>-1.54639175E-2</v>
      </c>
    </row>
    <row r="392" spans="1:10" x14ac:dyDescent="0.3">
      <c r="A392">
        <v>390</v>
      </c>
      <c r="B392">
        <v>6339</v>
      </c>
      <c r="C392" t="b">
        <v>1</v>
      </c>
      <c r="D392">
        <v>8060</v>
      </c>
      <c r="E392">
        <v>8117</v>
      </c>
      <c r="F392">
        <v>25.933332</v>
      </c>
      <c r="G392">
        <v>-0.4</v>
      </c>
      <c r="H392">
        <v>-64.833330000000004</v>
      </c>
      <c r="I392">
        <v>65.833330000000004</v>
      </c>
      <c r="J392">
        <v>-1.5665798000000002E-2</v>
      </c>
    </row>
    <row r="393" spans="1:10" x14ac:dyDescent="0.3">
      <c r="A393">
        <v>391</v>
      </c>
      <c r="B393">
        <v>6355</v>
      </c>
      <c r="C393" t="b">
        <v>1</v>
      </c>
      <c r="D393">
        <v>8060</v>
      </c>
      <c r="E393">
        <v>8105</v>
      </c>
      <c r="F393">
        <v>25.6</v>
      </c>
      <c r="G393">
        <v>-0.4</v>
      </c>
      <c r="H393">
        <v>-64</v>
      </c>
      <c r="I393">
        <v>65</v>
      </c>
      <c r="J393">
        <v>-1.5873015000000001E-2</v>
      </c>
    </row>
    <row r="394" spans="1:10" x14ac:dyDescent="0.3">
      <c r="A394">
        <v>392</v>
      </c>
      <c r="B394">
        <v>6370</v>
      </c>
      <c r="C394" t="b">
        <v>1</v>
      </c>
      <c r="D394">
        <v>8071</v>
      </c>
      <c r="E394">
        <v>8117</v>
      </c>
      <c r="F394">
        <v>25.266666000000001</v>
      </c>
      <c r="G394">
        <v>-0.4</v>
      </c>
      <c r="H394">
        <v>-63.166663999999997</v>
      </c>
      <c r="I394">
        <v>64.166663999999997</v>
      </c>
      <c r="J394">
        <v>-1.6085789999999999E-2</v>
      </c>
    </row>
    <row r="395" spans="1:10" x14ac:dyDescent="0.3">
      <c r="A395">
        <v>393</v>
      </c>
      <c r="B395">
        <v>6386</v>
      </c>
      <c r="C395" t="b">
        <v>1</v>
      </c>
      <c r="D395">
        <v>8071</v>
      </c>
      <c r="E395">
        <v>8117</v>
      </c>
      <c r="F395">
        <v>24.933332</v>
      </c>
      <c r="G395">
        <v>-0.4</v>
      </c>
      <c r="H395">
        <v>-62.333331999999999</v>
      </c>
      <c r="I395">
        <v>63.333329999999997</v>
      </c>
      <c r="J395">
        <v>-1.6304348E-2</v>
      </c>
    </row>
    <row r="396" spans="1:10" x14ac:dyDescent="0.3">
      <c r="A396">
        <v>394</v>
      </c>
      <c r="B396">
        <v>6402</v>
      </c>
      <c r="C396" t="b">
        <v>1</v>
      </c>
      <c r="D396">
        <v>8077</v>
      </c>
      <c r="E396">
        <v>8105</v>
      </c>
      <c r="F396">
        <v>25.333334000000001</v>
      </c>
      <c r="G396">
        <v>0</v>
      </c>
      <c r="H396" t="s">
        <v>19</v>
      </c>
      <c r="I396" t="e">
        <f>-inf</f>
        <v>#NAME?</v>
      </c>
      <c r="J396">
        <v>0</v>
      </c>
    </row>
    <row r="397" spans="1:10" x14ac:dyDescent="0.3">
      <c r="A397">
        <v>395</v>
      </c>
      <c r="B397">
        <v>6418</v>
      </c>
      <c r="C397" t="b">
        <v>1</v>
      </c>
      <c r="D397">
        <v>8060</v>
      </c>
      <c r="E397">
        <v>8111</v>
      </c>
      <c r="F397">
        <v>25.333334000000001</v>
      </c>
      <c r="G397">
        <v>0</v>
      </c>
      <c r="H397" t="s">
        <v>19</v>
      </c>
      <c r="I397" t="e">
        <f>-inf</f>
        <v>#NAME?</v>
      </c>
      <c r="J397">
        <v>0</v>
      </c>
    </row>
    <row r="398" spans="1:10" x14ac:dyDescent="0.3">
      <c r="A398">
        <v>396</v>
      </c>
      <c r="B398">
        <v>6434</v>
      </c>
      <c r="C398" t="b">
        <v>1</v>
      </c>
      <c r="D398">
        <v>8054</v>
      </c>
      <c r="E398">
        <v>8111</v>
      </c>
      <c r="F398">
        <v>25.333334000000001</v>
      </c>
      <c r="G398">
        <v>0</v>
      </c>
      <c r="H398" t="s">
        <v>19</v>
      </c>
      <c r="I398" t="e">
        <f>-inf</f>
        <v>#NAME?</v>
      </c>
      <c r="J398">
        <v>0</v>
      </c>
    </row>
    <row r="399" spans="1:10" x14ac:dyDescent="0.3">
      <c r="A399">
        <v>397</v>
      </c>
      <c r="B399">
        <v>6450</v>
      </c>
      <c r="C399" t="b">
        <v>1</v>
      </c>
      <c r="D399">
        <v>8048</v>
      </c>
      <c r="E399">
        <v>8111</v>
      </c>
      <c r="F399">
        <v>25</v>
      </c>
      <c r="G399">
        <v>0</v>
      </c>
      <c r="H399" t="s">
        <v>19</v>
      </c>
      <c r="I399" t="e">
        <f>-inf</f>
        <v>#NAME?</v>
      </c>
      <c r="J399">
        <v>0</v>
      </c>
    </row>
    <row r="400" spans="1:10" x14ac:dyDescent="0.3">
      <c r="A400">
        <v>398</v>
      </c>
      <c r="B400">
        <v>6466</v>
      </c>
      <c r="C400" t="b">
        <v>1</v>
      </c>
      <c r="D400">
        <v>8065</v>
      </c>
      <c r="E400">
        <v>8123</v>
      </c>
      <c r="F400">
        <v>24.266666000000001</v>
      </c>
      <c r="G400">
        <v>-0.4</v>
      </c>
      <c r="H400">
        <v>-60.666663999999997</v>
      </c>
      <c r="I400">
        <v>61.666663999999997</v>
      </c>
      <c r="J400">
        <v>-1.6759777E-2</v>
      </c>
    </row>
    <row r="401" spans="1:10" x14ac:dyDescent="0.3">
      <c r="A401">
        <v>399</v>
      </c>
      <c r="B401">
        <v>6482</v>
      </c>
      <c r="C401" t="b">
        <v>1</v>
      </c>
      <c r="D401">
        <v>8060</v>
      </c>
      <c r="E401">
        <v>8123</v>
      </c>
      <c r="F401">
        <v>23.533332999999999</v>
      </c>
      <c r="G401">
        <v>-0.8</v>
      </c>
      <c r="H401">
        <v>-29.416665999999999</v>
      </c>
      <c r="I401">
        <v>30.416664000000001</v>
      </c>
      <c r="J401">
        <v>-3.5190616000000001E-2</v>
      </c>
    </row>
    <row r="402" spans="1:10" x14ac:dyDescent="0.3">
      <c r="A402">
        <v>400</v>
      </c>
      <c r="B402">
        <v>6497</v>
      </c>
      <c r="C402" t="b">
        <v>1</v>
      </c>
      <c r="D402">
        <v>8060</v>
      </c>
      <c r="E402">
        <v>8123</v>
      </c>
      <c r="F402">
        <v>23.2</v>
      </c>
      <c r="G402">
        <v>-0.4</v>
      </c>
      <c r="H402">
        <v>-58</v>
      </c>
      <c r="I402">
        <v>59</v>
      </c>
      <c r="J402">
        <v>-1.7543860000000001E-2</v>
      </c>
    </row>
    <row r="403" spans="1:10" x14ac:dyDescent="0.3">
      <c r="A403">
        <v>401</v>
      </c>
      <c r="B403">
        <v>6513</v>
      </c>
      <c r="C403" t="b">
        <v>1</v>
      </c>
      <c r="D403">
        <v>8060</v>
      </c>
      <c r="E403">
        <v>8117</v>
      </c>
      <c r="F403">
        <v>22.866667</v>
      </c>
      <c r="G403">
        <v>0</v>
      </c>
      <c r="H403" t="s">
        <v>19</v>
      </c>
      <c r="I403" t="e">
        <f>-inf</f>
        <v>#NAME?</v>
      </c>
      <c r="J403">
        <v>0</v>
      </c>
    </row>
    <row r="404" spans="1:10" x14ac:dyDescent="0.3">
      <c r="A404">
        <v>402</v>
      </c>
      <c r="B404">
        <v>6529</v>
      </c>
      <c r="C404" t="b">
        <v>1</v>
      </c>
      <c r="D404">
        <v>8065</v>
      </c>
      <c r="E404">
        <v>8123</v>
      </c>
      <c r="F404">
        <v>22.533332999999999</v>
      </c>
      <c r="G404">
        <v>0.8</v>
      </c>
      <c r="H404">
        <v>28.166665999999999</v>
      </c>
      <c r="I404">
        <v>-27.166665999999999</v>
      </c>
      <c r="J404">
        <v>3.4285717E-2</v>
      </c>
    </row>
    <row r="405" spans="1:10" x14ac:dyDescent="0.3">
      <c r="A405">
        <v>403</v>
      </c>
      <c r="B405">
        <v>6545</v>
      </c>
      <c r="C405" t="b">
        <v>1</v>
      </c>
      <c r="D405">
        <v>8065</v>
      </c>
      <c r="E405">
        <v>8123</v>
      </c>
      <c r="F405">
        <v>22.2</v>
      </c>
      <c r="G405">
        <v>1.6</v>
      </c>
      <c r="H405">
        <v>13.875</v>
      </c>
      <c r="I405">
        <v>-12.875</v>
      </c>
      <c r="J405">
        <v>6.7226889999999997E-2</v>
      </c>
    </row>
    <row r="406" spans="1:10" x14ac:dyDescent="0.3">
      <c r="A406">
        <v>404</v>
      </c>
      <c r="B406">
        <v>6561</v>
      </c>
      <c r="C406" t="b">
        <v>1</v>
      </c>
      <c r="D406">
        <v>8077</v>
      </c>
      <c r="E406">
        <v>8111</v>
      </c>
      <c r="F406">
        <v>22.533332999999999</v>
      </c>
      <c r="G406">
        <v>2</v>
      </c>
      <c r="H406">
        <v>11.266666000000001</v>
      </c>
      <c r="I406">
        <v>-10.266666000000001</v>
      </c>
      <c r="J406">
        <v>8.1521739999999995E-2</v>
      </c>
    </row>
    <row r="407" spans="1:10" x14ac:dyDescent="0.3">
      <c r="A407">
        <v>405</v>
      </c>
      <c r="B407">
        <v>6577</v>
      </c>
      <c r="C407" t="b">
        <v>1</v>
      </c>
      <c r="D407">
        <v>8071</v>
      </c>
      <c r="E407">
        <v>8111</v>
      </c>
      <c r="F407">
        <v>22.866667</v>
      </c>
      <c r="G407">
        <v>2</v>
      </c>
      <c r="H407">
        <v>11.433332999999999</v>
      </c>
      <c r="I407">
        <v>-10.433332999999999</v>
      </c>
      <c r="J407">
        <v>8.0428949999999999E-2</v>
      </c>
    </row>
    <row r="408" spans="1:10" x14ac:dyDescent="0.3">
      <c r="A408">
        <v>406</v>
      </c>
      <c r="B408">
        <v>6592</v>
      </c>
      <c r="C408" t="b">
        <v>1</v>
      </c>
      <c r="D408">
        <v>8065</v>
      </c>
      <c r="E408">
        <v>8117</v>
      </c>
      <c r="F408">
        <v>23.2</v>
      </c>
      <c r="G408">
        <v>2</v>
      </c>
      <c r="H408">
        <v>11.6</v>
      </c>
      <c r="I408">
        <v>-10.6</v>
      </c>
      <c r="J408">
        <v>7.9365074999999993E-2</v>
      </c>
    </row>
    <row r="409" spans="1:10" x14ac:dyDescent="0.3">
      <c r="A409">
        <v>407</v>
      </c>
      <c r="B409">
        <v>6608</v>
      </c>
      <c r="C409" t="b">
        <v>1</v>
      </c>
      <c r="D409">
        <v>8071</v>
      </c>
      <c r="E409">
        <v>8111</v>
      </c>
      <c r="F409">
        <v>23.933332</v>
      </c>
      <c r="G409">
        <v>1.6</v>
      </c>
      <c r="H409">
        <v>14.958333</v>
      </c>
      <c r="I409">
        <v>-13.958332</v>
      </c>
      <c r="J409">
        <v>6.2663189999999994E-2</v>
      </c>
    </row>
    <row r="410" spans="1:10" x14ac:dyDescent="0.3">
      <c r="A410">
        <v>408</v>
      </c>
      <c r="B410">
        <v>6624</v>
      </c>
      <c r="C410" t="b">
        <v>1</v>
      </c>
      <c r="D410">
        <v>8060</v>
      </c>
      <c r="E410">
        <v>8129</v>
      </c>
      <c r="F410">
        <v>24.666665999999999</v>
      </c>
      <c r="G410">
        <v>1.2</v>
      </c>
      <c r="H410">
        <v>20.555553</v>
      </c>
      <c r="I410">
        <v>-19.555553</v>
      </c>
      <c r="J410">
        <v>4.6391755E-2</v>
      </c>
    </row>
    <row r="411" spans="1:10" x14ac:dyDescent="0.3">
      <c r="A411">
        <v>409</v>
      </c>
      <c r="B411">
        <v>6640</v>
      </c>
      <c r="C411" t="b">
        <v>1</v>
      </c>
      <c r="D411">
        <v>8060</v>
      </c>
      <c r="E411">
        <v>8111</v>
      </c>
      <c r="F411">
        <v>24.266666000000001</v>
      </c>
      <c r="G411">
        <v>0.8</v>
      </c>
      <c r="H411">
        <v>30.333331999999999</v>
      </c>
      <c r="I411">
        <v>-29.333334000000001</v>
      </c>
      <c r="J411">
        <v>3.1914893999999999E-2</v>
      </c>
    </row>
    <row r="412" spans="1:10" x14ac:dyDescent="0.3">
      <c r="A412">
        <v>410</v>
      </c>
      <c r="B412">
        <v>6656</v>
      </c>
      <c r="C412" t="b">
        <v>1</v>
      </c>
      <c r="D412">
        <v>8054</v>
      </c>
      <c r="E412">
        <v>8111</v>
      </c>
      <c r="F412">
        <v>23.533332999999999</v>
      </c>
      <c r="G412">
        <v>0.8</v>
      </c>
      <c r="H412">
        <v>29.416665999999999</v>
      </c>
      <c r="I412">
        <v>-28.416665999999999</v>
      </c>
      <c r="J412">
        <v>3.2876715000000001E-2</v>
      </c>
    </row>
    <row r="413" spans="1:10" x14ac:dyDescent="0.3">
      <c r="A413">
        <v>411</v>
      </c>
      <c r="B413">
        <v>6671</v>
      </c>
      <c r="C413" t="b">
        <v>1</v>
      </c>
      <c r="D413">
        <v>8054</v>
      </c>
      <c r="E413">
        <v>8123</v>
      </c>
      <c r="F413">
        <v>22.8</v>
      </c>
      <c r="G413">
        <v>0.8</v>
      </c>
      <c r="H413">
        <v>28.499998000000001</v>
      </c>
      <c r="I413">
        <v>-27.5</v>
      </c>
      <c r="J413">
        <v>3.3898310000000001E-2</v>
      </c>
    </row>
    <row r="414" spans="1:10" x14ac:dyDescent="0.3">
      <c r="A414">
        <v>412</v>
      </c>
      <c r="B414">
        <v>6687</v>
      </c>
      <c r="C414" t="b">
        <v>1</v>
      </c>
      <c r="D414">
        <v>8060</v>
      </c>
      <c r="E414">
        <v>8111</v>
      </c>
      <c r="F414">
        <v>22.8</v>
      </c>
      <c r="G414">
        <v>0.8</v>
      </c>
      <c r="H414">
        <v>28.499998000000001</v>
      </c>
      <c r="I414">
        <v>-27.5</v>
      </c>
      <c r="J414">
        <v>3.3898310000000001E-2</v>
      </c>
    </row>
    <row r="415" spans="1:10" x14ac:dyDescent="0.3">
      <c r="A415">
        <v>413</v>
      </c>
      <c r="B415">
        <v>6703</v>
      </c>
      <c r="C415" t="b">
        <v>1</v>
      </c>
      <c r="D415">
        <v>8060</v>
      </c>
      <c r="E415">
        <v>8123</v>
      </c>
      <c r="F415">
        <v>22.8</v>
      </c>
      <c r="G415">
        <v>0.8</v>
      </c>
      <c r="H415">
        <v>28.499998000000001</v>
      </c>
      <c r="I415">
        <v>-27.5</v>
      </c>
      <c r="J415">
        <v>3.3898310000000001E-2</v>
      </c>
    </row>
    <row r="416" spans="1:10" x14ac:dyDescent="0.3">
      <c r="A416">
        <v>414</v>
      </c>
      <c r="B416">
        <v>6719</v>
      </c>
      <c r="C416" t="b">
        <v>1</v>
      </c>
      <c r="D416">
        <v>8065</v>
      </c>
      <c r="E416">
        <v>8111</v>
      </c>
      <c r="F416">
        <v>22.8</v>
      </c>
      <c r="G416">
        <v>0.8</v>
      </c>
      <c r="H416">
        <v>28.499998000000001</v>
      </c>
      <c r="I416">
        <v>-27.5</v>
      </c>
      <c r="J416">
        <v>3.3898310000000001E-2</v>
      </c>
    </row>
    <row r="417" spans="1:10" x14ac:dyDescent="0.3">
      <c r="A417">
        <v>415</v>
      </c>
      <c r="B417">
        <v>6734</v>
      </c>
      <c r="C417" t="b">
        <v>1</v>
      </c>
      <c r="D417">
        <v>8060</v>
      </c>
      <c r="E417">
        <v>8111</v>
      </c>
      <c r="F417">
        <v>22.8</v>
      </c>
      <c r="G417">
        <v>0</v>
      </c>
      <c r="H417" t="s">
        <v>19</v>
      </c>
      <c r="I417" t="e">
        <f>-inf</f>
        <v>#NAME?</v>
      </c>
      <c r="J417">
        <v>0</v>
      </c>
    </row>
    <row r="418" spans="1:10" x14ac:dyDescent="0.3">
      <c r="A418">
        <v>416</v>
      </c>
      <c r="B418">
        <v>6750</v>
      </c>
      <c r="C418" t="b">
        <v>1</v>
      </c>
      <c r="D418">
        <v>8054</v>
      </c>
      <c r="E418">
        <v>8111</v>
      </c>
      <c r="F418">
        <v>22.8</v>
      </c>
      <c r="G418">
        <v>-0.8</v>
      </c>
      <c r="H418">
        <v>-28.499998000000001</v>
      </c>
      <c r="I418">
        <v>29.499998000000001</v>
      </c>
      <c r="J418">
        <v>-3.6363634999999998E-2</v>
      </c>
    </row>
    <row r="419" spans="1:10" x14ac:dyDescent="0.3">
      <c r="A419">
        <v>417</v>
      </c>
      <c r="B419">
        <v>6766</v>
      </c>
      <c r="C419" t="b">
        <v>1</v>
      </c>
      <c r="D419">
        <v>8060</v>
      </c>
      <c r="E419">
        <v>8111</v>
      </c>
      <c r="F419">
        <v>22.8</v>
      </c>
      <c r="G419">
        <v>-1.6</v>
      </c>
      <c r="H419">
        <v>-14.249999000000001</v>
      </c>
      <c r="I419">
        <v>15.25</v>
      </c>
      <c r="J419">
        <v>-7.5471709999999997E-2</v>
      </c>
    </row>
    <row r="420" spans="1:10" x14ac:dyDescent="0.3">
      <c r="A420">
        <v>418</v>
      </c>
      <c r="B420">
        <v>6782</v>
      </c>
      <c r="C420" t="b">
        <v>1</v>
      </c>
      <c r="D420">
        <v>8071</v>
      </c>
      <c r="E420">
        <v>8123</v>
      </c>
      <c r="F420">
        <v>22.8</v>
      </c>
      <c r="G420">
        <v>-2.4</v>
      </c>
      <c r="H420">
        <v>-9.4999990000000007</v>
      </c>
      <c r="I420">
        <v>10.499999000000001</v>
      </c>
      <c r="J420">
        <v>-0.11764707000000001</v>
      </c>
    </row>
    <row r="421" spans="1:10" x14ac:dyDescent="0.3">
      <c r="A421">
        <v>419</v>
      </c>
      <c r="B421">
        <v>6798</v>
      </c>
      <c r="C421" t="b">
        <v>1</v>
      </c>
      <c r="D421">
        <v>8060</v>
      </c>
      <c r="E421">
        <v>8123</v>
      </c>
      <c r="F421">
        <v>22.466667000000001</v>
      </c>
      <c r="G421">
        <v>-3.2</v>
      </c>
      <c r="H421">
        <v>-7.0208335000000002</v>
      </c>
      <c r="I421">
        <v>8.0208340000000007</v>
      </c>
      <c r="J421">
        <v>-0.16608997</v>
      </c>
    </row>
    <row r="422" spans="1:10" x14ac:dyDescent="0.3">
      <c r="A422">
        <v>420</v>
      </c>
      <c r="B422">
        <v>6814</v>
      </c>
      <c r="C422" t="b">
        <v>1</v>
      </c>
      <c r="D422">
        <v>8065</v>
      </c>
      <c r="E422">
        <v>8123</v>
      </c>
      <c r="F422">
        <v>22.133333</v>
      </c>
      <c r="G422">
        <v>-2.8</v>
      </c>
      <c r="H422">
        <v>-7.9047619999999998</v>
      </c>
      <c r="I422">
        <v>8.9047610000000006</v>
      </c>
      <c r="J422">
        <v>-0.14482756999999999</v>
      </c>
    </row>
    <row r="423" spans="1:10" x14ac:dyDescent="0.3">
      <c r="A423">
        <v>421</v>
      </c>
      <c r="B423">
        <v>6830</v>
      </c>
      <c r="C423" t="b">
        <v>1</v>
      </c>
      <c r="D423">
        <v>8048</v>
      </c>
      <c r="E423">
        <v>8123</v>
      </c>
      <c r="F423">
        <v>21.8</v>
      </c>
      <c r="G423">
        <v>-2.4</v>
      </c>
      <c r="H423">
        <v>-9.0833329999999997</v>
      </c>
      <c r="I423">
        <v>10.083332</v>
      </c>
      <c r="J423">
        <v>-0.12371135</v>
      </c>
    </row>
    <row r="424" spans="1:10" x14ac:dyDescent="0.3">
      <c r="A424">
        <v>422</v>
      </c>
      <c r="B424">
        <v>6846</v>
      </c>
      <c r="C424" t="b">
        <v>1</v>
      </c>
      <c r="D424">
        <v>8065</v>
      </c>
      <c r="E424">
        <v>8111</v>
      </c>
      <c r="F424">
        <v>21.4</v>
      </c>
      <c r="G424">
        <v>-1.6</v>
      </c>
      <c r="H424">
        <v>-13.375</v>
      </c>
      <c r="I424">
        <v>14.375</v>
      </c>
      <c r="J424">
        <v>-8.0808089999999999E-2</v>
      </c>
    </row>
    <row r="425" spans="1:10" x14ac:dyDescent="0.3">
      <c r="A425">
        <v>423</v>
      </c>
      <c r="B425">
        <v>6862</v>
      </c>
      <c r="C425" t="b">
        <v>1</v>
      </c>
      <c r="D425">
        <v>8060</v>
      </c>
      <c r="E425">
        <v>8117</v>
      </c>
      <c r="F425">
        <v>20.666665999999999</v>
      </c>
      <c r="G425">
        <v>-0.8</v>
      </c>
      <c r="H425">
        <v>-25.833331999999999</v>
      </c>
      <c r="I425">
        <v>26.833331999999999</v>
      </c>
      <c r="J425">
        <v>-4.0268459999999999E-2</v>
      </c>
    </row>
    <row r="426" spans="1:10" x14ac:dyDescent="0.3">
      <c r="A426">
        <v>424</v>
      </c>
      <c r="B426">
        <v>6878</v>
      </c>
      <c r="C426" t="b">
        <v>1</v>
      </c>
      <c r="D426">
        <v>8060</v>
      </c>
      <c r="E426">
        <v>8117</v>
      </c>
      <c r="F426">
        <v>20.333334000000001</v>
      </c>
      <c r="G426">
        <v>-0.4</v>
      </c>
      <c r="H426">
        <v>-50.833336000000003</v>
      </c>
      <c r="I426">
        <v>51.833331999999999</v>
      </c>
      <c r="J426">
        <v>-2.0066889000000001E-2</v>
      </c>
    </row>
    <row r="427" spans="1:10" x14ac:dyDescent="0.3">
      <c r="A427">
        <v>425</v>
      </c>
      <c r="B427">
        <v>6894</v>
      </c>
      <c r="C427" t="b">
        <v>1</v>
      </c>
      <c r="D427">
        <v>8054</v>
      </c>
      <c r="E427">
        <v>8111</v>
      </c>
      <c r="F427">
        <v>20.333334000000001</v>
      </c>
      <c r="G427">
        <v>0</v>
      </c>
      <c r="H427" t="s">
        <v>19</v>
      </c>
      <c r="I427" t="e">
        <f t="shared" ref="I427:I433" si="2">-inf</f>
        <v>#NAME?</v>
      </c>
      <c r="J427">
        <v>0</v>
      </c>
    </row>
    <row r="428" spans="1:10" x14ac:dyDescent="0.3">
      <c r="A428">
        <v>426</v>
      </c>
      <c r="B428">
        <v>6909</v>
      </c>
      <c r="C428" t="b">
        <v>1</v>
      </c>
      <c r="D428">
        <v>8060</v>
      </c>
      <c r="E428">
        <v>8111</v>
      </c>
      <c r="F428">
        <v>20.333334000000001</v>
      </c>
      <c r="G428">
        <v>0</v>
      </c>
      <c r="H428" t="s">
        <v>19</v>
      </c>
      <c r="I428" t="e">
        <f t="shared" si="2"/>
        <v>#NAME?</v>
      </c>
      <c r="J428">
        <v>0</v>
      </c>
    </row>
    <row r="429" spans="1:10" x14ac:dyDescent="0.3">
      <c r="A429">
        <v>427</v>
      </c>
      <c r="B429">
        <v>6925</v>
      </c>
      <c r="C429" t="b">
        <v>1</v>
      </c>
      <c r="D429">
        <v>8071</v>
      </c>
      <c r="E429">
        <v>8111</v>
      </c>
      <c r="F429">
        <v>20.333334000000001</v>
      </c>
      <c r="G429">
        <v>0</v>
      </c>
      <c r="H429" t="s">
        <v>19</v>
      </c>
      <c r="I429" t="e">
        <f t="shared" si="2"/>
        <v>#NAME?</v>
      </c>
      <c r="J429">
        <v>0</v>
      </c>
    </row>
    <row r="430" spans="1:10" x14ac:dyDescent="0.3">
      <c r="A430">
        <v>428</v>
      </c>
      <c r="B430">
        <v>6941</v>
      </c>
      <c r="C430" t="b">
        <v>1</v>
      </c>
      <c r="D430">
        <v>8071</v>
      </c>
      <c r="E430">
        <v>8117</v>
      </c>
      <c r="F430">
        <v>20.333334000000001</v>
      </c>
      <c r="G430">
        <v>0</v>
      </c>
      <c r="H430" t="s">
        <v>19</v>
      </c>
      <c r="I430" t="e">
        <f t="shared" si="2"/>
        <v>#NAME?</v>
      </c>
      <c r="J430">
        <v>0</v>
      </c>
    </row>
    <row r="431" spans="1:10" x14ac:dyDescent="0.3">
      <c r="A431">
        <v>429</v>
      </c>
      <c r="B431">
        <v>6957</v>
      </c>
      <c r="C431" t="b">
        <v>1</v>
      </c>
      <c r="D431">
        <v>8065</v>
      </c>
      <c r="E431">
        <v>8105</v>
      </c>
      <c r="F431">
        <v>20.666665999999999</v>
      </c>
      <c r="G431">
        <v>0</v>
      </c>
      <c r="H431" t="s">
        <v>19</v>
      </c>
      <c r="I431" t="e">
        <f t="shared" si="2"/>
        <v>#NAME?</v>
      </c>
      <c r="J431">
        <v>0</v>
      </c>
    </row>
    <row r="432" spans="1:10" x14ac:dyDescent="0.3">
      <c r="A432">
        <v>430</v>
      </c>
      <c r="B432">
        <v>6973</v>
      </c>
      <c r="C432" t="b">
        <v>1</v>
      </c>
      <c r="D432">
        <v>8071</v>
      </c>
      <c r="E432">
        <v>8117</v>
      </c>
      <c r="F432">
        <v>21.4</v>
      </c>
      <c r="G432">
        <v>0</v>
      </c>
      <c r="H432" t="s">
        <v>19</v>
      </c>
      <c r="I432" t="e">
        <f t="shared" si="2"/>
        <v>#NAME?</v>
      </c>
      <c r="J432">
        <v>0</v>
      </c>
    </row>
    <row r="433" spans="1:10" x14ac:dyDescent="0.3">
      <c r="A433">
        <v>431</v>
      </c>
      <c r="B433">
        <v>6989</v>
      </c>
      <c r="C433" t="b">
        <v>1</v>
      </c>
      <c r="D433">
        <v>8071</v>
      </c>
      <c r="E433">
        <v>8105</v>
      </c>
      <c r="F433">
        <v>22.133333</v>
      </c>
      <c r="G433">
        <v>0</v>
      </c>
      <c r="H433" t="s">
        <v>19</v>
      </c>
      <c r="I433" t="e">
        <f t="shared" si="2"/>
        <v>#NAME?</v>
      </c>
      <c r="J433">
        <v>0</v>
      </c>
    </row>
    <row r="434" spans="1:10" x14ac:dyDescent="0.3">
      <c r="A434">
        <v>432</v>
      </c>
      <c r="B434">
        <v>7005</v>
      </c>
      <c r="C434" t="b">
        <v>1</v>
      </c>
      <c r="D434">
        <v>8071</v>
      </c>
      <c r="E434">
        <v>8105</v>
      </c>
      <c r="F434">
        <v>22.866667</v>
      </c>
      <c r="G434">
        <v>-0.4</v>
      </c>
      <c r="H434">
        <v>-57.166668000000001</v>
      </c>
      <c r="I434">
        <v>58.166663999999997</v>
      </c>
      <c r="J434">
        <v>-1.7804153E-2</v>
      </c>
    </row>
    <row r="435" spans="1:10" x14ac:dyDescent="0.3">
      <c r="A435">
        <v>433</v>
      </c>
      <c r="B435">
        <v>7020</v>
      </c>
      <c r="C435" t="b">
        <v>1</v>
      </c>
      <c r="D435">
        <v>8060</v>
      </c>
      <c r="E435">
        <v>8105</v>
      </c>
      <c r="F435">
        <v>23.6</v>
      </c>
      <c r="G435">
        <v>-0.8</v>
      </c>
      <c r="H435">
        <v>-29.5</v>
      </c>
      <c r="I435">
        <v>30.5</v>
      </c>
      <c r="J435">
        <v>-3.5087720000000003E-2</v>
      </c>
    </row>
    <row r="436" spans="1:10" x14ac:dyDescent="0.3">
      <c r="A436">
        <v>434</v>
      </c>
      <c r="B436">
        <v>7036</v>
      </c>
      <c r="C436" t="b">
        <v>1</v>
      </c>
      <c r="D436">
        <v>8065</v>
      </c>
      <c r="E436">
        <v>8117</v>
      </c>
      <c r="F436">
        <v>24.333334000000001</v>
      </c>
      <c r="G436">
        <v>-1.2</v>
      </c>
      <c r="H436">
        <v>-20.277777</v>
      </c>
      <c r="I436">
        <v>21.277778999999999</v>
      </c>
      <c r="J436">
        <v>-5.1873200000000001E-2</v>
      </c>
    </row>
    <row r="437" spans="1:10" x14ac:dyDescent="0.3">
      <c r="A437">
        <v>435</v>
      </c>
      <c r="B437">
        <v>7052</v>
      </c>
      <c r="C437" t="b">
        <v>1</v>
      </c>
      <c r="D437">
        <v>8065</v>
      </c>
      <c r="E437">
        <v>8111</v>
      </c>
      <c r="F437">
        <v>24.666665999999999</v>
      </c>
      <c r="G437">
        <v>-2.4</v>
      </c>
      <c r="H437">
        <v>-10.277777</v>
      </c>
      <c r="I437">
        <v>11.277777</v>
      </c>
      <c r="J437">
        <v>-0.107784435</v>
      </c>
    </row>
    <row r="438" spans="1:10" x14ac:dyDescent="0.3">
      <c r="A438">
        <v>436</v>
      </c>
      <c r="B438">
        <v>7068</v>
      </c>
      <c r="C438" t="b">
        <v>1</v>
      </c>
      <c r="D438">
        <v>8060</v>
      </c>
      <c r="E438">
        <v>8105</v>
      </c>
      <c r="F438">
        <v>25</v>
      </c>
      <c r="G438">
        <v>-3.6</v>
      </c>
      <c r="H438">
        <v>-6.9444447</v>
      </c>
      <c r="I438">
        <v>7.9444447</v>
      </c>
      <c r="J438">
        <v>-0.16822429999999999</v>
      </c>
    </row>
    <row r="439" spans="1:10" x14ac:dyDescent="0.3">
      <c r="A439">
        <v>437</v>
      </c>
      <c r="B439">
        <v>7084</v>
      </c>
      <c r="C439" t="b">
        <v>1</v>
      </c>
      <c r="D439">
        <v>8060</v>
      </c>
      <c r="E439">
        <v>8111</v>
      </c>
      <c r="F439">
        <v>24.666665999999999</v>
      </c>
      <c r="G439">
        <v>-4.4000000000000004</v>
      </c>
      <c r="H439">
        <v>-5.6060604999999999</v>
      </c>
      <c r="I439">
        <v>6.6060600000000003</v>
      </c>
      <c r="J439">
        <v>-0.21710526999999999</v>
      </c>
    </row>
    <row r="440" spans="1:10" x14ac:dyDescent="0.3">
      <c r="A440">
        <v>438</v>
      </c>
      <c r="B440">
        <v>7100</v>
      </c>
      <c r="C440" t="b">
        <v>1</v>
      </c>
      <c r="D440">
        <v>8065</v>
      </c>
      <c r="E440">
        <v>8117</v>
      </c>
      <c r="F440">
        <v>25</v>
      </c>
      <c r="G440">
        <v>-5.2</v>
      </c>
      <c r="H440">
        <v>-4.8076924999999999</v>
      </c>
      <c r="I440">
        <v>5.8076924999999999</v>
      </c>
      <c r="J440">
        <v>-0.26262626</v>
      </c>
    </row>
    <row r="441" spans="1:10" x14ac:dyDescent="0.3">
      <c r="A441">
        <v>439</v>
      </c>
      <c r="B441">
        <v>7116</v>
      </c>
      <c r="C441" t="b">
        <v>1</v>
      </c>
      <c r="D441">
        <v>8060</v>
      </c>
      <c r="E441">
        <v>8123</v>
      </c>
      <c r="F441">
        <v>25</v>
      </c>
      <c r="G441">
        <v>-5.6</v>
      </c>
      <c r="H441">
        <v>-4.4642860000000004</v>
      </c>
      <c r="I441">
        <v>5.4642860000000004</v>
      </c>
      <c r="J441">
        <v>-0.28865977999999998</v>
      </c>
    </row>
    <row r="442" spans="1:10" x14ac:dyDescent="0.3">
      <c r="A442">
        <v>440</v>
      </c>
      <c r="B442">
        <v>7131</v>
      </c>
      <c r="C442" t="b">
        <v>1</v>
      </c>
      <c r="D442">
        <v>8065</v>
      </c>
      <c r="E442">
        <v>8123</v>
      </c>
      <c r="F442">
        <v>25</v>
      </c>
      <c r="G442">
        <v>-5.6</v>
      </c>
      <c r="H442">
        <v>-4.4642860000000004</v>
      </c>
      <c r="I442">
        <v>5.4642860000000004</v>
      </c>
      <c r="J442">
        <v>-0.28865977999999998</v>
      </c>
    </row>
    <row r="443" spans="1:10" x14ac:dyDescent="0.3">
      <c r="A443">
        <v>441</v>
      </c>
      <c r="B443">
        <v>7147</v>
      </c>
      <c r="C443" t="b">
        <v>1</v>
      </c>
      <c r="D443">
        <v>8060</v>
      </c>
      <c r="E443">
        <v>8123</v>
      </c>
      <c r="F443">
        <v>25</v>
      </c>
      <c r="G443">
        <v>-4.8</v>
      </c>
      <c r="H443">
        <v>-5.2083329999999997</v>
      </c>
      <c r="I443">
        <v>6.2083329999999997</v>
      </c>
      <c r="J443">
        <v>-0.23762377000000001</v>
      </c>
    </row>
    <row r="444" spans="1:10" x14ac:dyDescent="0.3">
      <c r="A444">
        <v>442</v>
      </c>
      <c r="B444">
        <v>7163</v>
      </c>
      <c r="C444" t="b">
        <v>1</v>
      </c>
      <c r="D444">
        <v>8065</v>
      </c>
      <c r="E444">
        <v>8123</v>
      </c>
      <c r="F444">
        <v>25.333334000000001</v>
      </c>
      <c r="G444">
        <v>-4</v>
      </c>
      <c r="H444">
        <v>-6.3333335000000002</v>
      </c>
      <c r="I444">
        <v>7.3333335000000002</v>
      </c>
      <c r="J444">
        <v>-0.1875</v>
      </c>
    </row>
    <row r="445" spans="1:10" x14ac:dyDescent="0.3">
      <c r="A445">
        <v>443</v>
      </c>
      <c r="B445">
        <v>7179</v>
      </c>
      <c r="C445" t="b">
        <v>1</v>
      </c>
      <c r="D445">
        <v>8065</v>
      </c>
      <c r="E445">
        <v>8117</v>
      </c>
      <c r="F445">
        <v>25.666665999999999</v>
      </c>
      <c r="G445">
        <v>-3.2</v>
      </c>
      <c r="H445">
        <v>-8.0208329999999997</v>
      </c>
      <c r="I445">
        <v>9.0208329999999997</v>
      </c>
      <c r="J445">
        <v>-0.14243323999999999</v>
      </c>
    </row>
    <row r="446" spans="1:10" x14ac:dyDescent="0.3">
      <c r="A446">
        <v>444</v>
      </c>
      <c r="B446">
        <v>7195</v>
      </c>
      <c r="C446" t="b">
        <v>1</v>
      </c>
      <c r="D446">
        <v>8071</v>
      </c>
      <c r="E446">
        <v>8123</v>
      </c>
      <c r="F446">
        <v>25.666665999999999</v>
      </c>
      <c r="G446">
        <v>-2.4</v>
      </c>
      <c r="H446">
        <v>-10.694444000000001</v>
      </c>
      <c r="I446">
        <v>11.694444000000001</v>
      </c>
      <c r="J446">
        <v>-0.103151865</v>
      </c>
    </row>
    <row r="447" spans="1:10" x14ac:dyDescent="0.3">
      <c r="A447">
        <v>445</v>
      </c>
      <c r="B447">
        <v>7211</v>
      </c>
      <c r="C447" t="b">
        <v>1</v>
      </c>
      <c r="D447">
        <v>8077</v>
      </c>
      <c r="E447">
        <v>8123</v>
      </c>
      <c r="F447">
        <v>25.266666000000001</v>
      </c>
      <c r="G447">
        <v>-1.6</v>
      </c>
      <c r="H447">
        <v>-15.791665999999999</v>
      </c>
      <c r="I447">
        <v>16.791665999999999</v>
      </c>
      <c r="J447">
        <v>-6.7605639999999995E-2</v>
      </c>
    </row>
    <row r="448" spans="1:10" x14ac:dyDescent="0.3">
      <c r="A448">
        <v>446</v>
      </c>
      <c r="B448">
        <v>7227</v>
      </c>
      <c r="C448" t="b">
        <v>1</v>
      </c>
      <c r="D448">
        <v>8060</v>
      </c>
      <c r="E448">
        <v>8105</v>
      </c>
      <c r="F448">
        <v>24.866667</v>
      </c>
      <c r="G448">
        <v>-0.8</v>
      </c>
      <c r="H448">
        <v>-31.083334000000001</v>
      </c>
      <c r="I448">
        <v>32.083331999999999</v>
      </c>
      <c r="J448">
        <v>-3.3240996000000002E-2</v>
      </c>
    </row>
    <row r="449" spans="1:10" x14ac:dyDescent="0.3">
      <c r="A449">
        <v>447</v>
      </c>
      <c r="B449">
        <v>7243</v>
      </c>
      <c r="C449" t="b">
        <v>1</v>
      </c>
      <c r="D449">
        <v>8065</v>
      </c>
      <c r="E449">
        <v>8105</v>
      </c>
      <c r="F449">
        <v>24.466667000000001</v>
      </c>
      <c r="G449">
        <v>0</v>
      </c>
      <c r="H449" t="s">
        <v>19</v>
      </c>
      <c r="I449" t="e">
        <f>-inf</f>
        <v>#NAME?</v>
      </c>
      <c r="J449">
        <v>0</v>
      </c>
    </row>
    <row r="450" spans="1:10" x14ac:dyDescent="0.3">
      <c r="A450">
        <v>448</v>
      </c>
      <c r="B450">
        <v>7259</v>
      </c>
      <c r="C450" t="b">
        <v>1</v>
      </c>
      <c r="D450">
        <v>8060</v>
      </c>
      <c r="E450">
        <v>8117</v>
      </c>
      <c r="F450">
        <v>24.066668</v>
      </c>
      <c r="G450">
        <v>0.8</v>
      </c>
      <c r="H450">
        <v>30.083334000000001</v>
      </c>
      <c r="I450">
        <v>-29.083335999999999</v>
      </c>
      <c r="J450">
        <v>3.2171579999999998E-2</v>
      </c>
    </row>
    <row r="451" spans="1:10" x14ac:dyDescent="0.3">
      <c r="A451">
        <v>449</v>
      </c>
      <c r="B451">
        <v>7274</v>
      </c>
      <c r="C451" t="b">
        <v>1</v>
      </c>
      <c r="D451">
        <v>8065</v>
      </c>
      <c r="E451">
        <v>8111</v>
      </c>
      <c r="F451">
        <v>23.666665999999999</v>
      </c>
      <c r="G451">
        <v>1.2</v>
      </c>
      <c r="H451">
        <v>19.722221000000001</v>
      </c>
      <c r="I451">
        <v>-18.72222</v>
      </c>
      <c r="J451">
        <v>4.8257372999999999E-2</v>
      </c>
    </row>
    <row r="452" spans="1:10" x14ac:dyDescent="0.3">
      <c r="A452">
        <v>450</v>
      </c>
      <c r="B452">
        <v>7290</v>
      </c>
      <c r="C452" t="b">
        <v>1</v>
      </c>
      <c r="D452">
        <v>8054</v>
      </c>
      <c r="E452">
        <v>8111</v>
      </c>
      <c r="F452">
        <v>23.333334000000001</v>
      </c>
      <c r="G452">
        <v>1.6</v>
      </c>
      <c r="H452">
        <v>14.583334000000001</v>
      </c>
      <c r="I452">
        <v>-13.583333</v>
      </c>
      <c r="J452">
        <v>6.4171119999999998E-2</v>
      </c>
    </row>
    <row r="453" spans="1:10" x14ac:dyDescent="0.3">
      <c r="A453">
        <v>451</v>
      </c>
      <c r="B453">
        <v>7306</v>
      </c>
      <c r="C453" t="b">
        <v>1</v>
      </c>
      <c r="D453">
        <v>8054</v>
      </c>
      <c r="E453">
        <v>8105</v>
      </c>
      <c r="F453">
        <v>23</v>
      </c>
      <c r="G453">
        <v>2</v>
      </c>
      <c r="H453">
        <v>11.5</v>
      </c>
      <c r="I453">
        <v>-10.5</v>
      </c>
      <c r="J453">
        <v>0.08</v>
      </c>
    </row>
    <row r="454" spans="1:10" x14ac:dyDescent="0.3">
      <c r="A454">
        <v>452</v>
      </c>
      <c r="B454">
        <v>7322</v>
      </c>
      <c r="C454" t="b">
        <v>1</v>
      </c>
      <c r="D454">
        <v>8060</v>
      </c>
      <c r="E454">
        <v>8111</v>
      </c>
      <c r="F454">
        <v>23</v>
      </c>
      <c r="G454">
        <v>2</v>
      </c>
      <c r="H454">
        <v>11.5</v>
      </c>
      <c r="I454">
        <v>-10.5</v>
      </c>
      <c r="J454">
        <v>0.08</v>
      </c>
    </row>
    <row r="455" spans="1:10" x14ac:dyDescent="0.3">
      <c r="A455">
        <v>453</v>
      </c>
      <c r="B455">
        <v>7338</v>
      </c>
      <c r="C455" t="b">
        <v>1</v>
      </c>
      <c r="D455">
        <v>8065</v>
      </c>
      <c r="E455">
        <v>8105</v>
      </c>
      <c r="F455">
        <v>22.666665999999999</v>
      </c>
      <c r="G455">
        <v>2</v>
      </c>
      <c r="H455">
        <v>11.333333</v>
      </c>
      <c r="I455">
        <v>-10.333333</v>
      </c>
      <c r="J455">
        <v>8.1081084999999997E-2</v>
      </c>
    </row>
    <row r="456" spans="1:10" x14ac:dyDescent="0.3">
      <c r="A456">
        <v>454</v>
      </c>
      <c r="B456">
        <v>7354</v>
      </c>
      <c r="C456" t="b">
        <v>1</v>
      </c>
      <c r="D456">
        <v>8054</v>
      </c>
      <c r="E456">
        <v>8099</v>
      </c>
      <c r="F456">
        <v>22.266666000000001</v>
      </c>
      <c r="G456">
        <v>1.6</v>
      </c>
      <c r="H456">
        <v>13.916665999999999</v>
      </c>
      <c r="I456">
        <v>-12.916665999999999</v>
      </c>
      <c r="J456">
        <v>6.7039109999999999E-2</v>
      </c>
    </row>
    <row r="457" spans="1:10" x14ac:dyDescent="0.3">
      <c r="A457">
        <v>455</v>
      </c>
      <c r="B457">
        <v>7370</v>
      </c>
      <c r="C457" t="b">
        <v>1</v>
      </c>
      <c r="D457">
        <v>8054</v>
      </c>
      <c r="E457">
        <v>8117</v>
      </c>
      <c r="F457">
        <v>21.866667</v>
      </c>
      <c r="G457">
        <v>0.8</v>
      </c>
      <c r="H457">
        <v>27.333334000000001</v>
      </c>
      <c r="I457">
        <v>-26.333334000000001</v>
      </c>
      <c r="J457">
        <v>3.5294119999999998E-2</v>
      </c>
    </row>
    <row r="458" spans="1:10" x14ac:dyDescent="0.3">
      <c r="A458">
        <v>456</v>
      </c>
      <c r="B458">
        <v>7385</v>
      </c>
      <c r="C458" t="b">
        <v>1</v>
      </c>
      <c r="D458">
        <v>8048</v>
      </c>
      <c r="E458">
        <v>8111</v>
      </c>
      <c r="F458">
        <v>21.466667000000001</v>
      </c>
      <c r="G458">
        <v>0</v>
      </c>
      <c r="H458" t="s">
        <v>19</v>
      </c>
      <c r="I458" t="e">
        <f>-inf</f>
        <v>#NAME?</v>
      </c>
      <c r="J458">
        <v>0</v>
      </c>
    </row>
    <row r="459" spans="1:10" x14ac:dyDescent="0.3">
      <c r="A459">
        <v>457</v>
      </c>
      <c r="B459">
        <v>7401</v>
      </c>
      <c r="C459" t="b">
        <v>1</v>
      </c>
      <c r="D459">
        <v>8060</v>
      </c>
      <c r="E459">
        <v>8105</v>
      </c>
      <c r="F459">
        <v>20.733333999999999</v>
      </c>
      <c r="G459">
        <v>-1.2</v>
      </c>
      <c r="H459">
        <v>-17.277777</v>
      </c>
      <c r="I459">
        <v>18.277778999999999</v>
      </c>
      <c r="J459">
        <v>-6.1433450000000001E-2</v>
      </c>
    </row>
    <row r="460" spans="1:10" x14ac:dyDescent="0.3">
      <c r="A460">
        <v>458</v>
      </c>
      <c r="B460">
        <v>7417</v>
      </c>
      <c r="C460" t="b">
        <v>1</v>
      </c>
      <c r="D460">
        <v>8060</v>
      </c>
      <c r="E460">
        <v>8111</v>
      </c>
      <c r="F460">
        <v>20</v>
      </c>
      <c r="G460">
        <v>-2</v>
      </c>
      <c r="H460">
        <v>-10</v>
      </c>
      <c r="I460">
        <v>11</v>
      </c>
      <c r="J460">
        <v>-0.11111111</v>
      </c>
    </row>
    <row r="461" spans="1:10" x14ac:dyDescent="0.3">
      <c r="A461">
        <v>459</v>
      </c>
      <c r="B461">
        <v>7433</v>
      </c>
      <c r="C461" t="b">
        <v>1</v>
      </c>
      <c r="D461">
        <v>8071</v>
      </c>
      <c r="E461">
        <v>8117</v>
      </c>
      <c r="F461">
        <v>19.666665999999999</v>
      </c>
      <c r="G461">
        <v>-2.8</v>
      </c>
      <c r="H461">
        <v>-7.0238094000000002</v>
      </c>
      <c r="I461">
        <v>8.023809</v>
      </c>
      <c r="J461">
        <v>-0.16600790000000001</v>
      </c>
    </row>
    <row r="462" spans="1:10" x14ac:dyDescent="0.3">
      <c r="A462">
        <v>460</v>
      </c>
      <c r="B462">
        <v>7449</v>
      </c>
      <c r="C462" t="b">
        <v>1</v>
      </c>
      <c r="D462">
        <v>8071</v>
      </c>
      <c r="E462">
        <v>8123</v>
      </c>
      <c r="F462">
        <v>19.333334000000001</v>
      </c>
      <c r="G462">
        <v>-3.6</v>
      </c>
      <c r="H462">
        <v>-5.3703709999999996</v>
      </c>
      <c r="I462">
        <v>6.3703709999999996</v>
      </c>
      <c r="J462">
        <v>-0.22881354000000001</v>
      </c>
    </row>
    <row r="463" spans="1:10" x14ac:dyDescent="0.3">
      <c r="A463">
        <v>461</v>
      </c>
      <c r="B463">
        <v>7465</v>
      </c>
      <c r="C463" t="b">
        <v>1</v>
      </c>
      <c r="D463">
        <v>8071</v>
      </c>
      <c r="E463">
        <v>8123</v>
      </c>
      <c r="F463">
        <v>19.733333999999999</v>
      </c>
      <c r="G463">
        <v>-4</v>
      </c>
      <c r="H463">
        <v>-4.9333334000000004</v>
      </c>
      <c r="I463">
        <v>5.9333334000000004</v>
      </c>
      <c r="J463">
        <v>-0.2542373</v>
      </c>
    </row>
    <row r="464" spans="1:10" x14ac:dyDescent="0.3">
      <c r="A464">
        <v>462</v>
      </c>
      <c r="B464">
        <v>7481</v>
      </c>
      <c r="C464" t="b">
        <v>1</v>
      </c>
      <c r="D464">
        <v>8077</v>
      </c>
      <c r="E464">
        <v>8123</v>
      </c>
      <c r="F464">
        <v>20.133333</v>
      </c>
      <c r="G464">
        <v>-3.6</v>
      </c>
      <c r="H464">
        <v>-5.5925927</v>
      </c>
      <c r="I464">
        <v>6.5925927</v>
      </c>
      <c r="J464">
        <v>-0.21774193999999999</v>
      </c>
    </row>
    <row r="465" spans="1:10" x14ac:dyDescent="0.3">
      <c r="A465">
        <v>463</v>
      </c>
      <c r="B465">
        <v>7497</v>
      </c>
      <c r="C465" t="b">
        <v>1</v>
      </c>
      <c r="D465">
        <v>8065</v>
      </c>
      <c r="E465">
        <v>8117</v>
      </c>
      <c r="F465">
        <v>20.533332999999999</v>
      </c>
      <c r="G465">
        <v>-3.2</v>
      </c>
      <c r="H465">
        <v>-6.4166664999999998</v>
      </c>
      <c r="I465">
        <v>7.4166664999999998</v>
      </c>
      <c r="J465">
        <v>-0.18461540000000001</v>
      </c>
    </row>
    <row r="466" spans="1:10" x14ac:dyDescent="0.3">
      <c r="A466">
        <v>464</v>
      </c>
      <c r="B466">
        <v>7513</v>
      </c>
      <c r="C466" t="b">
        <v>1</v>
      </c>
      <c r="D466">
        <v>8065</v>
      </c>
      <c r="E466">
        <v>8117</v>
      </c>
      <c r="F466">
        <v>20.933332</v>
      </c>
      <c r="G466">
        <v>-2.4</v>
      </c>
      <c r="H466">
        <v>-8.7222209999999993</v>
      </c>
      <c r="I466">
        <v>9.7222209999999993</v>
      </c>
      <c r="J466">
        <v>-0.12949641000000001</v>
      </c>
    </row>
    <row r="467" spans="1:10" x14ac:dyDescent="0.3">
      <c r="A467">
        <v>465</v>
      </c>
      <c r="B467">
        <v>7529</v>
      </c>
      <c r="C467" t="b">
        <v>1</v>
      </c>
      <c r="D467">
        <v>8065</v>
      </c>
      <c r="E467">
        <v>8099</v>
      </c>
      <c r="F467">
        <v>21.266666000000001</v>
      </c>
      <c r="G467">
        <v>-2</v>
      </c>
      <c r="H467">
        <v>-10.633333</v>
      </c>
      <c r="I467">
        <v>11.633333</v>
      </c>
      <c r="J467">
        <v>-0.10380623</v>
      </c>
    </row>
    <row r="468" spans="1:10" x14ac:dyDescent="0.3">
      <c r="A468">
        <v>466</v>
      </c>
      <c r="B468">
        <v>7545</v>
      </c>
      <c r="C468" t="b">
        <v>1</v>
      </c>
      <c r="D468">
        <v>8071</v>
      </c>
      <c r="E468">
        <v>8111</v>
      </c>
      <c r="F468">
        <v>21.6</v>
      </c>
      <c r="G468">
        <v>-1.6</v>
      </c>
      <c r="H468">
        <v>-13.5</v>
      </c>
      <c r="I468">
        <v>14.5</v>
      </c>
      <c r="J468">
        <v>-0.08</v>
      </c>
    </row>
    <row r="469" spans="1:10" x14ac:dyDescent="0.3">
      <c r="A469">
        <v>467</v>
      </c>
      <c r="B469">
        <v>7560</v>
      </c>
      <c r="C469" t="b">
        <v>1</v>
      </c>
      <c r="D469">
        <v>8077</v>
      </c>
      <c r="E469">
        <v>8111</v>
      </c>
      <c r="F469">
        <v>21.933332</v>
      </c>
      <c r="G469">
        <v>-1.6</v>
      </c>
      <c r="H469">
        <v>-13.708333</v>
      </c>
      <c r="I469">
        <v>14.708333</v>
      </c>
      <c r="J469">
        <v>-7.8688530000000007E-2</v>
      </c>
    </row>
    <row r="470" spans="1:10" x14ac:dyDescent="0.3">
      <c r="A470">
        <v>468</v>
      </c>
      <c r="B470">
        <v>7576</v>
      </c>
      <c r="C470" t="b">
        <v>1</v>
      </c>
      <c r="D470">
        <v>8077</v>
      </c>
      <c r="E470">
        <v>8099</v>
      </c>
      <c r="F470">
        <v>22.666665999999999</v>
      </c>
      <c r="G470">
        <v>-1.6</v>
      </c>
      <c r="H470">
        <v>-14.166665999999999</v>
      </c>
      <c r="I470">
        <v>15.166665999999999</v>
      </c>
      <c r="J470">
        <v>-7.5949370000000002E-2</v>
      </c>
    </row>
    <row r="471" spans="1:10" x14ac:dyDescent="0.3">
      <c r="A471">
        <v>469</v>
      </c>
      <c r="B471">
        <v>7592</v>
      </c>
      <c r="C471" t="b">
        <v>1</v>
      </c>
      <c r="D471">
        <v>8065</v>
      </c>
      <c r="E471">
        <v>8105</v>
      </c>
      <c r="F471">
        <v>23.8</v>
      </c>
      <c r="G471">
        <v>-1.6</v>
      </c>
      <c r="H471">
        <v>-14.874999000000001</v>
      </c>
      <c r="I471">
        <v>15.875</v>
      </c>
      <c r="J471">
        <v>-7.2072074E-2</v>
      </c>
    </row>
    <row r="472" spans="1:10" x14ac:dyDescent="0.3">
      <c r="A472">
        <v>470</v>
      </c>
      <c r="B472">
        <v>7607</v>
      </c>
      <c r="C472" t="b">
        <v>1</v>
      </c>
      <c r="D472">
        <v>8071</v>
      </c>
      <c r="E472">
        <v>8111</v>
      </c>
      <c r="F472">
        <v>24.933332</v>
      </c>
      <c r="G472">
        <v>-1.2</v>
      </c>
      <c r="H472">
        <v>-20.777777</v>
      </c>
      <c r="I472">
        <v>21.777777</v>
      </c>
      <c r="J472">
        <v>-5.0561804000000002E-2</v>
      </c>
    </row>
    <row r="473" spans="1:10" x14ac:dyDescent="0.3">
      <c r="A473">
        <v>471</v>
      </c>
      <c r="B473">
        <v>7623</v>
      </c>
      <c r="C473" t="b">
        <v>1</v>
      </c>
      <c r="D473">
        <v>8065</v>
      </c>
      <c r="E473">
        <v>8123</v>
      </c>
      <c r="F473">
        <v>26.066668</v>
      </c>
      <c r="G473">
        <v>-1.2</v>
      </c>
      <c r="H473">
        <v>-21.722221000000001</v>
      </c>
      <c r="I473">
        <v>22.722223</v>
      </c>
      <c r="J473">
        <v>-4.8257372999999999E-2</v>
      </c>
    </row>
    <row r="474" spans="1:10" x14ac:dyDescent="0.3">
      <c r="A474">
        <v>472</v>
      </c>
      <c r="B474">
        <v>7639</v>
      </c>
      <c r="C474" t="b">
        <v>1</v>
      </c>
      <c r="D474">
        <v>8060</v>
      </c>
      <c r="E474">
        <v>8123</v>
      </c>
      <c r="F474">
        <v>26.8</v>
      </c>
      <c r="G474">
        <v>-0.8</v>
      </c>
      <c r="H474">
        <v>-33.5</v>
      </c>
      <c r="I474">
        <v>34.499996000000003</v>
      </c>
      <c r="J474">
        <v>-3.0769230000000002E-2</v>
      </c>
    </row>
    <row r="475" spans="1:10" x14ac:dyDescent="0.3">
      <c r="A475">
        <v>473</v>
      </c>
      <c r="B475">
        <v>7655</v>
      </c>
      <c r="C475" t="b">
        <v>1</v>
      </c>
      <c r="D475">
        <v>8077</v>
      </c>
      <c r="E475">
        <v>8129</v>
      </c>
      <c r="F475">
        <v>27.533332999999999</v>
      </c>
      <c r="G475">
        <v>0</v>
      </c>
      <c r="H475" t="s">
        <v>19</v>
      </c>
      <c r="I475" t="e">
        <f>-inf</f>
        <v>#NAME?</v>
      </c>
      <c r="J475">
        <v>0</v>
      </c>
    </row>
    <row r="476" spans="1:10" x14ac:dyDescent="0.3">
      <c r="A476">
        <v>474</v>
      </c>
      <c r="B476">
        <v>7671</v>
      </c>
      <c r="C476" t="b">
        <v>1</v>
      </c>
      <c r="D476">
        <v>8071</v>
      </c>
      <c r="E476">
        <v>8123</v>
      </c>
      <c r="F476">
        <v>28.266666000000001</v>
      </c>
      <c r="G476">
        <v>0.8</v>
      </c>
      <c r="H476">
        <v>35.333331999999999</v>
      </c>
      <c r="I476">
        <v>-34.333331999999999</v>
      </c>
      <c r="J476">
        <v>2.7522936000000001E-2</v>
      </c>
    </row>
    <row r="477" spans="1:10" x14ac:dyDescent="0.3">
      <c r="A477">
        <v>475</v>
      </c>
      <c r="B477">
        <v>7687</v>
      </c>
      <c r="C477" t="b">
        <v>1</v>
      </c>
      <c r="D477">
        <v>8065</v>
      </c>
      <c r="E477">
        <v>8129</v>
      </c>
      <c r="F477">
        <v>28.6</v>
      </c>
      <c r="G477">
        <v>1.6</v>
      </c>
      <c r="H477">
        <v>17.875</v>
      </c>
      <c r="I477">
        <v>-16.875</v>
      </c>
      <c r="J477">
        <v>5.2980131999999999E-2</v>
      </c>
    </row>
    <row r="478" spans="1:10" x14ac:dyDescent="0.3">
      <c r="A478">
        <v>476</v>
      </c>
      <c r="B478">
        <v>7703</v>
      </c>
      <c r="C478" t="b">
        <v>1</v>
      </c>
      <c r="D478">
        <v>8054</v>
      </c>
      <c r="E478">
        <v>8129</v>
      </c>
      <c r="F478">
        <v>28.2</v>
      </c>
      <c r="G478">
        <v>2.4</v>
      </c>
      <c r="H478">
        <v>11.75</v>
      </c>
      <c r="I478">
        <v>-10.75</v>
      </c>
      <c r="J478">
        <v>7.8431374999999998E-2</v>
      </c>
    </row>
    <row r="479" spans="1:10" x14ac:dyDescent="0.3">
      <c r="A479">
        <v>477</v>
      </c>
      <c r="B479">
        <v>7719</v>
      </c>
      <c r="C479" t="b">
        <v>1</v>
      </c>
      <c r="D479">
        <v>8060</v>
      </c>
      <c r="E479">
        <v>8105</v>
      </c>
      <c r="F479">
        <v>27.8</v>
      </c>
      <c r="G479">
        <v>2.8</v>
      </c>
      <c r="H479">
        <v>9.9285720000000008</v>
      </c>
      <c r="I479">
        <v>-8.9285720000000008</v>
      </c>
      <c r="J479">
        <v>9.1503269999999998E-2</v>
      </c>
    </row>
    <row r="480" spans="1:10" x14ac:dyDescent="0.3">
      <c r="A480">
        <v>478</v>
      </c>
      <c r="B480">
        <v>7735</v>
      </c>
      <c r="C480" t="b">
        <v>1</v>
      </c>
      <c r="D480">
        <v>8060</v>
      </c>
      <c r="E480">
        <v>8105</v>
      </c>
      <c r="F480">
        <v>27.066668</v>
      </c>
      <c r="G480">
        <v>2.8</v>
      </c>
      <c r="H480">
        <v>9.6666670000000003</v>
      </c>
      <c r="I480">
        <v>-8.6666670000000003</v>
      </c>
      <c r="J480">
        <v>9.375E-2</v>
      </c>
    </row>
    <row r="481" spans="1:10" x14ac:dyDescent="0.3">
      <c r="A481">
        <v>479</v>
      </c>
      <c r="B481">
        <v>7751</v>
      </c>
      <c r="C481" t="b">
        <v>1</v>
      </c>
      <c r="D481">
        <v>8071</v>
      </c>
      <c r="E481">
        <v>8117</v>
      </c>
      <c r="F481">
        <v>26.333334000000001</v>
      </c>
      <c r="G481">
        <v>2.4</v>
      </c>
      <c r="H481">
        <v>10.972222</v>
      </c>
      <c r="I481">
        <v>-9.9722220000000004</v>
      </c>
      <c r="J481">
        <v>8.3526686000000003E-2</v>
      </c>
    </row>
    <row r="482" spans="1:10" x14ac:dyDescent="0.3">
      <c r="A482">
        <v>480</v>
      </c>
      <c r="B482">
        <v>7766</v>
      </c>
      <c r="C482" t="b">
        <v>1</v>
      </c>
      <c r="D482">
        <v>8065</v>
      </c>
      <c r="E482">
        <v>8105</v>
      </c>
      <c r="F482">
        <v>26</v>
      </c>
      <c r="G482">
        <v>1.6</v>
      </c>
      <c r="H482">
        <v>16.25</v>
      </c>
      <c r="I482">
        <v>-15.25</v>
      </c>
      <c r="J482">
        <v>5.7971016E-2</v>
      </c>
    </row>
    <row r="483" spans="1:10" x14ac:dyDescent="0.3">
      <c r="A483">
        <v>481</v>
      </c>
      <c r="B483">
        <v>7782</v>
      </c>
      <c r="C483" t="b">
        <v>1</v>
      </c>
      <c r="D483">
        <v>8071</v>
      </c>
      <c r="E483">
        <v>8105</v>
      </c>
      <c r="F483">
        <v>26</v>
      </c>
      <c r="G483">
        <v>0.8</v>
      </c>
      <c r="H483">
        <v>32.5</v>
      </c>
      <c r="I483">
        <v>-31.5</v>
      </c>
      <c r="J483">
        <v>2.9850747E-2</v>
      </c>
    </row>
    <row r="484" spans="1:10" x14ac:dyDescent="0.3">
      <c r="A484">
        <v>482</v>
      </c>
      <c r="B484">
        <v>7798</v>
      </c>
      <c r="C484" t="b">
        <v>1</v>
      </c>
      <c r="D484">
        <v>8065</v>
      </c>
      <c r="E484">
        <v>8105</v>
      </c>
      <c r="F484">
        <v>26</v>
      </c>
      <c r="G484">
        <v>0.4</v>
      </c>
      <c r="H484">
        <v>65</v>
      </c>
      <c r="I484">
        <v>-64</v>
      </c>
      <c r="J484">
        <v>1.5151516E-2</v>
      </c>
    </row>
    <row r="485" spans="1:10" x14ac:dyDescent="0.3">
      <c r="A485">
        <v>483</v>
      </c>
      <c r="B485">
        <v>7814</v>
      </c>
      <c r="C485" t="b">
        <v>1</v>
      </c>
      <c r="D485">
        <v>8065</v>
      </c>
      <c r="E485">
        <v>8111</v>
      </c>
      <c r="F485">
        <v>25.6</v>
      </c>
      <c r="G485">
        <v>0</v>
      </c>
      <c r="H485" t="s">
        <v>19</v>
      </c>
      <c r="I485" t="e">
        <f>-inf</f>
        <v>#NAME?</v>
      </c>
      <c r="J485">
        <v>0</v>
      </c>
    </row>
    <row r="486" spans="1:10" x14ac:dyDescent="0.3">
      <c r="A486">
        <v>484</v>
      </c>
      <c r="B486">
        <v>7830</v>
      </c>
      <c r="C486" t="b">
        <v>1</v>
      </c>
      <c r="D486">
        <v>8065</v>
      </c>
      <c r="E486">
        <v>8123</v>
      </c>
      <c r="F486">
        <v>25.2</v>
      </c>
      <c r="G486">
        <v>0</v>
      </c>
      <c r="H486" t="s">
        <v>19</v>
      </c>
      <c r="I486" t="e">
        <f>-inf</f>
        <v>#NAME?</v>
      </c>
      <c r="J486">
        <v>0</v>
      </c>
    </row>
    <row r="487" spans="1:10" x14ac:dyDescent="0.3">
      <c r="A487">
        <v>485</v>
      </c>
      <c r="B487">
        <v>7846</v>
      </c>
      <c r="C487" t="b">
        <v>1</v>
      </c>
      <c r="D487">
        <v>8065</v>
      </c>
      <c r="E487">
        <v>8123</v>
      </c>
      <c r="F487">
        <v>24.8</v>
      </c>
      <c r="G487">
        <v>0</v>
      </c>
      <c r="H487" t="s">
        <v>19</v>
      </c>
      <c r="I487" t="e">
        <f>-inf</f>
        <v>#NAME?</v>
      </c>
      <c r="J487">
        <v>0</v>
      </c>
    </row>
    <row r="488" spans="1:10" x14ac:dyDescent="0.3">
      <c r="A488">
        <v>486</v>
      </c>
      <c r="B488">
        <v>7862</v>
      </c>
      <c r="C488" t="b">
        <v>1</v>
      </c>
      <c r="D488">
        <v>8065</v>
      </c>
      <c r="E488">
        <v>8123</v>
      </c>
      <c r="F488">
        <v>24.4</v>
      </c>
      <c r="G488">
        <v>0.8</v>
      </c>
      <c r="H488">
        <v>30.5</v>
      </c>
      <c r="I488">
        <v>-29.5</v>
      </c>
      <c r="J488">
        <v>3.1746033999999999E-2</v>
      </c>
    </row>
    <row r="489" spans="1:10" x14ac:dyDescent="0.3">
      <c r="A489">
        <v>487</v>
      </c>
      <c r="B489">
        <v>7893</v>
      </c>
      <c r="C489" t="b">
        <v>1</v>
      </c>
      <c r="D489">
        <v>8071</v>
      </c>
      <c r="E489">
        <v>8111</v>
      </c>
      <c r="F489">
        <v>24.4</v>
      </c>
      <c r="G489">
        <v>1.6</v>
      </c>
      <c r="H489">
        <v>15.25</v>
      </c>
      <c r="I489">
        <v>-14.249999000000001</v>
      </c>
      <c r="J489">
        <v>6.1538460000000003E-2</v>
      </c>
    </row>
    <row r="490" spans="1:10" x14ac:dyDescent="0.3">
      <c r="A490">
        <v>488</v>
      </c>
      <c r="B490">
        <v>7909</v>
      </c>
      <c r="C490" t="b">
        <v>1</v>
      </c>
      <c r="D490">
        <v>8065</v>
      </c>
      <c r="E490">
        <v>8117</v>
      </c>
      <c r="F490">
        <v>24.4</v>
      </c>
      <c r="G490">
        <v>1.6</v>
      </c>
      <c r="H490">
        <v>15.25</v>
      </c>
      <c r="I490">
        <v>-14.249999000000001</v>
      </c>
      <c r="J490">
        <v>6.1538460000000003E-2</v>
      </c>
    </row>
    <row r="491" spans="1:10" x14ac:dyDescent="0.3">
      <c r="A491">
        <v>489</v>
      </c>
      <c r="B491">
        <v>7925</v>
      </c>
      <c r="C491" t="b">
        <v>1</v>
      </c>
      <c r="D491">
        <v>8065</v>
      </c>
      <c r="E491">
        <v>8111</v>
      </c>
      <c r="F491">
        <v>24</v>
      </c>
      <c r="G491">
        <v>1.2</v>
      </c>
      <c r="H491">
        <v>20</v>
      </c>
      <c r="I491">
        <v>-18.999998000000001</v>
      </c>
      <c r="J491">
        <v>4.7619050000000003E-2</v>
      </c>
    </row>
    <row r="492" spans="1:10" x14ac:dyDescent="0.3">
      <c r="A492">
        <v>490</v>
      </c>
      <c r="B492">
        <v>7940</v>
      </c>
      <c r="C492" t="b">
        <v>1</v>
      </c>
      <c r="D492">
        <v>8060</v>
      </c>
      <c r="E492">
        <v>8111</v>
      </c>
      <c r="F492">
        <v>24</v>
      </c>
      <c r="G492">
        <v>0.4</v>
      </c>
      <c r="H492">
        <v>60</v>
      </c>
      <c r="I492">
        <v>-59</v>
      </c>
      <c r="J492">
        <v>1.6393444E-2</v>
      </c>
    </row>
    <row r="493" spans="1:10" x14ac:dyDescent="0.3">
      <c r="A493">
        <v>491</v>
      </c>
      <c r="B493">
        <v>7956</v>
      </c>
      <c r="C493" t="b">
        <v>1</v>
      </c>
      <c r="D493">
        <v>8060</v>
      </c>
      <c r="E493">
        <v>8111</v>
      </c>
      <c r="F493">
        <v>24</v>
      </c>
      <c r="G493">
        <v>-0.8</v>
      </c>
      <c r="H493">
        <v>-30</v>
      </c>
      <c r="I493">
        <v>30.999998000000001</v>
      </c>
      <c r="J493">
        <v>-3.4482760000000001E-2</v>
      </c>
    </row>
    <row r="494" spans="1:10" x14ac:dyDescent="0.3">
      <c r="A494">
        <v>492</v>
      </c>
      <c r="B494">
        <v>7972</v>
      </c>
      <c r="C494" t="b">
        <v>1</v>
      </c>
      <c r="D494">
        <v>8054</v>
      </c>
      <c r="E494">
        <v>8105</v>
      </c>
      <c r="F494">
        <v>23.666665999999999</v>
      </c>
      <c r="G494">
        <v>-2</v>
      </c>
      <c r="H494">
        <v>-11.833333</v>
      </c>
      <c r="I494">
        <v>12.833333</v>
      </c>
      <c r="J494">
        <v>-9.2307693999999996E-2</v>
      </c>
    </row>
    <row r="495" spans="1:10" x14ac:dyDescent="0.3">
      <c r="A495">
        <v>493</v>
      </c>
      <c r="B495">
        <v>7988</v>
      </c>
      <c r="C495" t="b">
        <v>1</v>
      </c>
      <c r="D495">
        <v>8048</v>
      </c>
      <c r="E495">
        <v>8117</v>
      </c>
      <c r="F495">
        <v>23.666665999999999</v>
      </c>
      <c r="G495">
        <v>-2.8</v>
      </c>
      <c r="H495">
        <v>-8.4523810000000008</v>
      </c>
      <c r="I495">
        <v>9.4523799999999998</v>
      </c>
      <c r="J495">
        <v>-0.13418530000000001</v>
      </c>
    </row>
    <row r="496" spans="1:10" x14ac:dyDescent="0.3">
      <c r="A496">
        <v>494</v>
      </c>
      <c r="B496">
        <v>8004</v>
      </c>
      <c r="C496" t="b">
        <v>1</v>
      </c>
      <c r="D496">
        <v>8054</v>
      </c>
      <c r="E496">
        <v>8105</v>
      </c>
      <c r="F496">
        <v>23.266666000000001</v>
      </c>
      <c r="G496">
        <v>-3.2</v>
      </c>
      <c r="H496">
        <v>-7.2708329999999997</v>
      </c>
      <c r="I496">
        <v>8.2708329999999997</v>
      </c>
      <c r="J496">
        <v>-0.15946843999999999</v>
      </c>
    </row>
    <row r="497" spans="1:10" x14ac:dyDescent="0.3">
      <c r="A497">
        <v>495</v>
      </c>
      <c r="B497">
        <v>8020</v>
      </c>
      <c r="C497" t="b">
        <v>1</v>
      </c>
      <c r="D497">
        <v>8065</v>
      </c>
      <c r="E497">
        <v>8129</v>
      </c>
      <c r="F497">
        <v>22.866667</v>
      </c>
      <c r="G497">
        <v>-2.8</v>
      </c>
      <c r="H497">
        <v>-8.1666670000000003</v>
      </c>
      <c r="I497">
        <v>9.1666670000000003</v>
      </c>
      <c r="J497">
        <v>-0.13953488</v>
      </c>
    </row>
    <row r="498" spans="1:10" x14ac:dyDescent="0.3">
      <c r="A498">
        <v>496</v>
      </c>
      <c r="B498">
        <v>8036</v>
      </c>
      <c r="C498" t="b">
        <v>1</v>
      </c>
      <c r="D498">
        <v>8077</v>
      </c>
      <c r="E498">
        <v>8123</v>
      </c>
      <c r="F498">
        <v>22.133333</v>
      </c>
      <c r="G498">
        <v>-2</v>
      </c>
      <c r="H498">
        <v>-11.066667000000001</v>
      </c>
      <c r="I498">
        <v>12.066667000000001</v>
      </c>
      <c r="J498">
        <v>-9.9337750000000002E-2</v>
      </c>
    </row>
    <row r="499" spans="1:10" x14ac:dyDescent="0.3">
      <c r="A499">
        <v>497</v>
      </c>
      <c r="B499">
        <v>8052</v>
      </c>
      <c r="C499" t="b">
        <v>1</v>
      </c>
      <c r="D499">
        <v>8077</v>
      </c>
      <c r="E499">
        <v>8111</v>
      </c>
      <c r="F499">
        <v>22.133333</v>
      </c>
      <c r="G499">
        <v>-1.2</v>
      </c>
      <c r="H499">
        <v>-18.444443</v>
      </c>
      <c r="I499">
        <v>19.444445000000002</v>
      </c>
      <c r="J499">
        <v>-5.7324844999999999E-2</v>
      </c>
    </row>
    <row r="500" spans="1:10" x14ac:dyDescent="0.3">
      <c r="A500">
        <v>498</v>
      </c>
      <c r="B500">
        <v>8068</v>
      </c>
      <c r="C500" t="b">
        <v>1</v>
      </c>
      <c r="D500">
        <v>8071</v>
      </c>
      <c r="E500">
        <v>8111</v>
      </c>
      <c r="F500">
        <v>22.533332999999999</v>
      </c>
      <c r="G500">
        <v>-0.8</v>
      </c>
      <c r="H500">
        <v>-28.166665999999999</v>
      </c>
      <c r="I500">
        <v>29.166664000000001</v>
      </c>
      <c r="J500">
        <v>-3.6809817000000002E-2</v>
      </c>
    </row>
    <row r="501" spans="1:10" x14ac:dyDescent="0.3">
      <c r="A501">
        <v>499</v>
      </c>
      <c r="B501">
        <v>8084</v>
      </c>
      <c r="C501" t="b">
        <v>1</v>
      </c>
      <c r="D501">
        <v>8065</v>
      </c>
      <c r="E501">
        <v>8111</v>
      </c>
      <c r="F501">
        <v>22.933332</v>
      </c>
      <c r="G501">
        <v>-0.4</v>
      </c>
      <c r="H501">
        <v>-57.333331999999999</v>
      </c>
      <c r="I501">
        <v>58.333329999999997</v>
      </c>
      <c r="J501">
        <v>-1.775148E-2</v>
      </c>
    </row>
    <row r="502" spans="1:10" x14ac:dyDescent="0.3">
      <c r="A502">
        <v>500</v>
      </c>
      <c r="B502">
        <v>8099</v>
      </c>
      <c r="C502" t="b">
        <v>1</v>
      </c>
      <c r="D502">
        <v>8060</v>
      </c>
      <c r="E502">
        <v>8123</v>
      </c>
      <c r="F502">
        <v>23.333334000000001</v>
      </c>
      <c r="G502">
        <v>-0.4</v>
      </c>
      <c r="H502">
        <v>-58.333336000000003</v>
      </c>
      <c r="I502">
        <v>59.333331999999999</v>
      </c>
      <c r="J502">
        <v>-1.744186E-2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E8F2-31B3-493D-A09E-6B9B59687838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8065</v>
      </c>
      <c r="E2">
        <v>8134</v>
      </c>
      <c r="F2">
        <v>25</v>
      </c>
      <c r="G2">
        <v>19</v>
      </c>
      <c r="H2">
        <v>1.3157894999999999</v>
      </c>
      <c r="I2">
        <v>-0.31578946000000002</v>
      </c>
      <c r="J2">
        <v>0.43181819999999999</v>
      </c>
    </row>
    <row r="3" spans="1:10" x14ac:dyDescent="0.3">
      <c r="A3">
        <v>1</v>
      </c>
      <c r="B3">
        <v>27</v>
      </c>
      <c r="C3" t="b">
        <v>1</v>
      </c>
      <c r="D3">
        <v>8060</v>
      </c>
      <c r="E3">
        <v>8123</v>
      </c>
      <c r="F3">
        <v>25</v>
      </c>
      <c r="G3">
        <v>19</v>
      </c>
      <c r="H3">
        <v>1.3157894999999999</v>
      </c>
      <c r="I3">
        <v>-0.31578946000000002</v>
      </c>
      <c r="J3">
        <v>0.43181819999999999</v>
      </c>
    </row>
    <row r="4" spans="1:10" x14ac:dyDescent="0.3">
      <c r="A4">
        <v>2</v>
      </c>
      <c r="B4">
        <v>43</v>
      </c>
      <c r="C4" t="b">
        <v>1</v>
      </c>
      <c r="D4">
        <v>8071</v>
      </c>
      <c r="E4">
        <v>8129</v>
      </c>
      <c r="F4">
        <v>25</v>
      </c>
      <c r="G4">
        <v>17.333334000000001</v>
      </c>
      <c r="H4">
        <v>1.4423075999999999</v>
      </c>
      <c r="I4">
        <v>-0.44230765</v>
      </c>
      <c r="J4">
        <v>0.4094488</v>
      </c>
    </row>
    <row r="5" spans="1:10" x14ac:dyDescent="0.3">
      <c r="A5">
        <v>3</v>
      </c>
      <c r="B5">
        <v>59</v>
      </c>
      <c r="C5" t="b">
        <v>1</v>
      </c>
      <c r="D5">
        <v>8071</v>
      </c>
      <c r="E5">
        <v>8123</v>
      </c>
      <c r="F5">
        <v>26.5</v>
      </c>
      <c r="G5">
        <v>16.5</v>
      </c>
      <c r="H5">
        <v>1.6060605999999999</v>
      </c>
      <c r="I5">
        <v>-0.60606059999999995</v>
      </c>
      <c r="J5">
        <v>0.38372093000000002</v>
      </c>
    </row>
    <row r="6" spans="1:10" x14ac:dyDescent="0.3">
      <c r="A6">
        <v>4</v>
      </c>
      <c r="B6">
        <v>74</v>
      </c>
      <c r="C6" t="b">
        <v>1</v>
      </c>
      <c r="D6">
        <v>8065</v>
      </c>
      <c r="E6">
        <v>8123</v>
      </c>
      <c r="F6">
        <v>26.2</v>
      </c>
      <c r="G6">
        <v>14.8</v>
      </c>
      <c r="H6">
        <v>1.7702703</v>
      </c>
      <c r="I6">
        <v>-0.77027029999999996</v>
      </c>
      <c r="J6">
        <v>0.36097562</v>
      </c>
    </row>
    <row r="7" spans="1:10" x14ac:dyDescent="0.3">
      <c r="A7">
        <v>5</v>
      </c>
      <c r="B7">
        <v>91</v>
      </c>
      <c r="C7" t="b">
        <v>1</v>
      </c>
      <c r="D7">
        <v>8065</v>
      </c>
      <c r="E7">
        <v>8123</v>
      </c>
      <c r="F7">
        <v>26</v>
      </c>
      <c r="G7">
        <v>13.666667</v>
      </c>
      <c r="H7">
        <v>1.902439</v>
      </c>
      <c r="I7">
        <v>-0.90243899999999999</v>
      </c>
      <c r="J7">
        <v>0.34453781999999999</v>
      </c>
    </row>
    <row r="8" spans="1:10" x14ac:dyDescent="0.3">
      <c r="A8">
        <v>6</v>
      </c>
      <c r="B8">
        <v>106</v>
      </c>
      <c r="C8" t="b">
        <v>1</v>
      </c>
      <c r="D8">
        <v>8077</v>
      </c>
      <c r="E8">
        <v>8123</v>
      </c>
      <c r="F8">
        <v>26.714285</v>
      </c>
      <c r="G8">
        <v>12.857142</v>
      </c>
      <c r="H8">
        <v>2.0777779000000001</v>
      </c>
      <c r="I8">
        <v>-1.0777776999999999</v>
      </c>
      <c r="J8">
        <v>0.32490975</v>
      </c>
    </row>
    <row r="9" spans="1:10" x14ac:dyDescent="0.3">
      <c r="A9">
        <v>7</v>
      </c>
      <c r="B9">
        <v>122</v>
      </c>
      <c r="C9" t="b">
        <v>1</v>
      </c>
      <c r="D9">
        <v>8077</v>
      </c>
      <c r="E9">
        <v>8123</v>
      </c>
      <c r="F9">
        <v>27.25</v>
      </c>
      <c r="G9">
        <v>12.25</v>
      </c>
      <c r="H9">
        <v>2.2244896999999999</v>
      </c>
      <c r="I9">
        <v>-1.2244898</v>
      </c>
      <c r="J9">
        <v>0.31012656999999999</v>
      </c>
    </row>
    <row r="10" spans="1:10" x14ac:dyDescent="0.3">
      <c r="A10">
        <v>8</v>
      </c>
      <c r="B10">
        <v>138</v>
      </c>
      <c r="C10" t="b">
        <v>1</v>
      </c>
      <c r="D10">
        <v>8071</v>
      </c>
      <c r="E10">
        <v>8123</v>
      </c>
      <c r="F10">
        <v>27.666665999999999</v>
      </c>
      <c r="G10">
        <v>11.777778</v>
      </c>
      <c r="H10">
        <v>2.3490565000000001</v>
      </c>
      <c r="I10">
        <v>-1.3490565999999999</v>
      </c>
      <c r="J10">
        <v>0.29859154999999998</v>
      </c>
    </row>
    <row r="11" spans="1:10" x14ac:dyDescent="0.3">
      <c r="A11">
        <v>9</v>
      </c>
      <c r="B11">
        <v>154</v>
      </c>
      <c r="C11" t="b">
        <v>1</v>
      </c>
      <c r="D11">
        <v>8065</v>
      </c>
      <c r="E11">
        <v>8123</v>
      </c>
      <c r="F11">
        <v>28</v>
      </c>
      <c r="G11">
        <v>11.4</v>
      </c>
      <c r="H11">
        <v>2.4561405000000001</v>
      </c>
      <c r="I11">
        <v>-1.4561404</v>
      </c>
      <c r="J11">
        <v>0.28934008</v>
      </c>
    </row>
    <row r="12" spans="1:10" x14ac:dyDescent="0.3">
      <c r="A12">
        <v>10</v>
      </c>
      <c r="B12">
        <v>170</v>
      </c>
      <c r="C12" t="b">
        <v>1</v>
      </c>
      <c r="D12">
        <v>8060</v>
      </c>
      <c r="E12">
        <v>8117</v>
      </c>
      <c r="F12">
        <v>28.272728000000001</v>
      </c>
      <c r="G12">
        <v>11.090909</v>
      </c>
      <c r="H12">
        <v>2.5491804999999998</v>
      </c>
      <c r="I12">
        <v>-1.5491805000000001</v>
      </c>
      <c r="J12">
        <v>0.28175519999999998</v>
      </c>
    </row>
    <row r="13" spans="1:10" x14ac:dyDescent="0.3">
      <c r="A13">
        <v>11</v>
      </c>
      <c r="B13">
        <v>186</v>
      </c>
      <c r="C13" t="b">
        <v>1</v>
      </c>
      <c r="D13">
        <v>8065</v>
      </c>
      <c r="E13">
        <v>8123</v>
      </c>
      <c r="F13">
        <v>28</v>
      </c>
      <c r="G13">
        <v>10.833333</v>
      </c>
      <c r="H13">
        <v>2.5846155</v>
      </c>
      <c r="I13">
        <v>-1.5846156</v>
      </c>
      <c r="J13">
        <v>0.27896994000000003</v>
      </c>
    </row>
    <row r="14" spans="1:10" x14ac:dyDescent="0.3">
      <c r="A14">
        <v>12</v>
      </c>
      <c r="B14">
        <v>201</v>
      </c>
      <c r="C14" t="b">
        <v>1</v>
      </c>
      <c r="D14">
        <v>8060</v>
      </c>
      <c r="E14">
        <v>8123</v>
      </c>
      <c r="F14">
        <v>27.76923</v>
      </c>
      <c r="G14">
        <v>10.615385</v>
      </c>
      <c r="H14">
        <v>2.6159417999999999</v>
      </c>
      <c r="I14">
        <v>-1.6159418999999999</v>
      </c>
      <c r="J14">
        <v>0.27655311999999999</v>
      </c>
    </row>
    <row r="15" spans="1:10" x14ac:dyDescent="0.3">
      <c r="A15">
        <v>13</v>
      </c>
      <c r="B15">
        <v>217</v>
      </c>
      <c r="C15" t="b">
        <v>1</v>
      </c>
      <c r="D15">
        <v>8060</v>
      </c>
      <c r="E15">
        <v>8123</v>
      </c>
      <c r="F15">
        <v>27.214285</v>
      </c>
      <c r="G15">
        <v>10.428572000000001</v>
      </c>
      <c r="H15">
        <v>2.6095888999999999</v>
      </c>
      <c r="I15">
        <v>-1.6095889000000001</v>
      </c>
      <c r="J15">
        <v>0.27703986000000003</v>
      </c>
    </row>
    <row r="16" spans="1:10" x14ac:dyDescent="0.3">
      <c r="A16">
        <v>14</v>
      </c>
      <c r="B16">
        <v>233</v>
      </c>
      <c r="C16" t="b">
        <v>1</v>
      </c>
      <c r="D16">
        <v>8060</v>
      </c>
      <c r="E16">
        <v>8123</v>
      </c>
      <c r="F16">
        <v>26.733333999999999</v>
      </c>
      <c r="G16">
        <v>10.266666000000001</v>
      </c>
      <c r="H16">
        <v>2.6038961</v>
      </c>
      <c r="I16">
        <v>-1.6038961</v>
      </c>
      <c r="J16">
        <v>0.27747747</v>
      </c>
    </row>
    <row r="17" spans="1:10" x14ac:dyDescent="0.3">
      <c r="A17">
        <v>15</v>
      </c>
      <c r="B17">
        <v>249</v>
      </c>
      <c r="C17" t="b">
        <v>1</v>
      </c>
      <c r="D17">
        <v>8065</v>
      </c>
      <c r="E17">
        <v>8129</v>
      </c>
      <c r="F17">
        <v>26.4</v>
      </c>
      <c r="G17">
        <v>9.533334</v>
      </c>
      <c r="H17">
        <v>2.7692306000000002</v>
      </c>
      <c r="I17">
        <v>-1.7692304999999999</v>
      </c>
      <c r="J17">
        <v>0.26530611999999998</v>
      </c>
    </row>
    <row r="18" spans="1:10" x14ac:dyDescent="0.3">
      <c r="A18">
        <v>16</v>
      </c>
      <c r="B18">
        <v>265</v>
      </c>
      <c r="C18" t="b">
        <v>1</v>
      </c>
      <c r="D18">
        <v>8060</v>
      </c>
      <c r="E18">
        <v>8129</v>
      </c>
      <c r="F18">
        <v>26.066668</v>
      </c>
      <c r="G18">
        <v>8.8000000000000007</v>
      </c>
      <c r="H18">
        <v>2.9621211999999999</v>
      </c>
      <c r="I18">
        <v>-1.9621211000000001</v>
      </c>
      <c r="J18">
        <v>0.25239006000000003</v>
      </c>
    </row>
    <row r="19" spans="1:10" x14ac:dyDescent="0.3">
      <c r="A19">
        <v>17</v>
      </c>
      <c r="B19">
        <v>281</v>
      </c>
      <c r="C19" t="b">
        <v>1</v>
      </c>
      <c r="D19">
        <v>8060</v>
      </c>
      <c r="E19">
        <v>8129</v>
      </c>
      <c r="F19">
        <v>25.733333999999999</v>
      </c>
      <c r="G19">
        <v>8.8000000000000007</v>
      </c>
      <c r="H19">
        <v>2.9242425000000001</v>
      </c>
      <c r="I19">
        <v>-1.9242425000000001</v>
      </c>
      <c r="J19">
        <v>0.25482628000000002</v>
      </c>
    </row>
    <row r="20" spans="1:10" x14ac:dyDescent="0.3">
      <c r="A20">
        <v>18</v>
      </c>
      <c r="B20">
        <v>297</v>
      </c>
      <c r="C20" t="b">
        <v>1</v>
      </c>
      <c r="D20">
        <v>8065</v>
      </c>
      <c r="E20">
        <v>8134</v>
      </c>
      <c r="F20">
        <v>25</v>
      </c>
      <c r="G20">
        <v>8.8000000000000007</v>
      </c>
      <c r="H20">
        <v>2.8409089999999999</v>
      </c>
      <c r="I20">
        <v>-1.8409091</v>
      </c>
      <c r="J20">
        <v>0.26035506000000003</v>
      </c>
    </row>
    <row r="21" spans="1:10" x14ac:dyDescent="0.3">
      <c r="A21">
        <v>19</v>
      </c>
      <c r="B21">
        <v>313</v>
      </c>
      <c r="C21" t="b">
        <v>1</v>
      </c>
      <c r="D21">
        <v>8065</v>
      </c>
      <c r="E21">
        <v>8129</v>
      </c>
      <c r="F21">
        <v>25</v>
      </c>
      <c r="G21">
        <v>9.1999999999999993</v>
      </c>
      <c r="H21">
        <v>2.7173913000000001</v>
      </c>
      <c r="I21">
        <v>-1.7173913999999999</v>
      </c>
      <c r="J21">
        <v>0.26900584</v>
      </c>
    </row>
    <row r="22" spans="1:10" x14ac:dyDescent="0.3">
      <c r="A22">
        <v>20</v>
      </c>
      <c r="B22">
        <v>328</v>
      </c>
      <c r="C22" t="b">
        <v>1</v>
      </c>
      <c r="D22">
        <v>8071</v>
      </c>
      <c r="E22">
        <v>8129</v>
      </c>
      <c r="F22">
        <v>25</v>
      </c>
      <c r="G22">
        <v>9.6</v>
      </c>
      <c r="H22">
        <v>2.6041664999999998</v>
      </c>
      <c r="I22">
        <v>-1.6041665000000001</v>
      </c>
      <c r="J22">
        <v>0.27745667000000002</v>
      </c>
    </row>
    <row r="23" spans="1:10" x14ac:dyDescent="0.3">
      <c r="A23">
        <v>21</v>
      </c>
      <c r="B23">
        <v>344</v>
      </c>
      <c r="C23" t="b">
        <v>1</v>
      </c>
      <c r="D23">
        <v>8065</v>
      </c>
      <c r="E23">
        <v>8123</v>
      </c>
      <c r="F23">
        <v>24.6</v>
      </c>
      <c r="G23">
        <v>10</v>
      </c>
      <c r="H23">
        <v>2.46</v>
      </c>
      <c r="I23">
        <v>-1.46</v>
      </c>
      <c r="J23">
        <v>0.28901735000000001</v>
      </c>
    </row>
    <row r="24" spans="1:10" x14ac:dyDescent="0.3">
      <c r="A24">
        <v>22</v>
      </c>
      <c r="B24">
        <v>360</v>
      </c>
      <c r="C24" t="b">
        <v>1</v>
      </c>
      <c r="D24">
        <v>8060</v>
      </c>
      <c r="E24">
        <v>8123</v>
      </c>
      <c r="F24">
        <v>24.2</v>
      </c>
      <c r="G24">
        <v>10.4</v>
      </c>
      <c r="H24">
        <v>2.3269231000000001</v>
      </c>
      <c r="I24">
        <v>-1.3269233</v>
      </c>
      <c r="J24">
        <v>0.30057803</v>
      </c>
    </row>
    <row r="25" spans="1:10" x14ac:dyDescent="0.3">
      <c r="A25">
        <v>23</v>
      </c>
      <c r="B25">
        <v>376</v>
      </c>
      <c r="C25" t="b">
        <v>1</v>
      </c>
      <c r="D25">
        <v>8071</v>
      </c>
      <c r="E25">
        <v>8129</v>
      </c>
      <c r="F25">
        <v>23.8</v>
      </c>
      <c r="G25">
        <v>10.8</v>
      </c>
      <c r="H25">
        <v>2.2037035999999999</v>
      </c>
      <c r="I25">
        <v>-1.2037036000000001</v>
      </c>
      <c r="J25">
        <v>0.31213874000000003</v>
      </c>
    </row>
    <row r="26" spans="1:10" x14ac:dyDescent="0.3">
      <c r="A26">
        <v>24</v>
      </c>
      <c r="B26">
        <v>392</v>
      </c>
      <c r="C26" t="b">
        <v>1</v>
      </c>
      <c r="D26">
        <v>8071</v>
      </c>
      <c r="E26">
        <v>8129</v>
      </c>
      <c r="F26">
        <v>23.8</v>
      </c>
      <c r="G26">
        <v>11.2</v>
      </c>
      <c r="H26">
        <v>2.125</v>
      </c>
      <c r="I26">
        <v>-1.125</v>
      </c>
      <c r="J26">
        <v>0.32</v>
      </c>
    </row>
    <row r="27" spans="1:10" x14ac:dyDescent="0.3">
      <c r="A27">
        <v>25</v>
      </c>
      <c r="B27">
        <v>407</v>
      </c>
      <c r="C27" t="b">
        <v>1</v>
      </c>
      <c r="D27">
        <v>8065</v>
      </c>
      <c r="E27">
        <v>8123</v>
      </c>
      <c r="F27">
        <v>23.4</v>
      </c>
      <c r="G27">
        <v>11.2</v>
      </c>
      <c r="H27">
        <v>2.0892856000000002</v>
      </c>
      <c r="I27">
        <v>-1.0892857</v>
      </c>
      <c r="J27">
        <v>0.32369944</v>
      </c>
    </row>
    <row r="28" spans="1:10" x14ac:dyDescent="0.3">
      <c r="A28">
        <v>26</v>
      </c>
      <c r="B28">
        <v>423</v>
      </c>
      <c r="C28" t="b">
        <v>1</v>
      </c>
      <c r="D28">
        <v>8065</v>
      </c>
      <c r="E28">
        <v>8123</v>
      </c>
      <c r="F28">
        <v>23.4</v>
      </c>
      <c r="G28">
        <v>11.2</v>
      </c>
      <c r="H28">
        <v>2.0892856000000002</v>
      </c>
      <c r="I28">
        <v>-1.0892857</v>
      </c>
      <c r="J28">
        <v>0.32369944</v>
      </c>
    </row>
    <row r="29" spans="1:10" x14ac:dyDescent="0.3">
      <c r="A29">
        <v>27</v>
      </c>
      <c r="B29">
        <v>439</v>
      </c>
      <c r="C29" t="b">
        <v>1</v>
      </c>
      <c r="D29">
        <v>8065</v>
      </c>
      <c r="E29">
        <v>8123</v>
      </c>
      <c r="F29">
        <v>23.4</v>
      </c>
      <c r="G29">
        <v>11.2</v>
      </c>
      <c r="H29">
        <v>2.0892856000000002</v>
      </c>
      <c r="I29">
        <v>-1.0892857</v>
      </c>
      <c r="J29">
        <v>0.32369944</v>
      </c>
    </row>
    <row r="30" spans="1:10" x14ac:dyDescent="0.3">
      <c r="A30">
        <v>28</v>
      </c>
      <c r="B30">
        <v>455</v>
      </c>
      <c r="C30" t="b">
        <v>1</v>
      </c>
      <c r="D30">
        <v>8071</v>
      </c>
      <c r="E30">
        <v>8129</v>
      </c>
      <c r="F30">
        <v>23.733333999999999</v>
      </c>
      <c r="G30">
        <v>11.2</v>
      </c>
      <c r="H30">
        <v>2.1190476</v>
      </c>
      <c r="I30">
        <v>-1.1190476</v>
      </c>
      <c r="J30">
        <v>0.32061066999999999</v>
      </c>
    </row>
    <row r="31" spans="1:10" x14ac:dyDescent="0.3">
      <c r="A31">
        <v>29</v>
      </c>
      <c r="B31">
        <v>471</v>
      </c>
      <c r="C31" t="b">
        <v>1</v>
      </c>
      <c r="D31">
        <v>8065</v>
      </c>
      <c r="E31">
        <v>8129</v>
      </c>
      <c r="F31">
        <v>24.066668</v>
      </c>
      <c r="G31">
        <v>11.2</v>
      </c>
      <c r="H31">
        <v>2.1488097000000002</v>
      </c>
      <c r="I31">
        <v>-1.1488096999999999</v>
      </c>
      <c r="J31">
        <v>0.31758034000000002</v>
      </c>
    </row>
    <row r="32" spans="1:10" x14ac:dyDescent="0.3">
      <c r="A32">
        <v>30</v>
      </c>
      <c r="B32">
        <v>487</v>
      </c>
      <c r="C32" t="b">
        <v>1</v>
      </c>
      <c r="D32">
        <v>8060</v>
      </c>
      <c r="E32">
        <v>8134</v>
      </c>
      <c r="F32">
        <v>24.4</v>
      </c>
      <c r="G32">
        <v>11.6</v>
      </c>
      <c r="H32">
        <v>2.1034481999999999</v>
      </c>
      <c r="I32">
        <v>-1.1034482000000001</v>
      </c>
      <c r="J32">
        <v>0.32222223</v>
      </c>
    </row>
    <row r="33" spans="1:10" x14ac:dyDescent="0.3">
      <c r="A33">
        <v>31</v>
      </c>
      <c r="B33">
        <v>503</v>
      </c>
      <c r="C33" t="b">
        <v>1</v>
      </c>
      <c r="D33">
        <v>8065</v>
      </c>
      <c r="E33">
        <v>8134</v>
      </c>
      <c r="F33">
        <v>24.733333999999999</v>
      </c>
      <c r="G33">
        <v>12</v>
      </c>
      <c r="H33">
        <v>2.0611112</v>
      </c>
      <c r="I33">
        <v>-1.0611111</v>
      </c>
      <c r="J33">
        <v>0.32667875000000002</v>
      </c>
    </row>
    <row r="34" spans="1:10" x14ac:dyDescent="0.3">
      <c r="A34">
        <v>32</v>
      </c>
      <c r="B34">
        <v>519</v>
      </c>
      <c r="C34" t="b">
        <v>1</v>
      </c>
      <c r="D34">
        <v>8060</v>
      </c>
      <c r="E34">
        <v>8134</v>
      </c>
      <c r="F34">
        <v>25.066668</v>
      </c>
      <c r="G34">
        <v>12.333333</v>
      </c>
      <c r="H34">
        <v>2.0324325999999999</v>
      </c>
      <c r="I34">
        <v>-1.0324325999999999</v>
      </c>
      <c r="J34">
        <v>0.32976823999999999</v>
      </c>
    </row>
    <row r="35" spans="1:10" x14ac:dyDescent="0.3">
      <c r="A35">
        <v>33</v>
      </c>
      <c r="B35">
        <v>551</v>
      </c>
      <c r="C35" t="b">
        <v>1</v>
      </c>
      <c r="D35">
        <v>8065</v>
      </c>
      <c r="E35">
        <v>8123</v>
      </c>
      <c r="F35">
        <v>25.4</v>
      </c>
      <c r="G35">
        <v>12.666667</v>
      </c>
      <c r="H35">
        <v>2.0052629999999998</v>
      </c>
      <c r="I35">
        <v>-1.0052631000000001</v>
      </c>
      <c r="J35">
        <v>0.33274957999999999</v>
      </c>
    </row>
    <row r="36" spans="1:10" x14ac:dyDescent="0.3">
      <c r="A36">
        <v>34</v>
      </c>
      <c r="B36">
        <v>567</v>
      </c>
      <c r="C36" t="b">
        <v>1</v>
      </c>
      <c r="D36">
        <v>8065</v>
      </c>
      <c r="E36">
        <v>8123</v>
      </c>
      <c r="F36">
        <v>25.4</v>
      </c>
      <c r="G36">
        <v>13</v>
      </c>
      <c r="H36">
        <v>1.9538461</v>
      </c>
      <c r="I36">
        <v>-0.95384610000000003</v>
      </c>
      <c r="J36">
        <v>0.33854166000000002</v>
      </c>
    </row>
    <row r="37" spans="1:10" x14ac:dyDescent="0.3">
      <c r="A37">
        <v>35</v>
      </c>
      <c r="B37">
        <v>583</v>
      </c>
      <c r="C37" t="b">
        <v>1</v>
      </c>
      <c r="D37">
        <v>8060</v>
      </c>
      <c r="E37">
        <v>8129</v>
      </c>
      <c r="F37">
        <v>25.4</v>
      </c>
      <c r="G37">
        <v>13</v>
      </c>
      <c r="H37">
        <v>1.9538461</v>
      </c>
      <c r="I37">
        <v>-0.95384610000000003</v>
      </c>
      <c r="J37">
        <v>0.33854166000000002</v>
      </c>
    </row>
    <row r="38" spans="1:10" x14ac:dyDescent="0.3">
      <c r="A38">
        <v>36</v>
      </c>
      <c r="B38">
        <v>598</v>
      </c>
      <c r="C38" t="b">
        <v>1</v>
      </c>
      <c r="D38">
        <v>8065</v>
      </c>
      <c r="E38">
        <v>8123</v>
      </c>
      <c r="F38">
        <v>25.4</v>
      </c>
      <c r="G38">
        <v>12.6</v>
      </c>
      <c r="H38">
        <v>2.015873</v>
      </c>
      <c r="I38">
        <v>-1.015873</v>
      </c>
      <c r="J38">
        <v>0.33157896999999997</v>
      </c>
    </row>
    <row r="39" spans="1:10" x14ac:dyDescent="0.3">
      <c r="A39">
        <v>37</v>
      </c>
      <c r="B39">
        <v>614</v>
      </c>
      <c r="C39" t="b">
        <v>1</v>
      </c>
      <c r="D39">
        <v>8060</v>
      </c>
      <c r="E39">
        <v>8129</v>
      </c>
      <c r="F39">
        <v>25.4</v>
      </c>
      <c r="G39">
        <v>12.2</v>
      </c>
      <c r="H39">
        <v>2.0819670000000001</v>
      </c>
      <c r="I39">
        <v>-1.0819672</v>
      </c>
      <c r="J39">
        <v>0.32446809999999998</v>
      </c>
    </row>
    <row r="40" spans="1:10" x14ac:dyDescent="0.3">
      <c r="A40">
        <v>38</v>
      </c>
      <c r="B40">
        <v>630</v>
      </c>
      <c r="C40" t="b">
        <v>1</v>
      </c>
      <c r="D40">
        <v>8060</v>
      </c>
      <c r="E40">
        <v>8129</v>
      </c>
      <c r="F40">
        <v>25.066668</v>
      </c>
      <c r="G40">
        <v>12.2</v>
      </c>
      <c r="H40">
        <v>2.0546448000000002</v>
      </c>
      <c r="I40">
        <v>-1.0546450000000001</v>
      </c>
      <c r="J40">
        <v>0.32737031999999999</v>
      </c>
    </row>
    <row r="41" spans="1:10" x14ac:dyDescent="0.3">
      <c r="A41">
        <v>39</v>
      </c>
      <c r="B41">
        <v>646</v>
      </c>
      <c r="C41" t="b">
        <v>1</v>
      </c>
      <c r="D41">
        <v>8065</v>
      </c>
      <c r="E41">
        <v>8129</v>
      </c>
      <c r="F41">
        <v>24.333334000000001</v>
      </c>
      <c r="G41">
        <v>12.2</v>
      </c>
      <c r="H41">
        <v>1.9945356000000001</v>
      </c>
      <c r="I41">
        <v>-0.99453559999999996</v>
      </c>
      <c r="J41">
        <v>0.33394160000000001</v>
      </c>
    </row>
    <row r="42" spans="1:10" x14ac:dyDescent="0.3">
      <c r="A42">
        <v>40</v>
      </c>
      <c r="B42">
        <v>662</v>
      </c>
      <c r="C42" t="b">
        <v>1</v>
      </c>
      <c r="D42">
        <v>8065</v>
      </c>
      <c r="E42">
        <v>8129</v>
      </c>
      <c r="F42">
        <v>24.333334000000001</v>
      </c>
      <c r="G42">
        <v>12.6</v>
      </c>
      <c r="H42">
        <v>1.931217</v>
      </c>
      <c r="I42">
        <v>-0.93121690000000001</v>
      </c>
      <c r="J42">
        <v>0.34115522999999998</v>
      </c>
    </row>
    <row r="43" spans="1:10" x14ac:dyDescent="0.3">
      <c r="A43">
        <v>41</v>
      </c>
      <c r="B43">
        <v>678</v>
      </c>
      <c r="C43" t="b">
        <v>1</v>
      </c>
      <c r="D43">
        <v>8071</v>
      </c>
      <c r="E43">
        <v>8123</v>
      </c>
      <c r="F43">
        <v>24.333334000000001</v>
      </c>
      <c r="G43">
        <v>13</v>
      </c>
      <c r="H43">
        <v>1.8717949</v>
      </c>
      <c r="I43">
        <v>-0.87179494000000002</v>
      </c>
      <c r="J43">
        <v>0.34821426999999999</v>
      </c>
    </row>
    <row r="44" spans="1:10" x14ac:dyDescent="0.3">
      <c r="A44">
        <v>42</v>
      </c>
      <c r="B44">
        <v>693</v>
      </c>
      <c r="C44" t="b">
        <v>1</v>
      </c>
      <c r="D44">
        <v>8065</v>
      </c>
      <c r="E44">
        <v>8123</v>
      </c>
      <c r="F44">
        <v>24.333334000000001</v>
      </c>
      <c r="G44">
        <v>13.4</v>
      </c>
      <c r="H44">
        <v>1.8159205</v>
      </c>
      <c r="I44">
        <v>-0.81592050000000005</v>
      </c>
      <c r="J44">
        <v>0.35512367</v>
      </c>
    </row>
    <row r="45" spans="1:10" x14ac:dyDescent="0.3">
      <c r="A45">
        <v>43</v>
      </c>
      <c r="B45">
        <v>709</v>
      </c>
      <c r="C45" t="b">
        <v>1</v>
      </c>
      <c r="D45">
        <v>8060</v>
      </c>
      <c r="E45">
        <v>8129</v>
      </c>
      <c r="F45">
        <v>24.333334000000001</v>
      </c>
      <c r="G45">
        <v>13.8</v>
      </c>
      <c r="H45">
        <v>1.763285</v>
      </c>
      <c r="I45">
        <v>-0.76328503999999997</v>
      </c>
      <c r="J45">
        <v>0.36188809999999999</v>
      </c>
    </row>
    <row r="46" spans="1:10" x14ac:dyDescent="0.3">
      <c r="A46">
        <v>44</v>
      </c>
      <c r="B46">
        <v>725</v>
      </c>
      <c r="C46" t="b">
        <v>1</v>
      </c>
      <c r="D46">
        <v>8060</v>
      </c>
      <c r="E46">
        <v>8129</v>
      </c>
      <c r="F46">
        <v>24.333334000000001</v>
      </c>
      <c r="G46">
        <v>14.2</v>
      </c>
      <c r="H46">
        <v>1.7136150999999999</v>
      </c>
      <c r="I46">
        <v>-0.71361509999999995</v>
      </c>
      <c r="J46">
        <v>0.36851212</v>
      </c>
    </row>
    <row r="47" spans="1:10" x14ac:dyDescent="0.3">
      <c r="A47">
        <v>45</v>
      </c>
      <c r="B47">
        <v>741</v>
      </c>
      <c r="C47" t="b">
        <v>1</v>
      </c>
      <c r="D47">
        <v>8054</v>
      </c>
      <c r="E47">
        <v>8129</v>
      </c>
      <c r="F47">
        <v>24</v>
      </c>
      <c r="G47">
        <v>14.2</v>
      </c>
      <c r="H47">
        <v>1.6901408</v>
      </c>
      <c r="I47">
        <v>-0.69014083999999998</v>
      </c>
      <c r="J47">
        <v>0.37172772999999998</v>
      </c>
    </row>
    <row r="48" spans="1:10" x14ac:dyDescent="0.3">
      <c r="A48">
        <v>46</v>
      </c>
      <c r="B48">
        <v>757</v>
      </c>
      <c r="C48" t="b">
        <v>1</v>
      </c>
      <c r="D48">
        <v>8065</v>
      </c>
      <c r="E48">
        <v>8129</v>
      </c>
      <c r="F48">
        <v>23.666665999999999</v>
      </c>
      <c r="G48">
        <v>14.2</v>
      </c>
      <c r="H48">
        <v>1.6666666000000001</v>
      </c>
      <c r="I48">
        <v>-0.6666666</v>
      </c>
      <c r="J48">
        <v>0.375</v>
      </c>
    </row>
    <row r="49" spans="1:10" x14ac:dyDescent="0.3">
      <c r="A49">
        <v>47</v>
      </c>
      <c r="B49">
        <v>772</v>
      </c>
      <c r="C49" t="b">
        <v>1</v>
      </c>
      <c r="D49">
        <v>8065</v>
      </c>
      <c r="E49">
        <v>8129</v>
      </c>
      <c r="F49">
        <v>23.333334000000001</v>
      </c>
      <c r="G49">
        <v>13.866667</v>
      </c>
      <c r="H49">
        <v>1.6826923</v>
      </c>
      <c r="I49">
        <v>-0.68269234999999995</v>
      </c>
      <c r="J49">
        <v>0.37275985</v>
      </c>
    </row>
    <row r="50" spans="1:10" x14ac:dyDescent="0.3">
      <c r="A50">
        <v>48</v>
      </c>
      <c r="B50">
        <v>788</v>
      </c>
      <c r="C50" t="b">
        <v>1</v>
      </c>
      <c r="D50">
        <v>8060</v>
      </c>
      <c r="E50">
        <v>8129</v>
      </c>
      <c r="F50">
        <v>23</v>
      </c>
      <c r="G50">
        <v>13.533334</v>
      </c>
      <c r="H50">
        <v>1.6995073999999999</v>
      </c>
      <c r="I50">
        <v>-0.69950736000000002</v>
      </c>
      <c r="J50">
        <v>0.37043798</v>
      </c>
    </row>
    <row r="51" spans="1:10" x14ac:dyDescent="0.3">
      <c r="A51">
        <v>49</v>
      </c>
      <c r="B51">
        <v>804</v>
      </c>
      <c r="C51" t="b">
        <v>1</v>
      </c>
      <c r="D51">
        <v>8054</v>
      </c>
      <c r="E51">
        <v>8129</v>
      </c>
      <c r="F51">
        <v>22.666665999999999</v>
      </c>
      <c r="G51">
        <v>13.2</v>
      </c>
      <c r="H51">
        <v>1.7171717</v>
      </c>
      <c r="I51">
        <v>-0.71717167000000004</v>
      </c>
      <c r="J51">
        <v>0.36802973999999999</v>
      </c>
    </row>
    <row r="52" spans="1:10" x14ac:dyDescent="0.3">
      <c r="A52">
        <v>50</v>
      </c>
      <c r="B52">
        <v>820</v>
      </c>
      <c r="C52" t="b">
        <v>1</v>
      </c>
      <c r="D52">
        <v>8065</v>
      </c>
      <c r="E52">
        <v>8129</v>
      </c>
      <c r="F52">
        <v>22.666665999999999</v>
      </c>
      <c r="G52">
        <v>13.2</v>
      </c>
      <c r="H52">
        <v>1.7171717</v>
      </c>
      <c r="I52">
        <v>-0.71717167000000004</v>
      </c>
      <c r="J52">
        <v>0.36802973999999999</v>
      </c>
    </row>
    <row r="53" spans="1:10" x14ac:dyDescent="0.3">
      <c r="A53">
        <v>51</v>
      </c>
      <c r="B53">
        <v>836</v>
      </c>
      <c r="C53" t="b">
        <v>1</v>
      </c>
      <c r="D53">
        <v>8065</v>
      </c>
      <c r="E53">
        <v>8129</v>
      </c>
      <c r="F53">
        <v>22.666665999999999</v>
      </c>
      <c r="G53">
        <v>13.6</v>
      </c>
      <c r="H53">
        <v>1.6666666000000001</v>
      </c>
      <c r="I53">
        <v>-0.66666656999999996</v>
      </c>
      <c r="J53">
        <v>0.375</v>
      </c>
    </row>
    <row r="54" spans="1:10" x14ac:dyDescent="0.3">
      <c r="A54">
        <v>52</v>
      </c>
      <c r="B54">
        <v>852</v>
      </c>
      <c r="C54" t="b">
        <v>1</v>
      </c>
      <c r="D54">
        <v>8060</v>
      </c>
      <c r="E54">
        <v>8123</v>
      </c>
      <c r="F54">
        <v>22.333334000000001</v>
      </c>
      <c r="G54">
        <v>14</v>
      </c>
      <c r="H54">
        <v>1.5952381</v>
      </c>
      <c r="I54">
        <v>-0.59523815000000002</v>
      </c>
      <c r="J54">
        <v>0.38532107999999998</v>
      </c>
    </row>
    <row r="55" spans="1:10" x14ac:dyDescent="0.3">
      <c r="A55">
        <v>53</v>
      </c>
      <c r="B55">
        <v>868</v>
      </c>
      <c r="C55" t="b">
        <v>1</v>
      </c>
      <c r="D55">
        <v>8065</v>
      </c>
      <c r="E55">
        <v>8123</v>
      </c>
      <c r="F55">
        <v>22.666665999999999</v>
      </c>
      <c r="G55">
        <v>14</v>
      </c>
      <c r="H55">
        <v>1.6190475</v>
      </c>
      <c r="I55">
        <v>-0.61904760000000003</v>
      </c>
      <c r="J55">
        <v>0.3818182</v>
      </c>
    </row>
    <row r="56" spans="1:10" x14ac:dyDescent="0.3">
      <c r="A56">
        <v>54</v>
      </c>
      <c r="B56">
        <v>884</v>
      </c>
      <c r="C56" t="b">
        <v>1</v>
      </c>
      <c r="D56">
        <v>8065</v>
      </c>
      <c r="E56">
        <v>8123</v>
      </c>
      <c r="F56">
        <v>23</v>
      </c>
      <c r="G56">
        <v>13.6</v>
      </c>
      <c r="H56">
        <v>1.6911764</v>
      </c>
      <c r="I56">
        <v>-0.69117640000000002</v>
      </c>
      <c r="J56">
        <v>0.37158469999999999</v>
      </c>
    </row>
    <row r="57" spans="1:10" x14ac:dyDescent="0.3">
      <c r="A57">
        <v>55</v>
      </c>
      <c r="B57">
        <v>900</v>
      </c>
      <c r="C57" t="b">
        <v>1</v>
      </c>
      <c r="D57">
        <v>8060</v>
      </c>
      <c r="E57">
        <v>8123</v>
      </c>
      <c r="F57">
        <v>23</v>
      </c>
      <c r="G57">
        <v>13.2</v>
      </c>
      <c r="H57">
        <v>1.7424242000000001</v>
      </c>
      <c r="I57">
        <v>-0.74242425000000001</v>
      </c>
      <c r="J57">
        <v>0.36464086000000001</v>
      </c>
    </row>
    <row r="58" spans="1:10" x14ac:dyDescent="0.3">
      <c r="A58">
        <v>56</v>
      </c>
      <c r="B58">
        <v>916</v>
      </c>
      <c r="C58" t="b">
        <v>1</v>
      </c>
      <c r="D58">
        <v>8065</v>
      </c>
      <c r="E58">
        <v>8117</v>
      </c>
      <c r="F58">
        <v>23</v>
      </c>
      <c r="G58">
        <v>12.8</v>
      </c>
      <c r="H58">
        <v>1.796875</v>
      </c>
      <c r="I58">
        <v>-0.796875</v>
      </c>
      <c r="J58">
        <v>0.35754192000000001</v>
      </c>
    </row>
    <row r="59" spans="1:10" x14ac:dyDescent="0.3">
      <c r="A59">
        <v>57</v>
      </c>
      <c r="B59">
        <v>932</v>
      </c>
      <c r="C59" t="b">
        <v>1</v>
      </c>
      <c r="D59">
        <v>8060</v>
      </c>
      <c r="E59">
        <v>8123</v>
      </c>
      <c r="F59">
        <v>23</v>
      </c>
      <c r="G59">
        <v>12.4</v>
      </c>
      <c r="H59">
        <v>1.8548387</v>
      </c>
      <c r="I59">
        <v>-0.85483880000000001</v>
      </c>
      <c r="J59">
        <v>0.35028246000000002</v>
      </c>
    </row>
    <row r="60" spans="1:10" x14ac:dyDescent="0.3">
      <c r="A60">
        <v>58</v>
      </c>
      <c r="B60">
        <v>948</v>
      </c>
      <c r="C60" t="b">
        <v>1</v>
      </c>
      <c r="D60">
        <v>8065</v>
      </c>
      <c r="E60">
        <v>8123</v>
      </c>
      <c r="F60">
        <v>23</v>
      </c>
      <c r="G60">
        <v>12</v>
      </c>
      <c r="H60">
        <v>1.9166666000000001</v>
      </c>
      <c r="I60">
        <v>-0.91666669999999995</v>
      </c>
      <c r="J60">
        <v>0.34285715</v>
      </c>
    </row>
    <row r="61" spans="1:10" x14ac:dyDescent="0.3">
      <c r="A61">
        <v>59</v>
      </c>
      <c r="B61">
        <v>964</v>
      </c>
      <c r="C61" t="b">
        <v>1</v>
      </c>
      <c r="D61">
        <v>8060</v>
      </c>
      <c r="E61">
        <v>8123</v>
      </c>
      <c r="F61">
        <v>22.666665999999999</v>
      </c>
      <c r="G61">
        <v>11.6</v>
      </c>
      <c r="H61">
        <v>1.9540229</v>
      </c>
      <c r="I61">
        <v>-0.95402290000000001</v>
      </c>
      <c r="J61">
        <v>0.33852142000000002</v>
      </c>
    </row>
    <row r="62" spans="1:10" x14ac:dyDescent="0.3">
      <c r="A62">
        <v>60</v>
      </c>
      <c r="B62">
        <v>980</v>
      </c>
      <c r="C62" t="b">
        <v>1</v>
      </c>
      <c r="D62">
        <v>8065</v>
      </c>
      <c r="E62">
        <v>8129</v>
      </c>
      <c r="F62">
        <v>23</v>
      </c>
      <c r="G62">
        <v>11.2</v>
      </c>
      <c r="H62">
        <v>2.0535714999999999</v>
      </c>
      <c r="I62">
        <v>-1.0535715000000001</v>
      </c>
      <c r="J62">
        <v>0.32748535000000001</v>
      </c>
    </row>
    <row r="63" spans="1:10" x14ac:dyDescent="0.3">
      <c r="A63">
        <v>61</v>
      </c>
      <c r="B63">
        <v>996</v>
      </c>
      <c r="C63" t="b">
        <v>1</v>
      </c>
      <c r="D63">
        <v>8065</v>
      </c>
      <c r="E63">
        <v>8123</v>
      </c>
      <c r="F63">
        <v>23.333334000000001</v>
      </c>
      <c r="G63">
        <v>10.8</v>
      </c>
      <c r="H63">
        <v>2.1604939000000001</v>
      </c>
      <c r="I63">
        <v>-1.1604939000000001</v>
      </c>
      <c r="J63">
        <v>0.31640625</v>
      </c>
    </row>
    <row r="64" spans="1:10" x14ac:dyDescent="0.3">
      <c r="A64">
        <v>62</v>
      </c>
      <c r="B64">
        <v>1011</v>
      </c>
      <c r="C64" t="b">
        <v>1</v>
      </c>
      <c r="D64">
        <v>8065</v>
      </c>
      <c r="E64">
        <v>8123</v>
      </c>
      <c r="F64">
        <v>23.666665999999999</v>
      </c>
      <c r="G64">
        <v>10.4</v>
      </c>
      <c r="H64">
        <v>2.2756409999999998</v>
      </c>
      <c r="I64">
        <v>-1.2756411000000001</v>
      </c>
      <c r="J64">
        <v>0.30528376000000002</v>
      </c>
    </row>
    <row r="65" spans="1:10" x14ac:dyDescent="0.3">
      <c r="A65">
        <v>63</v>
      </c>
      <c r="B65">
        <v>1027</v>
      </c>
      <c r="C65" t="b">
        <v>1</v>
      </c>
      <c r="D65">
        <v>8071</v>
      </c>
      <c r="E65">
        <v>8129</v>
      </c>
      <c r="F65">
        <v>24</v>
      </c>
      <c r="G65">
        <v>10</v>
      </c>
      <c r="H65">
        <v>2.4</v>
      </c>
      <c r="I65">
        <v>-1.4</v>
      </c>
      <c r="J65">
        <v>0.29411766</v>
      </c>
    </row>
    <row r="66" spans="1:10" x14ac:dyDescent="0.3">
      <c r="A66">
        <v>64</v>
      </c>
      <c r="B66">
        <v>1043</v>
      </c>
      <c r="C66" t="b">
        <v>1</v>
      </c>
      <c r="D66">
        <v>8065</v>
      </c>
      <c r="E66">
        <v>8129</v>
      </c>
      <c r="F66">
        <v>24.333334000000001</v>
      </c>
      <c r="G66">
        <v>10</v>
      </c>
      <c r="H66">
        <v>2.4333334</v>
      </c>
      <c r="I66">
        <v>-1.4333334</v>
      </c>
      <c r="J66">
        <v>0.29126212000000001</v>
      </c>
    </row>
    <row r="67" spans="1:10" x14ac:dyDescent="0.3">
      <c r="A67">
        <v>65</v>
      </c>
      <c r="B67">
        <v>1059</v>
      </c>
      <c r="C67" t="b">
        <v>1</v>
      </c>
      <c r="D67">
        <v>8065</v>
      </c>
      <c r="E67">
        <v>8129</v>
      </c>
      <c r="F67">
        <v>24.333334000000001</v>
      </c>
      <c r="G67">
        <v>10</v>
      </c>
      <c r="H67">
        <v>2.4333334</v>
      </c>
      <c r="I67">
        <v>-1.4333334</v>
      </c>
      <c r="J67">
        <v>0.29126212000000001</v>
      </c>
    </row>
    <row r="68" spans="1:10" x14ac:dyDescent="0.3">
      <c r="A68">
        <v>66</v>
      </c>
      <c r="B68">
        <v>1075</v>
      </c>
      <c r="C68" t="b">
        <v>1</v>
      </c>
      <c r="D68">
        <v>8071</v>
      </c>
      <c r="E68">
        <v>8129</v>
      </c>
      <c r="F68">
        <v>24.333334000000001</v>
      </c>
      <c r="G68">
        <v>10</v>
      </c>
      <c r="H68">
        <v>2.4333334</v>
      </c>
      <c r="I68">
        <v>-1.4333334</v>
      </c>
      <c r="J68">
        <v>0.29126212000000001</v>
      </c>
    </row>
    <row r="69" spans="1:10" x14ac:dyDescent="0.3">
      <c r="A69">
        <v>67</v>
      </c>
      <c r="B69">
        <v>1091</v>
      </c>
      <c r="C69" t="b">
        <v>1</v>
      </c>
      <c r="D69">
        <v>8071</v>
      </c>
      <c r="E69">
        <v>8123</v>
      </c>
      <c r="F69">
        <v>25.066668</v>
      </c>
      <c r="G69">
        <v>10</v>
      </c>
      <c r="H69">
        <v>2.5066666999999998</v>
      </c>
      <c r="I69">
        <v>-1.5066668000000001</v>
      </c>
      <c r="J69">
        <v>0.28517112</v>
      </c>
    </row>
    <row r="70" spans="1:10" x14ac:dyDescent="0.3">
      <c r="A70">
        <v>68</v>
      </c>
      <c r="B70">
        <v>1108</v>
      </c>
      <c r="C70" t="b">
        <v>1</v>
      </c>
      <c r="D70">
        <v>8071</v>
      </c>
      <c r="E70">
        <v>8129</v>
      </c>
      <c r="F70">
        <v>25.466667000000001</v>
      </c>
      <c r="G70">
        <v>10</v>
      </c>
      <c r="H70">
        <v>2.5466666</v>
      </c>
      <c r="I70">
        <v>-1.5466667000000001</v>
      </c>
      <c r="J70">
        <v>0.28195488000000002</v>
      </c>
    </row>
    <row r="71" spans="1:10" x14ac:dyDescent="0.3">
      <c r="A71">
        <v>69</v>
      </c>
      <c r="B71">
        <v>1123</v>
      </c>
      <c r="C71" t="b">
        <v>1</v>
      </c>
      <c r="D71">
        <v>8065</v>
      </c>
      <c r="E71">
        <v>8129</v>
      </c>
      <c r="F71">
        <v>25.866667</v>
      </c>
      <c r="G71">
        <v>10.4</v>
      </c>
      <c r="H71">
        <v>2.4871794999999999</v>
      </c>
      <c r="I71">
        <v>-1.4871795999999999</v>
      </c>
      <c r="J71">
        <v>0.28676469999999998</v>
      </c>
    </row>
    <row r="72" spans="1:10" x14ac:dyDescent="0.3">
      <c r="A72">
        <v>70</v>
      </c>
      <c r="B72">
        <v>1139</v>
      </c>
      <c r="C72" t="b">
        <v>1</v>
      </c>
      <c r="D72">
        <v>8071</v>
      </c>
      <c r="E72">
        <v>8123</v>
      </c>
      <c r="F72">
        <v>26.266666000000001</v>
      </c>
      <c r="G72">
        <v>10.8</v>
      </c>
      <c r="H72">
        <v>2.4320986000000002</v>
      </c>
      <c r="I72">
        <v>-1.4320987000000001</v>
      </c>
      <c r="J72">
        <v>0.29136689999999998</v>
      </c>
    </row>
    <row r="73" spans="1:10" x14ac:dyDescent="0.3">
      <c r="A73">
        <v>71</v>
      </c>
      <c r="B73">
        <v>1155</v>
      </c>
      <c r="C73" t="b">
        <v>1</v>
      </c>
      <c r="D73">
        <v>8065</v>
      </c>
      <c r="E73">
        <v>8123</v>
      </c>
      <c r="F73">
        <v>26.666665999999999</v>
      </c>
      <c r="G73">
        <v>10.8</v>
      </c>
      <c r="H73">
        <v>2.4691358000000001</v>
      </c>
      <c r="I73">
        <v>-1.4691356</v>
      </c>
      <c r="J73">
        <v>0.28825623</v>
      </c>
    </row>
    <row r="74" spans="1:10" x14ac:dyDescent="0.3">
      <c r="A74">
        <v>72</v>
      </c>
      <c r="B74">
        <v>1171</v>
      </c>
      <c r="C74" t="b">
        <v>1</v>
      </c>
      <c r="D74">
        <v>8071</v>
      </c>
      <c r="E74">
        <v>8123</v>
      </c>
      <c r="F74">
        <v>27.066668</v>
      </c>
      <c r="G74">
        <v>10.8</v>
      </c>
      <c r="H74">
        <v>2.506173</v>
      </c>
      <c r="I74">
        <v>-1.5061728000000001</v>
      </c>
      <c r="J74">
        <v>0.28521127000000002</v>
      </c>
    </row>
    <row r="75" spans="1:10" x14ac:dyDescent="0.3">
      <c r="A75">
        <v>73</v>
      </c>
      <c r="B75">
        <v>1187</v>
      </c>
      <c r="C75" t="b">
        <v>1</v>
      </c>
      <c r="D75">
        <v>8065</v>
      </c>
      <c r="E75">
        <v>8123</v>
      </c>
      <c r="F75">
        <v>27.066668</v>
      </c>
      <c r="G75">
        <v>10.8</v>
      </c>
      <c r="H75">
        <v>2.506173</v>
      </c>
      <c r="I75">
        <v>-1.5061728000000001</v>
      </c>
      <c r="J75">
        <v>0.28521127000000002</v>
      </c>
    </row>
    <row r="76" spans="1:10" x14ac:dyDescent="0.3">
      <c r="A76">
        <v>74</v>
      </c>
      <c r="B76">
        <v>1203</v>
      </c>
      <c r="C76" t="b">
        <v>1</v>
      </c>
      <c r="D76">
        <v>8060</v>
      </c>
      <c r="E76">
        <v>8123</v>
      </c>
      <c r="F76">
        <v>27.4</v>
      </c>
      <c r="G76">
        <v>10.8</v>
      </c>
      <c r="H76">
        <v>2.5370370000000002</v>
      </c>
      <c r="I76">
        <v>-1.5370368999999999</v>
      </c>
      <c r="J76">
        <v>0.28272249999999999</v>
      </c>
    </row>
    <row r="77" spans="1:10" x14ac:dyDescent="0.3">
      <c r="A77">
        <v>75</v>
      </c>
      <c r="B77">
        <v>1218</v>
      </c>
      <c r="C77" t="b">
        <v>1</v>
      </c>
      <c r="D77">
        <v>8065</v>
      </c>
      <c r="E77">
        <v>8123</v>
      </c>
      <c r="F77">
        <v>27.4</v>
      </c>
      <c r="G77">
        <v>10.8</v>
      </c>
      <c r="H77">
        <v>2.5370370000000002</v>
      </c>
      <c r="I77">
        <v>-1.5370368999999999</v>
      </c>
      <c r="J77">
        <v>0.28272249999999999</v>
      </c>
    </row>
    <row r="78" spans="1:10" x14ac:dyDescent="0.3">
      <c r="A78">
        <v>76</v>
      </c>
      <c r="B78">
        <v>1235</v>
      </c>
      <c r="C78" t="b">
        <v>1</v>
      </c>
      <c r="D78">
        <v>8065</v>
      </c>
      <c r="E78">
        <v>8123</v>
      </c>
      <c r="F78">
        <v>27.4</v>
      </c>
      <c r="G78">
        <v>10.8</v>
      </c>
      <c r="H78">
        <v>2.5370370000000002</v>
      </c>
      <c r="I78">
        <v>-1.5370368999999999</v>
      </c>
      <c r="J78">
        <v>0.28272249999999999</v>
      </c>
    </row>
    <row r="79" spans="1:10" x14ac:dyDescent="0.3">
      <c r="A79">
        <v>77</v>
      </c>
      <c r="B79">
        <v>1250</v>
      </c>
      <c r="C79" t="b">
        <v>1</v>
      </c>
      <c r="D79">
        <v>8065</v>
      </c>
      <c r="E79">
        <v>8117</v>
      </c>
      <c r="F79">
        <v>27.4</v>
      </c>
      <c r="G79">
        <v>10.8</v>
      </c>
      <c r="H79">
        <v>2.5370370000000002</v>
      </c>
      <c r="I79">
        <v>-1.5370368999999999</v>
      </c>
      <c r="J79">
        <v>0.28272249999999999</v>
      </c>
    </row>
    <row r="80" spans="1:10" x14ac:dyDescent="0.3">
      <c r="A80">
        <v>78</v>
      </c>
      <c r="B80">
        <v>1266</v>
      </c>
      <c r="C80" t="b">
        <v>1</v>
      </c>
      <c r="D80">
        <v>8065</v>
      </c>
      <c r="E80">
        <v>8123</v>
      </c>
      <c r="F80">
        <v>27.4</v>
      </c>
      <c r="G80">
        <v>10.8</v>
      </c>
      <c r="H80">
        <v>2.5370370000000002</v>
      </c>
      <c r="I80">
        <v>-1.5370368999999999</v>
      </c>
      <c r="J80">
        <v>0.28272249999999999</v>
      </c>
    </row>
    <row r="81" spans="1:10" x14ac:dyDescent="0.3">
      <c r="A81">
        <v>79</v>
      </c>
      <c r="B81">
        <v>1282</v>
      </c>
      <c r="C81" t="b">
        <v>1</v>
      </c>
      <c r="D81">
        <v>8065</v>
      </c>
      <c r="E81">
        <v>8123</v>
      </c>
      <c r="F81">
        <v>27.4</v>
      </c>
      <c r="G81">
        <v>10.4</v>
      </c>
      <c r="H81">
        <v>2.6346153999999999</v>
      </c>
      <c r="I81">
        <v>-1.6346153999999999</v>
      </c>
      <c r="J81">
        <v>0.27513227000000001</v>
      </c>
    </row>
    <row r="82" spans="1:10" x14ac:dyDescent="0.3">
      <c r="A82">
        <v>80</v>
      </c>
      <c r="B82">
        <v>1298</v>
      </c>
      <c r="C82" t="b">
        <v>1</v>
      </c>
      <c r="D82">
        <v>8060</v>
      </c>
      <c r="E82">
        <v>8129</v>
      </c>
      <c r="F82">
        <v>27.4</v>
      </c>
      <c r="G82">
        <v>10</v>
      </c>
      <c r="H82">
        <v>2.74</v>
      </c>
      <c r="I82">
        <v>-1.74</v>
      </c>
      <c r="J82">
        <v>0.26737967000000001</v>
      </c>
    </row>
    <row r="83" spans="1:10" x14ac:dyDescent="0.3">
      <c r="A83">
        <v>81</v>
      </c>
      <c r="B83">
        <v>1314</v>
      </c>
      <c r="C83" t="b">
        <v>1</v>
      </c>
      <c r="D83">
        <v>8065</v>
      </c>
      <c r="E83">
        <v>8123</v>
      </c>
      <c r="F83">
        <v>27.4</v>
      </c>
      <c r="G83">
        <v>9.6</v>
      </c>
      <c r="H83">
        <v>2.8541664999999998</v>
      </c>
      <c r="I83">
        <v>-1.8541665000000001</v>
      </c>
      <c r="J83">
        <v>0.25945947000000003</v>
      </c>
    </row>
    <row r="84" spans="1:10" x14ac:dyDescent="0.3">
      <c r="A84">
        <v>82</v>
      </c>
      <c r="B84">
        <v>1330</v>
      </c>
      <c r="C84" t="b">
        <v>1</v>
      </c>
      <c r="D84">
        <v>8060</v>
      </c>
      <c r="E84">
        <v>8129</v>
      </c>
      <c r="F84">
        <v>27</v>
      </c>
      <c r="G84">
        <v>9.1999999999999993</v>
      </c>
      <c r="H84">
        <v>2.9347827</v>
      </c>
      <c r="I84">
        <v>-1.9347825999999999</v>
      </c>
      <c r="J84">
        <v>0.25414363000000001</v>
      </c>
    </row>
    <row r="85" spans="1:10" x14ac:dyDescent="0.3">
      <c r="A85">
        <v>83</v>
      </c>
      <c r="B85">
        <v>1346</v>
      </c>
      <c r="C85" t="b">
        <v>1</v>
      </c>
      <c r="D85">
        <v>8060</v>
      </c>
      <c r="E85">
        <v>8129</v>
      </c>
      <c r="F85">
        <v>26.266666000000001</v>
      </c>
      <c r="G85">
        <v>9.1999999999999993</v>
      </c>
      <c r="H85">
        <v>2.8550724999999999</v>
      </c>
      <c r="I85">
        <v>-1.8550724000000001</v>
      </c>
      <c r="J85">
        <v>0.25939849999999998</v>
      </c>
    </row>
    <row r="86" spans="1:10" x14ac:dyDescent="0.3">
      <c r="A86">
        <v>84</v>
      </c>
      <c r="B86">
        <v>1362</v>
      </c>
      <c r="C86" t="b">
        <v>1</v>
      </c>
      <c r="D86">
        <v>8065</v>
      </c>
      <c r="E86">
        <v>8134</v>
      </c>
      <c r="F86">
        <v>25.533332999999999</v>
      </c>
      <c r="G86">
        <v>9.1999999999999993</v>
      </c>
      <c r="H86">
        <v>2.7753622999999998</v>
      </c>
      <c r="I86">
        <v>-1.7753623000000001</v>
      </c>
      <c r="J86">
        <v>0.26487523000000002</v>
      </c>
    </row>
    <row r="87" spans="1:10" x14ac:dyDescent="0.3">
      <c r="A87">
        <v>85</v>
      </c>
      <c r="B87">
        <v>1378</v>
      </c>
      <c r="C87" t="b">
        <v>1</v>
      </c>
      <c r="D87">
        <v>8060</v>
      </c>
      <c r="E87">
        <v>8134</v>
      </c>
      <c r="F87">
        <v>24.8</v>
      </c>
      <c r="G87">
        <v>9.1999999999999993</v>
      </c>
      <c r="H87">
        <v>2.6956522000000001</v>
      </c>
      <c r="I87">
        <v>-1.6956521</v>
      </c>
      <c r="J87">
        <v>0.27058821999999999</v>
      </c>
    </row>
    <row r="88" spans="1:10" x14ac:dyDescent="0.3">
      <c r="A88">
        <v>86</v>
      </c>
      <c r="B88">
        <v>1394</v>
      </c>
      <c r="C88" t="b">
        <v>1</v>
      </c>
      <c r="D88">
        <v>8065</v>
      </c>
      <c r="E88">
        <v>8129</v>
      </c>
      <c r="F88">
        <v>24.066668</v>
      </c>
      <c r="G88">
        <v>9.6</v>
      </c>
      <c r="H88">
        <v>2.5069444000000001</v>
      </c>
      <c r="I88">
        <v>-1.5069444000000001</v>
      </c>
      <c r="J88">
        <v>0.28514850000000003</v>
      </c>
    </row>
    <row r="89" spans="1:10" x14ac:dyDescent="0.3">
      <c r="A89">
        <v>87</v>
      </c>
      <c r="B89">
        <v>1409</v>
      </c>
      <c r="C89" t="b">
        <v>1</v>
      </c>
      <c r="D89">
        <v>8065</v>
      </c>
      <c r="E89">
        <v>8123</v>
      </c>
      <c r="F89">
        <v>23.666665999999999</v>
      </c>
      <c r="G89">
        <v>10</v>
      </c>
      <c r="H89">
        <v>2.3666665999999998</v>
      </c>
      <c r="I89">
        <v>-1.3666666000000001</v>
      </c>
      <c r="J89">
        <v>0.29702972999999999</v>
      </c>
    </row>
    <row r="90" spans="1:10" x14ac:dyDescent="0.3">
      <c r="A90">
        <v>88</v>
      </c>
      <c r="B90">
        <v>1425</v>
      </c>
      <c r="C90" t="b">
        <v>1</v>
      </c>
      <c r="D90">
        <v>8060</v>
      </c>
      <c r="E90">
        <v>8129</v>
      </c>
      <c r="F90">
        <v>23.666665999999999</v>
      </c>
      <c r="G90">
        <v>10.4</v>
      </c>
      <c r="H90">
        <v>2.2756409999999998</v>
      </c>
      <c r="I90">
        <v>-1.2756411000000001</v>
      </c>
      <c r="J90">
        <v>0.30528376000000002</v>
      </c>
    </row>
    <row r="91" spans="1:10" x14ac:dyDescent="0.3">
      <c r="A91">
        <v>89</v>
      </c>
      <c r="B91">
        <v>1441</v>
      </c>
      <c r="C91" t="b">
        <v>1</v>
      </c>
      <c r="D91">
        <v>8060</v>
      </c>
      <c r="E91">
        <v>8134</v>
      </c>
      <c r="F91">
        <v>23.333334000000001</v>
      </c>
      <c r="G91">
        <v>10.8</v>
      </c>
      <c r="H91">
        <v>2.1604939000000001</v>
      </c>
      <c r="I91">
        <v>-1.1604939000000001</v>
      </c>
      <c r="J91">
        <v>0.31640625</v>
      </c>
    </row>
    <row r="92" spans="1:10" x14ac:dyDescent="0.3">
      <c r="A92">
        <v>90</v>
      </c>
      <c r="B92">
        <v>1457</v>
      </c>
      <c r="C92" t="b">
        <v>1</v>
      </c>
      <c r="D92">
        <v>8060</v>
      </c>
      <c r="E92">
        <v>8117</v>
      </c>
      <c r="F92">
        <v>23</v>
      </c>
      <c r="G92">
        <v>11.2</v>
      </c>
      <c r="H92">
        <v>2.0535714999999999</v>
      </c>
      <c r="I92">
        <v>-1.0535715000000001</v>
      </c>
      <c r="J92">
        <v>0.32748535000000001</v>
      </c>
    </row>
    <row r="93" spans="1:10" x14ac:dyDescent="0.3">
      <c r="A93">
        <v>91</v>
      </c>
      <c r="B93">
        <v>1473</v>
      </c>
      <c r="C93" t="b">
        <v>1</v>
      </c>
      <c r="D93">
        <v>8054</v>
      </c>
      <c r="E93">
        <v>8123</v>
      </c>
      <c r="F93">
        <v>22.666665999999999</v>
      </c>
      <c r="G93">
        <v>11.2</v>
      </c>
      <c r="H93">
        <v>2.0238094000000002</v>
      </c>
      <c r="I93">
        <v>-1.0238096000000001</v>
      </c>
      <c r="J93">
        <v>0.33070867999999998</v>
      </c>
    </row>
    <row r="94" spans="1:10" x14ac:dyDescent="0.3">
      <c r="A94">
        <v>92</v>
      </c>
      <c r="B94">
        <v>1489</v>
      </c>
      <c r="C94" t="b">
        <v>1</v>
      </c>
      <c r="D94">
        <v>8065</v>
      </c>
      <c r="E94">
        <v>8129</v>
      </c>
      <c r="F94">
        <v>22.333334000000001</v>
      </c>
      <c r="G94">
        <v>11.6</v>
      </c>
      <c r="H94">
        <v>1.9252874</v>
      </c>
      <c r="I94">
        <v>-0.92528737000000005</v>
      </c>
      <c r="J94">
        <v>0.34184676000000003</v>
      </c>
    </row>
    <row r="95" spans="1:10" x14ac:dyDescent="0.3">
      <c r="A95">
        <v>93</v>
      </c>
      <c r="B95">
        <v>1504</v>
      </c>
      <c r="C95" t="b">
        <v>1</v>
      </c>
      <c r="D95">
        <v>8060</v>
      </c>
      <c r="E95">
        <v>8123</v>
      </c>
      <c r="F95">
        <v>22</v>
      </c>
      <c r="G95">
        <v>11.6</v>
      </c>
      <c r="H95">
        <v>1.8965516</v>
      </c>
      <c r="I95">
        <v>-0.89655167000000002</v>
      </c>
      <c r="J95">
        <v>0.34523811999999998</v>
      </c>
    </row>
    <row r="96" spans="1:10" x14ac:dyDescent="0.3">
      <c r="A96">
        <v>94</v>
      </c>
      <c r="B96">
        <v>1520</v>
      </c>
      <c r="C96" t="b">
        <v>1</v>
      </c>
      <c r="D96">
        <v>8060</v>
      </c>
      <c r="E96">
        <v>8129</v>
      </c>
      <c r="F96">
        <v>21.666665999999999</v>
      </c>
      <c r="G96">
        <v>11.6</v>
      </c>
      <c r="H96">
        <v>1.8678159999999999</v>
      </c>
      <c r="I96">
        <v>-0.86781600000000003</v>
      </c>
      <c r="J96">
        <v>0.34869739999999999</v>
      </c>
    </row>
    <row r="97" spans="1:10" x14ac:dyDescent="0.3">
      <c r="A97">
        <v>95</v>
      </c>
      <c r="B97">
        <v>1536</v>
      </c>
      <c r="C97" t="b">
        <v>1</v>
      </c>
      <c r="D97">
        <v>8065</v>
      </c>
      <c r="E97">
        <v>8123</v>
      </c>
      <c r="F97">
        <v>21.333334000000001</v>
      </c>
      <c r="G97">
        <v>11.6</v>
      </c>
      <c r="H97">
        <v>1.8390804999999999</v>
      </c>
      <c r="I97">
        <v>-0.83908044999999998</v>
      </c>
      <c r="J97">
        <v>0.35222672999999999</v>
      </c>
    </row>
    <row r="98" spans="1:10" x14ac:dyDescent="0.3">
      <c r="A98">
        <v>96</v>
      </c>
      <c r="B98">
        <v>1551</v>
      </c>
      <c r="C98" t="b">
        <v>1</v>
      </c>
      <c r="D98">
        <v>8065</v>
      </c>
      <c r="E98">
        <v>8123</v>
      </c>
      <c r="F98">
        <v>21.333334000000001</v>
      </c>
      <c r="G98">
        <v>11.6</v>
      </c>
      <c r="H98">
        <v>1.8390804999999999</v>
      </c>
      <c r="I98">
        <v>-0.83908044999999998</v>
      </c>
      <c r="J98">
        <v>0.35222672999999999</v>
      </c>
    </row>
    <row r="99" spans="1:10" x14ac:dyDescent="0.3">
      <c r="A99">
        <v>97</v>
      </c>
      <c r="B99">
        <v>1567</v>
      </c>
      <c r="C99" t="b">
        <v>1</v>
      </c>
      <c r="D99">
        <v>8071</v>
      </c>
      <c r="E99">
        <v>8123</v>
      </c>
      <c r="F99">
        <v>21.333334000000001</v>
      </c>
      <c r="G99">
        <v>11.6</v>
      </c>
      <c r="H99">
        <v>1.8390804999999999</v>
      </c>
      <c r="I99">
        <v>-0.83908044999999998</v>
      </c>
      <c r="J99">
        <v>0.35222672999999999</v>
      </c>
    </row>
    <row r="100" spans="1:10" x14ac:dyDescent="0.3">
      <c r="A100">
        <v>98</v>
      </c>
      <c r="B100">
        <v>1583</v>
      </c>
      <c r="C100" t="b">
        <v>1</v>
      </c>
      <c r="D100">
        <v>8065</v>
      </c>
      <c r="E100">
        <v>8123</v>
      </c>
      <c r="F100">
        <v>21.666665999999999</v>
      </c>
      <c r="G100">
        <v>11.2</v>
      </c>
      <c r="H100">
        <v>1.9345238</v>
      </c>
      <c r="I100">
        <v>-0.93452376000000004</v>
      </c>
      <c r="J100">
        <v>0.34077079999999998</v>
      </c>
    </row>
    <row r="101" spans="1:10" x14ac:dyDescent="0.3">
      <c r="A101">
        <v>99</v>
      </c>
      <c r="B101">
        <v>1599</v>
      </c>
      <c r="C101" t="b">
        <v>1</v>
      </c>
      <c r="D101">
        <v>8065</v>
      </c>
      <c r="E101">
        <v>8123</v>
      </c>
      <c r="F101">
        <v>22</v>
      </c>
      <c r="G101">
        <v>10.8</v>
      </c>
      <c r="H101">
        <v>2.0370370000000002</v>
      </c>
      <c r="I101">
        <v>-1.037037</v>
      </c>
      <c r="J101">
        <v>0.32926830000000001</v>
      </c>
    </row>
    <row r="102" spans="1:10" x14ac:dyDescent="0.3">
      <c r="A102">
        <v>100</v>
      </c>
      <c r="B102">
        <v>1615</v>
      </c>
      <c r="C102" t="b">
        <v>1</v>
      </c>
      <c r="D102">
        <v>8071</v>
      </c>
      <c r="E102">
        <v>8123</v>
      </c>
      <c r="F102">
        <v>22.333334000000001</v>
      </c>
      <c r="G102">
        <v>10.4</v>
      </c>
      <c r="H102">
        <v>2.1474361000000002</v>
      </c>
      <c r="I102">
        <v>-1.1474359999999999</v>
      </c>
      <c r="J102">
        <v>0.31771892000000002</v>
      </c>
    </row>
    <row r="103" spans="1:10" x14ac:dyDescent="0.3">
      <c r="A103">
        <v>101</v>
      </c>
      <c r="B103">
        <v>1631</v>
      </c>
      <c r="C103" t="b">
        <v>1</v>
      </c>
      <c r="D103">
        <v>8065</v>
      </c>
      <c r="E103">
        <v>8129</v>
      </c>
      <c r="F103">
        <v>22.666665999999999</v>
      </c>
      <c r="G103">
        <v>10</v>
      </c>
      <c r="H103">
        <v>2.2666667</v>
      </c>
      <c r="I103">
        <v>-1.2666667</v>
      </c>
      <c r="J103">
        <v>0.30612247999999997</v>
      </c>
    </row>
    <row r="104" spans="1:10" x14ac:dyDescent="0.3">
      <c r="A104">
        <v>102</v>
      </c>
      <c r="B104">
        <v>1646</v>
      </c>
      <c r="C104" t="b">
        <v>1</v>
      </c>
      <c r="D104">
        <v>8065</v>
      </c>
      <c r="E104">
        <v>8129</v>
      </c>
      <c r="F104">
        <v>22.666665999999999</v>
      </c>
      <c r="G104">
        <v>9.6</v>
      </c>
      <c r="H104">
        <v>2.3611110000000002</v>
      </c>
      <c r="I104">
        <v>-1.3611108999999999</v>
      </c>
      <c r="J104">
        <v>0.29752066999999999</v>
      </c>
    </row>
    <row r="105" spans="1:10" x14ac:dyDescent="0.3">
      <c r="A105">
        <v>103</v>
      </c>
      <c r="B105">
        <v>1663</v>
      </c>
      <c r="C105" t="b">
        <v>1</v>
      </c>
      <c r="D105">
        <v>8065</v>
      </c>
      <c r="E105">
        <v>8123</v>
      </c>
      <c r="F105">
        <v>22.666665999999999</v>
      </c>
      <c r="G105">
        <v>9.1999999999999993</v>
      </c>
      <c r="H105">
        <v>2.463768</v>
      </c>
      <c r="I105">
        <v>-1.4637681</v>
      </c>
      <c r="J105">
        <v>0.28870293000000002</v>
      </c>
    </row>
    <row r="106" spans="1:10" x14ac:dyDescent="0.3">
      <c r="A106">
        <v>104</v>
      </c>
      <c r="B106">
        <v>1678</v>
      </c>
      <c r="C106" t="b">
        <v>1</v>
      </c>
      <c r="D106">
        <v>8065</v>
      </c>
      <c r="E106">
        <v>8123</v>
      </c>
      <c r="F106">
        <v>23</v>
      </c>
      <c r="G106">
        <v>8.8000000000000007</v>
      </c>
      <c r="H106">
        <v>2.6136363</v>
      </c>
      <c r="I106">
        <v>-1.6136363</v>
      </c>
      <c r="J106">
        <v>0.27672957999999998</v>
      </c>
    </row>
    <row r="107" spans="1:10" x14ac:dyDescent="0.3">
      <c r="A107">
        <v>105</v>
      </c>
      <c r="B107">
        <v>1693</v>
      </c>
      <c r="C107" t="b">
        <v>1</v>
      </c>
      <c r="D107">
        <v>8065</v>
      </c>
      <c r="E107">
        <v>8123</v>
      </c>
      <c r="F107">
        <v>23.333334000000001</v>
      </c>
      <c r="G107">
        <v>8.4</v>
      </c>
      <c r="H107">
        <v>2.7777780000000001</v>
      </c>
      <c r="I107">
        <v>-1.7777780000000001</v>
      </c>
      <c r="J107">
        <v>0.26470587000000001</v>
      </c>
    </row>
    <row r="108" spans="1:10" x14ac:dyDescent="0.3">
      <c r="A108">
        <v>106</v>
      </c>
      <c r="B108">
        <v>1709</v>
      </c>
      <c r="C108" t="b">
        <v>1</v>
      </c>
      <c r="D108">
        <v>8054</v>
      </c>
      <c r="E108">
        <v>8123</v>
      </c>
      <c r="F108">
        <v>23.666665999999999</v>
      </c>
      <c r="G108">
        <v>8.4</v>
      </c>
      <c r="H108">
        <v>2.8174603</v>
      </c>
      <c r="I108">
        <v>-1.8174604000000001</v>
      </c>
      <c r="J108">
        <v>0.26195425</v>
      </c>
    </row>
    <row r="109" spans="1:10" x14ac:dyDescent="0.3">
      <c r="A109">
        <v>107</v>
      </c>
      <c r="B109">
        <v>1725</v>
      </c>
      <c r="C109" t="b">
        <v>1</v>
      </c>
      <c r="D109">
        <v>8060</v>
      </c>
      <c r="E109">
        <v>8123</v>
      </c>
      <c r="F109">
        <v>24</v>
      </c>
      <c r="G109">
        <v>8</v>
      </c>
      <c r="H109">
        <v>3</v>
      </c>
      <c r="I109">
        <v>-2</v>
      </c>
      <c r="J109">
        <v>0.25</v>
      </c>
    </row>
    <row r="110" spans="1:10" x14ac:dyDescent="0.3">
      <c r="A110">
        <v>108</v>
      </c>
      <c r="B110">
        <v>1741</v>
      </c>
      <c r="C110" t="b">
        <v>1</v>
      </c>
      <c r="D110">
        <v>8065</v>
      </c>
      <c r="E110">
        <v>8123</v>
      </c>
      <c r="F110">
        <v>24.333334000000001</v>
      </c>
      <c r="G110">
        <v>8</v>
      </c>
      <c r="H110">
        <v>3.0416666999999999</v>
      </c>
      <c r="I110">
        <v>-2.0416666999999999</v>
      </c>
      <c r="J110">
        <v>0.24742267000000001</v>
      </c>
    </row>
    <row r="111" spans="1:10" x14ac:dyDescent="0.3">
      <c r="A111">
        <v>109</v>
      </c>
      <c r="B111">
        <v>1757</v>
      </c>
      <c r="C111" t="b">
        <v>1</v>
      </c>
      <c r="D111">
        <v>8071</v>
      </c>
      <c r="E111">
        <v>8129</v>
      </c>
      <c r="F111">
        <v>24.666665999999999</v>
      </c>
      <c r="G111">
        <v>8</v>
      </c>
      <c r="H111">
        <v>3.0833333000000001</v>
      </c>
      <c r="I111">
        <v>-2.0833333000000001</v>
      </c>
      <c r="J111">
        <v>0.24489797999999999</v>
      </c>
    </row>
    <row r="112" spans="1:10" x14ac:dyDescent="0.3">
      <c r="A112">
        <v>110</v>
      </c>
      <c r="B112">
        <v>1773</v>
      </c>
      <c r="C112" t="b">
        <v>1</v>
      </c>
      <c r="D112">
        <v>8065</v>
      </c>
      <c r="E112">
        <v>8129</v>
      </c>
      <c r="F112">
        <v>25</v>
      </c>
      <c r="G112">
        <v>8</v>
      </c>
      <c r="H112">
        <v>3.125</v>
      </c>
      <c r="I112">
        <v>-2.125</v>
      </c>
      <c r="J112">
        <v>0.24242425000000001</v>
      </c>
    </row>
    <row r="113" spans="1:10" x14ac:dyDescent="0.3">
      <c r="A113">
        <v>111</v>
      </c>
      <c r="B113">
        <v>1788</v>
      </c>
      <c r="C113" t="b">
        <v>1</v>
      </c>
      <c r="D113">
        <v>8060</v>
      </c>
      <c r="E113">
        <v>8129</v>
      </c>
      <c r="F113">
        <v>25</v>
      </c>
      <c r="G113">
        <v>8.4</v>
      </c>
      <c r="H113">
        <v>2.9761905999999998</v>
      </c>
      <c r="I113">
        <v>-1.9761906</v>
      </c>
      <c r="J113">
        <v>0.25149696999999999</v>
      </c>
    </row>
    <row r="114" spans="1:10" x14ac:dyDescent="0.3">
      <c r="A114">
        <v>112</v>
      </c>
      <c r="B114">
        <v>1804</v>
      </c>
      <c r="C114" t="b">
        <v>1</v>
      </c>
      <c r="D114">
        <v>8060</v>
      </c>
      <c r="E114">
        <v>8123</v>
      </c>
      <c r="F114">
        <v>25</v>
      </c>
      <c r="G114">
        <v>8.8000000000000007</v>
      </c>
      <c r="H114">
        <v>2.8409089999999999</v>
      </c>
      <c r="I114">
        <v>-1.8409091</v>
      </c>
      <c r="J114">
        <v>0.26035506000000003</v>
      </c>
    </row>
    <row r="115" spans="1:10" x14ac:dyDescent="0.3">
      <c r="A115">
        <v>113</v>
      </c>
      <c r="B115">
        <v>1819</v>
      </c>
      <c r="C115" t="b">
        <v>1</v>
      </c>
      <c r="D115">
        <v>8065</v>
      </c>
      <c r="E115">
        <v>8123</v>
      </c>
      <c r="F115">
        <v>25</v>
      </c>
      <c r="G115">
        <v>9.1999999999999993</v>
      </c>
      <c r="H115">
        <v>2.7173913000000001</v>
      </c>
      <c r="I115">
        <v>-1.7173913999999999</v>
      </c>
      <c r="J115">
        <v>0.26900584</v>
      </c>
    </row>
    <row r="116" spans="1:10" x14ac:dyDescent="0.3">
      <c r="A116">
        <v>114</v>
      </c>
      <c r="B116">
        <v>1835</v>
      </c>
      <c r="C116" t="b">
        <v>1</v>
      </c>
      <c r="D116">
        <v>8077</v>
      </c>
      <c r="E116">
        <v>8123</v>
      </c>
      <c r="F116">
        <v>25</v>
      </c>
      <c r="G116">
        <v>9.1999999999999993</v>
      </c>
      <c r="H116">
        <v>2.7173913000000001</v>
      </c>
      <c r="I116">
        <v>-1.7173913999999999</v>
      </c>
      <c r="J116">
        <v>0.26900584</v>
      </c>
    </row>
    <row r="117" spans="1:10" x14ac:dyDescent="0.3">
      <c r="A117">
        <v>115</v>
      </c>
      <c r="B117">
        <v>1851</v>
      </c>
      <c r="C117" t="b">
        <v>1</v>
      </c>
      <c r="D117">
        <v>8071</v>
      </c>
      <c r="E117">
        <v>8117</v>
      </c>
      <c r="F117">
        <v>25</v>
      </c>
      <c r="G117">
        <v>9.1999999999999993</v>
      </c>
      <c r="H117">
        <v>2.7173913000000001</v>
      </c>
      <c r="I117">
        <v>-1.7173913999999999</v>
      </c>
      <c r="J117">
        <v>0.26900584</v>
      </c>
    </row>
    <row r="118" spans="1:10" x14ac:dyDescent="0.3">
      <c r="A118">
        <v>116</v>
      </c>
      <c r="B118">
        <v>1867</v>
      </c>
      <c r="C118" t="b">
        <v>1</v>
      </c>
      <c r="D118">
        <v>8065</v>
      </c>
      <c r="E118">
        <v>8123</v>
      </c>
      <c r="F118">
        <v>25</v>
      </c>
      <c r="G118">
        <v>9.1999999999999993</v>
      </c>
      <c r="H118">
        <v>2.7173913000000001</v>
      </c>
      <c r="I118">
        <v>-1.7173913999999999</v>
      </c>
      <c r="J118">
        <v>0.26900584</v>
      </c>
    </row>
    <row r="119" spans="1:10" x14ac:dyDescent="0.3">
      <c r="A119">
        <v>117</v>
      </c>
      <c r="B119">
        <v>1883</v>
      </c>
      <c r="C119" t="b">
        <v>1</v>
      </c>
      <c r="D119">
        <v>8077</v>
      </c>
      <c r="E119">
        <v>8123</v>
      </c>
      <c r="F119">
        <v>25.4</v>
      </c>
      <c r="G119">
        <v>9.1999999999999993</v>
      </c>
      <c r="H119">
        <v>2.7608695000000001</v>
      </c>
      <c r="I119">
        <v>-1.7608697</v>
      </c>
      <c r="J119">
        <v>0.26589595999999999</v>
      </c>
    </row>
    <row r="120" spans="1:10" x14ac:dyDescent="0.3">
      <c r="A120">
        <v>118</v>
      </c>
      <c r="B120">
        <v>1899</v>
      </c>
      <c r="C120" t="b">
        <v>1</v>
      </c>
      <c r="D120">
        <v>8071</v>
      </c>
      <c r="E120">
        <v>8129</v>
      </c>
      <c r="F120">
        <v>25.8</v>
      </c>
      <c r="G120">
        <v>9.1999999999999993</v>
      </c>
      <c r="H120">
        <v>2.8043477999999999</v>
      </c>
      <c r="I120">
        <v>-1.8043477999999999</v>
      </c>
      <c r="J120">
        <v>0.26285713999999999</v>
      </c>
    </row>
    <row r="121" spans="1:10" x14ac:dyDescent="0.3">
      <c r="A121">
        <v>119</v>
      </c>
      <c r="B121">
        <v>1915</v>
      </c>
      <c r="C121" t="b">
        <v>1</v>
      </c>
      <c r="D121">
        <v>8065</v>
      </c>
      <c r="E121">
        <v>8123</v>
      </c>
      <c r="F121">
        <v>26.2</v>
      </c>
      <c r="G121">
        <v>9.1999999999999993</v>
      </c>
      <c r="H121">
        <v>2.8478262000000001</v>
      </c>
      <c r="I121">
        <v>-1.8478261</v>
      </c>
      <c r="J121">
        <v>0.25988697999999999</v>
      </c>
    </row>
    <row r="122" spans="1:10" x14ac:dyDescent="0.3">
      <c r="A122">
        <v>120</v>
      </c>
      <c r="B122">
        <v>1930</v>
      </c>
      <c r="C122" t="b">
        <v>1</v>
      </c>
      <c r="D122">
        <v>8060</v>
      </c>
      <c r="E122">
        <v>8123</v>
      </c>
      <c r="F122">
        <v>26.2</v>
      </c>
      <c r="G122">
        <v>9.1999999999999993</v>
      </c>
      <c r="H122">
        <v>2.8478262000000001</v>
      </c>
      <c r="I122">
        <v>-1.8478261</v>
      </c>
      <c r="J122">
        <v>0.25988697999999999</v>
      </c>
    </row>
    <row r="123" spans="1:10" x14ac:dyDescent="0.3">
      <c r="A123">
        <v>121</v>
      </c>
      <c r="B123">
        <v>1946</v>
      </c>
      <c r="C123" t="b">
        <v>1</v>
      </c>
      <c r="D123">
        <v>8054</v>
      </c>
      <c r="E123">
        <v>8123</v>
      </c>
      <c r="F123">
        <v>26.2</v>
      </c>
      <c r="G123">
        <v>9.1999999999999993</v>
      </c>
      <c r="H123">
        <v>2.8478262000000001</v>
      </c>
      <c r="I123">
        <v>-1.8478261</v>
      </c>
      <c r="J123">
        <v>0.25988697999999999</v>
      </c>
    </row>
    <row r="124" spans="1:10" x14ac:dyDescent="0.3">
      <c r="A124">
        <v>122</v>
      </c>
      <c r="B124">
        <v>1961</v>
      </c>
      <c r="C124" t="b">
        <v>1</v>
      </c>
      <c r="D124">
        <v>8054</v>
      </c>
      <c r="E124">
        <v>8129</v>
      </c>
      <c r="F124">
        <v>25.866667</v>
      </c>
      <c r="G124">
        <v>9.1999999999999993</v>
      </c>
      <c r="H124">
        <v>2.8115942</v>
      </c>
      <c r="I124">
        <v>-1.8115943999999999</v>
      </c>
      <c r="J124">
        <v>0.26235740000000002</v>
      </c>
    </row>
    <row r="125" spans="1:10" x14ac:dyDescent="0.3">
      <c r="A125">
        <v>123</v>
      </c>
      <c r="B125">
        <v>1977</v>
      </c>
      <c r="C125" t="b">
        <v>1</v>
      </c>
      <c r="D125">
        <v>8065</v>
      </c>
      <c r="E125">
        <v>8129</v>
      </c>
      <c r="F125">
        <v>25.533332999999999</v>
      </c>
      <c r="G125">
        <v>9.1999999999999993</v>
      </c>
      <c r="H125">
        <v>2.7753622999999998</v>
      </c>
      <c r="I125">
        <v>-1.7753623000000001</v>
      </c>
      <c r="J125">
        <v>0.26487523000000002</v>
      </c>
    </row>
    <row r="126" spans="1:10" x14ac:dyDescent="0.3">
      <c r="A126">
        <v>124</v>
      </c>
      <c r="B126">
        <v>1993</v>
      </c>
      <c r="C126" t="b">
        <v>1</v>
      </c>
      <c r="D126">
        <v>8060</v>
      </c>
      <c r="E126">
        <v>8123</v>
      </c>
      <c r="F126">
        <v>25.2</v>
      </c>
      <c r="G126">
        <v>9.1999999999999993</v>
      </c>
      <c r="H126">
        <v>2.7391304999999999</v>
      </c>
      <c r="I126">
        <v>-1.7391304999999999</v>
      </c>
      <c r="J126">
        <v>0.26744183999999999</v>
      </c>
    </row>
    <row r="127" spans="1:10" x14ac:dyDescent="0.3">
      <c r="A127">
        <v>125</v>
      </c>
      <c r="B127">
        <v>2009</v>
      </c>
      <c r="C127" t="b">
        <v>1</v>
      </c>
      <c r="D127">
        <v>8065</v>
      </c>
      <c r="E127">
        <v>8123</v>
      </c>
      <c r="F127">
        <v>24.866667</v>
      </c>
      <c r="G127">
        <v>9.1999999999999993</v>
      </c>
      <c r="H127">
        <v>2.7028984999999999</v>
      </c>
      <c r="I127">
        <v>-1.7028985999999999</v>
      </c>
      <c r="J127">
        <v>0.27005871999999997</v>
      </c>
    </row>
    <row r="128" spans="1:10" x14ac:dyDescent="0.3">
      <c r="A128">
        <v>126</v>
      </c>
      <c r="B128">
        <v>2024</v>
      </c>
      <c r="C128" t="b">
        <v>1</v>
      </c>
      <c r="D128">
        <v>8071</v>
      </c>
      <c r="E128">
        <v>8123</v>
      </c>
      <c r="F128">
        <v>24.866667</v>
      </c>
      <c r="G128">
        <v>8.8000000000000007</v>
      </c>
      <c r="H128">
        <v>2.8257574999999999</v>
      </c>
      <c r="I128">
        <v>-1.8257574000000001</v>
      </c>
      <c r="J128">
        <v>0.26138612999999999</v>
      </c>
    </row>
    <row r="129" spans="1:10" x14ac:dyDescent="0.3">
      <c r="A129">
        <v>127</v>
      </c>
      <c r="B129">
        <v>2040</v>
      </c>
      <c r="C129" t="b">
        <v>1</v>
      </c>
      <c r="D129">
        <v>8065</v>
      </c>
      <c r="E129">
        <v>8123</v>
      </c>
      <c r="F129">
        <v>24.866667</v>
      </c>
      <c r="G129">
        <v>8.4</v>
      </c>
      <c r="H129">
        <v>2.9603176000000002</v>
      </c>
      <c r="I129">
        <v>-1.9603176</v>
      </c>
      <c r="J129">
        <v>0.25250499999999998</v>
      </c>
    </row>
    <row r="130" spans="1:10" x14ac:dyDescent="0.3">
      <c r="A130">
        <v>128</v>
      </c>
      <c r="B130">
        <v>2056</v>
      </c>
      <c r="C130" t="b">
        <v>1</v>
      </c>
      <c r="D130">
        <v>8071</v>
      </c>
      <c r="E130">
        <v>8129</v>
      </c>
      <c r="F130">
        <v>24.866667</v>
      </c>
      <c r="G130">
        <v>8</v>
      </c>
      <c r="H130">
        <v>3.1083333</v>
      </c>
      <c r="I130">
        <v>-2.1083333</v>
      </c>
      <c r="J130">
        <v>0.2434077</v>
      </c>
    </row>
    <row r="131" spans="1:10" x14ac:dyDescent="0.3">
      <c r="A131">
        <v>129</v>
      </c>
      <c r="B131">
        <v>2071</v>
      </c>
      <c r="C131" t="b">
        <v>1</v>
      </c>
      <c r="D131">
        <v>8065</v>
      </c>
      <c r="E131">
        <v>8129</v>
      </c>
      <c r="F131">
        <v>24.866667</v>
      </c>
      <c r="G131">
        <v>8</v>
      </c>
      <c r="H131">
        <v>3.1083333</v>
      </c>
      <c r="I131">
        <v>-2.1083333</v>
      </c>
      <c r="J131">
        <v>0.2434077</v>
      </c>
    </row>
    <row r="132" spans="1:10" x14ac:dyDescent="0.3">
      <c r="A132">
        <v>130</v>
      </c>
      <c r="B132">
        <v>2087</v>
      </c>
      <c r="C132" t="b">
        <v>1</v>
      </c>
      <c r="D132">
        <v>8060</v>
      </c>
      <c r="E132">
        <v>8123</v>
      </c>
      <c r="F132">
        <v>24.866667</v>
      </c>
      <c r="G132">
        <v>8</v>
      </c>
      <c r="H132">
        <v>3.1083333</v>
      </c>
      <c r="I132">
        <v>-2.1083333</v>
      </c>
      <c r="J132">
        <v>0.2434077</v>
      </c>
    </row>
    <row r="133" spans="1:10" x14ac:dyDescent="0.3">
      <c r="A133">
        <v>131</v>
      </c>
      <c r="B133">
        <v>2103</v>
      </c>
      <c r="C133" t="b">
        <v>1</v>
      </c>
      <c r="D133">
        <v>8065</v>
      </c>
      <c r="E133">
        <v>8111</v>
      </c>
      <c r="F133">
        <v>24.866667</v>
      </c>
      <c r="G133">
        <v>8</v>
      </c>
      <c r="H133">
        <v>3.1083333</v>
      </c>
      <c r="I133">
        <v>-2.1083333</v>
      </c>
      <c r="J133">
        <v>0.2434077</v>
      </c>
    </row>
    <row r="134" spans="1:10" x14ac:dyDescent="0.3">
      <c r="A134">
        <v>132</v>
      </c>
      <c r="B134">
        <v>2119</v>
      </c>
      <c r="C134" t="b">
        <v>1</v>
      </c>
      <c r="D134">
        <v>8065</v>
      </c>
      <c r="E134">
        <v>8129</v>
      </c>
      <c r="F134">
        <v>24.466667000000001</v>
      </c>
      <c r="G134">
        <v>8.4</v>
      </c>
      <c r="H134">
        <v>2.9126984999999999</v>
      </c>
      <c r="I134">
        <v>-1.9126985999999999</v>
      </c>
      <c r="J134">
        <v>0.25557806999999999</v>
      </c>
    </row>
    <row r="135" spans="1:10" x14ac:dyDescent="0.3">
      <c r="A135">
        <v>133</v>
      </c>
      <c r="B135">
        <v>2135</v>
      </c>
      <c r="C135" t="b">
        <v>1</v>
      </c>
      <c r="D135">
        <v>8077</v>
      </c>
      <c r="E135">
        <v>8129</v>
      </c>
      <c r="F135">
        <v>24.066668</v>
      </c>
      <c r="G135">
        <v>8.8000000000000007</v>
      </c>
      <c r="H135">
        <v>2.7348485</v>
      </c>
      <c r="I135">
        <v>-1.7348485</v>
      </c>
      <c r="J135">
        <v>0.26774848000000001</v>
      </c>
    </row>
    <row r="136" spans="1:10" x14ac:dyDescent="0.3">
      <c r="A136">
        <v>134</v>
      </c>
      <c r="B136">
        <v>2151</v>
      </c>
      <c r="C136" t="b">
        <v>1</v>
      </c>
      <c r="D136">
        <v>8065</v>
      </c>
      <c r="E136">
        <v>8129</v>
      </c>
      <c r="F136">
        <v>23.666665999999999</v>
      </c>
      <c r="G136">
        <v>9.1999999999999993</v>
      </c>
      <c r="H136">
        <v>2.5724638</v>
      </c>
      <c r="I136">
        <v>-1.5724638</v>
      </c>
      <c r="J136">
        <v>0.27991887999999998</v>
      </c>
    </row>
    <row r="137" spans="1:10" x14ac:dyDescent="0.3">
      <c r="A137">
        <v>135</v>
      </c>
      <c r="B137">
        <v>2167</v>
      </c>
      <c r="C137" t="b">
        <v>1</v>
      </c>
      <c r="D137">
        <v>8065</v>
      </c>
      <c r="E137">
        <v>8129</v>
      </c>
      <c r="F137">
        <v>23.666665999999999</v>
      </c>
      <c r="G137">
        <v>9.6</v>
      </c>
      <c r="H137">
        <v>2.4652777000000001</v>
      </c>
      <c r="I137">
        <v>-1.4652776999999999</v>
      </c>
      <c r="J137">
        <v>0.28857716999999999</v>
      </c>
    </row>
    <row r="138" spans="1:10" x14ac:dyDescent="0.3">
      <c r="A138">
        <v>136</v>
      </c>
      <c r="B138">
        <v>2183</v>
      </c>
      <c r="C138" t="b">
        <v>1</v>
      </c>
      <c r="D138">
        <v>8065</v>
      </c>
      <c r="E138">
        <v>8129</v>
      </c>
      <c r="F138">
        <v>23.666665999999999</v>
      </c>
      <c r="G138">
        <v>10</v>
      </c>
      <c r="H138">
        <v>2.3666665999999998</v>
      </c>
      <c r="I138">
        <v>-1.3666666000000001</v>
      </c>
      <c r="J138">
        <v>0.29702972999999999</v>
      </c>
    </row>
    <row r="139" spans="1:10" x14ac:dyDescent="0.3">
      <c r="A139">
        <v>137</v>
      </c>
      <c r="B139">
        <v>2199</v>
      </c>
      <c r="C139" t="b">
        <v>1</v>
      </c>
      <c r="D139">
        <v>8065</v>
      </c>
      <c r="E139">
        <v>8129</v>
      </c>
      <c r="F139">
        <v>24</v>
      </c>
      <c r="G139">
        <v>10.4</v>
      </c>
      <c r="H139">
        <v>2.3076922999999998</v>
      </c>
      <c r="I139">
        <v>-1.3076924000000001</v>
      </c>
      <c r="J139">
        <v>0.30232555</v>
      </c>
    </row>
    <row r="140" spans="1:10" x14ac:dyDescent="0.3">
      <c r="A140">
        <v>138</v>
      </c>
      <c r="B140">
        <v>2214</v>
      </c>
      <c r="C140" t="b">
        <v>1</v>
      </c>
      <c r="D140">
        <v>8071</v>
      </c>
      <c r="E140">
        <v>8129</v>
      </c>
      <c r="F140">
        <v>24.333334000000001</v>
      </c>
      <c r="G140">
        <v>10.8</v>
      </c>
      <c r="H140">
        <v>2.2530863000000001</v>
      </c>
      <c r="I140">
        <v>-1.2530863999999999</v>
      </c>
      <c r="J140">
        <v>0.30740037999999997</v>
      </c>
    </row>
    <row r="141" spans="1:10" x14ac:dyDescent="0.3">
      <c r="A141">
        <v>139</v>
      </c>
      <c r="B141">
        <v>2230</v>
      </c>
      <c r="C141" t="b">
        <v>1</v>
      </c>
      <c r="D141">
        <v>8071</v>
      </c>
      <c r="E141">
        <v>8111</v>
      </c>
      <c r="F141">
        <v>24.666665999999999</v>
      </c>
      <c r="G141">
        <v>11.2</v>
      </c>
      <c r="H141">
        <v>2.2023809999999999</v>
      </c>
      <c r="I141">
        <v>-1.2023809000000001</v>
      </c>
      <c r="J141">
        <v>0.31226766</v>
      </c>
    </row>
    <row r="142" spans="1:10" x14ac:dyDescent="0.3">
      <c r="A142">
        <v>140</v>
      </c>
      <c r="B142">
        <v>2246</v>
      </c>
      <c r="C142" t="b">
        <v>1</v>
      </c>
      <c r="D142">
        <v>8065</v>
      </c>
      <c r="E142">
        <v>8123</v>
      </c>
      <c r="F142">
        <v>25</v>
      </c>
      <c r="G142">
        <v>11.6</v>
      </c>
      <c r="H142">
        <v>2.1551722999999998</v>
      </c>
      <c r="I142">
        <v>-1.1551723</v>
      </c>
      <c r="J142">
        <v>0.31693991999999999</v>
      </c>
    </row>
    <row r="143" spans="1:10" x14ac:dyDescent="0.3">
      <c r="A143">
        <v>141</v>
      </c>
      <c r="B143">
        <v>2262</v>
      </c>
      <c r="C143" t="b">
        <v>1</v>
      </c>
      <c r="D143">
        <v>8071</v>
      </c>
      <c r="E143">
        <v>8123</v>
      </c>
      <c r="F143">
        <v>25.4</v>
      </c>
      <c r="G143">
        <v>11.6</v>
      </c>
      <c r="H143">
        <v>2.1896550000000001</v>
      </c>
      <c r="I143">
        <v>-1.1896551</v>
      </c>
      <c r="J143">
        <v>0.31351351999999999</v>
      </c>
    </row>
    <row r="144" spans="1:10" x14ac:dyDescent="0.3">
      <c r="A144">
        <v>142</v>
      </c>
      <c r="B144">
        <v>2278</v>
      </c>
      <c r="C144" t="b">
        <v>1</v>
      </c>
      <c r="D144">
        <v>8077</v>
      </c>
      <c r="E144">
        <v>8123</v>
      </c>
      <c r="F144">
        <v>25.8</v>
      </c>
      <c r="G144">
        <v>11.6</v>
      </c>
      <c r="H144">
        <v>2.2241377999999998</v>
      </c>
      <c r="I144">
        <v>-1.2241378000000001</v>
      </c>
      <c r="J144">
        <v>0.31016042999999999</v>
      </c>
    </row>
    <row r="145" spans="1:10" x14ac:dyDescent="0.3">
      <c r="A145">
        <v>143</v>
      </c>
      <c r="B145">
        <v>2294</v>
      </c>
      <c r="C145" t="b">
        <v>1</v>
      </c>
      <c r="D145">
        <v>8077</v>
      </c>
      <c r="E145">
        <v>8123</v>
      </c>
      <c r="F145">
        <v>26.2</v>
      </c>
      <c r="G145">
        <v>11.6</v>
      </c>
      <c r="H145">
        <v>2.2586206999999998</v>
      </c>
      <c r="I145">
        <v>-1.2586207</v>
      </c>
      <c r="J145">
        <v>0.30687829999999999</v>
      </c>
    </row>
    <row r="146" spans="1:10" x14ac:dyDescent="0.3">
      <c r="A146">
        <v>144</v>
      </c>
      <c r="B146">
        <v>2310</v>
      </c>
      <c r="C146" t="b">
        <v>1</v>
      </c>
      <c r="D146">
        <v>8077</v>
      </c>
      <c r="E146">
        <v>8123</v>
      </c>
      <c r="F146">
        <v>27</v>
      </c>
      <c r="G146">
        <v>11.6</v>
      </c>
      <c r="H146">
        <v>2.3275861999999998</v>
      </c>
      <c r="I146">
        <v>-1.3275862</v>
      </c>
      <c r="J146">
        <v>0.30051815999999998</v>
      </c>
    </row>
    <row r="147" spans="1:10" x14ac:dyDescent="0.3">
      <c r="A147">
        <v>145</v>
      </c>
      <c r="B147">
        <v>2325</v>
      </c>
      <c r="C147" t="b">
        <v>1</v>
      </c>
      <c r="D147">
        <v>8071</v>
      </c>
      <c r="E147">
        <v>8134</v>
      </c>
      <c r="F147">
        <v>27.8</v>
      </c>
      <c r="G147">
        <v>11.6</v>
      </c>
      <c r="H147">
        <v>2.3965516</v>
      </c>
      <c r="I147">
        <v>-1.3965516</v>
      </c>
      <c r="J147">
        <v>0.29441624999999999</v>
      </c>
    </row>
    <row r="148" spans="1:10" x14ac:dyDescent="0.3">
      <c r="A148">
        <v>146</v>
      </c>
      <c r="B148">
        <v>2341</v>
      </c>
      <c r="C148" t="b">
        <v>1</v>
      </c>
      <c r="D148">
        <v>8071</v>
      </c>
      <c r="E148">
        <v>8123</v>
      </c>
      <c r="F148">
        <v>28.6</v>
      </c>
      <c r="G148">
        <v>11.6</v>
      </c>
      <c r="H148">
        <v>2.4655173000000001</v>
      </c>
      <c r="I148">
        <v>-1.4655172000000001</v>
      </c>
      <c r="J148">
        <v>0.28855723</v>
      </c>
    </row>
    <row r="149" spans="1:10" x14ac:dyDescent="0.3">
      <c r="A149">
        <v>147</v>
      </c>
      <c r="B149">
        <v>2357</v>
      </c>
      <c r="C149" t="b">
        <v>1</v>
      </c>
      <c r="D149">
        <v>8071</v>
      </c>
      <c r="E149">
        <v>8129</v>
      </c>
      <c r="F149">
        <v>29</v>
      </c>
      <c r="G149">
        <v>11.2</v>
      </c>
      <c r="H149">
        <v>2.5892859000000001</v>
      </c>
      <c r="I149">
        <v>-1.5892857</v>
      </c>
      <c r="J149">
        <v>0.27860695000000002</v>
      </c>
    </row>
    <row r="150" spans="1:10" x14ac:dyDescent="0.3">
      <c r="A150">
        <v>148</v>
      </c>
      <c r="B150">
        <v>2373</v>
      </c>
      <c r="C150" t="b">
        <v>1</v>
      </c>
      <c r="D150">
        <v>8071</v>
      </c>
      <c r="E150">
        <v>8134</v>
      </c>
      <c r="F150">
        <v>29.4</v>
      </c>
      <c r="G150">
        <v>11.2</v>
      </c>
      <c r="H150">
        <v>2.625</v>
      </c>
      <c r="I150">
        <v>-1.6250001000000001</v>
      </c>
      <c r="J150">
        <v>0.27586207000000001</v>
      </c>
    </row>
    <row r="151" spans="1:10" x14ac:dyDescent="0.3">
      <c r="A151">
        <v>149</v>
      </c>
      <c r="B151">
        <v>2389</v>
      </c>
      <c r="C151" t="b">
        <v>1</v>
      </c>
      <c r="D151">
        <v>8071</v>
      </c>
      <c r="E151">
        <v>8134</v>
      </c>
      <c r="F151">
        <v>29.8</v>
      </c>
      <c r="G151">
        <v>11.533334</v>
      </c>
      <c r="H151">
        <v>2.5838149000000001</v>
      </c>
      <c r="I151">
        <v>-1.583815</v>
      </c>
      <c r="J151">
        <v>0.27903230000000001</v>
      </c>
    </row>
    <row r="152" spans="1:10" x14ac:dyDescent="0.3">
      <c r="A152">
        <v>150</v>
      </c>
      <c r="B152">
        <v>2405</v>
      </c>
      <c r="C152" t="b">
        <v>1</v>
      </c>
      <c r="D152">
        <v>8071</v>
      </c>
      <c r="E152">
        <v>8134</v>
      </c>
      <c r="F152">
        <v>30.2</v>
      </c>
      <c r="G152">
        <v>11.866667</v>
      </c>
      <c r="H152">
        <v>2.5449438</v>
      </c>
      <c r="I152">
        <v>-1.5449438</v>
      </c>
      <c r="J152">
        <v>0.28209192</v>
      </c>
    </row>
    <row r="153" spans="1:10" x14ac:dyDescent="0.3">
      <c r="A153">
        <v>151</v>
      </c>
      <c r="B153">
        <v>2421</v>
      </c>
      <c r="C153" t="b">
        <v>1</v>
      </c>
      <c r="D153">
        <v>8071</v>
      </c>
      <c r="E153">
        <v>8123</v>
      </c>
      <c r="F153">
        <v>30.6</v>
      </c>
      <c r="G153">
        <v>12.2</v>
      </c>
      <c r="H153">
        <v>2.5081967999999999</v>
      </c>
      <c r="I153">
        <v>-1.5081967999999999</v>
      </c>
      <c r="J153">
        <v>0.28504673000000003</v>
      </c>
    </row>
    <row r="154" spans="1:10" x14ac:dyDescent="0.3">
      <c r="A154">
        <v>152</v>
      </c>
      <c r="B154">
        <v>2437</v>
      </c>
      <c r="C154" t="b">
        <v>1</v>
      </c>
      <c r="D154">
        <v>8060</v>
      </c>
      <c r="E154">
        <v>8123</v>
      </c>
      <c r="F154">
        <v>31</v>
      </c>
      <c r="G154">
        <v>12.533334</v>
      </c>
      <c r="H154">
        <v>2.4734042000000001</v>
      </c>
      <c r="I154">
        <v>-1.4734042999999999</v>
      </c>
      <c r="J154">
        <v>0.28790199999999999</v>
      </c>
    </row>
    <row r="155" spans="1:10" x14ac:dyDescent="0.3">
      <c r="A155">
        <v>153</v>
      </c>
      <c r="B155">
        <v>2453</v>
      </c>
      <c r="C155" t="b">
        <v>1</v>
      </c>
      <c r="D155">
        <v>8071</v>
      </c>
      <c r="E155">
        <v>8117</v>
      </c>
      <c r="F155">
        <v>31.4</v>
      </c>
      <c r="G155">
        <v>12.133333</v>
      </c>
      <c r="H155">
        <v>2.5879120000000002</v>
      </c>
      <c r="I155">
        <v>-1.5879121</v>
      </c>
      <c r="J155">
        <v>0.27871363999999998</v>
      </c>
    </row>
    <row r="156" spans="1:10" x14ac:dyDescent="0.3">
      <c r="A156">
        <v>154</v>
      </c>
      <c r="B156">
        <v>2469</v>
      </c>
      <c r="C156" t="b">
        <v>1</v>
      </c>
      <c r="D156">
        <v>8065</v>
      </c>
      <c r="E156">
        <v>8123</v>
      </c>
      <c r="F156">
        <v>31.8</v>
      </c>
      <c r="G156">
        <v>11.733333999999999</v>
      </c>
      <c r="H156">
        <v>2.7102273000000001</v>
      </c>
      <c r="I156">
        <v>-1.7102271</v>
      </c>
      <c r="J156">
        <v>0.26952530000000002</v>
      </c>
    </row>
    <row r="157" spans="1:10" x14ac:dyDescent="0.3">
      <c r="A157">
        <v>155</v>
      </c>
      <c r="B157">
        <v>2485</v>
      </c>
      <c r="C157" t="b">
        <v>1</v>
      </c>
      <c r="D157">
        <v>8071</v>
      </c>
      <c r="E157">
        <v>8123</v>
      </c>
      <c r="F157">
        <v>32.200000000000003</v>
      </c>
      <c r="G157">
        <v>11.333333</v>
      </c>
      <c r="H157">
        <v>2.8411765</v>
      </c>
      <c r="I157">
        <v>-1.8411767000000001</v>
      </c>
      <c r="J157">
        <v>0.26033689999999998</v>
      </c>
    </row>
    <row r="158" spans="1:10" x14ac:dyDescent="0.3">
      <c r="A158">
        <v>156</v>
      </c>
      <c r="B158">
        <v>2500</v>
      </c>
      <c r="C158" t="b">
        <v>1</v>
      </c>
      <c r="D158">
        <v>8065</v>
      </c>
      <c r="E158">
        <v>8123</v>
      </c>
      <c r="F158">
        <v>31.8</v>
      </c>
      <c r="G158">
        <v>11.333333</v>
      </c>
      <c r="H158">
        <v>2.8058825000000001</v>
      </c>
      <c r="I158">
        <v>-1.8058825000000001</v>
      </c>
      <c r="J158">
        <v>0.26275115999999998</v>
      </c>
    </row>
    <row r="159" spans="1:10" x14ac:dyDescent="0.3">
      <c r="A159">
        <v>157</v>
      </c>
      <c r="B159">
        <v>2516</v>
      </c>
      <c r="C159" t="b">
        <v>1</v>
      </c>
      <c r="D159">
        <v>8065</v>
      </c>
      <c r="E159">
        <v>8129</v>
      </c>
      <c r="F159">
        <v>31.4</v>
      </c>
      <c r="G159">
        <v>11.333333</v>
      </c>
      <c r="H159">
        <v>2.7705883999999998</v>
      </c>
      <c r="I159">
        <v>-1.7705881999999999</v>
      </c>
      <c r="J159">
        <v>0.26521060000000002</v>
      </c>
    </row>
    <row r="160" spans="1:10" x14ac:dyDescent="0.3">
      <c r="A160">
        <v>158</v>
      </c>
      <c r="B160">
        <v>2532</v>
      </c>
      <c r="C160" t="b">
        <v>1</v>
      </c>
      <c r="D160">
        <v>8065</v>
      </c>
      <c r="E160">
        <v>8129</v>
      </c>
      <c r="F160">
        <v>31</v>
      </c>
      <c r="G160">
        <v>11.333333</v>
      </c>
      <c r="H160">
        <v>2.7352940000000001</v>
      </c>
      <c r="I160">
        <v>-1.7352942</v>
      </c>
      <c r="J160">
        <v>0.26771653000000001</v>
      </c>
    </row>
    <row r="161" spans="1:10" x14ac:dyDescent="0.3">
      <c r="A161">
        <v>159</v>
      </c>
      <c r="B161">
        <v>2548</v>
      </c>
      <c r="C161" t="b">
        <v>1</v>
      </c>
      <c r="D161">
        <v>8060</v>
      </c>
      <c r="E161">
        <v>8129</v>
      </c>
      <c r="F161">
        <v>30.2</v>
      </c>
      <c r="G161">
        <v>11.733333999999999</v>
      </c>
      <c r="H161">
        <v>2.5738637</v>
      </c>
      <c r="I161">
        <v>-1.5738635999999999</v>
      </c>
      <c r="J161">
        <v>0.27980919999999998</v>
      </c>
    </row>
    <row r="162" spans="1:10" x14ac:dyDescent="0.3">
      <c r="A162">
        <v>160</v>
      </c>
      <c r="B162">
        <v>2564</v>
      </c>
      <c r="C162" t="b">
        <v>1</v>
      </c>
      <c r="D162">
        <v>8065</v>
      </c>
      <c r="E162">
        <v>8134</v>
      </c>
      <c r="F162">
        <v>29.4</v>
      </c>
      <c r="G162">
        <v>12.133333</v>
      </c>
      <c r="H162">
        <v>2.4230768999999999</v>
      </c>
      <c r="I162">
        <v>-1.4230769000000001</v>
      </c>
      <c r="J162">
        <v>0.29213482000000002</v>
      </c>
    </row>
    <row r="163" spans="1:10" x14ac:dyDescent="0.3">
      <c r="A163">
        <v>161</v>
      </c>
      <c r="B163">
        <v>2580</v>
      </c>
      <c r="C163" t="b">
        <v>1</v>
      </c>
      <c r="D163">
        <v>8060</v>
      </c>
      <c r="E163">
        <v>8129</v>
      </c>
      <c r="F163">
        <v>28.6</v>
      </c>
      <c r="G163">
        <v>12.533334</v>
      </c>
      <c r="H163">
        <v>2.2819150000000001</v>
      </c>
      <c r="I163">
        <v>-1.2819147</v>
      </c>
      <c r="J163">
        <v>0.30470016999999999</v>
      </c>
    </row>
    <row r="164" spans="1:10" x14ac:dyDescent="0.3">
      <c r="A164">
        <v>162</v>
      </c>
      <c r="B164">
        <v>2596</v>
      </c>
      <c r="C164" t="b">
        <v>1</v>
      </c>
      <c r="D164">
        <v>8065</v>
      </c>
      <c r="E164">
        <v>8129</v>
      </c>
      <c r="F164">
        <v>28.2</v>
      </c>
      <c r="G164">
        <v>12.933332999999999</v>
      </c>
      <c r="H164">
        <v>2.1804125000000001</v>
      </c>
      <c r="I164">
        <v>-1.1804124</v>
      </c>
      <c r="J164">
        <v>0.31442462999999998</v>
      </c>
    </row>
    <row r="165" spans="1:10" x14ac:dyDescent="0.3">
      <c r="A165">
        <v>163</v>
      </c>
      <c r="B165">
        <v>2612</v>
      </c>
      <c r="C165" t="b">
        <v>1</v>
      </c>
      <c r="D165">
        <v>8065</v>
      </c>
      <c r="E165">
        <v>8123</v>
      </c>
      <c r="F165">
        <v>27.8</v>
      </c>
      <c r="G165">
        <v>12.933332999999999</v>
      </c>
      <c r="H165">
        <v>2.1494844</v>
      </c>
      <c r="I165">
        <v>-1.1494845</v>
      </c>
      <c r="J165">
        <v>0.31751226999999999</v>
      </c>
    </row>
    <row r="166" spans="1:10" x14ac:dyDescent="0.3">
      <c r="A166">
        <v>164</v>
      </c>
      <c r="B166">
        <v>2628</v>
      </c>
      <c r="C166" t="b">
        <v>1</v>
      </c>
      <c r="D166">
        <v>8071</v>
      </c>
      <c r="E166">
        <v>8123</v>
      </c>
      <c r="F166">
        <v>27.4</v>
      </c>
      <c r="G166">
        <v>12.6</v>
      </c>
      <c r="H166">
        <v>2.1746029999999998</v>
      </c>
      <c r="I166">
        <v>-1.1746030999999999</v>
      </c>
      <c r="J166">
        <v>0.315</v>
      </c>
    </row>
    <row r="167" spans="1:10" x14ac:dyDescent="0.3">
      <c r="A167">
        <v>165</v>
      </c>
      <c r="B167">
        <v>2643</v>
      </c>
      <c r="C167" t="b">
        <v>1</v>
      </c>
      <c r="D167">
        <v>8054</v>
      </c>
      <c r="E167">
        <v>8123</v>
      </c>
      <c r="F167">
        <v>27</v>
      </c>
      <c r="G167">
        <v>11.866667</v>
      </c>
      <c r="H167">
        <v>2.2752810000000001</v>
      </c>
      <c r="I167">
        <v>-1.2752808</v>
      </c>
      <c r="J167">
        <v>0.30531730000000001</v>
      </c>
    </row>
    <row r="168" spans="1:10" x14ac:dyDescent="0.3">
      <c r="A168">
        <v>166</v>
      </c>
      <c r="B168">
        <v>2659</v>
      </c>
      <c r="C168" t="b">
        <v>1</v>
      </c>
      <c r="D168">
        <v>8060</v>
      </c>
      <c r="E168">
        <v>8123</v>
      </c>
      <c r="F168">
        <v>26.6</v>
      </c>
      <c r="G168">
        <v>11.133333</v>
      </c>
      <c r="H168">
        <v>2.3892216999999998</v>
      </c>
      <c r="I168">
        <v>-1.3892217</v>
      </c>
      <c r="J168">
        <v>0.29505300000000001</v>
      </c>
    </row>
    <row r="169" spans="1:10" x14ac:dyDescent="0.3">
      <c r="A169">
        <v>167</v>
      </c>
      <c r="B169">
        <v>2675</v>
      </c>
      <c r="C169" t="b">
        <v>1</v>
      </c>
      <c r="D169">
        <v>8065</v>
      </c>
      <c r="E169">
        <v>8117</v>
      </c>
      <c r="F169">
        <v>26.2</v>
      </c>
      <c r="G169">
        <v>10.4</v>
      </c>
      <c r="H169">
        <v>2.5192307999999999</v>
      </c>
      <c r="I169">
        <v>-1.519231</v>
      </c>
      <c r="J169">
        <v>0.28415299999999999</v>
      </c>
    </row>
    <row r="170" spans="1:10" x14ac:dyDescent="0.3">
      <c r="A170">
        <v>168</v>
      </c>
      <c r="B170">
        <v>2690</v>
      </c>
      <c r="C170" t="b">
        <v>1</v>
      </c>
      <c r="D170">
        <v>8060</v>
      </c>
      <c r="E170">
        <v>8123</v>
      </c>
      <c r="F170">
        <v>25.466667000000001</v>
      </c>
      <c r="G170">
        <v>10.4</v>
      </c>
      <c r="H170">
        <v>2.448718</v>
      </c>
      <c r="I170">
        <v>-1.4487181</v>
      </c>
      <c r="J170">
        <v>0.28996280000000002</v>
      </c>
    </row>
    <row r="171" spans="1:10" x14ac:dyDescent="0.3">
      <c r="A171">
        <v>169</v>
      </c>
      <c r="B171">
        <v>2706</v>
      </c>
      <c r="C171" t="b">
        <v>1</v>
      </c>
      <c r="D171">
        <v>8065</v>
      </c>
      <c r="E171">
        <v>8134</v>
      </c>
      <c r="F171">
        <v>24.733333999999999</v>
      </c>
      <c r="G171">
        <v>10.4</v>
      </c>
      <c r="H171">
        <v>2.3782052999999999</v>
      </c>
      <c r="I171">
        <v>-1.3782053000000001</v>
      </c>
      <c r="J171">
        <v>0.29601516999999999</v>
      </c>
    </row>
    <row r="172" spans="1:10" x14ac:dyDescent="0.3">
      <c r="A172">
        <v>170</v>
      </c>
      <c r="B172">
        <v>2722</v>
      </c>
      <c r="C172" t="b">
        <v>1</v>
      </c>
      <c r="D172">
        <v>8060</v>
      </c>
      <c r="E172">
        <v>8134</v>
      </c>
      <c r="F172">
        <v>24</v>
      </c>
      <c r="G172">
        <v>10.4</v>
      </c>
      <c r="H172">
        <v>2.3076922999999998</v>
      </c>
      <c r="I172">
        <v>-1.3076924000000001</v>
      </c>
      <c r="J172">
        <v>0.30232555</v>
      </c>
    </row>
    <row r="173" spans="1:10" x14ac:dyDescent="0.3">
      <c r="A173">
        <v>171</v>
      </c>
      <c r="B173">
        <v>2738</v>
      </c>
      <c r="C173" t="b">
        <v>1</v>
      </c>
      <c r="D173">
        <v>8065</v>
      </c>
      <c r="E173">
        <v>8129</v>
      </c>
      <c r="F173">
        <v>24</v>
      </c>
      <c r="G173">
        <v>10.8</v>
      </c>
      <c r="H173">
        <v>2.2222219999999999</v>
      </c>
      <c r="I173">
        <v>-1.2222222</v>
      </c>
      <c r="J173">
        <v>0.31034485000000001</v>
      </c>
    </row>
    <row r="174" spans="1:10" x14ac:dyDescent="0.3">
      <c r="A174">
        <v>172</v>
      </c>
      <c r="B174">
        <v>2754</v>
      </c>
      <c r="C174" t="b">
        <v>1</v>
      </c>
      <c r="D174">
        <v>8060</v>
      </c>
      <c r="E174">
        <v>8129</v>
      </c>
      <c r="F174">
        <v>23.666665999999999</v>
      </c>
      <c r="G174">
        <v>11.2</v>
      </c>
      <c r="H174">
        <v>2.1130952999999999</v>
      </c>
      <c r="I174">
        <v>-1.1130952000000001</v>
      </c>
      <c r="J174">
        <v>0.3212237</v>
      </c>
    </row>
    <row r="175" spans="1:10" x14ac:dyDescent="0.3">
      <c r="A175">
        <v>173</v>
      </c>
      <c r="B175">
        <v>2769</v>
      </c>
      <c r="C175" t="b">
        <v>1</v>
      </c>
      <c r="D175">
        <v>8060</v>
      </c>
      <c r="E175">
        <v>8129</v>
      </c>
      <c r="F175">
        <v>23.333334000000001</v>
      </c>
      <c r="G175">
        <v>11.6</v>
      </c>
      <c r="H175">
        <v>2.0114942</v>
      </c>
      <c r="I175">
        <v>-1.0114943000000001</v>
      </c>
      <c r="J175">
        <v>0.33206108000000001</v>
      </c>
    </row>
    <row r="176" spans="1:10" x14ac:dyDescent="0.3">
      <c r="A176">
        <v>174</v>
      </c>
      <c r="B176">
        <v>2785</v>
      </c>
      <c r="C176" t="b">
        <v>1</v>
      </c>
      <c r="D176">
        <v>8065</v>
      </c>
      <c r="E176">
        <v>8134</v>
      </c>
      <c r="F176">
        <v>23</v>
      </c>
      <c r="G176">
        <v>11.6</v>
      </c>
      <c r="H176">
        <v>1.9827585000000001</v>
      </c>
      <c r="I176">
        <v>-0.98275860000000004</v>
      </c>
      <c r="J176">
        <v>0.33526014999999998</v>
      </c>
    </row>
    <row r="177" spans="1:10" x14ac:dyDescent="0.3">
      <c r="A177">
        <v>175</v>
      </c>
      <c r="B177">
        <v>2801</v>
      </c>
      <c r="C177" t="b">
        <v>1</v>
      </c>
      <c r="D177">
        <v>8065</v>
      </c>
      <c r="E177">
        <v>8134</v>
      </c>
      <c r="F177">
        <v>23</v>
      </c>
      <c r="G177">
        <v>11.6</v>
      </c>
      <c r="H177">
        <v>1.9827585000000001</v>
      </c>
      <c r="I177">
        <v>-0.98275860000000004</v>
      </c>
      <c r="J177">
        <v>0.33526014999999998</v>
      </c>
    </row>
    <row r="178" spans="1:10" x14ac:dyDescent="0.3">
      <c r="A178">
        <v>176</v>
      </c>
      <c r="B178">
        <v>2817</v>
      </c>
      <c r="C178" t="b">
        <v>1</v>
      </c>
      <c r="D178">
        <v>8071</v>
      </c>
      <c r="E178">
        <v>8117</v>
      </c>
      <c r="F178">
        <v>23</v>
      </c>
      <c r="G178">
        <v>11.6</v>
      </c>
      <c r="H178">
        <v>1.9827585000000001</v>
      </c>
      <c r="I178">
        <v>-0.98275860000000004</v>
      </c>
      <c r="J178">
        <v>0.33526014999999998</v>
      </c>
    </row>
    <row r="179" spans="1:10" x14ac:dyDescent="0.3">
      <c r="A179">
        <v>177</v>
      </c>
      <c r="B179">
        <v>2833</v>
      </c>
      <c r="C179" t="b">
        <v>1</v>
      </c>
      <c r="D179">
        <v>8060</v>
      </c>
      <c r="E179">
        <v>8123</v>
      </c>
      <c r="F179">
        <v>23</v>
      </c>
      <c r="G179">
        <v>11.6</v>
      </c>
      <c r="H179">
        <v>1.9827585000000001</v>
      </c>
      <c r="I179">
        <v>-0.98275860000000004</v>
      </c>
      <c r="J179">
        <v>0.33526014999999998</v>
      </c>
    </row>
    <row r="180" spans="1:10" x14ac:dyDescent="0.3">
      <c r="A180">
        <v>178</v>
      </c>
      <c r="B180">
        <v>2849</v>
      </c>
      <c r="C180" t="b">
        <v>1</v>
      </c>
      <c r="D180">
        <v>8060</v>
      </c>
      <c r="E180">
        <v>8123</v>
      </c>
      <c r="F180">
        <v>23</v>
      </c>
      <c r="G180">
        <v>11.2</v>
      </c>
      <c r="H180">
        <v>2.0535714999999999</v>
      </c>
      <c r="I180">
        <v>-1.0535715000000001</v>
      </c>
      <c r="J180">
        <v>0.32748535000000001</v>
      </c>
    </row>
    <row r="181" spans="1:10" x14ac:dyDescent="0.3">
      <c r="A181">
        <v>179</v>
      </c>
      <c r="B181">
        <v>2864</v>
      </c>
      <c r="C181" t="b">
        <v>1</v>
      </c>
      <c r="D181">
        <v>8077</v>
      </c>
      <c r="E181">
        <v>8123</v>
      </c>
      <c r="F181">
        <v>23</v>
      </c>
      <c r="G181">
        <v>10.8</v>
      </c>
      <c r="H181">
        <v>2.1296295999999999</v>
      </c>
      <c r="I181">
        <v>-1.1296295999999999</v>
      </c>
      <c r="J181">
        <v>0.31952663999999997</v>
      </c>
    </row>
    <row r="182" spans="1:10" x14ac:dyDescent="0.3">
      <c r="A182">
        <v>180</v>
      </c>
      <c r="B182">
        <v>2880</v>
      </c>
      <c r="C182" t="b">
        <v>1</v>
      </c>
      <c r="D182">
        <v>8065</v>
      </c>
      <c r="E182">
        <v>8117</v>
      </c>
      <c r="F182">
        <v>23</v>
      </c>
      <c r="G182">
        <v>10.8</v>
      </c>
      <c r="H182">
        <v>2.1296295999999999</v>
      </c>
      <c r="I182">
        <v>-1.1296295999999999</v>
      </c>
      <c r="J182">
        <v>0.31952663999999997</v>
      </c>
    </row>
    <row r="183" spans="1:10" x14ac:dyDescent="0.3">
      <c r="A183">
        <v>181</v>
      </c>
      <c r="B183">
        <v>2896</v>
      </c>
      <c r="C183" t="b">
        <v>1</v>
      </c>
      <c r="D183">
        <v>8071</v>
      </c>
      <c r="E183">
        <v>8129</v>
      </c>
      <c r="F183">
        <v>23</v>
      </c>
      <c r="G183">
        <v>10.8</v>
      </c>
      <c r="H183">
        <v>2.1296295999999999</v>
      </c>
      <c r="I183">
        <v>-1.1296295999999999</v>
      </c>
      <c r="J183">
        <v>0.31952663999999997</v>
      </c>
    </row>
    <row r="184" spans="1:10" x14ac:dyDescent="0.3">
      <c r="A184">
        <v>182</v>
      </c>
      <c r="B184">
        <v>2912</v>
      </c>
      <c r="C184" t="b">
        <v>1</v>
      </c>
      <c r="D184">
        <v>8065</v>
      </c>
      <c r="E184">
        <v>8129</v>
      </c>
      <c r="F184">
        <v>23</v>
      </c>
      <c r="G184">
        <v>10.8</v>
      </c>
      <c r="H184">
        <v>2.1296295999999999</v>
      </c>
      <c r="I184">
        <v>-1.1296295999999999</v>
      </c>
      <c r="J184">
        <v>0.31952663999999997</v>
      </c>
    </row>
    <row r="185" spans="1:10" x14ac:dyDescent="0.3">
      <c r="A185">
        <v>183</v>
      </c>
      <c r="B185">
        <v>2928</v>
      </c>
      <c r="C185" t="b">
        <v>1</v>
      </c>
      <c r="D185">
        <v>8065</v>
      </c>
      <c r="E185">
        <v>8134</v>
      </c>
      <c r="F185">
        <v>23.333334000000001</v>
      </c>
      <c r="G185">
        <v>11.2</v>
      </c>
      <c r="H185">
        <v>2.0833335000000002</v>
      </c>
      <c r="I185">
        <v>-1.0833333999999999</v>
      </c>
      <c r="J185">
        <v>0.32432430000000001</v>
      </c>
    </row>
    <row r="186" spans="1:10" x14ac:dyDescent="0.3">
      <c r="A186">
        <v>184</v>
      </c>
      <c r="B186">
        <v>2944</v>
      </c>
      <c r="C186" t="b">
        <v>1</v>
      </c>
      <c r="D186">
        <v>8065</v>
      </c>
      <c r="E186">
        <v>8134</v>
      </c>
      <c r="F186">
        <v>23.666665999999999</v>
      </c>
      <c r="G186">
        <v>11.6</v>
      </c>
      <c r="H186">
        <v>2.0402298000000001</v>
      </c>
      <c r="I186">
        <v>-1.0402298000000001</v>
      </c>
      <c r="J186">
        <v>0.32892250000000001</v>
      </c>
    </row>
    <row r="187" spans="1:10" x14ac:dyDescent="0.3">
      <c r="A187">
        <v>185</v>
      </c>
      <c r="B187">
        <v>2959</v>
      </c>
      <c r="C187" t="b">
        <v>1</v>
      </c>
      <c r="D187">
        <v>8065</v>
      </c>
      <c r="E187">
        <v>8129</v>
      </c>
      <c r="F187">
        <v>24</v>
      </c>
      <c r="G187">
        <v>12</v>
      </c>
      <c r="H187">
        <v>2</v>
      </c>
      <c r="I187">
        <v>-1</v>
      </c>
      <c r="J187">
        <v>0.33333333999999998</v>
      </c>
    </row>
    <row r="188" spans="1:10" x14ac:dyDescent="0.3">
      <c r="A188">
        <v>186</v>
      </c>
      <c r="B188">
        <v>2975</v>
      </c>
      <c r="C188" t="b">
        <v>1</v>
      </c>
      <c r="D188">
        <v>8065</v>
      </c>
      <c r="E188">
        <v>8129</v>
      </c>
      <c r="F188">
        <v>24</v>
      </c>
      <c r="G188">
        <v>12</v>
      </c>
      <c r="H188">
        <v>2</v>
      </c>
      <c r="I188">
        <v>-1</v>
      </c>
      <c r="J188">
        <v>0.33333333999999998</v>
      </c>
    </row>
    <row r="189" spans="1:10" x14ac:dyDescent="0.3">
      <c r="A189">
        <v>187</v>
      </c>
      <c r="B189">
        <v>2991</v>
      </c>
      <c r="C189" t="b">
        <v>1</v>
      </c>
      <c r="D189">
        <v>8060</v>
      </c>
      <c r="E189">
        <v>8129</v>
      </c>
      <c r="F189">
        <v>24.333334000000001</v>
      </c>
      <c r="G189">
        <v>12</v>
      </c>
      <c r="H189">
        <v>2.0277780000000001</v>
      </c>
      <c r="I189">
        <v>-1.0277778</v>
      </c>
      <c r="J189">
        <v>0.33027519999999999</v>
      </c>
    </row>
    <row r="190" spans="1:10" x14ac:dyDescent="0.3">
      <c r="A190">
        <v>188</v>
      </c>
      <c r="B190">
        <v>3007</v>
      </c>
      <c r="C190" t="b">
        <v>1</v>
      </c>
      <c r="D190">
        <v>8071</v>
      </c>
      <c r="E190">
        <v>8129</v>
      </c>
      <c r="F190">
        <v>24.666665999999999</v>
      </c>
      <c r="G190">
        <v>12</v>
      </c>
      <c r="H190">
        <v>2.0555555999999999</v>
      </c>
      <c r="I190">
        <v>-1.0555555000000001</v>
      </c>
      <c r="J190">
        <v>0.32727274000000001</v>
      </c>
    </row>
    <row r="191" spans="1:10" x14ac:dyDescent="0.3">
      <c r="A191">
        <v>189</v>
      </c>
      <c r="B191">
        <v>3022</v>
      </c>
      <c r="C191" t="b">
        <v>1</v>
      </c>
      <c r="D191">
        <v>8071</v>
      </c>
      <c r="E191">
        <v>8129</v>
      </c>
      <c r="F191">
        <v>25</v>
      </c>
      <c r="G191">
        <v>12</v>
      </c>
      <c r="H191">
        <v>2.0833333000000001</v>
      </c>
      <c r="I191">
        <v>-1.0833333999999999</v>
      </c>
      <c r="J191">
        <v>0.32432430000000001</v>
      </c>
    </row>
    <row r="192" spans="1:10" x14ac:dyDescent="0.3">
      <c r="A192">
        <v>190</v>
      </c>
      <c r="B192">
        <v>3038</v>
      </c>
      <c r="C192" t="b">
        <v>1</v>
      </c>
      <c r="D192">
        <v>8065</v>
      </c>
      <c r="E192">
        <v>8134</v>
      </c>
      <c r="F192">
        <v>25</v>
      </c>
      <c r="G192">
        <v>12</v>
      </c>
      <c r="H192">
        <v>2.0833333000000001</v>
      </c>
      <c r="I192">
        <v>-1.0833333999999999</v>
      </c>
      <c r="J192">
        <v>0.32432430000000001</v>
      </c>
    </row>
    <row r="193" spans="1:10" x14ac:dyDescent="0.3">
      <c r="A193">
        <v>191</v>
      </c>
      <c r="B193">
        <v>3054</v>
      </c>
      <c r="C193" t="b">
        <v>1</v>
      </c>
      <c r="D193">
        <v>8071</v>
      </c>
      <c r="E193">
        <v>8129</v>
      </c>
      <c r="F193">
        <v>25.4</v>
      </c>
      <c r="G193">
        <v>12</v>
      </c>
      <c r="H193">
        <v>2.1166665999999998</v>
      </c>
      <c r="I193">
        <v>-1.1166666999999999</v>
      </c>
      <c r="J193">
        <v>0.32085560000000002</v>
      </c>
    </row>
    <row r="194" spans="1:10" x14ac:dyDescent="0.3">
      <c r="A194">
        <v>192</v>
      </c>
      <c r="B194">
        <v>3070</v>
      </c>
      <c r="C194" t="b">
        <v>1</v>
      </c>
      <c r="D194">
        <v>8071</v>
      </c>
      <c r="E194">
        <v>8134</v>
      </c>
      <c r="F194">
        <v>25.8</v>
      </c>
      <c r="G194">
        <v>12</v>
      </c>
      <c r="H194">
        <v>2.1499999000000001</v>
      </c>
      <c r="I194">
        <v>-1.1499999999999999</v>
      </c>
      <c r="J194">
        <v>0.31746033000000001</v>
      </c>
    </row>
    <row r="195" spans="1:10" x14ac:dyDescent="0.3">
      <c r="A195">
        <v>193</v>
      </c>
      <c r="B195">
        <v>3086</v>
      </c>
      <c r="C195" t="b">
        <v>1</v>
      </c>
      <c r="D195">
        <v>8065</v>
      </c>
      <c r="E195">
        <v>8134</v>
      </c>
      <c r="F195">
        <v>26.2</v>
      </c>
      <c r="G195">
        <v>12.733333999999999</v>
      </c>
      <c r="H195">
        <v>2.0575917000000001</v>
      </c>
      <c r="I195">
        <v>-1.0575916999999999</v>
      </c>
      <c r="J195">
        <v>0.32705479999999998</v>
      </c>
    </row>
    <row r="196" spans="1:10" x14ac:dyDescent="0.3">
      <c r="A196">
        <v>194</v>
      </c>
      <c r="B196">
        <v>3102</v>
      </c>
      <c r="C196" t="b">
        <v>1</v>
      </c>
      <c r="D196">
        <v>8071</v>
      </c>
      <c r="E196">
        <v>8117</v>
      </c>
      <c r="F196">
        <v>26.6</v>
      </c>
      <c r="G196">
        <v>13.466666</v>
      </c>
      <c r="H196">
        <v>1.9752476000000001</v>
      </c>
      <c r="I196">
        <v>-0.97524759999999999</v>
      </c>
      <c r="J196">
        <v>0.33610647999999999</v>
      </c>
    </row>
    <row r="197" spans="1:10" x14ac:dyDescent="0.3">
      <c r="A197">
        <v>195</v>
      </c>
      <c r="B197">
        <v>3118</v>
      </c>
      <c r="C197" t="b">
        <v>1</v>
      </c>
      <c r="D197">
        <v>8048</v>
      </c>
      <c r="E197">
        <v>8117</v>
      </c>
      <c r="F197">
        <v>27</v>
      </c>
      <c r="G197">
        <v>13.866667</v>
      </c>
      <c r="H197">
        <v>1.9471153999999999</v>
      </c>
      <c r="I197">
        <v>-0.94711535999999996</v>
      </c>
      <c r="J197">
        <v>0.33931482000000002</v>
      </c>
    </row>
    <row r="198" spans="1:10" x14ac:dyDescent="0.3">
      <c r="A198">
        <v>196</v>
      </c>
      <c r="B198">
        <v>3133</v>
      </c>
      <c r="C198" t="b">
        <v>1</v>
      </c>
      <c r="D198">
        <v>8060</v>
      </c>
      <c r="E198">
        <v>8123</v>
      </c>
      <c r="F198">
        <v>27</v>
      </c>
      <c r="G198">
        <v>13.866667</v>
      </c>
      <c r="H198">
        <v>1.9471153999999999</v>
      </c>
      <c r="I198">
        <v>-0.94711535999999996</v>
      </c>
      <c r="J198">
        <v>0.33931482000000002</v>
      </c>
    </row>
    <row r="199" spans="1:10" x14ac:dyDescent="0.3">
      <c r="A199">
        <v>197</v>
      </c>
      <c r="B199">
        <v>3149</v>
      </c>
      <c r="C199" t="b">
        <v>1</v>
      </c>
      <c r="D199">
        <v>8065</v>
      </c>
      <c r="E199">
        <v>8123</v>
      </c>
      <c r="F199">
        <v>27</v>
      </c>
      <c r="G199">
        <v>13.866667</v>
      </c>
      <c r="H199">
        <v>1.9471153999999999</v>
      </c>
      <c r="I199">
        <v>-0.94711535999999996</v>
      </c>
      <c r="J199">
        <v>0.33931482000000002</v>
      </c>
    </row>
    <row r="200" spans="1:10" x14ac:dyDescent="0.3">
      <c r="A200">
        <v>198</v>
      </c>
      <c r="B200">
        <v>3165</v>
      </c>
      <c r="C200" t="b">
        <v>1</v>
      </c>
      <c r="D200">
        <v>8065</v>
      </c>
      <c r="E200">
        <v>8123</v>
      </c>
      <c r="F200">
        <v>27</v>
      </c>
      <c r="G200">
        <v>13.466666</v>
      </c>
      <c r="H200">
        <v>2.0049505000000001</v>
      </c>
      <c r="I200">
        <v>-1.0049505000000001</v>
      </c>
      <c r="J200">
        <v>0.33278417999999999</v>
      </c>
    </row>
    <row r="201" spans="1:10" x14ac:dyDescent="0.3">
      <c r="A201">
        <v>199</v>
      </c>
      <c r="B201">
        <v>3181</v>
      </c>
      <c r="C201" t="b">
        <v>1</v>
      </c>
      <c r="D201">
        <v>8065</v>
      </c>
      <c r="E201">
        <v>8129</v>
      </c>
      <c r="F201">
        <v>27</v>
      </c>
      <c r="G201">
        <v>13.066667000000001</v>
      </c>
      <c r="H201">
        <v>2.0663266</v>
      </c>
      <c r="I201">
        <v>-1.0663265</v>
      </c>
      <c r="J201">
        <v>0.32612314999999997</v>
      </c>
    </row>
    <row r="202" spans="1:10" x14ac:dyDescent="0.3">
      <c r="A202">
        <v>200</v>
      </c>
      <c r="B202">
        <v>3197</v>
      </c>
      <c r="C202" t="b">
        <v>1</v>
      </c>
      <c r="D202">
        <v>8065</v>
      </c>
      <c r="E202">
        <v>8129</v>
      </c>
      <c r="F202">
        <v>27</v>
      </c>
      <c r="G202">
        <v>12.666667</v>
      </c>
      <c r="H202">
        <v>2.1315789999999999</v>
      </c>
      <c r="I202">
        <v>-1.1315789000000001</v>
      </c>
      <c r="J202">
        <v>0.31932774000000003</v>
      </c>
    </row>
    <row r="203" spans="1:10" x14ac:dyDescent="0.3">
      <c r="A203">
        <v>201</v>
      </c>
      <c r="B203">
        <v>3213</v>
      </c>
      <c r="C203" t="b">
        <v>1</v>
      </c>
      <c r="D203">
        <v>8054</v>
      </c>
      <c r="E203">
        <v>8129</v>
      </c>
      <c r="F203">
        <v>27</v>
      </c>
      <c r="G203">
        <v>12.666667</v>
      </c>
      <c r="H203">
        <v>2.1315789999999999</v>
      </c>
      <c r="I203">
        <v>-1.1315789000000001</v>
      </c>
      <c r="J203">
        <v>0.31932774000000003</v>
      </c>
    </row>
    <row r="204" spans="1:10" x14ac:dyDescent="0.3">
      <c r="A204">
        <v>202</v>
      </c>
      <c r="B204">
        <v>3229</v>
      </c>
      <c r="C204" t="b">
        <v>1</v>
      </c>
      <c r="D204">
        <v>8071</v>
      </c>
      <c r="E204">
        <v>8123</v>
      </c>
      <c r="F204">
        <v>27</v>
      </c>
      <c r="G204">
        <v>12.666667</v>
      </c>
      <c r="H204">
        <v>2.1315789999999999</v>
      </c>
      <c r="I204">
        <v>-1.1315789000000001</v>
      </c>
      <c r="J204">
        <v>0.31932774000000003</v>
      </c>
    </row>
    <row r="205" spans="1:10" x14ac:dyDescent="0.3">
      <c r="A205">
        <v>203</v>
      </c>
      <c r="B205">
        <v>3245</v>
      </c>
      <c r="C205" t="b">
        <v>1</v>
      </c>
      <c r="D205">
        <v>8065</v>
      </c>
      <c r="E205">
        <v>8111</v>
      </c>
      <c r="F205">
        <v>27</v>
      </c>
      <c r="G205">
        <v>12.666667</v>
      </c>
      <c r="H205">
        <v>2.1315789999999999</v>
      </c>
      <c r="I205">
        <v>-1.1315789000000001</v>
      </c>
      <c r="J205">
        <v>0.31932774000000003</v>
      </c>
    </row>
    <row r="206" spans="1:10" x14ac:dyDescent="0.3">
      <c r="A206">
        <v>204</v>
      </c>
      <c r="B206">
        <v>3261</v>
      </c>
      <c r="C206" t="b">
        <v>1</v>
      </c>
      <c r="D206">
        <v>8065</v>
      </c>
      <c r="E206">
        <v>8123</v>
      </c>
      <c r="F206">
        <v>27</v>
      </c>
      <c r="G206">
        <v>12.266666000000001</v>
      </c>
      <c r="H206">
        <v>2.2010869999999998</v>
      </c>
      <c r="I206">
        <v>-1.201087</v>
      </c>
      <c r="J206">
        <v>0.31239387000000002</v>
      </c>
    </row>
    <row r="207" spans="1:10" x14ac:dyDescent="0.3">
      <c r="A207">
        <v>205</v>
      </c>
      <c r="B207">
        <v>3276</v>
      </c>
      <c r="C207" t="b">
        <v>1</v>
      </c>
      <c r="D207">
        <v>8065</v>
      </c>
      <c r="E207">
        <v>8123</v>
      </c>
      <c r="F207">
        <v>27</v>
      </c>
      <c r="G207">
        <v>11.866667</v>
      </c>
      <c r="H207">
        <v>2.2752810000000001</v>
      </c>
      <c r="I207">
        <v>-1.2752808</v>
      </c>
      <c r="J207">
        <v>0.30531730000000001</v>
      </c>
    </row>
    <row r="208" spans="1:10" x14ac:dyDescent="0.3">
      <c r="A208">
        <v>206</v>
      </c>
      <c r="B208">
        <v>3292</v>
      </c>
      <c r="C208" t="b">
        <v>1</v>
      </c>
      <c r="D208">
        <v>8065</v>
      </c>
      <c r="E208">
        <v>8123</v>
      </c>
      <c r="F208">
        <v>26.6</v>
      </c>
      <c r="G208">
        <v>11.466666</v>
      </c>
      <c r="H208">
        <v>2.3197675000000002</v>
      </c>
      <c r="I208">
        <v>-1.3197676</v>
      </c>
      <c r="J208">
        <v>0.30122592999999998</v>
      </c>
    </row>
    <row r="209" spans="1:10" x14ac:dyDescent="0.3">
      <c r="A209">
        <v>207</v>
      </c>
      <c r="B209">
        <v>3308</v>
      </c>
      <c r="C209" t="b">
        <v>1</v>
      </c>
      <c r="D209">
        <v>8071</v>
      </c>
      <c r="E209">
        <v>8123</v>
      </c>
      <c r="F209">
        <v>26.2</v>
      </c>
      <c r="G209">
        <v>11.066667000000001</v>
      </c>
      <c r="H209">
        <v>2.36747</v>
      </c>
      <c r="I209">
        <v>-1.3674698999999999</v>
      </c>
      <c r="J209">
        <v>0.29695885999999999</v>
      </c>
    </row>
    <row r="210" spans="1:10" x14ac:dyDescent="0.3">
      <c r="A210">
        <v>208</v>
      </c>
      <c r="B210">
        <v>3324</v>
      </c>
      <c r="C210" t="b">
        <v>1</v>
      </c>
      <c r="D210">
        <v>8065</v>
      </c>
      <c r="E210">
        <v>8123</v>
      </c>
      <c r="F210">
        <v>25.8</v>
      </c>
      <c r="G210">
        <v>10.333333</v>
      </c>
      <c r="H210">
        <v>2.4967741999999999</v>
      </c>
      <c r="I210">
        <v>-1.4967741999999999</v>
      </c>
      <c r="J210">
        <v>0.28597787000000002</v>
      </c>
    </row>
    <row r="211" spans="1:10" x14ac:dyDescent="0.3">
      <c r="A211">
        <v>209</v>
      </c>
      <c r="B211">
        <v>3340</v>
      </c>
      <c r="C211" t="b">
        <v>1</v>
      </c>
      <c r="D211">
        <v>8065</v>
      </c>
      <c r="E211">
        <v>8129</v>
      </c>
      <c r="F211">
        <v>25.4</v>
      </c>
      <c r="G211">
        <v>9.6</v>
      </c>
      <c r="H211">
        <v>2.6458333000000001</v>
      </c>
      <c r="I211">
        <v>-1.6458330999999999</v>
      </c>
      <c r="J211">
        <v>0.27428573000000001</v>
      </c>
    </row>
    <row r="212" spans="1:10" x14ac:dyDescent="0.3">
      <c r="A212">
        <v>210</v>
      </c>
      <c r="B212">
        <v>3356</v>
      </c>
      <c r="C212" t="b">
        <v>1</v>
      </c>
      <c r="D212">
        <v>8065</v>
      </c>
      <c r="E212">
        <v>8123</v>
      </c>
      <c r="F212">
        <v>25</v>
      </c>
      <c r="G212">
        <v>9.1999999999999993</v>
      </c>
      <c r="H212">
        <v>2.7173913000000001</v>
      </c>
      <c r="I212">
        <v>-1.7173913999999999</v>
      </c>
      <c r="J212">
        <v>0.26900584</v>
      </c>
    </row>
    <row r="213" spans="1:10" x14ac:dyDescent="0.3">
      <c r="A213">
        <v>211</v>
      </c>
      <c r="B213">
        <v>3371</v>
      </c>
      <c r="C213" t="b">
        <v>1</v>
      </c>
      <c r="D213">
        <v>8065</v>
      </c>
      <c r="E213">
        <v>8123</v>
      </c>
      <c r="F213">
        <v>25</v>
      </c>
      <c r="G213">
        <v>9.1999999999999993</v>
      </c>
      <c r="H213">
        <v>2.7173913000000001</v>
      </c>
      <c r="I213">
        <v>-1.7173913999999999</v>
      </c>
      <c r="J213">
        <v>0.26900584</v>
      </c>
    </row>
    <row r="214" spans="1:10" x14ac:dyDescent="0.3">
      <c r="A214">
        <v>212</v>
      </c>
      <c r="B214">
        <v>3387</v>
      </c>
      <c r="C214" t="b">
        <v>1</v>
      </c>
      <c r="D214">
        <v>8065</v>
      </c>
      <c r="E214">
        <v>8123</v>
      </c>
      <c r="F214">
        <v>25</v>
      </c>
      <c r="G214">
        <v>9.1999999999999993</v>
      </c>
      <c r="H214">
        <v>2.7173913000000001</v>
      </c>
      <c r="I214">
        <v>-1.7173913999999999</v>
      </c>
      <c r="J214">
        <v>0.26900584</v>
      </c>
    </row>
    <row r="215" spans="1:10" x14ac:dyDescent="0.3">
      <c r="A215">
        <v>213</v>
      </c>
      <c r="B215">
        <v>3403</v>
      </c>
      <c r="C215" t="b">
        <v>1</v>
      </c>
      <c r="D215">
        <v>8071</v>
      </c>
      <c r="E215">
        <v>8129</v>
      </c>
      <c r="F215">
        <v>25</v>
      </c>
      <c r="G215">
        <v>9.1999999999999993</v>
      </c>
      <c r="H215">
        <v>2.7173913000000001</v>
      </c>
      <c r="I215">
        <v>-1.7173913999999999</v>
      </c>
      <c r="J215">
        <v>0.26900584</v>
      </c>
    </row>
    <row r="216" spans="1:10" x14ac:dyDescent="0.3">
      <c r="A216">
        <v>214</v>
      </c>
      <c r="B216">
        <v>3419</v>
      </c>
      <c r="C216" t="b">
        <v>1</v>
      </c>
      <c r="D216">
        <v>8065</v>
      </c>
      <c r="E216">
        <v>8123</v>
      </c>
      <c r="F216">
        <v>25</v>
      </c>
      <c r="G216">
        <v>9.1999999999999993</v>
      </c>
      <c r="H216">
        <v>2.7173913000000001</v>
      </c>
      <c r="I216">
        <v>-1.7173913999999999</v>
      </c>
      <c r="J216">
        <v>0.26900584</v>
      </c>
    </row>
    <row r="217" spans="1:10" x14ac:dyDescent="0.3">
      <c r="A217">
        <v>215</v>
      </c>
      <c r="B217">
        <v>3435</v>
      </c>
      <c r="C217" t="b">
        <v>1</v>
      </c>
      <c r="D217">
        <v>8071</v>
      </c>
      <c r="E217">
        <v>8129</v>
      </c>
      <c r="F217">
        <v>25</v>
      </c>
      <c r="G217">
        <v>9.1999999999999993</v>
      </c>
      <c r="H217">
        <v>2.7173913000000001</v>
      </c>
      <c r="I217">
        <v>-1.7173913999999999</v>
      </c>
      <c r="J217">
        <v>0.26900584</v>
      </c>
    </row>
    <row r="218" spans="1:10" x14ac:dyDescent="0.3">
      <c r="A218">
        <v>216</v>
      </c>
      <c r="B218">
        <v>3451</v>
      </c>
      <c r="C218" t="b">
        <v>1</v>
      </c>
      <c r="D218">
        <v>8071</v>
      </c>
      <c r="E218">
        <v>8123</v>
      </c>
      <c r="F218">
        <v>25.4</v>
      </c>
      <c r="G218">
        <v>8.8000000000000007</v>
      </c>
      <c r="H218">
        <v>2.8863634999999999</v>
      </c>
      <c r="I218">
        <v>-1.8863634</v>
      </c>
      <c r="J218">
        <v>0.25730994000000001</v>
      </c>
    </row>
    <row r="219" spans="1:10" x14ac:dyDescent="0.3">
      <c r="A219">
        <v>217</v>
      </c>
      <c r="B219">
        <v>3467</v>
      </c>
      <c r="C219" t="b">
        <v>1</v>
      </c>
      <c r="D219">
        <v>8071</v>
      </c>
      <c r="E219">
        <v>8123</v>
      </c>
      <c r="F219">
        <v>25.8</v>
      </c>
      <c r="G219">
        <v>8.4</v>
      </c>
      <c r="H219">
        <v>3.0714285000000001</v>
      </c>
      <c r="I219">
        <v>-2.0714285000000001</v>
      </c>
      <c r="J219">
        <v>0.24561405</v>
      </c>
    </row>
    <row r="220" spans="1:10" x14ac:dyDescent="0.3">
      <c r="A220">
        <v>218</v>
      </c>
      <c r="B220">
        <v>3483</v>
      </c>
      <c r="C220" t="b">
        <v>1</v>
      </c>
      <c r="D220">
        <v>8065</v>
      </c>
      <c r="E220">
        <v>8123</v>
      </c>
      <c r="F220">
        <v>26.2</v>
      </c>
      <c r="G220">
        <v>8</v>
      </c>
      <c r="H220">
        <v>3.2749999999999999</v>
      </c>
      <c r="I220">
        <v>-2.2749999999999999</v>
      </c>
      <c r="J220">
        <v>0.23391813</v>
      </c>
    </row>
    <row r="221" spans="1:10" x14ac:dyDescent="0.3">
      <c r="A221">
        <v>219</v>
      </c>
      <c r="B221">
        <v>3499</v>
      </c>
      <c r="C221" t="b">
        <v>1</v>
      </c>
      <c r="D221">
        <v>8065</v>
      </c>
      <c r="E221">
        <v>8117</v>
      </c>
      <c r="F221">
        <v>26.6</v>
      </c>
      <c r="G221">
        <v>8</v>
      </c>
      <c r="H221">
        <v>3.3250000000000002</v>
      </c>
      <c r="I221">
        <v>-2.3250000000000002</v>
      </c>
      <c r="J221">
        <v>0.23121388000000001</v>
      </c>
    </row>
    <row r="222" spans="1:10" x14ac:dyDescent="0.3">
      <c r="A222">
        <v>220</v>
      </c>
      <c r="B222">
        <v>3515</v>
      </c>
      <c r="C222" t="b">
        <v>1</v>
      </c>
      <c r="D222">
        <v>8060</v>
      </c>
      <c r="E222">
        <v>8129</v>
      </c>
      <c r="F222">
        <v>26.6</v>
      </c>
      <c r="G222">
        <v>8</v>
      </c>
      <c r="H222">
        <v>3.3250000000000002</v>
      </c>
      <c r="I222">
        <v>-2.3250000000000002</v>
      </c>
      <c r="J222">
        <v>0.23121388000000001</v>
      </c>
    </row>
    <row r="223" spans="1:10" x14ac:dyDescent="0.3">
      <c r="A223">
        <v>221</v>
      </c>
      <c r="B223">
        <v>3531</v>
      </c>
      <c r="C223" t="b">
        <v>1</v>
      </c>
      <c r="D223">
        <v>8065</v>
      </c>
      <c r="E223">
        <v>8129</v>
      </c>
      <c r="F223">
        <v>26.6</v>
      </c>
      <c r="G223">
        <v>8</v>
      </c>
      <c r="H223">
        <v>3.3250000000000002</v>
      </c>
      <c r="I223">
        <v>-2.3250000000000002</v>
      </c>
      <c r="J223">
        <v>0.23121388000000001</v>
      </c>
    </row>
    <row r="224" spans="1:10" x14ac:dyDescent="0.3">
      <c r="A224">
        <v>222</v>
      </c>
      <c r="B224">
        <v>3547</v>
      </c>
      <c r="C224" t="b">
        <v>1</v>
      </c>
      <c r="D224">
        <v>8065</v>
      </c>
      <c r="E224">
        <v>8129</v>
      </c>
      <c r="F224">
        <v>26.6</v>
      </c>
      <c r="G224">
        <v>8.4</v>
      </c>
      <c r="H224">
        <v>3.1666666999999999</v>
      </c>
      <c r="I224">
        <v>-2.1666666999999999</v>
      </c>
      <c r="J224">
        <v>0.24</v>
      </c>
    </row>
    <row r="225" spans="1:10" x14ac:dyDescent="0.3">
      <c r="A225">
        <v>223</v>
      </c>
      <c r="B225">
        <v>3563</v>
      </c>
      <c r="C225" t="b">
        <v>1</v>
      </c>
      <c r="D225">
        <v>8065</v>
      </c>
      <c r="E225">
        <v>8129</v>
      </c>
      <c r="F225">
        <v>26.6</v>
      </c>
      <c r="G225">
        <v>8.8000000000000007</v>
      </c>
      <c r="H225">
        <v>3.0227273000000001</v>
      </c>
      <c r="I225">
        <v>-2.0227273000000001</v>
      </c>
      <c r="J225">
        <v>0.24858756000000001</v>
      </c>
    </row>
    <row r="226" spans="1:10" x14ac:dyDescent="0.3">
      <c r="A226">
        <v>224</v>
      </c>
      <c r="B226">
        <v>3578</v>
      </c>
      <c r="C226" t="b">
        <v>1</v>
      </c>
      <c r="D226">
        <v>8065</v>
      </c>
      <c r="E226">
        <v>8129</v>
      </c>
      <c r="F226">
        <v>26.6</v>
      </c>
      <c r="G226">
        <v>9.1999999999999993</v>
      </c>
      <c r="H226">
        <v>2.8913044999999999</v>
      </c>
      <c r="I226">
        <v>-1.8913046</v>
      </c>
      <c r="J226">
        <v>0.25698325</v>
      </c>
    </row>
    <row r="227" spans="1:10" x14ac:dyDescent="0.3">
      <c r="A227">
        <v>225</v>
      </c>
      <c r="B227">
        <v>3594</v>
      </c>
      <c r="C227" t="b">
        <v>1</v>
      </c>
      <c r="D227">
        <v>8065</v>
      </c>
      <c r="E227">
        <v>8123</v>
      </c>
      <c r="F227">
        <v>26.6</v>
      </c>
      <c r="G227">
        <v>9.6</v>
      </c>
      <c r="H227">
        <v>2.7708333000000001</v>
      </c>
      <c r="I227">
        <v>-1.7708333000000001</v>
      </c>
      <c r="J227">
        <v>0.26519336999999998</v>
      </c>
    </row>
    <row r="228" spans="1:10" x14ac:dyDescent="0.3">
      <c r="A228">
        <v>226</v>
      </c>
      <c r="B228">
        <v>3610</v>
      </c>
      <c r="C228" t="b">
        <v>1</v>
      </c>
      <c r="D228">
        <v>8071</v>
      </c>
      <c r="E228">
        <v>8129</v>
      </c>
      <c r="F228">
        <v>26.6</v>
      </c>
      <c r="G228">
        <v>10</v>
      </c>
      <c r="H228">
        <v>2.66</v>
      </c>
      <c r="I228">
        <v>-1.6600001</v>
      </c>
      <c r="J228">
        <v>0.27322405999999999</v>
      </c>
    </row>
    <row r="229" spans="1:10" x14ac:dyDescent="0.3">
      <c r="A229">
        <v>227</v>
      </c>
      <c r="B229">
        <v>3626</v>
      </c>
      <c r="C229" t="b">
        <v>1</v>
      </c>
      <c r="D229">
        <v>8060</v>
      </c>
      <c r="E229">
        <v>8123</v>
      </c>
      <c r="F229">
        <v>26.6</v>
      </c>
      <c r="G229">
        <v>10.4</v>
      </c>
      <c r="H229">
        <v>2.5576924999999999</v>
      </c>
      <c r="I229">
        <v>-1.5576924000000001</v>
      </c>
      <c r="J229">
        <v>0.28108107999999998</v>
      </c>
    </row>
    <row r="230" spans="1:10" x14ac:dyDescent="0.3">
      <c r="A230">
        <v>228</v>
      </c>
      <c r="B230">
        <v>3642</v>
      </c>
      <c r="C230" t="b">
        <v>1</v>
      </c>
      <c r="D230">
        <v>8065</v>
      </c>
      <c r="E230">
        <v>8123</v>
      </c>
      <c r="F230">
        <v>26.6</v>
      </c>
      <c r="G230">
        <v>10.4</v>
      </c>
      <c r="H230">
        <v>2.5576924999999999</v>
      </c>
      <c r="I230">
        <v>-1.5576924000000001</v>
      </c>
      <c r="J230">
        <v>0.28108107999999998</v>
      </c>
    </row>
    <row r="231" spans="1:10" x14ac:dyDescent="0.3">
      <c r="A231">
        <v>229</v>
      </c>
      <c r="B231">
        <v>3657</v>
      </c>
      <c r="C231" t="b">
        <v>1</v>
      </c>
      <c r="D231">
        <v>8065</v>
      </c>
      <c r="E231">
        <v>8117</v>
      </c>
      <c r="F231">
        <v>26.6</v>
      </c>
      <c r="G231">
        <v>10.4</v>
      </c>
      <c r="H231">
        <v>2.5576924999999999</v>
      </c>
      <c r="I231">
        <v>-1.5576924000000001</v>
      </c>
      <c r="J231">
        <v>0.28108107999999998</v>
      </c>
    </row>
    <row r="232" spans="1:10" x14ac:dyDescent="0.3">
      <c r="A232">
        <v>230</v>
      </c>
      <c r="B232">
        <v>3673</v>
      </c>
      <c r="C232" t="b">
        <v>1</v>
      </c>
      <c r="D232">
        <v>8060</v>
      </c>
      <c r="E232">
        <v>8129</v>
      </c>
      <c r="F232">
        <v>26.6</v>
      </c>
      <c r="G232">
        <v>10.4</v>
      </c>
      <c r="H232">
        <v>2.5576924999999999</v>
      </c>
      <c r="I232">
        <v>-1.5576924000000001</v>
      </c>
      <c r="J232">
        <v>0.28108107999999998</v>
      </c>
    </row>
    <row r="233" spans="1:10" x14ac:dyDescent="0.3">
      <c r="A233">
        <v>231</v>
      </c>
      <c r="B233">
        <v>3689</v>
      </c>
      <c r="C233" t="b">
        <v>1</v>
      </c>
      <c r="D233">
        <v>8060</v>
      </c>
      <c r="E233">
        <v>8117</v>
      </c>
      <c r="F233">
        <v>25.866667</v>
      </c>
      <c r="G233">
        <v>10.4</v>
      </c>
      <c r="H233">
        <v>2.4871794999999999</v>
      </c>
      <c r="I233">
        <v>-1.4871795999999999</v>
      </c>
      <c r="J233">
        <v>0.28676469999999998</v>
      </c>
    </row>
    <row r="234" spans="1:10" x14ac:dyDescent="0.3">
      <c r="A234">
        <v>232</v>
      </c>
      <c r="B234">
        <v>3705</v>
      </c>
      <c r="C234" t="b">
        <v>1</v>
      </c>
      <c r="D234">
        <v>8060</v>
      </c>
      <c r="E234">
        <v>8129</v>
      </c>
      <c r="F234">
        <v>25.133333</v>
      </c>
      <c r="G234">
        <v>10.4</v>
      </c>
      <c r="H234">
        <v>2.4166666999999999</v>
      </c>
      <c r="I234">
        <v>-1.4166666999999999</v>
      </c>
      <c r="J234">
        <v>0.29268292000000001</v>
      </c>
    </row>
    <row r="235" spans="1:10" x14ac:dyDescent="0.3">
      <c r="A235">
        <v>233</v>
      </c>
      <c r="B235">
        <v>3721</v>
      </c>
      <c r="C235" t="b">
        <v>1</v>
      </c>
      <c r="D235">
        <v>8054</v>
      </c>
      <c r="E235">
        <v>8129</v>
      </c>
      <c r="F235">
        <v>24.4</v>
      </c>
      <c r="G235">
        <v>10.8</v>
      </c>
      <c r="H235">
        <v>2.2592591999999998</v>
      </c>
      <c r="I235">
        <v>-1.2592592</v>
      </c>
      <c r="J235">
        <v>0.30681819999999999</v>
      </c>
    </row>
    <row r="236" spans="1:10" x14ac:dyDescent="0.3">
      <c r="A236">
        <v>234</v>
      </c>
      <c r="B236">
        <v>3736</v>
      </c>
      <c r="C236" t="b">
        <v>1</v>
      </c>
      <c r="D236">
        <v>8071</v>
      </c>
      <c r="E236">
        <v>8134</v>
      </c>
      <c r="F236">
        <v>23.666665999999999</v>
      </c>
      <c r="G236">
        <v>11.2</v>
      </c>
      <c r="H236">
        <v>2.1130952999999999</v>
      </c>
      <c r="I236">
        <v>-1.1130952000000001</v>
      </c>
      <c r="J236">
        <v>0.3212237</v>
      </c>
    </row>
    <row r="237" spans="1:10" x14ac:dyDescent="0.3">
      <c r="A237">
        <v>235</v>
      </c>
      <c r="B237">
        <v>3752</v>
      </c>
      <c r="C237" t="b">
        <v>1</v>
      </c>
      <c r="D237">
        <v>8065</v>
      </c>
      <c r="E237">
        <v>8129</v>
      </c>
      <c r="F237">
        <v>23.333334000000001</v>
      </c>
      <c r="G237">
        <v>11.6</v>
      </c>
      <c r="H237">
        <v>2.0114942</v>
      </c>
      <c r="I237">
        <v>-1.0114943000000001</v>
      </c>
      <c r="J237">
        <v>0.33206108000000001</v>
      </c>
    </row>
    <row r="238" spans="1:10" x14ac:dyDescent="0.3">
      <c r="A238">
        <v>236</v>
      </c>
      <c r="B238">
        <v>3768</v>
      </c>
      <c r="C238" t="b">
        <v>1</v>
      </c>
      <c r="D238">
        <v>8077</v>
      </c>
      <c r="E238">
        <v>8129</v>
      </c>
      <c r="F238">
        <v>23.333334000000001</v>
      </c>
      <c r="G238">
        <v>12</v>
      </c>
      <c r="H238">
        <v>1.9444444999999999</v>
      </c>
      <c r="I238">
        <v>-0.94444450000000002</v>
      </c>
      <c r="J238">
        <v>0.33962261999999999</v>
      </c>
    </row>
    <row r="239" spans="1:10" x14ac:dyDescent="0.3">
      <c r="A239">
        <v>237</v>
      </c>
      <c r="B239">
        <v>3784</v>
      </c>
      <c r="C239" t="b">
        <v>1</v>
      </c>
      <c r="D239">
        <v>8065</v>
      </c>
      <c r="E239">
        <v>8129</v>
      </c>
      <c r="F239">
        <v>23.333334000000001</v>
      </c>
      <c r="G239">
        <v>12</v>
      </c>
      <c r="H239">
        <v>1.9444444999999999</v>
      </c>
      <c r="I239">
        <v>-0.94444450000000002</v>
      </c>
      <c r="J239">
        <v>0.33962261999999999</v>
      </c>
    </row>
    <row r="240" spans="1:10" x14ac:dyDescent="0.3">
      <c r="A240">
        <v>238</v>
      </c>
      <c r="B240">
        <v>3800</v>
      </c>
      <c r="C240" t="b">
        <v>1</v>
      </c>
      <c r="D240">
        <v>8065</v>
      </c>
      <c r="E240">
        <v>8129</v>
      </c>
      <c r="F240">
        <v>23.333334000000001</v>
      </c>
      <c r="G240">
        <v>12</v>
      </c>
      <c r="H240">
        <v>1.9444444999999999</v>
      </c>
      <c r="I240">
        <v>-0.94444450000000002</v>
      </c>
      <c r="J240">
        <v>0.33962261999999999</v>
      </c>
    </row>
    <row r="241" spans="1:10" x14ac:dyDescent="0.3">
      <c r="A241">
        <v>239</v>
      </c>
      <c r="B241">
        <v>3816</v>
      </c>
      <c r="C241" t="b">
        <v>1</v>
      </c>
      <c r="D241">
        <v>8065</v>
      </c>
      <c r="E241">
        <v>8129</v>
      </c>
      <c r="F241">
        <v>23.333334000000001</v>
      </c>
      <c r="G241">
        <v>12</v>
      </c>
      <c r="H241">
        <v>1.9444444999999999</v>
      </c>
      <c r="I241">
        <v>-0.94444450000000002</v>
      </c>
      <c r="J241">
        <v>0.33962261999999999</v>
      </c>
    </row>
    <row r="242" spans="1:10" x14ac:dyDescent="0.3">
      <c r="A242">
        <v>240</v>
      </c>
      <c r="B242">
        <v>3832</v>
      </c>
      <c r="C242" t="b">
        <v>1</v>
      </c>
      <c r="D242">
        <v>8060</v>
      </c>
      <c r="E242">
        <v>8129</v>
      </c>
      <c r="F242">
        <v>23.333334000000001</v>
      </c>
      <c r="G242">
        <v>12</v>
      </c>
      <c r="H242">
        <v>1.9444444999999999</v>
      </c>
      <c r="I242">
        <v>-0.94444450000000002</v>
      </c>
      <c r="J242">
        <v>0.33962261999999999</v>
      </c>
    </row>
    <row r="243" spans="1:10" x14ac:dyDescent="0.3">
      <c r="A243">
        <v>241</v>
      </c>
      <c r="B243">
        <v>3848</v>
      </c>
      <c r="C243" t="b">
        <v>1</v>
      </c>
      <c r="D243">
        <v>8060</v>
      </c>
      <c r="E243">
        <v>8134</v>
      </c>
      <c r="F243">
        <v>23.333334000000001</v>
      </c>
      <c r="G243">
        <v>12</v>
      </c>
      <c r="H243">
        <v>1.9444444999999999</v>
      </c>
      <c r="I243">
        <v>-0.94444450000000002</v>
      </c>
      <c r="J243">
        <v>0.33962261999999999</v>
      </c>
    </row>
    <row r="244" spans="1:10" x14ac:dyDescent="0.3">
      <c r="A244">
        <v>242</v>
      </c>
      <c r="B244">
        <v>3864</v>
      </c>
      <c r="C244" t="b">
        <v>1</v>
      </c>
      <c r="D244">
        <v>8054</v>
      </c>
      <c r="E244">
        <v>8129</v>
      </c>
      <c r="F244">
        <v>23</v>
      </c>
      <c r="G244">
        <v>12</v>
      </c>
      <c r="H244">
        <v>1.9166666000000001</v>
      </c>
      <c r="I244">
        <v>-0.91666669999999995</v>
      </c>
      <c r="J244">
        <v>0.34285715</v>
      </c>
    </row>
    <row r="245" spans="1:10" x14ac:dyDescent="0.3">
      <c r="A245">
        <v>243</v>
      </c>
      <c r="B245">
        <v>3879</v>
      </c>
      <c r="C245" t="b">
        <v>1</v>
      </c>
      <c r="D245">
        <v>8060</v>
      </c>
      <c r="E245">
        <v>8129</v>
      </c>
      <c r="F245">
        <v>22.666665999999999</v>
      </c>
      <c r="G245">
        <v>12.4</v>
      </c>
      <c r="H245">
        <v>1.8279570000000001</v>
      </c>
      <c r="I245">
        <v>-0.82795700000000005</v>
      </c>
      <c r="J245">
        <v>0.35361215000000001</v>
      </c>
    </row>
    <row r="246" spans="1:10" x14ac:dyDescent="0.3">
      <c r="A246">
        <v>244</v>
      </c>
      <c r="B246">
        <v>3895</v>
      </c>
      <c r="C246" t="b">
        <v>1</v>
      </c>
      <c r="D246">
        <v>8060</v>
      </c>
      <c r="E246">
        <v>8134</v>
      </c>
      <c r="F246">
        <v>22.333334000000001</v>
      </c>
      <c r="G246">
        <v>12.8</v>
      </c>
      <c r="H246">
        <v>1.7447916999999999</v>
      </c>
      <c r="I246">
        <v>-0.74479169999999995</v>
      </c>
      <c r="J246">
        <v>0.36432636000000002</v>
      </c>
    </row>
    <row r="247" spans="1:10" x14ac:dyDescent="0.3">
      <c r="A247">
        <v>245</v>
      </c>
      <c r="B247">
        <v>3911</v>
      </c>
      <c r="C247" t="b">
        <v>1</v>
      </c>
      <c r="D247">
        <v>8065</v>
      </c>
      <c r="E247">
        <v>8129</v>
      </c>
      <c r="F247">
        <v>22</v>
      </c>
      <c r="G247">
        <v>13.2</v>
      </c>
      <c r="H247">
        <v>1.6666666999999999</v>
      </c>
      <c r="I247">
        <v>-0.66666669999999995</v>
      </c>
      <c r="J247">
        <v>0.375</v>
      </c>
    </row>
    <row r="248" spans="1:10" x14ac:dyDescent="0.3">
      <c r="A248">
        <v>246</v>
      </c>
      <c r="B248">
        <v>3927</v>
      </c>
      <c r="C248" t="b">
        <v>1</v>
      </c>
      <c r="D248">
        <v>8071</v>
      </c>
      <c r="E248">
        <v>8129</v>
      </c>
      <c r="F248">
        <v>22</v>
      </c>
      <c r="G248">
        <v>13.6</v>
      </c>
      <c r="H248">
        <v>1.6176470000000001</v>
      </c>
      <c r="I248">
        <v>-0.61764699999999995</v>
      </c>
      <c r="J248">
        <v>0.38202249999999999</v>
      </c>
    </row>
    <row r="249" spans="1:10" x14ac:dyDescent="0.3">
      <c r="A249">
        <v>247</v>
      </c>
      <c r="B249">
        <v>3943</v>
      </c>
      <c r="C249" t="b">
        <v>1</v>
      </c>
      <c r="D249">
        <v>8065</v>
      </c>
      <c r="E249">
        <v>8129</v>
      </c>
      <c r="F249">
        <v>22.333334000000001</v>
      </c>
      <c r="G249">
        <v>14</v>
      </c>
      <c r="H249">
        <v>1.5952381</v>
      </c>
      <c r="I249">
        <v>-0.59523815000000002</v>
      </c>
      <c r="J249">
        <v>0.38532107999999998</v>
      </c>
    </row>
    <row r="250" spans="1:10" x14ac:dyDescent="0.3">
      <c r="A250">
        <v>248</v>
      </c>
      <c r="B250">
        <v>3958</v>
      </c>
      <c r="C250" t="b">
        <v>1</v>
      </c>
      <c r="D250">
        <v>8071</v>
      </c>
      <c r="E250">
        <v>8129</v>
      </c>
      <c r="F250">
        <v>22.666665999999999</v>
      </c>
      <c r="G250">
        <v>14</v>
      </c>
      <c r="H250">
        <v>1.6190475</v>
      </c>
      <c r="I250">
        <v>-0.61904760000000003</v>
      </c>
      <c r="J250">
        <v>0.3818182</v>
      </c>
    </row>
    <row r="251" spans="1:10" x14ac:dyDescent="0.3">
      <c r="A251">
        <v>249</v>
      </c>
      <c r="B251">
        <v>3974</v>
      </c>
      <c r="C251" t="b">
        <v>1</v>
      </c>
      <c r="D251">
        <v>8065</v>
      </c>
      <c r="E251">
        <v>8134</v>
      </c>
      <c r="F251">
        <v>23</v>
      </c>
      <c r="G251">
        <v>14</v>
      </c>
      <c r="H251">
        <v>1.6428571999999999</v>
      </c>
      <c r="I251">
        <v>-0.64285713</v>
      </c>
      <c r="J251">
        <v>0.3783784</v>
      </c>
    </row>
    <row r="252" spans="1:10" x14ac:dyDescent="0.3">
      <c r="A252">
        <v>250</v>
      </c>
      <c r="B252">
        <v>3990</v>
      </c>
      <c r="C252" t="b">
        <v>1</v>
      </c>
      <c r="D252">
        <v>8065</v>
      </c>
      <c r="E252">
        <v>8129</v>
      </c>
      <c r="F252">
        <v>23.333334000000001</v>
      </c>
      <c r="G252">
        <v>14</v>
      </c>
      <c r="H252">
        <v>1.6666666999999999</v>
      </c>
      <c r="I252">
        <v>-0.66666669999999995</v>
      </c>
      <c r="J252">
        <v>0.37499997000000002</v>
      </c>
    </row>
    <row r="253" spans="1:10" x14ac:dyDescent="0.3">
      <c r="A253">
        <v>251</v>
      </c>
      <c r="B253">
        <v>4006</v>
      </c>
      <c r="C253" t="b">
        <v>1</v>
      </c>
      <c r="D253">
        <v>8071</v>
      </c>
      <c r="E253">
        <v>8117</v>
      </c>
      <c r="F253">
        <v>23.333334000000001</v>
      </c>
      <c r="G253">
        <v>14</v>
      </c>
      <c r="H253">
        <v>1.6666666999999999</v>
      </c>
      <c r="I253">
        <v>-0.66666669999999995</v>
      </c>
      <c r="J253">
        <v>0.37499997000000002</v>
      </c>
    </row>
    <row r="254" spans="1:10" x14ac:dyDescent="0.3">
      <c r="A254">
        <v>252</v>
      </c>
      <c r="B254">
        <v>4022</v>
      </c>
      <c r="C254" t="b">
        <v>1</v>
      </c>
      <c r="D254">
        <v>8060</v>
      </c>
      <c r="E254">
        <v>8129</v>
      </c>
      <c r="F254">
        <v>23.333334000000001</v>
      </c>
      <c r="G254">
        <v>14</v>
      </c>
      <c r="H254">
        <v>1.6666666999999999</v>
      </c>
      <c r="I254">
        <v>-0.66666669999999995</v>
      </c>
      <c r="J254">
        <v>0.37499997000000002</v>
      </c>
    </row>
    <row r="255" spans="1:10" x14ac:dyDescent="0.3">
      <c r="A255">
        <v>253</v>
      </c>
      <c r="B255">
        <v>4038</v>
      </c>
      <c r="C255" t="b">
        <v>1</v>
      </c>
      <c r="D255">
        <v>8065</v>
      </c>
      <c r="E255">
        <v>8129</v>
      </c>
      <c r="F255">
        <v>23.333334000000001</v>
      </c>
      <c r="G255">
        <v>14</v>
      </c>
      <c r="H255">
        <v>1.6666666999999999</v>
      </c>
      <c r="I255">
        <v>-0.66666669999999995</v>
      </c>
      <c r="J255">
        <v>0.37499997000000002</v>
      </c>
    </row>
    <row r="256" spans="1:10" x14ac:dyDescent="0.3">
      <c r="A256">
        <v>254</v>
      </c>
      <c r="B256">
        <v>4054</v>
      </c>
      <c r="C256" t="b">
        <v>1</v>
      </c>
      <c r="D256">
        <v>8065</v>
      </c>
      <c r="E256">
        <v>8129</v>
      </c>
      <c r="F256">
        <v>23.333334000000001</v>
      </c>
      <c r="G256">
        <v>14</v>
      </c>
      <c r="H256">
        <v>1.6666666999999999</v>
      </c>
      <c r="I256">
        <v>-0.66666669999999995</v>
      </c>
      <c r="J256">
        <v>0.37499997000000002</v>
      </c>
    </row>
    <row r="257" spans="1:10" x14ac:dyDescent="0.3">
      <c r="A257">
        <v>255</v>
      </c>
      <c r="B257">
        <v>4070</v>
      </c>
      <c r="C257" t="b">
        <v>1</v>
      </c>
      <c r="D257">
        <v>8065</v>
      </c>
      <c r="E257">
        <v>8117</v>
      </c>
      <c r="F257">
        <v>23.333334000000001</v>
      </c>
      <c r="G257">
        <v>14</v>
      </c>
      <c r="H257">
        <v>1.6666666999999999</v>
      </c>
      <c r="I257">
        <v>-0.66666669999999995</v>
      </c>
      <c r="J257">
        <v>0.37499997000000002</v>
      </c>
    </row>
    <row r="258" spans="1:10" x14ac:dyDescent="0.3">
      <c r="A258">
        <v>256</v>
      </c>
      <c r="B258">
        <v>4086</v>
      </c>
      <c r="C258" t="b">
        <v>1</v>
      </c>
      <c r="D258">
        <v>8065</v>
      </c>
      <c r="E258">
        <v>8117</v>
      </c>
      <c r="F258">
        <v>23.333334000000001</v>
      </c>
      <c r="G258">
        <v>14</v>
      </c>
      <c r="H258">
        <v>1.6666666999999999</v>
      </c>
      <c r="I258">
        <v>-0.66666669999999995</v>
      </c>
      <c r="J258">
        <v>0.37499997000000002</v>
      </c>
    </row>
    <row r="259" spans="1:10" x14ac:dyDescent="0.3">
      <c r="A259">
        <v>257</v>
      </c>
      <c r="B259">
        <v>4118</v>
      </c>
      <c r="C259" t="b">
        <v>1</v>
      </c>
      <c r="D259">
        <v>8065</v>
      </c>
      <c r="E259">
        <v>8134</v>
      </c>
      <c r="F259">
        <v>23.666665999999999</v>
      </c>
      <c r="G259">
        <v>14</v>
      </c>
      <c r="H259">
        <v>1.6904762</v>
      </c>
      <c r="I259">
        <v>-0.69047610000000004</v>
      </c>
      <c r="J259">
        <v>0.37168145000000002</v>
      </c>
    </row>
    <row r="260" spans="1:10" x14ac:dyDescent="0.3">
      <c r="A260">
        <v>258</v>
      </c>
      <c r="B260">
        <v>4134</v>
      </c>
      <c r="C260" t="b">
        <v>1</v>
      </c>
      <c r="D260">
        <v>8065</v>
      </c>
      <c r="E260">
        <v>8134</v>
      </c>
      <c r="F260">
        <v>24</v>
      </c>
      <c r="G260">
        <v>14</v>
      </c>
      <c r="H260">
        <v>1.7142857</v>
      </c>
      <c r="I260">
        <v>-0.71428572999999995</v>
      </c>
      <c r="J260">
        <v>0.36842105000000003</v>
      </c>
    </row>
    <row r="261" spans="1:10" x14ac:dyDescent="0.3">
      <c r="A261">
        <v>259</v>
      </c>
      <c r="B261">
        <v>4150</v>
      </c>
      <c r="C261" t="b">
        <v>1</v>
      </c>
      <c r="D261">
        <v>8060</v>
      </c>
      <c r="E261">
        <v>8134</v>
      </c>
      <c r="F261">
        <v>24.333334000000001</v>
      </c>
      <c r="G261">
        <v>14.333333</v>
      </c>
      <c r="H261">
        <v>1.6976745</v>
      </c>
      <c r="I261">
        <v>-0.69767449999999998</v>
      </c>
      <c r="J261">
        <v>0.37068962999999999</v>
      </c>
    </row>
    <row r="262" spans="1:10" x14ac:dyDescent="0.3">
      <c r="A262">
        <v>260</v>
      </c>
      <c r="B262">
        <v>4166</v>
      </c>
      <c r="C262" t="b">
        <v>1</v>
      </c>
      <c r="D262">
        <v>8065</v>
      </c>
      <c r="E262">
        <v>8129</v>
      </c>
      <c r="F262">
        <v>24.666665999999999</v>
      </c>
      <c r="G262">
        <v>14.666667</v>
      </c>
      <c r="H262">
        <v>1.6818181000000001</v>
      </c>
      <c r="I262">
        <v>-0.68181809999999998</v>
      </c>
      <c r="J262">
        <v>0.37288137999999998</v>
      </c>
    </row>
    <row r="263" spans="1:10" x14ac:dyDescent="0.3">
      <c r="A263">
        <v>261</v>
      </c>
      <c r="B263">
        <v>4182</v>
      </c>
      <c r="C263" t="b">
        <v>1</v>
      </c>
      <c r="D263">
        <v>8065</v>
      </c>
      <c r="E263">
        <v>8129</v>
      </c>
      <c r="F263">
        <v>25</v>
      </c>
      <c r="G263">
        <v>15</v>
      </c>
      <c r="H263">
        <v>1.6666666000000001</v>
      </c>
      <c r="I263">
        <v>-0.66666669999999995</v>
      </c>
      <c r="J263">
        <v>0.375</v>
      </c>
    </row>
    <row r="264" spans="1:10" x14ac:dyDescent="0.3">
      <c r="A264">
        <v>262</v>
      </c>
      <c r="B264">
        <v>4198</v>
      </c>
      <c r="C264" t="b">
        <v>1</v>
      </c>
      <c r="D264">
        <v>8071</v>
      </c>
      <c r="E264">
        <v>8123</v>
      </c>
      <c r="F264">
        <v>25</v>
      </c>
      <c r="G264">
        <v>15</v>
      </c>
      <c r="H264">
        <v>1.6666666000000001</v>
      </c>
      <c r="I264">
        <v>-0.66666669999999995</v>
      </c>
      <c r="J264">
        <v>0.375</v>
      </c>
    </row>
    <row r="265" spans="1:10" x14ac:dyDescent="0.3">
      <c r="A265">
        <v>263</v>
      </c>
      <c r="B265">
        <v>4214</v>
      </c>
      <c r="C265" t="b">
        <v>1</v>
      </c>
      <c r="D265">
        <v>8071</v>
      </c>
      <c r="E265">
        <v>8123</v>
      </c>
      <c r="F265">
        <v>25</v>
      </c>
      <c r="G265">
        <v>15</v>
      </c>
      <c r="H265">
        <v>1.6666666000000001</v>
      </c>
      <c r="I265">
        <v>-0.66666669999999995</v>
      </c>
      <c r="J265">
        <v>0.375</v>
      </c>
    </row>
    <row r="266" spans="1:10" x14ac:dyDescent="0.3">
      <c r="A266">
        <v>264</v>
      </c>
      <c r="B266">
        <v>4230</v>
      </c>
      <c r="C266" t="b">
        <v>1</v>
      </c>
      <c r="D266">
        <v>8071</v>
      </c>
      <c r="E266">
        <v>8129</v>
      </c>
      <c r="F266">
        <v>25.4</v>
      </c>
      <c r="G266">
        <v>15</v>
      </c>
      <c r="H266">
        <v>1.6933332999999999</v>
      </c>
      <c r="I266">
        <v>-0.69333330000000004</v>
      </c>
      <c r="J266">
        <v>0.37128709999999998</v>
      </c>
    </row>
    <row r="267" spans="1:10" x14ac:dyDescent="0.3">
      <c r="A267">
        <v>265</v>
      </c>
      <c r="B267">
        <v>4245</v>
      </c>
      <c r="C267" t="b">
        <v>1</v>
      </c>
      <c r="D267">
        <v>8060</v>
      </c>
      <c r="E267">
        <v>8117</v>
      </c>
      <c r="F267">
        <v>25.8</v>
      </c>
      <c r="G267">
        <v>14.6</v>
      </c>
      <c r="H267">
        <v>1.7671231999999999</v>
      </c>
      <c r="I267">
        <v>-0.76712316000000003</v>
      </c>
      <c r="J267">
        <v>0.36138611999999998</v>
      </c>
    </row>
    <row r="268" spans="1:10" x14ac:dyDescent="0.3">
      <c r="A268">
        <v>266</v>
      </c>
      <c r="B268">
        <v>4261</v>
      </c>
      <c r="C268" t="b">
        <v>1</v>
      </c>
      <c r="D268">
        <v>8065</v>
      </c>
      <c r="E268">
        <v>8117</v>
      </c>
      <c r="F268">
        <v>26.2</v>
      </c>
      <c r="G268">
        <v>14.2</v>
      </c>
      <c r="H268">
        <v>1.8450705000000001</v>
      </c>
      <c r="I268">
        <v>-0.84507049999999995</v>
      </c>
      <c r="J268">
        <v>0.35148512999999998</v>
      </c>
    </row>
    <row r="269" spans="1:10" x14ac:dyDescent="0.3">
      <c r="A269">
        <v>267</v>
      </c>
      <c r="B269">
        <v>4277</v>
      </c>
      <c r="C269" t="b">
        <v>1</v>
      </c>
      <c r="D269">
        <v>8060</v>
      </c>
      <c r="E269">
        <v>8129</v>
      </c>
      <c r="F269">
        <v>26.2</v>
      </c>
      <c r="G269">
        <v>13.8</v>
      </c>
      <c r="H269">
        <v>1.8985506999999999</v>
      </c>
      <c r="I269">
        <v>-0.89855074999999995</v>
      </c>
      <c r="J269">
        <v>0.34499999999999997</v>
      </c>
    </row>
    <row r="270" spans="1:10" x14ac:dyDescent="0.3">
      <c r="A270">
        <v>268</v>
      </c>
      <c r="B270">
        <v>4293</v>
      </c>
      <c r="C270" t="b">
        <v>1</v>
      </c>
      <c r="D270">
        <v>8060</v>
      </c>
      <c r="E270">
        <v>8123</v>
      </c>
      <c r="F270">
        <v>25.866667</v>
      </c>
      <c r="G270">
        <v>13.4</v>
      </c>
      <c r="H270">
        <v>1.9303482999999999</v>
      </c>
      <c r="I270">
        <v>-0.93034834</v>
      </c>
      <c r="J270">
        <v>0.34125634999999999</v>
      </c>
    </row>
    <row r="271" spans="1:10" x14ac:dyDescent="0.3">
      <c r="A271">
        <v>269</v>
      </c>
      <c r="B271">
        <v>4309</v>
      </c>
      <c r="C271" t="b">
        <v>1</v>
      </c>
      <c r="D271">
        <v>8054</v>
      </c>
      <c r="E271">
        <v>8123</v>
      </c>
      <c r="F271">
        <v>25.533332999999999</v>
      </c>
      <c r="G271">
        <v>13</v>
      </c>
      <c r="H271">
        <v>1.9641025000000001</v>
      </c>
      <c r="I271">
        <v>-0.96410249999999997</v>
      </c>
      <c r="J271">
        <v>0.33737024999999998</v>
      </c>
    </row>
    <row r="272" spans="1:10" x14ac:dyDescent="0.3">
      <c r="A272">
        <v>270</v>
      </c>
      <c r="B272">
        <v>4325</v>
      </c>
      <c r="C272" t="b">
        <v>1</v>
      </c>
      <c r="D272">
        <v>8060</v>
      </c>
      <c r="E272">
        <v>8117</v>
      </c>
      <c r="F272">
        <v>25.2</v>
      </c>
      <c r="G272">
        <v>12.6</v>
      </c>
      <c r="H272">
        <v>2</v>
      </c>
      <c r="I272">
        <v>-1</v>
      </c>
      <c r="J272">
        <v>0.3333333</v>
      </c>
    </row>
    <row r="273" spans="1:10" x14ac:dyDescent="0.3">
      <c r="A273">
        <v>271</v>
      </c>
      <c r="B273">
        <v>4341</v>
      </c>
      <c r="C273" t="b">
        <v>1</v>
      </c>
      <c r="D273">
        <v>8060</v>
      </c>
      <c r="E273">
        <v>8117</v>
      </c>
      <c r="F273">
        <v>24.866667</v>
      </c>
      <c r="G273">
        <v>12.2</v>
      </c>
      <c r="H273">
        <v>2.0382514</v>
      </c>
      <c r="I273">
        <v>-1.0382514</v>
      </c>
      <c r="J273">
        <v>0.3291367</v>
      </c>
    </row>
    <row r="274" spans="1:10" x14ac:dyDescent="0.3">
      <c r="A274">
        <v>272</v>
      </c>
      <c r="B274">
        <v>4357</v>
      </c>
      <c r="C274" t="b">
        <v>1</v>
      </c>
      <c r="D274">
        <v>8054</v>
      </c>
      <c r="E274">
        <v>8111</v>
      </c>
      <c r="F274">
        <v>24.533332999999999</v>
      </c>
      <c r="G274">
        <v>11.4</v>
      </c>
      <c r="H274">
        <v>2.152047</v>
      </c>
      <c r="I274">
        <v>-1.1520467999999999</v>
      </c>
      <c r="J274">
        <v>0.31725416000000001</v>
      </c>
    </row>
    <row r="275" spans="1:10" x14ac:dyDescent="0.3">
      <c r="A275">
        <v>273</v>
      </c>
      <c r="B275">
        <v>4372</v>
      </c>
      <c r="C275" t="b">
        <v>1</v>
      </c>
      <c r="D275">
        <v>8060</v>
      </c>
      <c r="E275">
        <v>8123</v>
      </c>
      <c r="F275">
        <v>24.2</v>
      </c>
      <c r="G275">
        <v>10.6</v>
      </c>
      <c r="H275">
        <v>2.2830187999999998</v>
      </c>
      <c r="I275">
        <v>-1.2830188</v>
      </c>
      <c r="J275">
        <v>0.30459767999999998</v>
      </c>
    </row>
    <row r="276" spans="1:10" x14ac:dyDescent="0.3">
      <c r="A276">
        <v>274</v>
      </c>
      <c r="B276">
        <v>4388</v>
      </c>
      <c r="C276" t="b">
        <v>1</v>
      </c>
      <c r="D276">
        <v>8054</v>
      </c>
      <c r="E276">
        <v>8129</v>
      </c>
      <c r="F276">
        <v>23.866667</v>
      </c>
      <c r="G276">
        <v>9.466666</v>
      </c>
      <c r="H276">
        <v>2.5211269999999999</v>
      </c>
      <c r="I276">
        <v>-1.5211269000000001</v>
      </c>
      <c r="J276">
        <v>0.28399999999999997</v>
      </c>
    </row>
    <row r="277" spans="1:10" x14ac:dyDescent="0.3">
      <c r="A277">
        <v>275</v>
      </c>
      <c r="B277">
        <v>4404</v>
      </c>
      <c r="C277" t="b">
        <v>1</v>
      </c>
      <c r="D277">
        <v>8065</v>
      </c>
      <c r="E277">
        <v>8129</v>
      </c>
      <c r="F277">
        <v>23.533332999999999</v>
      </c>
      <c r="G277">
        <v>8.7333339999999993</v>
      </c>
      <c r="H277">
        <v>2.6946564</v>
      </c>
      <c r="I277">
        <v>-1.6946564</v>
      </c>
      <c r="J277">
        <v>0.27066118</v>
      </c>
    </row>
    <row r="278" spans="1:10" x14ac:dyDescent="0.3">
      <c r="A278">
        <v>276</v>
      </c>
      <c r="B278">
        <v>4420</v>
      </c>
      <c r="C278" t="b">
        <v>1</v>
      </c>
      <c r="D278">
        <v>8060</v>
      </c>
      <c r="E278">
        <v>8134</v>
      </c>
      <c r="F278">
        <v>23.2</v>
      </c>
      <c r="G278">
        <v>8.4</v>
      </c>
      <c r="H278">
        <v>2.7619050000000001</v>
      </c>
      <c r="I278">
        <v>-1.7619050000000001</v>
      </c>
      <c r="J278">
        <v>0.26582276999999999</v>
      </c>
    </row>
    <row r="279" spans="1:10" x14ac:dyDescent="0.3">
      <c r="A279">
        <v>277</v>
      </c>
      <c r="B279">
        <v>4436</v>
      </c>
      <c r="C279" t="b">
        <v>1</v>
      </c>
      <c r="D279">
        <v>8071</v>
      </c>
      <c r="E279">
        <v>8129</v>
      </c>
      <c r="F279">
        <v>22.866667</v>
      </c>
      <c r="G279">
        <v>8.4</v>
      </c>
      <c r="H279">
        <v>2.7222222999999999</v>
      </c>
      <c r="I279">
        <v>-1.7222223000000001</v>
      </c>
      <c r="J279">
        <v>0.26865670000000003</v>
      </c>
    </row>
    <row r="280" spans="1:10" x14ac:dyDescent="0.3">
      <c r="A280">
        <v>278</v>
      </c>
      <c r="B280">
        <v>4451</v>
      </c>
      <c r="C280" t="b">
        <v>1</v>
      </c>
      <c r="D280">
        <v>8071</v>
      </c>
      <c r="E280">
        <v>8134</v>
      </c>
      <c r="F280">
        <v>22.866667</v>
      </c>
      <c r="G280">
        <v>8.4</v>
      </c>
      <c r="H280">
        <v>2.7222222999999999</v>
      </c>
      <c r="I280">
        <v>-1.7222223000000001</v>
      </c>
      <c r="J280">
        <v>0.26865670000000003</v>
      </c>
    </row>
    <row r="281" spans="1:10" x14ac:dyDescent="0.3">
      <c r="A281">
        <v>279</v>
      </c>
      <c r="B281">
        <v>4467</v>
      </c>
      <c r="C281" t="b">
        <v>1</v>
      </c>
      <c r="D281">
        <v>8065</v>
      </c>
      <c r="E281">
        <v>8129</v>
      </c>
      <c r="F281">
        <v>22.466667000000001</v>
      </c>
      <c r="G281">
        <v>8.4</v>
      </c>
      <c r="H281">
        <v>2.6746034999999999</v>
      </c>
      <c r="I281">
        <v>-1.6746033</v>
      </c>
      <c r="J281">
        <v>0.2721382</v>
      </c>
    </row>
    <row r="282" spans="1:10" x14ac:dyDescent="0.3">
      <c r="A282">
        <v>280</v>
      </c>
      <c r="B282">
        <v>4483</v>
      </c>
      <c r="C282" t="b">
        <v>1</v>
      </c>
      <c r="D282">
        <v>8065</v>
      </c>
      <c r="E282">
        <v>8123</v>
      </c>
      <c r="F282">
        <v>22.066668</v>
      </c>
      <c r="G282">
        <v>8.8000000000000007</v>
      </c>
      <c r="H282">
        <v>2.5075758000000001</v>
      </c>
      <c r="I282">
        <v>-1.5075757999999999</v>
      </c>
      <c r="J282">
        <v>0.28509718000000001</v>
      </c>
    </row>
    <row r="283" spans="1:10" x14ac:dyDescent="0.3">
      <c r="A283">
        <v>281</v>
      </c>
      <c r="B283">
        <v>4499</v>
      </c>
      <c r="C283" t="b">
        <v>1</v>
      </c>
      <c r="D283">
        <v>8065</v>
      </c>
      <c r="E283">
        <v>8129</v>
      </c>
      <c r="F283">
        <v>21.666665999999999</v>
      </c>
      <c r="G283">
        <v>9.1999999999999993</v>
      </c>
      <c r="H283">
        <v>2.3550724999999999</v>
      </c>
      <c r="I283">
        <v>-1.3550724999999999</v>
      </c>
      <c r="J283">
        <v>0.29805616000000001</v>
      </c>
    </row>
    <row r="284" spans="1:10" x14ac:dyDescent="0.3">
      <c r="A284">
        <v>282</v>
      </c>
      <c r="B284">
        <v>4515</v>
      </c>
      <c r="C284" t="b">
        <v>1</v>
      </c>
      <c r="D284">
        <v>8060</v>
      </c>
      <c r="E284">
        <v>8129</v>
      </c>
      <c r="F284">
        <v>21.666665999999999</v>
      </c>
      <c r="G284">
        <v>9.6</v>
      </c>
      <c r="H284">
        <v>2.2569442</v>
      </c>
      <c r="I284">
        <v>-1.2569443</v>
      </c>
      <c r="J284">
        <v>0.30703625000000001</v>
      </c>
    </row>
    <row r="285" spans="1:10" x14ac:dyDescent="0.3">
      <c r="A285">
        <v>283</v>
      </c>
      <c r="B285">
        <v>4530</v>
      </c>
      <c r="C285" t="b">
        <v>1</v>
      </c>
      <c r="D285">
        <v>8065</v>
      </c>
      <c r="E285">
        <v>8129</v>
      </c>
      <c r="F285">
        <v>22</v>
      </c>
      <c r="G285">
        <v>10</v>
      </c>
      <c r="H285">
        <v>2.2000000000000002</v>
      </c>
      <c r="I285">
        <v>-1.2</v>
      </c>
      <c r="J285">
        <v>0.3125</v>
      </c>
    </row>
    <row r="286" spans="1:10" x14ac:dyDescent="0.3">
      <c r="A286">
        <v>284</v>
      </c>
      <c r="B286">
        <v>4546</v>
      </c>
      <c r="C286" t="b">
        <v>1</v>
      </c>
      <c r="D286">
        <v>8060</v>
      </c>
      <c r="E286">
        <v>8123</v>
      </c>
      <c r="F286">
        <v>22.333334000000001</v>
      </c>
      <c r="G286">
        <v>10.4</v>
      </c>
      <c r="H286">
        <v>2.1474361000000002</v>
      </c>
      <c r="I286">
        <v>-1.1474359999999999</v>
      </c>
      <c r="J286">
        <v>0.31771892000000002</v>
      </c>
    </row>
    <row r="287" spans="1:10" x14ac:dyDescent="0.3">
      <c r="A287">
        <v>285</v>
      </c>
      <c r="B287">
        <v>4562</v>
      </c>
      <c r="C287" t="b">
        <v>1</v>
      </c>
      <c r="D287">
        <v>8054</v>
      </c>
      <c r="E287">
        <v>8129</v>
      </c>
      <c r="F287">
        <v>22.333334000000001</v>
      </c>
      <c r="G287">
        <v>10.8</v>
      </c>
      <c r="H287">
        <v>2.0679013999999998</v>
      </c>
      <c r="I287">
        <v>-1.0679012999999999</v>
      </c>
      <c r="J287">
        <v>0.32595572</v>
      </c>
    </row>
    <row r="288" spans="1:10" x14ac:dyDescent="0.3">
      <c r="A288">
        <v>286</v>
      </c>
      <c r="B288">
        <v>4578</v>
      </c>
      <c r="C288" t="b">
        <v>1</v>
      </c>
      <c r="D288">
        <v>8065</v>
      </c>
      <c r="E288">
        <v>8129</v>
      </c>
      <c r="F288">
        <v>22.333334000000001</v>
      </c>
      <c r="G288">
        <v>11.2</v>
      </c>
      <c r="H288">
        <v>1.9940477999999999</v>
      </c>
      <c r="I288">
        <v>-0.99404769999999998</v>
      </c>
      <c r="J288">
        <v>0.33399603</v>
      </c>
    </row>
    <row r="289" spans="1:10" x14ac:dyDescent="0.3">
      <c r="A289">
        <v>287</v>
      </c>
      <c r="B289">
        <v>4594</v>
      </c>
      <c r="C289" t="b">
        <v>1</v>
      </c>
      <c r="D289">
        <v>8060</v>
      </c>
      <c r="E289">
        <v>8134</v>
      </c>
      <c r="F289">
        <v>22.333334000000001</v>
      </c>
      <c r="G289">
        <v>12</v>
      </c>
      <c r="H289">
        <v>1.8611112000000001</v>
      </c>
      <c r="I289">
        <v>-0.86111115999999999</v>
      </c>
      <c r="J289">
        <v>0.34951453999999998</v>
      </c>
    </row>
    <row r="290" spans="1:10" x14ac:dyDescent="0.3">
      <c r="A290">
        <v>288</v>
      </c>
      <c r="B290">
        <v>4610</v>
      </c>
      <c r="C290" t="b">
        <v>1</v>
      </c>
      <c r="D290">
        <v>8060</v>
      </c>
      <c r="E290">
        <v>8134</v>
      </c>
      <c r="F290">
        <v>22.333334000000001</v>
      </c>
      <c r="G290">
        <v>12.8</v>
      </c>
      <c r="H290">
        <v>1.7447916999999999</v>
      </c>
      <c r="I290">
        <v>-0.74479169999999995</v>
      </c>
      <c r="J290">
        <v>0.36432636000000002</v>
      </c>
    </row>
    <row r="291" spans="1:10" x14ac:dyDescent="0.3">
      <c r="A291">
        <v>289</v>
      </c>
      <c r="B291">
        <v>4626</v>
      </c>
      <c r="C291" t="b">
        <v>1</v>
      </c>
      <c r="D291">
        <v>8060</v>
      </c>
      <c r="E291">
        <v>8129</v>
      </c>
      <c r="F291">
        <v>22.333334000000001</v>
      </c>
      <c r="G291">
        <v>13.6</v>
      </c>
      <c r="H291">
        <v>1.6421568</v>
      </c>
      <c r="I291">
        <v>-0.64215683999999995</v>
      </c>
      <c r="J291">
        <v>0.37847868000000001</v>
      </c>
    </row>
    <row r="292" spans="1:10" x14ac:dyDescent="0.3">
      <c r="A292">
        <v>290</v>
      </c>
      <c r="B292">
        <v>4642</v>
      </c>
      <c r="C292" t="b">
        <v>1</v>
      </c>
      <c r="D292">
        <v>8065</v>
      </c>
      <c r="E292">
        <v>8134</v>
      </c>
      <c r="F292">
        <v>22.333334000000001</v>
      </c>
      <c r="G292">
        <v>14.333333</v>
      </c>
      <c r="H292">
        <v>1.5581396000000001</v>
      </c>
      <c r="I292">
        <v>-0.55813959999999996</v>
      </c>
      <c r="J292">
        <v>0.39090908000000002</v>
      </c>
    </row>
    <row r="293" spans="1:10" x14ac:dyDescent="0.3">
      <c r="A293">
        <v>291</v>
      </c>
      <c r="B293">
        <v>4657</v>
      </c>
      <c r="C293" t="b">
        <v>1</v>
      </c>
      <c r="D293">
        <v>8060</v>
      </c>
      <c r="E293">
        <v>8129</v>
      </c>
      <c r="F293">
        <v>22.333334000000001</v>
      </c>
      <c r="G293">
        <v>14.666667</v>
      </c>
      <c r="H293">
        <v>1.5227272999999999</v>
      </c>
      <c r="I293">
        <v>-0.52272730000000001</v>
      </c>
      <c r="J293">
        <v>0.39639639999999998</v>
      </c>
    </row>
    <row r="294" spans="1:10" x14ac:dyDescent="0.3">
      <c r="A294">
        <v>292</v>
      </c>
      <c r="B294">
        <v>4673</v>
      </c>
      <c r="C294" t="b">
        <v>1</v>
      </c>
      <c r="D294">
        <v>8065</v>
      </c>
      <c r="E294">
        <v>8129</v>
      </c>
      <c r="F294">
        <v>22.333334000000001</v>
      </c>
      <c r="G294">
        <v>14.666667</v>
      </c>
      <c r="H294">
        <v>1.5227272999999999</v>
      </c>
      <c r="I294">
        <v>-0.52272730000000001</v>
      </c>
      <c r="J294">
        <v>0.39639639999999998</v>
      </c>
    </row>
    <row r="295" spans="1:10" x14ac:dyDescent="0.3">
      <c r="A295">
        <v>293</v>
      </c>
      <c r="B295">
        <v>4689</v>
      </c>
      <c r="C295" t="b">
        <v>1</v>
      </c>
      <c r="D295">
        <v>8060</v>
      </c>
      <c r="E295">
        <v>8123</v>
      </c>
      <c r="F295">
        <v>22</v>
      </c>
      <c r="G295">
        <v>14.666667</v>
      </c>
      <c r="H295">
        <v>1.5</v>
      </c>
      <c r="I295">
        <v>-0.49999997000000002</v>
      </c>
      <c r="J295">
        <v>0.4</v>
      </c>
    </row>
    <row r="296" spans="1:10" x14ac:dyDescent="0.3">
      <c r="A296">
        <v>294</v>
      </c>
      <c r="B296">
        <v>4705</v>
      </c>
      <c r="C296" t="b">
        <v>1</v>
      </c>
      <c r="D296">
        <v>8071</v>
      </c>
      <c r="E296">
        <v>8123</v>
      </c>
      <c r="F296">
        <v>22</v>
      </c>
      <c r="G296">
        <v>14.666667</v>
      </c>
      <c r="H296">
        <v>1.5</v>
      </c>
      <c r="I296">
        <v>-0.49999997000000002</v>
      </c>
      <c r="J296">
        <v>0.4</v>
      </c>
    </row>
    <row r="297" spans="1:10" x14ac:dyDescent="0.3">
      <c r="A297">
        <v>295</v>
      </c>
      <c r="B297">
        <v>4721</v>
      </c>
      <c r="C297" t="b">
        <v>1</v>
      </c>
      <c r="D297">
        <v>8065</v>
      </c>
      <c r="E297">
        <v>8117</v>
      </c>
      <c r="F297">
        <v>22</v>
      </c>
      <c r="G297">
        <v>14.266666000000001</v>
      </c>
      <c r="H297">
        <v>1.5420560999999999</v>
      </c>
      <c r="I297">
        <v>-0.54205610000000004</v>
      </c>
      <c r="J297">
        <v>0.39338234</v>
      </c>
    </row>
    <row r="298" spans="1:10" x14ac:dyDescent="0.3">
      <c r="A298">
        <v>296</v>
      </c>
      <c r="B298">
        <v>4737</v>
      </c>
      <c r="C298" t="b">
        <v>1</v>
      </c>
      <c r="D298">
        <v>8077</v>
      </c>
      <c r="E298">
        <v>8123</v>
      </c>
      <c r="F298">
        <v>22</v>
      </c>
      <c r="G298">
        <v>13.866667</v>
      </c>
      <c r="H298">
        <v>1.5865384</v>
      </c>
      <c r="I298">
        <v>-0.58653843000000006</v>
      </c>
      <c r="J298">
        <v>0.38661709999999999</v>
      </c>
    </row>
    <row r="299" spans="1:10" x14ac:dyDescent="0.3">
      <c r="A299">
        <v>297</v>
      </c>
      <c r="B299">
        <v>4753</v>
      </c>
      <c r="C299" t="b">
        <v>1</v>
      </c>
      <c r="D299">
        <v>8065</v>
      </c>
      <c r="E299">
        <v>8129</v>
      </c>
      <c r="F299">
        <v>22</v>
      </c>
      <c r="G299">
        <v>13.466666</v>
      </c>
      <c r="H299">
        <v>1.6336634000000001</v>
      </c>
      <c r="I299">
        <v>-0.63366339999999999</v>
      </c>
      <c r="J299">
        <v>0.37969923</v>
      </c>
    </row>
    <row r="300" spans="1:10" x14ac:dyDescent="0.3">
      <c r="A300">
        <v>298</v>
      </c>
      <c r="B300">
        <v>4769</v>
      </c>
      <c r="C300" t="b">
        <v>1</v>
      </c>
      <c r="D300">
        <v>8060</v>
      </c>
      <c r="E300">
        <v>8123</v>
      </c>
      <c r="F300">
        <v>22</v>
      </c>
      <c r="G300">
        <v>13.066667000000001</v>
      </c>
      <c r="H300">
        <v>1.6836735</v>
      </c>
      <c r="I300">
        <v>-0.68367350000000005</v>
      </c>
      <c r="J300">
        <v>0.3726236</v>
      </c>
    </row>
    <row r="301" spans="1:10" x14ac:dyDescent="0.3">
      <c r="A301">
        <v>299</v>
      </c>
      <c r="B301">
        <v>4785</v>
      </c>
      <c r="C301" t="b">
        <v>1</v>
      </c>
      <c r="D301">
        <v>8065</v>
      </c>
      <c r="E301">
        <v>8129</v>
      </c>
      <c r="F301">
        <v>22</v>
      </c>
      <c r="G301">
        <v>12.666667</v>
      </c>
      <c r="H301">
        <v>1.736842</v>
      </c>
      <c r="I301">
        <v>-0.73684203999999998</v>
      </c>
      <c r="J301">
        <v>0.3653846</v>
      </c>
    </row>
    <row r="302" spans="1:10" x14ac:dyDescent="0.3">
      <c r="A302">
        <v>300</v>
      </c>
      <c r="B302">
        <v>4801</v>
      </c>
      <c r="C302" t="b">
        <v>1</v>
      </c>
      <c r="D302">
        <v>8065</v>
      </c>
      <c r="E302">
        <v>8129</v>
      </c>
      <c r="F302">
        <v>22.333334000000001</v>
      </c>
      <c r="G302">
        <v>12.666667</v>
      </c>
      <c r="H302">
        <v>1.7631578000000001</v>
      </c>
      <c r="I302">
        <v>-0.76315789999999994</v>
      </c>
      <c r="J302">
        <v>0.36190476999999999</v>
      </c>
    </row>
    <row r="303" spans="1:10" x14ac:dyDescent="0.3">
      <c r="A303">
        <v>301</v>
      </c>
      <c r="B303">
        <v>4817</v>
      </c>
      <c r="C303" t="b">
        <v>1</v>
      </c>
      <c r="D303">
        <v>8071</v>
      </c>
      <c r="E303">
        <v>8134</v>
      </c>
      <c r="F303">
        <v>22.666665999999999</v>
      </c>
      <c r="G303">
        <v>12.666667</v>
      </c>
      <c r="H303">
        <v>1.7894734999999999</v>
      </c>
      <c r="I303">
        <v>-0.7894736</v>
      </c>
      <c r="J303">
        <v>0.35849059999999999</v>
      </c>
    </row>
    <row r="304" spans="1:10" x14ac:dyDescent="0.3">
      <c r="A304">
        <v>302</v>
      </c>
      <c r="B304">
        <v>4833</v>
      </c>
      <c r="C304" t="b">
        <v>1</v>
      </c>
      <c r="D304">
        <v>8065</v>
      </c>
      <c r="E304">
        <v>8123</v>
      </c>
      <c r="F304">
        <v>23</v>
      </c>
      <c r="G304">
        <v>12.666667</v>
      </c>
      <c r="H304">
        <v>1.8157894999999999</v>
      </c>
      <c r="I304">
        <v>-0.8157894</v>
      </c>
      <c r="J304">
        <v>0.35514018000000003</v>
      </c>
    </row>
    <row r="305" spans="1:10" x14ac:dyDescent="0.3">
      <c r="A305">
        <v>303</v>
      </c>
      <c r="B305">
        <v>4849</v>
      </c>
      <c r="C305" t="b">
        <v>1</v>
      </c>
      <c r="D305">
        <v>8065</v>
      </c>
      <c r="E305">
        <v>8123</v>
      </c>
      <c r="F305">
        <v>23.333334000000001</v>
      </c>
      <c r="G305">
        <v>12.666667</v>
      </c>
      <c r="H305">
        <v>1.8421053000000001</v>
      </c>
      <c r="I305">
        <v>-0.84210527000000002</v>
      </c>
      <c r="J305">
        <v>0.35185185000000002</v>
      </c>
    </row>
    <row r="306" spans="1:10" x14ac:dyDescent="0.3">
      <c r="A306">
        <v>304</v>
      </c>
      <c r="B306">
        <v>4865</v>
      </c>
      <c r="C306" t="b">
        <v>1</v>
      </c>
      <c r="D306">
        <v>8060</v>
      </c>
      <c r="E306">
        <v>8123</v>
      </c>
      <c r="F306">
        <v>23.666665999999999</v>
      </c>
      <c r="G306">
        <v>12.266666000000001</v>
      </c>
      <c r="H306">
        <v>1.9293479</v>
      </c>
      <c r="I306">
        <v>-0.92934779999999995</v>
      </c>
      <c r="J306">
        <v>0.34137289999999998</v>
      </c>
    </row>
    <row r="307" spans="1:10" x14ac:dyDescent="0.3">
      <c r="A307">
        <v>305</v>
      </c>
      <c r="B307">
        <v>4881</v>
      </c>
      <c r="C307" t="b">
        <v>1</v>
      </c>
      <c r="D307">
        <v>8065</v>
      </c>
      <c r="E307">
        <v>8123</v>
      </c>
      <c r="F307">
        <v>24</v>
      </c>
      <c r="G307">
        <v>11.533334</v>
      </c>
      <c r="H307">
        <v>2.0809247000000002</v>
      </c>
      <c r="I307">
        <v>-1.0809247</v>
      </c>
      <c r="J307">
        <v>0.32457786999999999</v>
      </c>
    </row>
    <row r="308" spans="1:10" x14ac:dyDescent="0.3">
      <c r="A308">
        <v>306</v>
      </c>
      <c r="B308">
        <v>4897</v>
      </c>
      <c r="C308" t="b">
        <v>1</v>
      </c>
      <c r="D308">
        <v>8065</v>
      </c>
      <c r="E308">
        <v>8129</v>
      </c>
      <c r="F308">
        <v>24.333334000000001</v>
      </c>
      <c r="G308">
        <v>10.8</v>
      </c>
      <c r="H308">
        <v>2.2530863000000001</v>
      </c>
      <c r="I308">
        <v>-1.2530863999999999</v>
      </c>
      <c r="J308">
        <v>0.30740037999999997</v>
      </c>
    </row>
    <row r="309" spans="1:10" x14ac:dyDescent="0.3">
      <c r="A309">
        <v>307</v>
      </c>
      <c r="B309">
        <v>4913</v>
      </c>
      <c r="C309" t="b">
        <v>1</v>
      </c>
      <c r="D309">
        <v>8060</v>
      </c>
      <c r="E309">
        <v>8123</v>
      </c>
      <c r="F309">
        <v>24.666665999999999</v>
      </c>
      <c r="G309">
        <v>10.4</v>
      </c>
      <c r="H309">
        <v>2.3717950000000001</v>
      </c>
      <c r="I309">
        <v>-1.3717949</v>
      </c>
      <c r="J309">
        <v>0.29657792999999999</v>
      </c>
    </row>
    <row r="310" spans="1:10" x14ac:dyDescent="0.3">
      <c r="A310">
        <v>308</v>
      </c>
      <c r="B310">
        <v>4929</v>
      </c>
      <c r="C310" t="b">
        <v>1</v>
      </c>
      <c r="D310">
        <v>8065</v>
      </c>
      <c r="E310">
        <v>8117</v>
      </c>
      <c r="F310">
        <v>25</v>
      </c>
      <c r="G310">
        <v>10</v>
      </c>
      <c r="H310">
        <v>2.5</v>
      </c>
      <c r="I310">
        <v>-1.5</v>
      </c>
      <c r="J310">
        <v>0.28571429999999998</v>
      </c>
    </row>
    <row r="311" spans="1:10" x14ac:dyDescent="0.3">
      <c r="A311">
        <v>309</v>
      </c>
      <c r="B311">
        <v>4945</v>
      </c>
      <c r="C311" t="b">
        <v>1</v>
      </c>
      <c r="D311">
        <v>8065</v>
      </c>
      <c r="E311">
        <v>8123</v>
      </c>
      <c r="F311">
        <v>25</v>
      </c>
      <c r="G311">
        <v>9.6</v>
      </c>
      <c r="H311">
        <v>2.6041664999999998</v>
      </c>
      <c r="I311">
        <v>-1.6041665000000001</v>
      </c>
      <c r="J311">
        <v>0.27745667000000002</v>
      </c>
    </row>
    <row r="312" spans="1:10" x14ac:dyDescent="0.3">
      <c r="A312">
        <v>310</v>
      </c>
      <c r="B312">
        <v>4960</v>
      </c>
      <c r="C312" t="b">
        <v>1</v>
      </c>
      <c r="D312">
        <v>8060</v>
      </c>
      <c r="E312">
        <v>8123</v>
      </c>
      <c r="F312">
        <v>25</v>
      </c>
      <c r="G312">
        <v>9.6</v>
      </c>
      <c r="H312">
        <v>2.6041664999999998</v>
      </c>
      <c r="I312">
        <v>-1.6041665000000001</v>
      </c>
      <c r="J312">
        <v>0.27745667000000002</v>
      </c>
    </row>
    <row r="313" spans="1:10" x14ac:dyDescent="0.3">
      <c r="A313">
        <v>311</v>
      </c>
      <c r="B313">
        <v>4992</v>
      </c>
      <c r="C313" t="b">
        <v>1</v>
      </c>
      <c r="D313">
        <v>8060</v>
      </c>
      <c r="E313">
        <v>8129</v>
      </c>
      <c r="F313">
        <v>24.666665999999999</v>
      </c>
      <c r="G313">
        <v>9.6</v>
      </c>
      <c r="H313">
        <v>2.5694442</v>
      </c>
      <c r="I313">
        <v>-1.5694443</v>
      </c>
      <c r="J313">
        <v>0.28015565999999997</v>
      </c>
    </row>
    <row r="314" spans="1:10" x14ac:dyDescent="0.3">
      <c r="A314">
        <v>312</v>
      </c>
      <c r="B314">
        <v>5008</v>
      </c>
      <c r="C314" t="b">
        <v>1</v>
      </c>
      <c r="D314">
        <v>8060</v>
      </c>
      <c r="E314">
        <v>8123</v>
      </c>
      <c r="F314">
        <v>24.333334000000001</v>
      </c>
      <c r="G314">
        <v>9.6</v>
      </c>
      <c r="H314">
        <v>2.5347219999999999</v>
      </c>
      <c r="I314">
        <v>-1.5347222</v>
      </c>
      <c r="J314">
        <v>0.28290766000000001</v>
      </c>
    </row>
    <row r="315" spans="1:10" x14ac:dyDescent="0.3">
      <c r="A315">
        <v>313</v>
      </c>
      <c r="B315">
        <v>5024</v>
      </c>
      <c r="C315" t="b">
        <v>1</v>
      </c>
      <c r="D315">
        <v>8054</v>
      </c>
      <c r="E315">
        <v>8129</v>
      </c>
      <c r="F315">
        <v>24</v>
      </c>
      <c r="G315">
        <v>9.6</v>
      </c>
      <c r="H315">
        <v>2.5</v>
      </c>
      <c r="I315">
        <v>-1.4999998999999999</v>
      </c>
      <c r="J315">
        <v>0.28571429999999998</v>
      </c>
    </row>
    <row r="316" spans="1:10" x14ac:dyDescent="0.3">
      <c r="A316">
        <v>314</v>
      </c>
      <c r="B316">
        <v>5040</v>
      </c>
      <c r="C316" t="b">
        <v>1</v>
      </c>
      <c r="D316">
        <v>8060</v>
      </c>
      <c r="E316">
        <v>8129</v>
      </c>
      <c r="F316">
        <v>23.666665999999999</v>
      </c>
      <c r="G316">
        <v>10</v>
      </c>
      <c r="H316">
        <v>2.3666665999999998</v>
      </c>
      <c r="I316">
        <v>-1.3666666000000001</v>
      </c>
      <c r="J316">
        <v>0.29702972999999999</v>
      </c>
    </row>
    <row r="317" spans="1:10" x14ac:dyDescent="0.3">
      <c r="A317">
        <v>315</v>
      </c>
      <c r="B317">
        <v>5056</v>
      </c>
      <c r="C317" t="b">
        <v>1</v>
      </c>
      <c r="D317">
        <v>8071</v>
      </c>
      <c r="E317">
        <v>8129</v>
      </c>
      <c r="F317">
        <v>23.333334000000001</v>
      </c>
      <c r="G317">
        <v>10</v>
      </c>
      <c r="H317">
        <v>2.3333335000000002</v>
      </c>
      <c r="I317">
        <v>-1.3333333999999999</v>
      </c>
      <c r="J317">
        <v>0.29999998</v>
      </c>
    </row>
    <row r="318" spans="1:10" x14ac:dyDescent="0.3">
      <c r="A318">
        <v>316</v>
      </c>
      <c r="B318">
        <v>5072</v>
      </c>
      <c r="C318" t="b">
        <v>1</v>
      </c>
      <c r="D318">
        <v>8071</v>
      </c>
      <c r="E318">
        <v>8129</v>
      </c>
      <c r="F318">
        <v>23</v>
      </c>
      <c r="G318">
        <v>10</v>
      </c>
      <c r="H318">
        <v>2.2999999999999998</v>
      </c>
      <c r="I318">
        <v>-1.3</v>
      </c>
      <c r="J318">
        <v>0.30303029999999997</v>
      </c>
    </row>
    <row r="319" spans="1:10" x14ac:dyDescent="0.3">
      <c r="A319">
        <v>317</v>
      </c>
      <c r="B319">
        <v>5088</v>
      </c>
      <c r="C319" t="b">
        <v>1</v>
      </c>
      <c r="D319">
        <v>8071</v>
      </c>
      <c r="E319">
        <v>8129</v>
      </c>
      <c r="F319">
        <v>23.4</v>
      </c>
      <c r="G319">
        <v>10</v>
      </c>
      <c r="H319">
        <v>2.34</v>
      </c>
      <c r="I319">
        <v>-1.3399999</v>
      </c>
      <c r="J319">
        <v>0.29940119999999998</v>
      </c>
    </row>
    <row r="320" spans="1:10" x14ac:dyDescent="0.3">
      <c r="A320">
        <v>318</v>
      </c>
      <c r="B320">
        <v>5104</v>
      </c>
      <c r="C320" t="b">
        <v>1</v>
      </c>
      <c r="D320">
        <v>8065</v>
      </c>
      <c r="E320">
        <v>8129</v>
      </c>
      <c r="F320">
        <v>23.8</v>
      </c>
      <c r="G320">
        <v>10</v>
      </c>
      <c r="H320">
        <v>2.3799999000000001</v>
      </c>
      <c r="I320">
        <v>-1.3799999000000001</v>
      </c>
      <c r="J320">
        <v>0.29585800000000001</v>
      </c>
    </row>
    <row r="321" spans="1:10" x14ac:dyDescent="0.3">
      <c r="A321">
        <v>319</v>
      </c>
      <c r="B321">
        <v>5120</v>
      </c>
      <c r="C321" t="b">
        <v>1</v>
      </c>
      <c r="D321">
        <v>8065</v>
      </c>
      <c r="E321">
        <v>8117</v>
      </c>
      <c r="F321">
        <v>24.2</v>
      </c>
      <c r="G321">
        <v>10.4</v>
      </c>
      <c r="H321">
        <v>2.3269231000000001</v>
      </c>
      <c r="I321">
        <v>-1.3269233</v>
      </c>
      <c r="J321">
        <v>0.30057803</v>
      </c>
    </row>
    <row r="322" spans="1:10" x14ac:dyDescent="0.3">
      <c r="A322">
        <v>320</v>
      </c>
      <c r="B322">
        <v>5136</v>
      </c>
      <c r="C322" t="b">
        <v>1</v>
      </c>
      <c r="D322">
        <v>8071</v>
      </c>
      <c r="E322">
        <v>8123</v>
      </c>
      <c r="F322">
        <v>24.6</v>
      </c>
      <c r="G322">
        <v>10.8</v>
      </c>
      <c r="H322">
        <v>2.2777777000000001</v>
      </c>
      <c r="I322">
        <v>-1.2777778</v>
      </c>
      <c r="J322">
        <v>0.30508474000000002</v>
      </c>
    </row>
    <row r="323" spans="1:10" x14ac:dyDescent="0.3">
      <c r="A323">
        <v>321</v>
      </c>
      <c r="B323">
        <v>5151</v>
      </c>
      <c r="C323" t="b">
        <v>1</v>
      </c>
      <c r="D323">
        <v>8060</v>
      </c>
      <c r="E323">
        <v>8134</v>
      </c>
      <c r="F323">
        <v>24.6</v>
      </c>
      <c r="G323">
        <v>11.2</v>
      </c>
      <c r="H323">
        <v>2.1964285000000001</v>
      </c>
      <c r="I323">
        <v>-1.1964287</v>
      </c>
      <c r="J323">
        <v>0.31284916000000002</v>
      </c>
    </row>
    <row r="324" spans="1:10" x14ac:dyDescent="0.3">
      <c r="A324">
        <v>322</v>
      </c>
      <c r="B324">
        <v>5167</v>
      </c>
      <c r="C324" t="b">
        <v>1</v>
      </c>
      <c r="D324">
        <v>8054</v>
      </c>
      <c r="E324">
        <v>8134</v>
      </c>
      <c r="F324">
        <v>24.6</v>
      </c>
      <c r="G324">
        <v>11.6</v>
      </c>
      <c r="H324">
        <v>2.1206896</v>
      </c>
      <c r="I324">
        <v>-1.1206896</v>
      </c>
      <c r="J324">
        <v>0.320442</v>
      </c>
    </row>
    <row r="325" spans="1:10" x14ac:dyDescent="0.3">
      <c r="A325">
        <v>323</v>
      </c>
      <c r="B325">
        <v>5183</v>
      </c>
      <c r="C325" t="b">
        <v>1</v>
      </c>
      <c r="D325">
        <v>8065</v>
      </c>
      <c r="E325">
        <v>8123</v>
      </c>
      <c r="F325">
        <v>24.6</v>
      </c>
      <c r="G325">
        <v>11.6</v>
      </c>
      <c r="H325">
        <v>2.1206896</v>
      </c>
      <c r="I325">
        <v>-1.1206896</v>
      </c>
      <c r="J325">
        <v>0.320442</v>
      </c>
    </row>
    <row r="326" spans="1:10" x14ac:dyDescent="0.3">
      <c r="A326">
        <v>324</v>
      </c>
      <c r="B326">
        <v>5199</v>
      </c>
      <c r="C326" t="b">
        <v>1</v>
      </c>
      <c r="D326">
        <v>8060</v>
      </c>
      <c r="E326">
        <v>8123</v>
      </c>
      <c r="F326">
        <v>24.266666000000001</v>
      </c>
      <c r="G326">
        <v>11.6</v>
      </c>
      <c r="H326">
        <v>2.0919539999999999</v>
      </c>
      <c r="I326">
        <v>-1.0919539</v>
      </c>
      <c r="J326">
        <v>0.32342008</v>
      </c>
    </row>
    <row r="327" spans="1:10" x14ac:dyDescent="0.3">
      <c r="A327">
        <v>325</v>
      </c>
      <c r="B327">
        <v>5215</v>
      </c>
      <c r="C327" t="b">
        <v>1</v>
      </c>
      <c r="D327">
        <v>8060</v>
      </c>
      <c r="E327">
        <v>8129</v>
      </c>
      <c r="F327">
        <v>23.933332</v>
      </c>
      <c r="G327">
        <v>12</v>
      </c>
      <c r="H327">
        <v>1.9944443999999999</v>
      </c>
      <c r="I327">
        <v>-0.99444440000000001</v>
      </c>
      <c r="J327">
        <v>0.33395174</v>
      </c>
    </row>
    <row r="328" spans="1:10" x14ac:dyDescent="0.3">
      <c r="A328">
        <v>326</v>
      </c>
      <c r="B328">
        <v>5231</v>
      </c>
      <c r="C328" t="b">
        <v>1</v>
      </c>
      <c r="D328">
        <v>8060</v>
      </c>
      <c r="E328">
        <v>8123</v>
      </c>
      <c r="F328">
        <v>23.933332</v>
      </c>
      <c r="G328">
        <v>12</v>
      </c>
      <c r="H328">
        <v>1.9944443999999999</v>
      </c>
      <c r="I328">
        <v>-0.99444440000000001</v>
      </c>
      <c r="J328">
        <v>0.33395174</v>
      </c>
    </row>
    <row r="329" spans="1:10" x14ac:dyDescent="0.3">
      <c r="A329">
        <v>327</v>
      </c>
      <c r="B329">
        <v>5247</v>
      </c>
      <c r="C329" t="b">
        <v>1</v>
      </c>
      <c r="D329">
        <v>8060</v>
      </c>
      <c r="E329">
        <v>8129</v>
      </c>
      <c r="F329">
        <v>23.933332</v>
      </c>
      <c r="G329">
        <v>12</v>
      </c>
      <c r="H329">
        <v>1.9944443999999999</v>
      </c>
      <c r="I329">
        <v>-0.99444440000000001</v>
      </c>
      <c r="J329">
        <v>0.33395174</v>
      </c>
    </row>
    <row r="330" spans="1:10" x14ac:dyDescent="0.3">
      <c r="A330">
        <v>328</v>
      </c>
      <c r="B330">
        <v>5262</v>
      </c>
      <c r="C330" t="b">
        <v>1</v>
      </c>
      <c r="D330">
        <v>8054</v>
      </c>
      <c r="E330">
        <v>8123</v>
      </c>
      <c r="F330">
        <v>23.933332</v>
      </c>
      <c r="G330">
        <v>12</v>
      </c>
      <c r="H330">
        <v>1.9944443999999999</v>
      </c>
      <c r="I330">
        <v>-0.99444440000000001</v>
      </c>
      <c r="J330">
        <v>0.33395174</v>
      </c>
    </row>
    <row r="331" spans="1:10" x14ac:dyDescent="0.3">
      <c r="A331">
        <v>329</v>
      </c>
      <c r="B331">
        <v>5278</v>
      </c>
      <c r="C331" t="b">
        <v>1</v>
      </c>
      <c r="D331">
        <v>8060</v>
      </c>
      <c r="E331">
        <v>8129</v>
      </c>
      <c r="F331">
        <v>23.933332</v>
      </c>
      <c r="G331">
        <v>12</v>
      </c>
      <c r="H331">
        <v>1.9944443999999999</v>
      </c>
      <c r="I331">
        <v>-0.99444440000000001</v>
      </c>
      <c r="J331">
        <v>0.33395174</v>
      </c>
    </row>
    <row r="332" spans="1:10" x14ac:dyDescent="0.3">
      <c r="A332">
        <v>330</v>
      </c>
      <c r="B332">
        <v>5294</v>
      </c>
      <c r="C332" t="b">
        <v>1</v>
      </c>
      <c r="D332">
        <v>8060</v>
      </c>
      <c r="E332">
        <v>8129</v>
      </c>
      <c r="F332">
        <v>23.933332</v>
      </c>
      <c r="G332">
        <v>12</v>
      </c>
      <c r="H332">
        <v>1.9944443999999999</v>
      </c>
      <c r="I332">
        <v>-0.99444440000000001</v>
      </c>
      <c r="J332">
        <v>0.33395174</v>
      </c>
    </row>
    <row r="333" spans="1:10" x14ac:dyDescent="0.3">
      <c r="A333">
        <v>331</v>
      </c>
      <c r="B333">
        <v>5310</v>
      </c>
      <c r="C333" t="b">
        <v>1</v>
      </c>
      <c r="D333">
        <v>8060</v>
      </c>
      <c r="E333">
        <v>8129</v>
      </c>
      <c r="F333">
        <v>23.933332</v>
      </c>
      <c r="G333">
        <v>12</v>
      </c>
      <c r="H333">
        <v>1.9944443999999999</v>
      </c>
      <c r="I333">
        <v>-0.99444440000000001</v>
      </c>
      <c r="J333">
        <v>0.33395174</v>
      </c>
    </row>
    <row r="334" spans="1:10" x14ac:dyDescent="0.3">
      <c r="A334">
        <v>332</v>
      </c>
      <c r="B334">
        <v>5326</v>
      </c>
      <c r="C334" t="b">
        <v>1</v>
      </c>
      <c r="D334">
        <v>8060</v>
      </c>
      <c r="E334">
        <v>8129</v>
      </c>
      <c r="F334">
        <v>23.2</v>
      </c>
      <c r="G334">
        <v>12</v>
      </c>
      <c r="H334">
        <v>1.9333334</v>
      </c>
      <c r="I334">
        <v>-0.93333339999999998</v>
      </c>
      <c r="J334">
        <v>0.34090910000000002</v>
      </c>
    </row>
    <row r="335" spans="1:10" x14ac:dyDescent="0.3">
      <c r="A335">
        <v>333</v>
      </c>
      <c r="B335">
        <v>5342</v>
      </c>
      <c r="C335" t="b">
        <v>1</v>
      </c>
      <c r="D335">
        <v>8060</v>
      </c>
      <c r="E335">
        <v>8129</v>
      </c>
      <c r="F335">
        <v>22.466667000000001</v>
      </c>
      <c r="G335">
        <v>12</v>
      </c>
      <c r="H335">
        <v>1.8722223</v>
      </c>
      <c r="I335">
        <v>-0.87222224000000004</v>
      </c>
      <c r="J335">
        <v>0.34816247</v>
      </c>
    </row>
    <row r="336" spans="1:10" x14ac:dyDescent="0.3">
      <c r="A336">
        <v>334</v>
      </c>
      <c r="B336">
        <v>5358</v>
      </c>
      <c r="C336" t="b">
        <v>1</v>
      </c>
      <c r="D336">
        <v>8065</v>
      </c>
      <c r="E336">
        <v>8129</v>
      </c>
      <c r="F336">
        <v>21.733333999999999</v>
      </c>
      <c r="G336">
        <v>12</v>
      </c>
      <c r="H336">
        <v>1.8111111</v>
      </c>
      <c r="I336">
        <v>-0.81111115</v>
      </c>
      <c r="J336">
        <v>0.35573122000000001</v>
      </c>
    </row>
    <row r="337" spans="1:10" x14ac:dyDescent="0.3">
      <c r="A337">
        <v>335</v>
      </c>
      <c r="B337">
        <v>5374</v>
      </c>
      <c r="C337" t="b">
        <v>1</v>
      </c>
      <c r="D337">
        <v>8060</v>
      </c>
      <c r="E337">
        <v>8123</v>
      </c>
      <c r="F337">
        <v>21</v>
      </c>
      <c r="G337">
        <v>12</v>
      </c>
      <c r="H337">
        <v>1.75</v>
      </c>
      <c r="I337">
        <v>-0.75</v>
      </c>
      <c r="J337">
        <v>0.36363636999999999</v>
      </c>
    </row>
    <row r="338" spans="1:10" x14ac:dyDescent="0.3">
      <c r="A338">
        <v>336</v>
      </c>
      <c r="B338">
        <v>5390</v>
      </c>
      <c r="C338" t="b">
        <v>1</v>
      </c>
      <c r="D338">
        <v>8065</v>
      </c>
      <c r="E338">
        <v>8123</v>
      </c>
      <c r="F338">
        <v>20.666665999999999</v>
      </c>
      <c r="G338">
        <v>12</v>
      </c>
      <c r="H338">
        <v>1.7222222</v>
      </c>
      <c r="I338">
        <v>-0.72222215000000001</v>
      </c>
      <c r="J338">
        <v>0.36734696999999999</v>
      </c>
    </row>
    <row r="339" spans="1:10" x14ac:dyDescent="0.3">
      <c r="A339">
        <v>337</v>
      </c>
      <c r="B339">
        <v>5406</v>
      </c>
      <c r="C339" t="b">
        <v>1</v>
      </c>
      <c r="D339">
        <v>8065</v>
      </c>
      <c r="E339">
        <v>8123</v>
      </c>
      <c r="F339">
        <v>20.666665999999999</v>
      </c>
      <c r="G339">
        <v>11.6</v>
      </c>
      <c r="H339">
        <v>1.781609</v>
      </c>
      <c r="I339">
        <v>-0.78160905999999997</v>
      </c>
      <c r="J339">
        <v>0.35950412999999998</v>
      </c>
    </row>
    <row r="340" spans="1:10" x14ac:dyDescent="0.3">
      <c r="A340">
        <v>338</v>
      </c>
      <c r="B340">
        <v>5421</v>
      </c>
      <c r="C340" t="b">
        <v>1</v>
      </c>
      <c r="D340">
        <v>8065</v>
      </c>
      <c r="E340">
        <v>8117</v>
      </c>
      <c r="F340">
        <v>20.666665999999999</v>
      </c>
      <c r="G340">
        <v>11.6</v>
      </c>
      <c r="H340">
        <v>1.781609</v>
      </c>
      <c r="I340">
        <v>-0.78160905999999997</v>
      </c>
      <c r="J340">
        <v>0.35950412999999998</v>
      </c>
    </row>
    <row r="341" spans="1:10" x14ac:dyDescent="0.3">
      <c r="A341">
        <v>339</v>
      </c>
      <c r="B341">
        <v>5437</v>
      </c>
      <c r="C341" t="b">
        <v>1</v>
      </c>
      <c r="D341">
        <v>8065</v>
      </c>
      <c r="E341">
        <v>8123</v>
      </c>
      <c r="F341">
        <v>21</v>
      </c>
      <c r="G341">
        <v>11.6</v>
      </c>
      <c r="H341">
        <v>1.8103448</v>
      </c>
      <c r="I341">
        <v>-0.81034476</v>
      </c>
      <c r="J341">
        <v>0.35582826000000001</v>
      </c>
    </row>
    <row r="342" spans="1:10" x14ac:dyDescent="0.3">
      <c r="A342">
        <v>340</v>
      </c>
      <c r="B342">
        <v>5453</v>
      </c>
      <c r="C342" t="b">
        <v>1</v>
      </c>
      <c r="D342">
        <v>8065</v>
      </c>
      <c r="E342">
        <v>8123</v>
      </c>
      <c r="F342">
        <v>21.333334000000001</v>
      </c>
      <c r="G342">
        <v>11.2</v>
      </c>
      <c r="H342">
        <v>1.9047620000000001</v>
      </c>
      <c r="I342">
        <v>-0.90476197000000003</v>
      </c>
      <c r="J342">
        <v>0.34426230000000002</v>
      </c>
    </row>
    <row r="343" spans="1:10" x14ac:dyDescent="0.3">
      <c r="A343">
        <v>341</v>
      </c>
      <c r="B343">
        <v>5469</v>
      </c>
      <c r="C343" t="b">
        <v>1</v>
      </c>
      <c r="D343">
        <v>8071</v>
      </c>
      <c r="E343">
        <v>8129</v>
      </c>
      <c r="F343">
        <v>21.666665999999999</v>
      </c>
      <c r="G343">
        <v>11.2</v>
      </c>
      <c r="H343">
        <v>1.9345238</v>
      </c>
      <c r="I343">
        <v>-0.93452376000000004</v>
      </c>
      <c r="J343">
        <v>0.34077079999999998</v>
      </c>
    </row>
    <row r="344" spans="1:10" x14ac:dyDescent="0.3">
      <c r="A344">
        <v>342</v>
      </c>
      <c r="B344">
        <v>5484</v>
      </c>
      <c r="C344" t="b">
        <v>1</v>
      </c>
      <c r="D344">
        <v>8071</v>
      </c>
      <c r="E344">
        <v>8129</v>
      </c>
      <c r="F344">
        <v>22</v>
      </c>
      <c r="G344">
        <v>11.2</v>
      </c>
      <c r="H344">
        <v>1.9642857</v>
      </c>
      <c r="I344">
        <v>-0.96428572999999995</v>
      </c>
      <c r="J344">
        <v>0.33734939000000003</v>
      </c>
    </row>
    <row r="345" spans="1:10" x14ac:dyDescent="0.3">
      <c r="A345">
        <v>343</v>
      </c>
      <c r="B345">
        <v>5500</v>
      </c>
      <c r="C345" t="b">
        <v>1</v>
      </c>
      <c r="D345">
        <v>8060</v>
      </c>
      <c r="E345">
        <v>8134</v>
      </c>
      <c r="F345">
        <v>22.333334000000001</v>
      </c>
      <c r="G345">
        <v>11.6</v>
      </c>
      <c r="H345">
        <v>1.9252874</v>
      </c>
      <c r="I345">
        <v>-0.92528737000000005</v>
      </c>
      <c r="J345">
        <v>0.34184676000000003</v>
      </c>
    </row>
    <row r="346" spans="1:10" x14ac:dyDescent="0.3">
      <c r="A346">
        <v>344</v>
      </c>
      <c r="B346">
        <v>5516</v>
      </c>
      <c r="C346" t="b">
        <v>1</v>
      </c>
      <c r="D346">
        <v>8065</v>
      </c>
      <c r="E346">
        <v>8134</v>
      </c>
      <c r="F346">
        <v>22.666665999999999</v>
      </c>
      <c r="G346">
        <v>11.6</v>
      </c>
      <c r="H346">
        <v>1.9540229</v>
      </c>
      <c r="I346">
        <v>-0.95402290000000001</v>
      </c>
      <c r="J346">
        <v>0.33852142000000002</v>
      </c>
    </row>
    <row r="347" spans="1:10" x14ac:dyDescent="0.3">
      <c r="A347">
        <v>345</v>
      </c>
      <c r="B347">
        <v>5532</v>
      </c>
      <c r="C347" t="b">
        <v>1</v>
      </c>
      <c r="D347">
        <v>8071</v>
      </c>
      <c r="E347">
        <v>8134</v>
      </c>
      <c r="F347">
        <v>23.4</v>
      </c>
      <c r="G347">
        <v>11.933332999999999</v>
      </c>
      <c r="H347">
        <v>1.9608939000000001</v>
      </c>
      <c r="I347">
        <v>-0.96089380000000002</v>
      </c>
      <c r="J347">
        <v>0.33773586</v>
      </c>
    </row>
    <row r="348" spans="1:10" x14ac:dyDescent="0.3">
      <c r="A348">
        <v>346</v>
      </c>
      <c r="B348">
        <v>5548</v>
      </c>
      <c r="C348" t="b">
        <v>1</v>
      </c>
      <c r="D348">
        <v>8060</v>
      </c>
      <c r="E348">
        <v>8129</v>
      </c>
      <c r="F348">
        <v>23.733333999999999</v>
      </c>
      <c r="G348">
        <v>12.266666000000001</v>
      </c>
      <c r="H348">
        <v>1.9347825999999999</v>
      </c>
      <c r="I348">
        <v>-0.93478269999999997</v>
      </c>
      <c r="J348">
        <v>0.34074073999999999</v>
      </c>
    </row>
    <row r="349" spans="1:10" x14ac:dyDescent="0.3">
      <c r="A349">
        <v>347</v>
      </c>
      <c r="B349">
        <v>5564</v>
      </c>
      <c r="C349" t="b">
        <v>1</v>
      </c>
      <c r="D349">
        <v>8060</v>
      </c>
      <c r="E349">
        <v>8129</v>
      </c>
      <c r="F349">
        <v>23.733333999999999</v>
      </c>
      <c r="G349">
        <v>12.6</v>
      </c>
      <c r="H349">
        <v>1.8835979</v>
      </c>
      <c r="I349">
        <v>-0.88359785000000002</v>
      </c>
      <c r="J349">
        <v>0.34678896999999997</v>
      </c>
    </row>
    <row r="350" spans="1:10" x14ac:dyDescent="0.3">
      <c r="A350">
        <v>348</v>
      </c>
      <c r="B350">
        <v>5580</v>
      </c>
      <c r="C350" t="b">
        <v>1</v>
      </c>
      <c r="D350">
        <v>8054</v>
      </c>
      <c r="E350">
        <v>8129</v>
      </c>
      <c r="F350">
        <v>23.733333999999999</v>
      </c>
      <c r="G350">
        <v>12.6</v>
      </c>
      <c r="H350">
        <v>1.8835979</v>
      </c>
      <c r="I350">
        <v>-0.88359785000000002</v>
      </c>
      <c r="J350">
        <v>0.34678896999999997</v>
      </c>
    </row>
    <row r="351" spans="1:10" x14ac:dyDescent="0.3">
      <c r="A351">
        <v>349</v>
      </c>
      <c r="B351">
        <v>5596</v>
      </c>
      <c r="C351" t="b">
        <v>1</v>
      </c>
      <c r="D351">
        <v>8065</v>
      </c>
      <c r="E351">
        <v>8129</v>
      </c>
      <c r="F351">
        <v>23.733333999999999</v>
      </c>
      <c r="G351">
        <v>12.6</v>
      </c>
      <c r="H351">
        <v>1.8835979</v>
      </c>
      <c r="I351">
        <v>-0.88359785000000002</v>
      </c>
      <c r="J351">
        <v>0.34678896999999997</v>
      </c>
    </row>
    <row r="352" spans="1:10" x14ac:dyDescent="0.3">
      <c r="A352">
        <v>350</v>
      </c>
      <c r="B352">
        <v>5612</v>
      </c>
      <c r="C352" t="b">
        <v>1</v>
      </c>
      <c r="D352">
        <v>8065</v>
      </c>
      <c r="E352">
        <v>8134</v>
      </c>
      <c r="F352">
        <v>23.733333999999999</v>
      </c>
      <c r="G352">
        <v>12.6</v>
      </c>
      <c r="H352">
        <v>1.8835979</v>
      </c>
      <c r="I352">
        <v>-0.88359785000000002</v>
      </c>
      <c r="J352">
        <v>0.34678896999999997</v>
      </c>
    </row>
    <row r="353" spans="1:10" x14ac:dyDescent="0.3">
      <c r="A353">
        <v>351</v>
      </c>
      <c r="B353">
        <v>5627</v>
      </c>
      <c r="C353" t="b">
        <v>1</v>
      </c>
      <c r="D353">
        <v>8048</v>
      </c>
      <c r="E353">
        <v>8129</v>
      </c>
      <c r="F353">
        <v>23.733333999999999</v>
      </c>
      <c r="G353">
        <v>12.6</v>
      </c>
      <c r="H353">
        <v>1.8835979</v>
      </c>
      <c r="I353">
        <v>-0.88359785000000002</v>
      </c>
      <c r="J353">
        <v>0.34678896999999997</v>
      </c>
    </row>
    <row r="354" spans="1:10" x14ac:dyDescent="0.3">
      <c r="A354">
        <v>352</v>
      </c>
      <c r="B354">
        <v>5643</v>
      </c>
      <c r="C354" t="b">
        <v>1</v>
      </c>
      <c r="D354">
        <v>8060</v>
      </c>
      <c r="E354">
        <v>8134</v>
      </c>
      <c r="F354">
        <v>23.4</v>
      </c>
      <c r="G354">
        <v>13</v>
      </c>
      <c r="H354">
        <v>1.8</v>
      </c>
      <c r="I354">
        <v>-0.79999995000000002</v>
      </c>
      <c r="J354">
        <v>0.35714284000000002</v>
      </c>
    </row>
    <row r="355" spans="1:10" x14ac:dyDescent="0.3">
      <c r="A355">
        <v>353</v>
      </c>
      <c r="B355">
        <v>5659</v>
      </c>
      <c r="C355" t="b">
        <v>1</v>
      </c>
      <c r="D355">
        <v>8071</v>
      </c>
      <c r="E355">
        <v>8123</v>
      </c>
      <c r="F355">
        <v>23.4</v>
      </c>
      <c r="G355">
        <v>13.4</v>
      </c>
      <c r="H355">
        <v>1.7462686000000001</v>
      </c>
      <c r="I355">
        <v>-0.74626870000000001</v>
      </c>
      <c r="J355">
        <v>0.36413044</v>
      </c>
    </row>
    <row r="356" spans="1:10" x14ac:dyDescent="0.3">
      <c r="A356">
        <v>354</v>
      </c>
      <c r="B356">
        <v>5675</v>
      </c>
      <c r="C356" t="b">
        <v>1</v>
      </c>
      <c r="D356">
        <v>8071</v>
      </c>
      <c r="E356">
        <v>8129</v>
      </c>
      <c r="F356">
        <v>23.4</v>
      </c>
      <c r="G356">
        <v>13.8</v>
      </c>
      <c r="H356">
        <v>1.6956521</v>
      </c>
      <c r="I356">
        <v>-0.6956521</v>
      </c>
      <c r="J356">
        <v>0.37096774999999999</v>
      </c>
    </row>
    <row r="357" spans="1:10" x14ac:dyDescent="0.3">
      <c r="A357">
        <v>355</v>
      </c>
      <c r="B357">
        <v>5691</v>
      </c>
      <c r="C357" t="b">
        <v>1</v>
      </c>
      <c r="D357">
        <v>8071</v>
      </c>
      <c r="E357">
        <v>8129</v>
      </c>
      <c r="F357">
        <v>23.8</v>
      </c>
      <c r="G357">
        <v>14.2</v>
      </c>
      <c r="H357">
        <v>1.6760562999999999</v>
      </c>
      <c r="I357">
        <v>-0.67605630000000005</v>
      </c>
      <c r="J357">
        <v>0.37368420000000002</v>
      </c>
    </row>
    <row r="358" spans="1:10" x14ac:dyDescent="0.3">
      <c r="A358">
        <v>356</v>
      </c>
      <c r="B358">
        <v>5707</v>
      </c>
      <c r="C358" t="b">
        <v>1</v>
      </c>
      <c r="D358">
        <v>8071</v>
      </c>
      <c r="E358">
        <v>8129</v>
      </c>
      <c r="F358">
        <v>24.2</v>
      </c>
      <c r="G358">
        <v>14.6</v>
      </c>
      <c r="H358">
        <v>1.6575342</v>
      </c>
      <c r="I358">
        <v>-0.65753424000000005</v>
      </c>
      <c r="J358">
        <v>0.37628865</v>
      </c>
    </row>
    <row r="359" spans="1:10" x14ac:dyDescent="0.3">
      <c r="A359">
        <v>357</v>
      </c>
      <c r="B359">
        <v>5723</v>
      </c>
      <c r="C359" t="b">
        <v>1</v>
      </c>
      <c r="D359">
        <v>8065</v>
      </c>
      <c r="E359">
        <v>8134</v>
      </c>
      <c r="F359">
        <v>24.6</v>
      </c>
      <c r="G359">
        <v>15</v>
      </c>
      <c r="H359">
        <v>1.64</v>
      </c>
      <c r="I359">
        <v>-0.64000005000000004</v>
      </c>
      <c r="J359">
        <v>0.37878790000000001</v>
      </c>
    </row>
    <row r="360" spans="1:10" x14ac:dyDescent="0.3">
      <c r="A360">
        <v>358</v>
      </c>
      <c r="B360">
        <v>5739</v>
      </c>
      <c r="C360" t="b">
        <v>1</v>
      </c>
      <c r="D360">
        <v>8060</v>
      </c>
      <c r="E360">
        <v>8129</v>
      </c>
      <c r="F360">
        <v>25</v>
      </c>
      <c r="G360">
        <v>15</v>
      </c>
      <c r="H360">
        <v>1.6666666000000001</v>
      </c>
      <c r="I360">
        <v>-0.66666669999999995</v>
      </c>
      <c r="J360">
        <v>0.375</v>
      </c>
    </row>
    <row r="361" spans="1:10" x14ac:dyDescent="0.3">
      <c r="A361">
        <v>359</v>
      </c>
      <c r="B361">
        <v>5755</v>
      </c>
      <c r="C361" t="b">
        <v>1</v>
      </c>
      <c r="D361">
        <v>8065</v>
      </c>
      <c r="E361">
        <v>8129</v>
      </c>
      <c r="F361">
        <v>25</v>
      </c>
      <c r="G361">
        <v>15</v>
      </c>
      <c r="H361">
        <v>1.6666666000000001</v>
      </c>
      <c r="I361">
        <v>-0.66666669999999995</v>
      </c>
      <c r="J361">
        <v>0.375</v>
      </c>
    </row>
    <row r="362" spans="1:10" x14ac:dyDescent="0.3">
      <c r="A362">
        <v>360</v>
      </c>
      <c r="B362">
        <v>5771</v>
      </c>
      <c r="C362" t="b">
        <v>1</v>
      </c>
      <c r="D362">
        <v>8065</v>
      </c>
      <c r="E362">
        <v>8123</v>
      </c>
      <c r="F362">
        <v>24.6</v>
      </c>
      <c r="G362">
        <v>14.666667</v>
      </c>
      <c r="H362">
        <v>1.6772727000000001</v>
      </c>
      <c r="I362">
        <v>-0.67727274000000004</v>
      </c>
      <c r="J362">
        <v>0.37351444</v>
      </c>
    </row>
    <row r="363" spans="1:10" x14ac:dyDescent="0.3">
      <c r="A363">
        <v>361</v>
      </c>
      <c r="B363">
        <v>5787</v>
      </c>
      <c r="C363" t="b">
        <v>1</v>
      </c>
      <c r="D363">
        <v>8065</v>
      </c>
      <c r="E363">
        <v>8117</v>
      </c>
      <c r="F363">
        <v>24.6</v>
      </c>
      <c r="G363">
        <v>14.333333</v>
      </c>
      <c r="H363">
        <v>1.7162790999999999</v>
      </c>
      <c r="I363">
        <v>-0.71627914999999998</v>
      </c>
      <c r="J363">
        <v>0.36815068000000001</v>
      </c>
    </row>
    <row r="364" spans="1:10" x14ac:dyDescent="0.3">
      <c r="A364">
        <v>362</v>
      </c>
      <c r="B364">
        <v>5803</v>
      </c>
      <c r="C364" t="b">
        <v>1</v>
      </c>
      <c r="D364">
        <v>8065</v>
      </c>
      <c r="E364">
        <v>8129</v>
      </c>
      <c r="F364">
        <v>24.933332</v>
      </c>
      <c r="G364">
        <v>14</v>
      </c>
      <c r="H364">
        <v>1.7809523</v>
      </c>
      <c r="I364">
        <v>-0.78095232999999997</v>
      </c>
      <c r="J364">
        <v>0.35958904000000003</v>
      </c>
    </row>
    <row r="365" spans="1:10" x14ac:dyDescent="0.3">
      <c r="A365">
        <v>363</v>
      </c>
      <c r="B365">
        <v>5819</v>
      </c>
      <c r="C365" t="b">
        <v>1</v>
      </c>
      <c r="D365">
        <v>8065</v>
      </c>
      <c r="E365">
        <v>8123</v>
      </c>
      <c r="F365">
        <v>25.266666000000001</v>
      </c>
      <c r="G365">
        <v>13.6</v>
      </c>
      <c r="H365">
        <v>1.8578429999999999</v>
      </c>
      <c r="I365">
        <v>-0.85784304</v>
      </c>
      <c r="J365">
        <v>0.34991422</v>
      </c>
    </row>
    <row r="366" spans="1:10" x14ac:dyDescent="0.3">
      <c r="A366">
        <v>364</v>
      </c>
      <c r="B366">
        <v>5835</v>
      </c>
      <c r="C366" t="b">
        <v>1</v>
      </c>
      <c r="D366">
        <v>8071</v>
      </c>
      <c r="E366">
        <v>8123</v>
      </c>
      <c r="F366">
        <v>25.6</v>
      </c>
      <c r="G366">
        <v>13.2</v>
      </c>
      <c r="H366">
        <v>1.9393940000000001</v>
      </c>
      <c r="I366">
        <v>-0.93939399999999995</v>
      </c>
      <c r="J366">
        <v>0.34020618000000002</v>
      </c>
    </row>
    <row r="367" spans="1:10" x14ac:dyDescent="0.3">
      <c r="A367">
        <v>365</v>
      </c>
      <c r="B367">
        <v>5850</v>
      </c>
      <c r="C367" t="b">
        <v>1</v>
      </c>
      <c r="D367">
        <v>8060</v>
      </c>
      <c r="E367">
        <v>8117</v>
      </c>
      <c r="F367">
        <v>25.933332</v>
      </c>
      <c r="G367">
        <v>12.8</v>
      </c>
      <c r="H367">
        <v>2.0260414999999998</v>
      </c>
      <c r="I367">
        <v>-1.0260415000000001</v>
      </c>
      <c r="J367">
        <v>0.33046471999999999</v>
      </c>
    </row>
    <row r="368" spans="1:10" x14ac:dyDescent="0.3">
      <c r="A368">
        <v>366</v>
      </c>
      <c r="B368">
        <v>5866</v>
      </c>
      <c r="C368" t="b">
        <v>1</v>
      </c>
      <c r="D368">
        <v>8060</v>
      </c>
      <c r="E368">
        <v>8123</v>
      </c>
      <c r="F368">
        <v>26.266666000000001</v>
      </c>
      <c r="G368">
        <v>12.4</v>
      </c>
      <c r="H368">
        <v>2.1182797</v>
      </c>
      <c r="I368">
        <v>-1.1182795999999999</v>
      </c>
      <c r="J368">
        <v>0.32068967999999998</v>
      </c>
    </row>
    <row r="369" spans="1:10" x14ac:dyDescent="0.3">
      <c r="A369">
        <v>367</v>
      </c>
      <c r="B369">
        <v>5882</v>
      </c>
      <c r="C369" t="b">
        <v>1</v>
      </c>
      <c r="D369">
        <v>8060</v>
      </c>
      <c r="E369">
        <v>8129</v>
      </c>
      <c r="F369">
        <v>26.266666000000001</v>
      </c>
      <c r="G369">
        <v>12</v>
      </c>
      <c r="H369">
        <v>2.1888888</v>
      </c>
      <c r="I369">
        <v>-1.1888889</v>
      </c>
      <c r="J369">
        <v>0.31358886000000002</v>
      </c>
    </row>
    <row r="370" spans="1:10" x14ac:dyDescent="0.3">
      <c r="A370">
        <v>368</v>
      </c>
      <c r="B370">
        <v>5898</v>
      </c>
      <c r="C370" t="b">
        <v>1</v>
      </c>
      <c r="D370">
        <v>8060</v>
      </c>
      <c r="E370">
        <v>8129</v>
      </c>
      <c r="F370">
        <v>25.933332</v>
      </c>
      <c r="G370">
        <v>11.6</v>
      </c>
      <c r="H370">
        <v>2.2356319999999998</v>
      </c>
      <c r="I370">
        <v>-1.2356320999999999</v>
      </c>
      <c r="J370">
        <v>0.30905864</v>
      </c>
    </row>
    <row r="371" spans="1:10" x14ac:dyDescent="0.3">
      <c r="A371">
        <v>369</v>
      </c>
      <c r="B371">
        <v>5914</v>
      </c>
      <c r="C371" t="b">
        <v>1</v>
      </c>
      <c r="D371">
        <v>8054</v>
      </c>
      <c r="E371">
        <v>8129</v>
      </c>
      <c r="F371">
        <v>25.6</v>
      </c>
      <c r="G371">
        <v>11.6</v>
      </c>
      <c r="H371">
        <v>2.2068965</v>
      </c>
      <c r="I371">
        <v>-1.2068965</v>
      </c>
      <c r="J371">
        <v>0.31182796000000002</v>
      </c>
    </row>
    <row r="372" spans="1:10" x14ac:dyDescent="0.3">
      <c r="A372">
        <v>370</v>
      </c>
      <c r="B372">
        <v>5930</v>
      </c>
      <c r="C372" t="b">
        <v>1</v>
      </c>
      <c r="D372">
        <v>8054</v>
      </c>
      <c r="E372">
        <v>8129</v>
      </c>
      <c r="F372">
        <v>24.866667</v>
      </c>
      <c r="G372">
        <v>11.6</v>
      </c>
      <c r="H372">
        <v>2.1436782000000001</v>
      </c>
      <c r="I372">
        <v>-1.1436781</v>
      </c>
      <c r="J372">
        <v>0.31809872</v>
      </c>
    </row>
    <row r="373" spans="1:10" x14ac:dyDescent="0.3">
      <c r="A373">
        <v>371</v>
      </c>
      <c r="B373">
        <v>5946</v>
      </c>
      <c r="C373" t="b">
        <v>1</v>
      </c>
      <c r="D373">
        <v>8054</v>
      </c>
      <c r="E373">
        <v>8117</v>
      </c>
      <c r="F373">
        <v>23.733333999999999</v>
      </c>
      <c r="G373">
        <v>11.6</v>
      </c>
      <c r="H373">
        <v>2.0459768999999999</v>
      </c>
      <c r="I373">
        <v>-1.0459769999999999</v>
      </c>
      <c r="J373">
        <v>0.32830187999999999</v>
      </c>
    </row>
    <row r="374" spans="1:10" x14ac:dyDescent="0.3">
      <c r="A374">
        <v>372</v>
      </c>
      <c r="B374">
        <v>5962</v>
      </c>
      <c r="C374" t="b">
        <v>1</v>
      </c>
      <c r="D374">
        <v>8077</v>
      </c>
      <c r="E374">
        <v>8123</v>
      </c>
      <c r="F374">
        <v>22.6</v>
      </c>
      <c r="G374">
        <v>11.6</v>
      </c>
      <c r="H374">
        <v>1.9482758</v>
      </c>
      <c r="I374">
        <v>-0.9482758</v>
      </c>
      <c r="J374">
        <v>0.33918130000000002</v>
      </c>
    </row>
    <row r="375" spans="1:10" x14ac:dyDescent="0.3">
      <c r="A375">
        <v>373</v>
      </c>
      <c r="B375">
        <v>5977</v>
      </c>
      <c r="C375" t="b">
        <v>1</v>
      </c>
      <c r="D375">
        <v>8065</v>
      </c>
      <c r="E375">
        <v>8123</v>
      </c>
      <c r="F375">
        <v>21.466667000000001</v>
      </c>
      <c r="G375">
        <v>11.2</v>
      </c>
      <c r="H375">
        <v>1.9166666999999999</v>
      </c>
      <c r="I375">
        <v>-0.91666674999999997</v>
      </c>
      <c r="J375">
        <v>0.34285712000000002</v>
      </c>
    </row>
    <row r="376" spans="1:10" x14ac:dyDescent="0.3">
      <c r="A376">
        <v>374</v>
      </c>
      <c r="B376">
        <v>5993</v>
      </c>
      <c r="C376" t="b">
        <v>1</v>
      </c>
      <c r="D376">
        <v>8065</v>
      </c>
      <c r="E376">
        <v>8123</v>
      </c>
      <c r="F376">
        <v>21.466667000000001</v>
      </c>
      <c r="G376">
        <v>10.8</v>
      </c>
      <c r="H376">
        <v>1.9876543</v>
      </c>
      <c r="I376">
        <v>-0.98765429999999999</v>
      </c>
      <c r="J376">
        <v>0.33471075</v>
      </c>
    </row>
    <row r="377" spans="1:10" x14ac:dyDescent="0.3">
      <c r="A377">
        <v>375</v>
      </c>
      <c r="B377">
        <v>6009</v>
      </c>
      <c r="C377" t="b">
        <v>1</v>
      </c>
      <c r="D377">
        <v>8071</v>
      </c>
      <c r="E377">
        <v>8123</v>
      </c>
      <c r="F377">
        <v>21.466667000000001</v>
      </c>
      <c r="G377">
        <v>10.4</v>
      </c>
      <c r="H377">
        <v>2.0641026</v>
      </c>
      <c r="I377">
        <v>-1.0641026</v>
      </c>
      <c r="J377">
        <v>0.32635979999999998</v>
      </c>
    </row>
    <row r="378" spans="1:10" x14ac:dyDescent="0.3">
      <c r="A378">
        <v>376</v>
      </c>
      <c r="B378">
        <v>6025</v>
      </c>
      <c r="C378" t="b">
        <v>1</v>
      </c>
      <c r="D378">
        <v>8071</v>
      </c>
      <c r="E378">
        <v>8123</v>
      </c>
      <c r="F378">
        <v>21.866667</v>
      </c>
      <c r="G378">
        <v>10</v>
      </c>
      <c r="H378">
        <v>2.1866667</v>
      </c>
      <c r="I378">
        <v>-1.1866667</v>
      </c>
      <c r="J378">
        <v>0.31380752000000001</v>
      </c>
    </row>
    <row r="379" spans="1:10" x14ac:dyDescent="0.3">
      <c r="A379">
        <v>377</v>
      </c>
      <c r="B379">
        <v>6041</v>
      </c>
      <c r="C379" t="b">
        <v>1</v>
      </c>
      <c r="D379">
        <v>8065</v>
      </c>
      <c r="E379">
        <v>8129</v>
      </c>
      <c r="F379">
        <v>21.866667</v>
      </c>
      <c r="G379">
        <v>9.6</v>
      </c>
      <c r="H379">
        <v>2.2777777000000001</v>
      </c>
      <c r="I379">
        <v>-1.2777776999999999</v>
      </c>
      <c r="J379">
        <v>0.30508476000000001</v>
      </c>
    </row>
    <row r="380" spans="1:10" x14ac:dyDescent="0.3">
      <c r="A380">
        <v>378</v>
      </c>
      <c r="B380">
        <v>6057</v>
      </c>
      <c r="C380" t="b">
        <v>1</v>
      </c>
      <c r="D380">
        <v>8071</v>
      </c>
      <c r="E380">
        <v>8129</v>
      </c>
      <c r="F380">
        <v>22.266666000000001</v>
      </c>
      <c r="G380">
        <v>9.6</v>
      </c>
      <c r="H380">
        <v>2.3194444000000001</v>
      </c>
      <c r="I380">
        <v>-1.3194443</v>
      </c>
      <c r="J380">
        <v>0.30125522999999998</v>
      </c>
    </row>
    <row r="381" spans="1:10" x14ac:dyDescent="0.3">
      <c r="A381">
        <v>379</v>
      </c>
      <c r="B381">
        <v>6073</v>
      </c>
      <c r="C381" t="b">
        <v>1</v>
      </c>
      <c r="D381">
        <v>8065</v>
      </c>
      <c r="E381">
        <v>8129</v>
      </c>
      <c r="F381">
        <v>22.666665999999999</v>
      </c>
      <c r="G381">
        <v>10</v>
      </c>
      <c r="H381">
        <v>2.2666667</v>
      </c>
      <c r="I381">
        <v>-1.2666667</v>
      </c>
      <c r="J381">
        <v>0.30612247999999997</v>
      </c>
    </row>
    <row r="382" spans="1:10" x14ac:dyDescent="0.3">
      <c r="A382">
        <v>380</v>
      </c>
      <c r="B382">
        <v>6089</v>
      </c>
      <c r="C382" t="b">
        <v>1</v>
      </c>
      <c r="D382">
        <v>8060</v>
      </c>
      <c r="E382">
        <v>8129</v>
      </c>
      <c r="F382">
        <v>22.666665999999999</v>
      </c>
      <c r="G382">
        <v>10.4</v>
      </c>
      <c r="H382">
        <v>2.1794872000000001</v>
      </c>
      <c r="I382">
        <v>-1.1794872000000001</v>
      </c>
      <c r="J382">
        <v>0.31451613</v>
      </c>
    </row>
    <row r="383" spans="1:10" x14ac:dyDescent="0.3">
      <c r="A383">
        <v>381</v>
      </c>
      <c r="B383">
        <v>6105</v>
      </c>
      <c r="C383" t="b">
        <v>1</v>
      </c>
      <c r="D383">
        <v>8071</v>
      </c>
      <c r="E383">
        <v>8129</v>
      </c>
      <c r="F383">
        <v>22.666665999999999</v>
      </c>
      <c r="G383">
        <v>10.8</v>
      </c>
      <c r="H383">
        <v>2.0987654</v>
      </c>
      <c r="I383">
        <v>-1.0987654</v>
      </c>
      <c r="J383">
        <v>0.32270916999999999</v>
      </c>
    </row>
    <row r="384" spans="1:10" x14ac:dyDescent="0.3">
      <c r="A384">
        <v>382</v>
      </c>
      <c r="B384">
        <v>6121</v>
      </c>
      <c r="C384" t="b">
        <v>1</v>
      </c>
      <c r="D384">
        <v>8065</v>
      </c>
      <c r="E384">
        <v>8129</v>
      </c>
      <c r="F384">
        <v>23</v>
      </c>
      <c r="G384">
        <v>11.2</v>
      </c>
      <c r="H384">
        <v>2.0535714999999999</v>
      </c>
      <c r="I384">
        <v>-1.0535715000000001</v>
      </c>
      <c r="J384">
        <v>0.32748535000000001</v>
      </c>
    </row>
    <row r="385" spans="1:10" x14ac:dyDescent="0.3">
      <c r="A385">
        <v>383</v>
      </c>
      <c r="B385">
        <v>6137</v>
      </c>
      <c r="C385" t="b">
        <v>1</v>
      </c>
      <c r="D385">
        <v>8071</v>
      </c>
      <c r="E385">
        <v>8129</v>
      </c>
      <c r="F385">
        <v>23.333334000000001</v>
      </c>
      <c r="G385">
        <v>11.6</v>
      </c>
      <c r="H385">
        <v>2.0114942</v>
      </c>
      <c r="I385">
        <v>-1.0114943000000001</v>
      </c>
      <c r="J385">
        <v>0.33206108000000001</v>
      </c>
    </row>
    <row r="386" spans="1:10" x14ac:dyDescent="0.3">
      <c r="A386">
        <v>384</v>
      </c>
      <c r="B386">
        <v>6153</v>
      </c>
      <c r="C386" t="b">
        <v>1</v>
      </c>
      <c r="D386">
        <v>8065</v>
      </c>
      <c r="E386">
        <v>8129</v>
      </c>
      <c r="F386">
        <v>23.666665999999999</v>
      </c>
      <c r="G386">
        <v>11.6</v>
      </c>
      <c r="H386">
        <v>2.0402298000000001</v>
      </c>
      <c r="I386">
        <v>-1.0402298000000001</v>
      </c>
      <c r="J386">
        <v>0.32892250000000001</v>
      </c>
    </row>
    <row r="387" spans="1:10" x14ac:dyDescent="0.3">
      <c r="A387">
        <v>385</v>
      </c>
      <c r="B387">
        <v>6169</v>
      </c>
      <c r="C387" t="b">
        <v>1</v>
      </c>
      <c r="D387">
        <v>8060</v>
      </c>
      <c r="E387">
        <v>8123</v>
      </c>
      <c r="F387">
        <v>24</v>
      </c>
      <c r="G387">
        <v>11.6</v>
      </c>
      <c r="H387">
        <v>2.0689654000000002</v>
      </c>
      <c r="I387">
        <v>-1.0689654</v>
      </c>
      <c r="J387">
        <v>0.32584269999999999</v>
      </c>
    </row>
    <row r="388" spans="1:10" x14ac:dyDescent="0.3">
      <c r="A388">
        <v>386</v>
      </c>
      <c r="B388">
        <v>6184</v>
      </c>
      <c r="C388" t="b">
        <v>1</v>
      </c>
      <c r="D388">
        <v>8065</v>
      </c>
      <c r="E388">
        <v>8129</v>
      </c>
      <c r="F388">
        <v>24.733333999999999</v>
      </c>
      <c r="G388">
        <v>11.6</v>
      </c>
      <c r="H388">
        <v>2.1321838</v>
      </c>
      <c r="I388">
        <v>-1.1321839</v>
      </c>
      <c r="J388">
        <v>0.31926605000000002</v>
      </c>
    </row>
    <row r="389" spans="1:10" x14ac:dyDescent="0.3">
      <c r="A389">
        <v>387</v>
      </c>
      <c r="B389">
        <v>6200</v>
      </c>
      <c r="C389" t="b">
        <v>1</v>
      </c>
      <c r="D389">
        <v>8065</v>
      </c>
      <c r="E389">
        <v>8123</v>
      </c>
      <c r="F389">
        <v>25.466667000000001</v>
      </c>
      <c r="G389">
        <v>11.6</v>
      </c>
      <c r="H389">
        <v>2.1954023999999999</v>
      </c>
      <c r="I389">
        <v>-1.1954023</v>
      </c>
      <c r="J389">
        <v>0.31294966000000002</v>
      </c>
    </row>
    <row r="390" spans="1:10" x14ac:dyDescent="0.3">
      <c r="A390">
        <v>388</v>
      </c>
      <c r="B390">
        <v>6217</v>
      </c>
      <c r="C390" t="b">
        <v>1</v>
      </c>
      <c r="D390">
        <v>8054</v>
      </c>
      <c r="E390">
        <v>8129</v>
      </c>
      <c r="F390">
        <v>26.2</v>
      </c>
      <c r="G390">
        <v>12</v>
      </c>
      <c r="H390">
        <v>2.1833334</v>
      </c>
      <c r="I390">
        <v>-1.1833334</v>
      </c>
      <c r="J390">
        <v>0.31413612000000002</v>
      </c>
    </row>
    <row r="391" spans="1:10" x14ac:dyDescent="0.3">
      <c r="A391">
        <v>389</v>
      </c>
      <c r="B391">
        <v>6232</v>
      </c>
      <c r="C391" t="b">
        <v>1</v>
      </c>
      <c r="D391">
        <v>8060</v>
      </c>
      <c r="E391">
        <v>8129</v>
      </c>
      <c r="F391">
        <v>25.866667</v>
      </c>
      <c r="G391">
        <v>12.4</v>
      </c>
      <c r="H391">
        <v>2.0860216999999999</v>
      </c>
      <c r="I391">
        <v>-1.0860215</v>
      </c>
      <c r="J391">
        <v>0.32404179999999999</v>
      </c>
    </row>
    <row r="392" spans="1:10" x14ac:dyDescent="0.3">
      <c r="A392">
        <v>390</v>
      </c>
      <c r="B392">
        <v>6248</v>
      </c>
      <c r="C392" t="b">
        <v>1</v>
      </c>
      <c r="D392">
        <v>8071</v>
      </c>
      <c r="E392">
        <v>8123</v>
      </c>
      <c r="F392">
        <v>25.866667</v>
      </c>
      <c r="G392">
        <v>12.8</v>
      </c>
      <c r="H392">
        <v>2.0208333000000001</v>
      </c>
      <c r="I392">
        <v>-1.0208333000000001</v>
      </c>
      <c r="J392">
        <v>0.33103448000000002</v>
      </c>
    </row>
    <row r="393" spans="1:10" x14ac:dyDescent="0.3">
      <c r="A393">
        <v>391</v>
      </c>
      <c r="B393">
        <v>6264</v>
      </c>
      <c r="C393" t="b">
        <v>1</v>
      </c>
      <c r="D393">
        <v>8065</v>
      </c>
      <c r="E393">
        <v>8134</v>
      </c>
      <c r="F393">
        <v>25.466667000000001</v>
      </c>
      <c r="G393">
        <v>13.2</v>
      </c>
      <c r="H393">
        <v>1.9292929999999999</v>
      </c>
      <c r="I393">
        <v>-0.92929300000000004</v>
      </c>
      <c r="J393">
        <v>0.34137928000000001</v>
      </c>
    </row>
    <row r="394" spans="1:10" x14ac:dyDescent="0.3">
      <c r="A394">
        <v>392</v>
      </c>
      <c r="B394">
        <v>6280</v>
      </c>
      <c r="C394" t="b">
        <v>1</v>
      </c>
      <c r="D394">
        <v>8060</v>
      </c>
      <c r="E394">
        <v>8123</v>
      </c>
      <c r="F394">
        <v>25.133333</v>
      </c>
      <c r="G394">
        <v>13.6</v>
      </c>
      <c r="H394">
        <v>1.8480392000000001</v>
      </c>
      <c r="I394">
        <v>-0.84803914999999996</v>
      </c>
      <c r="J394">
        <v>0.35111877000000002</v>
      </c>
    </row>
    <row r="395" spans="1:10" x14ac:dyDescent="0.3">
      <c r="A395">
        <v>393</v>
      </c>
      <c r="B395">
        <v>6296</v>
      </c>
      <c r="C395" t="b">
        <v>1</v>
      </c>
      <c r="D395">
        <v>8065</v>
      </c>
      <c r="E395">
        <v>8134</v>
      </c>
      <c r="F395">
        <v>24.733333999999999</v>
      </c>
      <c r="G395">
        <v>14</v>
      </c>
      <c r="H395">
        <v>1.7666667</v>
      </c>
      <c r="I395">
        <v>-0.76666670000000003</v>
      </c>
      <c r="J395">
        <v>0.36144577999999999</v>
      </c>
    </row>
    <row r="396" spans="1:10" x14ac:dyDescent="0.3">
      <c r="A396">
        <v>394</v>
      </c>
      <c r="B396">
        <v>6312</v>
      </c>
      <c r="C396" t="b">
        <v>1</v>
      </c>
      <c r="D396">
        <v>8065</v>
      </c>
      <c r="E396">
        <v>8129</v>
      </c>
      <c r="F396">
        <v>24.333334000000001</v>
      </c>
      <c r="G396">
        <v>14</v>
      </c>
      <c r="H396">
        <v>1.7380952999999999</v>
      </c>
      <c r="I396">
        <v>-0.73809530000000001</v>
      </c>
      <c r="J396">
        <v>0.36521735999999999</v>
      </c>
    </row>
    <row r="397" spans="1:10" x14ac:dyDescent="0.3">
      <c r="A397">
        <v>395</v>
      </c>
      <c r="B397">
        <v>6327</v>
      </c>
      <c r="C397" t="b">
        <v>1</v>
      </c>
      <c r="D397">
        <v>8071</v>
      </c>
      <c r="E397">
        <v>8129</v>
      </c>
      <c r="F397">
        <v>24.333334000000001</v>
      </c>
      <c r="G397">
        <v>14</v>
      </c>
      <c r="H397">
        <v>1.7380952999999999</v>
      </c>
      <c r="I397">
        <v>-0.73809530000000001</v>
      </c>
      <c r="J397">
        <v>0.36521735999999999</v>
      </c>
    </row>
    <row r="398" spans="1:10" x14ac:dyDescent="0.3">
      <c r="A398">
        <v>396</v>
      </c>
      <c r="B398">
        <v>6343</v>
      </c>
      <c r="C398" t="b">
        <v>1</v>
      </c>
      <c r="D398">
        <v>8065</v>
      </c>
      <c r="E398">
        <v>8129</v>
      </c>
      <c r="F398">
        <v>24.333334000000001</v>
      </c>
      <c r="G398">
        <v>14</v>
      </c>
      <c r="H398">
        <v>1.7380952999999999</v>
      </c>
      <c r="I398">
        <v>-0.73809530000000001</v>
      </c>
      <c r="J398">
        <v>0.36521735999999999</v>
      </c>
    </row>
    <row r="399" spans="1:10" x14ac:dyDescent="0.3">
      <c r="A399">
        <v>397</v>
      </c>
      <c r="B399">
        <v>6359</v>
      </c>
      <c r="C399" t="b">
        <v>1</v>
      </c>
      <c r="D399">
        <v>8071</v>
      </c>
      <c r="E399">
        <v>8129</v>
      </c>
      <c r="F399">
        <v>24.333334000000001</v>
      </c>
      <c r="G399">
        <v>14</v>
      </c>
      <c r="H399">
        <v>1.7380952999999999</v>
      </c>
      <c r="I399">
        <v>-0.73809530000000001</v>
      </c>
      <c r="J399">
        <v>0.36521735999999999</v>
      </c>
    </row>
    <row r="400" spans="1:10" x14ac:dyDescent="0.3">
      <c r="A400">
        <v>398</v>
      </c>
      <c r="B400">
        <v>6375</v>
      </c>
      <c r="C400" t="b">
        <v>1</v>
      </c>
      <c r="D400">
        <v>8065</v>
      </c>
      <c r="E400">
        <v>8129</v>
      </c>
      <c r="F400">
        <v>24.333334000000001</v>
      </c>
      <c r="G400">
        <v>14</v>
      </c>
      <c r="H400">
        <v>1.7380952999999999</v>
      </c>
      <c r="I400">
        <v>-0.73809530000000001</v>
      </c>
      <c r="J400">
        <v>0.36521735999999999</v>
      </c>
    </row>
    <row r="401" spans="1:10" x14ac:dyDescent="0.3">
      <c r="A401">
        <v>399</v>
      </c>
      <c r="B401">
        <v>6391</v>
      </c>
      <c r="C401" t="b">
        <v>1</v>
      </c>
      <c r="D401">
        <v>8065</v>
      </c>
      <c r="E401">
        <v>8129</v>
      </c>
      <c r="F401">
        <v>24.333334000000001</v>
      </c>
      <c r="G401">
        <v>14</v>
      </c>
      <c r="H401">
        <v>1.7380952999999999</v>
      </c>
      <c r="I401">
        <v>-0.73809530000000001</v>
      </c>
      <c r="J401">
        <v>0.36521735999999999</v>
      </c>
    </row>
    <row r="402" spans="1:10" x14ac:dyDescent="0.3">
      <c r="A402">
        <v>400</v>
      </c>
      <c r="B402">
        <v>6406</v>
      </c>
      <c r="C402" t="b">
        <v>1</v>
      </c>
      <c r="D402">
        <v>8060</v>
      </c>
      <c r="E402">
        <v>8117</v>
      </c>
      <c r="F402">
        <v>24.333334000000001</v>
      </c>
      <c r="G402">
        <v>14</v>
      </c>
      <c r="H402">
        <v>1.7380952999999999</v>
      </c>
      <c r="I402">
        <v>-0.73809530000000001</v>
      </c>
      <c r="J402">
        <v>0.36521735999999999</v>
      </c>
    </row>
    <row r="403" spans="1:10" x14ac:dyDescent="0.3">
      <c r="A403">
        <v>401</v>
      </c>
      <c r="B403">
        <v>6423</v>
      </c>
      <c r="C403" t="b">
        <v>1</v>
      </c>
      <c r="D403">
        <v>8065</v>
      </c>
      <c r="E403">
        <v>8129</v>
      </c>
      <c r="F403">
        <v>24.333334000000001</v>
      </c>
      <c r="G403">
        <v>14</v>
      </c>
      <c r="H403">
        <v>1.7380952999999999</v>
      </c>
      <c r="I403">
        <v>-0.73809530000000001</v>
      </c>
      <c r="J403">
        <v>0.36521735999999999</v>
      </c>
    </row>
    <row r="404" spans="1:10" x14ac:dyDescent="0.3">
      <c r="A404">
        <v>402</v>
      </c>
      <c r="B404">
        <v>6438</v>
      </c>
      <c r="C404" t="b">
        <v>1</v>
      </c>
      <c r="D404">
        <v>8071</v>
      </c>
      <c r="E404">
        <v>8129</v>
      </c>
      <c r="F404">
        <v>24.333334000000001</v>
      </c>
      <c r="G404">
        <v>14</v>
      </c>
      <c r="H404">
        <v>1.7380952999999999</v>
      </c>
      <c r="I404">
        <v>-0.73809530000000001</v>
      </c>
      <c r="J404">
        <v>0.36521735999999999</v>
      </c>
    </row>
    <row r="405" spans="1:10" x14ac:dyDescent="0.3">
      <c r="A405">
        <v>403</v>
      </c>
      <c r="B405">
        <v>6454</v>
      </c>
      <c r="C405" t="b">
        <v>1</v>
      </c>
      <c r="D405">
        <v>8065</v>
      </c>
      <c r="E405">
        <v>8129</v>
      </c>
      <c r="F405">
        <v>24.333334000000001</v>
      </c>
      <c r="G405">
        <v>14</v>
      </c>
      <c r="H405">
        <v>1.7380952999999999</v>
      </c>
      <c r="I405">
        <v>-0.73809530000000001</v>
      </c>
      <c r="J405">
        <v>0.36521735999999999</v>
      </c>
    </row>
    <row r="406" spans="1:10" x14ac:dyDescent="0.3">
      <c r="A406">
        <v>404</v>
      </c>
      <c r="B406">
        <v>6470</v>
      </c>
      <c r="C406" t="b">
        <v>1</v>
      </c>
      <c r="D406">
        <v>8060</v>
      </c>
      <c r="E406">
        <v>8129</v>
      </c>
      <c r="F406">
        <v>24.666665999999999</v>
      </c>
      <c r="G406">
        <v>14</v>
      </c>
      <c r="H406">
        <v>1.7619047000000001</v>
      </c>
      <c r="I406">
        <v>-0.76190469999999999</v>
      </c>
      <c r="J406">
        <v>0.36206897999999998</v>
      </c>
    </row>
    <row r="407" spans="1:10" x14ac:dyDescent="0.3">
      <c r="A407">
        <v>405</v>
      </c>
      <c r="B407">
        <v>6486</v>
      </c>
      <c r="C407" t="b">
        <v>1</v>
      </c>
      <c r="D407">
        <v>8054</v>
      </c>
      <c r="E407">
        <v>8134</v>
      </c>
      <c r="F407">
        <v>24.666665999999999</v>
      </c>
      <c r="G407">
        <v>14</v>
      </c>
      <c r="H407">
        <v>1.7619047000000001</v>
      </c>
      <c r="I407">
        <v>-0.76190469999999999</v>
      </c>
      <c r="J407">
        <v>0.36206897999999998</v>
      </c>
    </row>
    <row r="408" spans="1:10" x14ac:dyDescent="0.3">
      <c r="A408">
        <v>406</v>
      </c>
      <c r="B408">
        <v>6502</v>
      </c>
      <c r="C408" t="b">
        <v>1</v>
      </c>
      <c r="D408">
        <v>8060</v>
      </c>
      <c r="E408">
        <v>8129</v>
      </c>
      <c r="F408">
        <v>24.333334000000001</v>
      </c>
      <c r="G408">
        <v>14</v>
      </c>
      <c r="H408">
        <v>1.7380952999999999</v>
      </c>
      <c r="I408">
        <v>-0.73809530000000001</v>
      </c>
      <c r="J408">
        <v>0.36521735999999999</v>
      </c>
    </row>
    <row r="409" spans="1:10" x14ac:dyDescent="0.3">
      <c r="A409">
        <v>407</v>
      </c>
      <c r="B409">
        <v>6518</v>
      </c>
      <c r="C409" t="b">
        <v>1</v>
      </c>
      <c r="D409">
        <v>8060</v>
      </c>
      <c r="E409">
        <v>8134</v>
      </c>
      <c r="F409">
        <v>24.333334000000001</v>
      </c>
      <c r="G409">
        <v>14</v>
      </c>
      <c r="H409">
        <v>1.7380952999999999</v>
      </c>
      <c r="I409">
        <v>-0.73809530000000001</v>
      </c>
      <c r="J409">
        <v>0.36521735999999999</v>
      </c>
    </row>
    <row r="410" spans="1:10" x14ac:dyDescent="0.3">
      <c r="A410">
        <v>408</v>
      </c>
      <c r="B410">
        <v>6534</v>
      </c>
      <c r="C410" t="b">
        <v>1</v>
      </c>
      <c r="D410">
        <v>8060</v>
      </c>
      <c r="E410">
        <v>8129</v>
      </c>
      <c r="F410">
        <v>24</v>
      </c>
      <c r="G410">
        <v>14</v>
      </c>
      <c r="H410">
        <v>1.7142857</v>
      </c>
      <c r="I410">
        <v>-0.71428572999999995</v>
      </c>
      <c r="J410">
        <v>0.36842105000000003</v>
      </c>
    </row>
    <row r="411" spans="1:10" x14ac:dyDescent="0.3">
      <c r="A411">
        <v>409</v>
      </c>
      <c r="B411">
        <v>6550</v>
      </c>
      <c r="C411" t="b">
        <v>1</v>
      </c>
      <c r="D411">
        <v>8060</v>
      </c>
      <c r="E411">
        <v>8117</v>
      </c>
      <c r="F411">
        <v>23.666665999999999</v>
      </c>
      <c r="G411">
        <v>14</v>
      </c>
      <c r="H411">
        <v>1.6904762</v>
      </c>
      <c r="I411">
        <v>-0.69047610000000004</v>
      </c>
      <c r="J411">
        <v>0.37168145000000002</v>
      </c>
    </row>
    <row r="412" spans="1:10" x14ac:dyDescent="0.3">
      <c r="A412">
        <v>410</v>
      </c>
      <c r="B412">
        <v>6566</v>
      </c>
      <c r="C412" t="b">
        <v>1</v>
      </c>
      <c r="D412">
        <v>8065</v>
      </c>
      <c r="E412">
        <v>8123</v>
      </c>
      <c r="F412">
        <v>23.333334000000001</v>
      </c>
      <c r="G412">
        <v>14</v>
      </c>
      <c r="H412">
        <v>1.6666666999999999</v>
      </c>
      <c r="I412">
        <v>-0.66666669999999995</v>
      </c>
      <c r="J412">
        <v>0.37499997000000002</v>
      </c>
    </row>
    <row r="413" spans="1:10" x14ac:dyDescent="0.3">
      <c r="A413">
        <v>411</v>
      </c>
      <c r="B413">
        <v>6582</v>
      </c>
      <c r="C413" t="b">
        <v>1</v>
      </c>
      <c r="D413">
        <v>8065</v>
      </c>
      <c r="E413">
        <v>8117</v>
      </c>
      <c r="F413">
        <v>23</v>
      </c>
      <c r="G413">
        <v>13.6</v>
      </c>
      <c r="H413">
        <v>1.6911764</v>
      </c>
      <c r="I413">
        <v>-0.69117640000000002</v>
      </c>
      <c r="J413">
        <v>0.37158469999999999</v>
      </c>
    </row>
    <row r="414" spans="1:10" x14ac:dyDescent="0.3">
      <c r="A414">
        <v>412</v>
      </c>
      <c r="B414">
        <v>6597</v>
      </c>
      <c r="C414" t="b">
        <v>1</v>
      </c>
      <c r="D414">
        <v>8071</v>
      </c>
      <c r="E414">
        <v>8123</v>
      </c>
      <c r="F414">
        <v>23</v>
      </c>
      <c r="G414">
        <v>13.2</v>
      </c>
      <c r="H414">
        <v>1.7424242000000001</v>
      </c>
      <c r="I414">
        <v>-0.74242425000000001</v>
      </c>
      <c r="J414">
        <v>0.36464086000000001</v>
      </c>
    </row>
    <row r="415" spans="1:10" x14ac:dyDescent="0.3">
      <c r="A415">
        <v>413</v>
      </c>
      <c r="B415">
        <v>6613</v>
      </c>
      <c r="C415" t="b">
        <v>1</v>
      </c>
      <c r="D415">
        <v>8071</v>
      </c>
      <c r="E415">
        <v>8129</v>
      </c>
      <c r="F415">
        <v>23</v>
      </c>
      <c r="G415">
        <v>12.8</v>
      </c>
      <c r="H415">
        <v>1.796875</v>
      </c>
      <c r="I415">
        <v>-0.796875</v>
      </c>
      <c r="J415">
        <v>0.35754192000000001</v>
      </c>
    </row>
    <row r="416" spans="1:10" x14ac:dyDescent="0.3">
      <c r="A416">
        <v>414</v>
      </c>
      <c r="B416">
        <v>6629</v>
      </c>
      <c r="C416" t="b">
        <v>1</v>
      </c>
      <c r="D416">
        <v>8071</v>
      </c>
      <c r="E416">
        <v>8123</v>
      </c>
      <c r="F416">
        <v>23.4</v>
      </c>
      <c r="G416">
        <v>12.4</v>
      </c>
      <c r="H416">
        <v>1.8870967999999999</v>
      </c>
      <c r="I416">
        <v>-0.88709680000000002</v>
      </c>
      <c r="J416">
        <v>0.34636869999999997</v>
      </c>
    </row>
    <row r="417" spans="1:10" x14ac:dyDescent="0.3">
      <c r="A417">
        <v>415</v>
      </c>
      <c r="B417">
        <v>6645</v>
      </c>
      <c r="C417" t="b">
        <v>1</v>
      </c>
      <c r="D417">
        <v>8065</v>
      </c>
      <c r="E417">
        <v>8123</v>
      </c>
      <c r="F417">
        <v>23.8</v>
      </c>
      <c r="G417">
        <v>12</v>
      </c>
      <c r="H417">
        <v>1.9833331999999999</v>
      </c>
      <c r="I417">
        <v>-0.98333329999999997</v>
      </c>
      <c r="J417">
        <v>0.33519554000000001</v>
      </c>
    </row>
    <row r="418" spans="1:10" x14ac:dyDescent="0.3">
      <c r="A418">
        <v>416</v>
      </c>
      <c r="B418">
        <v>6661</v>
      </c>
      <c r="C418" t="b">
        <v>1</v>
      </c>
      <c r="D418">
        <v>8071</v>
      </c>
      <c r="E418">
        <v>8129</v>
      </c>
      <c r="F418">
        <v>24.2</v>
      </c>
      <c r="G418">
        <v>11.6</v>
      </c>
      <c r="H418">
        <v>2.0862069999999999</v>
      </c>
      <c r="I418">
        <v>-1.0862069000000001</v>
      </c>
      <c r="J418">
        <v>0.32402231999999997</v>
      </c>
    </row>
    <row r="419" spans="1:10" x14ac:dyDescent="0.3">
      <c r="A419">
        <v>417</v>
      </c>
      <c r="B419">
        <v>6676</v>
      </c>
      <c r="C419" t="b">
        <v>1</v>
      </c>
      <c r="D419">
        <v>8071</v>
      </c>
      <c r="E419">
        <v>8129</v>
      </c>
      <c r="F419">
        <v>24.6</v>
      </c>
      <c r="G419">
        <v>11.6</v>
      </c>
      <c r="H419">
        <v>2.1206896</v>
      </c>
      <c r="I419">
        <v>-1.1206896</v>
      </c>
      <c r="J419">
        <v>0.320442</v>
      </c>
    </row>
    <row r="420" spans="1:10" x14ac:dyDescent="0.3">
      <c r="A420">
        <v>418</v>
      </c>
      <c r="B420">
        <v>6692</v>
      </c>
      <c r="C420" t="b">
        <v>1</v>
      </c>
      <c r="D420">
        <v>8065</v>
      </c>
      <c r="E420">
        <v>8123</v>
      </c>
      <c r="F420">
        <v>25</v>
      </c>
      <c r="G420">
        <v>11.2</v>
      </c>
      <c r="H420">
        <v>2.2321430000000002</v>
      </c>
      <c r="I420">
        <v>-1.2321428999999999</v>
      </c>
      <c r="J420">
        <v>0.30939223999999999</v>
      </c>
    </row>
    <row r="421" spans="1:10" x14ac:dyDescent="0.3">
      <c r="A421">
        <v>419</v>
      </c>
      <c r="B421">
        <v>6708</v>
      </c>
      <c r="C421" t="b">
        <v>1</v>
      </c>
      <c r="D421">
        <v>8065</v>
      </c>
      <c r="E421">
        <v>8134</v>
      </c>
      <c r="F421">
        <v>25</v>
      </c>
      <c r="G421">
        <v>11.2</v>
      </c>
      <c r="H421">
        <v>2.2321430000000002</v>
      </c>
      <c r="I421">
        <v>-1.2321428999999999</v>
      </c>
      <c r="J421">
        <v>0.30939223999999999</v>
      </c>
    </row>
    <row r="422" spans="1:10" x14ac:dyDescent="0.3">
      <c r="A422">
        <v>420</v>
      </c>
      <c r="B422">
        <v>6724</v>
      </c>
      <c r="C422" t="b">
        <v>1</v>
      </c>
      <c r="D422">
        <v>8071</v>
      </c>
      <c r="E422">
        <v>8129</v>
      </c>
      <c r="F422">
        <v>25.4</v>
      </c>
      <c r="G422">
        <v>11.2</v>
      </c>
      <c r="H422">
        <v>2.2678569999999998</v>
      </c>
      <c r="I422">
        <v>-1.2678571999999999</v>
      </c>
      <c r="J422">
        <v>0.30601093000000001</v>
      </c>
    </row>
    <row r="423" spans="1:10" x14ac:dyDescent="0.3">
      <c r="A423">
        <v>421</v>
      </c>
      <c r="B423">
        <v>6740</v>
      </c>
      <c r="C423" t="b">
        <v>1</v>
      </c>
      <c r="D423">
        <v>8060</v>
      </c>
      <c r="E423">
        <v>8129</v>
      </c>
      <c r="F423">
        <v>25.733333999999999</v>
      </c>
      <c r="G423">
        <v>11.2</v>
      </c>
      <c r="H423">
        <v>2.2976190000000001</v>
      </c>
      <c r="I423">
        <v>-1.2976190999999999</v>
      </c>
      <c r="J423">
        <v>0.30324909999999999</v>
      </c>
    </row>
    <row r="424" spans="1:10" x14ac:dyDescent="0.3">
      <c r="A424">
        <v>422</v>
      </c>
      <c r="B424">
        <v>6756</v>
      </c>
      <c r="C424" t="b">
        <v>1</v>
      </c>
      <c r="D424">
        <v>8060</v>
      </c>
      <c r="E424">
        <v>8123</v>
      </c>
      <c r="F424">
        <v>26.066668</v>
      </c>
      <c r="G424">
        <v>11.2</v>
      </c>
      <c r="H424">
        <v>2.3273811000000002</v>
      </c>
      <c r="I424">
        <v>-1.3273809999999999</v>
      </c>
      <c r="J424">
        <v>0.30053666000000001</v>
      </c>
    </row>
    <row r="425" spans="1:10" x14ac:dyDescent="0.3">
      <c r="A425">
        <v>423</v>
      </c>
      <c r="B425">
        <v>6772</v>
      </c>
      <c r="C425" t="b">
        <v>1</v>
      </c>
      <c r="D425">
        <v>8071</v>
      </c>
      <c r="E425">
        <v>8134</v>
      </c>
      <c r="F425">
        <v>26.4</v>
      </c>
      <c r="G425">
        <v>11.2</v>
      </c>
      <c r="H425">
        <v>2.3571430000000002</v>
      </c>
      <c r="I425">
        <v>-1.3571428000000001</v>
      </c>
      <c r="J425">
        <v>0.29787233000000002</v>
      </c>
    </row>
    <row r="426" spans="1:10" x14ac:dyDescent="0.3">
      <c r="A426">
        <v>424</v>
      </c>
      <c r="B426">
        <v>6788</v>
      </c>
      <c r="C426" t="b">
        <v>1</v>
      </c>
      <c r="D426">
        <v>8071</v>
      </c>
      <c r="E426">
        <v>8129</v>
      </c>
      <c r="F426">
        <v>27.133333</v>
      </c>
      <c r="G426">
        <v>11.2</v>
      </c>
      <c r="H426">
        <v>2.4226190000000001</v>
      </c>
      <c r="I426">
        <v>-1.4226190999999999</v>
      </c>
      <c r="J426">
        <v>0.29217391999999998</v>
      </c>
    </row>
    <row r="427" spans="1:10" x14ac:dyDescent="0.3">
      <c r="A427">
        <v>425</v>
      </c>
      <c r="B427">
        <v>6803</v>
      </c>
      <c r="C427" t="b">
        <v>1</v>
      </c>
      <c r="D427">
        <v>8065</v>
      </c>
      <c r="E427">
        <v>8134</v>
      </c>
      <c r="F427">
        <v>27.466667000000001</v>
      </c>
      <c r="G427">
        <v>11.2</v>
      </c>
      <c r="H427">
        <v>2.4523811000000002</v>
      </c>
      <c r="I427">
        <v>-1.4523809000000001</v>
      </c>
      <c r="J427">
        <v>0.28965514999999997</v>
      </c>
    </row>
    <row r="428" spans="1:10" x14ac:dyDescent="0.3">
      <c r="A428">
        <v>426</v>
      </c>
      <c r="B428">
        <v>6819</v>
      </c>
      <c r="C428" t="b">
        <v>1</v>
      </c>
      <c r="D428">
        <v>8060</v>
      </c>
      <c r="E428">
        <v>8117</v>
      </c>
      <c r="F428">
        <v>27.8</v>
      </c>
      <c r="G428">
        <v>11.6</v>
      </c>
      <c r="H428">
        <v>2.3965516</v>
      </c>
      <c r="I428">
        <v>-1.3965516</v>
      </c>
      <c r="J428">
        <v>0.29441624999999999</v>
      </c>
    </row>
    <row r="429" spans="1:10" x14ac:dyDescent="0.3">
      <c r="A429">
        <v>427</v>
      </c>
      <c r="B429">
        <v>6835</v>
      </c>
      <c r="C429" t="b">
        <v>1</v>
      </c>
      <c r="D429">
        <v>8071</v>
      </c>
      <c r="E429">
        <v>8129</v>
      </c>
      <c r="F429">
        <v>28.2</v>
      </c>
      <c r="G429">
        <v>12</v>
      </c>
      <c r="H429">
        <v>2.3500000999999999</v>
      </c>
      <c r="I429">
        <v>-1.35</v>
      </c>
      <c r="J429">
        <v>0.29850745000000001</v>
      </c>
    </row>
    <row r="430" spans="1:10" x14ac:dyDescent="0.3">
      <c r="A430">
        <v>428</v>
      </c>
      <c r="B430">
        <v>6851</v>
      </c>
      <c r="C430" t="b">
        <v>1</v>
      </c>
      <c r="D430">
        <v>8065</v>
      </c>
      <c r="E430">
        <v>8129</v>
      </c>
      <c r="F430">
        <v>28.2</v>
      </c>
      <c r="G430">
        <v>12.4</v>
      </c>
      <c r="H430">
        <v>2.2741937999999999</v>
      </c>
      <c r="I430">
        <v>-1.2741936</v>
      </c>
      <c r="J430">
        <v>0.30541873000000003</v>
      </c>
    </row>
    <row r="431" spans="1:10" x14ac:dyDescent="0.3">
      <c r="A431">
        <v>429</v>
      </c>
      <c r="B431">
        <v>6867</v>
      </c>
      <c r="C431" t="b">
        <v>1</v>
      </c>
      <c r="D431">
        <v>8060</v>
      </c>
      <c r="E431">
        <v>8134</v>
      </c>
      <c r="F431">
        <v>27.8</v>
      </c>
      <c r="G431">
        <v>12.8</v>
      </c>
      <c r="H431">
        <v>2.171875</v>
      </c>
      <c r="I431">
        <v>-1.1718748999999999</v>
      </c>
      <c r="J431">
        <v>0.31527095999999999</v>
      </c>
    </row>
    <row r="432" spans="1:10" x14ac:dyDescent="0.3">
      <c r="A432">
        <v>430</v>
      </c>
      <c r="B432">
        <v>6883</v>
      </c>
      <c r="C432" t="b">
        <v>1</v>
      </c>
      <c r="D432">
        <v>8060</v>
      </c>
      <c r="E432">
        <v>8134</v>
      </c>
      <c r="F432">
        <v>27.066668</v>
      </c>
      <c r="G432">
        <v>13.2</v>
      </c>
      <c r="H432">
        <v>2.0505051999999999</v>
      </c>
      <c r="I432">
        <v>-1.0505051999999999</v>
      </c>
      <c r="J432">
        <v>0.32781458000000002</v>
      </c>
    </row>
    <row r="433" spans="1:10" x14ac:dyDescent="0.3">
      <c r="A433">
        <v>431</v>
      </c>
      <c r="B433">
        <v>6899</v>
      </c>
      <c r="C433" t="b">
        <v>1</v>
      </c>
      <c r="D433">
        <v>8065</v>
      </c>
      <c r="E433">
        <v>8129</v>
      </c>
      <c r="F433">
        <v>26.666665999999999</v>
      </c>
      <c r="G433">
        <v>13.6</v>
      </c>
      <c r="H433">
        <v>1.9607842</v>
      </c>
      <c r="I433">
        <v>-0.96078419999999998</v>
      </c>
      <c r="J433">
        <v>0.33774834999999997</v>
      </c>
    </row>
    <row r="434" spans="1:10" x14ac:dyDescent="0.3">
      <c r="A434">
        <v>432</v>
      </c>
      <c r="B434">
        <v>6915</v>
      </c>
      <c r="C434" t="b">
        <v>1</v>
      </c>
      <c r="D434">
        <v>8071</v>
      </c>
      <c r="E434">
        <v>8129</v>
      </c>
      <c r="F434">
        <v>26.266666000000001</v>
      </c>
      <c r="G434">
        <v>13.6</v>
      </c>
      <c r="H434">
        <v>1.9313724999999999</v>
      </c>
      <c r="I434">
        <v>-0.93137245999999996</v>
      </c>
      <c r="J434">
        <v>0.34113710000000003</v>
      </c>
    </row>
    <row r="435" spans="1:10" x14ac:dyDescent="0.3">
      <c r="A435">
        <v>433</v>
      </c>
      <c r="B435">
        <v>6930</v>
      </c>
      <c r="C435" t="b">
        <v>1</v>
      </c>
      <c r="D435">
        <v>8065</v>
      </c>
      <c r="E435">
        <v>8129</v>
      </c>
      <c r="F435">
        <v>25.866667</v>
      </c>
      <c r="G435">
        <v>14</v>
      </c>
      <c r="H435">
        <v>1.8476189999999999</v>
      </c>
      <c r="I435">
        <v>-0.84761905999999998</v>
      </c>
      <c r="J435">
        <v>0.35117053999999998</v>
      </c>
    </row>
    <row r="436" spans="1:10" x14ac:dyDescent="0.3">
      <c r="A436">
        <v>434</v>
      </c>
      <c r="B436">
        <v>6946</v>
      </c>
      <c r="C436" t="b">
        <v>1</v>
      </c>
      <c r="D436">
        <v>8065</v>
      </c>
      <c r="E436">
        <v>8123</v>
      </c>
      <c r="F436">
        <v>25.866667</v>
      </c>
      <c r="G436">
        <v>14</v>
      </c>
      <c r="H436">
        <v>1.8476189999999999</v>
      </c>
      <c r="I436">
        <v>-0.84761905999999998</v>
      </c>
      <c r="J436">
        <v>0.35117053999999998</v>
      </c>
    </row>
    <row r="437" spans="1:10" x14ac:dyDescent="0.3">
      <c r="A437">
        <v>435</v>
      </c>
      <c r="B437">
        <v>6962</v>
      </c>
      <c r="C437" t="b">
        <v>1</v>
      </c>
      <c r="D437">
        <v>8065</v>
      </c>
      <c r="E437">
        <v>8123</v>
      </c>
      <c r="F437">
        <v>25.466667000000001</v>
      </c>
      <c r="G437">
        <v>14</v>
      </c>
      <c r="H437">
        <v>1.8190477</v>
      </c>
      <c r="I437">
        <v>-0.81904763000000003</v>
      </c>
      <c r="J437">
        <v>0.35472969999999998</v>
      </c>
    </row>
    <row r="438" spans="1:10" x14ac:dyDescent="0.3">
      <c r="A438">
        <v>436</v>
      </c>
      <c r="B438">
        <v>6978</v>
      </c>
      <c r="C438" t="b">
        <v>1</v>
      </c>
      <c r="D438">
        <v>8071</v>
      </c>
      <c r="E438">
        <v>8123</v>
      </c>
      <c r="F438">
        <v>25.466667000000001</v>
      </c>
      <c r="G438">
        <v>13.6</v>
      </c>
      <c r="H438">
        <v>1.872549</v>
      </c>
      <c r="I438">
        <v>-0.87254900000000002</v>
      </c>
      <c r="J438">
        <v>0.34812290000000001</v>
      </c>
    </row>
    <row r="439" spans="1:10" x14ac:dyDescent="0.3">
      <c r="A439">
        <v>437</v>
      </c>
      <c r="B439">
        <v>6994</v>
      </c>
      <c r="C439" t="b">
        <v>1</v>
      </c>
      <c r="D439">
        <v>8071</v>
      </c>
      <c r="E439">
        <v>8123</v>
      </c>
      <c r="F439">
        <v>25.466667000000001</v>
      </c>
      <c r="G439">
        <v>13.2</v>
      </c>
      <c r="H439">
        <v>1.9292929999999999</v>
      </c>
      <c r="I439">
        <v>-0.92929300000000004</v>
      </c>
      <c r="J439">
        <v>0.34137928000000001</v>
      </c>
    </row>
    <row r="440" spans="1:10" x14ac:dyDescent="0.3">
      <c r="A440">
        <v>438</v>
      </c>
      <c r="B440">
        <v>7009</v>
      </c>
      <c r="C440" t="b">
        <v>1</v>
      </c>
      <c r="D440">
        <v>8065</v>
      </c>
      <c r="E440">
        <v>8129</v>
      </c>
      <c r="F440">
        <v>25.466667000000001</v>
      </c>
      <c r="G440">
        <v>12.8</v>
      </c>
      <c r="H440">
        <v>1.9895833999999999</v>
      </c>
      <c r="I440">
        <v>-0.9895834</v>
      </c>
      <c r="J440">
        <v>0.33449477</v>
      </c>
    </row>
    <row r="441" spans="1:10" x14ac:dyDescent="0.3">
      <c r="A441">
        <v>439</v>
      </c>
      <c r="B441">
        <v>7025</v>
      </c>
      <c r="C441" t="b">
        <v>1</v>
      </c>
      <c r="D441">
        <v>8065</v>
      </c>
      <c r="E441">
        <v>8117</v>
      </c>
      <c r="F441">
        <v>25.066668</v>
      </c>
      <c r="G441">
        <v>12.4</v>
      </c>
      <c r="H441">
        <v>2.0215055999999998</v>
      </c>
      <c r="I441">
        <v>-1.0215055</v>
      </c>
      <c r="J441">
        <v>0.33096083999999998</v>
      </c>
    </row>
    <row r="442" spans="1:10" x14ac:dyDescent="0.3">
      <c r="A442">
        <v>440</v>
      </c>
      <c r="B442">
        <v>7041</v>
      </c>
      <c r="C442" t="b">
        <v>1</v>
      </c>
      <c r="D442">
        <v>8077</v>
      </c>
      <c r="E442">
        <v>8123</v>
      </c>
      <c r="F442">
        <v>25.466667000000001</v>
      </c>
      <c r="G442">
        <v>12</v>
      </c>
      <c r="H442">
        <v>2.1222221999999999</v>
      </c>
      <c r="I442">
        <v>-1.1222223</v>
      </c>
      <c r="J442">
        <v>0.32028469999999998</v>
      </c>
    </row>
    <row r="443" spans="1:10" x14ac:dyDescent="0.3">
      <c r="A443">
        <v>441</v>
      </c>
      <c r="B443">
        <v>7057</v>
      </c>
      <c r="C443" t="b">
        <v>1</v>
      </c>
      <c r="D443">
        <v>8071</v>
      </c>
      <c r="E443">
        <v>8134</v>
      </c>
      <c r="F443">
        <v>25.866667</v>
      </c>
      <c r="G443">
        <v>11.6</v>
      </c>
      <c r="H443">
        <v>2.2298849999999999</v>
      </c>
      <c r="I443">
        <v>-1.2298849999999999</v>
      </c>
      <c r="J443">
        <v>0.30960854999999998</v>
      </c>
    </row>
    <row r="444" spans="1:10" x14ac:dyDescent="0.3">
      <c r="A444">
        <v>442</v>
      </c>
      <c r="B444">
        <v>7073</v>
      </c>
      <c r="C444" t="b">
        <v>1</v>
      </c>
      <c r="D444">
        <v>8065</v>
      </c>
      <c r="E444">
        <v>8123</v>
      </c>
      <c r="F444">
        <v>25.466667000000001</v>
      </c>
      <c r="G444">
        <v>11.2</v>
      </c>
      <c r="H444">
        <v>2.2738097000000002</v>
      </c>
      <c r="I444">
        <v>-1.2738096000000001</v>
      </c>
      <c r="J444">
        <v>0.30545452000000001</v>
      </c>
    </row>
    <row r="445" spans="1:10" x14ac:dyDescent="0.3">
      <c r="A445">
        <v>443</v>
      </c>
      <c r="B445">
        <v>7089</v>
      </c>
      <c r="C445" t="b">
        <v>1</v>
      </c>
      <c r="D445">
        <v>8065</v>
      </c>
      <c r="E445">
        <v>8123</v>
      </c>
      <c r="F445">
        <v>25.466667000000001</v>
      </c>
      <c r="G445">
        <v>10.8</v>
      </c>
      <c r="H445">
        <v>2.3580245999999998</v>
      </c>
      <c r="I445">
        <v>-1.3580247000000001</v>
      </c>
      <c r="J445">
        <v>0.29779412999999999</v>
      </c>
    </row>
    <row r="446" spans="1:10" x14ac:dyDescent="0.3">
      <c r="A446">
        <v>444</v>
      </c>
      <c r="B446">
        <v>7105</v>
      </c>
      <c r="C446" t="b">
        <v>1</v>
      </c>
      <c r="D446">
        <v>8054</v>
      </c>
      <c r="E446">
        <v>8129</v>
      </c>
      <c r="F446">
        <v>25.466667000000001</v>
      </c>
      <c r="G446">
        <v>10.4</v>
      </c>
      <c r="H446">
        <v>2.448718</v>
      </c>
      <c r="I446">
        <v>-1.4487181</v>
      </c>
      <c r="J446">
        <v>0.28996280000000002</v>
      </c>
    </row>
    <row r="447" spans="1:10" x14ac:dyDescent="0.3">
      <c r="A447">
        <v>445</v>
      </c>
      <c r="B447">
        <v>7121</v>
      </c>
      <c r="C447" t="b">
        <v>1</v>
      </c>
      <c r="D447">
        <v>8054</v>
      </c>
      <c r="E447">
        <v>8134</v>
      </c>
      <c r="F447">
        <v>25.8</v>
      </c>
      <c r="G447">
        <v>10.4</v>
      </c>
      <c r="H447">
        <v>2.4807692000000001</v>
      </c>
      <c r="I447">
        <v>-1.4807693</v>
      </c>
      <c r="J447">
        <v>0.28729283999999999</v>
      </c>
    </row>
    <row r="448" spans="1:10" x14ac:dyDescent="0.3">
      <c r="A448">
        <v>446</v>
      </c>
      <c r="B448">
        <v>7136</v>
      </c>
      <c r="C448" t="b">
        <v>1</v>
      </c>
      <c r="D448">
        <v>8060</v>
      </c>
      <c r="E448">
        <v>8129</v>
      </c>
      <c r="F448">
        <v>25.466667000000001</v>
      </c>
      <c r="G448">
        <v>10.4</v>
      </c>
      <c r="H448">
        <v>2.448718</v>
      </c>
      <c r="I448">
        <v>-1.4487181</v>
      </c>
      <c r="J448">
        <v>0.28996280000000002</v>
      </c>
    </row>
    <row r="449" spans="1:10" x14ac:dyDescent="0.3">
      <c r="A449">
        <v>447</v>
      </c>
      <c r="B449">
        <v>7153</v>
      </c>
      <c r="C449" t="b">
        <v>1</v>
      </c>
      <c r="D449">
        <v>8048</v>
      </c>
      <c r="E449">
        <v>8111</v>
      </c>
      <c r="F449">
        <v>24.733333999999999</v>
      </c>
      <c r="G449">
        <v>10.4</v>
      </c>
      <c r="H449">
        <v>2.3782052999999999</v>
      </c>
      <c r="I449">
        <v>-1.3782053000000001</v>
      </c>
      <c r="J449">
        <v>0.29601516999999999</v>
      </c>
    </row>
    <row r="450" spans="1:10" x14ac:dyDescent="0.3">
      <c r="A450">
        <v>448</v>
      </c>
      <c r="B450">
        <v>7169</v>
      </c>
      <c r="C450" t="b">
        <v>1</v>
      </c>
      <c r="D450">
        <v>8065</v>
      </c>
      <c r="E450">
        <v>8129</v>
      </c>
      <c r="F450">
        <v>24</v>
      </c>
      <c r="G450">
        <v>10.4</v>
      </c>
      <c r="H450">
        <v>2.3076922999999998</v>
      </c>
      <c r="I450">
        <v>-1.3076924000000001</v>
      </c>
      <c r="J450">
        <v>0.30232555</v>
      </c>
    </row>
    <row r="451" spans="1:10" x14ac:dyDescent="0.3">
      <c r="A451">
        <v>449</v>
      </c>
      <c r="B451">
        <v>7184</v>
      </c>
      <c r="C451" t="b">
        <v>1</v>
      </c>
      <c r="D451">
        <v>8060</v>
      </c>
      <c r="E451">
        <v>8123</v>
      </c>
      <c r="F451">
        <v>23.666665999999999</v>
      </c>
      <c r="G451">
        <v>10.4</v>
      </c>
      <c r="H451">
        <v>2.2756409999999998</v>
      </c>
      <c r="I451">
        <v>-1.2756411000000001</v>
      </c>
      <c r="J451">
        <v>0.30528376000000002</v>
      </c>
    </row>
    <row r="452" spans="1:10" x14ac:dyDescent="0.3">
      <c r="A452">
        <v>450</v>
      </c>
      <c r="B452">
        <v>7200</v>
      </c>
      <c r="C452" t="b">
        <v>1</v>
      </c>
      <c r="D452">
        <v>8065</v>
      </c>
      <c r="E452">
        <v>8129</v>
      </c>
      <c r="F452">
        <v>23.333334000000001</v>
      </c>
      <c r="G452">
        <v>10.4</v>
      </c>
      <c r="H452">
        <v>2.2435898999999999</v>
      </c>
      <c r="I452">
        <v>-1.2435898999999999</v>
      </c>
      <c r="J452">
        <v>0.30830037999999998</v>
      </c>
    </row>
    <row r="453" spans="1:10" x14ac:dyDescent="0.3">
      <c r="A453">
        <v>451</v>
      </c>
      <c r="B453">
        <v>7216</v>
      </c>
      <c r="C453" t="b">
        <v>1</v>
      </c>
      <c r="D453">
        <v>8071</v>
      </c>
      <c r="E453">
        <v>8123</v>
      </c>
      <c r="F453">
        <v>23.333334000000001</v>
      </c>
      <c r="G453">
        <v>10.4</v>
      </c>
      <c r="H453">
        <v>2.2435898999999999</v>
      </c>
      <c r="I453">
        <v>-1.2435898999999999</v>
      </c>
      <c r="J453">
        <v>0.30830037999999998</v>
      </c>
    </row>
    <row r="454" spans="1:10" x14ac:dyDescent="0.3">
      <c r="A454">
        <v>452</v>
      </c>
      <c r="B454">
        <v>7232</v>
      </c>
      <c r="C454" t="b">
        <v>1</v>
      </c>
      <c r="D454">
        <v>8065</v>
      </c>
      <c r="E454">
        <v>8129</v>
      </c>
      <c r="F454">
        <v>23.333334000000001</v>
      </c>
      <c r="G454">
        <v>10.8</v>
      </c>
      <c r="H454">
        <v>2.1604939000000001</v>
      </c>
      <c r="I454">
        <v>-1.1604939000000001</v>
      </c>
      <c r="J454">
        <v>0.31640625</v>
      </c>
    </row>
    <row r="455" spans="1:10" x14ac:dyDescent="0.3">
      <c r="A455">
        <v>453</v>
      </c>
      <c r="B455">
        <v>7248</v>
      </c>
      <c r="C455" t="b">
        <v>1</v>
      </c>
      <c r="D455">
        <v>8071</v>
      </c>
      <c r="E455">
        <v>8129</v>
      </c>
      <c r="F455">
        <v>23.333334000000001</v>
      </c>
      <c r="G455">
        <v>11.2</v>
      </c>
      <c r="H455">
        <v>2.0833335000000002</v>
      </c>
      <c r="I455">
        <v>-1.0833333999999999</v>
      </c>
      <c r="J455">
        <v>0.32432430000000001</v>
      </c>
    </row>
    <row r="456" spans="1:10" x14ac:dyDescent="0.3">
      <c r="A456">
        <v>454</v>
      </c>
      <c r="B456">
        <v>7264</v>
      </c>
      <c r="C456" t="b">
        <v>1</v>
      </c>
      <c r="D456">
        <v>8071</v>
      </c>
      <c r="E456">
        <v>8123</v>
      </c>
      <c r="F456">
        <v>23.733333999999999</v>
      </c>
      <c r="G456">
        <v>11.6</v>
      </c>
      <c r="H456">
        <v>2.0459768999999999</v>
      </c>
      <c r="I456">
        <v>-1.0459769999999999</v>
      </c>
      <c r="J456">
        <v>0.32830187999999999</v>
      </c>
    </row>
    <row r="457" spans="1:10" x14ac:dyDescent="0.3">
      <c r="A457">
        <v>455</v>
      </c>
      <c r="B457">
        <v>7279</v>
      </c>
      <c r="C457" t="b">
        <v>1</v>
      </c>
      <c r="D457">
        <v>8065</v>
      </c>
      <c r="E457">
        <v>8123</v>
      </c>
      <c r="F457">
        <v>23.733333999999999</v>
      </c>
      <c r="G457">
        <v>11.6</v>
      </c>
      <c r="H457">
        <v>2.0459768999999999</v>
      </c>
      <c r="I457">
        <v>-1.0459769999999999</v>
      </c>
      <c r="J457">
        <v>0.32830187999999999</v>
      </c>
    </row>
    <row r="458" spans="1:10" x14ac:dyDescent="0.3">
      <c r="A458">
        <v>456</v>
      </c>
      <c r="B458">
        <v>7295</v>
      </c>
      <c r="C458" t="b">
        <v>1</v>
      </c>
      <c r="D458">
        <v>8065</v>
      </c>
      <c r="E458">
        <v>8123</v>
      </c>
      <c r="F458">
        <v>23.333334000000001</v>
      </c>
      <c r="G458">
        <v>11.6</v>
      </c>
      <c r="H458">
        <v>2.0114942</v>
      </c>
      <c r="I458">
        <v>-1.0114943000000001</v>
      </c>
      <c r="J458">
        <v>0.33206108000000001</v>
      </c>
    </row>
    <row r="459" spans="1:10" x14ac:dyDescent="0.3">
      <c r="A459">
        <v>457</v>
      </c>
      <c r="B459">
        <v>7311</v>
      </c>
      <c r="C459" t="b">
        <v>1</v>
      </c>
      <c r="D459">
        <v>8065</v>
      </c>
      <c r="E459">
        <v>8117</v>
      </c>
      <c r="F459">
        <v>23.333334000000001</v>
      </c>
      <c r="G459">
        <v>11.6</v>
      </c>
      <c r="H459">
        <v>2.0114942</v>
      </c>
      <c r="I459">
        <v>-1.0114943000000001</v>
      </c>
      <c r="J459">
        <v>0.33206108000000001</v>
      </c>
    </row>
    <row r="460" spans="1:10" x14ac:dyDescent="0.3">
      <c r="A460">
        <v>458</v>
      </c>
      <c r="B460">
        <v>7326</v>
      </c>
      <c r="C460" t="b">
        <v>1</v>
      </c>
      <c r="D460">
        <v>8060</v>
      </c>
      <c r="E460">
        <v>8123</v>
      </c>
      <c r="F460">
        <v>23.333334000000001</v>
      </c>
      <c r="G460">
        <v>11.6</v>
      </c>
      <c r="H460">
        <v>2.0114942</v>
      </c>
      <c r="I460">
        <v>-1.0114943000000001</v>
      </c>
      <c r="J460">
        <v>0.33206108000000001</v>
      </c>
    </row>
    <row r="461" spans="1:10" x14ac:dyDescent="0.3">
      <c r="A461">
        <v>459</v>
      </c>
      <c r="B461">
        <v>7342</v>
      </c>
      <c r="C461" t="b">
        <v>1</v>
      </c>
      <c r="D461">
        <v>8065</v>
      </c>
      <c r="E461">
        <v>8134</v>
      </c>
      <c r="F461">
        <v>23.333334000000001</v>
      </c>
      <c r="G461">
        <v>11.6</v>
      </c>
      <c r="H461">
        <v>2.0114942</v>
      </c>
      <c r="I461">
        <v>-1.0114943000000001</v>
      </c>
      <c r="J461">
        <v>0.33206108000000001</v>
      </c>
    </row>
    <row r="462" spans="1:10" x14ac:dyDescent="0.3">
      <c r="A462">
        <v>460</v>
      </c>
      <c r="B462">
        <v>7358</v>
      </c>
      <c r="C462" t="b">
        <v>1</v>
      </c>
      <c r="D462">
        <v>8071</v>
      </c>
      <c r="E462">
        <v>8117</v>
      </c>
      <c r="F462">
        <v>23.333334000000001</v>
      </c>
      <c r="G462">
        <v>11.2</v>
      </c>
      <c r="H462">
        <v>2.0833335000000002</v>
      </c>
      <c r="I462">
        <v>-1.0833333999999999</v>
      </c>
      <c r="J462">
        <v>0.32432430000000001</v>
      </c>
    </row>
    <row r="463" spans="1:10" x14ac:dyDescent="0.3">
      <c r="A463">
        <v>461</v>
      </c>
      <c r="B463">
        <v>7374</v>
      </c>
      <c r="C463" t="b">
        <v>1</v>
      </c>
      <c r="D463">
        <v>8065</v>
      </c>
      <c r="E463">
        <v>8123</v>
      </c>
      <c r="F463">
        <v>23.666665999999999</v>
      </c>
      <c r="G463">
        <v>10.8</v>
      </c>
      <c r="H463">
        <v>2.1913578999999999</v>
      </c>
      <c r="I463">
        <v>-1.1913579999999999</v>
      </c>
      <c r="J463">
        <v>0.31334624</v>
      </c>
    </row>
    <row r="464" spans="1:10" x14ac:dyDescent="0.3">
      <c r="A464">
        <v>462</v>
      </c>
      <c r="B464">
        <v>7390</v>
      </c>
      <c r="C464" t="b">
        <v>1</v>
      </c>
      <c r="D464">
        <v>8071</v>
      </c>
      <c r="E464">
        <v>8134</v>
      </c>
      <c r="F464">
        <v>24.4</v>
      </c>
      <c r="G464">
        <v>10.4</v>
      </c>
      <c r="H464">
        <v>2.3461539999999999</v>
      </c>
      <c r="I464">
        <v>-1.3461539</v>
      </c>
      <c r="J464">
        <v>0.29885056999999998</v>
      </c>
    </row>
    <row r="465" spans="1:10" x14ac:dyDescent="0.3">
      <c r="A465">
        <v>463</v>
      </c>
      <c r="B465">
        <v>7406</v>
      </c>
      <c r="C465" t="b">
        <v>1</v>
      </c>
      <c r="D465">
        <v>8065</v>
      </c>
      <c r="E465">
        <v>8129</v>
      </c>
      <c r="F465">
        <v>25.133333</v>
      </c>
      <c r="G465">
        <v>10.4</v>
      </c>
      <c r="H465">
        <v>2.4166666999999999</v>
      </c>
      <c r="I465">
        <v>-1.4166666999999999</v>
      </c>
      <c r="J465">
        <v>0.29268292000000001</v>
      </c>
    </row>
    <row r="466" spans="1:10" x14ac:dyDescent="0.3">
      <c r="A466">
        <v>464</v>
      </c>
      <c r="B466">
        <v>7421</v>
      </c>
      <c r="C466" t="b">
        <v>1</v>
      </c>
      <c r="D466">
        <v>8065</v>
      </c>
      <c r="E466">
        <v>8129</v>
      </c>
      <c r="F466">
        <v>25.466667000000001</v>
      </c>
      <c r="G466">
        <v>10.4</v>
      </c>
      <c r="H466">
        <v>2.448718</v>
      </c>
      <c r="I466">
        <v>-1.4487181</v>
      </c>
      <c r="J466">
        <v>0.28996280000000002</v>
      </c>
    </row>
    <row r="467" spans="1:10" x14ac:dyDescent="0.3">
      <c r="A467">
        <v>465</v>
      </c>
      <c r="B467">
        <v>7437</v>
      </c>
      <c r="C467" t="b">
        <v>1</v>
      </c>
      <c r="D467">
        <v>8071</v>
      </c>
      <c r="E467">
        <v>8123</v>
      </c>
      <c r="F467">
        <v>25.8</v>
      </c>
      <c r="G467">
        <v>10.4</v>
      </c>
      <c r="H467">
        <v>2.4807692000000001</v>
      </c>
      <c r="I467">
        <v>-1.4807693</v>
      </c>
      <c r="J467">
        <v>0.28729283999999999</v>
      </c>
    </row>
    <row r="468" spans="1:10" x14ac:dyDescent="0.3">
      <c r="A468">
        <v>466</v>
      </c>
      <c r="B468">
        <v>7453</v>
      </c>
      <c r="C468" t="b">
        <v>1</v>
      </c>
      <c r="D468">
        <v>8060</v>
      </c>
      <c r="E468">
        <v>8129</v>
      </c>
      <c r="F468">
        <v>25.8</v>
      </c>
      <c r="G468">
        <v>10.8</v>
      </c>
      <c r="H468">
        <v>2.3888888000000001</v>
      </c>
      <c r="I468">
        <v>-1.3888887000000001</v>
      </c>
      <c r="J468">
        <v>0.29508197000000003</v>
      </c>
    </row>
    <row r="469" spans="1:10" x14ac:dyDescent="0.3">
      <c r="A469">
        <v>467</v>
      </c>
      <c r="B469">
        <v>7469</v>
      </c>
      <c r="C469" t="b">
        <v>1</v>
      </c>
      <c r="D469">
        <v>8065</v>
      </c>
      <c r="E469">
        <v>8129</v>
      </c>
      <c r="F469">
        <v>25.8</v>
      </c>
      <c r="G469">
        <v>10.8</v>
      </c>
      <c r="H469">
        <v>2.3888888000000001</v>
      </c>
      <c r="I469">
        <v>-1.3888887000000001</v>
      </c>
      <c r="J469">
        <v>0.29508197000000003</v>
      </c>
    </row>
    <row r="470" spans="1:10" x14ac:dyDescent="0.3">
      <c r="A470">
        <v>468</v>
      </c>
      <c r="B470">
        <v>7485</v>
      </c>
      <c r="C470" t="b">
        <v>1</v>
      </c>
      <c r="D470">
        <v>8054</v>
      </c>
      <c r="E470">
        <v>8123</v>
      </c>
      <c r="F470">
        <v>25.8</v>
      </c>
      <c r="G470">
        <v>10.8</v>
      </c>
      <c r="H470">
        <v>2.3888888000000001</v>
      </c>
      <c r="I470">
        <v>-1.3888887000000001</v>
      </c>
      <c r="J470">
        <v>0.29508197000000003</v>
      </c>
    </row>
    <row r="471" spans="1:10" x14ac:dyDescent="0.3">
      <c r="A471">
        <v>469</v>
      </c>
      <c r="B471">
        <v>7501</v>
      </c>
      <c r="C471" t="b">
        <v>1</v>
      </c>
      <c r="D471">
        <v>8054</v>
      </c>
      <c r="E471">
        <v>8123</v>
      </c>
      <c r="F471">
        <v>25.066668</v>
      </c>
      <c r="G471">
        <v>10.4</v>
      </c>
      <c r="H471">
        <v>2.4102565999999999</v>
      </c>
      <c r="I471">
        <v>-1.4102566000000001</v>
      </c>
      <c r="J471">
        <v>0.29323306999999998</v>
      </c>
    </row>
    <row r="472" spans="1:10" x14ac:dyDescent="0.3">
      <c r="A472">
        <v>470</v>
      </c>
      <c r="B472">
        <v>7517</v>
      </c>
      <c r="C472" t="b">
        <v>1</v>
      </c>
      <c r="D472">
        <v>8060</v>
      </c>
      <c r="E472">
        <v>8123</v>
      </c>
      <c r="F472">
        <v>24.333334000000001</v>
      </c>
      <c r="G472">
        <v>10.4</v>
      </c>
      <c r="H472">
        <v>2.3397439000000002</v>
      </c>
      <c r="I472">
        <v>-1.3397437000000001</v>
      </c>
      <c r="J472">
        <v>0.29942416999999999</v>
      </c>
    </row>
    <row r="473" spans="1:10" x14ac:dyDescent="0.3">
      <c r="A473">
        <v>471</v>
      </c>
      <c r="B473">
        <v>7533</v>
      </c>
      <c r="C473" t="b">
        <v>1</v>
      </c>
      <c r="D473">
        <v>8054</v>
      </c>
      <c r="E473">
        <v>8123</v>
      </c>
      <c r="F473">
        <v>23.6</v>
      </c>
      <c r="G473">
        <v>10.4</v>
      </c>
      <c r="H473">
        <v>2.2692307999999999</v>
      </c>
      <c r="I473">
        <v>-1.2692308000000001</v>
      </c>
      <c r="J473">
        <v>0.30588232999999998</v>
      </c>
    </row>
    <row r="474" spans="1:10" x14ac:dyDescent="0.3">
      <c r="A474">
        <v>472</v>
      </c>
      <c r="B474">
        <v>7549</v>
      </c>
      <c r="C474" t="b">
        <v>1</v>
      </c>
      <c r="D474">
        <v>8065</v>
      </c>
      <c r="E474">
        <v>8123</v>
      </c>
      <c r="F474">
        <v>22.866667</v>
      </c>
      <c r="G474">
        <v>10.4</v>
      </c>
      <c r="H474">
        <v>2.198718</v>
      </c>
      <c r="I474">
        <v>-1.1987181</v>
      </c>
      <c r="J474">
        <v>0.31262522999999998</v>
      </c>
    </row>
    <row r="475" spans="1:10" x14ac:dyDescent="0.3">
      <c r="A475">
        <v>473</v>
      </c>
      <c r="B475">
        <v>7565</v>
      </c>
      <c r="C475" t="b">
        <v>1</v>
      </c>
      <c r="D475">
        <v>8065</v>
      </c>
      <c r="E475">
        <v>8111</v>
      </c>
      <c r="F475">
        <v>22.533332999999999</v>
      </c>
      <c r="G475">
        <v>10.4</v>
      </c>
      <c r="H475">
        <v>2.1666666999999999</v>
      </c>
      <c r="I475">
        <v>-1.1666666999999999</v>
      </c>
      <c r="J475">
        <v>0.31578946000000002</v>
      </c>
    </row>
    <row r="476" spans="1:10" x14ac:dyDescent="0.3">
      <c r="A476">
        <v>474</v>
      </c>
      <c r="B476">
        <v>7580</v>
      </c>
      <c r="C476" t="b">
        <v>1</v>
      </c>
      <c r="D476">
        <v>8060</v>
      </c>
      <c r="E476">
        <v>8123</v>
      </c>
      <c r="F476">
        <v>22.2</v>
      </c>
      <c r="G476">
        <v>10.4</v>
      </c>
      <c r="H476">
        <v>2.1346153999999999</v>
      </c>
      <c r="I476">
        <v>-1.1346155</v>
      </c>
      <c r="J476">
        <v>0.31901839999999998</v>
      </c>
    </row>
    <row r="477" spans="1:10" x14ac:dyDescent="0.3">
      <c r="A477">
        <v>475</v>
      </c>
      <c r="B477">
        <v>7597</v>
      </c>
      <c r="C477" t="b">
        <v>1</v>
      </c>
      <c r="D477">
        <v>8071</v>
      </c>
      <c r="E477">
        <v>8129</v>
      </c>
      <c r="F477">
        <v>22.2</v>
      </c>
      <c r="G477">
        <v>10.4</v>
      </c>
      <c r="H477">
        <v>2.1346153999999999</v>
      </c>
      <c r="I477">
        <v>-1.1346155</v>
      </c>
      <c r="J477">
        <v>0.31901839999999998</v>
      </c>
    </row>
    <row r="478" spans="1:10" x14ac:dyDescent="0.3">
      <c r="A478">
        <v>476</v>
      </c>
      <c r="B478">
        <v>7612</v>
      </c>
      <c r="C478" t="b">
        <v>1</v>
      </c>
      <c r="D478">
        <v>8065</v>
      </c>
      <c r="E478">
        <v>8123</v>
      </c>
      <c r="F478">
        <v>22.2</v>
      </c>
      <c r="G478">
        <v>10.4</v>
      </c>
      <c r="H478">
        <v>2.1346153999999999</v>
      </c>
      <c r="I478">
        <v>-1.1346155</v>
      </c>
      <c r="J478">
        <v>0.31901839999999998</v>
      </c>
    </row>
    <row r="479" spans="1:10" x14ac:dyDescent="0.3">
      <c r="A479">
        <v>477</v>
      </c>
      <c r="B479">
        <v>7628</v>
      </c>
      <c r="C479" t="b">
        <v>1</v>
      </c>
      <c r="D479">
        <v>8060</v>
      </c>
      <c r="E479">
        <v>8129</v>
      </c>
      <c r="F479">
        <v>22.2</v>
      </c>
      <c r="G479">
        <v>10.4</v>
      </c>
      <c r="H479">
        <v>2.1346153999999999</v>
      </c>
      <c r="I479">
        <v>-1.1346155</v>
      </c>
      <c r="J479">
        <v>0.31901839999999998</v>
      </c>
    </row>
    <row r="480" spans="1:10" x14ac:dyDescent="0.3">
      <c r="A480">
        <v>478</v>
      </c>
      <c r="B480">
        <v>7643</v>
      </c>
      <c r="C480" t="b">
        <v>1</v>
      </c>
      <c r="D480">
        <v>8060</v>
      </c>
      <c r="E480">
        <v>8134</v>
      </c>
      <c r="F480">
        <v>21.866667</v>
      </c>
      <c r="G480">
        <v>10.4</v>
      </c>
      <c r="H480">
        <v>2.1025640000000001</v>
      </c>
      <c r="I480">
        <v>-1.1025642</v>
      </c>
      <c r="J480">
        <v>0.32231405000000002</v>
      </c>
    </row>
    <row r="481" spans="1:10" x14ac:dyDescent="0.3">
      <c r="A481">
        <v>479</v>
      </c>
      <c r="B481">
        <v>7659</v>
      </c>
      <c r="C481" t="b">
        <v>1</v>
      </c>
      <c r="D481">
        <v>8060</v>
      </c>
      <c r="E481">
        <v>8129</v>
      </c>
      <c r="F481">
        <v>21.533332999999999</v>
      </c>
      <c r="G481">
        <v>10.4</v>
      </c>
      <c r="H481">
        <v>2.0705127999999999</v>
      </c>
      <c r="I481">
        <v>-1.0705129</v>
      </c>
      <c r="J481">
        <v>0.32567849999999998</v>
      </c>
    </row>
    <row r="482" spans="1:10" x14ac:dyDescent="0.3">
      <c r="A482">
        <v>480</v>
      </c>
      <c r="B482">
        <v>7675</v>
      </c>
      <c r="C482" t="b">
        <v>1</v>
      </c>
      <c r="D482">
        <v>8065</v>
      </c>
      <c r="E482">
        <v>8129</v>
      </c>
      <c r="F482">
        <v>21.2</v>
      </c>
      <c r="G482">
        <v>10.4</v>
      </c>
      <c r="H482">
        <v>2.0384617</v>
      </c>
      <c r="I482">
        <v>-1.0384617</v>
      </c>
      <c r="J482">
        <v>0.32911390000000001</v>
      </c>
    </row>
    <row r="483" spans="1:10" x14ac:dyDescent="0.3">
      <c r="A483">
        <v>481</v>
      </c>
      <c r="B483">
        <v>7691</v>
      </c>
      <c r="C483" t="b">
        <v>1</v>
      </c>
      <c r="D483">
        <v>8071</v>
      </c>
      <c r="E483">
        <v>8129</v>
      </c>
      <c r="F483">
        <v>20.866667</v>
      </c>
      <c r="G483">
        <v>10.4</v>
      </c>
      <c r="H483">
        <v>2.0064104</v>
      </c>
      <c r="I483">
        <v>-1.0064104</v>
      </c>
      <c r="J483">
        <v>0.33262259999999999</v>
      </c>
    </row>
    <row r="484" spans="1:10" x14ac:dyDescent="0.3">
      <c r="A484">
        <v>482</v>
      </c>
      <c r="B484">
        <v>7707</v>
      </c>
      <c r="C484" t="b">
        <v>1</v>
      </c>
      <c r="D484">
        <v>8065</v>
      </c>
      <c r="E484">
        <v>8129</v>
      </c>
      <c r="F484">
        <v>20.866667</v>
      </c>
      <c r="G484">
        <v>10.4</v>
      </c>
      <c r="H484">
        <v>2.0064104</v>
      </c>
      <c r="I484">
        <v>-1.0064104</v>
      </c>
      <c r="J484">
        <v>0.33262259999999999</v>
      </c>
    </row>
    <row r="485" spans="1:10" x14ac:dyDescent="0.3">
      <c r="A485">
        <v>483</v>
      </c>
      <c r="B485">
        <v>7722</v>
      </c>
      <c r="C485" t="b">
        <v>1</v>
      </c>
      <c r="D485">
        <v>8065</v>
      </c>
      <c r="E485">
        <v>8129</v>
      </c>
      <c r="F485">
        <v>20.866667</v>
      </c>
      <c r="G485">
        <v>10.4</v>
      </c>
      <c r="H485">
        <v>2.0064104</v>
      </c>
      <c r="I485">
        <v>-1.0064104</v>
      </c>
      <c r="J485">
        <v>0.33262259999999999</v>
      </c>
    </row>
    <row r="486" spans="1:10" x14ac:dyDescent="0.3">
      <c r="A486">
        <v>484</v>
      </c>
      <c r="B486">
        <v>7738</v>
      </c>
      <c r="C486" t="b">
        <v>1</v>
      </c>
      <c r="D486">
        <v>8071</v>
      </c>
      <c r="E486">
        <v>8123</v>
      </c>
      <c r="F486">
        <v>21.2</v>
      </c>
      <c r="G486">
        <v>10.8</v>
      </c>
      <c r="H486">
        <v>1.962963</v>
      </c>
      <c r="I486">
        <v>-0.96296300000000001</v>
      </c>
      <c r="J486">
        <v>0.33750000000000002</v>
      </c>
    </row>
    <row r="487" spans="1:10" x14ac:dyDescent="0.3">
      <c r="A487">
        <v>485</v>
      </c>
      <c r="B487">
        <v>7754</v>
      </c>
      <c r="C487" t="b">
        <v>1</v>
      </c>
      <c r="D487">
        <v>8065</v>
      </c>
      <c r="E487">
        <v>8129</v>
      </c>
      <c r="F487">
        <v>21.533332999999999</v>
      </c>
      <c r="G487">
        <v>11.2</v>
      </c>
      <c r="H487">
        <v>1.9226190000000001</v>
      </c>
      <c r="I487">
        <v>-0.92261903999999995</v>
      </c>
      <c r="J487">
        <v>0.34215885000000001</v>
      </c>
    </row>
    <row r="488" spans="1:10" x14ac:dyDescent="0.3">
      <c r="A488">
        <v>486</v>
      </c>
      <c r="B488">
        <v>7770</v>
      </c>
      <c r="C488" t="b">
        <v>1</v>
      </c>
      <c r="D488">
        <v>8060</v>
      </c>
      <c r="E488">
        <v>8123</v>
      </c>
      <c r="F488">
        <v>22.266666000000001</v>
      </c>
      <c r="G488">
        <v>11.6</v>
      </c>
      <c r="H488">
        <v>1.9195401999999999</v>
      </c>
      <c r="I488">
        <v>-0.91954016999999999</v>
      </c>
      <c r="J488">
        <v>0.34251967</v>
      </c>
    </row>
    <row r="489" spans="1:10" x14ac:dyDescent="0.3">
      <c r="A489">
        <v>487</v>
      </c>
      <c r="B489">
        <v>7786</v>
      </c>
      <c r="C489" t="b">
        <v>1</v>
      </c>
      <c r="D489">
        <v>8060</v>
      </c>
      <c r="E489">
        <v>8123</v>
      </c>
      <c r="F489">
        <v>23</v>
      </c>
      <c r="G489">
        <v>11.6</v>
      </c>
      <c r="H489">
        <v>1.9827585000000001</v>
      </c>
      <c r="I489">
        <v>-0.98275860000000004</v>
      </c>
      <c r="J489">
        <v>0.33526014999999998</v>
      </c>
    </row>
    <row r="490" spans="1:10" x14ac:dyDescent="0.3">
      <c r="A490">
        <v>488</v>
      </c>
      <c r="B490">
        <v>7802</v>
      </c>
      <c r="C490" t="b">
        <v>1</v>
      </c>
      <c r="D490">
        <v>8060</v>
      </c>
      <c r="E490">
        <v>8117</v>
      </c>
      <c r="F490">
        <v>23</v>
      </c>
      <c r="G490">
        <v>11.6</v>
      </c>
      <c r="H490">
        <v>1.9827585000000001</v>
      </c>
      <c r="I490">
        <v>-0.98275860000000004</v>
      </c>
      <c r="J490">
        <v>0.33526014999999998</v>
      </c>
    </row>
    <row r="491" spans="1:10" x14ac:dyDescent="0.3">
      <c r="A491">
        <v>489</v>
      </c>
      <c r="B491">
        <v>7818</v>
      </c>
      <c r="C491" t="b">
        <v>1</v>
      </c>
      <c r="D491">
        <v>8060</v>
      </c>
      <c r="E491">
        <v>8123</v>
      </c>
      <c r="F491">
        <v>23</v>
      </c>
      <c r="G491">
        <v>11.6</v>
      </c>
      <c r="H491">
        <v>1.9827585000000001</v>
      </c>
      <c r="I491">
        <v>-0.98275860000000004</v>
      </c>
      <c r="J491">
        <v>0.33526014999999998</v>
      </c>
    </row>
    <row r="492" spans="1:10" x14ac:dyDescent="0.3">
      <c r="A492">
        <v>490</v>
      </c>
      <c r="B492">
        <v>7834</v>
      </c>
      <c r="C492" t="b">
        <v>1</v>
      </c>
      <c r="D492">
        <v>8060</v>
      </c>
      <c r="E492">
        <v>8129</v>
      </c>
      <c r="F492">
        <v>22.666665999999999</v>
      </c>
      <c r="G492">
        <v>11.6</v>
      </c>
      <c r="H492">
        <v>1.9540229</v>
      </c>
      <c r="I492">
        <v>-0.95402290000000001</v>
      </c>
      <c r="J492">
        <v>0.33852142000000002</v>
      </c>
    </row>
    <row r="493" spans="1:10" x14ac:dyDescent="0.3">
      <c r="A493">
        <v>491</v>
      </c>
      <c r="B493">
        <v>7850</v>
      </c>
      <c r="C493" t="b">
        <v>1</v>
      </c>
      <c r="D493">
        <v>8060</v>
      </c>
      <c r="E493">
        <v>8123</v>
      </c>
      <c r="F493">
        <v>22.333334000000001</v>
      </c>
      <c r="G493">
        <v>11.6</v>
      </c>
      <c r="H493">
        <v>1.9252874</v>
      </c>
      <c r="I493">
        <v>-0.92528737000000005</v>
      </c>
      <c r="J493">
        <v>0.34184676000000003</v>
      </c>
    </row>
    <row r="494" spans="1:10" x14ac:dyDescent="0.3">
      <c r="A494">
        <v>492</v>
      </c>
      <c r="B494">
        <v>7866</v>
      </c>
      <c r="C494" t="b">
        <v>1</v>
      </c>
      <c r="D494">
        <v>8065</v>
      </c>
      <c r="E494">
        <v>8129</v>
      </c>
      <c r="F494">
        <v>22</v>
      </c>
      <c r="G494">
        <v>11.6</v>
      </c>
      <c r="H494">
        <v>1.8965516</v>
      </c>
      <c r="I494">
        <v>-0.89655167000000002</v>
      </c>
      <c r="J494">
        <v>0.34523811999999998</v>
      </c>
    </row>
    <row r="495" spans="1:10" x14ac:dyDescent="0.3">
      <c r="A495">
        <v>493</v>
      </c>
      <c r="B495">
        <v>7882</v>
      </c>
      <c r="C495" t="b">
        <v>1</v>
      </c>
      <c r="D495">
        <v>8065</v>
      </c>
      <c r="E495">
        <v>8117</v>
      </c>
      <c r="F495">
        <v>22</v>
      </c>
      <c r="G495">
        <v>11.2</v>
      </c>
      <c r="H495">
        <v>1.9642857</v>
      </c>
      <c r="I495">
        <v>-0.96428572999999995</v>
      </c>
      <c r="J495">
        <v>0.33734939000000003</v>
      </c>
    </row>
    <row r="496" spans="1:10" x14ac:dyDescent="0.3">
      <c r="A496">
        <v>494</v>
      </c>
      <c r="B496">
        <v>7898</v>
      </c>
      <c r="C496" t="b">
        <v>1</v>
      </c>
      <c r="D496">
        <v>8065</v>
      </c>
      <c r="E496">
        <v>8123</v>
      </c>
      <c r="F496">
        <v>22.333334000000001</v>
      </c>
      <c r="G496">
        <v>10.8</v>
      </c>
      <c r="H496">
        <v>2.0679013999999998</v>
      </c>
      <c r="I496">
        <v>-1.0679012999999999</v>
      </c>
      <c r="J496">
        <v>0.32595572</v>
      </c>
    </row>
    <row r="497" spans="1:10" x14ac:dyDescent="0.3">
      <c r="A497">
        <v>495</v>
      </c>
      <c r="B497">
        <v>7914</v>
      </c>
      <c r="C497" t="b">
        <v>1</v>
      </c>
      <c r="D497">
        <v>8071</v>
      </c>
      <c r="E497">
        <v>8129</v>
      </c>
      <c r="F497">
        <v>22.666665999999999</v>
      </c>
      <c r="G497">
        <v>10.4</v>
      </c>
      <c r="H497">
        <v>2.1794872000000001</v>
      </c>
      <c r="I497">
        <v>-1.1794872000000001</v>
      </c>
      <c r="J497">
        <v>0.31451613</v>
      </c>
    </row>
    <row r="498" spans="1:10" x14ac:dyDescent="0.3">
      <c r="A498">
        <v>496</v>
      </c>
      <c r="B498">
        <v>7929</v>
      </c>
      <c r="C498" t="b">
        <v>1</v>
      </c>
      <c r="D498">
        <v>8065</v>
      </c>
      <c r="E498">
        <v>8117</v>
      </c>
      <c r="F498">
        <v>23</v>
      </c>
      <c r="G498">
        <v>10</v>
      </c>
      <c r="H498">
        <v>2.2999999999999998</v>
      </c>
      <c r="I498">
        <v>-1.3</v>
      </c>
      <c r="J498">
        <v>0.30303029999999997</v>
      </c>
    </row>
    <row r="499" spans="1:10" x14ac:dyDescent="0.3">
      <c r="A499">
        <v>497</v>
      </c>
      <c r="B499">
        <v>7945</v>
      </c>
      <c r="C499" t="b">
        <v>1</v>
      </c>
      <c r="D499">
        <v>8071</v>
      </c>
      <c r="E499">
        <v>8123</v>
      </c>
      <c r="F499">
        <v>23</v>
      </c>
      <c r="G499">
        <v>9.6</v>
      </c>
      <c r="H499">
        <v>2.3958333000000001</v>
      </c>
      <c r="I499">
        <v>-1.3958333000000001</v>
      </c>
      <c r="J499">
        <v>0.29447857</v>
      </c>
    </row>
    <row r="500" spans="1:10" x14ac:dyDescent="0.3">
      <c r="A500">
        <v>498</v>
      </c>
      <c r="B500">
        <v>7961</v>
      </c>
      <c r="C500" t="b">
        <v>1</v>
      </c>
      <c r="D500">
        <v>8065</v>
      </c>
      <c r="E500">
        <v>8134</v>
      </c>
      <c r="F500">
        <v>23</v>
      </c>
      <c r="G500">
        <v>9.1999999999999993</v>
      </c>
      <c r="H500">
        <v>2.5</v>
      </c>
      <c r="I500">
        <v>-1.5</v>
      </c>
      <c r="J500">
        <v>0.28571426999999999</v>
      </c>
    </row>
    <row r="501" spans="1:10" x14ac:dyDescent="0.3">
      <c r="A501">
        <v>499</v>
      </c>
      <c r="B501">
        <v>7977</v>
      </c>
      <c r="C501" t="b">
        <v>1</v>
      </c>
      <c r="D501">
        <v>8065</v>
      </c>
      <c r="E501">
        <v>8123</v>
      </c>
      <c r="F501">
        <v>23</v>
      </c>
      <c r="G501">
        <v>8.8000000000000007</v>
      </c>
      <c r="H501">
        <v>2.6136363</v>
      </c>
      <c r="I501">
        <v>-1.6136363</v>
      </c>
      <c r="J501">
        <v>0.27672957999999998</v>
      </c>
    </row>
    <row r="502" spans="1:10" x14ac:dyDescent="0.3">
      <c r="A502">
        <v>500</v>
      </c>
      <c r="B502">
        <v>7993</v>
      </c>
      <c r="C502" t="b">
        <v>1</v>
      </c>
      <c r="D502">
        <v>8065</v>
      </c>
      <c r="E502">
        <v>8129</v>
      </c>
      <c r="F502">
        <v>23</v>
      </c>
      <c r="G502">
        <v>8.4</v>
      </c>
      <c r="H502">
        <v>2.7380952999999999</v>
      </c>
      <c r="I502">
        <v>-1.7380954</v>
      </c>
      <c r="J502">
        <v>0.26751593000000001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5360-A12A-4D96-AF3D-B99FEE303019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8071</v>
      </c>
      <c r="E2">
        <v>8123</v>
      </c>
      <c r="F2">
        <v>31</v>
      </c>
      <c r="G2">
        <v>8</v>
      </c>
      <c r="H2">
        <v>3.875</v>
      </c>
      <c r="I2">
        <v>-2.875</v>
      </c>
      <c r="J2">
        <v>0.20512821000000001</v>
      </c>
    </row>
    <row r="3" spans="1:10" x14ac:dyDescent="0.3">
      <c r="A3">
        <v>1</v>
      </c>
      <c r="B3">
        <v>21</v>
      </c>
      <c r="C3" t="b">
        <v>1</v>
      </c>
      <c r="D3">
        <v>8060</v>
      </c>
      <c r="E3">
        <v>8129</v>
      </c>
      <c r="F3">
        <v>31</v>
      </c>
      <c r="G3">
        <v>11</v>
      </c>
      <c r="H3">
        <v>2.8181818000000001</v>
      </c>
      <c r="I3">
        <v>-1.8181818999999999</v>
      </c>
      <c r="J3">
        <v>0.26190478</v>
      </c>
    </row>
    <row r="4" spans="1:10" x14ac:dyDescent="0.3">
      <c r="A4">
        <v>2</v>
      </c>
      <c r="B4">
        <v>36</v>
      </c>
      <c r="C4" t="b">
        <v>1</v>
      </c>
      <c r="D4">
        <v>8065</v>
      </c>
      <c r="E4">
        <v>8123</v>
      </c>
      <c r="F4">
        <v>29</v>
      </c>
      <c r="G4">
        <v>10</v>
      </c>
      <c r="H4">
        <v>2.9</v>
      </c>
      <c r="I4">
        <v>-1.9</v>
      </c>
      <c r="J4">
        <v>0.25641027</v>
      </c>
    </row>
    <row r="5" spans="1:10" x14ac:dyDescent="0.3">
      <c r="A5">
        <v>3</v>
      </c>
      <c r="B5">
        <v>52</v>
      </c>
      <c r="C5" t="b">
        <v>1</v>
      </c>
      <c r="D5">
        <v>8065</v>
      </c>
      <c r="E5">
        <v>8123</v>
      </c>
      <c r="F5">
        <v>28</v>
      </c>
      <c r="G5">
        <v>9.5</v>
      </c>
      <c r="H5">
        <v>2.9473684000000002</v>
      </c>
      <c r="I5">
        <v>-1.9473684</v>
      </c>
      <c r="J5">
        <v>0.25333333000000002</v>
      </c>
    </row>
    <row r="6" spans="1:10" x14ac:dyDescent="0.3">
      <c r="A6">
        <v>4</v>
      </c>
      <c r="B6">
        <v>68</v>
      </c>
      <c r="C6" t="b">
        <v>1</v>
      </c>
      <c r="D6">
        <v>8060</v>
      </c>
      <c r="E6">
        <v>8129</v>
      </c>
      <c r="F6">
        <v>27.4</v>
      </c>
      <c r="G6">
        <v>9.1999999999999993</v>
      </c>
      <c r="H6">
        <v>2.9782609999999998</v>
      </c>
      <c r="I6">
        <v>-1.978261</v>
      </c>
      <c r="J6">
        <v>0.25136614000000002</v>
      </c>
    </row>
    <row r="7" spans="1:10" x14ac:dyDescent="0.3">
      <c r="A7">
        <v>5</v>
      </c>
      <c r="B7">
        <v>84</v>
      </c>
      <c r="C7" t="b">
        <v>1</v>
      </c>
      <c r="D7">
        <v>8060</v>
      </c>
      <c r="E7">
        <v>8129</v>
      </c>
      <c r="F7">
        <v>26.166665999999999</v>
      </c>
      <c r="G7">
        <v>10</v>
      </c>
      <c r="H7">
        <v>2.6166665999999998</v>
      </c>
      <c r="I7">
        <v>-1.6166666000000001</v>
      </c>
      <c r="J7">
        <v>0.27649772</v>
      </c>
    </row>
    <row r="8" spans="1:10" x14ac:dyDescent="0.3">
      <c r="A8">
        <v>6</v>
      </c>
      <c r="B8">
        <v>100</v>
      </c>
      <c r="C8" t="b">
        <v>1</v>
      </c>
      <c r="D8">
        <v>8060</v>
      </c>
      <c r="E8">
        <v>8134</v>
      </c>
      <c r="F8">
        <v>25.285715</v>
      </c>
      <c r="G8">
        <v>10.571427999999999</v>
      </c>
      <c r="H8">
        <v>2.3918919999999999</v>
      </c>
      <c r="I8">
        <v>-1.3918921</v>
      </c>
      <c r="J8">
        <v>0.29482069999999999</v>
      </c>
    </row>
    <row r="9" spans="1:10" x14ac:dyDescent="0.3">
      <c r="A9">
        <v>7</v>
      </c>
      <c r="B9">
        <v>116</v>
      </c>
      <c r="C9" t="b">
        <v>1</v>
      </c>
      <c r="D9">
        <v>8071</v>
      </c>
      <c r="E9">
        <v>8140</v>
      </c>
      <c r="F9">
        <v>24.625</v>
      </c>
      <c r="G9">
        <v>11</v>
      </c>
      <c r="H9">
        <v>2.2386363</v>
      </c>
      <c r="I9">
        <v>-1.2386364000000001</v>
      </c>
      <c r="J9">
        <v>0.30877194000000002</v>
      </c>
    </row>
    <row r="10" spans="1:10" x14ac:dyDescent="0.3">
      <c r="A10">
        <v>8</v>
      </c>
      <c r="B10">
        <v>132</v>
      </c>
      <c r="C10" t="b">
        <v>1</v>
      </c>
      <c r="D10">
        <v>8060</v>
      </c>
      <c r="E10">
        <v>8129</v>
      </c>
      <c r="F10">
        <v>24.11111</v>
      </c>
      <c r="G10">
        <v>11.333333</v>
      </c>
      <c r="H10">
        <v>2.1274510000000002</v>
      </c>
      <c r="I10">
        <v>-1.1274511</v>
      </c>
      <c r="J10">
        <v>0.31974923999999999</v>
      </c>
    </row>
    <row r="11" spans="1:10" x14ac:dyDescent="0.3">
      <c r="A11">
        <v>9</v>
      </c>
      <c r="B11">
        <v>147</v>
      </c>
      <c r="C11" t="b">
        <v>1</v>
      </c>
      <c r="D11">
        <v>8065</v>
      </c>
      <c r="E11">
        <v>8129</v>
      </c>
      <c r="F11">
        <v>23.7</v>
      </c>
      <c r="G11">
        <v>11.6</v>
      </c>
      <c r="H11">
        <v>2.0431035</v>
      </c>
      <c r="I11">
        <v>-1.0431035</v>
      </c>
      <c r="J11">
        <v>0.32861188000000002</v>
      </c>
    </row>
    <row r="12" spans="1:10" x14ac:dyDescent="0.3">
      <c r="A12">
        <v>10</v>
      </c>
      <c r="B12">
        <v>164</v>
      </c>
      <c r="C12" t="b">
        <v>1</v>
      </c>
      <c r="D12">
        <v>8065</v>
      </c>
      <c r="E12">
        <v>8140</v>
      </c>
      <c r="F12">
        <v>23.818182</v>
      </c>
      <c r="G12">
        <v>12.272727</v>
      </c>
      <c r="H12">
        <v>1.9407407999999999</v>
      </c>
      <c r="I12">
        <v>-0.94074080000000004</v>
      </c>
      <c r="J12">
        <v>0.34005036999999999</v>
      </c>
    </row>
    <row r="13" spans="1:10" x14ac:dyDescent="0.3">
      <c r="A13">
        <v>11</v>
      </c>
      <c r="B13">
        <v>179</v>
      </c>
      <c r="C13" t="b">
        <v>1</v>
      </c>
      <c r="D13">
        <v>8071</v>
      </c>
      <c r="E13">
        <v>8134</v>
      </c>
      <c r="F13">
        <v>23.916665999999999</v>
      </c>
      <c r="G13">
        <v>12.833333</v>
      </c>
      <c r="H13">
        <v>1.8636364000000001</v>
      </c>
      <c r="I13">
        <v>-0.86363639999999997</v>
      </c>
      <c r="J13">
        <v>0.34920633000000001</v>
      </c>
    </row>
    <row r="14" spans="1:10" x14ac:dyDescent="0.3">
      <c r="A14">
        <v>12</v>
      </c>
      <c r="B14">
        <v>195</v>
      </c>
      <c r="C14" t="b">
        <v>1</v>
      </c>
      <c r="D14">
        <v>8054</v>
      </c>
      <c r="E14">
        <v>8134</v>
      </c>
      <c r="F14">
        <v>24</v>
      </c>
      <c r="G14">
        <v>13.307693</v>
      </c>
      <c r="H14">
        <v>1.8034682</v>
      </c>
      <c r="I14">
        <v>-0.80346817000000004</v>
      </c>
      <c r="J14">
        <v>0.35670101999999998</v>
      </c>
    </row>
    <row r="15" spans="1:10" x14ac:dyDescent="0.3">
      <c r="A15">
        <v>13</v>
      </c>
      <c r="B15">
        <v>211</v>
      </c>
      <c r="C15" t="b">
        <v>1</v>
      </c>
      <c r="D15">
        <v>8060</v>
      </c>
      <c r="E15">
        <v>8134</v>
      </c>
      <c r="F15">
        <v>24.071428000000001</v>
      </c>
      <c r="G15">
        <v>13.714286</v>
      </c>
      <c r="H15">
        <v>1.7552083000000001</v>
      </c>
      <c r="I15">
        <v>-0.75520830000000005</v>
      </c>
      <c r="J15">
        <v>0.36294897999999998</v>
      </c>
    </row>
    <row r="16" spans="1:10" x14ac:dyDescent="0.3">
      <c r="A16">
        <v>14</v>
      </c>
      <c r="B16">
        <v>227</v>
      </c>
      <c r="C16" t="b">
        <v>1</v>
      </c>
      <c r="D16">
        <v>8060</v>
      </c>
      <c r="E16">
        <v>8134</v>
      </c>
      <c r="F16">
        <v>23.8</v>
      </c>
      <c r="G16">
        <v>14.066667000000001</v>
      </c>
      <c r="H16">
        <v>1.691943</v>
      </c>
      <c r="I16">
        <v>-0.69194310000000003</v>
      </c>
      <c r="J16">
        <v>0.3714789</v>
      </c>
    </row>
    <row r="17" spans="1:10" x14ac:dyDescent="0.3">
      <c r="A17">
        <v>15</v>
      </c>
      <c r="B17">
        <v>244</v>
      </c>
      <c r="C17" t="b">
        <v>1</v>
      </c>
      <c r="D17">
        <v>8060</v>
      </c>
      <c r="E17">
        <v>8134</v>
      </c>
      <c r="F17">
        <v>23.066668</v>
      </c>
      <c r="G17">
        <v>14.8</v>
      </c>
      <c r="H17">
        <v>1.5585586</v>
      </c>
      <c r="I17">
        <v>-0.55855860000000002</v>
      </c>
      <c r="J17">
        <v>0.39084506000000002</v>
      </c>
    </row>
    <row r="18" spans="1:10" x14ac:dyDescent="0.3">
      <c r="A18">
        <v>16</v>
      </c>
      <c r="B18">
        <v>259</v>
      </c>
      <c r="C18" t="b">
        <v>1</v>
      </c>
      <c r="D18">
        <v>8060</v>
      </c>
      <c r="E18">
        <v>8134</v>
      </c>
      <c r="F18">
        <v>22.333334000000001</v>
      </c>
      <c r="G18">
        <v>15.133333</v>
      </c>
      <c r="H18">
        <v>1.4757709999999999</v>
      </c>
      <c r="I18">
        <v>-0.47577098000000001</v>
      </c>
      <c r="J18">
        <v>0.40391456999999997</v>
      </c>
    </row>
    <row r="19" spans="1:10" x14ac:dyDescent="0.3">
      <c r="A19">
        <v>17</v>
      </c>
      <c r="B19">
        <v>275</v>
      </c>
      <c r="C19" t="b">
        <v>1</v>
      </c>
      <c r="D19">
        <v>8065</v>
      </c>
      <c r="E19">
        <v>8134</v>
      </c>
      <c r="F19">
        <v>22</v>
      </c>
      <c r="G19">
        <v>15.866667</v>
      </c>
      <c r="H19">
        <v>1.3865546</v>
      </c>
      <c r="I19">
        <v>-0.38655460000000003</v>
      </c>
      <c r="J19">
        <v>0.41901407000000002</v>
      </c>
    </row>
    <row r="20" spans="1:10" x14ac:dyDescent="0.3">
      <c r="A20">
        <v>18</v>
      </c>
      <c r="B20">
        <v>291</v>
      </c>
      <c r="C20" t="b">
        <v>1</v>
      </c>
      <c r="D20">
        <v>8060</v>
      </c>
      <c r="E20">
        <v>8140</v>
      </c>
      <c r="F20">
        <v>21.666665999999999</v>
      </c>
      <c r="G20">
        <v>16.600000000000001</v>
      </c>
      <c r="H20">
        <v>1.3052208000000001</v>
      </c>
      <c r="I20">
        <v>-0.30522080000000001</v>
      </c>
      <c r="J20">
        <v>0.43379793</v>
      </c>
    </row>
    <row r="21" spans="1:10" x14ac:dyDescent="0.3">
      <c r="A21">
        <v>19</v>
      </c>
      <c r="B21">
        <v>306</v>
      </c>
      <c r="C21" t="b">
        <v>1</v>
      </c>
      <c r="D21">
        <v>8060</v>
      </c>
      <c r="E21">
        <v>8140</v>
      </c>
      <c r="F21">
        <v>21.333334000000001</v>
      </c>
      <c r="G21">
        <v>17.333334000000001</v>
      </c>
      <c r="H21">
        <v>1.2307693</v>
      </c>
      <c r="I21">
        <v>-0.23076922</v>
      </c>
      <c r="J21">
        <v>0.44827586000000003</v>
      </c>
    </row>
    <row r="22" spans="1:10" x14ac:dyDescent="0.3">
      <c r="A22">
        <v>20</v>
      </c>
      <c r="B22">
        <v>322</v>
      </c>
      <c r="C22" t="b">
        <v>1</v>
      </c>
      <c r="D22">
        <v>8060</v>
      </c>
      <c r="E22">
        <v>8134</v>
      </c>
      <c r="F22">
        <v>21.333334000000001</v>
      </c>
      <c r="G22">
        <v>17.666665999999999</v>
      </c>
      <c r="H22">
        <v>1.2075473000000001</v>
      </c>
      <c r="I22">
        <v>-0.20754724999999999</v>
      </c>
      <c r="J22">
        <v>0.45299142999999997</v>
      </c>
    </row>
    <row r="23" spans="1:10" x14ac:dyDescent="0.3">
      <c r="A23">
        <v>21</v>
      </c>
      <c r="B23">
        <v>338</v>
      </c>
      <c r="C23" t="b">
        <v>1</v>
      </c>
      <c r="D23">
        <v>8060</v>
      </c>
      <c r="E23">
        <v>8134</v>
      </c>
      <c r="F23">
        <v>21.333334000000001</v>
      </c>
      <c r="G23">
        <v>18</v>
      </c>
      <c r="H23">
        <v>1.1851852</v>
      </c>
      <c r="I23">
        <v>-0.18518522000000001</v>
      </c>
      <c r="J23">
        <v>0.45762710000000001</v>
      </c>
    </row>
    <row r="24" spans="1:10" x14ac:dyDescent="0.3">
      <c r="A24">
        <v>22</v>
      </c>
      <c r="B24">
        <v>354</v>
      </c>
      <c r="C24" t="b">
        <v>1</v>
      </c>
      <c r="D24">
        <v>8065</v>
      </c>
      <c r="E24">
        <v>8134</v>
      </c>
      <c r="F24">
        <v>21.333334000000001</v>
      </c>
      <c r="G24">
        <v>18.333334000000001</v>
      </c>
      <c r="H24">
        <v>1.1636363000000001</v>
      </c>
      <c r="I24">
        <v>-0.16363636000000001</v>
      </c>
      <c r="J24">
        <v>0.46218488000000002</v>
      </c>
    </row>
    <row r="25" spans="1:10" x14ac:dyDescent="0.3">
      <c r="A25">
        <v>23</v>
      </c>
      <c r="B25">
        <v>370</v>
      </c>
      <c r="C25" t="b">
        <v>1</v>
      </c>
      <c r="D25">
        <v>8065</v>
      </c>
      <c r="E25">
        <v>8134</v>
      </c>
      <c r="F25">
        <v>21.333334000000001</v>
      </c>
      <c r="G25">
        <v>18.666665999999999</v>
      </c>
      <c r="H25">
        <v>1.1428571999999999</v>
      </c>
      <c r="I25">
        <v>-0.14285721000000001</v>
      </c>
      <c r="J25">
        <v>0.46666664000000002</v>
      </c>
    </row>
    <row r="26" spans="1:10" x14ac:dyDescent="0.3">
      <c r="A26">
        <v>24</v>
      </c>
      <c r="B26">
        <v>386</v>
      </c>
      <c r="C26" t="b">
        <v>1</v>
      </c>
      <c r="D26">
        <v>8065</v>
      </c>
      <c r="E26">
        <v>8140</v>
      </c>
      <c r="F26">
        <v>21.666665999999999</v>
      </c>
      <c r="G26">
        <v>19</v>
      </c>
      <c r="H26">
        <v>1.1403508</v>
      </c>
      <c r="I26">
        <v>-0.14035085</v>
      </c>
      <c r="J26">
        <v>0.46721315000000002</v>
      </c>
    </row>
    <row r="27" spans="1:10" x14ac:dyDescent="0.3">
      <c r="A27">
        <v>25</v>
      </c>
      <c r="B27">
        <v>402</v>
      </c>
      <c r="C27" t="b">
        <v>1</v>
      </c>
      <c r="D27">
        <v>8065</v>
      </c>
      <c r="E27">
        <v>8134</v>
      </c>
      <c r="F27">
        <v>21.666665999999999</v>
      </c>
      <c r="G27">
        <v>19</v>
      </c>
      <c r="H27">
        <v>1.1403508</v>
      </c>
      <c r="I27">
        <v>-0.14035085</v>
      </c>
      <c r="J27">
        <v>0.46721315000000002</v>
      </c>
    </row>
    <row r="28" spans="1:10" x14ac:dyDescent="0.3">
      <c r="A28">
        <v>26</v>
      </c>
      <c r="B28">
        <v>418</v>
      </c>
      <c r="C28" t="b">
        <v>1</v>
      </c>
      <c r="D28">
        <v>8060</v>
      </c>
      <c r="E28">
        <v>8140</v>
      </c>
      <c r="F28">
        <v>21.666665999999999</v>
      </c>
      <c r="G28">
        <v>19</v>
      </c>
      <c r="H28">
        <v>1.1403508</v>
      </c>
      <c r="I28">
        <v>-0.14035085</v>
      </c>
      <c r="J28">
        <v>0.46721315000000002</v>
      </c>
    </row>
    <row r="29" spans="1:10" x14ac:dyDescent="0.3">
      <c r="A29">
        <v>27</v>
      </c>
      <c r="B29">
        <v>433</v>
      </c>
      <c r="C29" t="b">
        <v>1</v>
      </c>
      <c r="D29">
        <v>8060</v>
      </c>
      <c r="E29">
        <v>8134</v>
      </c>
      <c r="F29">
        <v>21.666665999999999</v>
      </c>
      <c r="G29">
        <v>19</v>
      </c>
      <c r="H29">
        <v>1.1403508</v>
      </c>
      <c r="I29">
        <v>-0.14035085</v>
      </c>
      <c r="J29">
        <v>0.46721315000000002</v>
      </c>
    </row>
    <row r="30" spans="1:10" x14ac:dyDescent="0.3">
      <c r="A30">
        <v>28</v>
      </c>
      <c r="B30">
        <v>449</v>
      </c>
      <c r="C30" t="b">
        <v>1</v>
      </c>
      <c r="D30">
        <v>8060</v>
      </c>
      <c r="E30">
        <v>8129</v>
      </c>
      <c r="F30">
        <v>21.333334000000001</v>
      </c>
      <c r="G30">
        <v>19</v>
      </c>
      <c r="H30">
        <v>1.1228070000000001</v>
      </c>
      <c r="I30">
        <v>-0.12280705</v>
      </c>
      <c r="J30">
        <v>0.47107433999999998</v>
      </c>
    </row>
    <row r="31" spans="1:10" x14ac:dyDescent="0.3">
      <c r="A31">
        <v>29</v>
      </c>
      <c r="B31">
        <v>465</v>
      </c>
      <c r="C31" t="b">
        <v>1</v>
      </c>
      <c r="D31">
        <v>8060</v>
      </c>
      <c r="E31">
        <v>8129</v>
      </c>
      <c r="F31">
        <v>21.333334000000001</v>
      </c>
      <c r="G31">
        <v>19</v>
      </c>
      <c r="H31">
        <v>1.1228070000000001</v>
      </c>
      <c r="I31">
        <v>-0.12280705</v>
      </c>
      <c r="J31">
        <v>0.47107433999999998</v>
      </c>
    </row>
    <row r="32" spans="1:10" x14ac:dyDescent="0.3">
      <c r="A32">
        <v>30</v>
      </c>
      <c r="B32">
        <v>481</v>
      </c>
      <c r="C32" t="b">
        <v>1</v>
      </c>
      <c r="D32">
        <v>8065</v>
      </c>
      <c r="E32">
        <v>8134</v>
      </c>
      <c r="F32">
        <v>21.333334000000001</v>
      </c>
      <c r="G32">
        <v>19</v>
      </c>
      <c r="H32">
        <v>1.1228070000000001</v>
      </c>
      <c r="I32">
        <v>-0.12280705</v>
      </c>
      <c r="J32">
        <v>0.47107433999999998</v>
      </c>
    </row>
    <row r="33" spans="1:10" x14ac:dyDescent="0.3">
      <c r="A33">
        <v>31</v>
      </c>
      <c r="B33">
        <v>497</v>
      </c>
      <c r="C33" t="b">
        <v>1</v>
      </c>
      <c r="D33">
        <v>8060</v>
      </c>
      <c r="E33">
        <v>8129</v>
      </c>
      <c r="F33">
        <v>21.333334000000001</v>
      </c>
      <c r="G33">
        <v>18.666665999999999</v>
      </c>
      <c r="H33">
        <v>1.1428571999999999</v>
      </c>
      <c r="I33">
        <v>-0.14285721000000001</v>
      </c>
      <c r="J33">
        <v>0.46666664000000002</v>
      </c>
    </row>
    <row r="34" spans="1:10" x14ac:dyDescent="0.3">
      <c r="A34">
        <v>32</v>
      </c>
      <c r="B34">
        <v>513</v>
      </c>
      <c r="C34" t="b">
        <v>1</v>
      </c>
      <c r="D34">
        <v>8060</v>
      </c>
      <c r="E34">
        <v>8129</v>
      </c>
      <c r="F34">
        <v>21.333334000000001</v>
      </c>
      <c r="G34">
        <v>18.333334000000001</v>
      </c>
      <c r="H34">
        <v>1.1636363000000001</v>
      </c>
      <c r="I34">
        <v>-0.16363636000000001</v>
      </c>
      <c r="J34">
        <v>0.46218488000000002</v>
      </c>
    </row>
    <row r="35" spans="1:10" x14ac:dyDescent="0.3">
      <c r="A35">
        <v>33</v>
      </c>
      <c r="B35">
        <v>528</v>
      </c>
      <c r="C35" t="b">
        <v>1</v>
      </c>
      <c r="D35">
        <v>8065</v>
      </c>
      <c r="E35">
        <v>8129</v>
      </c>
      <c r="F35">
        <v>21.333334000000001</v>
      </c>
      <c r="G35">
        <v>18</v>
      </c>
      <c r="H35">
        <v>1.1851852</v>
      </c>
      <c r="I35">
        <v>-0.18518522000000001</v>
      </c>
      <c r="J35">
        <v>0.45762710000000001</v>
      </c>
    </row>
    <row r="36" spans="1:10" x14ac:dyDescent="0.3">
      <c r="A36">
        <v>34</v>
      </c>
      <c r="B36">
        <v>545</v>
      </c>
      <c r="C36" t="b">
        <v>1</v>
      </c>
      <c r="D36">
        <v>8065</v>
      </c>
      <c r="E36">
        <v>8134</v>
      </c>
      <c r="F36">
        <v>21.666665999999999</v>
      </c>
      <c r="G36">
        <v>17.666665999999999</v>
      </c>
      <c r="H36">
        <v>1.2264151999999999</v>
      </c>
      <c r="I36">
        <v>-0.22641510000000001</v>
      </c>
      <c r="J36">
        <v>0.44915252999999999</v>
      </c>
    </row>
    <row r="37" spans="1:10" x14ac:dyDescent="0.3">
      <c r="A37">
        <v>35</v>
      </c>
      <c r="B37">
        <v>560</v>
      </c>
      <c r="C37" t="b">
        <v>1</v>
      </c>
      <c r="D37">
        <v>8060</v>
      </c>
      <c r="E37">
        <v>8129</v>
      </c>
      <c r="F37">
        <v>21.666665999999999</v>
      </c>
      <c r="G37">
        <v>17.333334000000001</v>
      </c>
      <c r="H37">
        <v>1.2499998999999999</v>
      </c>
      <c r="I37">
        <v>-0.24999990999999999</v>
      </c>
      <c r="J37">
        <v>0.44444444999999999</v>
      </c>
    </row>
    <row r="38" spans="1:10" x14ac:dyDescent="0.3">
      <c r="A38">
        <v>36</v>
      </c>
      <c r="B38">
        <v>576</v>
      </c>
      <c r="C38" t="b">
        <v>1</v>
      </c>
      <c r="D38">
        <v>8054</v>
      </c>
      <c r="E38">
        <v>8129</v>
      </c>
      <c r="F38">
        <v>21.666665999999999</v>
      </c>
      <c r="G38">
        <v>17</v>
      </c>
      <c r="H38">
        <v>1.2745097999999999</v>
      </c>
      <c r="I38">
        <v>-0.27450975999999999</v>
      </c>
      <c r="J38">
        <v>0.43965520000000002</v>
      </c>
    </row>
    <row r="39" spans="1:10" x14ac:dyDescent="0.3">
      <c r="A39">
        <v>37</v>
      </c>
      <c r="B39">
        <v>592</v>
      </c>
      <c r="C39" t="b">
        <v>1</v>
      </c>
      <c r="D39">
        <v>8054</v>
      </c>
      <c r="E39">
        <v>8129</v>
      </c>
      <c r="F39">
        <v>21.666665999999999</v>
      </c>
      <c r="G39">
        <v>16.666665999999999</v>
      </c>
      <c r="H39">
        <v>1.3</v>
      </c>
      <c r="I39">
        <v>-0.3</v>
      </c>
      <c r="J39">
        <v>0.43478260000000002</v>
      </c>
    </row>
    <row r="40" spans="1:10" x14ac:dyDescent="0.3">
      <c r="A40">
        <v>38</v>
      </c>
      <c r="B40">
        <v>608</v>
      </c>
      <c r="C40" t="b">
        <v>1</v>
      </c>
      <c r="D40">
        <v>8054</v>
      </c>
      <c r="E40">
        <v>8123</v>
      </c>
      <c r="F40">
        <v>21.266666000000001</v>
      </c>
      <c r="G40">
        <v>16.333334000000001</v>
      </c>
      <c r="H40">
        <v>1.3020407000000001</v>
      </c>
      <c r="I40">
        <v>-0.30204076000000002</v>
      </c>
      <c r="J40">
        <v>0.43439719999999998</v>
      </c>
    </row>
    <row r="41" spans="1:10" x14ac:dyDescent="0.3">
      <c r="A41">
        <v>39</v>
      </c>
      <c r="B41">
        <v>624</v>
      </c>
      <c r="C41" t="b">
        <v>1</v>
      </c>
      <c r="D41">
        <v>8054</v>
      </c>
      <c r="E41">
        <v>8134</v>
      </c>
      <c r="F41">
        <v>20.533332999999999</v>
      </c>
      <c r="G41">
        <v>16</v>
      </c>
      <c r="H41">
        <v>1.2833333</v>
      </c>
      <c r="I41">
        <v>-0.28333330000000001</v>
      </c>
      <c r="J41">
        <v>0.43795620000000002</v>
      </c>
    </row>
    <row r="42" spans="1:10" x14ac:dyDescent="0.3">
      <c r="A42">
        <v>40</v>
      </c>
      <c r="B42">
        <v>640</v>
      </c>
      <c r="C42" t="b">
        <v>1</v>
      </c>
      <c r="D42">
        <v>8054</v>
      </c>
      <c r="E42">
        <v>8129</v>
      </c>
      <c r="F42">
        <v>19.8</v>
      </c>
      <c r="G42">
        <v>15.666667</v>
      </c>
      <c r="H42">
        <v>1.2638297000000001</v>
      </c>
      <c r="I42">
        <v>-0.2638297</v>
      </c>
      <c r="J42">
        <v>0.44172934000000003</v>
      </c>
    </row>
    <row r="43" spans="1:10" x14ac:dyDescent="0.3">
      <c r="A43">
        <v>41</v>
      </c>
      <c r="B43">
        <v>656</v>
      </c>
      <c r="C43" t="b">
        <v>1</v>
      </c>
      <c r="D43">
        <v>8048</v>
      </c>
      <c r="E43">
        <v>8123</v>
      </c>
      <c r="F43">
        <v>19.066668</v>
      </c>
      <c r="G43">
        <v>15.333333</v>
      </c>
      <c r="H43">
        <v>1.2434783</v>
      </c>
      <c r="I43">
        <v>-0.24347833999999999</v>
      </c>
      <c r="J43">
        <v>0.44573639999999998</v>
      </c>
    </row>
    <row r="44" spans="1:10" x14ac:dyDescent="0.3">
      <c r="A44">
        <v>42</v>
      </c>
      <c r="B44">
        <v>672</v>
      </c>
      <c r="C44" t="b">
        <v>1</v>
      </c>
      <c r="D44">
        <v>8060</v>
      </c>
      <c r="E44">
        <v>8129</v>
      </c>
      <c r="F44">
        <v>18.333334000000001</v>
      </c>
      <c r="G44">
        <v>15</v>
      </c>
      <c r="H44">
        <v>1.2222222</v>
      </c>
      <c r="I44">
        <v>-0.22222227</v>
      </c>
      <c r="J44">
        <v>0.44999995999999998</v>
      </c>
    </row>
    <row r="45" spans="1:10" x14ac:dyDescent="0.3">
      <c r="A45">
        <v>43</v>
      </c>
      <c r="B45">
        <v>687</v>
      </c>
      <c r="C45" t="b">
        <v>1</v>
      </c>
      <c r="D45">
        <v>8065</v>
      </c>
      <c r="E45">
        <v>8134</v>
      </c>
      <c r="F45">
        <v>17.933332</v>
      </c>
      <c r="G45">
        <v>14.666667</v>
      </c>
      <c r="H45">
        <v>1.2227272</v>
      </c>
      <c r="I45">
        <v>-0.22272718</v>
      </c>
      <c r="J45">
        <v>0.44989780000000001</v>
      </c>
    </row>
    <row r="46" spans="1:10" x14ac:dyDescent="0.3">
      <c r="A46">
        <v>44</v>
      </c>
      <c r="B46">
        <v>703</v>
      </c>
      <c r="C46" t="b">
        <v>1</v>
      </c>
      <c r="D46">
        <v>8065</v>
      </c>
      <c r="E46">
        <v>8134</v>
      </c>
      <c r="F46">
        <v>17.933332</v>
      </c>
      <c r="G46">
        <v>14.333333</v>
      </c>
      <c r="H46">
        <v>1.2511627999999999</v>
      </c>
      <c r="I46">
        <v>-0.25116276999999998</v>
      </c>
      <c r="J46">
        <v>0.44421487999999998</v>
      </c>
    </row>
    <row r="47" spans="1:10" x14ac:dyDescent="0.3">
      <c r="A47">
        <v>45</v>
      </c>
      <c r="B47">
        <v>719</v>
      </c>
      <c r="C47" t="b">
        <v>1</v>
      </c>
      <c r="D47">
        <v>8060</v>
      </c>
      <c r="E47">
        <v>8134</v>
      </c>
      <c r="F47">
        <v>17.933332</v>
      </c>
      <c r="G47">
        <v>14.333333</v>
      </c>
      <c r="H47">
        <v>1.2511627999999999</v>
      </c>
      <c r="I47">
        <v>-0.25116276999999998</v>
      </c>
      <c r="J47">
        <v>0.44421487999999998</v>
      </c>
    </row>
    <row r="48" spans="1:10" x14ac:dyDescent="0.3">
      <c r="A48">
        <v>46</v>
      </c>
      <c r="B48">
        <v>735</v>
      </c>
      <c r="C48" t="b">
        <v>1</v>
      </c>
      <c r="D48">
        <v>8065</v>
      </c>
      <c r="E48">
        <v>8129</v>
      </c>
      <c r="F48">
        <v>18.266666000000001</v>
      </c>
      <c r="G48">
        <v>14.666667</v>
      </c>
      <c r="H48">
        <v>1.2454544999999999</v>
      </c>
      <c r="I48">
        <v>-0.24545449999999999</v>
      </c>
      <c r="J48">
        <v>0.44534412000000001</v>
      </c>
    </row>
    <row r="49" spans="1:10" x14ac:dyDescent="0.3">
      <c r="A49">
        <v>47</v>
      </c>
      <c r="B49">
        <v>751</v>
      </c>
      <c r="C49" t="b">
        <v>1</v>
      </c>
      <c r="D49">
        <v>8065</v>
      </c>
      <c r="E49">
        <v>8134</v>
      </c>
      <c r="F49">
        <v>18.600000000000001</v>
      </c>
      <c r="G49">
        <v>15</v>
      </c>
      <c r="H49">
        <v>1.24</v>
      </c>
      <c r="I49">
        <v>-0.24000002000000001</v>
      </c>
      <c r="J49">
        <v>0.44642860000000001</v>
      </c>
    </row>
    <row r="50" spans="1:10" x14ac:dyDescent="0.3">
      <c r="A50">
        <v>48</v>
      </c>
      <c r="B50">
        <v>767</v>
      </c>
      <c r="C50" t="b">
        <v>1</v>
      </c>
      <c r="D50">
        <v>8065</v>
      </c>
      <c r="E50">
        <v>8134</v>
      </c>
      <c r="F50">
        <v>18.933332</v>
      </c>
      <c r="G50">
        <v>15.333333</v>
      </c>
      <c r="H50">
        <v>1.2347826</v>
      </c>
      <c r="I50">
        <v>-0.23478257999999999</v>
      </c>
      <c r="J50">
        <v>0.4474708</v>
      </c>
    </row>
    <row r="51" spans="1:10" x14ac:dyDescent="0.3">
      <c r="A51">
        <v>49</v>
      </c>
      <c r="B51">
        <v>782</v>
      </c>
      <c r="C51" t="b">
        <v>1</v>
      </c>
      <c r="D51">
        <v>8065</v>
      </c>
      <c r="E51">
        <v>8134</v>
      </c>
      <c r="F51">
        <v>18.933332</v>
      </c>
      <c r="G51">
        <v>15.666667</v>
      </c>
      <c r="H51">
        <v>1.2085105</v>
      </c>
      <c r="I51">
        <v>-0.20851056000000001</v>
      </c>
      <c r="J51">
        <v>0.45279386999999999</v>
      </c>
    </row>
    <row r="52" spans="1:10" x14ac:dyDescent="0.3">
      <c r="A52">
        <v>50</v>
      </c>
      <c r="B52">
        <v>798</v>
      </c>
      <c r="C52" t="b">
        <v>1</v>
      </c>
      <c r="D52">
        <v>8060</v>
      </c>
      <c r="E52">
        <v>8134</v>
      </c>
      <c r="F52">
        <v>19.266666000000001</v>
      </c>
      <c r="G52">
        <v>16</v>
      </c>
      <c r="H52">
        <v>1.2041667</v>
      </c>
      <c r="I52">
        <v>-0.20416665000000001</v>
      </c>
      <c r="J52">
        <v>0.45368619999999998</v>
      </c>
    </row>
    <row r="53" spans="1:10" x14ac:dyDescent="0.3">
      <c r="A53">
        <v>51</v>
      </c>
      <c r="B53">
        <v>814</v>
      </c>
      <c r="C53" t="b">
        <v>1</v>
      </c>
      <c r="D53">
        <v>8060</v>
      </c>
      <c r="E53">
        <v>8134</v>
      </c>
      <c r="F53">
        <v>19.600000000000001</v>
      </c>
      <c r="G53">
        <v>16.333334000000001</v>
      </c>
      <c r="H53">
        <v>1.1999998999999999</v>
      </c>
      <c r="I53">
        <v>-0.19999997</v>
      </c>
      <c r="J53">
        <v>0.45454547000000001</v>
      </c>
    </row>
    <row r="54" spans="1:10" x14ac:dyDescent="0.3">
      <c r="A54">
        <v>52</v>
      </c>
      <c r="B54">
        <v>830</v>
      </c>
      <c r="C54" t="b">
        <v>1</v>
      </c>
      <c r="D54">
        <v>8065</v>
      </c>
      <c r="E54">
        <v>8134</v>
      </c>
      <c r="F54">
        <v>19.933332</v>
      </c>
      <c r="G54">
        <v>16.666665999999999</v>
      </c>
      <c r="H54">
        <v>1.196</v>
      </c>
      <c r="I54">
        <v>-0.19600000000000001</v>
      </c>
      <c r="J54">
        <v>0.45537339999999998</v>
      </c>
    </row>
    <row r="55" spans="1:10" x14ac:dyDescent="0.3">
      <c r="A55">
        <v>53</v>
      </c>
      <c r="B55">
        <v>846</v>
      </c>
      <c r="C55" t="b">
        <v>1</v>
      </c>
      <c r="D55">
        <v>8065</v>
      </c>
      <c r="E55">
        <v>8129</v>
      </c>
      <c r="F55">
        <v>20.666665999999999</v>
      </c>
      <c r="G55">
        <v>17</v>
      </c>
      <c r="H55">
        <v>1.2156861999999999</v>
      </c>
      <c r="I55">
        <v>-0.21568623000000001</v>
      </c>
      <c r="J55">
        <v>0.45132747000000001</v>
      </c>
    </row>
    <row r="56" spans="1:10" x14ac:dyDescent="0.3">
      <c r="A56">
        <v>54</v>
      </c>
      <c r="B56">
        <v>862</v>
      </c>
      <c r="C56" t="b">
        <v>1</v>
      </c>
      <c r="D56">
        <v>8065</v>
      </c>
      <c r="E56">
        <v>8140</v>
      </c>
      <c r="F56">
        <v>21.4</v>
      </c>
      <c r="G56">
        <v>17.333334000000001</v>
      </c>
      <c r="H56">
        <v>1.2346153</v>
      </c>
      <c r="I56">
        <v>-0.23461530999999999</v>
      </c>
      <c r="J56">
        <v>0.44750430000000002</v>
      </c>
    </row>
    <row r="57" spans="1:10" x14ac:dyDescent="0.3">
      <c r="A57">
        <v>55</v>
      </c>
      <c r="B57">
        <v>878</v>
      </c>
      <c r="C57" t="b">
        <v>1</v>
      </c>
      <c r="D57">
        <v>8065</v>
      </c>
      <c r="E57">
        <v>8134</v>
      </c>
      <c r="F57">
        <v>22.133333</v>
      </c>
      <c r="G57">
        <v>17.666665999999999</v>
      </c>
      <c r="H57">
        <v>1.2528303000000001</v>
      </c>
      <c r="I57">
        <v>-0.25283023999999998</v>
      </c>
      <c r="J57">
        <v>0.44388610000000001</v>
      </c>
    </row>
    <row r="58" spans="1:10" x14ac:dyDescent="0.3">
      <c r="A58">
        <v>56</v>
      </c>
      <c r="B58">
        <v>894</v>
      </c>
      <c r="C58" t="b">
        <v>1</v>
      </c>
      <c r="D58">
        <v>8060</v>
      </c>
      <c r="E58">
        <v>8140</v>
      </c>
      <c r="F58">
        <v>22.866667</v>
      </c>
      <c r="G58">
        <v>18</v>
      </c>
      <c r="H58">
        <v>1.2703704</v>
      </c>
      <c r="I58">
        <v>-0.27037035999999998</v>
      </c>
      <c r="J58">
        <v>0.44045675000000001</v>
      </c>
    </row>
    <row r="59" spans="1:10" x14ac:dyDescent="0.3">
      <c r="A59">
        <v>57</v>
      </c>
      <c r="B59">
        <v>910</v>
      </c>
      <c r="C59" t="b">
        <v>1</v>
      </c>
      <c r="D59">
        <v>8071</v>
      </c>
      <c r="E59">
        <v>8134</v>
      </c>
      <c r="F59">
        <v>23.6</v>
      </c>
      <c r="G59">
        <v>18.333334000000001</v>
      </c>
      <c r="H59">
        <v>1.2872726999999999</v>
      </c>
      <c r="I59">
        <v>-0.28727269999999999</v>
      </c>
      <c r="J59">
        <v>0.43720192000000002</v>
      </c>
    </row>
    <row r="60" spans="1:10" x14ac:dyDescent="0.3">
      <c r="A60">
        <v>58</v>
      </c>
      <c r="B60">
        <v>926</v>
      </c>
      <c r="C60" t="b">
        <v>1</v>
      </c>
      <c r="D60">
        <v>8071</v>
      </c>
      <c r="E60">
        <v>8134</v>
      </c>
      <c r="F60">
        <v>24.333334000000001</v>
      </c>
      <c r="G60">
        <v>18.666665999999999</v>
      </c>
      <c r="H60">
        <v>1.3035715000000001</v>
      </c>
      <c r="I60">
        <v>-0.30357149999999999</v>
      </c>
      <c r="J60">
        <v>0.43410852999999999</v>
      </c>
    </row>
    <row r="61" spans="1:10" x14ac:dyDescent="0.3">
      <c r="A61">
        <v>59</v>
      </c>
      <c r="B61">
        <v>942</v>
      </c>
      <c r="C61" t="b">
        <v>1</v>
      </c>
      <c r="D61">
        <v>8065</v>
      </c>
      <c r="E61">
        <v>8129</v>
      </c>
      <c r="F61">
        <v>24.666665999999999</v>
      </c>
      <c r="G61">
        <v>19</v>
      </c>
      <c r="H61">
        <v>1.2982454999999999</v>
      </c>
      <c r="I61">
        <v>-0.29824558000000001</v>
      </c>
      <c r="J61">
        <v>0.43511453</v>
      </c>
    </row>
    <row r="62" spans="1:10" x14ac:dyDescent="0.3">
      <c r="A62">
        <v>60</v>
      </c>
      <c r="B62">
        <v>957</v>
      </c>
      <c r="C62" t="b">
        <v>1</v>
      </c>
      <c r="D62">
        <v>8065</v>
      </c>
      <c r="E62">
        <v>8129</v>
      </c>
      <c r="F62">
        <v>25</v>
      </c>
      <c r="G62">
        <v>19</v>
      </c>
      <c r="H62">
        <v>1.3157894999999999</v>
      </c>
      <c r="I62">
        <v>-0.31578946000000002</v>
      </c>
      <c r="J62">
        <v>0.43181819999999999</v>
      </c>
    </row>
    <row r="63" spans="1:10" x14ac:dyDescent="0.3">
      <c r="A63">
        <v>61</v>
      </c>
      <c r="B63">
        <v>973</v>
      </c>
      <c r="C63" t="b">
        <v>1</v>
      </c>
      <c r="D63">
        <v>8060</v>
      </c>
      <c r="E63">
        <v>8134</v>
      </c>
      <c r="F63">
        <v>25</v>
      </c>
      <c r="G63">
        <v>19</v>
      </c>
      <c r="H63">
        <v>1.3157894999999999</v>
      </c>
      <c r="I63">
        <v>-0.31578946000000002</v>
      </c>
      <c r="J63">
        <v>0.43181819999999999</v>
      </c>
    </row>
    <row r="64" spans="1:10" x14ac:dyDescent="0.3">
      <c r="A64">
        <v>62</v>
      </c>
      <c r="B64">
        <v>989</v>
      </c>
      <c r="C64" t="b">
        <v>1</v>
      </c>
      <c r="D64">
        <v>8060</v>
      </c>
      <c r="E64">
        <v>8134</v>
      </c>
      <c r="F64">
        <v>25</v>
      </c>
      <c r="G64">
        <v>19</v>
      </c>
      <c r="H64">
        <v>1.3157894999999999</v>
      </c>
      <c r="I64">
        <v>-0.31578946000000002</v>
      </c>
      <c r="J64">
        <v>0.43181819999999999</v>
      </c>
    </row>
    <row r="65" spans="1:10" x14ac:dyDescent="0.3">
      <c r="A65">
        <v>63</v>
      </c>
      <c r="B65">
        <v>1005</v>
      </c>
      <c r="C65" t="b">
        <v>1</v>
      </c>
      <c r="D65">
        <v>8065</v>
      </c>
      <c r="E65">
        <v>8134</v>
      </c>
      <c r="F65">
        <v>25</v>
      </c>
      <c r="G65">
        <v>19</v>
      </c>
      <c r="H65">
        <v>1.3157894999999999</v>
      </c>
      <c r="I65">
        <v>-0.31578946000000002</v>
      </c>
      <c r="J65">
        <v>0.43181819999999999</v>
      </c>
    </row>
    <row r="66" spans="1:10" x14ac:dyDescent="0.3">
      <c r="A66">
        <v>64</v>
      </c>
      <c r="B66">
        <v>1021</v>
      </c>
      <c r="C66" t="b">
        <v>1</v>
      </c>
      <c r="D66">
        <v>8060</v>
      </c>
      <c r="E66">
        <v>8134</v>
      </c>
      <c r="F66">
        <v>24.666665999999999</v>
      </c>
      <c r="G66">
        <v>19</v>
      </c>
      <c r="H66">
        <v>1.2982454999999999</v>
      </c>
      <c r="I66">
        <v>-0.29824558000000001</v>
      </c>
      <c r="J66">
        <v>0.43511453</v>
      </c>
    </row>
    <row r="67" spans="1:10" x14ac:dyDescent="0.3">
      <c r="A67">
        <v>65</v>
      </c>
      <c r="B67">
        <v>1037</v>
      </c>
      <c r="C67" t="b">
        <v>1</v>
      </c>
      <c r="D67">
        <v>8060</v>
      </c>
      <c r="E67">
        <v>8134</v>
      </c>
      <c r="F67">
        <v>24.333334000000001</v>
      </c>
      <c r="G67">
        <v>19</v>
      </c>
      <c r="H67">
        <v>1.2807017999999999</v>
      </c>
      <c r="I67">
        <v>-0.2807018</v>
      </c>
      <c r="J67">
        <v>0.4384615</v>
      </c>
    </row>
    <row r="68" spans="1:10" x14ac:dyDescent="0.3">
      <c r="A68">
        <v>66</v>
      </c>
      <c r="B68">
        <v>1052</v>
      </c>
      <c r="C68" t="b">
        <v>1</v>
      </c>
      <c r="D68">
        <v>8065</v>
      </c>
      <c r="E68">
        <v>8134</v>
      </c>
      <c r="F68">
        <v>24</v>
      </c>
      <c r="G68">
        <v>19</v>
      </c>
      <c r="H68">
        <v>1.2631578000000001</v>
      </c>
      <c r="I68">
        <v>-0.2631579</v>
      </c>
      <c r="J68">
        <v>0.44186047000000001</v>
      </c>
    </row>
    <row r="69" spans="1:10" x14ac:dyDescent="0.3">
      <c r="A69">
        <v>67</v>
      </c>
      <c r="B69">
        <v>1068</v>
      </c>
      <c r="C69" t="b">
        <v>1</v>
      </c>
      <c r="D69">
        <v>8065</v>
      </c>
      <c r="E69">
        <v>8129</v>
      </c>
      <c r="F69">
        <v>24</v>
      </c>
      <c r="G69">
        <v>19</v>
      </c>
      <c r="H69">
        <v>1.2631578000000001</v>
      </c>
      <c r="I69">
        <v>-0.2631579</v>
      </c>
      <c r="J69">
        <v>0.44186047000000001</v>
      </c>
    </row>
    <row r="70" spans="1:10" x14ac:dyDescent="0.3">
      <c r="A70">
        <v>68</v>
      </c>
      <c r="B70">
        <v>1085</v>
      </c>
      <c r="C70" t="b">
        <v>1</v>
      </c>
      <c r="D70">
        <v>8065</v>
      </c>
      <c r="E70">
        <v>8129</v>
      </c>
      <c r="F70">
        <v>24</v>
      </c>
      <c r="G70">
        <v>19</v>
      </c>
      <c r="H70">
        <v>1.2631578000000001</v>
      </c>
      <c r="I70">
        <v>-0.2631579</v>
      </c>
      <c r="J70">
        <v>0.44186047000000001</v>
      </c>
    </row>
    <row r="71" spans="1:10" x14ac:dyDescent="0.3">
      <c r="A71">
        <v>69</v>
      </c>
      <c r="B71">
        <v>1100</v>
      </c>
      <c r="C71" t="b">
        <v>1</v>
      </c>
      <c r="D71">
        <v>8060</v>
      </c>
      <c r="E71">
        <v>8134</v>
      </c>
      <c r="F71">
        <v>24</v>
      </c>
      <c r="G71">
        <v>19</v>
      </c>
      <c r="H71">
        <v>1.2631578000000001</v>
      </c>
      <c r="I71">
        <v>-0.2631579</v>
      </c>
      <c r="J71">
        <v>0.44186047000000001</v>
      </c>
    </row>
    <row r="72" spans="1:10" x14ac:dyDescent="0.3">
      <c r="A72">
        <v>70</v>
      </c>
      <c r="B72">
        <v>1116</v>
      </c>
      <c r="C72" t="b">
        <v>1</v>
      </c>
      <c r="D72">
        <v>8060</v>
      </c>
      <c r="E72">
        <v>8129</v>
      </c>
      <c r="F72">
        <v>24</v>
      </c>
      <c r="G72">
        <v>18.666665999999999</v>
      </c>
      <c r="H72">
        <v>1.2857144</v>
      </c>
      <c r="I72">
        <v>-0.28571433000000002</v>
      </c>
      <c r="J72">
        <v>0.4375</v>
      </c>
    </row>
    <row r="73" spans="1:10" x14ac:dyDescent="0.3">
      <c r="A73">
        <v>71</v>
      </c>
      <c r="B73">
        <v>1132</v>
      </c>
      <c r="C73" t="b">
        <v>1</v>
      </c>
      <c r="D73">
        <v>8060</v>
      </c>
      <c r="E73">
        <v>8129</v>
      </c>
      <c r="F73">
        <v>23.666665999999999</v>
      </c>
      <c r="G73">
        <v>18.333334000000001</v>
      </c>
      <c r="H73">
        <v>1.2909090000000001</v>
      </c>
      <c r="I73">
        <v>-0.29090902000000002</v>
      </c>
      <c r="J73">
        <v>0.43650793999999998</v>
      </c>
    </row>
    <row r="74" spans="1:10" x14ac:dyDescent="0.3">
      <c r="A74">
        <v>72</v>
      </c>
      <c r="B74">
        <v>1148</v>
      </c>
      <c r="C74" t="b">
        <v>1</v>
      </c>
      <c r="D74">
        <v>8054</v>
      </c>
      <c r="E74">
        <v>8129</v>
      </c>
      <c r="F74">
        <v>23.333334000000001</v>
      </c>
      <c r="G74">
        <v>18</v>
      </c>
      <c r="H74">
        <v>1.2962963999999999</v>
      </c>
      <c r="I74">
        <v>-0.29629633</v>
      </c>
      <c r="J74">
        <v>0.43548384000000001</v>
      </c>
    </row>
    <row r="75" spans="1:10" x14ac:dyDescent="0.3">
      <c r="A75">
        <v>73</v>
      </c>
      <c r="B75">
        <v>1164</v>
      </c>
      <c r="C75" t="b">
        <v>1</v>
      </c>
      <c r="D75">
        <v>8071</v>
      </c>
      <c r="E75">
        <v>8123</v>
      </c>
      <c r="F75">
        <v>23</v>
      </c>
      <c r="G75">
        <v>17.666665999999999</v>
      </c>
      <c r="H75">
        <v>1.3018867999999999</v>
      </c>
      <c r="I75">
        <v>-0.30188682999999999</v>
      </c>
      <c r="J75">
        <v>0.43442625000000001</v>
      </c>
    </row>
    <row r="76" spans="1:10" x14ac:dyDescent="0.3">
      <c r="A76">
        <v>74</v>
      </c>
      <c r="B76">
        <v>1179</v>
      </c>
      <c r="C76" t="b">
        <v>1</v>
      </c>
      <c r="D76">
        <v>8065</v>
      </c>
      <c r="E76">
        <v>8123</v>
      </c>
      <c r="F76">
        <v>22.666665999999999</v>
      </c>
      <c r="G76">
        <v>17.333334000000001</v>
      </c>
      <c r="H76">
        <v>1.3076922</v>
      </c>
      <c r="I76">
        <v>-0.30769223000000001</v>
      </c>
      <c r="J76">
        <v>0.43333334000000001</v>
      </c>
    </row>
    <row r="77" spans="1:10" x14ac:dyDescent="0.3">
      <c r="A77">
        <v>75</v>
      </c>
      <c r="B77">
        <v>1195</v>
      </c>
      <c r="C77" t="b">
        <v>1</v>
      </c>
      <c r="D77">
        <v>8065</v>
      </c>
      <c r="E77">
        <v>8123</v>
      </c>
      <c r="F77">
        <v>22.666665999999999</v>
      </c>
      <c r="G77">
        <v>16.600000000000001</v>
      </c>
      <c r="H77">
        <v>1.3654618000000001</v>
      </c>
      <c r="I77">
        <v>-0.36546177000000002</v>
      </c>
      <c r="J77">
        <v>0.42275044000000001</v>
      </c>
    </row>
    <row r="78" spans="1:10" x14ac:dyDescent="0.3">
      <c r="A78">
        <v>76</v>
      </c>
      <c r="B78">
        <v>1211</v>
      </c>
      <c r="C78" t="b">
        <v>1</v>
      </c>
      <c r="D78">
        <v>8060</v>
      </c>
      <c r="E78">
        <v>8134</v>
      </c>
      <c r="F78">
        <v>22.666665999999999</v>
      </c>
      <c r="G78">
        <v>15.866667</v>
      </c>
      <c r="H78">
        <v>1.4285713</v>
      </c>
      <c r="I78">
        <v>-0.42857137000000001</v>
      </c>
      <c r="J78">
        <v>0.41176469999999998</v>
      </c>
    </row>
    <row r="79" spans="1:10" x14ac:dyDescent="0.3">
      <c r="A79">
        <v>77</v>
      </c>
      <c r="B79">
        <v>1227</v>
      </c>
      <c r="C79" t="b">
        <v>1</v>
      </c>
      <c r="D79">
        <v>8054</v>
      </c>
      <c r="E79">
        <v>8123</v>
      </c>
      <c r="F79">
        <v>22.666665999999999</v>
      </c>
      <c r="G79">
        <v>15.133333</v>
      </c>
      <c r="H79">
        <v>1.4977974000000001</v>
      </c>
      <c r="I79">
        <v>-0.49779733999999998</v>
      </c>
      <c r="J79">
        <v>0.40035274999999998</v>
      </c>
    </row>
    <row r="80" spans="1:10" x14ac:dyDescent="0.3">
      <c r="A80">
        <v>78</v>
      </c>
      <c r="B80">
        <v>1243</v>
      </c>
      <c r="C80" t="b">
        <v>1</v>
      </c>
      <c r="D80">
        <v>8060</v>
      </c>
      <c r="E80">
        <v>8123</v>
      </c>
      <c r="F80">
        <v>22.333334000000001</v>
      </c>
      <c r="G80">
        <v>14.4</v>
      </c>
      <c r="H80">
        <v>1.550926</v>
      </c>
      <c r="I80">
        <v>-0.55092600000000003</v>
      </c>
      <c r="J80">
        <v>0.39201449999999999</v>
      </c>
    </row>
    <row r="81" spans="1:10" x14ac:dyDescent="0.3">
      <c r="A81">
        <v>79</v>
      </c>
      <c r="B81">
        <v>1259</v>
      </c>
      <c r="C81" t="b">
        <v>1</v>
      </c>
      <c r="D81">
        <v>8060</v>
      </c>
      <c r="E81">
        <v>8129</v>
      </c>
      <c r="F81">
        <v>22.333334000000001</v>
      </c>
      <c r="G81">
        <v>13.666667</v>
      </c>
      <c r="H81">
        <v>1.6341463000000001</v>
      </c>
      <c r="I81">
        <v>-0.63414632999999998</v>
      </c>
      <c r="J81">
        <v>0.37962963999999999</v>
      </c>
    </row>
    <row r="82" spans="1:10" x14ac:dyDescent="0.3">
      <c r="A82">
        <v>80</v>
      </c>
      <c r="B82">
        <v>1275</v>
      </c>
      <c r="C82" t="b">
        <v>1</v>
      </c>
      <c r="D82">
        <v>8060</v>
      </c>
      <c r="E82">
        <v>8134</v>
      </c>
      <c r="F82">
        <v>22.333334000000001</v>
      </c>
      <c r="G82">
        <v>13.333333</v>
      </c>
      <c r="H82">
        <v>1.6750001000000001</v>
      </c>
      <c r="I82">
        <v>-0.67500009999999999</v>
      </c>
      <c r="J82">
        <v>0.37383175000000002</v>
      </c>
    </row>
    <row r="83" spans="1:10" x14ac:dyDescent="0.3">
      <c r="A83">
        <v>81</v>
      </c>
      <c r="B83">
        <v>1291</v>
      </c>
      <c r="C83" t="b">
        <v>1</v>
      </c>
      <c r="D83">
        <v>8065</v>
      </c>
      <c r="E83">
        <v>8134</v>
      </c>
      <c r="F83">
        <v>22.333334000000001</v>
      </c>
      <c r="G83">
        <v>13</v>
      </c>
      <c r="H83">
        <v>1.7179488000000001</v>
      </c>
      <c r="I83">
        <v>-0.71794880000000005</v>
      </c>
      <c r="J83">
        <v>0.36792449999999999</v>
      </c>
    </row>
    <row r="84" spans="1:10" x14ac:dyDescent="0.3">
      <c r="A84">
        <v>82</v>
      </c>
      <c r="B84">
        <v>1307</v>
      </c>
      <c r="C84" t="b">
        <v>1</v>
      </c>
      <c r="D84">
        <v>8060</v>
      </c>
      <c r="E84">
        <v>8129</v>
      </c>
      <c r="F84">
        <v>22</v>
      </c>
      <c r="G84">
        <v>12.666667</v>
      </c>
      <c r="H84">
        <v>1.736842</v>
      </c>
      <c r="I84">
        <v>-0.73684203999999998</v>
      </c>
      <c r="J84">
        <v>0.3653846</v>
      </c>
    </row>
    <row r="85" spans="1:10" x14ac:dyDescent="0.3">
      <c r="A85">
        <v>83</v>
      </c>
      <c r="B85">
        <v>1322</v>
      </c>
      <c r="C85" t="b">
        <v>1</v>
      </c>
      <c r="D85">
        <v>8060</v>
      </c>
      <c r="E85">
        <v>8129</v>
      </c>
      <c r="F85">
        <v>21.666665999999999</v>
      </c>
      <c r="G85">
        <v>12.333333</v>
      </c>
      <c r="H85">
        <v>1.7567568</v>
      </c>
      <c r="I85">
        <v>-0.75675669999999995</v>
      </c>
      <c r="J85">
        <v>0.36274508</v>
      </c>
    </row>
    <row r="86" spans="1:10" x14ac:dyDescent="0.3">
      <c r="A86">
        <v>84</v>
      </c>
      <c r="B86">
        <v>1338</v>
      </c>
      <c r="C86" t="b">
        <v>1</v>
      </c>
      <c r="D86">
        <v>8065</v>
      </c>
      <c r="E86">
        <v>8129</v>
      </c>
      <c r="F86">
        <v>21.333334000000001</v>
      </c>
      <c r="G86">
        <v>12</v>
      </c>
      <c r="H86">
        <v>1.7777778</v>
      </c>
      <c r="I86">
        <v>-0.77777784999999999</v>
      </c>
      <c r="J86">
        <v>0.35999998</v>
      </c>
    </row>
    <row r="87" spans="1:10" x14ac:dyDescent="0.3">
      <c r="A87">
        <v>85</v>
      </c>
      <c r="B87">
        <v>1354</v>
      </c>
      <c r="C87" t="b">
        <v>1</v>
      </c>
      <c r="D87">
        <v>8060</v>
      </c>
      <c r="E87">
        <v>8129</v>
      </c>
      <c r="F87">
        <v>21</v>
      </c>
      <c r="G87">
        <v>12</v>
      </c>
      <c r="H87">
        <v>1.75</v>
      </c>
      <c r="I87">
        <v>-0.75</v>
      </c>
      <c r="J87">
        <v>0.36363636999999999</v>
      </c>
    </row>
    <row r="88" spans="1:10" x14ac:dyDescent="0.3">
      <c r="A88">
        <v>86</v>
      </c>
      <c r="B88">
        <v>1370</v>
      </c>
      <c r="C88" t="b">
        <v>1</v>
      </c>
      <c r="D88">
        <v>8065</v>
      </c>
      <c r="E88">
        <v>8129</v>
      </c>
      <c r="F88">
        <v>21</v>
      </c>
      <c r="G88">
        <v>12</v>
      </c>
      <c r="H88">
        <v>1.75</v>
      </c>
      <c r="I88">
        <v>-0.75</v>
      </c>
      <c r="J88">
        <v>0.36363636999999999</v>
      </c>
    </row>
    <row r="89" spans="1:10" x14ac:dyDescent="0.3">
      <c r="A89">
        <v>87</v>
      </c>
      <c r="B89">
        <v>1386</v>
      </c>
      <c r="C89" t="b">
        <v>1</v>
      </c>
      <c r="D89">
        <v>8065</v>
      </c>
      <c r="E89">
        <v>8129</v>
      </c>
      <c r="F89">
        <v>21.333334000000001</v>
      </c>
      <c r="G89">
        <v>12</v>
      </c>
      <c r="H89">
        <v>1.7777778</v>
      </c>
      <c r="I89">
        <v>-0.77777784999999999</v>
      </c>
      <c r="J89">
        <v>0.35999998</v>
      </c>
    </row>
    <row r="90" spans="1:10" x14ac:dyDescent="0.3">
      <c r="A90">
        <v>88</v>
      </c>
      <c r="B90">
        <v>1402</v>
      </c>
      <c r="C90" t="b">
        <v>1</v>
      </c>
      <c r="D90">
        <v>8065</v>
      </c>
      <c r="E90">
        <v>8134</v>
      </c>
      <c r="F90">
        <v>21.666665999999999</v>
      </c>
      <c r="G90">
        <v>12</v>
      </c>
      <c r="H90">
        <v>1.8055555000000001</v>
      </c>
      <c r="I90">
        <v>-0.80555549999999998</v>
      </c>
      <c r="J90">
        <v>0.35643565999999999</v>
      </c>
    </row>
    <row r="91" spans="1:10" x14ac:dyDescent="0.3">
      <c r="A91">
        <v>89</v>
      </c>
      <c r="B91">
        <v>1418</v>
      </c>
      <c r="C91" t="b">
        <v>1</v>
      </c>
      <c r="D91">
        <v>8060</v>
      </c>
      <c r="E91">
        <v>8134</v>
      </c>
      <c r="F91">
        <v>22</v>
      </c>
      <c r="G91">
        <v>12</v>
      </c>
      <c r="H91">
        <v>1.8333333999999999</v>
      </c>
      <c r="I91">
        <v>-0.83333330000000005</v>
      </c>
      <c r="J91">
        <v>0.35294120000000001</v>
      </c>
    </row>
    <row r="92" spans="1:10" x14ac:dyDescent="0.3">
      <c r="A92">
        <v>90</v>
      </c>
      <c r="B92">
        <v>1434</v>
      </c>
      <c r="C92" t="b">
        <v>1</v>
      </c>
      <c r="D92">
        <v>8054</v>
      </c>
      <c r="E92">
        <v>8140</v>
      </c>
      <c r="F92">
        <v>22</v>
      </c>
      <c r="G92">
        <v>12.733333999999999</v>
      </c>
      <c r="H92">
        <v>1.7277486</v>
      </c>
      <c r="I92">
        <v>-0.72774863000000001</v>
      </c>
      <c r="J92">
        <v>0.3666027</v>
      </c>
    </row>
    <row r="93" spans="1:10" x14ac:dyDescent="0.3">
      <c r="A93">
        <v>91</v>
      </c>
      <c r="B93">
        <v>1449</v>
      </c>
      <c r="C93" t="b">
        <v>1</v>
      </c>
      <c r="D93">
        <v>8060</v>
      </c>
      <c r="E93">
        <v>8140</v>
      </c>
      <c r="F93">
        <v>21.666665999999999</v>
      </c>
      <c r="G93">
        <v>13.466666</v>
      </c>
      <c r="H93">
        <v>1.6089108999999999</v>
      </c>
      <c r="I93">
        <v>-0.60891090000000003</v>
      </c>
      <c r="J93">
        <v>0.38330170000000002</v>
      </c>
    </row>
    <row r="94" spans="1:10" x14ac:dyDescent="0.3">
      <c r="A94">
        <v>92</v>
      </c>
      <c r="B94">
        <v>1465</v>
      </c>
      <c r="C94" t="b">
        <v>1</v>
      </c>
      <c r="D94">
        <v>8054</v>
      </c>
      <c r="E94">
        <v>8134</v>
      </c>
      <c r="F94">
        <v>21.333334000000001</v>
      </c>
      <c r="G94">
        <v>14.2</v>
      </c>
      <c r="H94">
        <v>1.5023474999999999</v>
      </c>
      <c r="I94">
        <v>-0.50234747000000002</v>
      </c>
      <c r="J94">
        <v>0.39962476000000002</v>
      </c>
    </row>
    <row r="95" spans="1:10" x14ac:dyDescent="0.3">
      <c r="A95">
        <v>93</v>
      </c>
      <c r="B95">
        <v>1481</v>
      </c>
      <c r="C95" t="b">
        <v>1</v>
      </c>
      <c r="D95">
        <v>8060</v>
      </c>
      <c r="E95">
        <v>8129</v>
      </c>
      <c r="F95">
        <v>21.333334000000001</v>
      </c>
      <c r="G95">
        <v>14.933332999999999</v>
      </c>
      <c r="H95">
        <v>1.4285715000000001</v>
      </c>
      <c r="I95">
        <v>-0.42857146000000002</v>
      </c>
      <c r="J95">
        <v>0.41176469999999998</v>
      </c>
    </row>
    <row r="96" spans="1:10" x14ac:dyDescent="0.3">
      <c r="A96">
        <v>94</v>
      </c>
      <c r="B96">
        <v>1497</v>
      </c>
      <c r="C96" t="b">
        <v>1</v>
      </c>
      <c r="D96">
        <v>8065</v>
      </c>
      <c r="E96">
        <v>8129</v>
      </c>
      <c r="F96">
        <v>21.333334000000001</v>
      </c>
      <c r="G96">
        <v>15.666667</v>
      </c>
      <c r="H96">
        <v>1.3617021</v>
      </c>
      <c r="I96">
        <v>-0.36170214000000001</v>
      </c>
      <c r="J96">
        <v>0.42342343999999998</v>
      </c>
    </row>
    <row r="97" spans="1:10" x14ac:dyDescent="0.3">
      <c r="A97">
        <v>95</v>
      </c>
      <c r="B97">
        <v>1513</v>
      </c>
      <c r="C97" t="b">
        <v>1</v>
      </c>
      <c r="D97">
        <v>8060</v>
      </c>
      <c r="E97">
        <v>8129</v>
      </c>
      <c r="F97">
        <v>21.333334000000001</v>
      </c>
      <c r="G97">
        <v>15.666667</v>
      </c>
      <c r="H97">
        <v>1.3617021</v>
      </c>
      <c r="I97">
        <v>-0.36170214000000001</v>
      </c>
      <c r="J97">
        <v>0.42342343999999998</v>
      </c>
    </row>
    <row r="98" spans="1:10" x14ac:dyDescent="0.3">
      <c r="A98">
        <v>96</v>
      </c>
      <c r="B98">
        <v>1529</v>
      </c>
      <c r="C98" t="b">
        <v>1</v>
      </c>
      <c r="D98">
        <v>8065</v>
      </c>
      <c r="E98">
        <v>8129</v>
      </c>
      <c r="F98">
        <v>21.333334000000001</v>
      </c>
      <c r="G98">
        <v>15.666667</v>
      </c>
      <c r="H98">
        <v>1.3617021</v>
      </c>
      <c r="I98">
        <v>-0.36170214000000001</v>
      </c>
      <c r="J98">
        <v>0.42342343999999998</v>
      </c>
    </row>
    <row r="99" spans="1:10" x14ac:dyDescent="0.3">
      <c r="A99">
        <v>97</v>
      </c>
      <c r="B99">
        <v>1545</v>
      </c>
      <c r="C99" t="b">
        <v>1</v>
      </c>
      <c r="D99">
        <v>8060</v>
      </c>
      <c r="E99">
        <v>8129</v>
      </c>
      <c r="F99">
        <v>21.333334000000001</v>
      </c>
      <c r="G99">
        <v>15.666667</v>
      </c>
      <c r="H99">
        <v>1.3617021</v>
      </c>
      <c r="I99">
        <v>-0.36170214000000001</v>
      </c>
      <c r="J99">
        <v>0.42342343999999998</v>
      </c>
    </row>
    <row r="100" spans="1:10" x14ac:dyDescent="0.3">
      <c r="A100">
        <v>98</v>
      </c>
      <c r="B100">
        <v>1560</v>
      </c>
      <c r="C100" t="b">
        <v>1</v>
      </c>
      <c r="D100">
        <v>8060</v>
      </c>
      <c r="E100">
        <v>8129</v>
      </c>
      <c r="F100">
        <v>21.333334000000001</v>
      </c>
      <c r="G100">
        <v>15.666667</v>
      </c>
      <c r="H100">
        <v>1.3617021</v>
      </c>
      <c r="I100">
        <v>-0.36170214000000001</v>
      </c>
      <c r="J100">
        <v>0.42342343999999998</v>
      </c>
    </row>
    <row r="101" spans="1:10" x14ac:dyDescent="0.3">
      <c r="A101">
        <v>99</v>
      </c>
      <c r="B101">
        <v>1576</v>
      </c>
      <c r="C101" t="b">
        <v>1</v>
      </c>
      <c r="D101">
        <v>8060</v>
      </c>
      <c r="E101">
        <v>8134</v>
      </c>
      <c r="F101">
        <v>21.333334000000001</v>
      </c>
      <c r="G101">
        <v>15.666667</v>
      </c>
      <c r="H101">
        <v>1.3617021</v>
      </c>
      <c r="I101">
        <v>-0.36170214000000001</v>
      </c>
      <c r="J101">
        <v>0.42342343999999998</v>
      </c>
    </row>
    <row r="102" spans="1:10" x14ac:dyDescent="0.3">
      <c r="A102">
        <v>100</v>
      </c>
      <c r="B102">
        <v>1592</v>
      </c>
      <c r="C102" t="b">
        <v>1</v>
      </c>
      <c r="D102">
        <v>8065</v>
      </c>
      <c r="E102">
        <v>8140</v>
      </c>
      <c r="F102">
        <v>21.333334000000001</v>
      </c>
      <c r="G102">
        <v>15.666667</v>
      </c>
      <c r="H102">
        <v>1.3617021</v>
      </c>
      <c r="I102">
        <v>-0.36170214000000001</v>
      </c>
      <c r="J102">
        <v>0.42342343999999998</v>
      </c>
    </row>
    <row r="103" spans="1:10" x14ac:dyDescent="0.3">
      <c r="A103">
        <v>101</v>
      </c>
      <c r="B103">
        <v>1608</v>
      </c>
      <c r="C103" t="b">
        <v>1</v>
      </c>
      <c r="D103">
        <v>8060</v>
      </c>
      <c r="E103">
        <v>8140</v>
      </c>
      <c r="F103">
        <v>21.333334000000001</v>
      </c>
      <c r="G103">
        <v>16</v>
      </c>
      <c r="H103">
        <v>1.3333333999999999</v>
      </c>
      <c r="I103">
        <v>-0.33333337000000002</v>
      </c>
      <c r="J103">
        <v>0.42857139999999999</v>
      </c>
    </row>
    <row r="104" spans="1:10" x14ac:dyDescent="0.3">
      <c r="A104">
        <v>102</v>
      </c>
      <c r="B104">
        <v>1624</v>
      </c>
      <c r="C104" t="b">
        <v>1</v>
      </c>
      <c r="D104">
        <v>8065</v>
      </c>
      <c r="E104">
        <v>8134</v>
      </c>
      <c r="F104">
        <v>21</v>
      </c>
      <c r="G104">
        <v>16.333334000000001</v>
      </c>
      <c r="H104">
        <v>1.2857143</v>
      </c>
      <c r="I104">
        <v>-0.28571424000000001</v>
      </c>
      <c r="J104">
        <v>0.4375</v>
      </c>
    </row>
    <row r="105" spans="1:10" x14ac:dyDescent="0.3">
      <c r="A105">
        <v>103</v>
      </c>
      <c r="B105">
        <v>1640</v>
      </c>
      <c r="C105" t="b">
        <v>1</v>
      </c>
      <c r="D105">
        <v>8060</v>
      </c>
      <c r="E105">
        <v>8129</v>
      </c>
      <c r="F105">
        <v>20.666665999999999</v>
      </c>
      <c r="G105">
        <v>16.666665999999999</v>
      </c>
      <c r="H105">
        <v>1.24</v>
      </c>
      <c r="I105">
        <v>-0.24000001000000001</v>
      </c>
      <c r="J105">
        <v>0.44642857000000002</v>
      </c>
    </row>
    <row r="106" spans="1:10" x14ac:dyDescent="0.3">
      <c r="A106">
        <v>104</v>
      </c>
      <c r="B106">
        <v>1656</v>
      </c>
      <c r="C106" t="b">
        <v>1</v>
      </c>
      <c r="D106">
        <v>8060</v>
      </c>
      <c r="E106">
        <v>8140</v>
      </c>
      <c r="F106">
        <v>20.333334000000001</v>
      </c>
      <c r="G106">
        <v>17.399999999999999</v>
      </c>
      <c r="H106">
        <v>1.1685824</v>
      </c>
      <c r="I106">
        <v>-0.16858244</v>
      </c>
      <c r="J106">
        <v>0.46113073999999998</v>
      </c>
    </row>
    <row r="107" spans="1:10" x14ac:dyDescent="0.3">
      <c r="A107">
        <v>105</v>
      </c>
      <c r="B107">
        <v>1671</v>
      </c>
      <c r="C107" t="b">
        <v>1</v>
      </c>
      <c r="D107">
        <v>8060</v>
      </c>
      <c r="E107">
        <v>8129</v>
      </c>
      <c r="F107">
        <v>20</v>
      </c>
      <c r="G107">
        <v>17.399999999999999</v>
      </c>
      <c r="H107">
        <v>1.1494253000000001</v>
      </c>
      <c r="I107">
        <v>-0.14942531000000001</v>
      </c>
      <c r="J107">
        <v>0.4652406</v>
      </c>
    </row>
    <row r="108" spans="1:10" x14ac:dyDescent="0.3">
      <c r="A108">
        <v>106</v>
      </c>
      <c r="B108">
        <v>1687</v>
      </c>
      <c r="C108" t="b">
        <v>1</v>
      </c>
      <c r="D108">
        <v>8065</v>
      </c>
      <c r="E108">
        <v>8134</v>
      </c>
      <c r="F108">
        <v>20</v>
      </c>
      <c r="G108">
        <v>17.399999999999999</v>
      </c>
      <c r="H108">
        <v>1.1494253000000001</v>
      </c>
      <c r="I108">
        <v>-0.14942531000000001</v>
      </c>
      <c r="J108">
        <v>0.4652406</v>
      </c>
    </row>
    <row r="109" spans="1:10" x14ac:dyDescent="0.3">
      <c r="A109">
        <v>107</v>
      </c>
      <c r="B109">
        <v>1703</v>
      </c>
      <c r="C109" t="b">
        <v>1</v>
      </c>
      <c r="D109">
        <v>8065</v>
      </c>
      <c r="E109">
        <v>8129</v>
      </c>
      <c r="F109">
        <v>20</v>
      </c>
      <c r="G109">
        <v>17.066668</v>
      </c>
      <c r="H109">
        <v>1.1718748999999999</v>
      </c>
      <c r="I109">
        <v>-0.17187494</v>
      </c>
      <c r="J109">
        <v>0.4604317</v>
      </c>
    </row>
    <row r="110" spans="1:10" x14ac:dyDescent="0.3">
      <c r="A110">
        <v>108</v>
      </c>
      <c r="B110">
        <v>1719</v>
      </c>
      <c r="C110" t="b">
        <v>1</v>
      </c>
      <c r="D110">
        <v>8054</v>
      </c>
      <c r="E110">
        <v>8129</v>
      </c>
      <c r="F110">
        <v>20</v>
      </c>
      <c r="G110">
        <v>16.733333999999999</v>
      </c>
      <c r="H110">
        <v>1.1952191999999999</v>
      </c>
      <c r="I110">
        <v>-0.19521910000000001</v>
      </c>
      <c r="J110">
        <v>0.45553537999999999</v>
      </c>
    </row>
    <row r="111" spans="1:10" x14ac:dyDescent="0.3">
      <c r="A111">
        <v>109</v>
      </c>
      <c r="B111">
        <v>1735</v>
      </c>
      <c r="C111" t="b">
        <v>1</v>
      </c>
      <c r="D111">
        <v>8060</v>
      </c>
      <c r="E111">
        <v>8134</v>
      </c>
      <c r="F111">
        <v>20</v>
      </c>
      <c r="G111">
        <v>16.399999999999999</v>
      </c>
      <c r="H111">
        <v>1.2195122</v>
      </c>
      <c r="I111">
        <v>-0.21951222000000001</v>
      </c>
      <c r="J111">
        <v>0.45054941999999998</v>
      </c>
    </row>
    <row r="112" spans="1:10" x14ac:dyDescent="0.3">
      <c r="A112">
        <v>110</v>
      </c>
      <c r="B112">
        <v>1751</v>
      </c>
      <c r="C112" t="b">
        <v>1</v>
      </c>
      <c r="D112">
        <v>8060</v>
      </c>
      <c r="E112">
        <v>8129</v>
      </c>
      <c r="F112">
        <v>20</v>
      </c>
      <c r="G112">
        <v>16.399999999999999</v>
      </c>
      <c r="H112">
        <v>1.2195122</v>
      </c>
      <c r="I112">
        <v>-0.21951222000000001</v>
      </c>
      <c r="J112">
        <v>0.45054941999999998</v>
      </c>
    </row>
    <row r="113" spans="1:10" x14ac:dyDescent="0.3">
      <c r="A113">
        <v>111</v>
      </c>
      <c r="B113">
        <v>1767</v>
      </c>
      <c r="C113" t="b">
        <v>1</v>
      </c>
      <c r="D113">
        <v>8060</v>
      </c>
      <c r="E113">
        <v>8129</v>
      </c>
      <c r="F113">
        <v>20</v>
      </c>
      <c r="G113">
        <v>16.399999999999999</v>
      </c>
      <c r="H113">
        <v>1.2195122</v>
      </c>
      <c r="I113">
        <v>-0.21951222000000001</v>
      </c>
      <c r="J113">
        <v>0.45054941999999998</v>
      </c>
    </row>
    <row r="114" spans="1:10" x14ac:dyDescent="0.3">
      <c r="A114">
        <v>112</v>
      </c>
      <c r="B114">
        <v>1783</v>
      </c>
      <c r="C114" t="b">
        <v>1</v>
      </c>
      <c r="D114">
        <v>8060</v>
      </c>
      <c r="E114">
        <v>8129</v>
      </c>
      <c r="F114">
        <v>20</v>
      </c>
      <c r="G114">
        <v>16.399999999999999</v>
      </c>
      <c r="H114">
        <v>1.2195122</v>
      </c>
      <c r="I114">
        <v>-0.21951222000000001</v>
      </c>
      <c r="J114">
        <v>0.45054941999999998</v>
      </c>
    </row>
    <row r="115" spans="1:10" x14ac:dyDescent="0.3">
      <c r="A115">
        <v>113</v>
      </c>
      <c r="B115">
        <v>1799</v>
      </c>
      <c r="C115" t="b">
        <v>1</v>
      </c>
      <c r="D115">
        <v>8054</v>
      </c>
      <c r="E115">
        <v>8134</v>
      </c>
      <c r="F115">
        <v>20</v>
      </c>
      <c r="G115">
        <v>16.399999999999999</v>
      </c>
      <c r="H115">
        <v>1.2195122</v>
      </c>
      <c r="I115">
        <v>-0.21951222000000001</v>
      </c>
      <c r="J115">
        <v>0.45054941999999998</v>
      </c>
    </row>
    <row r="116" spans="1:10" x14ac:dyDescent="0.3">
      <c r="A116">
        <v>114</v>
      </c>
      <c r="B116">
        <v>1815</v>
      </c>
      <c r="C116" t="b">
        <v>1</v>
      </c>
      <c r="D116">
        <v>8054</v>
      </c>
      <c r="E116">
        <v>8129</v>
      </c>
      <c r="F116">
        <v>20</v>
      </c>
      <c r="G116">
        <v>16.399999999999999</v>
      </c>
      <c r="H116">
        <v>1.2195122</v>
      </c>
      <c r="I116">
        <v>-0.21951222000000001</v>
      </c>
      <c r="J116">
        <v>0.45054941999999998</v>
      </c>
    </row>
    <row r="117" spans="1:10" x14ac:dyDescent="0.3">
      <c r="A117">
        <v>115</v>
      </c>
      <c r="B117">
        <v>1831</v>
      </c>
      <c r="C117" t="b">
        <v>1</v>
      </c>
      <c r="D117">
        <v>8060</v>
      </c>
      <c r="E117">
        <v>8129</v>
      </c>
      <c r="F117">
        <v>20</v>
      </c>
      <c r="G117">
        <v>16.399999999999999</v>
      </c>
      <c r="H117">
        <v>1.2195122</v>
      </c>
      <c r="I117">
        <v>-0.21951222000000001</v>
      </c>
      <c r="J117">
        <v>0.45054941999999998</v>
      </c>
    </row>
    <row r="118" spans="1:10" x14ac:dyDescent="0.3">
      <c r="A118">
        <v>116</v>
      </c>
      <c r="B118">
        <v>1847</v>
      </c>
      <c r="C118" t="b">
        <v>1</v>
      </c>
      <c r="D118">
        <v>8060</v>
      </c>
      <c r="E118">
        <v>8129</v>
      </c>
      <c r="F118">
        <v>20</v>
      </c>
      <c r="G118">
        <v>16.066668</v>
      </c>
      <c r="H118">
        <v>1.2448132000000001</v>
      </c>
      <c r="I118">
        <v>-0.24481320000000001</v>
      </c>
      <c r="J118">
        <v>0.44547137999999997</v>
      </c>
    </row>
    <row r="119" spans="1:10" x14ac:dyDescent="0.3">
      <c r="A119">
        <v>117</v>
      </c>
      <c r="B119">
        <v>1862</v>
      </c>
      <c r="C119" t="b">
        <v>1</v>
      </c>
      <c r="D119">
        <v>8054</v>
      </c>
      <c r="E119">
        <v>8134</v>
      </c>
      <c r="F119">
        <v>19.600000000000001</v>
      </c>
      <c r="G119">
        <v>15.733333999999999</v>
      </c>
      <c r="H119">
        <v>1.2457627</v>
      </c>
      <c r="I119">
        <v>-0.24576271999999999</v>
      </c>
      <c r="J119">
        <v>0.44528299999999998</v>
      </c>
    </row>
    <row r="120" spans="1:10" x14ac:dyDescent="0.3">
      <c r="A120">
        <v>118</v>
      </c>
      <c r="B120">
        <v>1878</v>
      </c>
      <c r="C120" t="b">
        <v>1</v>
      </c>
      <c r="D120">
        <v>8054</v>
      </c>
      <c r="E120">
        <v>8134</v>
      </c>
      <c r="F120">
        <v>19.2</v>
      </c>
      <c r="G120">
        <v>15.4</v>
      </c>
      <c r="H120">
        <v>1.2467533</v>
      </c>
      <c r="I120">
        <v>-0.24675332</v>
      </c>
      <c r="J120">
        <v>0.44508671999999999</v>
      </c>
    </row>
    <row r="121" spans="1:10" x14ac:dyDescent="0.3">
      <c r="A121">
        <v>119</v>
      </c>
      <c r="B121">
        <v>1894</v>
      </c>
      <c r="C121" t="b">
        <v>1</v>
      </c>
      <c r="D121">
        <v>8060</v>
      </c>
      <c r="E121">
        <v>8134</v>
      </c>
      <c r="F121">
        <v>19.2</v>
      </c>
      <c r="G121">
        <v>15</v>
      </c>
      <c r="H121">
        <v>1.2800001000000001</v>
      </c>
      <c r="I121">
        <v>-0.28000006</v>
      </c>
      <c r="J121">
        <v>0.4385965</v>
      </c>
    </row>
    <row r="122" spans="1:10" x14ac:dyDescent="0.3">
      <c r="A122">
        <v>120</v>
      </c>
      <c r="B122">
        <v>1910</v>
      </c>
      <c r="C122" t="b">
        <v>1</v>
      </c>
      <c r="D122">
        <v>8060</v>
      </c>
      <c r="E122">
        <v>8134</v>
      </c>
      <c r="F122">
        <v>19.2</v>
      </c>
      <c r="G122">
        <v>15</v>
      </c>
      <c r="H122">
        <v>1.2800001000000001</v>
      </c>
      <c r="I122">
        <v>-0.28000006</v>
      </c>
      <c r="J122">
        <v>0.4385965</v>
      </c>
    </row>
    <row r="123" spans="1:10" x14ac:dyDescent="0.3">
      <c r="A123">
        <v>121</v>
      </c>
      <c r="B123">
        <v>1926</v>
      </c>
      <c r="C123" t="b">
        <v>1</v>
      </c>
      <c r="D123">
        <v>8060</v>
      </c>
      <c r="E123">
        <v>8134</v>
      </c>
      <c r="F123">
        <v>19.2</v>
      </c>
      <c r="G123">
        <v>15</v>
      </c>
      <c r="H123">
        <v>1.2800001000000001</v>
      </c>
      <c r="I123">
        <v>-0.28000006</v>
      </c>
      <c r="J123">
        <v>0.4385965</v>
      </c>
    </row>
    <row r="124" spans="1:10" x14ac:dyDescent="0.3">
      <c r="A124">
        <v>122</v>
      </c>
      <c r="B124">
        <v>1942</v>
      </c>
      <c r="C124" t="b">
        <v>1</v>
      </c>
      <c r="D124">
        <v>8060</v>
      </c>
      <c r="E124">
        <v>8140</v>
      </c>
      <c r="F124">
        <v>19.2</v>
      </c>
      <c r="G124">
        <v>15.333333</v>
      </c>
      <c r="H124">
        <v>1.2521739999999999</v>
      </c>
      <c r="I124">
        <v>-0.25217400000000001</v>
      </c>
      <c r="J124">
        <v>0.44401543999999998</v>
      </c>
    </row>
    <row r="125" spans="1:10" x14ac:dyDescent="0.3">
      <c r="A125">
        <v>123</v>
      </c>
      <c r="B125">
        <v>1957</v>
      </c>
      <c r="C125" t="b">
        <v>1</v>
      </c>
      <c r="D125">
        <v>8060</v>
      </c>
      <c r="E125">
        <v>8134</v>
      </c>
      <c r="F125">
        <v>19.2</v>
      </c>
      <c r="G125">
        <v>15.666667</v>
      </c>
      <c r="H125">
        <v>1.2255319</v>
      </c>
      <c r="I125">
        <v>-0.22553193999999999</v>
      </c>
      <c r="J125">
        <v>0.44933077999999999</v>
      </c>
    </row>
    <row r="126" spans="1:10" x14ac:dyDescent="0.3">
      <c r="A126">
        <v>124</v>
      </c>
      <c r="B126">
        <v>1973</v>
      </c>
      <c r="C126" t="b">
        <v>1</v>
      </c>
      <c r="D126">
        <v>8060</v>
      </c>
      <c r="E126">
        <v>8134</v>
      </c>
      <c r="F126">
        <v>19.2</v>
      </c>
      <c r="G126">
        <v>16</v>
      </c>
      <c r="H126">
        <v>1.2</v>
      </c>
      <c r="I126">
        <v>-0.20000005000000001</v>
      </c>
      <c r="J126">
        <v>0.45454544000000002</v>
      </c>
    </row>
    <row r="127" spans="1:10" x14ac:dyDescent="0.3">
      <c r="A127">
        <v>125</v>
      </c>
      <c r="B127">
        <v>1989</v>
      </c>
      <c r="C127" t="b">
        <v>1</v>
      </c>
      <c r="D127">
        <v>8054</v>
      </c>
      <c r="E127">
        <v>8129</v>
      </c>
      <c r="F127">
        <v>19.2</v>
      </c>
      <c r="G127">
        <v>16.333334000000001</v>
      </c>
      <c r="H127">
        <v>1.1755101999999999</v>
      </c>
      <c r="I127">
        <v>-0.17551020000000001</v>
      </c>
      <c r="J127">
        <v>0.45966232000000001</v>
      </c>
    </row>
    <row r="128" spans="1:10" x14ac:dyDescent="0.3">
      <c r="A128">
        <v>126</v>
      </c>
      <c r="B128">
        <v>2004</v>
      </c>
      <c r="C128" t="b">
        <v>1</v>
      </c>
      <c r="D128">
        <v>8060</v>
      </c>
      <c r="E128">
        <v>8129</v>
      </c>
      <c r="F128">
        <v>19.2</v>
      </c>
      <c r="G128">
        <v>16.666665999999999</v>
      </c>
      <c r="H128">
        <v>1.1520001</v>
      </c>
      <c r="I128">
        <v>-0.15200008000000001</v>
      </c>
      <c r="J128">
        <v>0.46468398</v>
      </c>
    </row>
    <row r="129" spans="1:10" x14ac:dyDescent="0.3">
      <c r="A129">
        <v>127</v>
      </c>
      <c r="B129">
        <v>2020</v>
      </c>
      <c r="C129" t="b">
        <v>1</v>
      </c>
      <c r="D129">
        <v>8065</v>
      </c>
      <c r="E129">
        <v>8129</v>
      </c>
      <c r="F129">
        <v>19.2</v>
      </c>
      <c r="G129">
        <v>16.666665999999999</v>
      </c>
      <c r="H129">
        <v>1.1520001</v>
      </c>
      <c r="I129">
        <v>-0.15200008000000001</v>
      </c>
      <c r="J129">
        <v>0.46468398</v>
      </c>
    </row>
    <row r="130" spans="1:10" x14ac:dyDescent="0.3">
      <c r="A130">
        <v>128</v>
      </c>
      <c r="B130">
        <v>2035</v>
      </c>
      <c r="C130" t="b">
        <v>1</v>
      </c>
      <c r="D130">
        <v>8065</v>
      </c>
      <c r="E130">
        <v>8129</v>
      </c>
      <c r="F130">
        <v>19.2</v>
      </c>
      <c r="G130">
        <v>16.666665999999999</v>
      </c>
      <c r="H130">
        <v>1.1520001</v>
      </c>
      <c r="I130">
        <v>-0.15200008000000001</v>
      </c>
      <c r="J130">
        <v>0.46468398</v>
      </c>
    </row>
    <row r="131" spans="1:10" x14ac:dyDescent="0.3">
      <c r="A131">
        <v>129</v>
      </c>
      <c r="B131">
        <v>2051</v>
      </c>
      <c r="C131" t="b">
        <v>1</v>
      </c>
      <c r="D131">
        <v>8065</v>
      </c>
      <c r="E131">
        <v>8129</v>
      </c>
      <c r="F131">
        <v>19.533332999999999</v>
      </c>
      <c r="G131">
        <v>16.666665999999999</v>
      </c>
      <c r="H131">
        <v>1.1719999999999999</v>
      </c>
      <c r="I131">
        <v>-0.17200002</v>
      </c>
      <c r="J131">
        <v>0.46040516999999997</v>
      </c>
    </row>
    <row r="132" spans="1:10" x14ac:dyDescent="0.3">
      <c r="A132">
        <v>130</v>
      </c>
      <c r="B132">
        <v>2067</v>
      </c>
      <c r="C132" t="b">
        <v>1</v>
      </c>
      <c r="D132">
        <v>8054</v>
      </c>
      <c r="E132">
        <v>8134</v>
      </c>
      <c r="F132">
        <v>19.866667</v>
      </c>
      <c r="G132">
        <v>16.666665999999999</v>
      </c>
      <c r="H132">
        <v>1.1919999999999999</v>
      </c>
      <c r="I132">
        <v>-0.19200005000000001</v>
      </c>
      <c r="J132">
        <v>0.45620434999999998</v>
      </c>
    </row>
    <row r="133" spans="1:10" x14ac:dyDescent="0.3">
      <c r="A133">
        <v>131</v>
      </c>
      <c r="B133">
        <v>2083</v>
      </c>
      <c r="C133" t="b">
        <v>1</v>
      </c>
      <c r="D133">
        <v>8060</v>
      </c>
      <c r="E133">
        <v>8129</v>
      </c>
      <c r="F133">
        <v>20.2</v>
      </c>
      <c r="G133">
        <v>16.666665999999999</v>
      </c>
      <c r="H133">
        <v>1.2120001</v>
      </c>
      <c r="I133">
        <v>-0.21200009</v>
      </c>
      <c r="J133">
        <v>0.45207953000000001</v>
      </c>
    </row>
    <row r="134" spans="1:10" x14ac:dyDescent="0.3">
      <c r="A134">
        <v>132</v>
      </c>
      <c r="B134">
        <v>2099</v>
      </c>
      <c r="C134" t="b">
        <v>1</v>
      </c>
      <c r="D134">
        <v>8054</v>
      </c>
      <c r="E134">
        <v>8134</v>
      </c>
      <c r="F134">
        <v>20.6</v>
      </c>
      <c r="G134">
        <v>16.666665999999999</v>
      </c>
      <c r="H134">
        <v>1.2360001</v>
      </c>
      <c r="I134">
        <v>-0.23600008</v>
      </c>
      <c r="J134">
        <v>0.44722718</v>
      </c>
    </row>
    <row r="135" spans="1:10" x14ac:dyDescent="0.3">
      <c r="A135">
        <v>133</v>
      </c>
      <c r="B135">
        <v>2115</v>
      </c>
      <c r="C135" t="b">
        <v>1</v>
      </c>
      <c r="D135">
        <v>8060</v>
      </c>
      <c r="E135">
        <v>8134</v>
      </c>
      <c r="F135">
        <v>21</v>
      </c>
      <c r="G135">
        <v>17</v>
      </c>
      <c r="H135">
        <v>1.2352941</v>
      </c>
      <c r="I135">
        <v>-0.23529412</v>
      </c>
      <c r="J135">
        <v>0.4473684</v>
      </c>
    </row>
    <row r="136" spans="1:10" x14ac:dyDescent="0.3">
      <c r="A136">
        <v>134</v>
      </c>
      <c r="B136">
        <v>2131</v>
      </c>
      <c r="C136" t="b">
        <v>1</v>
      </c>
      <c r="D136">
        <v>8060</v>
      </c>
      <c r="E136">
        <v>8134</v>
      </c>
      <c r="F136">
        <v>21</v>
      </c>
      <c r="G136">
        <v>17</v>
      </c>
      <c r="H136">
        <v>1.2352941</v>
      </c>
      <c r="I136">
        <v>-0.23529412</v>
      </c>
      <c r="J136">
        <v>0.4473684</v>
      </c>
    </row>
    <row r="137" spans="1:10" x14ac:dyDescent="0.3">
      <c r="A137">
        <v>135</v>
      </c>
      <c r="B137">
        <v>2147</v>
      </c>
      <c r="C137" t="b">
        <v>1</v>
      </c>
      <c r="D137">
        <v>8065</v>
      </c>
      <c r="E137">
        <v>8134</v>
      </c>
      <c r="F137">
        <v>21</v>
      </c>
      <c r="G137">
        <v>17</v>
      </c>
      <c r="H137">
        <v>1.2352941</v>
      </c>
      <c r="I137">
        <v>-0.23529412</v>
      </c>
      <c r="J137">
        <v>0.4473684</v>
      </c>
    </row>
    <row r="138" spans="1:10" x14ac:dyDescent="0.3">
      <c r="A138">
        <v>136</v>
      </c>
      <c r="B138">
        <v>2163</v>
      </c>
      <c r="C138" t="b">
        <v>1</v>
      </c>
      <c r="D138">
        <v>8060</v>
      </c>
      <c r="E138">
        <v>8140</v>
      </c>
      <c r="F138">
        <v>21</v>
      </c>
      <c r="G138">
        <v>17</v>
      </c>
      <c r="H138">
        <v>1.2352941</v>
      </c>
      <c r="I138">
        <v>-0.23529412</v>
      </c>
      <c r="J138">
        <v>0.4473684</v>
      </c>
    </row>
    <row r="139" spans="1:10" x14ac:dyDescent="0.3">
      <c r="A139">
        <v>137</v>
      </c>
      <c r="B139">
        <v>2179</v>
      </c>
      <c r="C139" t="b">
        <v>1</v>
      </c>
      <c r="D139">
        <v>8060</v>
      </c>
      <c r="E139">
        <v>8134</v>
      </c>
      <c r="F139">
        <v>21</v>
      </c>
      <c r="G139">
        <v>17</v>
      </c>
      <c r="H139">
        <v>1.2352941</v>
      </c>
      <c r="I139">
        <v>-0.23529412</v>
      </c>
      <c r="J139">
        <v>0.4473684</v>
      </c>
    </row>
    <row r="140" spans="1:10" x14ac:dyDescent="0.3">
      <c r="A140">
        <v>138</v>
      </c>
      <c r="B140">
        <v>2195</v>
      </c>
      <c r="C140" t="b">
        <v>1</v>
      </c>
      <c r="D140">
        <v>8060</v>
      </c>
      <c r="E140">
        <v>8129</v>
      </c>
      <c r="F140">
        <v>21</v>
      </c>
      <c r="G140">
        <v>17</v>
      </c>
      <c r="H140">
        <v>1.2352941</v>
      </c>
      <c r="I140">
        <v>-0.23529412</v>
      </c>
      <c r="J140">
        <v>0.4473684</v>
      </c>
    </row>
    <row r="141" spans="1:10" x14ac:dyDescent="0.3">
      <c r="A141">
        <v>139</v>
      </c>
      <c r="B141">
        <v>2211</v>
      </c>
      <c r="C141" t="b">
        <v>1</v>
      </c>
      <c r="D141">
        <v>8065</v>
      </c>
      <c r="E141">
        <v>8129</v>
      </c>
      <c r="F141">
        <v>21</v>
      </c>
      <c r="G141">
        <v>17</v>
      </c>
      <c r="H141">
        <v>1.2352941</v>
      </c>
      <c r="I141">
        <v>-0.23529412</v>
      </c>
      <c r="J141">
        <v>0.4473684</v>
      </c>
    </row>
    <row r="142" spans="1:10" x14ac:dyDescent="0.3">
      <c r="A142">
        <v>140</v>
      </c>
      <c r="B142">
        <v>2227</v>
      </c>
      <c r="C142" t="b">
        <v>1</v>
      </c>
      <c r="D142">
        <v>8065</v>
      </c>
      <c r="E142">
        <v>8134</v>
      </c>
      <c r="F142">
        <v>21</v>
      </c>
      <c r="G142">
        <v>17</v>
      </c>
      <c r="H142">
        <v>1.2352941</v>
      </c>
      <c r="I142">
        <v>-0.23529412</v>
      </c>
      <c r="J142">
        <v>0.4473684</v>
      </c>
    </row>
    <row r="143" spans="1:10" x14ac:dyDescent="0.3">
      <c r="A143">
        <v>141</v>
      </c>
      <c r="B143">
        <v>2243</v>
      </c>
      <c r="C143" t="b">
        <v>1</v>
      </c>
      <c r="D143">
        <v>8065</v>
      </c>
      <c r="E143">
        <v>8140</v>
      </c>
      <c r="F143">
        <v>21.333334000000001</v>
      </c>
      <c r="G143">
        <v>17</v>
      </c>
      <c r="H143">
        <v>1.254902</v>
      </c>
      <c r="I143">
        <v>-0.25490200000000002</v>
      </c>
      <c r="J143">
        <v>0.44347822999999997</v>
      </c>
    </row>
    <row r="144" spans="1:10" x14ac:dyDescent="0.3">
      <c r="A144">
        <v>142</v>
      </c>
      <c r="B144">
        <v>2258</v>
      </c>
      <c r="C144" t="b">
        <v>1</v>
      </c>
      <c r="D144">
        <v>8065</v>
      </c>
      <c r="E144">
        <v>8134</v>
      </c>
      <c r="F144">
        <v>21.666665999999999</v>
      </c>
      <c r="G144">
        <v>17.333334000000001</v>
      </c>
      <c r="H144">
        <v>1.2499998999999999</v>
      </c>
      <c r="I144">
        <v>-0.24999990999999999</v>
      </c>
      <c r="J144">
        <v>0.44444444999999999</v>
      </c>
    </row>
    <row r="145" spans="1:10" x14ac:dyDescent="0.3">
      <c r="A145">
        <v>143</v>
      </c>
      <c r="B145">
        <v>2274</v>
      </c>
      <c r="C145" t="b">
        <v>1</v>
      </c>
      <c r="D145">
        <v>8071</v>
      </c>
      <c r="E145">
        <v>8134</v>
      </c>
      <c r="F145">
        <v>22</v>
      </c>
      <c r="G145">
        <v>17.666665999999999</v>
      </c>
      <c r="H145">
        <v>1.2452829999999999</v>
      </c>
      <c r="I145">
        <v>-0.24528306999999999</v>
      </c>
      <c r="J145">
        <v>0.44537814999999997</v>
      </c>
    </row>
    <row r="146" spans="1:10" x14ac:dyDescent="0.3">
      <c r="A146">
        <v>144</v>
      </c>
      <c r="B146">
        <v>2290</v>
      </c>
      <c r="C146" t="b">
        <v>1</v>
      </c>
      <c r="D146">
        <v>8065</v>
      </c>
      <c r="E146">
        <v>8134</v>
      </c>
      <c r="F146">
        <v>22</v>
      </c>
      <c r="G146">
        <v>18</v>
      </c>
      <c r="H146">
        <v>1.2222222</v>
      </c>
      <c r="I146">
        <v>-0.22222222</v>
      </c>
      <c r="J146">
        <v>0.45</v>
      </c>
    </row>
    <row r="147" spans="1:10" x14ac:dyDescent="0.3">
      <c r="A147">
        <v>145</v>
      </c>
      <c r="B147">
        <v>2307</v>
      </c>
      <c r="C147" t="b">
        <v>1</v>
      </c>
      <c r="D147">
        <v>8054</v>
      </c>
      <c r="E147">
        <v>8134</v>
      </c>
      <c r="F147">
        <v>22</v>
      </c>
      <c r="G147">
        <v>18.333334000000001</v>
      </c>
      <c r="H147">
        <v>1.1999998999999999</v>
      </c>
      <c r="I147">
        <v>-0.19999996</v>
      </c>
      <c r="J147">
        <v>0.45454544000000002</v>
      </c>
    </row>
    <row r="148" spans="1:10" x14ac:dyDescent="0.3">
      <c r="A148">
        <v>146</v>
      </c>
      <c r="B148">
        <v>2322</v>
      </c>
      <c r="C148" t="b">
        <v>1</v>
      </c>
      <c r="D148">
        <v>8054</v>
      </c>
      <c r="E148">
        <v>8134</v>
      </c>
      <c r="F148">
        <v>22</v>
      </c>
      <c r="G148">
        <v>18.666665999999999</v>
      </c>
      <c r="H148">
        <v>1.1785715000000001</v>
      </c>
      <c r="I148">
        <v>-0.17857145999999999</v>
      </c>
      <c r="J148">
        <v>0.45901639999999999</v>
      </c>
    </row>
    <row r="149" spans="1:10" x14ac:dyDescent="0.3">
      <c r="A149">
        <v>147</v>
      </c>
      <c r="B149">
        <v>2338</v>
      </c>
      <c r="C149" t="b">
        <v>1</v>
      </c>
      <c r="D149">
        <v>8054</v>
      </c>
      <c r="E149">
        <v>8134</v>
      </c>
      <c r="F149">
        <v>21.6</v>
      </c>
      <c r="G149">
        <v>19</v>
      </c>
      <c r="H149">
        <v>1.1368421</v>
      </c>
      <c r="I149">
        <v>-0.13684213000000001</v>
      </c>
      <c r="J149">
        <v>0.46798033</v>
      </c>
    </row>
    <row r="150" spans="1:10" x14ac:dyDescent="0.3">
      <c r="A150">
        <v>148</v>
      </c>
      <c r="B150">
        <v>2354</v>
      </c>
      <c r="C150" t="b">
        <v>1</v>
      </c>
      <c r="D150">
        <v>8054</v>
      </c>
      <c r="E150">
        <v>8134</v>
      </c>
      <c r="F150">
        <v>21.2</v>
      </c>
      <c r="G150">
        <v>19</v>
      </c>
      <c r="H150">
        <v>1.1157895</v>
      </c>
      <c r="I150">
        <v>-0.11578951</v>
      </c>
      <c r="J150">
        <v>0.47263682000000001</v>
      </c>
    </row>
    <row r="151" spans="1:10" x14ac:dyDescent="0.3">
      <c r="A151">
        <v>149</v>
      </c>
      <c r="B151">
        <v>2370</v>
      </c>
      <c r="C151" t="b">
        <v>1</v>
      </c>
      <c r="D151">
        <v>8054</v>
      </c>
      <c r="E151">
        <v>8134</v>
      </c>
      <c r="F151">
        <v>20.8</v>
      </c>
      <c r="G151">
        <v>19</v>
      </c>
      <c r="H151">
        <v>1.0947368</v>
      </c>
      <c r="I151">
        <v>-9.4736799999999996E-2</v>
      </c>
      <c r="J151">
        <v>0.47738694999999998</v>
      </c>
    </row>
    <row r="152" spans="1:10" x14ac:dyDescent="0.3">
      <c r="A152">
        <v>150</v>
      </c>
      <c r="B152">
        <v>2385</v>
      </c>
      <c r="C152" t="b">
        <v>1</v>
      </c>
      <c r="D152">
        <v>8054</v>
      </c>
      <c r="E152">
        <v>8134</v>
      </c>
      <c r="F152">
        <v>20.399999999999999</v>
      </c>
      <c r="G152">
        <v>19</v>
      </c>
      <c r="H152">
        <v>1.0736842</v>
      </c>
      <c r="I152">
        <v>-7.3684189999999997E-2</v>
      </c>
      <c r="J152">
        <v>0.48223349999999998</v>
      </c>
    </row>
    <row r="153" spans="1:10" x14ac:dyDescent="0.3">
      <c r="A153">
        <v>151</v>
      </c>
      <c r="B153">
        <v>2402</v>
      </c>
      <c r="C153" t="b">
        <v>1</v>
      </c>
      <c r="D153">
        <v>8065</v>
      </c>
      <c r="E153">
        <v>8129</v>
      </c>
      <c r="F153">
        <v>20</v>
      </c>
      <c r="G153">
        <v>19</v>
      </c>
      <c r="H153">
        <v>1.0526316</v>
      </c>
      <c r="I153">
        <v>-5.2631579999999997E-2</v>
      </c>
      <c r="J153">
        <v>0.48717949999999999</v>
      </c>
    </row>
    <row r="154" spans="1:10" x14ac:dyDescent="0.3">
      <c r="A154">
        <v>152</v>
      </c>
      <c r="B154">
        <v>2418</v>
      </c>
      <c r="C154" t="b">
        <v>1</v>
      </c>
      <c r="D154">
        <v>8065</v>
      </c>
      <c r="E154">
        <v>8134</v>
      </c>
      <c r="F154">
        <v>19.600000000000001</v>
      </c>
      <c r="G154">
        <v>19</v>
      </c>
      <c r="H154">
        <v>1.031579</v>
      </c>
      <c r="I154">
        <v>-3.1578969999999998E-2</v>
      </c>
      <c r="J154">
        <v>0.492228</v>
      </c>
    </row>
    <row r="155" spans="1:10" x14ac:dyDescent="0.3">
      <c r="A155">
        <v>153</v>
      </c>
      <c r="B155">
        <v>2434</v>
      </c>
      <c r="C155" t="b">
        <v>1</v>
      </c>
      <c r="D155">
        <v>8065</v>
      </c>
      <c r="E155">
        <v>8129</v>
      </c>
      <c r="F155">
        <v>19.933332</v>
      </c>
      <c r="G155">
        <v>19</v>
      </c>
      <c r="H155">
        <v>1.0491227999999999</v>
      </c>
      <c r="I155">
        <v>-4.9122762E-2</v>
      </c>
      <c r="J155">
        <v>0.48801368000000001</v>
      </c>
    </row>
    <row r="156" spans="1:10" x14ac:dyDescent="0.3">
      <c r="A156">
        <v>154</v>
      </c>
      <c r="B156">
        <v>2450</v>
      </c>
      <c r="C156" t="b">
        <v>1</v>
      </c>
      <c r="D156">
        <v>8060</v>
      </c>
      <c r="E156">
        <v>8134</v>
      </c>
      <c r="F156">
        <v>20.266666000000001</v>
      </c>
      <c r="G156">
        <v>19</v>
      </c>
      <c r="H156">
        <v>1.0666666</v>
      </c>
      <c r="I156">
        <v>-6.6666655000000005E-2</v>
      </c>
      <c r="J156">
        <v>0.48387098000000001</v>
      </c>
    </row>
    <row r="157" spans="1:10" x14ac:dyDescent="0.3">
      <c r="A157">
        <v>155</v>
      </c>
      <c r="B157">
        <v>2465</v>
      </c>
      <c r="C157" t="b">
        <v>1</v>
      </c>
      <c r="D157">
        <v>8065</v>
      </c>
      <c r="E157">
        <v>8134</v>
      </c>
      <c r="F157">
        <v>20.6</v>
      </c>
      <c r="G157">
        <v>19</v>
      </c>
      <c r="H157">
        <v>1.0842105</v>
      </c>
      <c r="I157">
        <v>-8.4210544999999998E-2</v>
      </c>
      <c r="J157">
        <v>0.479798</v>
      </c>
    </row>
    <row r="158" spans="1:10" x14ac:dyDescent="0.3">
      <c r="A158">
        <v>156</v>
      </c>
      <c r="B158">
        <v>2481</v>
      </c>
      <c r="C158" t="b">
        <v>1</v>
      </c>
      <c r="D158">
        <v>8065</v>
      </c>
      <c r="E158">
        <v>8134</v>
      </c>
      <c r="F158">
        <v>20.6</v>
      </c>
      <c r="G158">
        <v>19</v>
      </c>
      <c r="H158">
        <v>1.0842105</v>
      </c>
      <c r="I158">
        <v>-8.4210544999999998E-2</v>
      </c>
      <c r="J158">
        <v>0.479798</v>
      </c>
    </row>
    <row r="159" spans="1:10" x14ac:dyDescent="0.3">
      <c r="A159">
        <v>157</v>
      </c>
      <c r="B159">
        <v>2497</v>
      </c>
      <c r="C159" t="b">
        <v>1</v>
      </c>
      <c r="D159">
        <v>8060</v>
      </c>
      <c r="E159">
        <v>8129</v>
      </c>
      <c r="F159">
        <v>20.6</v>
      </c>
      <c r="G159">
        <v>19</v>
      </c>
      <c r="H159">
        <v>1.0842105</v>
      </c>
      <c r="I159">
        <v>-8.4210544999999998E-2</v>
      </c>
      <c r="J159">
        <v>0.479798</v>
      </c>
    </row>
    <row r="160" spans="1:10" x14ac:dyDescent="0.3">
      <c r="A160">
        <v>158</v>
      </c>
      <c r="B160">
        <v>2513</v>
      </c>
      <c r="C160" t="b">
        <v>1</v>
      </c>
      <c r="D160">
        <v>8071</v>
      </c>
      <c r="E160">
        <v>8134</v>
      </c>
      <c r="F160">
        <v>20.6</v>
      </c>
      <c r="G160">
        <v>19</v>
      </c>
      <c r="H160">
        <v>1.0842105</v>
      </c>
      <c r="I160">
        <v>-8.4210544999999998E-2</v>
      </c>
      <c r="J160">
        <v>0.479798</v>
      </c>
    </row>
    <row r="161" spans="1:10" x14ac:dyDescent="0.3">
      <c r="A161">
        <v>159</v>
      </c>
      <c r="B161">
        <v>2529</v>
      </c>
      <c r="C161" t="b">
        <v>1</v>
      </c>
      <c r="D161">
        <v>8065</v>
      </c>
      <c r="E161">
        <v>8134</v>
      </c>
      <c r="F161">
        <v>20.6</v>
      </c>
      <c r="G161">
        <v>19</v>
      </c>
      <c r="H161">
        <v>1.0842105</v>
      </c>
      <c r="I161">
        <v>-8.4210544999999998E-2</v>
      </c>
      <c r="J161">
        <v>0.479798</v>
      </c>
    </row>
    <row r="162" spans="1:10" x14ac:dyDescent="0.3">
      <c r="A162">
        <v>160</v>
      </c>
      <c r="B162">
        <v>2545</v>
      </c>
      <c r="C162" t="b">
        <v>1</v>
      </c>
      <c r="D162">
        <v>8065</v>
      </c>
      <c r="E162">
        <v>8129</v>
      </c>
      <c r="F162">
        <v>20.6</v>
      </c>
      <c r="G162">
        <v>19</v>
      </c>
      <c r="H162">
        <v>1.0842105</v>
      </c>
      <c r="I162">
        <v>-8.4210544999999998E-2</v>
      </c>
      <c r="J162">
        <v>0.479798</v>
      </c>
    </row>
    <row r="163" spans="1:10" x14ac:dyDescent="0.3">
      <c r="A163">
        <v>161</v>
      </c>
      <c r="B163">
        <v>2561</v>
      </c>
      <c r="C163" t="b">
        <v>1</v>
      </c>
      <c r="D163">
        <v>8060</v>
      </c>
      <c r="E163">
        <v>8134</v>
      </c>
      <c r="F163">
        <v>20.6</v>
      </c>
      <c r="G163">
        <v>19</v>
      </c>
      <c r="H163">
        <v>1.0842105</v>
      </c>
      <c r="I163">
        <v>-8.4210544999999998E-2</v>
      </c>
      <c r="J163">
        <v>0.479798</v>
      </c>
    </row>
    <row r="164" spans="1:10" x14ac:dyDescent="0.3">
      <c r="A164">
        <v>162</v>
      </c>
      <c r="B164">
        <v>2577</v>
      </c>
      <c r="C164" t="b">
        <v>1</v>
      </c>
      <c r="D164">
        <v>8065</v>
      </c>
      <c r="E164">
        <v>8134</v>
      </c>
      <c r="F164">
        <v>21.333334000000001</v>
      </c>
      <c r="G164">
        <v>19</v>
      </c>
      <c r="H164">
        <v>1.1228070000000001</v>
      </c>
      <c r="I164">
        <v>-0.12280705</v>
      </c>
      <c r="J164">
        <v>0.47107433999999998</v>
      </c>
    </row>
    <row r="165" spans="1:10" x14ac:dyDescent="0.3">
      <c r="A165">
        <v>163</v>
      </c>
      <c r="B165">
        <v>2593</v>
      </c>
      <c r="C165" t="b">
        <v>1</v>
      </c>
      <c r="D165">
        <v>8060</v>
      </c>
      <c r="E165">
        <v>8140</v>
      </c>
      <c r="F165">
        <v>22.066668</v>
      </c>
      <c r="G165">
        <v>19</v>
      </c>
      <c r="H165">
        <v>1.1614035</v>
      </c>
      <c r="I165">
        <v>-0.16140355000000001</v>
      </c>
      <c r="J165">
        <v>0.46266234000000001</v>
      </c>
    </row>
    <row r="166" spans="1:10" x14ac:dyDescent="0.3">
      <c r="A166">
        <v>164</v>
      </c>
      <c r="B166">
        <v>2609</v>
      </c>
      <c r="C166" t="b">
        <v>1</v>
      </c>
      <c r="D166">
        <v>8065</v>
      </c>
      <c r="E166">
        <v>8129</v>
      </c>
      <c r="F166">
        <v>22.8</v>
      </c>
      <c r="G166">
        <v>19</v>
      </c>
      <c r="H166">
        <v>1.1999998999999999</v>
      </c>
      <c r="I166">
        <v>-0.19999996</v>
      </c>
      <c r="J166">
        <v>0.45454547000000001</v>
      </c>
    </row>
    <row r="167" spans="1:10" x14ac:dyDescent="0.3">
      <c r="A167">
        <v>165</v>
      </c>
      <c r="B167">
        <v>2625</v>
      </c>
      <c r="C167" t="b">
        <v>1</v>
      </c>
      <c r="D167">
        <v>8060</v>
      </c>
      <c r="E167">
        <v>8134</v>
      </c>
      <c r="F167">
        <v>23.2</v>
      </c>
      <c r="G167">
        <v>19</v>
      </c>
      <c r="H167">
        <v>1.2210525999999999</v>
      </c>
      <c r="I167">
        <v>-0.22105268</v>
      </c>
      <c r="J167">
        <v>0.45023695000000002</v>
      </c>
    </row>
    <row r="168" spans="1:10" x14ac:dyDescent="0.3">
      <c r="A168">
        <v>166</v>
      </c>
      <c r="B168">
        <v>2641</v>
      </c>
      <c r="C168" t="b">
        <v>1</v>
      </c>
      <c r="D168">
        <v>8065</v>
      </c>
      <c r="E168">
        <v>8129</v>
      </c>
      <c r="F168">
        <v>23.933332</v>
      </c>
      <c r="G168">
        <v>19</v>
      </c>
      <c r="H168">
        <v>1.259649</v>
      </c>
      <c r="I168">
        <v>-0.25964906999999998</v>
      </c>
      <c r="J168">
        <v>0.44254658000000002</v>
      </c>
    </row>
    <row r="169" spans="1:10" x14ac:dyDescent="0.3">
      <c r="A169">
        <v>167</v>
      </c>
      <c r="B169">
        <v>2657</v>
      </c>
      <c r="C169" t="b">
        <v>1</v>
      </c>
      <c r="D169">
        <v>8060</v>
      </c>
      <c r="E169">
        <v>8134</v>
      </c>
      <c r="F169">
        <v>24.333334000000001</v>
      </c>
      <c r="G169">
        <v>19</v>
      </c>
      <c r="H169">
        <v>1.2807017999999999</v>
      </c>
      <c r="I169">
        <v>-0.2807018</v>
      </c>
      <c r="J169">
        <v>0.4384615</v>
      </c>
    </row>
    <row r="170" spans="1:10" x14ac:dyDescent="0.3">
      <c r="A170">
        <v>168</v>
      </c>
      <c r="B170">
        <v>2673</v>
      </c>
      <c r="C170" t="b">
        <v>1</v>
      </c>
      <c r="D170">
        <v>8060</v>
      </c>
      <c r="E170">
        <v>8129</v>
      </c>
      <c r="F170">
        <v>24</v>
      </c>
      <c r="G170">
        <v>18.666665999999999</v>
      </c>
      <c r="H170">
        <v>1.2857144</v>
      </c>
      <c r="I170">
        <v>-0.28571433000000002</v>
      </c>
      <c r="J170">
        <v>0.4375</v>
      </c>
    </row>
    <row r="171" spans="1:10" x14ac:dyDescent="0.3">
      <c r="A171">
        <v>169</v>
      </c>
      <c r="B171">
        <v>2689</v>
      </c>
      <c r="C171" t="b">
        <v>1</v>
      </c>
      <c r="D171">
        <v>8065</v>
      </c>
      <c r="E171">
        <v>8134</v>
      </c>
      <c r="F171">
        <v>23.666665999999999</v>
      </c>
      <c r="G171">
        <v>18.666665999999999</v>
      </c>
      <c r="H171">
        <v>1.2678571999999999</v>
      </c>
      <c r="I171">
        <v>-0.26785715999999998</v>
      </c>
      <c r="J171">
        <v>0.44094487999999998</v>
      </c>
    </row>
    <row r="172" spans="1:10" x14ac:dyDescent="0.3">
      <c r="A172">
        <v>170</v>
      </c>
      <c r="B172">
        <v>2705</v>
      </c>
      <c r="C172" t="b">
        <v>1</v>
      </c>
      <c r="D172">
        <v>8060</v>
      </c>
      <c r="E172">
        <v>8129</v>
      </c>
      <c r="F172">
        <v>23.333334000000001</v>
      </c>
      <c r="G172">
        <v>18.333334000000001</v>
      </c>
      <c r="H172">
        <v>1.2727272999999999</v>
      </c>
      <c r="I172">
        <v>-0.27272724999999998</v>
      </c>
      <c r="J172">
        <v>0.44</v>
      </c>
    </row>
    <row r="173" spans="1:10" x14ac:dyDescent="0.3">
      <c r="A173">
        <v>171</v>
      </c>
      <c r="B173">
        <v>2721</v>
      </c>
      <c r="C173" t="b">
        <v>1</v>
      </c>
      <c r="D173">
        <v>8060</v>
      </c>
      <c r="E173">
        <v>8117</v>
      </c>
      <c r="F173">
        <v>23</v>
      </c>
      <c r="G173">
        <v>18</v>
      </c>
      <c r="H173">
        <v>1.2777778</v>
      </c>
      <c r="I173">
        <v>-0.27777780000000002</v>
      </c>
      <c r="J173">
        <v>0.43902439999999998</v>
      </c>
    </row>
    <row r="174" spans="1:10" x14ac:dyDescent="0.3">
      <c r="A174">
        <v>172</v>
      </c>
      <c r="B174">
        <v>2737</v>
      </c>
      <c r="C174" t="b">
        <v>1</v>
      </c>
      <c r="D174">
        <v>8060</v>
      </c>
      <c r="E174">
        <v>8129</v>
      </c>
      <c r="F174">
        <v>22.666665999999999</v>
      </c>
      <c r="G174">
        <v>17.666665999999999</v>
      </c>
      <c r="H174">
        <v>1.2830188</v>
      </c>
      <c r="I174">
        <v>-0.28301890000000002</v>
      </c>
      <c r="J174">
        <v>0.43801653000000002</v>
      </c>
    </row>
    <row r="175" spans="1:10" x14ac:dyDescent="0.3">
      <c r="A175">
        <v>173</v>
      </c>
      <c r="B175">
        <v>2752</v>
      </c>
      <c r="C175" t="b">
        <v>1</v>
      </c>
      <c r="D175">
        <v>8060</v>
      </c>
      <c r="E175">
        <v>8134</v>
      </c>
      <c r="F175">
        <v>22.333334000000001</v>
      </c>
      <c r="G175">
        <v>17.333334000000001</v>
      </c>
      <c r="H175">
        <v>1.2884616</v>
      </c>
      <c r="I175">
        <v>-0.28846154000000002</v>
      </c>
      <c r="J175">
        <v>0.4369748</v>
      </c>
    </row>
    <row r="176" spans="1:10" x14ac:dyDescent="0.3">
      <c r="A176">
        <v>174</v>
      </c>
      <c r="B176">
        <v>2768</v>
      </c>
      <c r="C176" t="b">
        <v>1</v>
      </c>
      <c r="D176">
        <v>8071</v>
      </c>
      <c r="E176">
        <v>8134</v>
      </c>
      <c r="F176">
        <v>22</v>
      </c>
      <c r="G176">
        <v>17</v>
      </c>
      <c r="H176">
        <v>1.2941176999999999</v>
      </c>
      <c r="I176">
        <v>-0.29411766</v>
      </c>
      <c r="J176">
        <v>0.43589744000000002</v>
      </c>
    </row>
    <row r="177" spans="1:10" x14ac:dyDescent="0.3">
      <c r="A177">
        <v>175</v>
      </c>
      <c r="B177">
        <v>2784</v>
      </c>
      <c r="C177" t="b">
        <v>1</v>
      </c>
      <c r="D177">
        <v>8065</v>
      </c>
      <c r="E177">
        <v>8134</v>
      </c>
      <c r="F177">
        <v>21.666665999999999</v>
      </c>
      <c r="G177">
        <v>17</v>
      </c>
      <c r="H177">
        <v>1.2745097999999999</v>
      </c>
      <c r="I177">
        <v>-0.27450975999999999</v>
      </c>
      <c r="J177">
        <v>0.43965520000000002</v>
      </c>
    </row>
    <row r="178" spans="1:10" x14ac:dyDescent="0.3">
      <c r="A178">
        <v>176</v>
      </c>
      <c r="B178">
        <v>2800</v>
      </c>
      <c r="C178" t="b">
        <v>1</v>
      </c>
      <c r="D178">
        <v>8065</v>
      </c>
      <c r="E178">
        <v>8129</v>
      </c>
      <c r="F178">
        <v>21.666665999999999</v>
      </c>
      <c r="G178">
        <v>17</v>
      </c>
      <c r="H178">
        <v>1.2745097999999999</v>
      </c>
      <c r="I178">
        <v>-0.27450975999999999</v>
      </c>
      <c r="J178">
        <v>0.43965520000000002</v>
      </c>
    </row>
    <row r="179" spans="1:10" x14ac:dyDescent="0.3">
      <c r="A179">
        <v>177</v>
      </c>
      <c r="B179">
        <v>2816</v>
      </c>
      <c r="C179" t="b">
        <v>1</v>
      </c>
      <c r="D179">
        <v>8060</v>
      </c>
      <c r="E179">
        <v>8140</v>
      </c>
      <c r="F179">
        <v>21.666665999999999</v>
      </c>
      <c r="G179">
        <v>17</v>
      </c>
      <c r="H179">
        <v>1.2745097999999999</v>
      </c>
      <c r="I179">
        <v>-0.27450975999999999</v>
      </c>
      <c r="J179">
        <v>0.43965520000000002</v>
      </c>
    </row>
    <row r="180" spans="1:10" x14ac:dyDescent="0.3">
      <c r="A180">
        <v>178</v>
      </c>
      <c r="B180">
        <v>2832</v>
      </c>
      <c r="C180" t="b">
        <v>1</v>
      </c>
      <c r="D180">
        <v>8060</v>
      </c>
      <c r="E180">
        <v>8134</v>
      </c>
      <c r="F180">
        <v>21.666665999999999</v>
      </c>
      <c r="G180">
        <v>17</v>
      </c>
      <c r="H180">
        <v>1.2745097999999999</v>
      </c>
      <c r="I180">
        <v>-0.27450975999999999</v>
      </c>
      <c r="J180">
        <v>0.43965520000000002</v>
      </c>
    </row>
    <row r="181" spans="1:10" x14ac:dyDescent="0.3">
      <c r="A181">
        <v>179</v>
      </c>
      <c r="B181">
        <v>2848</v>
      </c>
      <c r="C181" t="b">
        <v>1</v>
      </c>
      <c r="D181">
        <v>8060</v>
      </c>
      <c r="E181">
        <v>8134</v>
      </c>
      <c r="F181">
        <v>21.333334000000001</v>
      </c>
      <c r="G181">
        <v>17</v>
      </c>
      <c r="H181">
        <v>1.254902</v>
      </c>
      <c r="I181">
        <v>-0.25490200000000002</v>
      </c>
      <c r="J181">
        <v>0.44347822999999997</v>
      </c>
    </row>
    <row r="182" spans="1:10" x14ac:dyDescent="0.3">
      <c r="A182">
        <v>180</v>
      </c>
      <c r="B182">
        <v>2864</v>
      </c>
      <c r="C182" t="b">
        <v>1</v>
      </c>
      <c r="D182">
        <v>8065</v>
      </c>
      <c r="E182">
        <v>8134</v>
      </c>
      <c r="F182">
        <v>21.333334000000001</v>
      </c>
      <c r="G182">
        <v>17</v>
      </c>
      <c r="H182">
        <v>1.254902</v>
      </c>
      <c r="I182">
        <v>-0.25490200000000002</v>
      </c>
      <c r="J182">
        <v>0.44347822999999997</v>
      </c>
    </row>
    <row r="183" spans="1:10" x14ac:dyDescent="0.3">
      <c r="A183">
        <v>181</v>
      </c>
      <c r="B183">
        <v>2879</v>
      </c>
      <c r="C183" t="b">
        <v>1</v>
      </c>
      <c r="D183">
        <v>8065</v>
      </c>
      <c r="E183">
        <v>8134</v>
      </c>
      <c r="F183">
        <v>21</v>
      </c>
      <c r="G183">
        <v>17</v>
      </c>
      <c r="H183">
        <v>1.2352941</v>
      </c>
      <c r="I183">
        <v>-0.23529412</v>
      </c>
      <c r="J183">
        <v>0.4473684</v>
      </c>
    </row>
    <row r="184" spans="1:10" x14ac:dyDescent="0.3">
      <c r="A184">
        <v>182</v>
      </c>
      <c r="B184">
        <v>2895</v>
      </c>
      <c r="C184" t="b">
        <v>1</v>
      </c>
      <c r="D184">
        <v>8065</v>
      </c>
      <c r="E184">
        <v>8129</v>
      </c>
      <c r="F184">
        <v>21.333334000000001</v>
      </c>
      <c r="G184">
        <v>17</v>
      </c>
      <c r="H184">
        <v>1.254902</v>
      </c>
      <c r="I184">
        <v>-0.25490200000000002</v>
      </c>
      <c r="J184">
        <v>0.44347822999999997</v>
      </c>
    </row>
    <row r="185" spans="1:10" x14ac:dyDescent="0.3">
      <c r="A185">
        <v>183</v>
      </c>
      <c r="B185">
        <v>2912</v>
      </c>
      <c r="C185" t="b">
        <v>1</v>
      </c>
      <c r="D185">
        <v>8060</v>
      </c>
      <c r="E185">
        <v>8129</v>
      </c>
      <c r="F185">
        <v>21.666665999999999</v>
      </c>
      <c r="G185">
        <v>17.333334000000001</v>
      </c>
      <c r="H185">
        <v>1.2499998999999999</v>
      </c>
      <c r="I185">
        <v>-0.24999990999999999</v>
      </c>
      <c r="J185">
        <v>0.44444444999999999</v>
      </c>
    </row>
    <row r="186" spans="1:10" x14ac:dyDescent="0.3">
      <c r="A186">
        <v>184</v>
      </c>
      <c r="B186">
        <v>2927</v>
      </c>
      <c r="C186" t="b">
        <v>1</v>
      </c>
      <c r="D186">
        <v>8060</v>
      </c>
      <c r="E186">
        <v>8134</v>
      </c>
      <c r="F186">
        <v>22</v>
      </c>
      <c r="G186">
        <v>17.333334000000001</v>
      </c>
      <c r="H186">
        <v>1.2692307</v>
      </c>
      <c r="I186">
        <v>-0.26923071999999998</v>
      </c>
      <c r="J186">
        <v>0.44067793999999999</v>
      </c>
    </row>
    <row r="187" spans="1:10" x14ac:dyDescent="0.3">
      <c r="A187">
        <v>185</v>
      </c>
      <c r="B187">
        <v>2943</v>
      </c>
      <c r="C187" t="b">
        <v>1</v>
      </c>
      <c r="D187">
        <v>8060</v>
      </c>
      <c r="E187">
        <v>8129</v>
      </c>
      <c r="F187">
        <v>22</v>
      </c>
      <c r="G187">
        <v>17.333334000000001</v>
      </c>
      <c r="H187">
        <v>1.2692307</v>
      </c>
      <c r="I187">
        <v>-0.26923071999999998</v>
      </c>
      <c r="J187">
        <v>0.44067793999999999</v>
      </c>
    </row>
    <row r="188" spans="1:10" x14ac:dyDescent="0.3">
      <c r="A188">
        <v>186</v>
      </c>
      <c r="B188">
        <v>2959</v>
      </c>
      <c r="C188" t="b">
        <v>1</v>
      </c>
      <c r="D188">
        <v>8060</v>
      </c>
      <c r="E188">
        <v>8134</v>
      </c>
      <c r="F188">
        <v>22</v>
      </c>
      <c r="G188">
        <v>17.333334000000001</v>
      </c>
      <c r="H188">
        <v>1.2692307</v>
      </c>
      <c r="I188">
        <v>-0.26923071999999998</v>
      </c>
      <c r="J188">
        <v>0.44067793999999999</v>
      </c>
    </row>
    <row r="189" spans="1:10" x14ac:dyDescent="0.3">
      <c r="A189">
        <v>187</v>
      </c>
      <c r="B189">
        <v>2975</v>
      </c>
      <c r="C189" t="b">
        <v>1</v>
      </c>
      <c r="D189">
        <v>8065</v>
      </c>
      <c r="E189">
        <v>8129</v>
      </c>
      <c r="F189">
        <v>22</v>
      </c>
      <c r="G189">
        <v>17.333334000000001</v>
      </c>
      <c r="H189">
        <v>1.2692307</v>
      </c>
      <c r="I189">
        <v>-0.26923071999999998</v>
      </c>
      <c r="J189">
        <v>0.44067793999999999</v>
      </c>
    </row>
    <row r="190" spans="1:10" x14ac:dyDescent="0.3">
      <c r="A190">
        <v>188</v>
      </c>
      <c r="B190">
        <v>2991</v>
      </c>
      <c r="C190" t="b">
        <v>1</v>
      </c>
      <c r="D190">
        <v>8065</v>
      </c>
      <c r="E190">
        <v>8134</v>
      </c>
      <c r="F190">
        <v>22</v>
      </c>
      <c r="G190">
        <v>17.666665999999999</v>
      </c>
      <c r="H190">
        <v>1.2452829999999999</v>
      </c>
      <c r="I190">
        <v>-0.24528306999999999</v>
      </c>
      <c r="J190">
        <v>0.44537814999999997</v>
      </c>
    </row>
    <row r="191" spans="1:10" x14ac:dyDescent="0.3">
      <c r="A191">
        <v>189</v>
      </c>
      <c r="B191">
        <v>3007</v>
      </c>
      <c r="C191" t="b">
        <v>1</v>
      </c>
      <c r="D191">
        <v>8065</v>
      </c>
      <c r="E191">
        <v>8134</v>
      </c>
      <c r="F191">
        <v>22.333334000000001</v>
      </c>
      <c r="G191">
        <v>18</v>
      </c>
      <c r="H191">
        <v>1.2407408</v>
      </c>
      <c r="I191">
        <v>-0.24074077999999999</v>
      </c>
      <c r="J191">
        <v>0.44628096</v>
      </c>
    </row>
    <row r="192" spans="1:10" x14ac:dyDescent="0.3">
      <c r="A192">
        <v>190</v>
      </c>
      <c r="B192">
        <v>3022</v>
      </c>
      <c r="C192" t="b">
        <v>1</v>
      </c>
      <c r="D192">
        <v>8065</v>
      </c>
      <c r="E192">
        <v>8134</v>
      </c>
      <c r="F192">
        <v>22.666665999999999</v>
      </c>
      <c r="G192">
        <v>18</v>
      </c>
      <c r="H192">
        <v>1.2592592</v>
      </c>
      <c r="I192">
        <v>-0.25925922000000001</v>
      </c>
      <c r="J192">
        <v>0.44262299999999999</v>
      </c>
    </row>
    <row r="193" spans="1:10" x14ac:dyDescent="0.3">
      <c r="A193">
        <v>191</v>
      </c>
      <c r="B193">
        <v>3038</v>
      </c>
      <c r="C193" t="b">
        <v>1</v>
      </c>
      <c r="D193">
        <v>8060</v>
      </c>
      <c r="E193">
        <v>8134</v>
      </c>
      <c r="F193">
        <v>22.666665999999999</v>
      </c>
      <c r="G193">
        <v>18</v>
      </c>
      <c r="H193">
        <v>1.2592592</v>
      </c>
      <c r="I193">
        <v>-0.25925922000000001</v>
      </c>
      <c r="J193">
        <v>0.44262299999999999</v>
      </c>
    </row>
    <row r="194" spans="1:10" x14ac:dyDescent="0.3">
      <c r="A194">
        <v>192</v>
      </c>
      <c r="B194">
        <v>3054</v>
      </c>
      <c r="C194" t="b">
        <v>1</v>
      </c>
      <c r="D194">
        <v>8060</v>
      </c>
      <c r="E194">
        <v>8134</v>
      </c>
      <c r="F194">
        <v>22.666665999999999</v>
      </c>
      <c r="G194">
        <v>18</v>
      </c>
      <c r="H194">
        <v>1.2592592</v>
      </c>
      <c r="I194">
        <v>-0.25925922000000001</v>
      </c>
      <c r="J194">
        <v>0.44262299999999999</v>
      </c>
    </row>
    <row r="195" spans="1:10" x14ac:dyDescent="0.3">
      <c r="A195">
        <v>193</v>
      </c>
      <c r="B195">
        <v>3070</v>
      </c>
      <c r="C195" t="b">
        <v>1</v>
      </c>
      <c r="D195">
        <v>8071</v>
      </c>
      <c r="E195">
        <v>8134</v>
      </c>
      <c r="F195">
        <v>22.666665999999999</v>
      </c>
      <c r="G195">
        <v>18</v>
      </c>
      <c r="H195">
        <v>1.2592592</v>
      </c>
      <c r="I195">
        <v>-0.25925922000000001</v>
      </c>
      <c r="J195">
        <v>0.44262299999999999</v>
      </c>
    </row>
    <row r="196" spans="1:10" x14ac:dyDescent="0.3">
      <c r="A196">
        <v>194</v>
      </c>
      <c r="B196">
        <v>3086</v>
      </c>
      <c r="C196" t="b">
        <v>1</v>
      </c>
      <c r="D196">
        <v>8065</v>
      </c>
      <c r="E196">
        <v>8134</v>
      </c>
      <c r="F196">
        <v>23</v>
      </c>
      <c r="G196">
        <v>18</v>
      </c>
      <c r="H196">
        <v>1.2777778</v>
      </c>
      <c r="I196">
        <v>-0.27777780000000002</v>
      </c>
      <c r="J196">
        <v>0.43902439999999998</v>
      </c>
    </row>
    <row r="197" spans="1:10" x14ac:dyDescent="0.3">
      <c r="A197">
        <v>195</v>
      </c>
      <c r="B197">
        <v>3102</v>
      </c>
      <c r="C197" t="b">
        <v>1</v>
      </c>
      <c r="D197">
        <v>8065</v>
      </c>
      <c r="E197">
        <v>8134</v>
      </c>
      <c r="F197">
        <v>23.333334000000001</v>
      </c>
      <c r="G197">
        <v>18</v>
      </c>
      <c r="H197">
        <v>1.2962963999999999</v>
      </c>
      <c r="I197">
        <v>-0.29629633</v>
      </c>
      <c r="J197">
        <v>0.43548384000000001</v>
      </c>
    </row>
    <row r="198" spans="1:10" x14ac:dyDescent="0.3">
      <c r="A198">
        <v>196</v>
      </c>
      <c r="B198">
        <v>3118</v>
      </c>
      <c r="C198" t="b">
        <v>1</v>
      </c>
      <c r="D198">
        <v>8060</v>
      </c>
      <c r="E198">
        <v>8134</v>
      </c>
      <c r="F198">
        <v>23.666665999999999</v>
      </c>
      <c r="G198">
        <v>18</v>
      </c>
      <c r="H198">
        <v>1.3148148</v>
      </c>
      <c r="I198">
        <v>-0.31481478000000002</v>
      </c>
      <c r="J198">
        <v>0.43200003999999997</v>
      </c>
    </row>
    <row r="199" spans="1:10" x14ac:dyDescent="0.3">
      <c r="A199">
        <v>197</v>
      </c>
      <c r="B199">
        <v>3134</v>
      </c>
      <c r="C199" t="b">
        <v>1</v>
      </c>
      <c r="D199">
        <v>8060</v>
      </c>
      <c r="E199">
        <v>8134</v>
      </c>
      <c r="F199">
        <v>23.666665999999999</v>
      </c>
      <c r="G199">
        <v>18</v>
      </c>
      <c r="H199">
        <v>1.3148148</v>
      </c>
      <c r="I199">
        <v>-0.31481478000000002</v>
      </c>
      <c r="J199">
        <v>0.43200003999999997</v>
      </c>
    </row>
    <row r="200" spans="1:10" x14ac:dyDescent="0.3">
      <c r="A200">
        <v>198</v>
      </c>
      <c r="B200">
        <v>3150</v>
      </c>
      <c r="C200" t="b">
        <v>1</v>
      </c>
      <c r="D200">
        <v>8060</v>
      </c>
      <c r="E200">
        <v>8134</v>
      </c>
      <c r="F200">
        <v>23.333334000000001</v>
      </c>
      <c r="G200">
        <v>18</v>
      </c>
      <c r="H200">
        <v>1.2962963999999999</v>
      </c>
      <c r="I200">
        <v>-0.29629633</v>
      </c>
      <c r="J200">
        <v>0.43548384000000001</v>
      </c>
    </row>
    <row r="201" spans="1:10" x14ac:dyDescent="0.3">
      <c r="A201">
        <v>199</v>
      </c>
      <c r="B201">
        <v>3166</v>
      </c>
      <c r="C201" t="b">
        <v>1</v>
      </c>
      <c r="D201">
        <v>8060</v>
      </c>
      <c r="E201">
        <v>8134</v>
      </c>
      <c r="F201">
        <v>23</v>
      </c>
      <c r="G201">
        <v>18</v>
      </c>
      <c r="H201">
        <v>1.2777778</v>
      </c>
      <c r="I201">
        <v>-0.27777780000000002</v>
      </c>
      <c r="J201">
        <v>0.43902439999999998</v>
      </c>
    </row>
    <row r="202" spans="1:10" x14ac:dyDescent="0.3">
      <c r="A202">
        <v>200</v>
      </c>
      <c r="B202">
        <v>3182</v>
      </c>
      <c r="C202" t="b">
        <v>1</v>
      </c>
      <c r="D202">
        <v>8060</v>
      </c>
      <c r="E202">
        <v>8129</v>
      </c>
      <c r="F202">
        <v>23</v>
      </c>
      <c r="G202">
        <v>18.333334000000001</v>
      </c>
      <c r="H202">
        <v>1.2545455000000001</v>
      </c>
      <c r="I202">
        <v>-0.25454542000000002</v>
      </c>
      <c r="J202">
        <v>0.44354838000000002</v>
      </c>
    </row>
    <row r="203" spans="1:10" x14ac:dyDescent="0.3">
      <c r="A203">
        <v>201</v>
      </c>
      <c r="B203">
        <v>3198</v>
      </c>
      <c r="C203" t="b">
        <v>1</v>
      </c>
      <c r="D203">
        <v>8060</v>
      </c>
      <c r="E203">
        <v>8129</v>
      </c>
      <c r="F203">
        <v>23</v>
      </c>
      <c r="G203">
        <v>18.666665999999999</v>
      </c>
      <c r="H203">
        <v>1.2321428999999999</v>
      </c>
      <c r="I203">
        <v>-0.23214290000000001</v>
      </c>
      <c r="J203">
        <v>0.44800000000000001</v>
      </c>
    </row>
    <row r="204" spans="1:10" x14ac:dyDescent="0.3">
      <c r="A204">
        <v>202</v>
      </c>
      <c r="B204">
        <v>3214</v>
      </c>
      <c r="C204" t="b">
        <v>1</v>
      </c>
      <c r="D204">
        <v>8060</v>
      </c>
      <c r="E204">
        <v>8129</v>
      </c>
      <c r="F204">
        <v>23</v>
      </c>
      <c r="G204">
        <v>18.666665999999999</v>
      </c>
      <c r="H204">
        <v>1.2321428999999999</v>
      </c>
      <c r="I204">
        <v>-0.23214290000000001</v>
      </c>
      <c r="J204">
        <v>0.44800000000000001</v>
      </c>
    </row>
    <row r="205" spans="1:10" x14ac:dyDescent="0.3">
      <c r="A205">
        <v>203</v>
      </c>
      <c r="B205">
        <v>3230</v>
      </c>
      <c r="C205" t="b">
        <v>1</v>
      </c>
      <c r="D205">
        <v>8060</v>
      </c>
      <c r="E205">
        <v>8129</v>
      </c>
      <c r="F205">
        <v>23</v>
      </c>
      <c r="G205">
        <v>18.333334000000001</v>
      </c>
      <c r="H205">
        <v>1.2545455000000001</v>
      </c>
      <c r="I205">
        <v>-0.25454542000000002</v>
      </c>
      <c r="J205">
        <v>0.44354838000000002</v>
      </c>
    </row>
    <row r="206" spans="1:10" x14ac:dyDescent="0.3">
      <c r="A206">
        <v>204</v>
      </c>
      <c r="B206">
        <v>3246</v>
      </c>
      <c r="C206" t="b">
        <v>1</v>
      </c>
      <c r="D206">
        <v>8060</v>
      </c>
      <c r="E206">
        <v>8134</v>
      </c>
      <c r="F206">
        <v>22.666665999999999</v>
      </c>
      <c r="G206">
        <v>18</v>
      </c>
      <c r="H206">
        <v>1.2592592</v>
      </c>
      <c r="I206">
        <v>-0.25925922000000001</v>
      </c>
      <c r="J206">
        <v>0.44262299999999999</v>
      </c>
    </row>
    <row r="207" spans="1:10" x14ac:dyDescent="0.3">
      <c r="A207">
        <v>205</v>
      </c>
      <c r="B207">
        <v>3262</v>
      </c>
      <c r="C207" t="b">
        <v>1</v>
      </c>
      <c r="D207">
        <v>8060</v>
      </c>
      <c r="E207">
        <v>8134</v>
      </c>
      <c r="F207">
        <v>22.333334000000001</v>
      </c>
      <c r="G207">
        <v>17.666665999999999</v>
      </c>
      <c r="H207">
        <v>1.264151</v>
      </c>
      <c r="I207">
        <v>-0.26415104</v>
      </c>
      <c r="J207">
        <v>0.44166665999999999</v>
      </c>
    </row>
    <row r="208" spans="1:10" x14ac:dyDescent="0.3">
      <c r="A208">
        <v>206</v>
      </c>
      <c r="B208">
        <v>3278</v>
      </c>
      <c r="C208" t="b">
        <v>1</v>
      </c>
      <c r="D208">
        <v>8060</v>
      </c>
      <c r="E208">
        <v>8134</v>
      </c>
      <c r="F208">
        <v>22</v>
      </c>
      <c r="G208">
        <v>17.666665999999999</v>
      </c>
      <c r="H208">
        <v>1.2452829999999999</v>
      </c>
      <c r="I208">
        <v>-0.24528306999999999</v>
      </c>
      <c r="J208">
        <v>0.44537814999999997</v>
      </c>
    </row>
    <row r="209" spans="1:10" x14ac:dyDescent="0.3">
      <c r="A209">
        <v>207</v>
      </c>
      <c r="B209">
        <v>3294</v>
      </c>
      <c r="C209" t="b">
        <v>1</v>
      </c>
      <c r="D209">
        <v>8065</v>
      </c>
      <c r="E209">
        <v>8134</v>
      </c>
      <c r="F209">
        <v>21.666665999999999</v>
      </c>
      <c r="G209">
        <v>17.666665999999999</v>
      </c>
      <c r="H209">
        <v>1.2264151999999999</v>
      </c>
      <c r="I209">
        <v>-0.22641510000000001</v>
      </c>
      <c r="J209">
        <v>0.44915252999999999</v>
      </c>
    </row>
    <row r="210" spans="1:10" x14ac:dyDescent="0.3">
      <c r="A210">
        <v>208</v>
      </c>
      <c r="B210">
        <v>3310</v>
      </c>
      <c r="C210" t="b">
        <v>1</v>
      </c>
      <c r="D210">
        <v>8060</v>
      </c>
      <c r="E210">
        <v>8134</v>
      </c>
      <c r="F210">
        <v>21.333334000000001</v>
      </c>
      <c r="G210">
        <v>17.666665999999999</v>
      </c>
      <c r="H210">
        <v>1.2075473000000001</v>
      </c>
      <c r="I210">
        <v>-0.20754724999999999</v>
      </c>
      <c r="J210">
        <v>0.45299142999999997</v>
      </c>
    </row>
    <row r="211" spans="1:10" x14ac:dyDescent="0.3">
      <c r="A211">
        <v>209</v>
      </c>
      <c r="B211">
        <v>3326</v>
      </c>
      <c r="C211" t="b">
        <v>1</v>
      </c>
      <c r="D211">
        <v>8060</v>
      </c>
      <c r="E211">
        <v>8134</v>
      </c>
      <c r="F211">
        <v>21</v>
      </c>
      <c r="G211">
        <v>17.666665999999999</v>
      </c>
      <c r="H211">
        <v>1.1886793</v>
      </c>
      <c r="I211">
        <v>-0.18867929999999999</v>
      </c>
      <c r="J211">
        <v>0.45689657</v>
      </c>
    </row>
    <row r="212" spans="1:10" x14ac:dyDescent="0.3">
      <c r="A212">
        <v>210</v>
      </c>
      <c r="B212">
        <v>3342</v>
      </c>
      <c r="C212" t="b">
        <v>1</v>
      </c>
      <c r="D212">
        <v>8065</v>
      </c>
      <c r="E212">
        <v>8134</v>
      </c>
      <c r="F212">
        <v>20.666665999999999</v>
      </c>
      <c r="G212">
        <v>17.666665999999999</v>
      </c>
      <c r="H212">
        <v>1.1698113999999999</v>
      </c>
      <c r="I212">
        <v>-0.16981131999999999</v>
      </c>
      <c r="J212">
        <v>0.46086955000000002</v>
      </c>
    </row>
    <row r="213" spans="1:10" x14ac:dyDescent="0.3">
      <c r="A213">
        <v>211</v>
      </c>
      <c r="B213">
        <v>3358</v>
      </c>
      <c r="C213" t="b">
        <v>1</v>
      </c>
      <c r="D213">
        <v>8065</v>
      </c>
      <c r="E213">
        <v>8129</v>
      </c>
      <c r="F213">
        <v>20.666665999999999</v>
      </c>
      <c r="G213">
        <v>17.666665999999999</v>
      </c>
      <c r="H213">
        <v>1.1698113999999999</v>
      </c>
      <c r="I213">
        <v>-0.16981131999999999</v>
      </c>
      <c r="J213">
        <v>0.46086955000000002</v>
      </c>
    </row>
    <row r="214" spans="1:10" x14ac:dyDescent="0.3">
      <c r="A214">
        <v>212</v>
      </c>
      <c r="B214">
        <v>3374</v>
      </c>
      <c r="C214" t="b">
        <v>1</v>
      </c>
      <c r="D214">
        <v>8065</v>
      </c>
      <c r="E214">
        <v>8129</v>
      </c>
      <c r="F214">
        <v>20.666665999999999</v>
      </c>
      <c r="G214">
        <v>17.666665999999999</v>
      </c>
      <c r="H214">
        <v>1.1698113999999999</v>
      </c>
      <c r="I214">
        <v>-0.16981131999999999</v>
      </c>
      <c r="J214">
        <v>0.46086955000000002</v>
      </c>
    </row>
    <row r="215" spans="1:10" x14ac:dyDescent="0.3">
      <c r="A215">
        <v>213</v>
      </c>
      <c r="B215">
        <v>3389</v>
      </c>
      <c r="C215" t="b">
        <v>1</v>
      </c>
      <c r="D215">
        <v>8065</v>
      </c>
      <c r="E215">
        <v>8129</v>
      </c>
      <c r="F215">
        <v>21</v>
      </c>
      <c r="G215">
        <v>17.333334000000001</v>
      </c>
      <c r="H215">
        <v>1.2115384</v>
      </c>
      <c r="I215">
        <v>-0.21153842</v>
      </c>
      <c r="J215">
        <v>0.45217390000000002</v>
      </c>
    </row>
    <row r="216" spans="1:10" x14ac:dyDescent="0.3">
      <c r="A216">
        <v>214</v>
      </c>
      <c r="B216">
        <v>3405</v>
      </c>
      <c r="C216" t="b">
        <v>1</v>
      </c>
      <c r="D216">
        <v>8054</v>
      </c>
      <c r="E216">
        <v>8129</v>
      </c>
      <c r="F216">
        <v>21.333334000000001</v>
      </c>
      <c r="G216">
        <v>17</v>
      </c>
      <c r="H216">
        <v>1.254902</v>
      </c>
      <c r="I216">
        <v>-0.25490200000000002</v>
      </c>
      <c r="J216">
        <v>0.44347822999999997</v>
      </c>
    </row>
    <row r="217" spans="1:10" x14ac:dyDescent="0.3">
      <c r="A217">
        <v>215</v>
      </c>
      <c r="B217">
        <v>3421</v>
      </c>
      <c r="C217" t="b">
        <v>1</v>
      </c>
      <c r="D217">
        <v>8060</v>
      </c>
      <c r="E217">
        <v>8117</v>
      </c>
      <c r="F217">
        <v>21.666665999999999</v>
      </c>
      <c r="G217">
        <v>16.666665999999999</v>
      </c>
      <c r="H217">
        <v>1.3</v>
      </c>
      <c r="I217">
        <v>-0.3</v>
      </c>
      <c r="J217">
        <v>0.43478260000000002</v>
      </c>
    </row>
    <row r="218" spans="1:10" x14ac:dyDescent="0.3">
      <c r="A218">
        <v>216</v>
      </c>
      <c r="B218">
        <v>3437</v>
      </c>
      <c r="C218" t="b">
        <v>1</v>
      </c>
      <c r="D218">
        <v>8060</v>
      </c>
      <c r="E218">
        <v>8129</v>
      </c>
      <c r="F218">
        <v>21.666665999999999</v>
      </c>
      <c r="G218">
        <v>16.333334000000001</v>
      </c>
      <c r="H218">
        <v>1.3265305999999999</v>
      </c>
      <c r="I218">
        <v>-0.32653051999999999</v>
      </c>
      <c r="J218">
        <v>0.4298246</v>
      </c>
    </row>
    <row r="219" spans="1:10" x14ac:dyDescent="0.3">
      <c r="A219">
        <v>217</v>
      </c>
      <c r="B219">
        <v>3453</v>
      </c>
      <c r="C219" t="b">
        <v>1</v>
      </c>
      <c r="D219">
        <v>8071</v>
      </c>
      <c r="E219">
        <v>8129</v>
      </c>
      <c r="F219">
        <v>21.666665999999999</v>
      </c>
      <c r="G219">
        <v>16.333334000000001</v>
      </c>
      <c r="H219">
        <v>1.3265305999999999</v>
      </c>
      <c r="I219">
        <v>-0.32653051999999999</v>
      </c>
      <c r="J219">
        <v>0.4298246</v>
      </c>
    </row>
    <row r="220" spans="1:10" x14ac:dyDescent="0.3">
      <c r="A220">
        <v>218</v>
      </c>
      <c r="B220">
        <v>3469</v>
      </c>
      <c r="C220" t="b">
        <v>1</v>
      </c>
      <c r="D220">
        <v>8060</v>
      </c>
      <c r="E220">
        <v>8129</v>
      </c>
      <c r="F220">
        <v>21.666665999999999</v>
      </c>
      <c r="G220">
        <v>16.333334000000001</v>
      </c>
      <c r="H220">
        <v>1.3265305999999999</v>
      </c>
      <c r="I220">
        <v>-0.32653051999999999</v>
      </c>
      <c r="J220">
        <v>0.4298246</v>
      </c>
    </row>
    <row r="221" spans="1:10" x14ac:dyDescent="0.3">
      <c r="A221">
        <v>219</v>
      </c>
      <c r="B221">
        <v>3485</v>
      </c>
      <c r="C221" t="b">
        <v>1</v>
      </c>
      <c r="D221">
        <v>8060</v>
      </c>
      <c r="E221">
        <v>8123</v>
      </c>
      <c r="F221">
        <v>21.666665999999999</v>
      </c>
      <c r="G221">
        <v>16.333334000000001</v>
      </c>
      <c r="H221">
        <v>1.3265305999999999</v>
      </c>
      <c r="I221">
        <v>-0.32653051999999999</v>
      </c>
      <c r="J221">
        <v>0.4298246</v>
      </c>
    </row>
    <row r="222" spans="1:10" x14ac:dyDescent="0.3">
      <c r="A222">
        <v>220</v>
      </c>
      <c r="B222">
        <v>3501</v>
      </c>
      <c r="C222" t="b">
        <v>1</v>
      </c>
      <c r="D222">
        <v>8065</v>
      </c>
      <c r="E222">
        <v>8129</v>
      </c>
      <c r="F222">
        <v>21.666665999999999</v>
      </c>
      <c r="G222">
        <v>16.333334000000001</v>
      </c>
      <c r="H222">
        <v>1.3265305999999999</v>
      </c>
      <c r="I222">
        <v>-0.32653051999999999</v>
      </c>
      <c r="J222">
        <v>0.4298246</v>
      </c>
    </row>
    <row r="223" spans="1:10" x14ac:dyDescent="0.3">
      <c r="A223">
        <v>221</v>
      </c>
      <c r="B223">
        <v>3517</v>
      </c>
      <c r="C223" t="b">
        <v>1</v>
      </c>
      <c r="D223">
        <v>8071</v>
      </c>
      <c r="E223">
        <v>8129</v>
      </c>
      <c r="F223">
        <v>22</v>
      </c>
      <c r="G223">
        <v>16</v>
      </c>
      <c r="H223">
        <v>1.375</v>
      </c>
      <c r="I223">
        <v>-0.375</v>
      </c>
      <c r="J223">
        <v>0.42105262999999998</v>
      </c>
    </row>
    <row r="224" spans="1:10" x14ac:dyDescent="0.3">
      <c r="A224">
        <v>222</v>
      </c>
      <c r="B224">
        <v>3533</v>
      </c>
      <c r="C224" t="b">
        <v>1</v>
      </c>
      <c r="D224">
        <v>8060</v>
      </c>
      <c r="E224">
        <v>8123</v>
      </c>
      <c r="F224">
        <v>22</v>
      </c>
      <c r="G224">
        <v>15.666667</v>
      </c>
      <c r="H224">
        <v>1.4042553</v>
      </c>
      <c r="I224">
        <v>-0.40425529999999998</v>
      </c>
      <c r="J224">
        <v>0.4159292</v>
      </c>
    </row>
    <row r="225" spans="1:10" x14ac:dyDescent="0.3">
      <c r="A225">
        <v>223</v>
      </c>
      <c r="B225">
        <v>3549</v>
      </c>
      <c r="C225" t="b">
        <v>1</v>
      </c>
      <c r="D225">
        <v>8060</v>
      </c>
      <c r="E225">
        <v>8129</v>
      </c>
      <c r="F225">
        <v>22</v>
      </c>
      <c r="G225">
        <v>15.333333</v>
      </c>
      <c r="H225">
        <v>1.4347825999999999</v>
      </c>
      <c r="I225">
        <v>-0.43478262000000001</v>
      </c>
      <c r="J225">
        <v>0.41071429999999998</v>
      </c>
    </row>
    <row r="226" spans="1:10" x14ac:dyDescent="0.3">
      <c r="A226">
        <v>224</v>
      </c>
      <c r="B226">
        <v>3565</v>
      </c>
      <c r="C226" t="b">
        <v>1</v>
      </c>
      <c r="D226">
        <v>8060</v>
      </c>
      <c r="E226">
        <v>8134</v>
      </c>
      <c r="F226">
        <v>22</v>
      </c>
      <c r="G226">
        <v>15</v>
      </c>
      <c r="H226">
        <v>1.4666667</v>
      </c>
      <c r="I226">
        <v>-0.46666667000000001</v>
      </c>
      <c r="J226">
        <v>0.40540540000000003</v>
      </c>
    </row>
    <row r="227" spans="1:10" x14ac:dyDescent="0.3">
      <c r="A227">
        <v>225</v>
      </c>
      <c r="B227">
        <v>3581</v>
      </c>
      <c r="C227" t="b">
        <v>1</v>
      </c>
      <c r="D227">
        <v>8060</v>
      </c>
      <c r="E227">
        <v>8129</v>
      </c>
      <c r="F227">
        <v>22</v>
      </c>
      <c r="G227">
        <v>14.666667</v>
      </c>
      <c r="H227">
        <v>1.5</v>
      </c>
      <c r="I227">
        <v>-0.49999997000000002</v>
      </c>
      <c r="J227">
        <v>0.4</v>
      </c>
    </row>
    <row r="228" spans="1:10" x14ac:dyDescent="0.3">
      <c r="A228">
        <v>226</v>
      </c>
      <c r="B228">
        <v>3597</v>
      </c>
      <c r="C228" t="b">
        <v>1</v>
      </c>
      <c r="D228">
        <v>8065</v>
      </c>
      <c r="E228">
        <v>8140</v>
      </c>
      <c r="F228">
        <v>21.666665999999999</v>
      </c>
      <c r="G228">
        <v>14.333333</v>
      </c>
      <c r="H228">
        <v>1.5116278999999999</v>
      </c>
      <c r="I228">
        <v>-0.51162790000000002</v>
      </c>
      <c r="J228">
        <v>0.39814814999999998</v>
      </c>
    </row>
    <row r="229" spans="1:10" x14ac:dyDescent="0.3">
      <c r="A229">
        <v>227</v>
      </c>
      <c r="B229">
        <v>3613</v>
      </c>
      <c r="C229" t="b">
        <v>1</v>
      </c>
      <c r="D229">
        <v>8065</v>
      </c>
      <c r="E229">
        <v>8140</v>
      </c>
      <c r="F229">
        <v>21.333334000000001</v>
      </c>
      <c r="G229">
        <v>14.333333</v>
      </c>
      <c r="H229">
        <v>1.4883721999999999</v>
      </c>
      <c r="I229">
        <v>-0.48837217999999999</v>
      </c>
      <c r="J229">
        <v>0.40186915000000001</v>
      </c>
    </row>
    <row r="230" spans="1:10" x14ac:dyDescent="0.3">
      <c r="A230">
        <v>228</v>
      </c>
      <c r="B230">
        <v>3628</v>
      </c>
      <c r="C230" t="b">
        <v>1</v>
      </c>
      <c r="D230">
        <v>8065</v>
      </c>
      <c r="E230">
        <v>8134</v>
      </c>
      <c r="F230">
        <v>21.333334000000001</v>
      </c>
      <c r="G230">
        <v>14.666667</v>
      </c>
      <c r="H230">
        <v>1.4545455</v>
      </c>
      <c r="I230">
        <v>-0.45454547000000001</v>
      </c>
      <c r="J230">
        <v>0.40740739999999998</v>
      </c>
    </row>
    <row r="231" spans="1:10" x14ac:dyDescent="0.3">
      <c r="A231">
        <v>229</v>
      </c>
      <c r="B231">
        <v>3644</v>
      </c>
      <c r="C231" t="b">
        <v>1</v>
      </c>
      <c r="D231">
        <v>8065</v>
      </c>
      <c r="E231">
        <v>8129</v>
      </c>
      <c r="F231">
        <v>21.333334000000001</v>
      </c>
      <c r="G231">
        <v>15</v>
      </c>
      <c r="H231">
        <v>1.4222223000000001</v>
      </c>
      <c r="I231">
        <v>-0.42222226000000002</v>
      </c>
      <c r="J231">
        <v>0.41284399999999999</v>
      </c>
    </row>
    <row r="232" spans="1:10" x14ac:dyDescent="0.3">
      <c r="A232">
        <v>230</v>
      </c>
      <c r="B232">
        <v>3660</v>
      </c>
      <c r="C232" t="b">
        <v>1</v>
      </c>
      <c r="D232">
        <v>8065</v>
      </c>
      <c r="E232">
        <v>8117</v>
      </c>
      <c r="F232">
        <v>21.333334000000001</v>
      </c>
      <c r="G232">
        <v>15.333333</v>
      </c>
      <c r="H232">
        <v>1.3913044000000001</v>
      </c>
      <c r="I232">
        <v>-0.3913044</v>
      </c>
      <c r="J232">
        <v>0.41818179999999999</v>
      </c>
    </row>
    <row r="233" spans="1:10" x14ac:dyDescent="0.3">
      <c r="A233">
        <v>231</v>
      </c>
      <c r="B233">
        <v>3676</v>
      </c>
      <c r="C233" t="b">
        <v>1</v>
      </c>
      <c r="D233">
        <v>8060</v>
      </c>
      <c r="E233">
        <v>8129</v>
      </c>
      <c r="F233">
        <v>21.666665999999999</v>
      </c>
      <c r="G233">
        <v>15.333333</v>
      </c>
      <c r="H233">
        <v>1.4130434999999999</v>
      </c>
      <c r="I233">
        <v>-0.41304347000000002</v>
      </c>
      <c r="J233">
        <v>0.41441440000000002</v>
      </c>
    </row>
    <row r="234" spans="1:10" x14ac:dyDescent="0.3">
      <c r="A234">
        <v>232</v>
      </c>
      <c r="B234">
        <v>3691</v>
      </c>
      <c r="C234" t="b">
        <v>1</v>
      </c>
      <c r="D234">
        <v>8071</v>
      </c>
      <c r="E234">
        <v>8123</v>
      </c>
      <c r="F234">
        <v>22</v>
      </c>
      <c r="G234">
        <v>15.333333</v>
      </c>
      <c r="H234">
        <v>1.4347825999999999</v>
      </c>
      <c r="I234">
        <v>-0.43478262000000001</v>
      </c>
      <c r="J234">
        <v>0.41071429999999998</v>
      </c>
    </row>
    <row r="235" spans="1:10" x14ac:dyDescent="0.3">
      <c r="A235">
        <v>233</v>
      </c>
      <c r="B235">
        <v>3707</v>
      </c>
      <c r="C235" t="b">
        <v>1</v>
      </c>
      <c r="D235">
        <v>8065</v>
      </c>
      <c r="E235">
        <v>8123</v>
      </c>
      <c r="F235">
        <v>22.333334000000001</v>
      </c>
      <c r="G235">
        <v>14.933332999999999</v>
      </c>
      <c r="H235">
        <v>1.4955357</v>
      </c>
      <c r="I235">
        <v>-0.49553575999999999</v>
      </c>
      <c r="J235">
        <v>0.40071556000000003</v>
      </c>
    </row>
    <row r="236" spans="1:10" x14ac:dyDescent="0.3">
      <c r="A236">
        <v>234</v>
      </c>
      <c r="B236">
        <v>3723</v>
      </c>
      <c r="C236" t="b">
        <v>1</v>
      </c>
      <c r="D236">
        <v>8065</v>
      </c>
      <c r="E236">
        <v>8129</v>
      </c>
      <c r="F236">
        <v>22.666665999999999</v>
      </c>
      <c r="G236">
        <v>14.533334</v>
      </c>
      <c r="H236">
        <v>1.5596329</v>
      </c>
      <c r="I236">
        <v>-0.55963295999999996</v>
      </c>
      <c r="J236">
        <v>0.390681</v>
      </c>
    </row>
    <row r="237" spans="1:10" x14ac:dyDescent="0.3">
      <c r="A237">
        <v>235</v>
      </c>
      <c r="B237">
        <v>3739</v>
      </c>
      <c r="C237" t="b">
        <v>1</v>
      </c>
      <c r="D237">
        <v>8060</v>
      </c>
      <c r="E237">
        <v>8129</v>
      </c>
      <c r="F237">
        <v>23</v>
      </c>
      <c r="G237">
        <v>14.533334</v>
      </c>
      <c r="H237">
        <v>1.5825688</v>
      </c>
      <c r="I237">
        <v>-0.58256876000000002</v>
      </c>
      <c r="J237">
        <v>0.38721137999999999</v>
      </c>
    </row>
    <row r="238" spans="1:10" x14ac:dyDescent="0.3">
      <c r="A238">
        <v>236</v>
      </c>
      <c r="B238">
        <v>3755</v>
      </c>
      <c r="C238" t="b">
        <v>1</v>
      </c>
      <c r="D238">
        <v>8065</v>
      </c>
      <c r="E238">
        <v>8129</v>
      </c>
      <c r="F238">
        <v>23</v>
      </c>
      <c r="G238">
        <v>14.533334</v>
      </c>
      <c r="H238">
        <v>1.5825688</v>
      </c>
      <c r="I238">
        <v>-0.58256876000000002</v>
      </c>
      <c r="J238">
        <v>0.38721137999999999</v>
      </c>
    </row>
    <row r="239" spans="1:10" x14ac:dyDescent="0.3">
      <c r="A239">
        <v>237</v>
      </c>
      <c r="B239">
        <v>3771</v>
      </c>
      <c r="C239" t="b">
        <v>1</v>
      </c>
      <c r="D239">
        <v>8071</v>
      </c>
      <c r="E239">
        <v>8129</v>
      </c>
      <c r="F239">
        <v>23.333334000000001</v>
      </c>
      <c r="G239">
        <v>14.533334</v>
      </c>
      <c r="H239">
        <v>1.6055045999999999</v>
      </c>
      <c r="I239">
        <v>-0.60550459999999995</v>
      </c>
      <c r="J239">
        <v>0.3838028</v>
      </c>
    </row>
    <row r="240" spans="1:10" x14ac:dyDescent="0.3">
      <c r="A240">
        <v>238</v>
      </c>
      <c r="B240">
        <v>3787</v>
      </c>
      <c r="C240" t="b">
        <v>1</v>
      </c>
      <c r="D240">
        <v>8065</v>
      </c>
      <c r="E240">
        <v>8129</v>
      </c>
      <c r="F240">
        <v>23.666665999999999</v>
      </c>
      <c r="G240">
        <v>14.533334</v>
      </c>
      <c r="H240">
        <v>1.6284403000000001</v>
      </c>
      <c r="I240">
        <v>-0.62844025999999997</v>
      </c>
      <c r="J240">
        <v>0.38045377000000002</v>
      </c>
    </row>
    <row r="241" spans="1:10" x14ac:dyDescent="0.3">
      <c r="A241">
        <v>239</v>
      </c>
      <c r="B241">
        <v>3802</v>
      </c>
      <c r="C241" t="b">
        <v>1</v>
      </c>
      <c r="D241">
        <v>8065</v>
      </c>
      <c r="E241">
        <v>8134</v>
      </c>
      <c r="F241">
        <v>24</v>
      </c>
      <c r="G241">
        <v>14.533334</v>
      </c>
      <c r="H241">
        <v>1.6513761</v>
      </c>
      <c r="I241">
        <v>-0.65137606999999997</v>
      </c>
      <c r="J241">
        <v>0.37716263999999999</v>
      </c>
    </row>
    <row r="242" spans="1:10" x14ac:dyDescent="0.3">
      <c r="A242">
        <v>240</v>
      </c>
      <c r="B242">
        <v>3819</v>
      </c>
      <c r="C242" t="b">
        <v>1</v>
      </c>
      <c r="D242">
        <v>8065</v>
      </c>
      <c r="E242">
        <v>8129</v>
      </c>
      <c r="F242">
        <v>24.333334000000001</v>
      </c>
      <c r="G242">
        <v>14.533334</v>
      </c>
      <c r="H242">
        <v>1.6743119</v>
      </c>
      <c r="I242">
        <v>-0.67431194000000005</v>
      </c>
      <c r="J242">
        <v>0.37392795000000001</v>
      </c>
    </row>
    <row r="243" spans="1:10" x14ac:dyDescent="0.3">
      <c r="A243">
        <v>241</v>
      </c>
      <c r="B243">
        <v>3835</v>
      </c>
      <c r="C243" t="b">
        <v>1</v>
      </c>
      <c r="D243">
        <v>8060</v>
      </c>
      <c r="E243">
        <v>8129</v>
      </c>
      <c r="F243">
        <v>24.666665999999999</v>
      </c>
      <c r="G243">
        <v>14.533334</v>
      </c>
      <c r="H243">
        <v>1.6972476000000001</v>
      </c>
      <c r="I243">
        <v>-0.69724759999999997</v>
      </c>
      <c r="J243">
        <v>0.37074829999999998</v>
      </c>
    </row>
    <row r="244" spans="1:10" x14ac:dyDescent="0.3">
      <c r="A244">
        <v>242</v>
      </c>
      <c r="B244">
        <v>3851</v>
      </c>
      <c r="C244" t="b">
        <v>1</v>
      </c>
      <c r="D244">
        <v>8065</v>
      </c>
      <c r="E244">
        <v>8123</v>
      </c>
      <c r="F244">
        <v>25</v>
      </c>
      <c r="G244">
        <v>14.2</v>
      </c>
      <c r="H244">
        <v>1.7605633999999999</v>
      </c>
      <c r="I244">
        <v>-0.76056343000000004</v>
      </c>
      <c r="J244">
        <v>0.36224487</v>
      </c>
    </row>
    <row r="245" spans="1:10" x14ac:dyDescent="0.3">
      <c r="A245">
        <v>243</v>
      </c>
      <c r="B245">
        <v>3866</v>
      </c>
      <c r="C245" t="b">
        <v>1</v>
      </c>
      <c r="D245">
        <v>8071</v>
      </c>
      <c r="E245">
        <v>8129</v>
      </c>
      <c r="F245">
        <v>25</v>
      </c>
      <c r="G245">
        <v>13.866667</v>
      </c>
      <c r="H245">
        <v>1.8028846000000001</v>
      </c>
      <c r="I245">
        <v>-0.80288459999999995</v>
      </c>
      <c r="J245">
        <v>0.35677527999999997</v>
      </c>
    </row>
    <row r="246" spans="1:10" x14ac:dyDescent="0.3">
      <c r="A246">
        <v>244</v>
      </c>
      <c r="B246">
        <v>3882</v>
      </c>
      <c r="C246" t="b">
        <v>1</v>
      </c>
      <c r="D246">
        <v>8065</v>
      </c>
      <c r="E246">
        <v>8129</v>
      </c>
      <c r="F246">
        <v>25</v>
      </c>
      <c r="G246">
        <v>13.533334</v>
      </c>
      <c r="H246">
        <v>1.8472906</v>
      </c>
      <c r="I246">
        <v>-0.8472906</v>
      </c>
      <c r="J246">
        <v>0.3512111</v>
      </c>
    </row>
    <row r="247" spans="1:10" x14ac:dyDescent="0.3">
      <c r="A247">
        <v>245</v>
      </c>
      <c r="B247">
        <v>3898</v>
      </c>
      <c r="C247" t="b">
        <v>1</v>
      </c>
      <c r="D247">
        <v>8060</v>
      </c>
      <c r="E247">
        <v>8129</v>
      </c>
      <c r="F247">
        <v>25</v>
      </c>
      <c r="G247">
        <v>13.2</v>
      </c>
      <c r="H247">
        <v>1.8939394000000001</v>
      </c>
      <c r="I247">
        <v>-0.89393944000000003</v>
      </c>
      <c r="J247">
        <v>0.34554973</v>
      </c>
    </row>
    <row r="248" spans="1:10" x14ac:dyDescent="0.3">
      <c r="A248">
        <v>246</v>
      </c>
      <c r="B248">
        <v>3914</v>
      </c>
      <c r="C248" t="b">
        <v>1</v>
      </c>
      <c r="D248">
        <v>8060</v>
      </c>
      <c r="E248">
        <v>8129</v>
      </c>
      <c r="F248">
        <v>25</v>
      </c>
      <c r="G248">
        <v>13.2</v>
      </c>
      <c r="H248">
        <v>1.8939394000000001</v>
      </c>
      <c r="I248">
        <v>-0.89393944000000003</v>
      </c>
      <c r="J248">
        <v>0.34554973</v>
      </c>
    </row>
    <row r="249" spans="1:10" x14ac:dyDescent="0.3">
      <c r="A249">
        <v>247</v>
      </c>
      <c r="B249">
        <v>3930</v>
      </c>
      <c r="C249" t="b">
        <v>1</v>
      </c>
      <c r="D249">
        <v>8054</v>
      </c>
      <c r="E249">
        <v>8129</v>
      </c>
      <c r="F249">
        <v>24.666665999999999</v>
      </c>
      <c r="G249">
        <v>13.2</v>
      </c>
      <c r="H249">
        <v>1.8686868000000001</v>
      </c>
      <c r="I249">
        <v>-0.86868685000000001</v>
      </c>
      <c r="J249">
        <v>0.34859157000000002</v>
      </c>
    </row>
    <row r="250" spans="1:10" x14ac:dyDescent="0.3">
      <c r="A250">
        <v>248</v>
      </c>
      <c r="B250">
        <v>3946</v>
      </c>
      <c r="C250" t="b">
        <v>1</v>
      </c>
      <c r="D250">
        <v>8054</v>
      </c>
      <c r="E250">
        <v>8134</v>
      </c>
      <c r="F250">
        <v>24.333334000000001</v>
      </c>
      <c r="G250">
        <v>13.6</v>
      </c>
      <c r="H250">
        <v>1.7892157</v>
      </c>
      <c r="I250">
        <v>-0.78921569999999996</v>
      </c>
      <c r="J250">
        <v>0.35852372999999998</v>
      </c>
    </row>
    <row r="251" spans="1:10" x14ac:dyDescent="0.3">
      <c r="A251">
        <v>249</v>
      </c>
      <c r="B251">
        <v>3962</v>
      </c>
      <c r="C251" t="b">
        <v>1</v>
      </c>
      <c r="D251">
        <v>8054</v>
      </c>
      <c r="E251">
        <v>8134</v>
      </c>
      <c r="F251">
        <v>23.6</v>
      </c>
      <c r="G251">
        <v>14</v>
      </c>
      <c r="H251">
        <v>1.6857143999999999</v>
      </c>
      <c r="I251">
        <v>-0.6857143</v>
      </c>
      <c r="J251">
        <v>0.37234043999999999</v>
      </c>
    </row>
    <row r="252" spans="1:10" x14ac:dyDescent="0.3">
      <c r="A252">
        <v>250</v>
      </c>
      <c r="B252">
        <v>3978</v>
      </c>
      <c r="C252" t="b">
        <v>1</v>
      </c>
      <c r="D252">
        <v>8054</v>
      </c>
      <c r="E252">
        <v>8134</v>
      </c>
      <c r="F252">
        <v>22.866667</v>
      </c>
      <c r="G252">
        <v>14.333333</v>
      </c>
      <c r="H252">
        <v>1.5953488</v>
      </c>
      <c r="I252">
        <v>-0.59534889999999996</v>
      </c>
      <c r="J252">
        <v>0.38530462999999998</v>
      </c>
    </row>
    <row r="253" spans="1:10" x14ac:dyDescent="0.3">
      <c r="A253">
        <v>251</v>
      </c>
      <c r="B253">
        <v>3994</v>
      </c>
      <c r="C253" t="b">
        <v>1</v>
      </c>
      <c r="D253">
        <v>8060</v>
      </c>
      <c r="E253">
        <v>8129</v>
      </c>
      <c r="F253">
        <v>22.133333</v>
      </c>
      <c r="G253">
        <v>14.666667</v>
      </c>
      <c r="H253">
        <v>1.5090908999999999</v>
      </c>
      <c r="I253">
        <v>-0.50909084000000004</v>
      </c>
      <c r="J253">
        <v>0.39855075000000001</v>
      </c>
    </row>
    <row r="254" spans="1:10" x14ac:dyDescent="0.3">
      <c r="A254">
        <v>252</v>
      </c>
      <c r="B254">
        <v>4010</v>
      </c>
      <c r="C254" t="b">
        <v>1</v>
      </c>
      <c r="D254">
        <v>8060</v>
      </c>
      <c r="E254">
        <v>8134</v>
      </c>
      <c r="F254">
        <v>21.4</v>
      </c>
      <c r="G254">
        <v>15</v>
      </c>
      <c r="H254">
        <v>1.4266665999999999</v>
      </c>
      <c r="I254">
        <v>-0.42666664999999998</v>
      </c>
      <c r="J254">
        <v>0.41208790000000001</v>
      </c>
    </row>
    <row r="255" spans="1:10" x14ac:dyDescent="0.3">
      <c r="A255">
        <v>253</v>
      </c>
      <c r="B255">
        <v>4025</v>
      </c>
      <c r="C255" t="b">
        <v>1</v>
      </c>
      <c r="D255">
        <v>8054</v>
      </c>
      <c r="E255">
        <v>8140</v>
      </c>
      <c r="F255">
        <v>20.666665999999999</v>
      </c>
      <c r="G255">
        <v>15.333333</v>
      </c>
      <c r="H255">
        <v>1.3478261</v>
      </c>
      <c r="I255">
        <v>-0.34782605999999999</v>
      </c>
      <c r="J255">
        <v>0.42592590000000002</v>
      </c>
    </row>
    <row r="256" spans="1:10" x14ac:dyDescent="0.3">
      <c r="A256">
        <v>254</v>
      </c>
      <c r="B256">
        <v>4041</v>
      </c>
      <c r="C256" t="b">
        <v>1</v>
      </c>
      <c r="D256">
        <v>8060</v>
      </c>
      <c r="E256">
        <v>8140</v>
      </c>
      <c r="F256">
        <v>20.333334000000001</v>
      </c>
      <c r="G256">
        <v>15.666667</v>
      </c>
      <c r="H256">
        <v>1.2978723000000001</v>
      </c>
      <c r="I256">
        <v>-0.29787236</v>
      </c>
      <c r="J256">
        <v>0.43518519999999999</v>
      </c>
    </row>
    <row r="257" spans="1:10" x14ac:dyDescent="0.3">
      <c r="A257">
        <v>255</v>
      </c>
      <c r="B257">
        <v>4057</v>
      </c>
      <c r="C257" t="b">
        <v>1</v>
      </c>
      <c r="D257">
        <v>8060</v>
      </c>
      <c r="E257">
        <v>8134</v>
      </c>
      <c r="F257">
        <v>20</v>
      </c>
      <c r="G257">
        <v>16</v>
      </c>
      <c r="H257">
        <v>1.25</v>
      </c>
      <c r="I257">
        <v>-0.25</v>
      </c>
      <c r="J257">
        <v>0.44444444999999999</v>
      </c>
    </row>
    <row r="258" spans="1:10" x14ac:dyDescent="0.3">
      <c r="A258">
        <v>256</v>
      </c>
      <c r="B258">
        <v>4073</v>
      </c>
      <c r="C258" t="b">
        <v>1</v>
      </c>
      <c r="D258">
        <v>8060</v>
      </c>
      <c r="E258">
        <v>8134</v>
      </c>
      <c r="F258">
        <v>19.666665999999999</v>
      </c>
      <c r="G258">
        <v>16.333334000000001</v>
      </c>
      <c r="H258">
        <v>1.2040815</v>
      </c>
      <c r="I258">
        <v>-0.20408155</v>
      </c>
      <c r="J258">
        <v>0.45370373000000003</v>
      </c>
    </row>
    <row r="259" spans="1:10" x14ac:dyDescent="0.3">
      <c r="A259">
        <v>257</v>
      </c>
      <c r="B259">
        <v>4089</v>
      </c>
      <c r="C259" t="b">
        <v>1</v>
      </c>
      <c r="D259">
        <v>8054</v>
      </c>
      <c r="E259">
        <v>8134</v>
      </c>
      <c r="F259">
        <v>19.333334000000001</v>
      </c>
      <c r="G259">
        <v>16.666665999999999</v>
      </c>
      <c r="H259">
        <v>1.1600001</v>
      </c>
      <c r="I259">
        <v>-0.16000009000000001</v>
      </c>
      <c r="J259">
        <v>0.46296295999999998</v>
      </c>
    </row>
    <row r="260" spans="1:10" x14ac:dyDescent="0.3">
      <c r="A260">
        <v>258</v>
      </c>
      <c r="B260">
        <v>4105</v>
      </c>
      <c r="C260" t="b">
        <v>1</v>
      </c>
      <c r="D260">
        <v>8054</v>
      </c>
      <c r="E260">
        <v>8134</v>
      </c>
      <c r="F260">
        <v>19</v>
      </c>
      <c r="G260">
        <v>17</v>
      </c>
      <c r="H260">
        <v>1.1176470000000001</v>
      </c>
      <c r="I260">
        <v>-0.11764706</v>
      </c>
      <c r="J260">
        <v>0.47222219999999998</v>
      </c>
    </row>
    <row r="261" spans="1:10" x14ac:dyDescent="0.3">
      <c r="A261">
        <v>259</v>
      </c>
      <c r="B261">
        <v>4121</v>
      </c>
      <c r="C261" t="b">
        <v>1</v>
      </c>
      <c r="D261">
        <v>8060</v>
      </c>
      <c r="E261">
        <v>8134</v>
      </c>
      <c r="F261">
        <v>18.666665999999999</v>
      </c>
      <c r="G261">
        <v>17.333334000000001</v>
      </c>
      <c r="H261">
        <v>1.0769230000000001</v>
      </c>
      <c r="I261">
        <v>-7.6923000000000005E-2</v>
      </c>
      <c r="J261">
        <v>0.48148150000000001</v>
      </c>
    </row>
    <row r="262" spans="1:10" x14ac:dyDescent="0.3">
      <c r="A262">
        <v>260</v>
      </c>
      <c r="B262">
        <v>4136</v>
      </c>
      <c r="C262" t="b">
        <v>1</v>
      </c>
      <c r="D262">
        <v>8060</v>
      </c>
      <c r="E262">
        <v>8134</v>
      </c>
      <c r="F262">
        <v>18.333334000000001</v>
      </c>
      <c r="G262">
        <v>17.666665999999999</v>
      </c>
      <c r="H262">
        <v>1.0377358999999999</v>
      </c>
      <c r="I262">
        <v>-3.7735923999999997E-2</v>
      </c>
      <c r="J262">
        <v>0.49074072000000002</v>
      </c>
    </row>
    <row r="263" spans="1:10" x14ac:dyDescent="0.3">
      <c r="A263">
        <v>261</v>
      </c>
      <c r="B263">
        <v>4152</v>
      </c>
      <c r="C263" t="b">
        <v>1</v>
      </c>
      <c r="D263">
        <v>8065</v>
      </c>
      <c r="E263">
        <v>8134</v>
      </c>
      <c r="F263">
        <v>18</v>
      </c>
      <c r="G263">
        <v>18</v>
      </c>
      <c r="H263">
        <v>1</v>
      </c>
      <c r="I263">
        <v>0</v>
      </c>
      <c r="J263">
        <v>0.5</v>
      </c>
    </row>
    <row r="264" spans="1:10" x14ac:dyDescent="0.3">
      <c r="A264">
        <v>262</v>
      </c>
      <c r="B264">
        <v>4168</v>
      </c>
      <c r="C264" t="b">
        <v>1</v>
      </c>
      <c r="D264">
        <v>8065</v>
      </c>
      <c r="E264">
        <v>8134</v>
      </c>
      <c r="F264">
        <v>18</v>
      </c>
      <c r="G264">
        <v>18.333334000000001</v>
      </c>
      <c r="H264">
        <v>0.98181814000000001</v>
      </c>
      <c r="I264">
        <v>1.8181853000000001E-2</v>
      </c>
      <c r="J264">
        <v>0.50458709999999996</v>
      </c>
    </row>
    <row r="265" spans="1:10" x14ac:dyDescent="0.3">
      <c r="A265">
        <v>263</v>
      </c>
      <c r="B265">
        <v>4184</v>
      </c>
      <c r="C265" t="b">
        <v>1</v>
      </c>
      <c r="D265">
        <v>8065</v>
      </c>
      <c r="E265">
        <v>8134</v>
      </c>
      <c r="F265">
        <v>18.333334000000001</v>
      </c>
      <c r="G265">
        <v>18.666665999999999</v>
      </c>
      <c r="H265">
        <v>0.98214290000000004</v>
      </c>
      <c r="I265">
        <v>1.7857075E-2</v>
      </c>
      <c r="J265">
        <v>0.50450450000000002</v>
      </c>
    </row>
    <row r="266" spans="1:10" x14ac:dyDescent="0.3">
      <c r="A266">
        <v>264</v>
      </c>
      <c r="B266">
        <v>4200</v>
      </c>
      <c r="C266" t="b">
        <v>1</v>
      </c>
      <c r="D266">
        <v>8060</v>
      </c>
      <c r="E266">
        <v>8134</v>
      </c>
      <c r="F266">
        <v>19.066668</v>
      </c>
      <c r="G266">
        <v>19</v>
      </c>
      <c r="H266">
        <v>1.0035088000000001</v>
      </c>
      <c r="I266">
        <v>-3.5088188000000002E-3</v>
      </c>
      <c r="J266">
        <v>0.49912434999999999</v>
      </c>
    </row>
    <row r="267" spans="1:10" x14ac:dyDescent="0.3">
      <c r="A267">
        <v>265</v>
      </c>
      <c r="B267">
        <v>4216</v>
      </c>
      <c r="C267" t="b">
        <v>1</v>
      </c>
      <c r="D267">
        <v>8054</v>
      </c>
      <c r="E267">
        <v>8129</v>
      </c>
      <c r="F267">
        <v>19.8</v>
      </c>
      <c r="G267">
        <v>19</v>
      </c>
      <c r="H267">
        <v>1.0421052</v>
      </c>
      <c r="I267">
        <v>-4.2105223999999997E-2</v>
      </c>
      <c r="J267">
        <v>0.48969072000000002</v>
      </c>
    </row>
    <row r="268" spans="1:10" x14ac:dyDescent="0.3">
      <c r="A268">
        <v>266</v>
      </c>
      <c r="B268">
        <v>4232</v>
      </c>
      <c r="C268" t="b">
        <v>1</v>
      </c>
      <c r="D268">
        <v>8071</v>
      </c>
      <c r="E268">
        <v>8123</v>
      </c>
      <c r="F268">
        <v>20.533332999999999</v>
      </c>
      <c r="G268">
        <v>19</v>
      </c>
      <c r="H268">
        <v>1.0807017000000001</v>
      </c>
      <c r="I268">
        <v>-8.0701729999999999E-2</v>
      </c>
      <c r="J268">
        <v>0.48060710000000001</v>
      </c>
    </row>
    <row r="269" spans="1:10" x14ac:dyDescent="0.3">
      <c r="A269">
        <v>267</v>
      </c>
      <c r="B269">
        <v>4248</v>
      </c>
      <c r="C269" t="b">
        <v>1</v>
      </c>
      <c r="D269">
        <v>8065</v>
      </c>
      <c r="E269">
        <v>8129</v>
      </c>
      <c r="F269">
        <v>21.266666000000001</v>
      </c>
      <c r="G269">
        <v>18.666665999999999</v>
      </c>
      <c r="H269">
        <v>1.1392857000000001</v>
      </c>
      <c r="I269">
        <v>-0.13928573999999999</v>
      </c>
      <c r="J269">
        <v>0.46744570000000002</v>
      </c>
    </row>
    <row r="270" spans="1:10" x14ac:dyDescent="0.3">
      <c r="A270">
        <v>268</v>
      </c>
      <c r="B270">
        <v>4264</v>
      </c>
      <c r="C270" t="b">
        <v>1</v>
      </c>
      <c r="D270">
        <v>8065</v>
      </c>
      <c r="E270">
        <v>8129</v>
      </c>
      <c r="F270">
        <v>22</v>
      </c>
      <c r="G270">
        <v>18.333334000000001</v>
      </c>
      <c r="H270">
        <v>1.1999998999999999</v>
      </c>
      <c r="I270">
        <v>-0.19999996</v>
      </c>
      <c r="J270">
        <v>0.45454544000000002</v>
      </c>
    </row>
    <row r="271" spans="1:10" x14ac:dyDescent="0.3">
      <c r="A271">
        <v>269</v>
      </c>
      <c r="B271">
        <v>4280</v>
      </c>
      <c r="C271" t="b">
        <v>1</v>
      </c>
      <c r="D271">
        <v>8060</v>
      </c>
      <c r="E271">
        <v>8129</v>
      </c>
      <c r="F271">
        <v>22.333334000000001</v>
      </c>
      <c r="G271">
        <v>18</v>
      </c>
      <c r="H271">
        <v>1.2407408</v>
      </c>
      <c r="I271">
        <v>-0.24074077999999999</v>
      </c>
      <c r="J271">
        <v>0.44628096</v>
      </c>
    </row>
    <row r="272" spans="1:10" x14ac:dyDescent="0.3">
      <c r="A272">
        <v>270</v>
      </c>
      <c r="B272">
        <v>4296</v>
      </c>
      <c r="C272" t="b">
        <v>1</v>
      </c>
      <c r="D272">
        <v>8060</v>
      </c>
      <c r="E272">
        <v>8129</v>
      </c>
      <c r="F272">
        <v>22.666665999999999</v>
      </c>
      <c r="G272">
        <v>17.666665999999999</v>
      </c>
      <c r="H272">
        <v>1.2830188</v>
      </c>
      <c r="I272">
        <v>-0.28301890000000002</v>
      </c>
      <c r="J272">
        <v>0.43801653000000002</v>
      </c>
    </row>
    <row r="273" spans="1:10" x14ac:dyDescent="0.3">
      <c r="A273">
        <v>271</v>
      </c>
      <c r="B273">
        <v>4312</v>
      </c>
      <c r="C273" t="b">
        <v>1</v>
      </c>
      <c r="D273">
        <v>8060</v>
      </c>
      <c r="E273">
        <v>8129</v>
      </c>
      <c r="F273">
        <v>22.666665999999999</v>
      </c>
      <c r="G273">
        <v>17.333334000000001</v>
      </c>
      <c r="H273">
        <v>1.3076922</v>
      </c>
      <c r="I273">
        <v>-0.30769223000000001</v>
      </c>
      <c r="J273">
        <v>0.43333334000000001</v>
      </c>
    </row>
    <row r="274" spans="1:10" x14ac:dyDescent="0.3">
      <c r="A274">
        <v>272</v>
      </c>
      <c r="B274">
        <v>4327</v>
      </c>
      <c r="C274" t="b">
        <v>1</v>
      </c>
      <c r="D274">
        <v>8065</v>
      </c>
      <c r="E274">
        <v>8129</v>
      </c>
      <c r="F274">
        <v>22.666665999999999</v>
      </c>
      <c r="G274">
        <v>17</v>
      </c>
      <c r="H274">
        <v>1.3333333000000001</v>
      </c>
      <c r="I274">
        <v>-0.33333328000000001</v>
      </c>
      <c r="J274">
        <v>0.42857146000000002</v>
      </c>
    </row>
    <row r="275" spans="1:10" x14ac:dyDescent="0.3">
      <c r="A275">
        <v>273</v>
      </c>
      <c r="B275">
        <v>4343</v>
      </c>
      <c r="C275" t="b">
        <v>1</v>
      </c>
      <c r="D275">
        <v>8060</v>
      </c>
      <c r="E275">
        <v>8123</v>
      </c>
      <c r="F275">
        <v>22.666665999999999</v>
      </c>
      <c r="G275">
        <v>16.666665999999999</v>
      </c>
      <c r="H275">
        <v>1.36</v>
      </c>
      <c r="I275">
        <v>-0.36</v>
      </c>
      <c r="J275">
        <v>0.42372882000000001</v>
      </c>
    </row>
    <row r="276" spans="1:10" x14ac:dyDescent="0.3">
      <c r="A276">
        <v>274</v>
      </c>
      <c r="B276">
        <v>4359</v>
      </c>
      <c r="C276" t="b">
        <v>1</v>
      </c>
      <c r="D276">
        <v>8060</v>
      </c>
      <c r="E276">
        <v>8129</v>
      </c>
      <c r="F276">
        <v>22.666665999999999</v>
      </c>
      <c r="G276">
        <v>16.333334000000001</v>
      </c>
      <c r="H276">
        <v>1.3877550000000001</v>
      </c>
      <c r="I276">
        <v>-0.38775500000000002</v>
      </c>
      <c r="J276">
        <v>0.41880341999999998</v>
      </c>
    </row>
    <row r="277" spans="1:10" x14ac:dyDescent="0.3">
      <c r="A277">
        <v>275</v>
      </c>
      <c r="B277">
        <v>4375</v>
      </c>
      <c r="C277" t="b">
        <v>1</v>
      </c>
      <c r="D277">
        <v>8065</v>
      </c>
      <c r="E277">
        <v>8123</v>
      </c>
      <c r="F277">
        <v>22.666665999999999</v>
      </c>
      <c r="G277">
        <v>16</v>
      </c>
      <c r="H277">
        <v>1.4166666000000001</v>
      </c>
      <c r="I277">
        <v>-0.41666662999999998</v>
      </c>
      <c r="J277">
        <v>0.41379312000000001</v>
      </c>
    </row>
    <row r="278" spans="1:10" x14ac:dyDescent="0.3">
      <c r="A278">
        <v>276</v>
      </c>
      <c r="B278">
        <v>4391</v>
      </c>
      <c r="C278" t="b">
        <v>1</v>
      </c>
      <c r="D278">
        <v>8065</v>
      </c>
      <c r="E278">
        <v>8123</v>
      </c>
      <c r="F278">
        <v>23</v>
      </c>
      <c r="G278">
        <v>15.266666000000001</v>
      </c>
      <c r="H278">
        <v>1.5065502</v>
      </c>
      <c r="I278">
        <v>-0.50655024999999998</v>
      </c>
      <c r="J278">
        <v>0.3989547</v>
      </c>
    </row>
    <row r="279" spans="1:10" x14ac:dyDescent="0.3">
      <c r="A279">
        <v>277</v>
      </c>
      <c r="B279">
        <v>4407</v>
      </c>
      <c r="C279" t="b">
        <v>1</v>
      </c>
      <c r="D279">
        <v>8065</v>
      </c>
      <c r="E279">
        <v>8123</v>
      </c>
      <c r="F279">
        <v>23.333334000000001</v>
      </c>
      <c r="G279">
        <v>14.533334</v>
      </c>
      <c r="H279">
        <v>1.6055045999999999</v>
      </c>
      <c r="I279">
        <v>-0.60550459999999995</v>
      </c>
      <c r="J279">
        <v>0.3838028</v>
      </c>
    </row>
    <row r="280" spans="1:10" x14ac:dyDescent="0.3">
      <c r="A280">
        <v>278</v>
      </c>
      <c r="B280">
        <v>4423</v>
      </c>
      <c r="C280" t="b">
        <v>1</v>
      </c>
      <c r="D280">
        <v>8060</v>
      </c>
      <c r="E280">
        <v>8129</v>
      </c>
      <c r="F280">
        <v>23.333334000000001</v>
      </c>
      <c r="G280">
        <v>13.8</v>
      </c>
      <c r="H280">
        <v>1.6908213000000001</v>
      </c>
      <c r="I280">
        <v>-0.69082129999999997</v>
      </c>
      <c r="J280">
        <v>0.37163373999999999</v>
      </c>
    </row>
    <row r="281" spans="1:10" x14ac:dyDescent="0.3">
      <c r="A281">
        <v>279</v>
      </c>
      <c r="B281">
        <v>4438</v>
      </c>
      <c r="C281" t="b">
        <v>1</v>
      </c>
      <c r="D281">
        <v>8054</v>
      </c>
      <c r="E281">
        <v>8129</v>
      </c>
      <c r="F281">
        <v>23.333334000000001</v>
      </c>
      <c r="G281">
        <v>13.066667000000001</v>
      </c>
      <c r="H281">
        <v>1.7857144</v>
      </c>
      <c r="I281">
        <v>-0.78571429999999998</v>
      </c>
      <c r="J281">
        <v>0.35897434</v>
      </c>
    </row>
    <row r="282" spans="1:10" x14ac:dyDescent="0.3">
      <c r="A282">
        <v>280</v>
      </c>
      <c r="B282">
        <v>4454</v>
      </c>
      <c r="C282" t="b">
        <v>1</v>
      </c>
      <c r="D282">
        <v>8054</v>
      </c>
      <c r="E282">
        <v>8129</v>
      </c>
      <c r="F282">
        <v>23</v>
      </c>
      <c r="G282">
        <v>12.733333999999999</v>
      </c>
      <c r="H282">
        <v>1.8062826000000001</v>
      </c>
      <c r="I282">
        <v>-0.80628270000000002</v>
      </c>
      <c r="J282">
        <v>0.35634329999999997</v>
      </c>
    </row>
    <row r="283" spans="1:10" x14ac:dyDescent="0.3">
      <c r="A283">
        <v>281</v>
      </c>
      <c r="B283">
        <v>4470</v>
      </c>
      <c r="C283" t="b">
        <v>1</v>
      </c>
      <c r="D283">
        <v>8060</v>
      </c>
      <c r="E283">
        <v>8134</v>
      </c>
      <c r="F283">
        <v>22.666665999999999</v>
      </c>
      <c r="G283">
        <v>12.4</v>
      </c>
      <c r="H283">
        <v>1.8279570000000001</v>
      </c>
      <c r="I283">
        <v>-0.82795700000000005</v>
      </c>
      <c r="J283">
        <v>0.35361215000000001</v>
      </c>
    </row>
    <row r="284" spans="1:10" x14ac:dyDescent="0.3">
      <c r="A284">
        <v>282</v>
      </c>
      <c r="B284">
        <v>4486</v>
      </c>
      <c r="C284" t="b">
        <v>1</v>
      </c>
      <c r="D284">
        <v>8060</v>
      </c>
      <c r="E284">
        <v>8134</v>
      </c>
      <c r="F284">
        <v>22.333334000000001</v>
      </c>
      <c r="G284">
        <v>12.4</v>
      </c>
      <c r="H284">
        <v>1.8010752999999999</v>
      </c>
      <c r="I284">
        <v>-0.80107539999999999</v>
      </c>
      <c r="J284">
        <v>0.35700575000000001</v>
      </c>
    </row>
    <row r="285" spans="1:10" x14ac:dyDescent="0.3">
      <c r="A285">
        <v>283</v>
      </c>
      <c r="B285">
        <v>4502</v>
      </c>
      <c r="C285" t="b">
        <v>1</v>
      </c>
      <c r="D285">
        <v>8060</v>
      </c>
      <c r="E285">
        <v>8129</v>
      </c>
      <c r="F285">
        <v>22</v>
      </c>
      <c r="G285">
        <v>12.4</v>
      </c>
      <c r="H285">
        <v>1.7741936</v>
      </c>
      <c r="I285">
        <v>-0.77419360000000004</v>
      </c>
      <c r="J285">
        <v>0.36046507999999999</v>
      </c>
    </row>
    <row r="286" spans="1:10" x14ac:dyDescent="0.3">
      <c r="A286">
        <v>284</v>
      </c>
      <c r="B286">
        <v>4518</v>
      </c>
      <c r="C286" t="b">
        <v>1</v>
      </c>
      <c r="D286">
        <v>8060</v>
      </c>
      <c r="E286">
        <v>8129</v>
      </c>
      <c r="F286">
        <v>21.666665999999999</v>
      </c>
      <c r="G286">
        <v>12.4</v>
      </c>
      <c r="H286">
        <v>1.7473118000000001</v>
      </c>
      <c r="I286">
        <v>-0.74731183000000001</v>
      </c>
      <c r="J286">
        <v>0.36399218</v>
      </c>
    </row>
    <row r="287" spans="1:10" x14ac:dyDescent="0.3">
      <c r="A287">
        <v>285</v>
      </c>
      <c r="B287">
        <v>4534</v>
      </c>
      <c r="C287" t="b">
        <v>1</v>
      </c>
      <c r="D287">
        <v>8060</v>
      </c>
      <c r="E287">
        <v>8134</v>
      </c>
      <c r="F287">
        <v>21.333334000000001</v>
      </c>
      <c r="G287">
        <v>12.733333999999999</v>
      </c>
      <c r="H287">
        <v>1.6753925999999999</v>
      </c>
      <c r="I287">
        <v>-0.67539269999999996</v>
      </c>
      <c r="J287">
        <v>0.37377690000000002</v>
      </c>
    </row>
    <row r="288" spans="1:10" x14ac:dyDescent="0.3">
      <c r="A288">
        <v>286</v>
      </c>
      <c r="B288">
        <v>4549</v>
      </c>
      <c r="C288" t="b">
        <v>1</v>
      </c>
      <c r="D288">
        <v>8065</v>
      </c>
      <c r="E288">
        <v>8134</v>
      </c>
      <c r="F288">
        <v>21.333334000000001</v>
      </c>
      <c r="G288">
        <v>13.066667000000001</v>
      </c>
      <c r="H288">
        <v>1.6326531</v>
      </c>
      <c r="I288">
        <v>-0.63265309999999997</v>
      </c>
      <c r="J288">
        <v>0.37984493000000003</v>
      </c>
    </row>
    <row r="289" spans="1:10" x14ac:dyDescent="0.3">
      <c r="A289">
        <v>287</v>
      </c>
      <c r="B289">
        <v>4565</v>
      </c>
      <c r="C289" t="b">
        <v>1</v>
      </c>
      <c r="D289">
        <v>8060</v>
      </c>
      <c r="E289">
        <v>8134</v>
      </c>
      <c r="F289">
        <v>21.333334000000001</v>
      </c>
      <c r="G289">
        <v>13.4</v>
      </c>
      <c r="H289">
        <v>1.5920399999999999</v>
      </c>
      <c r="I289">
        <v>-0.59203989999999995</v>
      </c>
      <c r="J289">
        <v>0.38579651999999998</v>
      </c>
    </row>
    <row r="290" spans="1:10" x14ac:dyDescent="0.3">
      <c r="A290">
        <v>288</v>
      </c>
      <c r="B290">
        <v>4581</v>
      </c>
      <c r="C290" t="b">
        <v>1</v>
      </c>
      <c r="D290">
        <v>8060</v>
      </c>
      <c r="E290">
        <v>8134</v>
      </c>
      <c r="F290">
        <v>21.333334000000001</v>
      </c>
      <c r="G290">
        <v>13.733333999999999</v>
      </c>
      <c r="H290">
        <v>1.5533980999999999</v>
      </c>
      <c r="I290">
        <v>-0.5533981</v>
      </c>
      <c r="J290">
        <v>0.39163500000000001</v>
      </c>
    </row>
    <row r="291" spans="1:10" x14ac:dyDescent="0.3">
      <c r="A291">
        <v>289</v>
      </c>
      <c r="B291">
        <v>4596</v>
      </c>
      <c r="C291" t="b">
        <v>1</v>
      </c>
      <c r="D291">
        <v>8060</v>
      </c>
      <c r="E291">
        <v>8134</v>
      </c>
      <c r="F291">
        <v>21.333334000000001</v>
      </c>
      <c r="G291">
        <v>14.066667000000001</v>
      </c>
      <c r="H291">
        <v>1.5165877000000001</v>
      </c>
      <c r="I291">
        <v>-0.51658773000000002</v>
      </c>
      <c r="J291">
        <v>0.39736345000000001</v>
      </c>
    </row>
    <row r="292" spans="1:10" x14ac:dyDescent="0.3">
      <c r="A292">
        <v>290</v>
      </c>
      <c r="B292">
        <v>4612</v>
      </c>
      <c r="C292" t="b">
        <v>1</v>
      </c>
      <c r="D292">
        <v>8060</v>
      </c>
      <c r="E292">
        <v>8129</v>
      </c>
      <c r="F292">
        <v>21.333334000000001</v>
      </c>
      <c r="G292">
        <v>14.4</v>
      </c>
      <c r="H292">
        <v>1.4814816</v>
      </c>
      <c r="I292">
        <v>-0.48148154999999998</v>
      </c>
      <c r="J292">
        <v>0.40298507</v>
      </c>
    </row>
    <row r="293" spans="1:10" x14ac:dyDescent="0.3">
      <c r="A293">
        <v>291</v>
      </c>
      <c r="B293">
        <v>4628</v>
      </c>
      <c r="C293" t="b">
        <v>1</v>
      </c>
      <c r="D293">
        <v>8060</v>
      </c>
      <c r="E293">
        <v>8134</v>
      </c>
      <c r="F293">
        <v>21</v>
      </c>
      <c r="G293">
        <v>15.133333</v>
      </c>
      <c r="H293">
        <v>1.3876652</v>
      </c>
      <c r="I293">
        <v>-0.38766519999999999</v>
      </c>
      <c r="J293">
        <v>0.41881921999999999</v>
      </c>
    </row>
    <row r="294" spans="1:10" x14ac:dyDescent="0.3">
      <c r="A294">
        <v>292</v>
      </c>
      <c r="B294">
        <v>4644</v>
      </c>
      <c r="C294" t="b">
        <v>1</v>
      </c>
      <c r="D294">
        <v>8065</v>
      </c>
      <c r="E294">
        <v>8134</v>
      </c>
      <c r="F294">
        <v>20.666665999999999</v>
      </c>
      <c r="G294">
        <v>15.866667</v>
      </c>
      <c r="H294">
        <v>1.302521</v>
      </c>
      <c r="I294">
        <v>-0.30252096000000001</v>
      </c>
      <c r="J294">
        <v>0.43430659999999999</v>
      </c>
    </row>
    <row r="295" spans="1:10" x14ac:dyDescent="0.3">
      <c r="A295">
        <v>293</v>
      </c>
      <c r="B295">
        <v>4660</v>
      </c>
      <c r="C295" t="b">
        <v>1</v>
      </c>
      <c r="D295">
        <v>8071</v>
      </c>
      <c r="E295">
        <v>8134</v>
      </c>
      <c r="F295">
        <v>20.333334000000001</v>
      </c>
      <c r="G295">
        <v>16.600000000000001</v>
      </c>
      <c r="H295">
        <v>1.2248996000000001</v>
      </c>
      <c r="I295">
        <v>-0.22489960000000001</v>
      </c>
      <c r="J295">
        <v>0.44945847999999999</v>
      </c>
    </row>
    <row r="296" spans="1:10" x14ac:dyDescent="0.3">
      <c r="A296">
        <v>294</v>
      </c>
      <c r="B296">
        <v>4676</v>
      </c>
      <c r="C296" t="b">
        <v>1</v>
      </c>
      <c r="D296">
        <v>8065</v>
      </c>
      <c r="E296">
        <v>8129</v>
      </c>
      <c r="F296">
        <v>20.333334000000001</v>
      </c>
      <c r="G296">
        <v>17.333334000000001</v>
      </c>
      <c r="H296">
        <v>1.1730769000000001</v>
      </c>
      <c r="I296">
        <v>-0.17307691</v>
      </c>
      <c r="J296">
        <v>0.460177</v>
      </c>
    </row>
    <row r="297" spans="1:10" x14ac:dyDescent="0.3">
      <c r="A297">
        <v>295</v>
      </c>
      <c r="B297">
        <v>4692</v>
      </c>
      <c r="C297" t="b">
        <v>1</v>
      </c>
      <c r="D297">
        <v>8060</v>
      </c>
      <c r="E297">
        <v>8129</v>
      </c>
      <c r="F297">
        <v>20.666665999999999</v>
      </c>
      <c r="G297">
        <v>17.666665999999999</v>
      </c>
      <c r="H297">
        <v>1.1698113999999999</v>
      </c>
      <c r="I297">
        <v>-0.16981131999999999</v>
      </c>
      <c r="J297">
        <v>0.46086955000000002</v>
      </c>
    </row>
    <row r="298" spans="1:10" x14ac:dyDescent="0.3">
      <c r="A298">
        <v>296</v>
      </c>
      <c r="B298">
        <v>4707</v>
      </c>
      <c r="C298" t="b">
        <v>1</v>
      </c>
      <c r="D298">
        <v>8060</v>
      </c>
      <c r="E298">
        <v>8129</v>
      </c>
      <c r="F298">
        <v>21</v>
      </c>
      <c r="G298">
        <v>17.666665999999999</v>
      </c>
      <c r="H298">
        <v>1.1886793</v>
      </c>
      <c r="I298">
        <v>-0.18867929999999999</v>
      </c>
      <c r="J298">
        <v>0.45689657</v>
      </c>
    </row>
    <row r="299" spans="1:10" x14ac:dyDescent="0.3">
      <c r="A299">
        <v>297</v>
      </c>
      <c r="B299">
        <v>4723</v>
      </c>
      <c r="C299" t="b">
        <v>1</v>
      </c>
      <c r="D299">
        <v>8060</v>
      </c>
      <c r="E299">
        <v>8134</v>
      </c>
      <c r="F299">
        <v>21</v>
      </c>
      <c r="G299">
        <v>17.666665999999999</v>
      </c>
      <c r="H299">
        <v>1.1886793</v>
      </c>
      <c r="I299">
        <v>-0.18867929999999999</v>
      </c>
      <c r="J299">
        <v>0.45689657</v>
      </c>
    </row>
    <row r="300" spans="1:10" x14ac:dyDescent="0.3">
      <c r="A300">
        <v>298</v>
      </c>
      <c r="B300">
        <v>4739</v>
      </c>
      <c r="C300" t="b">
        <v>1</v>
      </c>
      <c r="D300">
        <v>8054</v>
      </c>
      <c r="E300">
        <v>8134</v>
      </c>
      <c r="F300">
        <v>21</v>
      </c>
      <c r="G300">
        <v>17.666665999999999</v>
      </c>
      <c r="H300">
        <v>1.1886793</v>
      </c>
      <c r="I300">
        <v>-0.18867929999999999</v>
      </c>
      <c r="J300">
        <v>0.45689657</v>
      </c>
    </row>
    <row r="301" spans="1:10" x14ac:dyDescent="0.3">
      <c r="A301">
        <v>299</v>
      </c>
      <c r="B301">
        <v>4755</v>
      </c>
      <c r="C301" t="b">
        <v>1</v>
      </c>
      <c r="D301">
        <v>8054</v>
      </c>
      <c r="E301">
        <v>8134</v>
      </c>
      <c r="F301">
        <v>21</v>
      </c>
      <c r="G301">
        <v>18</v>
      </c>
      <c r="H301">
        <v>1.1666666000000001</v>
      </c>
      <c r="I301">
        <v>-0.16666666999999999</v>
      </c>
      <c r="J301">
        <v>0.46153845999999998</v>
      </c>
    </row>
    <row r="302" spans="1:10" x14ac:dyDescent="0.3">
      <c r="A302">
        <v>300</v>
      </c>
      <c r="B302">
        <v>4771</v>
      </c>
      <c r="C302" t="b">
        <v>1</v>
      </c>
      <c r="D302">
        <v>8054</v>
      </c>
      <c r="E302">
        <v>8134</v>
      </c>
      <c r="F302">
        <v>20.6</v>
      </c>
      <c r="G302">
        <v>18</v>
      </c>
      <c r="H302">
        <v>1.1444445000000001</v>
      </c>
      <c r="I302">
        <v>-0.14444446999999999</v>
      </c>
      <c r="J302">
        <v>0.46632126000000002</v>
      </c>
    </row>
    <row r="303" spans="1:10" x14ac:dyDescent="0.3">
      <c r="A303">
        <v>301</v>
      </c>
      <c r="B303">
        <v>4787</v>
      </c>
      <c r="C303" t="b">
        <v>1</v>
      </c>
      <c r="D303">
        <v>8060</v>
      </c>
      <c r="E303">
        <v>8134</v>
      </c>
      <c r="F303">
        <v>20.2</v>
      </c>
      <c r="G303">
        <v>18</v>
      </c>
      <c r="H303">
        <v>1.1222223</v>
      </c>
      <c r="I303">
        <v>-0.12222226999999999</v>
      </c>
      <c r="J303">
        <v>0.47120420000000002</v>
      </c>
    </row>
    <row r="304" spans="1:10" x14ac:dyDescent="0.3">
      <c r="A304">
        <v>302</v>
      </c>
      <c r="B304">
        <v>4806</v>
      </c>
      <c r="C304" t="b">
        <v>1</v>
      </c>
      <c r="D304">
        <v>8054</v>
      </c>
      <c r="E304">
        <v>8129</v>
      </c>
      <c r="F304">
        <v>19.8</v>
      </c>
      <c r="G304">
        <v>18</v>
      </c>
      <c r="H304">
        <v>1.0999999</v>
      </c>
      <c r="I304">
        <v>-9.9999959999999999E-2</v>
      </c>
      <c r="J304">
        <v>0.47619048000000003</v>
      </c>
    </row>
    <row r="305" spans="1:10" x14ac:dyDescent="0.3">
      <c r="A305">
        <v>303</v>
      </c>
      <c r="B305">
        <v>4829</v>
      </c>
      <c r="C305" t="b">
        <v>1</v>
      </c>
      <c r="D305">
        <v>8065</v>
      </c>
      <c r="E305">
        <v>8129</v>
      </c>
      <c r="F305">
        <v>19.399999999999999</v>
      </c>
      <c r="G305">
        <v>18</v>
      </c>
      <c r="H305">
        <v>1.0777776999999999</v>
      </c>
      <c r="I305">
        <v>-7.7777760000000001E-2</v>
      </c>
      <c r="J305">
        <v>0.48128339999999997</v>
      </c>
    </row>
    <row r="306" spans="1:10" x14ac:dyDescent="0.3">
      <c r="A306">
        <v>304</v>
      </c>
      <c r="B306">
        <v>4844</v>
      </c>
      <c r="C306" t="b">
        <v>1</v>
      </c>
      <c r="D306">
        <v>8071</v>
      </c>
      <c r="E306">
        <v>8129</v>
      </c>
      <c r="F306">
        <v>19.399999999999999</v>
      </c>
      <c r="G306">
        <v>17.666665999999999</v>
      </c>
      <c r="H306">
        <v>1.0981132</v>
      </c>
      <c r="I306">
        <v>-9.8113223999999999E-2</v>
      </c>
      <c r="J306">
        <v>0.47661870000000001</v>
      </c>
    </row>
    <row r="307" spans="1:10" x14ac:dyDescent="0.3">
      <c r="A307">
        <v>305</v>
      </c>
      <c r="B307">
        <v>4860</v>
      </c>
      <c r="C307" t="b">
        <v>1</v>
      </c>
      <c r="D307">
        <v>8065</v>
      </c>
      <c r="E307">
        <v>8129</v>
      </c>
      <c r="F307">
        <v>19.733333999999999</v>
      </c>
      <c r="G307">
        <v>17.333334000000001</v>
      </c>
      <c r="H307">
        <v>1.1384615</v>
      </c>
      <c r="I307">
        <v>-0.13846152</v>
      </c>
      <c r="J307">
        <v>0.46762591999999997</v>
      </c>
    </row>
    <row r="308" spans="1:10" x14ac:dyDescent="0.3">
      <c r="A308">
        <v>306</v>
      </c>
      <c r="B308">
        <v>4877</v>
      </c>
      <c r="C308" t="b">
        <v>1</v>
      </c>
      <c r="D308">
        <v>8065</v>
      </c>
      <c r="E308">
        <v>8140</v>
      </c>
      <c r="F308">
        <v>20.066668</v>
      </c>
      <c r="G308">
        <v>17</v>
      </c>
      <c r="H308">
        <v>1.1803923000000001</v>
      </c>
      <c r="I308">
        <v>-0.1803922</v>
      </c>
      <c r="J308">
        <v>0.45863310000000002</v>
      </c>
    </row>
    <row r="309" spans="1:10" x14ac:dyDescent="0.3">
      <c r="A309">
        <v>307</v>
      </c>
      <c r="B309">
        <v>4892</v>
      </c>
      <c r="C309" t="b">
        <v>1</v>
      </c>
      <c r="D309">
        <v>8065</v>
      </c>
      <c r="E309">
        <v>8129</v>
      </c>
      <c r="F309">
        <v>20.399999999999999</v>
      </c>
      <c r="G309">
        <v>16.666665999999999</v>
      </c>
      <c r="H309">
        <v>1.224</v>
      </c>
      <c r="I309">
        <v>-0.22400001999999999</v>
      </c>
      <c r="J309">
        <v>0.44964027000000001</v>
      </c>
    </row>
    <row r="310" spans="1:10" x14ac:dyDescent="0.3">
      <c r="A310">
        <v>308</v>
      </c>
      <c r="B310">
        <v>4908</v>
      </c>
      <c r="C310" t="b">
        <v>1</v>
      </c>
      <c r="D310">
        <v>8065</v>
      </c>
      <c r="E310">
        <v>8134</v>
      </c>
      <c r="F310">
        <v>20.733333999999999</v>
      </c>
      <c r="G310">
        <v>16.333334000000001</v>
      </c>
      <c r="H310">
        <v>1.2693877</v>
      </c>
      <c r="I310">
        <v>-0.26938772</v>
      </c>
      <c r="J310">
        <v>0.44064750000000003</v>
      </c>
    </row>
    <row r="311" spans="1:10" x14ac:dyDescent="0.3">
      <c r="A311">
        <v>309</v>
      </c>
      <c r="B311">
        <v>4924</v>
      </c>
      <c r="C311" t="b">
        <v>1</v>
      </c>
      <c r="D311">
        <v>8060</v>
      </c>
      <c r="E311">
        <v>8129</v>
      </c>
      <c r="F311">
        <v>20.733333999999999</v>
      </c>
      <c r="G311">
        <v>16</v>
      </c>
      <c r="H311">
        <v>1.2958333</v>
      </c>
      <c r="I311">
        <v>-0.29583334999999999</v>
      </c>
      <c r="J311">
        <v>0.43557167000000002</v>
      </c>
    </row>
    <row r="312" spans="1:10" x14ac:dyDescent="0.3">
      <c r="A312">
        <v>310</v>
      </c>
      <c r="B312">
        <v>4940</v>
      </c>
      <c r="C312" t="b">
        <v>1</v>
      </c>
      <c r="D312">
        <v>8065</v>
      </c>
      <c r="E312">
        <v>8129</v>
      </c>
      <c r="F312">
        <v>20.733333999999999</v>
      </c>
      <c r="G312">
        <v>15.666667</v>
      </c>
      <c r="H312">
        <v>1.3234041999999999</v>
      </c>
      <c r="I312">
        <v>-0.32340425</v>
      </c>
      <c r="J312">
        <v>0.43040293000000002</v>
      </c>
    </row>
    <row r="313" spans="1:10" x14ac:dyDescent="0.3">
      <c r="A313">
        <v>311</v>
      </c>
      <c r="B313">
        <v>4956</v>
      </c>
      <c r="C313" t="b">
        <v>1</v>
      </c>
      <c r="D313">
        <v>8065</v>
      </c>
      <c r="E313">
        <v>8123</v>
      </c>
      <c r="F313">
        <v>20.733333999999999</v>
      </c>
      <c r="G313">
        <v>15.666667</v>
      </c>
      <c r="H313">
        <v>1.3234041999999999</v>
      </c>
      <c r="I313">
        <v>-0.32340425</v>
      </c>
      <c r="J313">
        <v>0.43040293000000002</v>
      </c>
    </row>
    <row r="314" spans="1:10" x14ac:dyDescent="0.3">
      <c r="A314">
        <v>312</v>
      </c>
      <c r="B314">
        <v>4971</v>
      </c>
      <c r="C314" t="b">
        <v>1</v>
      </c>
      <c r="D314">
        <v>8060</v>
      </c>
      <c r="E314">
        <v>8123</v>
      </c>
      <c r="F314">
        <v>21.066668</v>
      </c>
      <c r="G314">
        <v>15.666667</v>
      </c>
      <c r="H314">
        <v>1.3446809</v>
      </c>
      <c r="I314">
        <v>-0.34468088000000002</v>
      </c>
      <c r="J314">
        <v>0.42649727999999998</v>
      </c>
    </row>
    <row r="315" spans="1:10" x14ac:dyDescent="0.3">
      <c r="A315">
        <v>313</v>
      </c>
      <c r="B315">
        <v>4987</v>
      </c>
      <c r="C315" t="b">
        <v>1</v>
      </c>
      <c r="D315">
        <v>8065</v>
      </c>
      <c r="E315">
        <v>8129</v>
      </c>
      <c r="F315">
        <v>21.4</v>
      </c>
      <c r="G315">
        <v>15.666667</v>
      </c>
      <c r="H315">
        <v>1.3659574000000001</v>
      </c>
      <c r="I315">
        <v>-0.36595739999999999</v>
      </c>
      <c r="J315">
        <v>0.42266189999999998</v>
      </c>
    </row>
    <row r="316" spans="1:10" x14ac:dyDescent="0.3">
      <c r="A316">
        <v>314</v>
      </c>
      <c r="B316">
        <v>5003</v>
      </c>
      <c r="C316" t="b">
        <v>1</v>
      </c>
      <c r="D316">
        <v>8065</v>
      </c>
      <c r="E316">
        <v>8129</v>
      </c>
      <c r="F316">
        <v>21.733333999999999</v>
      </c>
      <c r="G316">
        <v>15.333333</v>
      </c>
      <c r="H316">
        <v>1.4173913</v>
      </c>
      <c r="I316">
        <v>-0.41739135999999999</v>
      </c>
      <c r="J316">
        <v>0.41366908000000002</v>
      </c>
    </row>
    <row r="317" spans="1:10" x14ac:dyDescent="0.3">
      <c r="A317">
        <v>315</v>
      </c>
      <c r="B317">
        <v>5019</v>
      </c>
      <c r="C317" t="b">
        <v>1</v>
      </c>
      <c r="D317">
        <v>8065</v>
      </c>
      <c r="E317">
        <v>8134</v>
      </c>
      <c r="F317">
        <v>22.466667000000001</v>
      </c>
      <c r="G317">
        <v>15</v>
      </c>
      <c r="H317">
        <v>1.4977777999999999</v>
      </c>
      <c r="I317">
        <v>-0.49777781999999998</v>
      </c>
      <c r="J317">
        <v>0.40035588</v>
      </c>
    </row>
    <row r="318" spans="1:10" x14ac:dyDescent="0.3">
      <c r="A318">
        <v>316</v>
      </c>
      <c r="B318">
        <v>5035</v>
      </c>
      <c r="C318" t="b">
        <v>1</v>
      </c>
      <c r="D318">
        <v>8065</v>
      </c>
      <c r="E318">
        <v>8134</v>
      </c>
      <c r="F318">
        <v>23.2</v>
      </c>
      <c r="G318">
        <v>14.666667</v>
      </c>
      <c r="H318">
        <v>1.5818182000000001</v>
      </c>
      <c r="I318">
        <v>-0.58181819999999995</v>
      </c>
      <c r="J318">
        <v>0.38732394999999997</v>
      </c>
    </row>
    <row r="319" spans="1:10" x14ac:dyDescent="0.3">
      <c r="A319">
        <v>317</v>
      </c>
      <c r="B319">
        <v>5050</v>
      </c>
      <c r="C319" t="b">
        <v>1</v>
      </c>
      <c r="D319">
        <v>8060</v>
      </c>
      <c r="E319">
        <v>8140</v>
      </c>
      <c r="F319">
        <v>23.933332</v>
      </c>
      <c r="G319">
        <v>14.666667</v>
      </c>
      <c r="H319">
        <v>1.631818</v>
      </c>
      <c r="I319">
        <v>-0.63181805999999996</v>
      </c>
      <c r="J319">
        <v>0.37996548000000002</v>
      </c>
    </row>
    <row r="320" spans="1:10" x14ac:dyDescent="0.3">
      <c r="A320">
        <v>318</v>
      </c>
      <c r="B320">
        <v>5066</v>
      </c>
      <c r="C320" t="b">
        <v>1</v>
      </c>
      <c r="D320">
        <v>8060</v>
      </c>
      <c r="E320">
        <v>8129</v>
      </c>
      <c r="F320">
        <v>24.666665999999999</v>
      </c>
      <c r="G320">
        <v>14.666667</v>
      </c>
      <c r="H320">
        <v>1.6818181000000001</v>
      </c>
      <c r="I320">
        <v>-0.68181809999999998</v>
      </c>
      <c r="J320">
        <v>0.37288137999999998</v>
      </c>
    </row>
    <row r="321" spans="1:10" x14ac:dyDescent="0.3">
      <c r="A321">
        <v>319</v>
      </c>
      <c r="B321">
        <v>5082</v>
      </c>
      <c r="C321" t="b">
        <v>1</v>
      </c>
      <c r="D321">
        <v>8060</v>
      </c>
      <c r="E321">
        <v>8129</v>
      </c>
      <c r="F321">
        <v>24.666665999999999</v>
      </c>
      <c r="G321">
        <v>15</v>
      </c>
      <c r="H321">
        <v>1.6444443</v>
      </c>
      <c r="I321">
        <v>-0.64444440000000003</v>
      </c>
      <c r="J321">
        <v>0.37815130000000002</v>
      </c>
    </row>
    <row r="322" spans="1:10" x14ac:dyDescent="0.3">
      <c r="A322">
        <v>320</v>
      </c>
      <c r="B322">
        <v>5098</v>
      </c>
      <c r="C322" t="b">
        <v>1</v>
      </c>
      <c r="D322">
        <v>8065</v>
      </c>
      <c r="E322">
        <v>8123</v>
      </c>
      <c r="F322">
        <v>24.333334000000001</v>
      </c>
      <c r="G322">
        <v>15</v>
      </c>
      <c r="H322">
        <v>1.6222223</v>
      </c>
      <c r="I322">
        <v>-0.62222224000000004</v>
      </c>
      <c r="J322">
        <v>0.38135590000000003</v>
      </c>
    </row>
    <row r="323" spans="1:10" x14ac:dyDescent="0.3">
      <c r="A323">
        <v>321</v>
      </c>
      <c r="B323">
        <v>5114</v>
      </c>
      <c r="C323" t="b">
        <v>1</v>
      </c>
      <c r="D323">
        <v>8065</v>
      </c>
      <c r="E323">
        <v>8129</v>
      </c>
      <c r="F323">
        <v>24</v>
      </c>
      <c r="G323">
        <v>15</v>
      </c>
      <c r="H323">
        <v>1.6</v>
      </c>
      <c r="I323">
        <v>-0.6</v>
      </c>
      <c r="J323">
        <v>0.3846154</v>
      </c>
    </row>
    <row r="324" spans="1:10" x14ac:dyDescent="0.3">
      <c r="A324">
        <v>322</v>
      </c>
      <c r="B324">
        <v>5129</v>
      </c>
      <c r="C324" t="b">
        <v>1</v>
      </c>
      <c r="D324">
        <v>8060</v>
      </c>
      <c r="E324">
        <v>8129</v>
      </c>
      <c r="F324">
        <v>23.666665999999999</v>
      </c>
      <c r="G324">
        <v>15</v>
      </c>
      <c r="H324">
        <v>1.5777776999999999</v>
      </c>
      <c r="I324">
        <v>-0.57777774000000004</v>
      </c>
      <c r="J324">
        <v>0.38793105</v>
      </c>
    </row>
    <row r="325" spans="1:10" x14ac:dyDescent="0.3">
      <c r="A325">
        <v>323</v>
      </c>
      <c r="B325">
        <v>5160</v>
      </c>
      <c r="C325" t="b">
        <v>1</v>
      </c>
      <c r="D325">
        <v>8054</v>
      </c>
      <c r="E325">
        <v>8123</v>
      </c>
      <c r="F325">
        <v>23.333334000000001</v>
      </c>
      <c r="G325">
        <v>15</v>
      </c>
      <c r="H325">
        <v>1.5555555999999999</v>
      </c>
      <c r="I325">
        <v>-0.55555560000000004</v>
      </c>
      <c r="J325">
        <v>0.39130429999999999</v>
      </c>
    </row>
    <row r="326" spans="1:10" x14ac:dyDescent="0.3">
      <c r="A326">
        <v>324</v>
      </c>
      <c r="B326">
        <v>5175</v>
      </c>
      <c r="C326" t="b">
        <v>1</v>
      </c>
      <c r="D326">
        <v>8060</v>
      </c>
      <c r="E326">
        <v>8129</v>
      </c>
      <c r="F326">
        <v>23</v>
      </c>
      <c r="G326">
        <v>15</v>
      </c>
      <c r="H326">
        <v>1.5333333</v>
      </c>
      <c r="I326">
        <v>-0.53333335999999998</v>
      </c>
      <c r="J326">
        <v>0.39473686000000002</v>
      </c>
    </row>
    <row r="327" spans="1:10" x14ac:dyDescent="0.3">
      <c r="A327">
        <v>325</v>
      </c>
      <c r="B327">
        <v>5191</v>
      </c>
      <c r="C327" t="b">
        <v>1</v>
      </c>
      <c r="D327">
        <v>8054</v>
      </c>
      <c r="E327">
        <v>8129</v>
      </c>
      <c r="F327">
        <v>22.666665999999999</v>
      </c>
      <c r="G327">
        <v>15</v>
      </c>
      <c r="H327">
        <v>1.5111110000000001</v>
      </c>
      <c r="I327">
        <v>-0.51111110000000004</v>
      </c>
      <c r="J327">
        <v>0.39823009999999998</v>
      </c>
    </row>
    <row r="328" spans="1:10" x14ac:dyDescent="0.3">
      <c r="A328">
        <v>326</v>
      </c>
      <c r="B328">
        <v>5207</v>
      </c>
      <c r="C328" t="b">
        <v>1</v>
      </c>
      <c r="D328">
        <v>8054</v>
      </c>
      <c r="E328">
        <v>8123</v>
      </c>
      <c r="F328">
        <v>21.933332</v>
      </c>
      <c r="G328">
        <v>15</v>
      </c>
      <c r="H328">
        <v>1.4622222</v>
      </c>
      <c r="I328">
        <v>-0.46222215999999999</v>
      </c>
      <c r="J328">
        <v>0.40613716999999999</v>
      </c>
    </row>
    <row r="329" spans="1:10" x14ac:dyDescent="0.3">
      <c r="A329">
        <v>327</v>
      </c>
      <c r="B329">
        <v>5223</v>
      </c>
      <c r="C329" t="b">
        <v>1</v>
      </c>
      <c r="D329">
        <v>8060</v>
      </c>
      <c r="E329">
        <v>8117</v>
      </c>
      <c r="F329">
        <v>21.2</v>
      </c>
      <c r="G329">
        <v>14.6</v>
      </c>
      <c r="H329">
        <v>1.4520549</v>
      </c>
      <c r="I329">
        <v>-0.45205479999999998</v>
      </c>
      <c r="J329">
        <v>0.40782119999999999</v>
      </c>
    </row>
    <row r="330" spans="1:10" x14ac:dyDescent="0.3">
      <c r="A330">
        <v>328</v>
      </c>
      <c r="B330">
        <v>5239</v>
      </c>
      <c r="C330" t="b">
        <v>1</v>
      </c>
      <c r="D330">
        <v>8065</v>
      </c>
      <c r="E330">
        <v>8129</v>
      </c>
      <c r="F330">
        <v>20.866667</v>
      </c>
      <c r="G330">
        <v>14.6</v>
      </c>
      <c r="H330">
        <v>1.4292237000000001</v>
      </c>
      <c r="I330">
        <v>-0.42922371999999998</v>
      </c>
      <c r="J330">
        <v>0.41165414</v>
      </c>
    </row>
    <row r="331" spans="1:10" x14ac:dyDescent="0.3">
      <c r="A331">
        <v>329</v>
      </c>
      <c r="B331">
        <v>5255</v>
      </c>
      <c r="C331" t="b">
        <v>1</v>
      </c>
      <c r="D331">
        <v>8054</v>
      </c>
      <c r="E331">
        <v>8134</v>
      </c>
      <c r="F331">
        <v>20.133333</v>
      </c>
      <c r="G331">
        <v>14.6</v>
      </c>
      <c r="H331">
        <v>1.3789954</v>
      </c>
      <c r="I331">
        <v>-0.37899539999999998</v>
      </c>
      <c r="J331">
        <v>0.42034549999999998</v>
      </c>
    </row>
    <row r="332" spans="1:10" x14ac:dyDescent="0.3">
      <c r="A332">
        <v>330</v>
      </c>
      <c r="B332">
        <v>5270</v>
      </c>
      <c r="C332" t="b">
        <v>1</v>
      </c>
      <c r="D332">
        <v>8065</v>
      </c>
      <c r="E332">
        <v>8129</v>
      </c>
      <c r="F332">
        <v>19.8</v>
      </c>
      <c r="G332">
        <v>14.6</v>
      </c>
      <c r="H332">
        <v>1.3561643000000001</v>
      </c>
      <c r="I332">
        <v>-0.35616429999999999</v>
      </c>
      <c r="J332">
        <v>0.42441859999999998</v>
      </c>
    </row>
    <row r="333" spans="1:10" x14ac:dyDescent="0.3">
      <c r="A333">
        <v>331</v>
      </c>
      <c r="B333">
        <v>5286</v>
      </c>
      <c r="C333" t="b">
        <v>1</v>
      </c>
      <c r="D333">
        <v>8065</v>
      </c>
      <c r="E333">
        <v>8129</v>
      </c>
      <c r="F333">
        <v>19.8</v>
      </c>
      <c r="G333">
        <v>14.6</v>
      </c>
      <c r="H333">
        <v>1.3561643000000001</v>
      </c>
      <c r="I333">
        <v>-0.35616429999999999</v>
      </c>
      <c r="J333">
        <v>0.42441859999999998</v>
      </c>
    </row>
    <row r="334" spans="1:10" x14ac:dyDescent="0.3">
      <c r="A334">
        <v>332</v>
      </c>
      <c r="B334">
        <v>5302</v>
      </c>
      <c r="C334" t="b">
        <v>1</v>
      </c>
      <c r="D334">
        <v>8065</v>
      </c>
      <c r="E334">
        <v>8129</v>
      </c>
      <c r="F334">
        <v>19.8</v>
      </c>
      <c r="G334">
        <v>14.266666000000001</v>
      </c>
      <c r="H334">
        <v>1.3878504</v>
      </c>
      <c r="I334">
        <v>-0.38785043000000002</v>
      </c>
      <c r="J334">
        <v>0.41878670000000001</v>
      </c>
    </row>
    <row r="335" spans="1:10" x14ac:dyDescent="0.3">
      <c r="A335">
        <v>333</v>
      </c>
      <c r="B335">
        <v>5318</v>
      </c>
      <c r="C335" t="b">
        <v>1</v>
      </c>
      <c r="D335">
        <v>8065</v>
      </c>
      <c r="E335">
        <v>8129</v>
      </c>
      <c r="F335">
        <v>19.8</v>
      </c>
      <c r="G335">
        <v>13.933332999999999</v>
      </c>
      <c r="H335">
        <v>1.4210526000000001</v>
      </c>
      <c r="I335">
        <v>-0.42105258000000001</v>
      </c>
      <c r="J335">
        <v>0.41304347000000002</v>
      </c>
    </row>
    <row r="336" spans="1:10" x14ac:dyDescent="0.3">
      <c r="A336">
        <v>334</v>
      </c>
      <c r="B336">
        <v>5334</v>
      </c>
      <c r="C336" t="b">
        <v>1</v>
      </c>
      <c r="D336">
        <v>8060</v>
      </c>
      <c r="E336">
        <v>8134</v>
      </c>
      <c r="F336">
        <v>20.133333</v>
      </c>
      <c r="G336">
        <v>13.6</v>
      </c>
      <c r="H336">
        <v>1.4803921</v>
      </c>
      <c r="I336">
        <v>-0.48039209999999999</v>
      </c>
      <c r="J336">
        <v>0.40316205999999999</v>
      </c>
    </row>
    <row r="337" spans="1:10" x14ac:dyDescent="0.3">
      <c r="A337">
        <v>335</v>
      </c>
      <c r="B337">
        <v>5350</v>
      </c>
      <c r="C337" t="b">
        <v>1</v>
      </c>
      <c r="D337">
        <v>8060</v>
      </c>
      <c r="E337">
        <v>8123</v>
      </c>
      <c r="F337">
        <v>20.466667000000001</v>
      </c>
      <c r="G337">
        <v>13.6</v>
      </c>
      <c r="H337">
        <v>1.504902</v>
      </c>
      <c r="I337">
        <v>-0.50490195000000004</v>
      </c>
      <c r="J337">
        <v>0.39921725000000002</v>
      </c>
    </row>
    <row r="338" spans="1:10" x14ac:dyDescent="0.3">
      <c r="A338">
        <v>336</v>
      </c>
      <c r="B338">
        <v>5366</v>
      </c>
      <c r="C338" t="b">
        <v>1</v>
      </c>
      <c r="D338">
        <v>8054</v>
      </c>
      <c r="E338">
        <v>8123</v>
      </c>
      <c r="F338">
        <v>20.466667000000001</v>
      </c>
      <c r="G338">
        <v>13.6</v>
      </c>
      <c r="H338">
        <v>1.504902</v>
      </c>
      <c r="I338">
        <v>-0.50490195000000004</v>
      </c>
      <c r="J338">
        <v>0.39921725000000002</v>
      </c>
    </row>
    <row r="339" spans="1:10" x14ac:dyDescent="0.3">
      <c r="A339">
        <v>337</v>
      </c>
      <c r="B339">
        <v>5382</v>
      </c>
      <c r="C339" t="b">
        <v>1</v>
      </c>
      <c r="D339">
        <v>8060</v>
      </c>
      <c r="E339">
        <v>8129</v>
      </c>
      <c r="F339">
        <v>20.466667000000001</v>
      </c>
      <c r="G339">
        <v>13.6</v>
      </c>
      <c r="H339">
        <v>1.504902</v>
      </c>
      <c r="I339">
        <v>-0.50490195000000004</v>
      </c>
      <c r="J339">
        <v>0.39921725000000002</v>
      </c>
    </row>
    <row r="340" spans="1:10" x14ac:dyDescent="0.3">
      <c r="A340">
        <v>338</v>
      </c>
      <c r="B340">
        <v>5397</v>
      </c>
      <c r="C340" t="b">
        <v>1</v>
      </c>
      <c r="D340">
        <v>8060</v>
      </c>
      <c r="E340">
        <v>8129</v>
      </c>
      <c r="F340">
        <v>20.466667000000001</v>
      </c>
      <c r="G340">
        <v>13.6</v>
      </c>
      <c r="H340">
        <v>1.504902</v>
      </c>
      <c r="I340">
        <v>-0.50490195000000004</v>
      </c>
      <c r="J340">
        <v>0.39921725000000002</v>
      </c>
    </row>
    <row r="341" spans="1:10" x14ac:dyDescent="0.3">
      <c r="A341">
        <v>339</v>
      </c>
      <c r="B341">
        <v>5413</v>
      </c>
      <c r="C341" t="b">
        <v>1</v>
      </c>
      <c r="D341">
        <v>8060</v>
      </c>
      <c r="E341">
        <v>8134</v>
      </c>
      <c r="F341">
        <v>20.466667000000001</v>
      </c>
      <c r="G341">
        <v>13.6</v>
      </c>
      <c r="H341">
        <v>1.504902</v>
      </c>
      <c r="I341">
        <v>-0.50490195000000004</v>
      </c>
      <c r="J341">
        <v>0.39921725000000002</v>
      </c>
    </row>
    <row r="342" spans="1:10" x14ac:dyDescent="0.3">
      <c r="A342">
        <v>340</v>
      </c>
      <c r="B342">
        <v>5429</v>
      </c>
      <c r="C342" t="b">
        <v>1</v>
      </c>
      <c r="D342">
        <v>8054</v>
      </c>
      <c r="E342">
        <v>8123</v>
      </c>
      <c r="F342">
        <v>20.466667000000001</v>
      </c>
      <c r="G342">
        <v>13.6</v>
      </c>
      <c r="H342">
        <v>1.504902</v>
      </c>
      <c r="I342">
        <v>-0.50490195000000004</v>
      </c>
      <c r="J342">
        <v>0.39921725000000002</v>
      </c>
    </row>
    <row r="343" spans="1:10" x14ac:dyDescent="0.3">
      <c r="A343">
        <v>341</v>
      </c>
      <c r="B343">
        <v>5445</v>
      </c>
      <c r="C343" t="b">
        <v>1</v>
      </c>
      <c r="D343">
        <v>8065</v>
      </c>
      <c r="E343">
        <v>8134</v>
      </c>
      <c r="F343">
        <v>20.866667</v>
      </c>
      <c r="G343">
        <v>13.6</v>
      </c>
      <c r="H343">
        <v>1.5343137</v>
      </c>
      <c r="I343">
        <v>-0.5343137</v>
      </c>
      <c r="J343">
        <v>0.39458415000000002</v>
      </c>
    </row>
    <row r="344" spans="1:10" x14ac:dyDescent="0.3">
      <c r="A344">
        <v>342</v>
      </c>
      <c r="B344">
        <v>5460</v>
      </c>
      <c r="C344" t="b">
        <v>1</v>
      </c>
      <c r="D344">
        <v>8065</v>
      </c>
      <c r="E344">
        <v>8129</v>
      </c>
      <c r="F344">
        <v>21.266666000000001</v>
      </c>
      <c r="G344">
        <v>14</v>
      </c>
      <c r="H344">
        <v>1.5190475999999999</v>
      </c>
      <c r="I344">
        <v>-0.51904760000000005</v>
      </c>
      <c r="J344">
        <v>0.39697543000000002</v>
      </c>
    </row>
    <row r="345" spans="1:10" x14ac:dyDescent="0.3">
      <c r="A345">
        <v>343</v>
      </c>
      <c r="B345">
        <v>5476</v>
      </c>
      <c r="C345" t="b">
        <v>1</v>
      </c>
      <c r="D345">
        <v>8065</v>
      </c>
      <c r="E345">
        <v>8129</v>
      </c>
      <c r="F345">
        <v>21.6</v>
      </c>
      <c r="G345">
        <v>14</v>
      </c>
      <c r="H345">
        <v>1.5428572</v>
      </c>
      <c r="I345">
        <v>-0.54285717</v>
      </c>
      <c r="J345">
        <v>0.39325844999999998</v>
      </c>
    </row>
    <row r="346" spans="1:10" x14ac:dyDescent="0.3">
      <c r="A346">
        <v>344</v>
      </c>
      <c r="B346">
        <v>5491</v>
      </c>
      <c r="C346" t="b">
        <v>1</v>
      </c>
      <c r="D346">
        <v>8065</v>
      </c>
      <c r="E346">
        <v>8129</v>
      </c>
      <c r="F346">
        <v>22.333334000000001</v>
      </c>
      <c r="G346">
        <v>14</v>
      </c>
      <c r="H346">
        <v>1.5952381</v>
      </c>
      <c r="I346">
        <v>-0.59523815000000002</v>
      </c>
      <c r="J346">
        <v>0.38532107999999998</v>
      </c>
    </row>
    <row r="347" spans="1:10" x14ac:dyDescent="0.3">
      <c r="A347">
        <v>345</v>
      </c>
      <c r="B347">
        <v>5507</v>
      </c>
      <c r="C347" t="b">
        <v>1</v>
      </c>
      <c r="D347">
        <v>8065</v>
      </c>
      <c r="E347">
        <v>8129</v>
      </c>
      <c r="F347">
        <v>22.666665999999999</v>
      </c>
      <c r="G347">
        <v>14</v>
      </c>
      <c r="H347">
        <v>1.6190475</v>
      </c>
      <c r="I347">
        <v>-0.61904760000000003</v>
      </c>
      <c r="J347">
        <v>0.3818182</v>
      </c>
    </row>
    <row r="348" spans="1:10" x14ac:dyDescent="0.3">
      <c r="A348">
        <v>346</v>
      </c>
      <c r="B348">
        <v>5523</v>
      </c>
      <c r="C348" t="b">
        <v>1</v>
      </c>
      <c r="D348">
        <v>8065</v>
      </c>
      <c r="E348">
        <v>8134</v>
      </c>
      <c r="F348">
        <v>22.666665999999999</v>
      </c>
      <c r="G348">
        <v>14</v>
      </c>
      <c r="H348">
        <v>1.6190475</v>
      </c>
      <c r="I348">
        <v>-0.61904760000000003</v>
      </c>
      <c r="J348">
        <v>0.3818182</v>
      </c>
    </row>
    <row r="349" spans="1:10" x14ac:dyDescent="0.3">
      <c r="A349">
        <v>347</v>
      </c>
      <c r="B349">
        <v>5539</v>
      </c>
      <c r="C349" t="b">
        <v>1</v>
      </c>
      <c r="D349">
        <v>8060</v>
      </c>
      <c r="E349">
        <v>8140</v>
      </c>
      <c r="F349">
        <v>22.666665999999999</v>
      </c>
      <c r="G349">
        <v>14</v>
      </c>
      <c r="H349">
        <v>1.6190475</v>
      </c>
      <c r="I349">
        <v>-0.61904760000000003</v>
      </c>
      <c r="J349">
        <v>0.3818182</v>
      </c>
    </row>
    <row r="350" spans="1:10" x14ac:dyDescent="0.3">
      <c r="A350">
        <v>348</v>
      </c>
      <c r="B350">
        <v>5554</v>
      </c>
      <c r="C350" t="b">
        <v>1</v>
      </c>
      <c r="D350">
        <v>8060</v>
      </c>
      <c r="E350">
        <v>8134</v>
      </c>
      <c r="F350">
        <v>22.666665999999999</v>
      </c>
      <c r="G350">
        <v>14.333333</v>
      </c>
      <c r="H350">
        <v>1.5813953999999999</v>
      </c>
      <c r="I350">
        <v>-0.58139529999999995</v>
      </c>
      <c r="J350">
        <v>0.38738737000000001</v>
      </c>
    </row>
    <row r="351" spans="1:10" x14ac:dyDescent="0.3">
      <c r="A351">
        <v>349</v>
      </c>
      <c r="B351">
        <v>5570</v>
      </c>
      <c r="C351" t="b">
        <v>1</v>
      </c>
      <c r="D351">
        <v>8060</v>
      </c>
      <c r="E351">
        <v>8134</v>
      </c>
      <c r="F351">
        <v>22.333334000000001</v>
      </c>
      <c r="G351">
        <v>14.666667</v>
      </c>
      <c r="H351">
        <v>1.5227272999999999</v>
      </c>
      <c r="I351">
        <v>-0.52272730000000001</v>
      </c>
      <c r="J351">
        <v>0.39639639999999998</v>
      </c>
    </row>
    <row r="352" spans="1:10" x14ac:dyDescent="0.3">
      <c r="A352">
        <v>350</v>
      </c>
      <c r="B352">
        <v>5587</v>
      </c>
      <c r="C352" t="b">
        <v>1</v>
      </c>
      <c r="D352">
        <v>8071</v>
      </c>
      <c r="E352">
        <v>8134</v>
      </c>
      <c r="F352">
        <v>22</v>
      </c>
      <c r="G352">
        <v>15</v>
      </c>
      <c r="H352">
        <v>1.4666667</v>
      </c>
      <c r="I352">
        <v>-0.46666667000000001</v>
      </c>
      <c r="J352">
        <v>0.40540540000000003</v>
      </c>
    </row>
    <row r="353" spans="1:10" x14ac:dyDescent="0.3">
      <c r="A353">
        <v>351</v>
      </c>
      <c r="B353">
        <v>5603</v>
      </c>
      <c r="C353" t="b">
        <v>1</v>
      </c>
      <c r="D353">
        <v>8065</v>
      </c>
      <c r="E353">
        <v>8134</v>
      </c>
      <c r="F353">
        <v>22</v>
      </c>
      <c r="G353">
        <v>15.333333</v>
      </c>
      <c r="H353">
        <v>1.4347825999999999</v>
      </c>
      <c r="I353">
        <v>-0.43478262000000001</v>
      </c>
      <c r="J353">
        <v>0.41071429999999998</v>
      </c>
    </row>
    <row r="354" spans="1:10" x14ac:dyDescent="0.3">
      <c r="A354">
        <v>352</v>
      </c>
      <c r="B354">
        <v>5618</v>
      </c>
      <c r="C354" t="b">
        <v>1</v>
      </c>
      <c r="D354">
        <v>8060</v>
      </c>
      <c r="E354">
        <v>8129</v>
      </c>
      <c r="F354">
        <v>22</v>
      </c>
      <c r="G354">
        <v>15.666667</v>
      </c>
      <c r="H354">
        <v>1.4042553</v>
      </c>
      <c r="I354">
        <v>-0.40425529999999998</v>
      </c>
      <c r="J354">
        <v>0.4159292</v>
      </c>
    </row>
    <row r="355" spans="1:10" x14ac:dyDescent="0.3">
      <c r="A355">
        <v>353</v>
      </c>
      <c r="B355">
        <v>5634</v>
      </c>
      <c r="C355" t="b">
        <v>1</v>
      </c>
      <c r="D355">
        <v>8065</v>
      </c>
      <c r="E355">
        <v>8129</v>
      </c>
      <c r="F355">
        <v>22.333334000000001</v>
      </c>
      <c r="G355">
        <v>16</v>
      </c>
      <c r="H355">
        <v>1.3958333999999999</v>
      </c>
      <c r="I355">
        <v>-0.39583337000000002</v>
      </c>
      <c r="J355">
        <v>0.41739126999999998</v>
      </c>
    </row>
    <row r="356" spans="1:10" x14ac:dyDescent="0.3">
      <c r="A356">
        <v>354</v>
      </c>
      <c r="B356">
        <v>5650</v>
      </c>
      <c r="C356" t="b">
        <v>1</v>
      </c>
      <c r="D356">
        <v>8060</v>
      </c>
      <c r="E356">
        <v>8129</v>
      </c>
      <c r="F356">
        <v>22.666665999999999</v>
      </c>
      <c r="G356">
        <v>16</v>
      </c>
      <c r="H356">
        <v>1.4166666000000001</v>
      </c>
      <c r="I356">
        <v>-0.41666662999999998</v>
      </c>
      <c r="J356">
        <v>0.41379312000000001</v>
      </c>
    </row>
    <row r="357" spans="1:10" x14ac:dyDescent="0.3">
      <c r="A357">
        <v>355</v>
      </c>
      <c r="B357">
        <v>5666</v>
      </c>
      <c r="C357" t="b">
        <v>1</v>
      </c>
      <c r="D357">
        <v>8060</v>
      </c>
      <c r="E357">
        <v>8129</v>
      </c>
      <c r="F357">
        <v>22.666665999999999</v>
      </c>
      <c r="G357">
        <v>16</v>
      </c>
      <c r="H357">
        <v>1.4166666000000001</v>
      </c>
      <c r="I357">
        <v>-0.41666662999999998</v>
      </c>
      <c r="J357">
        <v>0.41379312000000001</v>
      </c>
    </row>
    <row r="358" spans="1:10" x14ac:dyDescent="0.3">
      <c r="A358">
        <v>356</v>
      </c>
      <c r="B358">
        <v>5682</v>
      </c>
      <c r="C358" t="b">
        <v>1</v>
      </c>
      <c r="D358">
        <v>8060</v>
      </c>
      <c r="E358">
        <v>8134</v>
      </c>
      <c r="F358">
        <v>22.666665999999999</v>
      </c>
      <c r="G358">
        <v>16</v>
      </c>
      <c r="H358">
        <v>1.4166666000000001</v>
      </c>
      <c r="I358">
        <v>-0.41666662999999998</v>
      </c>
      <c r="J358">
        <v>0.41379312000000001</v>
      </c>
    </row>
    <row r="359" spans="1:10" x14ac:dyDescent="0.3">
      <c r="A359">
        <v>357</v>
      </c>
      <c r="B359">
        <v>5698</v>
      </c>
      <c r="C359" t="b">
        <v>1</v>
      </c>
      <c r="D359">
        <v>8060</v>
      </c>
      <c r="E359">
        <v>8129</v>
      </c>
      <c r="F359">
        <v>22.666665999999999</v>
      </c>
      <c r="G359">
        <v>16</v>
      </c>
      <c r="H359">
        <v>1.4166666000000001</v>
      </c>
      <c r="I359">
        <v>-0.41666662999999998</v>
      </c>
      <c r="J359">
        <v>0.41379312000000001</v>
      </c>
    </row>
    <row r="360" spans="1:10" x14ac:dyDescent="0.3">
      <c r="A360">
        <v>358</v>
      </c>
      <c r="B360">
        <v>5714</v>
      </c>
      <c r="C360" t="b">
        <v>1</v>
      </c>
      <c r="D360">
        <v>8060</v>
      </c>
      <c r="E360">
        <v>8123</v>
      </c>
      <c r="F360">
        <v>22.333334000000001</v>
      </c>
      <c r="G360">
        <v>16</v>
      </c>
      <c r="H360">
        <v>1.3958333999999999</v>
      </c>
      <c r="I360">
        <v>-0.39583337000000002</v>
      </c>
      <c r="J360">
        <v>0.41739126999999998</v>
      </c>
    </row>
    <row r="361" spans="1:10" x14ac:dyDescent="0.3">
      <c r="A361">
        <v>359</v>
      </c>
      <c r="B361">
        <v>5730</v>
      </c>
      <c r="C361" t="b">
        <v>1</v>
      </c>
      <c r="D361">
        <v>8060</v>
      </c>
      <c r="E361">
        <v>8123</v>
      </c>
      <c r="F361">
        <v>22</v>
      </c>
      <c r="G361">
        <v>16</v>
      </c>
      <c r="H361">
        <v>1.375</v>
      </c>
      <c r="I361">
        <v>-0.375</v>
      </c>
      <c r="J361">
        <v>0.42105262999999998</v>
      </c>
    </row>
    <row r="362" spans="1:10" x14ac:dyDescent="0.3">
      <c r="A362">
        <v>360</v>
      </c>
      <c r="B362">
        <v>5746</v>
      </c>
      <c r="C362" t="b">
        <v>1</v>
      </c>
      <c r="D362">
        <v>8054</v>
      </c>
      <c r="E362">
        <v>8129</v>
      </c>
      <c r="F362">
        <v>21.666665999999999</v>
      </c>
      <c r="G362">
        <v>16</v>
      </c>
      <c r="H362">
        <v>1.3541666000000001</v>
      </c>
      <c r="I362">
        <v>-0.35416662999999998</v>
      </c>
      <c r="J362">
        <v>0.42477880000000001</v>
      </c>
    </row>
    <row r="363" spans="1:10" x14ac:dyDescent="0.3">
      <c r="A363">
        <v>361</v>
      </c>
      <c r="B363">
        <v>5762</v>
      </c>
      <c r="C363" t="b">
        <v>1</v>
      </c>
      <c r="D363">
        <v>8054</v>
      </c>
      <c r="E363">
        <v>8123</v>
      </c>
      <c r="F363">
        <v>21.333334000000001</v>
      </c>
      <c r="G363">
        <v>15.6</v>
      </c>
      <c r="H363">
        <v>1.3675214</v>
      </c>
      <c r="I363">
        <v>-0.36752138000000001</v>
      </c>
      <c r="J363">
        <v>0.42238268000000001</v>
      </c>
    </row>
    <row r="364" spans="1:10" x14ac:dyDescent="0.3">
      <c r="A364">
        <v>362</v>
      </c>
      <c r="B364">
        <v>5777</v>
      </c>
      <c r="C364" t="b">
        <v>1</v>
      </c>
      <c r="D364">
        <v>8060</v>
      </c>
      <c r="E364">
        <v>8129</v>
      </c>
      <c r="F364">
        <v>21</v>
      </c>
      <c r="G364">
        <v>15.2</v>
      </c>
      <c r="H364">
        <v>1.3815789000000001</v>
      </c>
      <c r="I364">
        <v>-0.38157894999999997</v>
      </c>
      <c r="J364">
        <v>0.41988947999999998</v>
      </c>
    </row>
    <row r="365" spans="1:10" x14ac:dyDescent="0.3">
      <c r="A365">
        <v>363</v>
      </c>
      <c r="B365">
        <v>5793</v>
      </c>
      <c r="C365" t="b">
        <v>1</v>
      </c>
      <c r="D365">
        <v>8054</v>
      </c>
      <c r="E365">
        <v>8129</v>
      </c>
      <c r="F365">
        <v>20.266666000000001</v>
      </c>
      <c r="G365">
        <v>14.866667</v>
      </c>
      <c r="H365">
        <v>1.3632287000000001</v>
      </c>
      <c r="I365">
        <v>-0.36322868000000003</v>
      </c>
      <c r="J365">
        <v>0.42314994</v>
      </c>
    </row>
    <row r="366" spans="1:10" x14ac:dyDescent="0.3">
      <c r="A366">
        <v>364</v>
      </c>
      <c r="B366">
        <v>5809</v>
      </c>
      <c r="C366" t="b">
        <v>1</v>
      </c>
      <c r="D366">
        <v>8054</v>
      </c>
      <c r="E366">
        <v>8129</v>
      </c>
      <c r="F366">
        <v>19.866667</v>
      </c>
      <c r="G366">
        <v>14.533334</v>
      </c>
      <c r="H366">
        <v>1.3669724000000001</v>
      </c>
      <c r="I366">
        <v>-0.36697245000000001</v>
      </c>
      <c r="J366">
        <v>0.42248059999999998</v>
      </c>
    </row>
    <row r="367" spans="1:10" x14ac:dyDescent="0.3">
      <c r="A367">
        <v>365</v>
      </c>
      <c r="B367">
        <v>5825</v>
      </c>
      <c r="C367" t="b">
        <v>1</v>
      </c>
      <c r="D367">
        <v>8054</v>
      </c>
      <c r="E367">
        <v>8129</v>
      </c>
      <c r="F367">
        <v>19.466667000000001</v>
      </c>
      <c r="G367">
        <v>14.2</v>
      </c>
      <c r="H367">
        <v>1.370892</v>
      </c>
      <c r="I367">
        <v>-0.37089208000000001</v>
      </c>
      <c r="J367">
        <v>0.42178217000000001</v>
      </c>
    </row>
    <row r="368" spans="1:10" x14ac:dyDescent="0.3">
      <c r="A368">
        <v>366</v>
      </c>
      <c r="B368">
        <v>5841</v>
      </c>
      <c r="C368" t="b">
        <v>1</v>
      </c>
      <c r="D368">
        <v>8054</v>
      </c>
      <c r="E368">
        <v>8123</v>
      </c>
      <c r="F368">
        <v>19.066668</v>
      </c>
      <c r="G368">
        <v>13.866667</v>
      </c>
      <c r="H368">
        <v>1.375</v>
      </c>
      <c r="I368">
        <v>-0.37500006000000002</v>
      </c>
      <c r="J368">
        <v>0.42105262999999998</v>
      </c>
    </row>
    <row r="369" spans="1:10" x14ac:dyDescent="0.3">
      <c r="A369">
        <v>367</v>
      </c>
      <c r="B369">
        <v>5857</v>
      </c>
      <c r="C369" t="b">
        <v>1</v>
      </c>
      <c r="D369">
        <v>8065</v>
      </c>
      <c r="E369">
        <v>8129</v>
      </c>
      <c r="F369">
        <v>18.666665999999999</v>
      </c>
      <c r="G369">
        <v>13.533334</v>
      </c>
      <c r="H369">
        <v>1.3793103</v>
      </c>
      <c r="I369">
        <v>-0.37931025000000002</v>
      </c>
      <c r="J369">
        <v>0.42028984000000003</v>
      </c>
    </row>
    <row r="370" spans="1:10" x14ac:dyDescent="0.3">
      <c r="A370">
        <v>368</v>
      </c>
      <c r="B370">
        <v>5873</v>
      </c>
      <c r="C370" t="b">
        <v>1</v>
      </c>
      <c r="D370">
        <v>8065</v>
      </c>
      <c r="E370">
        <v>8134</v>
      </c>
      <c r="F370">
        <v>17.933332</v>
      </c>
      <c r="G370">
        <v>13.2</v>
      </c>
      <c r="H370">
        <v>1.3585858</v>
      </c>
      <c r="I370">
        <v>-0.35858580000000001</v>
      </c>
      <c r="J370">
        <v>0.4239829</v>
      </c>
    </row>
    <row r="371" spans="1:10" x14ac:dyDescent="0.3">
      <c r="A371">
        <v>369</v>
      </c>
      <c r="B371">
        <v>5889</v>
      </c>
      <c r="C371" t="b">
        <v>1</v>
      </c>
      <c r="D371">
        <v>8065</v>
      </c>
      <c r="E371">
        <v>8134</v>
      </c>
      <c r="F371">
        <v>17.933332</v>
      </c>
      <c r="G371">
        <v>13.2</v>
      </c>
      <c r="H371">
        <v>1.3585858</v>
      </c>
      <c r="I371">
        <v>-0.35858580000000001</v>
      </c>
      <c r="J371">
        <v>0.4239829</v>
      </c>
    </row>
    <row r="372" spans="1:10" x14ac:dyDescent="0.3">
      <c r="A372">
        <v>370</v>
      </c>
      <c r="B372">
        <v>5905</v>
      </c>
      <c r="C372" t="b">
        <v>1</v>
      </c>
      <c r="D372">
        <v>8060</v>
      </c>
      <c r="E372">
        <v>8129</v>
      </c>
      <c r="F372">
        <v>18.266666000000001</v>
      </c>
      <c r="G372">
        <v>13.2</v>
      </c>
      <c r="H372">
        <v>1.3838383999999999</v>
      </c>
      <c r="I372">
        <v>-0.38383840000000002</v>
      </c>
      <c r="J372">
        <v>0.41949150000000002</v>
      </c>
    </row>
    <row r="373" spans="1:10" x14ac:dyDescent="0.3">
      <c r="A373">
        <v>371</v>
      </c>
      <c r="B373">
        <v>5921</v>
      </c>
      <c r="C373" t="b">
        <v>1</v>
      </c>
      <c r="D373">
        <v>8065</v>
      </c>
      <c r="E373">
        <v>8134</v>
      </c>
      <c r="F373">
        <v>18.600000000000001</v>
      </c>
      <c r="G373">
        <v>13.533334</v>
      </c>
      <c r="H373">
        <v>1.3743841999999999</v>
      </c>
      <c r="I373">
        <v>-0.37438421999999999</v>
      </c>
      <c r="J373">
        <v>0.42116183000000001</v>
      </c>
    </row>
    <row r="374" spans="1:10" x14ac:dyDescent="0.3">
      <c r="A374">
        <v>372</v>
      </c>
      <c r="B374">
        <v>5937</v>
      </c>
      <c r="C374" t="b">
        <v>1</v>
      </c>
      <c r="D374">
        <v>8065</v>
      </c>
      <c r="E374">
        <v>8134</v>
      </c>
      <c r="F374">
        <v>18.933332</v>
      </c>
      <c r="G374">
        <v>13.866667</v>
      </c>
      <c r="H374">
        <v>1.3653846000000001</v>
      </c>
      <c r="I374">
        <v>-0.36538454999999997</v>
      </c>
      <c r="J374">
        <v>0.42276424000000001</v>
      </c>
    </row>
    <row r="375" spans="1:10" x14ac:dyDescent="0.3">
      <c r="A375">
        <v>373</v>
      </c>
      <c r="B375">
        <v>5953</v>
      </c>
      <c r="C375" t="b">
        <v>1</v>
      </c>
      <c r="D375">
        <v>8054</v>
      </c>
      <c r="E375">
        <v>8134</v>
      </c>
      <c r="F375">
        <v>19.266666000000001</v>
      </c>
      <c r="G375">
        <v>14.2</v>
      </c>
      <c r="H375">
        <v>1.3568074999999999</v>
      </c>
      <c r="I375">
        <v>-0.3568075</v>
      </c>
      <c r="J375">
        <v>0.42430279999999998</v>
      </c>
    </row>
    <row r="376" spans="1:10" x14ac:dyDescent="0.3">
      <c r="A376">
        <v>374</v>
      </c>
      <c r="B376">
        <v>5968</v>
      </c>
      <c r="C376" t="b">
        <v>1</v>
      </c>
      <c r="D376">
        <v>8060</v>
      </c>
      <c r="E376">
        <v>8129</v>
      </c>
      <c r="F376">
        <v>19.266666000000001</v>
      </c>
      <c r="G376">
        <v>14.533334</v>
      </c>
      <c r="H376">
        <v>1.325688</v>
      </c>
      <c r="I376">
        <v>-0.32568799999999998</v>
      </c>
      <c r="J376">
        <v>0.42998029999999998</v>
      </c>
    </row>
    <row r="377" spans="1:10" x14ac:dyDescent="0.3">
      <c r="A377">
        <v>375</v>
      </c>
      <c r="B377">
        <v>5984</v>
      </c>
      <c r="C377" t="b">
        <v>1</v>
      </c>
      <c r="D377">
        <v>8054</v>
      </c>
      <c r="E377">
        <v>8129</v>
      </c>
      <c r="F377">
        <v>19.266666000000001</v>
      </c>
      <c r="G377">
        <v>14.866667</v>
      </c>
      <c r="H377">
        <v>1.2959641</v>
      </c>
      <c r="I377">
        <v>-0.29596410000000001</v>
      </c>
      <c r="J377">
        <v>0.43554690000000001</v>
      </c>
    </row>
    <row r="378" spans="1:10" x14ac:dyDescent="0.3">
      <c r="A378">
        <v>376</v>
      </c>
      <c r="B378">
        <v>6000</v>
      </c>
      <c r="C378" t="b">
        <v>1</v>
      </c>
      <c r="D378">
        <v>8054</v>
      </c>
      <c r="E378">
        <v>8134</v>
      </c>
      <c r="F378">
        <v>18.866667</v>
      </c>
      <c r="G378">
        <v>15.6</v>
      </c>
      <c r="H378">
        <v>1.2094016999999999</v>
      </c>
      <c r="I378">
        <v>-0.20940168000000001</v>
      </c>
      <c r="J378">
        <v>0.45261124000000003</v>
      </c>
    </row>
    <row r="379" spans="1:10" x14ac:dyDescent="0.3">
      <c r="A379">
        <v>377</v>
      </c>
      <c r="B379">
        <v>6017</v>
      </c>
      <c r="C379" t="b">
        <v>1</v>
      </c>
      <c r="D379">
        <v>8054</v>
      </c>
      <c r="E379">
        <v>8117</v>
      </c>
      <c r="F379">
        <v>18.466667000000001</v>
      </c>
      <c r="G379">
        <v>16</v>
      </c>
      <c r="H379">
        <v>1.1541667</v>
      </c>
      <c r="I379">
        <v>-0.15416669999999999</v>
      </c>
      <c r="J379">
        <v>0.46421662000000002</v>
      </c>
    </row>
    <row r="380" spans="1:10" x14ac:dyDescent="0.3">
      <c r="A380">
        <v>378</v>
      </c>
      <c r="B380">
        <v>6032</v>
      </c>
      <c r="C380" t="b">
        <v>1</v>
      </c>
      <c r="D380">
        <v>8054</v>
      </c>
      <c r="E380">
        <v>8129</v>
      </c>
      <c r="F380">
        <v>18.466667000000001</v>
      </c>
      <c r="G380">
        <v>16</v>
      </c>
      <c r="H380">
        <v>1.1541667</v>
      </c>
      <c r="I380">
        <v>-0.15416669999999999</v>
      </c>
      <c r="J380">
        <v>0.46421662000000002</v>
      </c>
    </row>
    <row r="381" spans="1:10" x14ac:dyDescent="0.3">
      <c r="A381">
        <v>379</v>
      </c>
      <c r="B381">
        <v>6049</v>
      </c>
      <c r="C381" t="b">
        <v>1</v>
      </c>
      <c r="D381">
        <v>8060</v>
      </c>
      <c r="E381">
        <v>8129</v>
      </c>
      <c r="F381">
        <v>18.466667000000001</v>
      </c>
      <c r="G381">
        <v>16</v>
      </c>
      <c r="H381">
        <v>1.1541667</v>
      </c>
      <c r="I381">
        <v>-0.15416669999999999</v>
      </c>
      <c r="J381">
        <v>0.46421662000000002</v>
      </c>
    </row>
    <row r="382" spans="1:10" x14ac:dyDescent="0.3">
      <c r="A382">
        <v>380</v>
      </c>
      <c r="B382">
        <v>6065</v>
      </c>
      <c r="C382" t="b">
        <v>1</v>
      </c>
      <c r="D382">
        <v>8054</v>
      </c>
      <c r="E382">
        <v>8129</v>
      </c>
      <c r="F382">
        <v>18.466667000000001</v>
      </c>
      <c r="G382">
        <v>16</v>
      </c>
      <c r="H382">
        <v>1.1541667</v>
      </c>
      <c r="I382">
        <v>-0.15416669999999999</v>
      </c>
      <c r="J382">
        <v>0.46421662000000002</v>
      </c>
    </row>
    <row r="383" spans="1:10" x14ac:dyDescent="0.3">
      <c r="A383">
        <v>381</v>
      </c>
      <c r="B383">
        <v>6096</v>
      </c>
      <c r="C383" t="b">
        <v>1</v>
      </c>
      <c r="D383">
        <v>8060</v>
      </c>
      <c r="E383">
        <v>8123</v>
      </c>
      <c r="F383">
        <v>18.466667000000001</v>
      </c>
      <c r="G383">
        <v>16</v>
      </c>
      <c r="H383">
        <v>1.1541667</v>
      </c>
      <c r="I383">
        <v>-0.15416669999999999</v>
      </c>
      <c r="J383">
        <v>0.46421662000000002</v>
      </c>
    </row>
    <row r="384" spans="1:10" x14ac:dyDescent="0.3">
      <c r="A384">
        <v>382</v>
      </c>
      <c r="B384">
        <v>6112</v>
      </c>
      <c r="C384" t="b">
        <v>1</v>
      </c>
      <c r="D384">
        <v>8054</v>
      </c>
      <c r="E384">
        <v>8129</v>
      </c>
      <c r="F384">
        <v>18.466667000000001</v>
      </c>
      <c r="G384">
        <v>16</v>
      </c>
      <c r="H384">
        <v>1.1541667</v>
      </c>
      <c r="I384">
        <v>-0.15416669999999999</v>
      </c>
      <c r="J384">
        <v>0.46421662000000002</v>
      </c>
    </row>
    <row r="385" spans="1:10" x14ac:dyDescent="0.3">
      <c r="A385">
        <v>383</v>
      </c>
      <c r="B385">
        <v>6128</v>
      </c>
      <c r="C385" t="b">
        <v>1</v>
      </c>
      <c r="D385">
        <v>8054</v>
      </c>
      <c r="E385">
        <v>8129</v>
      </c>
      <c r="F385">
        <v>18.466667000000001</v>
      </c>
      <c r="G385">
        <v>16</v>
      </c>
      <c r="H385">
        <v>1.1541667</v>
      </c>
      <c r="I385">
        <v>-0.15416669999999999</v>
      </c>
      <c r="J385">
        <v>0.46421662000000002</v>
      </c>
    </row>
    <row r="386" spans="1:10" x14ac:dyDescent="0.3">
      <c r="A386">
        <v>384</v>
      </c>
      <c r="B386">
        <v>6160</v>
      </c>
      <c r="C386" t="b">
        <v>1</v>
      </c>
      <c r="D386">
        <v>8065</v>
      </c>
      <c r="E386">
        <v>8129</v>
      </c>
      <c r="F386">
        <v>17.733333999999999</v>
      </c>
      <c r="G386">
        <v>16</v>
      </c>
      <c r="H386">
        <v>1.1083333</v>
      </c>
      <c r="I386">
        <v>-0.10833334999999999</v>
      </c>
      <c r="J386">
        <v>0.47430828000000003</v>
      </c>
    </row>
    <row r="387" spans="1:10" x14ac:dyDescent="0.3">
      <c r="A387">
        <v>385</v>
      </c>
      <c r="B387">
        <v>6176</v>
      </c>
      <c r="C387" t="b">
        <v>1</v>
      </c>
      <c r="D387">
        <v>8065</v>
      </c>
      <c r="E387">
        <v>8134</v>
      </c>
      <c r="F387">
        <v>17.399999999999999</v>
      </c>
      <c r="G387">
        <v>16</v>
      </c>
      <c r="H387">
        <v>1.0874999999999999</v>
      </c>
      <c r="I387">
        <v>-8.7499975999999993E-2</v>
      </c>
      <c r="J387">
        <v>0.47904190000000002</v>
      </c>
    </row>
    <row r="388" spans="1:10" x14ac:dyDescent="0.3">
      <c r="A388">
        <v>386</v>
      </c>
      <c r="B388">
        <v>6192</v>
      </c>
      <c r="C388" t="b">
        <v>1</v>
      </c>
      <c r="D388">
        <v>8060</v>
      </c>
      <c r="E388">
        <v>8129</v>
      </c>
      <c r="F388">
        <v>17.066668</v>
      </c>
      <c r="G388">
        <v>15.666667</v>
      </c>
      <c r="H388">
        <v>1.0893618</v>
      </c>
      <c r="I388">
        <v>-8.9361734999999998E-2</v>
      </c>
      <c r="J388">
        <v>0.47861508000000003</v>
      </c>
    </row>
    <row r="389" spans="1:10" x14ac:dyDescent="0.3">
      <c r="A389">
        <v>387</v>
      </c>
      <c r="B389">
        <v>6207</v>
      </c>
      <c r="C389" t="b">
        <v>1</v>
      </c>
      <c r="D389">
        <v>8060</v>
      </c>
      <c r="E389">
        <v>8129</v>
      </c>
      <c r="F389">
        <v>16.733333999999999</v>
      </c>
      <c r="G389">
        <v>15.333333</v>
      </c>
      <c r="H389">
        <v>1.0913044000000001</v>
      </c>
      <c r="I389">
        <v>-9.1304384000000002E-2</v>
      </c>
      <c r="J389">
        <v>0.47817048000000001</v>
      </c>
    </row>
    <row r="390" spans="1:10" x14ac:dyDescent="0.3">
      <c r="A390">
        <v>388</v>
      </c>
      <c r="B390">
        <v>6223</v>
      </c>
      <c r="C390" t="b">
        <v>1</v>
      </c>
      <c r="D390">
        <v>8060</v>
      </c>
      <c r="E390">
        <v>8134</v>
      </c>
      <c r="F390">
        <v>16.399999999999999</v>
      </c>
      <c r="G390">
        <v>15</v>
      </c>
      <c r="H390">
        <v>1.0933333999999999</v>
      </c>
      <c r="I390">
        <v>-9.3333310000000003E-2</v>
      </c>
      <c r="J390">
        <v>0.47770699999999999</v>
      </c>
    </row>
    <row r="391" spans="1:10" x14ac:dyDescent="0.3">
      <c r="A391">
        <v>389</v>
      </c>
      <c r="B391">
        <v>6239</v>
      </c>
      <c r="C391" t="b">
        <v>1</v>
      </c>
      <c r="D391">
        <v>8065</v>
      </c>
      <c r="E391">
        <v>8134</v>
      </c>
      <c r="F391">
        <v>16.399999999999999</v>
      </c>
      <c r="G391">
        <v>15</v>
      </c>
      <c r="H391">
        <v>1.0933333999999999</v>
      </c>
      <c r="I391">
        <v>-9.3333310000000003E-2</v>
      </c>
      <c r="J391">
        <v>0.47770699999999999</v>
      </c>
    </row>
    <row r="392" spans="1:10" x14ac:dyDescent="0.3">
      <c r="A392">
        <v>390</v>
      </c>
      <c r="B392">
        <v>6255</v>
      </c>
      <c r="C392" t="b">
        <v>1</v>
      </c>
      <c r="D392">
        <v>8065</v>
      </c>
      <c r="E392">
        <v>8140</v>
      </c>
      <c r="F392">
        <v>16.399999999999999</v>
      </c>
      <c r="G392">
        <v>15</v>
      </c>
      <c r="H392">
        <v>1.0933333999999999</v>
      </c>
      <c r="I392">
        <v>-9.3333310000000003E-2</v>
      </c>
      <c r="J392">
        <v>0.47770699999999999</v>
      </c>
    </row>
    <row r="393" spans="1:10" x14ac:dyDescent="0.3">
      <c r="A393">
        <v>391</v>
      </c>
      <c r="B393">
        <v>6271</v>
      </c>
      <c r="C393" t="b">
        <v>1</v>
      </c>
      <c r="D393">
        <v>8060</v>
      </c>
      <c r="E393">
        <v>8140</v>
      </c>
      <c r="F393">
        <v>16.8</v>
      </c>
      <c r="G393">
        <v>15</v>
      </c>
      <c r="H393">
        <v>1.1200000000000001</v>
      </c>
      <c r="I393">
        <v>-0.11999994999999999</v>
      </c>
      <c r="J393">
        <v>0.47169813999999999</v>
      </c>
    </row>
    <row r="394" spans="1:10" x14ac:dyDescent="0.3">
      <c r="A394">
        <v>392</v>
      </c>
      <c r="B394">
        <v>6286</v>
      </c>
      <c r="C394" t="b">
        <v>1</v>
      </c>
      <c r="D394">
        <v>8065</v>
      </c>
      <c r="E394">
        <v>8129</v>
      </c>
      <c r="F394">
        <v>17.533332999999999</v>
      </c>
      <c r="G394">
        <v>15.333333</v>
      </c>
      <c r="H394">
        <v>1.1434782999999999</v>
      </c>
      <c r="I394">
        <v>-0.14347824000000001</v>
      </c>
      <c r="J394">
        <v>0.46653146000000001</v>
      </c>
    </row>
    <row r="395" spans="1:10" x14ac:dyDescent="0.3">
      <c r="A395">
        <v>393</v>
      </c>
      <c r="B395">
        <v>6302</v>
      </c>
      <c r="C395" t="b">
        <v>1</v>
      </c>
      <c r="D395">
        <v>8060</v>
      </c>
      <c r="E395">
        <v>8129</v>
      </c>
      <c r="F395">
        <v>18.266666000000001</v>
      </c>
      <c r="G395">
        <v>15.666667</v>
      </c>
      <c r="H395">
        <v>1.1659575</v>
      </c>
      <c r="I395">
        <v>-0.1659574</v>
      </c>
      <c r="J395">
        <v>0.46168959999999998</v>
      </c>
    </row>
    <row r="396" spans="1:10" x14ac:dyDescent="0.3">
      <c r="A396">
        <v>394</v>
      </c>
      <c r="B396">
        <v>6318</v>
      </c>
      <c r="C396" t="b">
        <v>1</v>
      </c>
      <c r="D396">
        <v>8071</v>
      </c>
      <c r="E396">
        <v>8129</v>
      </c>
      <c r="F396">
        <v>19</v>
      </c>
      <c r="G396">
        <v>15.666667</v>
      </c>
      <c r="H396">
        <v>1.2127659</v>
      </c>
      <c r="I396">
        <v>-0.21276592999999999</v>
      </c>
      <c r="J396">
        <v>0.45192306999999998</v>
      </c>
    </row>
    <row r="397" spans="1:10" x14ac:dyDescent="0.3">
      <c r="A397">
        <v>395</v>
      </c>
      <c r="B397">
        <v>6334</v>
      </c>
      <c r="C397" t="b">
        <v>1</v>
      </c>
      <c r="D397">
        <v>8065</v>
      </c>
      <c r="E397">
        <v>8134</v>
      </c>
      <c r="F397">
        <v>19.733333999999999</v>
      </c>
      <c r="G397">
        <v>15.666667</v>
      </c>
      <c r="H397">
        <v>1.2595744</v>
      </c>
      <c r="I397">
        <v>-0.25957447</v>
      </c>
      <c r="J397">
        <v>0.44256119999999999</v>
      </c>
    </row>
    <row r="398" spans="1:10" x14ac:dyDescent="0.3">
      <c r="A398">
        <v>396</v>
      </c>
      <c r="B398">
        <v>6349</v>
      </c>
      <c r="C398" t="b">
        <v>1</v>
      </c>
      <c r="D398">
        <v>8071</v>
      </c>
      <c r="E398">
        <v>8129</v>
      </c>
      <c r="F398">
        <v>20.466667000000001</v>
      </c>
      <c r="G398">
        <v>15.666667</v>
      </c>
      <c r="H398">
        <v>1.3063830000000001</v>
      </c>
      <c r="I398">
        <v>-0.30638298000000003</v>
      </c>
      <c r="J398">
        <v>0.43357932999999999</v>
      </c>
    </row>
    <row r="399" spans="1:10" x14ac:dyDescent="0.3">
      <c r="A399">
        <v>397</v>
      </c>
      <c r="B399">
        <v>6365</v>
      </c>
      <c r="C399" t="b">
        <v>1</v>
      </c>
      <c r="D399">
        <v>8060</v>
      </c>
      <c r="E399">
        <v>8129</v>
      </c>
      <c r="F399">
        <v>21.2</v>
      </c>
      <c r="G399">
        <v>15.666667</v>
      </c>
      <c r="H399">
        <v>1.3531915000000001</v>
      </c>
      <c r="I399">
        <v>-0.35319151999999998</v>
      </c>
      <c r="J399">
        <v>0.42495476999999998</v>
      </c>
    </row>
    <row r="400" spans="1:10" x14ac:dyDescent="0.3">
      <c r="A400">
        <v>398</v>
      </c>
      <c r="B400">
        <v>6381</v>
      </c>
      <c r="C400" t="b">
        <v>1</v>
      </c>
      <c r="D400">
        <v>8060</v>
      </c>
      <c r="E400">
        <v>8129</v>
      </c>
      <c r="F400">
        <v>21.933332</v>
      </c>
      <c r="G400">
        <v>15.666667</v>
      </c>
      <c r="H400">
        <v>1.3999999000000001</v>
      </c>
      <c r="I400">
        <v>-0.39999992000000001</v>
      </c>
      <c r="J400">
        <v>0.4166667</v>
      </c>
    </row>
    <row r="401" spans="1:10" x14ac:dyDescent="0.3">
      <c r="A401">
        <v>399</v>
      </c>
      <c r="B401">
        <v>6397</v>
      </c>
      <c r="C401" t="b">
        <v>1</v>
      </c>
      <c r="D401">
        <v>8065</v>
      </c>
      <c r="E401">
        <v>8134</v>
      </c>
      <c r="F401">
        <v>22.666665999999999</v>
      </c>
      <c r="G401">
        <v>15.666667</v>
      </c>
      <c r="H401">
        <v>1.4468084999999999</v>
      </c>
      <c r="I401">
        <v>-0.44680842999999998</v>
      </c>
      <c r="J401">
        <v>0.40869567000000001</v>
      </c>
    </row>
    <row r="402" spans="1:10" x14ac:dyDescent="0.3">
      <c r="A402">
        <v>400</v>
      </c>
      <c r="B402">
        <v>6413</v>
      </c>
      <c r="C402" t="b">
        <v>1</v>
      </c>
      <c r="D402">
        <v>8060</v>
      </c>
      <c r="E402">
        <v>8129</v>
      </c>
      <c r="F402">
        <v>22.666665999999999</v>
      </c>
      <c r="G402">
        <v>15.666667</v>
      </c>
      <c r="H402">
        <v>1.4468084999999999</v>
      </c>
      <c r="I402">
        <v>-0.44680842999999998</v>
      </c>
      <c r="J402">
        <v>0.40869567000000001</v>
      </c>
    </row>
    <row r="403" spans="1:10" x14ac:dyDescent="0.3">
      <c r="A403">
        <v>401</v>
      </c>
      <c r="B403">
        <v>6429</v>
      </c>
      <c r="C403" t="b">
        <v>1</v>
      </c>
      <c r="D403">
        <v>8065</v>
      </c>
      <c r="E403">
        <v>8129</v>
      </c>
      <c r="F403">
        <v>22.666665999999999</v>
      </c>
      <c r="G403">
        <v>15.666667</v>
      </c>
      <c r="H403">
        <v>1.4468084999999999</v>
      </c>
      <c r="I403">
        <v>-0.44680842999999998</v>
      </c>
      <c r="J403">
        <v>0.40869567000000001</v>
      </c>
    </row>
    <row r="404" spans="1:10" x14ac:dyDescent="0.3">
      <c r="A404">
        <v>402</v>
      </c>
      <c r="B404">
        <v>6445</v>
      </c>
      <c r="C404" t="b">
        <v>1</v>
      </c>
      <c r="D404">
        <v>8071</v>
      </c>
      <c r="E404">
        <v>8129</v>
      </c>
      <c r="F404">
        <v>23</v>
      </c>
      <c r="G404">
        <v>15.666667</v>
      </c>
      <c r="H404">
        <v>1.4680850000000001</v>
      </c>
      <c r="I404">
        <v>-0.46808507999999999</v>
      </c>
      <c r="J404">
        <v>0.40517239999999999</v>
      </c>
    </row>
    <row r="405" spans="1:10" x14ac:dyDescent="0.3">
      <c r="A405">
        <v>403</v>
      </c>
      <c r="B405">
        <v>6461</v>
      </c>
      <c r="C405" t="b">
        <v>1</v>
      </c>
      <c r="D405">
        <v>8065</v>
      </c>
      <c r="E405">
        <v>8129</v>
      </c>
      <c r="F405">
        <v>23.333334000000001</v>
      </c>
      <c r="G405">
        <v>15.666667</v>
      </c>
      <c r="H405">
        <v>1.4893618</v>
      </c>
      <c r="I405">
        <v>-0.48936170000000001</v>
      </c>
      <c r="J405">
        <v>0.40170939999999999</v>
      </c>
    </row>
    <row r="406" spans="1:10" x14ac:dyDescent="0.3">
      <c r="A406">
        <v>404</v>
      </c>
      <c r="B406">
        <v>6477</v>
      </c>
      <c r="C406" t="b">
        <v>1</v>
      </c>
      <c r="D406">
        <v>8065</v>
      </c>
      <c r="E406">
        <v>8129</v>
      </c>
      <c r="F406">
        <v>23.666665999999999</v>
      </c>
      <c r="G406">
        <v>15.333333</v>
      </c>
      <c r="H406">
        <v>1.5434783000000001</v>
      </c>
      <c r="I406">
        <v>-0.54347825000000005</v>
      </c>
      <c r="J406">
        <v>0.39316240000000002</v>
      </c>
    </row>
    <row r="407" spans="1:10" x14ac:dyDescent="0.3">
      <c r="A407">
        <v>405</v>
      </c>
      <c r="B407">
        <v>6493</v>
      </c>
      <c r="C407" t="b">
        <v>1</v>
      </c>
      <c r="D407">
        <v>8065</v>
      </c>
      <c r="E407">
        <v>8134</v>
      </c>
      <c r="F407">
        <v>24</v>
      </c>
      <c r="G407">
        <v>15</v>
      </c>
      <c r="H407">
        <v>1.6</v>
      </c>
      <c r="I407">
        <v>-0.6</v>
      </c>
      <c r="J407">
        <v>0.3846154</v>
      </c>
    </row>
    <row r="408" spans="1:10" x14ac:dyDescent="0.3">
      <c r="A408">
        <v>406</v>
      </c>
      <c r="B408">
        <v>6509</v>
      </c>
      <c r="C408" t="b">
        <v>1</v>
      </c>
      <c r="D408">
        <v>8065</v>
      </c>
      <c r="E408">
        <v>8134</v>
      </c>
      <c r="F408">
        <v>24.333334000000001</v>
      </c>
      <c r="G408">
        <v>14.666667</v>
      </c>
      <c r="H408">
        <v>1.6590909</v>
      </c>
      <c r="I408">
        <v>-0.65909094000000001</v>
      </c>
      <c r="J408">
        <v>0.37606837999999998</v>
      </c>
    </row>
    <row r="409" spans="1:10" x14ac:dyDescent="0.3">
      <c r="A409">
        <v>407</v>
      </c>
      <c r="B409">
        <v>6524</v>
      </c>
      <c r="C409" t="b">
        <v>1</v>
      </c>
      <c r="D409">
        <v>8065</v>
      </c>
      <c r="E409">
        <v>8134</v>
      </c>
      <c r="F409">
        <v>24.333334000000001</v>
      </c>
      <c r="G409">
        <v>14.666667</v>
      </c>
      <c r="H409">
        <v>1.6590909</v>
      </c>
      <c r="I409">
        <v>-0.65909094000000001</v>
      </c>
      <c r="J409">
        <v>0.37606837999999998</v>
      </c>
    </row>
    <row r="410" spans="1:10" x14ac:dyDescent="0.3">
      <c r="A410">
        <v>408</v>
      </c>
      <c r="B410">
        <v>6540</v>
      </c>
      <c r="C410" t="b">
        <v>1</v>
      </c>
      <c r="D410">
        <v>8060</v>
      </c>
      <c r="E410">
        <v>8134</v>
      </c>
      <c r="F410">
        <v>24.333334000000001</v>
      </c>
      <c r="G410">
        <v>14.666667</v>
      </c>
      <c r="H410">
        <v>1.6590909</v>
      </c>
      <c r="I410">
        <v>-0.65909094000000001</v>
      </c>
      <c r="J410">
        <v>0.37606837999999998</v>
      </c>
    </row>
    <row r="411" spans="1:10" x14ac:dyDescent="0.3">
      <c r="A411">
        <v>409</v>
      </c>
      <c r="B411">
        <v>6556</v>
      </c>
      <c r="C411" t="b">
        <v>1</v>
      </c>
      <c r="D411">
        <v>8060</v>
      </c>
      <c r="E411">
        <v>8129</v>
      </c>
      <c r="F411">
        <v>24.333334000000001</v>
      </c>
      <c r="G411">
        <v>15</v>
      </c>
      <c r="H411">
        <v>1.6222223</v>
      </c>
      <c r="I411">
        <v>-0.62222224000000004</v>
      </c>
      <c r="J411">
        <v>0.38135590000000003</v>
      </c>
    </row>
    <row r="412" spans="1:10" x14ac:dyDescent="0.3">
      <c r="A412">
        <v>410</v>
      </c>
      <c r="B412">
        <v>6572</v>
      </c>
      <c r="C412" t="b">
        <v>1</v>
      </c>
      <c r="D412">
        <v>8060</v>
      </c>
      <c r="E412">
        <v>8134</v>
      </c>
      <c r="F412">
        <v>24</v>
      </c>
      <c r="G412">
        <v>15.333333</v>
      </c>
      <c r="H412">
        <v>1.5652174000000001</v>
      </c>
      <c r="I412">
        <v>-0.56521743999999996</v>
      </c>
      <c r="J412">
        <v>0.38983050000000002</v>
      </c>
    </row>
    <row r="413" spans="1:10" x14ac:dyDescent="0.3">
      <c r="A413">
        <v>411</v>
      </c>
      <c r="B413">
        <v>6588</v>
      </c>
      <c r="C413" t="b">
        <v>1</v>
      </c>
      <c r="D413">
        <v>8065</v>
      </c>
      <c r="E413">
        <v>8134</v>
      </c>
      <c r="F413">
        <v>23.666665999999999</v>
      </c>
      <c r="G413">
        <v>15.666667</v>
      </c>
      <c r="H413">
        <v>1.5106382</v>
      </c>
      <c r="I413">
        <v>-0.51063824000000002</v>
      </c>
      <c r="J413">
        <v>0.39830512000000001</v>
      </c>
    </row>
    <row r="414" spans="1:10" x14ac:dyDescent="0.3">
      <c r="A414">
        <v>412</v>
      </c>
      <c r="B414">
        <v>6604</v>
      </c>
      <c r="C414" t="b">
        <v>1</v>
      </c>
      <c r="D414">
        <v>8060</v>
      </c>
      <c r="E414">
        <v>8134</v>
      </c>
      <c r="F414">
        <v>23.333334000000001</v>
      </c>
      <c r="G414">
        <v>16</v>
      </c>
      <c r="H414">
        <v>1.4583333999999999</v>
      </c>
      <c r="I414">
        <v>-0.45833337000000002</v>
      </c>
      <c r="J414">
        <v>0.40677964999999999</v>
      </c>
    </row>
    <row r="415" spans="1:10" x14ac:dyDescent="0.3">
      <c r="A415">
        <v>413</v>
      </c>
      <c r="B415">
        <v>6620</v>
      </c>
      <c r="C415" t="b">
        <v>1</v>
      </c>
      <c r="D415">
        <v>8065</v>
      </c>
      <c r="E415">
        <v>8129</v>
      </c>
      <c r="F415">
        <v>23</v>
      </c>
      <c r="G415">
        <v>16.333334000000001</v>
      </c>
      <c r="H415">
        <v>1.4081631999999999</v>
      </c>
      <c r="I415">
        <v>-0.40816321999999999</v>
      </c>
      <c r="J415">
        <v>0.41525424</v>
      </c>
    </row>
    <row r="416" spans="1:10" x14ac:dyDescent="0.3">
      <c r="A416">
        <v>414</v>
      </c>
      <c r="B416">
        <v>6635</v>
      </c>
      <c r="C416" t="b">
        <v>1</v>
      </c>
      <c r="D416">
        <v>8060</v>
      </c>
      <c r="E416">
        <v>8134</v>
      </c>
      <c r="F416">
        <v>22.666665999999999</v>
      </c>
      <c r="G416">
        <v>16.666665999999999</v>
      </c>
      <c r="H416">
        <v>1.36</v>
      </c>
      <c r="I416">
        <v>-0.36</v>
      </c>
      <c r="J416">
        <v>0.42372882000000001</v>
      </c>
    </row>
    <row r="417" spans="1:10" x14ac:dyDescent="0.3">
      <c r="A417">
        <v>415</v>
      </c>
      <c r="B417">
        <v>6651</v>
      </c>
      <c r="C417" t="b">
        <v>1</v>
      </c>
      <c r="D417">
        <v>8060</v>
      </c>
      <c r="E417">
        <v>8134</v>
      </c>
      <c r="F417">
        <v>22.666665999999999</v>
      </c>
      <c r="G417">
        <v>17</v>
      </c>
      <c r="H417">
        <v>1.3333333000000001</v>
      </c>
      <c r="I417">
        <v>-0.33333328000000001</v>
      </c>
      <c r="J417">
        <v>0.42857146000000002</v>
      </c>
    </row>
    <row r="418" spans="1:10" x14ac:dyDescent="0.3">
      <c r="A418">
        <v>416</v>
      </c>
      <c r="B418">
        <v>6667</v>
      </c>
      <c r="C418" t="b">
        <v>1</v>
      </c>
      <c r="D418">
        <v>8060</v>
      </c>
      <c r="E418">
        <v>8140</v>
      </c>
      <c r="F418">
        <v>22.666665999999999</v>
      </c>
      <c r="G418">
        <v>17.333334000000001</v>
      </c>
      <c r="H418">
        <v>1.3076922</v>
      </c>
      <c r="I418">
        <v>-0.30769223000000001</v>
      </c>
      <c r="J418">
        <v>0.43333334000000001</v>
      </c>
    </row>
    <row r="419" spans="1:10" x14ac:dyDescent="0.3">
      <c r="A419">
        <v>417</v>
      </c>
      <c r="B419">
        <v>6683</v>
      </c>
      <c r="C419" t="b">
        <v>1</v>
      </c>
      <c r="D419">
        <v>8065</v>
      </c>
      <c r="E419">
        <v>8134</v>
      </c>
      <c r="F419">
        <v>22.333334000000001</v>
      </c>
      <c r="G419">
        <v>17.666665999999999</v>
      </c>
      <c r="H419">
        <v>1.264151</v>
      </c>
      <c r="I419">
        <v>-0.26415104</v>
      </c>
      <c r="J419">
        <v>0.44166665999999999</v>
      </c>
    </row>
    <row r="420" spans="1:10" x14ac:dyDescent="0.3">
      <c r="A420">
        <v>418</v>
      </c>
      <c r="B420">
        <v>6699</v>
      </c>
      <c r="C420" t="b">
        <v>1</v>
      </c>
      <c r="D420">
        <v>8060</v>
      </c>
      <c r="E420">
        <v>8134</v>
      </c>
      <c r="F420">
        <v>22</v>
      </c>
      <c r="G420">
        <v>18</v>
      </c>
      <c r="H420">
        <v>1.2222222</v>
      </c>
      <c r="I420">
        <v>-0.22222222</v>
      </c>
      <c r="J420">
        <v>0.45</v>
      </c>
    </row>
    <row r="421" spans="1:10" x14ac:dyDescent="0.3">
      <c r="A421">
        <v>419</v>
      </c>
      <c r="B421">
        <v>6715</v>
      </c>
      <c r="C421" t="b">
        <v>1</v>
      </c>
      <c r="D421">
        <v>8060</v>
      </c>
      <c r="E421">
        <v>8129</v>
      </c>
      <c r="F421">
        <v>21.666665999999999</v>
      </c>
      <c r="G421">
        <v>18.333334000000001</v>
      </c>
      <c r="H421">
        <v>1.1818181000000001</v>
      </c>
      <c r="I421">
        <v>-0.18181811</v>
      </c>
      <c r="J421">
        <v>0.45833333999999998</v>
      </c>
    </row>
    <row r="422" spans="1:10" x14ac:dyDescent="0.3">
      <c r="A422">
        <v>420</v>
      </c>
      <c r="B422">
        <v>6731</v>
      </c>
      <c r="C422" t="b">
        <v>1</v>
      </c>
      <c r="D422">
        <v>8060</v>
      </c>
      <c r="E422">
        <v>8134</v>
      </c>
      <c r="F422">
        <v>21.333334000000001</v>
      </c>
      <c r="G422">
        <v>18.666665999999999</v>
      </c>
      <c r="H422">
        <v>1.1428571999999999</v>
      </c>
      <c r="I422">
        <v>-0.14285721000000001</v>
      </c>
      <c r="J422">
        <v>0.46666664000000002</v>
      </c>
    </row>
    <row r="423" spans="1:10" x14ac:dyDescent="0.3">
      <c r="A423">
        <v>421</v>
      </c>
      <c r="B423">
        <v>6747</v>
      </c>
      <c r="C423" t="b">
        <v>1</v>
      </c>
      <c r="D423">
        <v>8060</v>
      </c>
      <c r="E423">
        <v>8129</v>
      </c>
      <c r="F423">
        <v>21</v>
      </c>
      <c r="G423">
        <v>19</v>
      </c>
      <c r="H423">
        <v>1.1052630999999999</v>
      </c>
      <c r="I423">
        <v>-0.10526315999999999</v>
      </c>
      <c r="J423">
        <v>0.47499999999999998</v>
      </c>
    </row>
    <row r="424" spans="1:10" x14ac:dyDescent="0.3">
      <c r="A424">
        <v>422</v>
      </c>
      <c r="B424">
        <v>6763</v>
      </c>
      <c r="C424" t="b">
        <v>1</v>
      </c>
      <c r="D424">
        <v>8060</v>
      </c>
      <c r="E424">
        <v>8129</v>
      </c>
      <c r="F424">
        <v>20.666665999999999</v>
      </c>
      <c r="G424">
        <v>18.666665999999999</v>
      </c>
      <c r="H424">
        <v>1.1071428000000001</v>
      </c>
      <c r="I424">
        <v>-0.10714286000000001</v>
      </c>
      <c r="J424">
        <v>0.47457626000000003</v>
      </c>
    </row>
    <row r="425" spans="1:10" x14ac:dyDescent="0.3">
      <c r="A425">
        <v>423</v>
      </c>
      <c r="B425">
        <v>6779</v>
      </c>
      <c r="C425" t="b">
        <v>1</v>
      </c>
      <c r="D425">
        <v>8065</v>
      </c>
      <c r="E425">
        <v>8123</v>
      </c>
      <c r="F425">
        <v>20.333334000000001</v>
      </c>
      <c r="G425">
        <v>18.333334000000001</v>
      </c>
      <c r="H425">
        <v>1.1090909</v>
      </c>
      <c r="I425">
        <v>-0.1090909</v>
      </c>
      <c r="J425">
        <v>0.47413792999999999</v>
      </c>
    </row>
    <row r="426" spans="1:10" x14ac:dyDescent="0.3">
      <c r="A426">
        <v>424</v>
      </c>
      <c r="B426">
        <v>6795</v>
      </c>
      <c r="C426" t="b">
        <v>1</v>
      </c>
      <c r="D426">
        <v>8060</v>
      </c>
      <c r="E426">
        <v>8129</v>
      </c>
      <c r="F426">
        <v>20</v>
      </c>
      <c r="G426">
        <v>18</v>
      </c>
      <c r="H426">
        <v>1.1111112000000001</v>
      </c>
      <c r="I426">
        <v>-0.11111111</v>
      </c>
      <c r="J426">
        <v>0.47368421999999999</v>
      </c>
    </row>
    <row r="427" spans="1:10" x14ac:dyDescent="0.3">
      <c r="A427">
        <v>425</v>
      </c>
      <c r="B427">
        <v>6811</v>
      </c>
      <c r="C427" t="b">
        <v>1</v>
      </c>
      <c r="D427">
        <v>8060</v>
      </c>
      <c r="E427">
        <v>8129</v>
      </c>
      <c r="F427">
        <v>20</v>
      </c>
      <c r="G427">
        <v>17.666665999999999</v>
      </c>
      <c r="H427">
        <v>1.1320755</v>
      </c>
      <c r="I427">
        <v>-0.13207552</v>
      </c>
      <c r="J427">
        <v>0.46902656999999998</v>
      </c>
    </row>
    <row r="428" spans="1:10" x14ac:dyDescent="0.3">
      <c r="A428">
        <v>426</v>
      </c>
      <c r="B428">
        <v>6827</v>
      </c>
      <c r="C428" t="b">
        <v>1</v>
      </c>
      <c r="D428">
        <v>8065</v>
      </c>
      <c r="E428">
        <v>8129</v>
      </c>
      <c r="F428">
        <v>20</v>
      </c>
      <c r="G428">
        <v>17.333334000000001</v>
      </c>
      <c r="H428">
        <v>1.1538461</v>
      </c>
      <c r="I428">
        <v>-0.15384611000000001</v>
      </c>
      <c r="J428">
        <v>0.46428570000000002</v>
      </c>
    </row>
    <row r="429" spans="1:10" x14ac:dyDescent="0.3">
      <c r="A429">
        <v>427</v>
      </c>
      <c r="B429">
        <v>6843</v>
      </c>
      <c r="C429" t="b">
        <v>1</v>
      </c>
      <c r="D429">
        <v>8060</v>
      </c>
      <c r="E429">
        <v>8129</v>
      </c>
      <c r="F429">
        <v>20</v>
      </c>
      <c r="G429">
        <v>17</v>
      </c>
      <c r="H429">
        <v>1.1764706</v>
      </c>
      <c r="I429">
        <v>-0.17647060000000001</v>
      </c>
      <c r="J429">
        <v>0.45945944999999999</v>
      </c>
    </row>
    <row r="430" spans="1:10" x14ac:dyDescent="0.3">
      <c r="A430">
        <v>428</v>
      </c>
      <c r="B430">
        <v>6858</v>
      </c>
      <c r="C430" t="b">
        <v>1</v>
      </c>
      <c r="D430">
        <v>8060</v>
      </c>
      <c r="E430">
        <v>8129</v>
      </c>
      <c r="F430">
        <v>20</v>
      </c>
      <c r="G430">
        <v>16.666665999999999</v>
      </c>
      <c r="H430">
        <v>1.2</v>
      </c>
      <c r="I430">
        <v>-0.20000005000000001</v>
      </c>
      <c r="J430">
        <v>0.45454547000000001</v>
      </c>
    </row>
    <row r="431" spans="1:10" x14ac:dyDescent="0.3">
      <c r="A431">
        <v>429</v>
      </c>
      <c r="B431">
        <v>6874</v>
      </c>
      <c r="C431" t="b">
        <v>1</v>
      </c>
      <c r="D431">
        <v>8060</v>
      </c>
      <c r="E431">
        <v>8129</v>
      </c>
      <c r="F431">
        <v>20</v>
      </c>
      <c r="G431">
        <v>16.333334000000001</v>
      </c>
      <c r="H431">
        <v>1.2244896999999999</v>
      </c>
      <c r="I431">
        <v>-0.22448974999999999</v>
      </c>
      <c r="J431">
        <v>0.44954126999999999</v>
      </c>
    </row>
    <row r="432" spans="1:10" x14ac:dyDescent="0.3">
      <c r="A432">
        <v>430</v>
      </c>
      <c r="B432">
        <v>6890</v>
      </c>
      <c r="C432" t="b">
        <v>1</v>
      </c>
      <c r="D432">
        <v>8065</v>
      </c>
      <c r="E432">
        <v>8129</v>
      </c>
      <c r="F432">
        <v>20</v>
      </c>
      <c r="G432">
        <v>16</v>
      </c>
      <c r="H432">
        <v>1.25</v>
      </c>
      <c r="I432">
        <v>-0.25</v>
      </c>
      <c r="J432">
        <v>0.44444444999999999</v>
      </c>
    </row>
    <row r="433" spans="1:10" x14ac:dyDescent="0.3">
      <c r="A433">
        <v>431</v>
      </c>
      <c r="B433">
        <v>6906</v>
      </c>
      <c r="C433" t="b">
        <v>1</v>
      </c>
      <c r="D433">
        <v>8065</v>
      </c>
      <c r="E433">
        <v>8134</v>
      </c>
      <c r="F433">
        <v>20</v>
      </c>
      <c r="G433">
        <v>15.666667</v>
      </c>
      <c r="H433">
        <v>1.2765957000000001</v>
      </c>
      <c r="I433">
        <v>-0.2765957</v>
      </c>
      <c r="J433">
        <v>0.43925231999999997</v>
      </c>
    </row>
    <row r="434" spans="1:10" x14ac:dyDescent="0.3">
      <c r="A434">
        <v>432</v>
      </c>
      <c r="B434">
        <v>6922</v>
      </c>
      <c r="C434" t="b">
        <v>1</v>
      </c>
      <c r="D434">
        <v>8060</v>
      </c>
      <c r="E434">
        <v>8134</v>
      </c>
      <c r="F434">
        <v>20</v>
      </c>
      <c r="G434">
        <v>15.333333</v>
      </c>
      <c r="H434">
        <v>1.3043479</v>
      </c>
      <c r="I434">
        <v>-0.30434783999999998</v>
      </c>
      <c r="J434">
        <v>0.43396230000000002</v>
      </c>
    </row>
    <row r="435" spans="1:10" x14ac:dyDescent="0.3">
      <c r="A435">
        <v>433</v>
      </c>
      <c r="B435">
        <v>6937</v>
      </c>
      <c r="C435" t="b">
        <v>1</v>
      </c>
      <c r="D435">
        <v>8065</v>
      </c>
      <c r="E435">
        <v>8129</v>
      </c>
      <c r="F435">
        <v>20.333334000000001</v>
      </c>
      <c r="G435">
        <v>15</v>
      </c>
      <c r="H435">
        <v>1.3555557</v>
      </c>
      <c r="I435">
        <v>-0.35555560000000003</v>
      </c>
      <c r="J435">
        <v>0.42452826999999999</v>
      </c>
    </row>
    <row r="436" spans="1:10" x14ac:dyDescent="0.3">
      <c r="A436">
        <v>434</v>
      </c>
      <c r="B436">
        <v>6953</v>
      </c>
      <c r="C436" t="b">
        <v>1</v>
      </c>
      <c r="D436">
        <v>8060</v>
      </c>
      <c r="E436">
        <v>8134</v>
      </c>
      <c r="F436">
        <v>20.666665999999999</v>
      </c>
      <c r="G436">
        <v>15</v>
      </c>
      <c r="H436">
        <v>1.3777777</v>
      </c>
      <c r="I436">
        <v>-0.37777772999999998</v>
      </c>
      <c r="J436">
        <v>0.42056078000000002</v>
      </c>
    </row>
    <row r="437" spans="1:10" x14ac:dyDescent="0.3">
      <c r="A437">
        <v>435</v>
      </c>
      <c r="B437">
        <v>6969</v>
      </c>
      <c r="C437" t="b">
        <v>1</v>
      </c>
      <c r="D437">
        <v>8060</v>
      </c>
      <c r="E437">
        <v>8134</v>
      </c>
      <c r="F437">
        <v>20.666665999999999</v>
      </c>
      <c r="G437">
        <v>15</v>
      </c>
      <c r="H437">
        <v>1.3777777</v>
      </c>
      <c r="I437">
        <v>-0.37777772999999998</v>
      </c>
      <c r="J437">
        <v>0.42056078000000002</v>
      </c>
    </row>
    <row r="438" spans="1:10" x14ac:dyDescent="0.3">
      <c r="A438">
        <v>436</v>
      </c>
      <c r="B438">
        <v>6985</v>
      </c>
      <c r="C438" t="b">
        <v>1</v>
      </c>
      <c r="D438">
        <v>8060</v>
      </c>
      <c r="E438">
        <v>8134</v>
      </c>
      <c r="F438">
        <v>20.666665999999999</v>
      </c>
      <c r="G438">
        <v>15</v>
      </c>
      <c r="H438">
        <v>1.3777777</v>
      </c>
      <c r="I438">
        <v>-0.37777772999999998</v>
      </c>
      <c r="J438">
        <v>0.42056078000000002</v>
      </c>
    </row>
    <row r="439" spans="1:10" x14ac:dyDescent="0.3">
      <c r="A439">
        <v>437</v>
      </c>
      <c r="B439">
        <v>7001</v>
      </c>
      <c r="C439" t="b">
        <v>1</v>
      </c>
      <c r="D439">
        <v>8054</v>
      </c>
      <c r="E439">
        <v>8134</v>
      </c>
      <c r="F439">
        <v>20.666665999999999</v>
      </c>
      <c r="G439">
        <v>15.333333</v>
      </c>
      <c r="H439">
        <v>1.3478261</v>
      </c>
      <c r="I439">
        <v>-0.34782605999999999</v>
      </c>
      <c r="J439">
        <v>0.42592590000000002</v>
      </c>
    </row>
    <row r="440" spans="1:10" x14ac:dyDescent="0.3">
      <c r="A440">
        <v>438</v>
      </c>
      <c r="B440">
        <v>7017</v>
      </c>
      <c r="C440" t="b">
        <v>1</v>
      </c>
      <c r="D440">
        <v>8054</v>
      </c>
      <c r="E440">
        <v>8134</v>
      </c>
      <c r="F440">
        <v>20.666665999999999</v>
      </c>
      <c r="G440">
        <v>15.666667</v>
      </c>
      <c r="H440">
        <v>1.3191489000000001</v>
      </c>
      <c r="I440">
        <v>-0.31914886999999997</v>
      </c>
      <c r="J440">
        <v>0.43119269999999998</v>
      </c>
    </row>
    <row r="441" spans="1:10" x14ac:dyDescent="0.3">
      <c r="A441">
        <v>439</v>
      </c>
      <c r="B441">
        <v>7033</v>
      </c>
      <c r="C441" t="b">
        <v>1</v>
      </c>
      <c r="D441">
        <v>8060</v>
      </c>
      <c r="E441">
        <v>8129</v>
      </c>
      <c r="F441">
        <v>20.666665999999999</v>
      </c>
      <c r="G441">
        <v>16</v>
      </c>
      <c r="H441">
        <v>1.2916666000000001</v>
      </c>
      <c r="I441">
        <v>-0.29166662999999998</v>
      </c>
      <c r="J441">
        <v>0.43636366999999998</v>
      </c>
    </row>
    <row r="442" spans="1:10" x14ac:dyDescent="0.3">
      <c r="A442">
        <v>440</v>
      </c>
      <c r="B442">
        <v>7049</v>
      </c>
      <c r="C442" t="b">
        <v>1</v>
      </c>
      <c r="D442">
        <v>8060</v>
      </c>
      <c r="E442">
        <v>8134</v>
      </c>
      <c r="F442">
        <v>20.666665999999999</v>
      </c>
      <c r="G442">
        <v>16.333334000000001</v>
      </c>
      <c r="H442">
        <v>1.265306</v>
      </c>
      <c r="I442">
        <v>-0.26530603000000003</v>
      </c>
      <c r="J442">
        <v>0.44144145000000001</v>
      </c>
    </row>
    <row r="443" spans="1:10" x14ac:dyDescent="0.3">
      <c r="A443">
        <v>441</v>
      </c>
      <c r="B443">
        <v>7065</v>
      </c>
      <c r="C443" t="b">
        <v>1</v>
      </c>
      <c r="D443">
        <v>8054</v>
      </c>
      <c r="E443">
        <v>8129</v>
      </c>
      <c r="F443">
        <v>20.266666000000001</v>
      </c>
      <c r="G443">
        <v>16.666665999999999</v>
      </c>
      <c r="H443">
        <v>1.2160001</v>
      </c>
      <c r="I443">
        <v>-0.21600004</v>
      </c>
      <c r="J443">
        <v>0.45126351999999997</v>
      </c>
    </row>
    <row r="444" spans="1:10" x14ac:dyDescent="0.3">
      <c r="A444">
        <v>442</v>
      </c>
      <c r="B444">
        <v>7080</v>
      </c>
      <c r="C444" t="b">
        <v>1</v>
      </c>
      <c r="D444">
        <v>8060</v>
      </c>
      <c r="E444">
        <v>8134</v>
      </c>
      <c r="F444">
        <v>20.266666000000001</v>
      </c>
      <c r="G444">
        <v>17</v>
      </c>
      <c r="H444">
        <v>1.1921568</v>
      </c>
      <c r="I444">
        <v>-0.19215684999999999</v>
      </c>
      <c r="J444">
        <v>0.45617174999999999</v>
      </c>
    </row>
    <row r="445" spans="1:10" x14ac:dyDescent="0.3">
      <c r="A445">
        <v>443</v>
      </c>
      <c r="B445">
        <v>7097</v>
      </c>
      <c r="C445" t="b">
        <v>1</v>
      </c>
      <c r="D445">
        <v>8060</v>
      </c>
      <c r="E445">
        <v>8134</v>
      </c>
      <c r="F445">
        <v>20.266666000000001</v>
      </c>
      <c r="G445">
        <v>17.333334000000001</v>
      </c>
      <c r="H445">
        <v>1.1692307</v>
      </c>
      <c r="I445">
        <v>-0.16923071000000001</v>
      </c>
      <c r="J445">
        <v>0.46099293000000002</v>
      </c>
    </row>
    <row r="446" spans="1:10" x14ac:dyDescent="0.3">
      <c r="A446">
        <v>444</v>
      </c>
      <c r="B446">
        <v>7113</v>
      </c>
      <c r="C446" t="b">
        <v>1</v>
      </c>
      <c r="D446">
        <v>8054</v>
      </c>
      <c r="E446">
        <v>8134</v>
      </c>
      <c r="F446">
        <v>20.266666000000001</v>
      </c>
      <c r="G446">
        <v>17.666665999999999</v>
      </c>
      <c r="H446">
        <v>1.1471697999999999</v>
      </c>
      <c r="I446">
        <v>-0.14716984</v>
      </c>
      <c r="J446">
        <v>0.46572933</v>
      </c>
    </row>
    <row r="447" spans="1:10" x14ac:dyDescent="0.3">
      <c r="A447">
        <v>445</v>
      </c>
      <c r="B447">
        <v>7128</v>
      </c>
      <c r="C447" t="b">
        <v>1</v>
      </c>
      <c r="D447">
        <v>8054</v>
      </c>
      <c r="E447">
        <v>8129</v>
      </c>
      <c r="F447">
        <v>19.866667</v>
      </c>
      <c r="G447">
        <v>18</v>
      </c>
      <c r="H447">
        <v>1.1037037000000001</v>
      </c>
      <c r="I447">
        <v>-0.10370371</v>
      </c>
      <c r="J447">
        <v>0.47535208000000001</v>
      </c>
    </row>
    <row r="448" spans="1:10" x14ac:dyDescent="0.3">
      <c r="A448">
        <v>446</v>
      </c>
      <c r="B448">
        <v>7144</v>
      </c>
      <c r="C448" t="b">
        <v>1</v>
      </c>
      <c r="D448">
        <v>8060</v>
      </c>
      <c r="E448">
        <v>8140</v>
      </c>
      <c r="F448">
        <v>19.866667</v>
      </c>
      <c r="G448">
        <v>18.333334000000001</v>
      </c>
      <c r="H448">
        <v>1.0836363</v>
      </c>
      <c r="I448">
        <v>-8.3636336000000006E-2</v>
      </c>
      <c r="J448">
        <v>0.47993019999999997</v>
      </c>
    </row>
    <row r="449" spans="1:10" x14ac:dyDescent="0.3">
      <c r="A449">
        <v>447</v>
      </c>
      <c r="B449">
        <v>7160</v>
      </c>
      <c r="C449" t="b">
        <v>1</v>
      </c>
      <c r="D449">
        <v>8065</v>
      </c>
      <c r="E449">
        <v>8140</v>
      </c>
      <c r="F449">
        <v>19.866667</v>
      </c>
      <c r="G449">
        <v>18.666665999999999</v>
      </c>
      <c r="H449">
        <v>1.0642857999999999</v>
      </c>
      <c r="I449">
        <v>-6.4285755E-2</v>
      </c>
      <c r="J449">
        <v>0.48442906000000002</v>
      </c>
    </row>
    <row r="450" spans="1:10" x14ac:dyDescent="0.3">
      <c r="A450">
        <v>448</v>
      </c>
      <c r="B450">
        <v>7176</v>
      </c>
      <c r="C450" t="b">
        <v>1</v>
      </c>
      <c r="D450">
        <v>8060</v>
      </c>
      <c r="E450">
        <v>8134</v>
      </c>
      <c r="F450">
        <v>19.533332999999999</v>
      </c>
      <c r="G450">
        <v>19</v>
      </c>
      <c r="H450">
        <v>1.0280701000000001</v>
      </c>
      <c r="I450">
        <v>-2.8070148E-2</v>
      </c>
      <c r="J450">
        <v>0.49307960000000001</v>
      </c>
    </row>
    <row r="451" spans="1:10" x14ac:dyDescent="0.3">
      <c r="A451">
        <v>449</v>
      </c>
      <c r="B451">
        <v>7191</v>
      </c>
      <c r="C451" t="b">
        <v>1</v>
      </c>
      <c r="D451">
        <v>8065</v>
      </c>
      <c r="E451">
        <v>8129</v>
      </c>
      <c r="F451">
        <v>19.2</v>
      </c>
      <c r="G451">
        <v>19</v>
      </c>
      <c r="H451">
        <v>1.0105263</v>
      </c>
      <c r="I451">
        <v>-1.0526356000000001E-2</v>
      </c>
      <c r="J451">
        <v>0.4973822</v>
      </c>
    </row>
    <row r="452" spans="1:10" x14ac:dyDescent="0.3">
      <c r="A452">
        <v>450</v>
      </c>
      <c r="B452">
        <v>7207</v>
      </c>
      <c r="C452" t="b">
        <v>1</v>
      </c>
      <c r="D452">
        <v>8065</v>
      </c>
      <c r="E452">
        <v>8140</v>
      </c>
      <c r="F452">
        <v>19.533332999999999</v>
      </c>
      <c r="G452">
        <v>19.399999999999999</v>
      </c>
      <c r="H452">
        <v>1.0068729000000001</v>
      </c>
      <c r="I452">
        <v>-6.8728460000000002E-3</v>
      </c>
      <c r="J452">
        <v>0.49828765000000003</v>
      </c>
    </row>
    <row r="453" spans="1:10" x14ac:dyDescent="0.3">
      <c r="A453">
        <v>451</v>
      </c>
      <c r="B453">
        <v>7223</v>
      </c>
      <c r="C453" t="b">
        <v>1</v>
      </c>
      <c r="D453">
        <v>8060</v>
      </c>
      <c r="E453">
        <v>8134</v>
      </c>
      <c r="F453">
        <v>19.866667</v>
      </c>
      <c r="G453">
        <v>19.399999999999999</v>
      </c>
      <c r="H453">
        <v>1.0240549999999999</v>
      </c>
      <c r="I453">
        <v>-2.4055010000000002E-2</v>
      </c>
      <c r="J453">
        <v>0.49405770999999998</v>
      </c>
    </row>
    <row r="454" spans="1:10" x14ac:dyDescent="0.3">
      <c r="A454">
        <v>452</v>
      </c>
      <c r="B454">
        <v>7239</v>
      </c>
      <c r="C454" t="b">
        <v>1</v>
      </c>
      <c r="D454">
        <v>8065</v>
      </c>
      <c r="E454">
        <v>8134</v>
      </c>
      <c r="F454">
        <v>20.2</v>
      </c>
      <c r="G454">
        <v>19.399999999999999</v>
      </c>
      <c r="H454">
        <v>1.0412371</v>
      </c>
      <c r="I454">
        <v>-4.1237169999999997E-2</v>
      </c>
      <c r="J454">
        <v>0.48989899999999997</v>
      </c>
    </row>
    <row r="455" spans="1:10" x14ac:dyDescent="0.3">
      <c r="A455">
        <v>453</v>
      </c>
      <c r="B455">
        <v>7255</v>
      </c>
      <c r="C455" t="b">
        <v>1</v>
      </c>
      <c r="D455">
        <v>8054</v>
      </c>
      <c r="E455">
        <v>8134</v>
      </c>
      <c r="F455">
        <v>20.533332999999999</v>
      </c>
      <c r="G455">
        <v>19.399999999999999</v>
      </c>
      <c r="H455">
        <v>1.0584191999999999</v>
      </c>
      <c r="I455">
        <v>-5.8419239999999997E-2</v>
      </c>
      <c r="J455">
        <v>0.48580964999999998</v>
      </c>
    </row>
    <row r="456" spans="1:10" x14ac:dyDescent="0.3">
      <c r="A456">
        <v>454</v>
      </c>
      <c r="B456">
        <v>7271</v>
      </c>
      <c r="C456" t="b">
        <v>1</v>
      </c>
      <c r="D456">
        <v>8048</v>
      </c>
      <c r="E456">
        <v>8134</v>
      </c>
      <c r="F456">
        <v>20.533332999999999</v>
      </c>
      <c r="G456">
        <v>19.399999999999999</v>
      </c>
      <c r="H456">
        <v>1.0584191999999999</v>
      </c>
      <c r="I456">
        <v>-5.8419239999999997E-2</v>
      </c>
      <c r="J456">
        <v>0.48580964999999998</v>
      </c>
    </row>
    <row r="457" spans="1:10" x14ac:dyDescent="0.3">
      <c r="A457">
        <v>455</v>
      </c>
      <c r="B457">
        <v>7286</v>
      </c>
      <c r="C457" t="b">
        <v>1</v>
      </c>
      <c r="D457">
        <v>8060</v>
      </c>
      <c r="E457">
        <v>8129</v>
      </c>
      <c r="F457">
        <v>20.533332999999999</v>
      </c>
      <c r="G457">
        <v>19.399999999999999</v>
      </c>
      <c r="H457">
        <v>1.0584191999999999</v>
      </c>
      <c r="I457">
        <v>-5.8419239999999997E-2</v>
      </c>
      <c r="J457">
        <v>0.48580964999999998</v>
      </c>
    </row>
    <row r="458" spans="1:10" x14ac:dyDescent="0.3">
      <c r="A458">
        <v>456</v>
      </c>
      <c r="B458">
        <v>7302</v>
      </c>
      <c r="C458" t="b">
        <v>1</v>
      </c>
      <c r="D458">
        <v>8054</v>
      </c>
      <c r="E458">
        <v>8129</v>
      </c>
      <c r="F458">
        <v>20.533332999999999</v>
      </c>
      <c r="G458">
        <v>19.399999999999999</v>
      </c>
      <c r="H458">
        <v>1.0584191999999999</v>
      </c>
      <c r="I458">
        <v>-5.8419239999999997E-2</v>
      </c>
      <c r="J458">
        <v>0.48580964999999998</v>
      </c>
    </row>
    <row r="459" spans="1:10" x14ac:dyDescent="0.3">
      <c r="A459">
        <v>457</v>
      </c>
      <c r="B459">
        <v>7318</v>
      </c>
      <c r="C459" t="b">
        <v>1</v>
      </c>
      <c r="D459">
        <v>8054</v>
      </c>
      <c r="E459">
        <v>8129</v>
      </c>
      <c r="F459">
        <v>20.133333</v>
      </c>
      <c r="G459">
        <v>19.066668</v>
      </c>
      <c r="H459">
        <v>1.055944</v>
      </c>
      <c r="I459">
        <v>-5.5944000000000001E-2</v>
      </c>
      <c r="J459">
        <v>0.48639458000000002</v>
      </c>
    </row>
    <row r="460" spans="1:10" x14ac:dyDescent="0.3">
      <c r="A460">
        <v>458</v>
      </c>
      <c r="B460">
        <v>7334</v>
      </c>
      <c r="C460" t="b">
        <v>1</v>
      </c>
      <c r="D460">
        <v>8060</v>
      </c>
      <c r="E460">
        <v>8129</v>
      </c>
      <c r="F460">
        <v>19.733333999999999</v>
      </c>
      <c r="G460">
        <v>18.733333999999999</v>
      </c>
      <c r="H460">
        <v>1.0533806999999999</v>
      </c>
      <c r="I460">
        <v>-5.3380784000000001E-2</v>
      </c>
      <c r="J460">
        <v>0.48700175000000001</v>
      </c>
    </row>
    <row r="461" spans="1:10" x14ac:dyDescent="0.3">
      <c r="A461">
        <v>459</v>
      </c>
      <c r="B461">
        <v>7350</v>
      </c>
      <c r="C461" t="b">
        <v>1</v>
      </c>
      <c r="D461">
        <v>8060</v>
      </c>
      <c r="E461">
        <v>8123</v>
      </c>
      <c r="F461">
        <v>19.733333999999999</v>
      </c>
      <c r="G461">
        <v>18.399999999999999</v>
      </c>
      <c r="H461">
        <v>1.0724638</v>
      </c>
      <c r="I461">
        <v>-7.2463799999999995E-2</v>
      </c>
      <c r="J461">
        <v>0.48251749999999999</v>
      </c>
    </row>
    <row r="462" spans="1:10" x14ac:dyDescent="0.3">
      <c r="A462">
        <v>460</v>
      </c>
      <c r="B462">
        <v>7366</v>
      </c>
      <c r="C462" t="b">
        <v>1</v>
      </c>
      <c r="D462">
        <v>8060</v>
      </c>
      <c r="E462">
        <v>8129</v>
      </c>
      <c r="F462">
        <v>20.133333</v>
      </c>
      <c r="G462">
        <v>18.066668</v>
      </c>
      <c r="H462">
        <v>1.1143911</v>
      </c>
      <c r="I462">
        <v>-0.11439108000000001</v>
      </c>
      <c r="J462">
        <v>0.47294942000000001</v>
      </c>
    </row>
    <row r="463" spans="1:10" x14ac:dyDescent="0.3">
      <c r="A463">
        <v>461</v>
      </c>
      <c r="B463">
        <v>7382</v>
      </c>
      <c r="C463" t="b">
        <v>1</v>
      </c>
      <c r="D463">
        <v>8060</v>
      </c>
      <c r="E463">
        <v>8129</v>
      </c>
      <c r="F463">
        <v>20.133333</v>
      </c>
      <c r="G463">
        <v>17.733333999999999</v>
      </c>
      <c r="H463">
        <v>1.1353382999999999</v>
      </c>
      <c r="I463">
        <v>-0.13533832000000001</v>
      </c>
      <c r="J463">
        <v>0.46830985000000003</v>
      </c>
    </row>
    <row r="464" spans="1:10" x14ac:dyDescent="0.3">
      <c r="A464">
        <v>462</v>
      </c>
      <c r="B464">
        <v>7398</v>
      </c>
      <c r="C464" t="b">
        <v>1</v>
      </c>
      <c r="D464">
        <v>8060</v>
      </c>
      <c r="E464">
        <v>8134</v>
      </c>
      <c r="F464">
        <v>20.133333</v>
      </c>
      <c r="G464">
        <v>17.399999999999999</v>
      </c>
      <c r="H464">
        <v>1.1570882</v>
      </c>
      <c r="I464">
        <v>-0.15708815000000001</v>
      </c>
      <c r="J464">
        <v>0.4635879</v>
      </c>
    </row>
    <row r="465" spans="1:10" x14ac:dyDescent="0.3">
      <c r="A465">
        <v>463</v>
      </c>
      <c r="B465">
        <v>7414</v>
      </c>
      <c r="C465" t="b">
        <v>1</v>
      </c>
      <c r="D465">
        <v>8065</v>
      </c>
      <c r="E465">
        <v>8134</v>
      </c>
      <c r="F465">
        <v>20.133333</v>
      </c>
      <c r="G465">
        <v>17.066668</v>
      </c>
      <c r="H465">
        <v>1.1796873999999999</v>
      </c>
      <c r="I465">
        <v>-0.17968743000000001</v>
      </c>
      <c r="J465">
        <v>0.45878140000000001</v>
      </c>
    </row>
    <row r="466" spans="1:10" x14ac:dyDescent="0.3">
      <c r="A466">
        <v>464</v>
      </c>
      <c r="B466">
        <v>7430</v>
      </c>
      <c r="C466" t="b">
        <v>1</v>
      </c>
      <c r="D466">
        <v>8065</v>
      </c>
      <c r="E466">
        <v>8129</v>
      </c>
      <c r="F466">
        <v>20.133333</v>
      </c>
      <c r="G466">
        <v>16.733333999999999</v>
      </c>
      <c r="H466">
        <v>1.2031871999999999</v>
      </c>
      <c r="I466">
        <v>-0.20318723</v>
      </c>
      <c r="J466">
        <v>0.45388788000000002</v>
      </c>
    </row>
    <row r="467" spans="1:10" x14ac:dyDescent="0.3">
      <c r="A467">
        <v>465</v>
      </c>
      <c r="B467">
        <v>7446</v>
      </c>
      <c r="C467" t="b">
        <v>1</v>
      </c>
      <c r="D467">
        <v>8065</v>
      </c>
      <c r="E467">
        <v>8134</v>
      </c>
      <c r="F467">
        <v>20.133333</v>
      </c>
      <c r="G467">
        <v>16.333334000000001</v>
      </c>
      <c r="H467">
        <v>1.232653</v>
      </c>
      <c r="I467">
        <v>-0.232653</v>
      </c>
      <c r="J467">
        <v>0.44789763999999999</v>
      </c>
    </row>
    <row r="468" spans="1:10" x14ac:dyDescent="0.3">
      <c r="A468">
        <v>466</v>
      </c>
      <c r="B468">
        <v>7462</v>
      </c>
      <c r="C468" t="b">
        <v>1</v>
      </c>
      <c r="D468">
        <v>8065</v>
      </c>
      <c r="E468">
        <v>8129</v>
      </c>
      <c r="F468">
        <v>20.133333</v>
      </c>
      <c r="G468">
        <v>16.333334000000001</v>
      </c>
      <c r="H468">
        <v>1.232653</v>
      </c>
      <c r="I468">
        <v>-0.232653</v>
      </c>
      <c r="J468">
        <v>0.44789763999999999</v>
      </c>
    </row>
    <row r="469" spans="1:10" x14ac:dyDescent="0.3">
      <c r="A469">
        <v>467</v>
      </c>
      <c r="B469">
        <v>7478</v>
      </c>
      <c r="C469" t="b">
        <v>1</v>
      </c>
      <c r="D469">
        <v>8060</v>
      </c>
      <c r="E469">
        <v>8134</v>
      </c>
      <c r="F469">
        <v>20.133333</v>
      </c>
      <c r="G469">
        <v>16.333334000000001</v>
      </c>
      <c r="H469">
        <v>1.232653</v>
      </c>
      <c r="I469">
        <v>-0.232653</v>
      </c>
      <c r="J469">
        <v>0.44789763999999999</v>
      </c>
    </row>
    <row r="470" spans="1:10" x14ac:dyDescent="0.3">
      <c r="A470">
        <v>468</v>
      </c>
      <c r="B470">
        <v>7493</v>
      </c>
      <c r="C470" t="b">
        <v>1</v>
      </c>
      <c r="D470">
        <v>8054</v>
      </c>
      <c r="E470">
        <v>8129</v>
      </c>
      <c r="F470">
        <v>20.133333</v>
      </c>
      <c r="G470">
        <v>16</v>
      </c>
      <c r="H470">
        <v>1.2583333000000001</v>
      </c>
      <c r="I470">
        <v>-0.25833333000000003</v>
      </c>
      <c r="J470">
        <v>0.44280446000000001</v>
      </c>
    </row>
    <row r="471" spans="1:10" x14ac:dyDescent="0.3">
      <c r="A471">
        <v>469</v>
      </c>
      <c r="B471">
        <v>7509</v>
      </c>
      <c r="C471" t="b">
        <v>1</v>
      </c>
      <c r="D471">
        <v>8054</v>
      </c>
      <c r="E471">
        <v>8123</v>
      </c>
      <c r="F471">
        <v>20.133333</v>
      </c>
      <c r="G471">
        <v>15.666667</v>
      </c>
      <c r="H471">
        <v>1.2851063</v>
      </c>
      <c r="I471">
        <v>-0.28510636</v>
      </c>
      <c r="J471">
        <v>0.43761640000000002</v>
      </c>
    </row>
    <row r="472" spans="1:10" x14ac:dyDescent="0.3">
      <c r="A472">
        <v>470</v>
      </c>
      <c r="B472">
        <v>7525</v>
      </c>
      <c r="C472" t="b">
        <v>1</v>
      </c>
      <c r="D472">
        <v>8054</v>
      </c>
      <c r="E472">
        <v>8123</v>
      </c>
      <c r="F472">
        <v>19.733333999999999</v>
      </c>
      <c r="G472">
        <v>15.333333</v>
      </c>
      <c r="H472">
        <v>1.2869565000000001</v>
      </c>
      <c r="I472">
        <v>-0.28695658000000002</v>
      </c>
      <c r="J472">
        <v>0.43726236000000002</v>
      </c>
    </row>
    <row r="473" spans="1:10" x14ac:dyDescent="0.3">
      <c r="A473">
        <v>471</v>
      </c>
      <c r="B473">
        <v>7541</v>
      </c>
      <c r="C473" t="b">
        <v>1</v>
      </c>
      <c r="D473">
        <v>8065</v>
      </c>
      <c r="E473">
        <v>8123</v>
      </c>
      <c r="F473">
        <v>19.733333999999999</v>
      </c>
      <c r="G473">
        <v>14.6</v>
      </c>
      <c r="H473">
        <v>1.3515980999999999</v>
      </c>
      <c r="I473">
        <v>-0.35159814</v>
      </c>
      <c r="J473">
        <v>0.42524269999999997</v>
      </c>
    </row>
    <row r="474" spans="1:10" x14ac:dyDescent="0.3">
      <c r="A474">
        <v>472</v>
      </c>
      <c r="B474">
        <v>7557</v>
      </c>
      <c r="C474" t="b">
        <v>1</v>
      </c>
      <c r="D474">
        <v>8065</v>
      </c>
      <c r="E474">
        <v>8129</v>
      </c>
      <c r="F474">
        <v>19.733333999999999</v>
      </c>
      <c r="G474">
        <v>14.2</v>
      </c>
      <c r="H474">
        <v>1.3896713999999999</v>
      </c>
      <c r="I474">
        <v>-0.3896714</v>
      </c>
      <c r="J474">
        <v>0.41846755000000002</v>
      </c>
    </row>
    <row r="475" spans="1:10" x14ac:dyDescent="0.3">
      <c r="A475">
        <v>473</v>
      </c>
      <c r="B475">
        <v>7573</v>
      </c>
      <c r="C475" t="b">
        <v>1</v>
      </c>
      <c r="D475">
        <v>8060</v>
      </c>
      <c r="E475">
        <v>8129</v>
      </c>
      <c r="F475">
        <v>20.133333</v>
      </c>
      <c r="G475">
        <v>13.8</v>
      </c>
      <c r="H475">
        <v>1.4589372</v>
      </c>
      <c r="I475">
        <v>-0.45893717000000001</v>
      </c>
      <c r="J475">
        <v>0.40667975000000001</v>
      </c>
    </row>
    <row r="476" spans="1:10" x14ac:dyDescent="0.3">
      <c r="A476">
        <v>474</v>
      </c>
      <c r="B476">
        <v>7588</v>
      </c>
      <c r="C476" t="b">
        <v>1</v>
      </c>
      <c r="D476">
        <v>8060</v>
      </c>
      <c r="E476">
        <v>8129</v>
      </c>
      <c r="F476">
        <v>20.133333</v>
      </c>
      <c r="G476">
        <v>13.8</v>
      </c>
      <c r="H476">
        <v>1.4589372</v>
      </c>
      <c r="I476">
        <v>-0.45893717000000001</v>
      </c>
      <c r="J476">
        <v>0.40667975000000001</v>
      </c>
    </row>
    <row r="477" spans="1:10" x14ac:dyDescent="0.3">
      <c r="A477">
        <v>475</v>
      </c>
      <c r="B477">
        <v>7604</v>
      </c>
      <c r="C477" t="b">
        <v>1</v>
      </c>
      <c r="D477">
        <v>8060</v>
      </c>
      <c r="E477">
        <v>8129</v>
      </c>
      <c r="F477">
        <v>20.133333</v>
      </c>
      <c r="G477">
        <v>13.8</v>
      </c>
      <c r="H477">
        <v>1.4589372</v>
      </c>
      <c r="I477">
        <v>-0.45893717000000001</v>
      </c>
      <c r="J477">
        <v>0.40667975000000001</v>
      </c>
    </row>
    <row r="478" spans="1:10" x14ac:dyDescent="0.3">
      <c r="A478">
        <v>476</v>
      </c>
      <c r="B478">
        <v>7620</v>
      </c>
      <c r="C478" t="b">
        <v>1</v>
      </c>
      <c r="D478">
        <v>8065</v>
      </c>
      <c r="E478">
        <v>8123</v>
      </c>
      <c r="F478">
        <v>20.133333</v>
      </c>
      <c r="G478">
        <v>13.8</v>
      </c>
      <c r="H478">
        <v>1.4589372</v>
      </c>
      <c r="I478">
        <v>-0.45893717000000001</v>
      </c>
      <c r="J478">
        <v>0.40667975000000001</v>
      </c>
    </row>
    <row r="479" spans="1:10" x14ac:dyDescent="0.3">
      <c r="A479">
        <v>477</v>
      </c>
      <c r="B479">
        <v>7636</v>
      </c>
      <c r="C479" t="b">
        <v>1</v>
      </c>
      <c r="D479">
        <v>8060</v>
      </c>
      <c r="E479">
        <v>8129</v>
      </c>
      <c r="F479">
        <v>20.133333</v>
      </c>
      <c r="G479">
        <v>13.8</v>
      </c>
      <c r="H479">
        <v>1.4589372</v>
      </c>
      <c r="I479">
        <v>-0.45893717000000001</v>
      </c>
      <c r="J479">
        <v>0.40667975000000001</v>
      </c>
    </row>
    <row r="480" spans="1:10" x14ac:dyDescent="0.3">
      <c r="A480">
        <v>478</v>
      </c>
      <c r="B480">
        <v>7652</v>
      </c>
      <c r="C480" t="b">
        <v>1</v>
      </c>
      <c r="D480">
        <v>8065</v>
      </c>
      <c r="E480">
        <v>8129</v>
      </c>
      <c r="F480">
        <v>20.133333</v>
      </c>
      <c r="G480">
        <v>13.8</v>
      </c>
      <c r="H480">
        <v>1.4589372</v>
      </c>
      <c r="I480">
        <v>-0.45893717000000001</v>
      </c>
      <c r="J480">
        <v>0.40667975000000001</v>
      </c>
    </row>
    <row r="481" spans="1:10" x14ac:dyDescent="0.3">
      <c r="A481">
        <v>479</v>
      </c>
      <c r="B481">
        <v>7668</v>
      </c>
      <c r="C481" t="b">
        <v>1</v>
      </c>
      <c r="D481">
        <v>8060</v>
      </c>
      <c r="E481">
        <v>8123</v>
      </c>
      <c r="F481">
        <v>20.133333</v>
      </c>
      <c r="G481">
        <v>13.8</v>
      </c>
      <c r="H481">
        <v>1.4589372</v>
      </c>
      <c r="I481">
        <v>-0.45893717000000001</v>
      </c>
      <c r="J481">
        <v>0.40667975000000001</v>
      </c>
    </row>
    <row r="482" spans="1:10" x14ac:dyDescent="0.3">
      <c r="A482">
        <v>480</v>
      </c>
      <c r="B482">
        <v>7683</v>
      </c>
      <c r="C482" t="b">
        <v>1</v>
      </c>
      <c r="D482">
        <v>8065</v>
      </c>
      <c r="E482">
        <v>8123</v>
      </c>
      <c r="F482">
        <v>20.133333</v>
      </c>
      <c r="G482">
        <v>13.066667000000001</v>
      </c>
      <c r="H482">
        <v>1.5408162999999999</v>
      </c>
      <c r="I482">
        <v>-0.54081630000000003</v>
      </c>
      <c r="J482">
        <v>0.39357429999999999</v>
      </c>
    </row>
    <row r="483" spans="1:10" x14ac:dyDescent="0.3">
      <c r="A483">
        <v>481</v>
      </c>
      <c r="B483">
        <v>7699</v>
      </c>
      <c r="C483" t="b">
        <v>1</v>
      </c>
      <c r="D483">
        <v>8065</v>
      </c>
      <c r="E483">
        <v>8134</v>
      </c>
      <c r="F483">
        <v>20.133333</v>
      </c>
      <c r="G483">
        <v>12.733333999999999</v>
      </c>
      <c r="H483">
        <v>1.5811518</v>
      </c>
      <c r="I483">
        <v>-0.5811518</v>
      </c>
      <c r="J483">
        <v>0.38742393000000003</v>
      </c>
    </row>
    <row r="484" spans="1:10" x14ac:dyDescent="0.3">
      <c r="A484">
        <v>482</v>
      </c>
      <c r="B484">
        <v>7715</v>
      </c>
      <c r="C484" t="b">
        <v>1</v>
      </c>
      <c r="D484">
        <v>8060</v>
      </c>
      <c r="E484">
        <v>8140</v>
      </c>
      <c r="F484">
        <v>20.133333</v>
      </c>
      <c r="G484">
        <v>12.4</v>
      </c>
      <c r="H484">
        <v>1.6236558999999999</v>
      </c>
      <c r="I484">
        <v>-0.62365599999999999</v>
      </c>
      <c r="J484">
        <v>0.38114753000000001</v>
      </c>
    </row>
    <row r="485" spans="1:10" x14ac:dyDescent="0.3">
      <c r="A485">
        <v>483</v>
      </c>
      <c r="B485">
        <v>7731</v>
      </c>
      <c r="C485" t="b">
        <v>1</v>
      </c>
      <c r="D485">
        <v>8060</v>
      </c>
      <c r="E485">
        <v>8134</v>
      </c>
      <c r="F485">
        <v>19.8</v>
      </c>
      <c r="G485">
        <v>12.733333999999999</v>
      </c>
      <c r="H485">
        <v>1.5549736999999999</v>
      </c>
      <c r="I485">
        <v>-0.55497370000000001</v>
      </c>
      <c r="J485">
        <v>0.39139344999999998</v>
      </c>
    </row>
    <row r="486" spans="1:10" x14ac:dyDescent="0.3">
      <c r="A486">
        <v>484</v>
      </c>
      <c r="B486">
        <v>7747</v>
      </c>
      <c r="C486" t="b">
        <v>1</v>
      </c>
      <c r="D486">
        <v>8065</v>
      </c>
      <c r="E486">
        <v>8117</v>
      </c>
      <c r="F486">
        <v>20.133333</v>
      </c>
      <c r="G486">
        <v>13.066667000000001</v>
      </c>
      <c r="H486">
        <v>1.5408162999999999</v>
      </c>
      <c r="I486">
        <v>-0.54081630000000003</v>
      </c>
      <c r="J486">
        <v>0.39357429999999999</v>
      </c>
    </row>
    <row r="487" spans="1:10" x14ac:dyDescent="0.3">
      <c r="A487">
        <v>485</v>
      </c>
      <c r="B487">
        <v>7762</v>
      </c>
      <c r="C487" t="b">
        <v>1</v>
      </c>
      <c r="D487">
        <v>8065</v>
      </c>
      <c r="E487">
        <v>8134</v>
      </c>
      <c r="F487">
        <v>20.866667</v>
      </c>
      <c r="G487">
        <v>13.4</v>
      </c>
      <c r="H487">
        <v>1.5572140000000001</v>
      </c>
      <c r="I487">
        <v>-0.55721396000000001</v>
      </c>
      <c r="J487">
        <v>0.39105057999999998</v>
      </c>
    </row>
    <row r="488" spans="1:10" x14ac:dyDescent="0.3">
      <c r="A488">
        <v>486</v>
      </c>
      <c r="B488">
        <v>7779</v>
      </c>
      <c r="C488" t="b">
        <v>1</v>
      </c>
      <c r="D488">
        <v>8071</v>
      </c>
      <c r="E488">
        <v>8134</v>
      </c>
      <c r="F488">
        <v>21.6</v>
      </c>
      <c r="G488">
        <v>14.133333</v>
      </c>
      <c r="H488">
        <v>1.528302</v>
      </c>
      <c r="I488">
        <v>-0.52830195000000002</v>
      </c>
      <c r="J488">
        <v>0.3955224</v>
      </c>
    </row>
    <row r="489" spans="1:10" x14ac:dyDescent="0.3">
      <c r="A489">
        <v>487</v>
      </c>
      <c r="B489">
        <v>7794</v>
      </c>
      <c r="C489" t="b">
        <v>1</v>
      </c>
      <c r="D489">
        <v>8065</v>
      </c>
      <c r="E489">
        <v>8134</v>
      </c>
      <c r="F489">
        <v>22.333334000000001</v>
      </c>
      <c r="G489">
        <v>14.866667</v>
      </c>
      <c r="H489">
        <v>1.5022422</v>
      </c>
      <c r="I489">
        <v>-0.50224219999999997</v>
      </c>
      <c r="J489">
        <v>0.39964157</v>
      </c>
    </row>
    <row r="490" spans="1:10" x14ac:dyDescent="0.3">
      <c r="A490">
        <v>488</v>
      </c>
      <c r="B490">
        <v>7810</v>
      </c>
      <c r="C490" t="b">
        <v>1</v>
      </c>
      <c r="D490">
        <v>8060</v>
      </c>
      <c r="E490">
        <v>8129</v>
      </c>
      <c r="F490">
        <v>22.666665999999999</v>
      </c>
      <c r="G490">
        <v>15.6</v>
      </c>
      <c r="H490">
        <v>1.4529913999999999</v>
      </c>
      <c r="I490">
        <v>-0.45299137</v>
      </c>
      <c r="J490">
        <v>0.40766552</v>
      </c>
    </row>
    <row r="491" spans="1:10" x14ac:dyDescent="0.3">
      <c r="A491">
        <v>489</v>
      </c>
      <c r="B491">
        <v>7826</v>
      </c>
      <c r="C491" t="b">
        <v>1</v>
      </c>
      <c r="D491">
        <v>8065</v>
      </c>
      <c r="E491">
        <v>8129</v>
      </c>
      <c r="F491">
        <v>23</v>
      </c>
      <c r="G491">
        <v>15.933332999999999</v>
      </c>
      <c r="H491">
        <v>1.4435146000000001</v>
      </c>
      <c r="I491">
        <v>-0.44351465000000001</v>
      </c>
      <c r="J491">
        <v>0.40924655999999998</v>
      </c>
    </row>
    <row r="492" spans="1:10" x14ac:dyDescent="0.3">
      <c r="A492">
        <v>490</v>
      </c>
      <c r="B492">
        <v>7842</v>
      </c>
      <c r="C492" t="b">
        <v>1</v>
      </c>
      <c r="D492">
        <v>8060</v>
      </c>
      <c r="E492">
        <v>8134</v>
      </c>
      <c r="F492">
        <v>23.333334000000001</v>
      </c>
      <c r="G492">
        <v>16.266666000000001</v>
      </c>
      <c r="H492">
        <v>1.4344262999999999</v>
      </c>
      <c r="I492">
        <v>-0.43442628</v>
      </c>
      <c r="J492">
        <v>0.41077439999999998</v>
      </c>
    </row>
    <row r="493" spans="1:10" x14ac:dyDescent="0.3">
      <c r="A493">
        <v>491</v>
      </c>
      <c r="B493">
        <v>7858</v>
      </c>
      <c r="C493" t="b">
        <v>1</v>
      </c>
      <c r="D493">
        <v>8060</v>
      </c>
      <c r="E493">
        <v>8134</v>
      </c>
      <c r="F493">
        <v>23.333334000000001</v>
      </c>
      <c r="G493">
        <v>16.600000000000001</v>
      </c>
      <c r="H493">
        <v>1.4056225</v>
      </c>
      <c r="I493">
        <v>-0.40562248000000001</v>
      </c>
      <c r="J493">
        <v>0.41569279999999997</v>
      </c>
    </row>
    <row r="494" spans="1:10" x14ac:dyDescent="0.3">
      <c r="A494">
        <v>492</v>
      </c>
      <c r="B494">
        <v>7874</v>
      </c>
      <c r="C494" t="b">
        <v>1</v>
      </c>
      <c r="D494">
        <v>8065</v>
      </c>
      <c r="E494">
        <v>8134</v>
      </c>
      <c r="F494">
        <v>23.333334000000001</v>
      </c>
      <c r="G494">
        <v>16.933332</v>
      </c>
      <c r="H494">
        <v>1.3779528000000001</v>
      </c>
      <c r="I494">
        <v>-0.37795287</v>
      </c>
      <c r="J494">
        <v>0.42052978000000002</v>
      </c>
    </row>
    <row r="495" spans="1:10" x14ac:dyDescent="0.3">
      <c r="A495">
        <v>493</v>
      </c>
      <c r="B495">
        <v>7889</v>
      </c>
      <c r="C495" t="b">
        <v>1</v>
      </c>
      <c r="D495">
        <v>8065</v>
      </c>
      <c r="E495">
        <v>8129</v>
      </c>
      <c r="F495">
        <v>23.666665999999999</v>
      </c>
      <c r="G495">
        <v>17.266666000000001</v>
      </c>
      <c r="H495">
        <v>1.3706564000000001</v>
      </c>
      <c r="I495">
        <v>-0.37065633999999997</v>
      </c>
      <c r="J495">
        <v>0.42182409999999998</v>
      </c>
    </row>
    <row r="496" spans="1:10" x14ac:dyDescent="0.3">
      <c r="A496">
        <v>494</v>
      </c>
      <c r="B496">
        <v>7905</v>
      </c>
      <c r="C496" t="b">
        <v>1</v>
      </c>
      <c r="D496">
        <v>8065</v>
      </c>
      <c r="E496">
        <v>8134</v>
      </c>
      <c r="F496">
        <v>24</v>
      </c>
      <c r="G496">
        <v>17.600000000000001</v>
      </c>
      <c r="H496">
        <v>1.3636364000000001</v>
      </c>
      <c r="I496">
        <v>-0.36363634</v>
      </c>
      <c r="J496">
        <v>0.42307696</v>
      </c>
    </row>
    <row r="497" spans="1:10" x14ac:dyDescent="0.3">
      <c r="A497">
        <v>495</v>
      </c>
      <c r="B497">
        <v>7921</v>
      </c>
      <c r="C497" t="b">
        <v>1</v>
      </c>
      <c r="D497">
        <v>8065</v>
      </c>
      <c r="E497">
        <v>8134</v>
      </c>
      <c r="F497">
        <v>24</v>
      </c>
      <c r="G497">
        <v>18.333334000000001</v>
      </c>
      <c r="H497">
        <v>1.3090908999999999</v>
      </c>
      <c r="I497">
        <v>-0.30909084999999997</v>
      </c>
      <c r="J497">
        <v>0.43307087</v>
      </c>
    </row>
    <row r="498" spans="1:10" x14ac:dyDescent="0.3">
      <c r="A498">
        <v>496</v>
      </c>
      <c r="B498">
        <v>7937</v>
      </c>
      <c r="C498" t="b">
        <v>1</v>
      </c>
      <c r="D498">
        <v>8060</v>
      </c>
      <c r="E498">
        <v>8129</v>
      </c>
      <c r="F498">
        <v>24</v>
      </c>
      <c r="G498">
        <v>18.666665999999999</v>
      </c>
      <c r="H498">
        <v>1.2857144</v>
      </c>
      <c r="I498">
        <v>-0.28571433000000002</v>
      </c>
      <c r="J498">
        <v>0.4375</v>
      </c>
    </row>
    <row r="499" spans="1:10" x14ac:dyDescent="0.3">
      <c r="A499">
        <v>497</v>
      </c>
      <c r="B499">
        <v>7953</v>
      </c>
      <c r="C499" t="b">
        <v>1</v>
      </c>
      <c r="D499">
        <v>8060</v>
      </c>
      <c r="E499">
        <v>8129</v>
      </c>
      <c r="F499">
        <v>24</v>
      </c>
      <c r="G499">
        <v>18.666665999999999</v>
      </c>
      <c r="H499">
        <v>1.2857144</v>
      </c>
      <c r="I499">
        <v>-0.28571433000000002</v>
      </c>
      <c r="J499">
        <v>0.4375</v>
      </c>
    </row>
    <row r="500" spans="1:10" x14ac:dyDescent="0.3">
      <c r="A500">
        <v>498</v>
      </c>
      <c r="B500">
        <v>7969</v>
      </c>
      <c r="C500" t="b">
        <v>1</v>
      </c>
      <c r="D500">
        <v>8060</v>
      </c>
      <c r="E500">
        <v>8134</v>
      </c>
      <c r="F500">
        <v>24</v>
      </c>
      <c r="G500">
        <v>18.666665999999999</v>
      </c>
      <c r="H500">
        <v>1.2857144</v>
      </c>
      <c r="I500">
        <v>-0.28571433000000002</v>
      </c>
      <c r="J500">
        <v>0.4375</v>
      </c>
    </row>
    <row r="501" spans="1:10" x14ac:dyDescent="0.3">
      <c r="A501">
        <v>499</v>
      </c>
      <c r="B501">
        <v>7985</v>
      </c>
      <c r="C501" t="b">
        <v>1</v>
      </c>
      <c r="D501">
        <v>8060</v>
      </c>
      <c r="E501">
        <v>8134</v>
      </c>
      <c r="F501">
        <v>23.666665999999999</v>
      </c>
      <c r="G501">
        <v>18.666665999999999</v>
      </c>
      <c r="H501">
        <v>1.2678571999999999</v>
      </c>
      <c r="I501">
        <v>-0.26785715999999998</v>
      </c>
      <c r="J501">
        <v>0.44094487999999998</v>
      </c>
    </row>
    <row r="502" spans="1:10" x14ac:dyDescent="0.3">
      <c r="A502">
        <v>500</v>
      </c>
      <c r="B502">
        <v>8001</v>
      </c>
      <c r="C502" t="b">
        <v>1</v>
      </c>
      <c r="D502">
        <v>8065</v>
      </c>
      <c r="E502">
        <v>8134</v>
      </c>
      <c r="F502">
        <v>23.333334000000001</v>
      </c>
      <c r="G502">
        <v>18.666665999999999</v>
      </c>
      <c r="H502">
        <v>1.2500001000000001</v>
      </c>
      <c r="I502">
        <v>-0.2500001</v>
      </c>
      <c r="J502">
        <v>0.44444442000000001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2C1D-A770-4468-9499-FFAD38A53C36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19</v>
      </c>
      <c r="C3" t="b">
        <v>1</v>
      </c>
      <c r="D3">
        <v>8042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35</v>
      </c>
      <c r="C4" t="b">
        <v>1</v>
      </c>
      <c r="D4">
        <v>8048</v>
      </c>
      <c r="E4">
        <v>8123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51</v>
      </c>
      <c r="C5" t="b">
        <v>1</v>
      </c>
      <c r="D5">
        <v>8048</v>
      </c>
      <c r="E5">
        <v>8123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67</v>
      </c>
      <c r="C6" t="b">
        <v>1</v>
      </c>
      <c r="D6">
        <v>8048</v>
      </c>
      <c r="E6">
        <v>8123</v>
      </c>
      <c r="F6">
        <v>8</v>
      </c>
      <c r="G6">
        <v>8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83</v>
      </c>
      <c r="C7" t="b">
        <v>1</v>
      </c>
      <c r="D7">
        <v>8048</v>
      </c>
      <c r="E7">
        <v>8123</v>
      </c>
      <c r="F7">
        <v>8</v>
      </c>
      <c r="G7">
        <v>8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99</v>
      </c>
      <c r="C8" t="b">
        <v>1</v>
      </c>
      <c r="D8">
        <v>8048</v>
      </c>
      <c r="E8">
        <v>8123</v>
      </c>
      <c r="F8">
        <v>8</v>
      </c>
      <c r="G8">
        <v>8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115</v>
      </c>
      <c r="C9" t="b">
        <v>1</v>
      </c>
      <c r="D9">
        <v>8048</v>
      </c>
      <c r="E9">
        <v>8123</v>
      </c>
      <c r="F9">
        <v>8</v>
      </c>
      <c r="G9">
        <v>8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130</v>
      </c>
      <c r="C10" t="b">
        <v>1</v>
      </c>
      <c r="D10">
        <v>8048</v>
      </c>
      <c r="E10">
        <v>8123</v>
      </c>
      <c r="F10">
        <v>8</v>
      </c>
      <c r="G10">
        <v>8</v>
      </c>
      <c r="H10">
        <v>1</v>
      </c>
      <c r="I10">
        <v>0</v>
      </c>
      <c r="J10">
        <v>0.5</v>
      </c>
    </row>
    <row r="11" spans="1:10" x14ac:dyDescent="0.3">
      <c r="A11">
        <v>9</v>
      </c>
      <c r="B11">
        <v>147</v>
      </c>
      <c r="C11" t="b">
        <v>1</v>
      </c>
      <c r="D11">
        <v>8048</v>
      </c>
      <c r="E11">
        <v>8123</v>
      </c>
      <c r="F11">
        <v>8</v>
      </c>
      <c r="G11">
        <v>8</v>
      </c>
      <c r="H11">
        <v>1</v>
      </c>
      <c r="I11">
        <v>0</v>
      </c>
      <c r="J11">
        <v>0.5</v>
      </c>
    </row>
    <row r="12" spans="1:10" x14ac:dyDescent="0.3">
      <c r="A12">
        <v>10</v>
      </c>
      <c r="B12">
        <v>162</v>
      </c>
      <c r="C12" t="b">
        <v>1</v>
      </c>
      <c r="D12">
        <v>8048</v>
      </c>
      <c r="E12">
        <v>8123</v>
      </c>
      <c r="F12">
        <v>8</v>
      </c>
      <c r="G12">
        <v>8</v>
      </c>
      <c r="H12">
        <v>1</v>
      </c>
      <c r="I12">
        <v>0</v>
      </c>
      <c r="J12">
        <v>0.5</v>
      </c>
    </row>
    <row r="13" spans="1:10" x14ac:dyDescent="0.3">
      <c r="A13">
        <v>11</v>
      </c>
      <c r="B13">
        <v>178</v>
      </c>
      <c r="C13" t="b">
        <v>1</v>
      </c>
      <c r="D13">
        <v>8048</v>
      </c>
      <c r="E13">
        <v>8123</v>
      </c>
      <c r="F13">
        <v>8</v>
      </c>
      <c r="G13">
        <v>8</v>
      </c>
      <c r="H13">
        <v>1</v>
      </c>
      <c r="I13">
        <v>0</v>
      </c>
      <c r="J13">
        <v>0.5</v>
      </c>
    </row>
    <row r="14" spans="1:10" x14ac:dyDescent="0.3">
      <c r="A14">
        <v>12</v>
      </c>
      <c r="B14">
        <v>194</v>
      </c>
      <c r="C14" t="b">
        <v>1</v>
      </c>
      <c r="D14">
        <v>8048</v>
      </c>
      <c r="E14">
        <v>8123</v>
      </c>
      <c r="F14">
        <v>8</v>
      </c>
      <c r="G14">
        <v>8</v>
      </c>
      <c r="H14">
        <v>1</v>
      </c>
      <c r="I14">
        <v>0</v>
      </c>
      <c r="J14">
        <v>0.5</v>
      </c>
    </row>
    <row r="15" spans="1:10" x14ac:dyDescent="0.3">
      <c r="A15">
        <v>13</v>
      </c>
      <c r="B15">
        <v>210</v>
      </c>
      <c r="C15" t="b">
        <v>1</v>
      </c>
      <c r="D15">
        <v>8048</v>
      </c>
      <c r="E15">
        <v>8123</v>
      </c>
      <c r="F15">
        <v>8</v>
      </c>
      <c r="G15">
        <v>8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226</v>
      </c>
      <c r="C16" t="b">
        <v>1</v>
      </c>
      <c r="D16">
        <v>8048</v>
      </c>
      <c r="E16">
        <v>8123</v>
      </c>
      <c r="F16">
        <v>8</v>
      </c>
      <c r="G16">
        <v>8</v>
      </c>
      <c r="H16">
        <v>1</v>
      </c>
      <c r="I16">
        <v>0</v>
      </c>
      <c r="J16">
        <v>0.5</v>
      </c>
    </row>
    <row r="17" spans="1:10" x14ac:dyDescent="0.3">
      <c r="A17">
        <v>15</v>
      </c>
      <c r="B17">
        <v>242</v>
      </c>
      <c r="C17" t="b">
        <v>1</v>
      </c>
      <c r="D17">
        <v>8048</v>
      </c>
      <c r="E17">
        <v>8123</v>
      </c>
      <c r="F17">
        <v>8</v>
      </c>
      <c r="G17">
        <v>8</v>
      </c>
      <c r="H17">
        <v>1</v>
      </c>
      <c r="I17">
        <v>0</v>
      </c>
      <c r="J17">
        <v>0.5</v>
      </c>
    </row>
    <row r="18" spans="1:10" x14ac:dyDescent="0.3">
      <c r="A18">
        <v>16</v>
      </c>
      <c r="B18">
        <v>258</v>
      </c>
      <c r="C18" t="b">
        <v>1</v>
      </c>
      <c r="D18">
        <v>8048</v>
      </c>
      <c r="E18">
        <v>8117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274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290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306</v>
      </c>
      <c r="C21" t="b">
        <v>1</v>
      </c>
      <c r="D21">
        <v>8048</v>
      </c>
      <c r="E21">
        <v>8123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322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338</v>
      </c>
      <c r="C23" t="b">
        <v>1</v>
      </c>
      <c r="D23">
        <v>8042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353</v>
      </c>
      <c r="C24" t="b">
        <v>1</v>
      </c>
      <c r="D24">
        <v>8048</v>
      </c>
      <c r="E24">
        <v>8117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369</v>
      </c>
      <c r="C25" t="b">
        <v>1</v>
      </c>
      <c r="D25">
        <v>8048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385</v>
      </c>
      <c r="C26" t="b">
        <v>1</v>
      </c>
      <c r="D26">
        <v>8048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401</v>
      </c>
      <c r="C27" t="b">
        <v>1</v>
      </c>
      <c r="D27">
        <v>8054</v>
      </c>
      <c r="E27">
        <v>8123</v>
      </c>
      <c r="F27">
        <v>8</v>
      </c>
      <c r="G27">
        <v>8</v>
      </c>
      <c r="H27">
        <v>1</v>
      </c>
      <c r="I27">
        <v>0</v>
      </c>
      <c r="J27">
        <v>0.5</v>
      </c>
    </row>
    <row r="28" spans="1:10" x14ac:dyDescent="0.3">
      <c r="A28">
        <v>26</v>
      </c>
      <c r="B28">
        <v>417</v>
      </c>
      <c r="C28" t="b">
        <v>1</v>
      </c>
      <c r="D28">
        <v>8048</v>
      </c>
      <c r="E28">
        <v>8117</v>
      </c>
      <c r="F28">
        <v>8</v>
      </c>
      <c r="G28">
        <v>8</v>
      </c>
      <c r="H28">
        <v>1</v>
      </c>
      <c r="I28">
        <v>0</v>
      </c>
      <c r="J28">
        <v>0.5</v>
      </c>
    </row>
    <row r="29" spans="1:10" x14ac:dyDescent="0.3">
      <c r="A29">
        <v>27</v>
      </c>
      <c r="B29">
        <v>432</v>
      </c>
      <c r="C29" t="b">
        <v>1</v>
      </c>
      <c r="D29">
        <v>8048</v>
      </c>
      <c r="E29">
        <v>8123</v>
      </c>
      <c r="F29">
        <v>8</v>
      </c>
      <c r="G29">
        <v>8</v>
      </c>
      <c r="H29">
        <v>1</v>
      </c>
      <c r="I29">
        <v>0</v>
      </c>
      <c r="J29">
        <v>0.5</v>
      </c>
    </row>
    <row r="30" spans="1:10" x14ac:dyDescent="0.3">
      <c r="A30">
        <v>28</v>
      </c>
      <c r="B30">
        <v>448</v>
      </c>
      <c r="C30" t="b">
        <v>1</v>
      </c>
      <c r="D30">
        <v>8048</v>
      </c>
      <c r="E30">
        <v>8123</v>
      </c>
      <c r="F30">
        <v>8</v>
      </c>
      <c r="G30">
        <v>8</v>
      </c>
      <c r="H30">
        <v>1</v>
      </c>
      <c r="I30">
        <v>0</v>
      </c>
      <c r="J30">
        <v>0.5</v>
      </c>
    </row>
    <row r="31" spans="1:10" x14ac:dyDescent="0.3">
      <c r="A31">
        <v>29</v>
      </c>
      <c r="B31">
        <v>464</v>
      </c>
      <c r="C31" t="b">
        <v>1</v>
      </c>
      <c r="D31">
        <v>8042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480</v>
      </c>
      <c r="C32" t="b">
        <v>1</v>
      </c>
      <c r="D32">
        <v>8048</v>
      </c>
      <c r="E32">
        <v>8117</v>
      </c>
      <c r="F32">
        <v>8</v>
      </c>
      <c r="G32">
        <v>7.6</v>
      </c>
      <c r="H32">
        <v>1.0526316</v>
      </c>
      <c r="I32">
        <v>-5.2631589999999999E-2</v>
      </c>
      <c r="J32">
        <v>0.48717946000000001</v>
      </c>
    </row>
    <row r="33" spans="1:10" x14ac:dyDescent="0.3">
      <c r="A33">
        <v>31</v>
      </c>
      <c r="B33">
        <v>496</v>
      </c>
      <c r="C33" t="b">
        <v>1</v>
      </c>
      <c r="D33">
        <v>8042</v>
      </c>
      <c r="E33">
        <v>8123</v>
      </c>
      <c r="F33">
        <v>8</v>
      </c>
      <c r="G33">
        <v>7.6</v>
      </c>
      <c r="H33">
        <v>1.0526316</v>
      </c>
      <c r="I33">
        <v>-5.2631589999999999E-2</v>
      </c>
      <c r="J33">
        <v>0.48717946000000001</v>
      </c>
    </row>
    <row r="34" spans="1:10" x14ac:dyDescent="0.3">
      <c r="A34">
        <v>32</v>
      </c>
      <c r="B34">
        <v>512</v>
      </c>
      <c r="C34" t="b">
        <v>1</v>
      </c>
      <c r="D34">
        <v>8048</v>
      </c>
      <c r="E34">
        <v>8123</v>
      </c>
      <c r="F34">
        <v>8</v>
      </c>
      <c r="G34">
        <v>7.6</v>
      </c>
      <c r="H34">
        <v>1.0526316</v>
      </c>
      <c r="I34">
        <v>-5.2631589999999999E-2</v>
      </c>
      <c r="J34">
        <v>0.48717946000000001</v>
      </c>
    </row>
    <row r="35" spans="1:10" x14ac:dyDescent="0.3">
      <c r="A35">
        <v>33</v>
      </c>
      <c r="B35">
        <v>528</v>
      </c>
      <c r="C35" t="b">
        <v>1</v>
      </c>
      <c r="D35">
        <v>8048</v>
      </c>
      <c r="E35">
        <v>8123</v>
      </c>
      <c r="F35">
        <v>8</v>
      </c>
      <c r="G35">
        <v>7.6</v>
      </c>
      <c r="H35">
        <v>1.0526316</v>
      </c>
      <c r="I35">
        <v>-5.2631589999999999E-2</v>
      </c>
      <c r="J35">
        <v>0.48717946000000001</v>
      </c>
    </row>
    <row r="36" spans="1:10" x14ac:dyDescent="0.3">
      <c r="A36">
        <v>34</v>
      </c>
      <c r="B36">
        <v>544</v>
      </c>
      <c r="C36" t="b">
        <v>1</v>
      </c>
      <c r="D36">
        <v>8048</v>
      </c>
      <c r="E36">
        <v>8123</v>
      </c>
      <c r="F36">
        <v>8</v>
      </c>
      <c r="G36">
        <v>7.6</v>
      </c>
      <c r="H36">
        <v>1.0526316</v>
      </c>
      <c r="I36">
        <v>-5.2631589999999999E-2</v>
      </c>
      <c r="J36">
        <v>0.48717946000000001</v>
      </c>
    </row>
    <row r="37" spans="1:10" x14ac:dyDescent="0.3">
      <c r="A37">
        <v>35</v>
      </c>
      <c r="B37">
        <v>560</v>
      </c>
      <c r="C37" t="b">
        <v>1</v>
      </c>
      <c r="D37">
        <v>8042</v>
      </c>
      <c r="E37">
        <v>8123</v>
      </c>
      <c r="F37">
        <v>8</v>
      </c>
      <c r="G37">
        <v>7.6</v>
      </c>
      <c r="H37">
        <v>1.0526316</v>
      </c>
      <c r="I37">
        <v>-5.2631589999999999E-2</v>
      </c>
      <c r="J37">
        <v>0.48717946000000001</v>
      </c>
    </row>
    <row r="38" spans="1:10" x14ac:dyDescent="0.3">
      <c r="A38">
        <v>36</v>
      </c>
      <c r="B38">
        <v>576</v>
      </c>
      <c r="C38" t="b">
        <v>1</v>
      </c>
      <c r="D38">
        <v>8048</v>
      </c>
      <c r="E38">
        <v>8117</v>
      </c>
      <c r="F38">
        <v>8</v>
      </c>
      <c r="G38">
        <v>7.6</v>
      </c>
      <c r="H38">
        <v>1.0526316</v>
      </c>
      <c r="I38">
        <v>-5.2631589999999999E-2</v>
      </c>
      <c r="J38">
        <v>0.48717946000000001</v>
      </c>
    </row>
    <row r="39" spans="1:10" x14ac:dyDescent="0.3">
      <c r="A39">
        <v>37</v>
      </c>
      <c r="B39">
        <v>591</v>
      </c>
      <c r="C39" t="b">
        <v>1</v>
      </c>
      <c r="D39">
        <v>8048</v>
      </c>
      <c r="E39">
        <v>8117</v>
      </c>
      <c r="F39">
        <v>8</v>
      </c>
      <c r="G39">
        <v>7.6</v>
      </c>
      <c r="H39">
        <v>1.0526316</v>
      </c>
      <c r="I39">
        <v>-5.2631589999999999E-2</v>
      </c>
      <c r="J39">
        <v>0.48717946000000001</v>
      </c>
    </row>
    <row r="40" spans="1:10" x14ac:dyDescent="0.3">
      <c r="A40">
        <v>38</v>
      </c>
      <c r="B40">
        <v>607</v>
      </c>
      <c r="C40" t="b">
        <v>1</v>
      </c>
      <c r="D40">
        <v>8054</v>
      </c>
      <c r="E40">
        <v>8129</v>
      </c>
      <c r="F40">
        <v>8</v>
      </c>
      <c r="G40">
        <v>7.6</v>
      </c>
      <c r="H40">
        <v>1.0526316</v>
      </c>
      <c r="I40">
        <v>-5.2631589999999999E-2</v>
      </c>
      <c r="J40">
        <v>0.48717946000000001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8129</v>
      </c>
      <c r="F41">
        <v>8</v>
      </c>
      <c r="G41">
        <v>7.6</v>
      </c>
      <c r="H41">
        <v>1.0526316</v>
      </c>
      <c r="I41">
        <v>-5.2631589999999999E-2</v>
      </c>
      <c r="J41">
        <v>0.48717946000000001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8129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656</v>
      </c>
      <c r="C43" t="b">
        <v>1</v>
      </c>
      <c r="D43">
        <v>8054</v>
      </c>
      <c r="E43">
        <v>8123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671</v>
      </c>
      <c r="C44" t="b">
        <v>1</v>
      </c>
      <c r="D44">
        <v>8048</v>
      </c>
      <c r="E44">
        <v>8123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8123</v>
      </c>
      <c r="F45">
        <v>8</v>
      </c>
      <c r="G45">
        <v>8.8000000000000007</v>
      </c>
      <c r="H45">
        <v>0.90909090000000004</v>
      </c>
      <c r="I45">
        <v>9.0909110000000001E-2</v>
      </c>
      <c r="J45">
        <v>0.52380954999999996</v>
      </c>
    </row>
    <row r="46" spans="1:10" x14ac:dyDescent="0.3">
      <c r="A46">
        <v>44</v>
      </c>
      <c r="B46">
        <v>703</v>
      </c>
      <c r="C46" t="b">
        <v>1</v>
      </c>
      <c r="D46">
        <v>8048</v>
      </c>
      <c r="E46">
        <v>8123</v>
      </c>
      <c r="F46">
        <v>8</v>
      </c>
      <c r="G46">
        <v>8.8000000000000007</v>
      </c>
      <c r="H46">
        <v>0.90909090000000004</v>
      </c>
      <c r="I46">
        <v>9.0909110000000001E-2</v>
      </c>
      <c r="J46">
        <v>0.52380954999999996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8</v>
      </c>
      <c r="G47">
        <v>9.1999999999999993</v>
      </c>
      <c r="H47">
        <v>0.86956524999999996</v>
      </c>
      <c r="I47">
        <v>0.13043477000000001</v>
      </c>
      <c r="J47">
        <v>0.53488369999999996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8123</v>
      </c>
      <c r="F48">
        <v>8</v>
      </c>
      <c r="G48">
        <v>9.1999999999999993</v>
      </c>
      <c r="H48">
        <v>0.86956524999999996</v>
      </c>
      <c r="I48">
        <v>0.13043477000000001</v>
      </c>
      <c r="J48">
        <v>0.53488369999999996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8123</v>
      </c>
      <c r="F49">
        <v>8</v>
      </c>
      <c r="G49">
        <v>9.1999999999999993</v>
      </c>
      <c r="H49">
        <v>0.86956524999999996</v>
      </c>
      <c r="I49">
        <v>0.13043477000000001</v>
      </c>
      <c r="J49">
        <v>0.53488369999999996</v>
      </c>
    </row>
    <row r="50" spans="1:10" x14ac:dyDescent="0.3">
      <c r="A50">
        <v>48</v>
      </c>
      <c r="B50">
        <v>767</v>
      </c>
      <c r="C50" t="b">
        <v>1</v>
      </c>
      <c r="D50">
        <v>8042</v>
      </c>
      <c r="E50">
        <v>8117</v>
      </c>
      <c r="F50">
        <v>8</v>
      </c>
      <c r="G50">
        <v>9.1999999999999993</v>
      </c>
      <c r="H50">
        <v>0.86956524999999996</v>
      </c>
      <c r="I50">
        <v>0.13043477000000001</v>
      </c>
      <c r="J50">
        <v>0.53488369999999996</v>
      </c>
    </row>
    <row r="51" spans="1:10" x14ac:dyDescent="0.3">
      <c r="A51">
        <v>49</v>
      </c>
      <c r="B51">
        <v>783</v>
      </c>
      <c r="C51" t="b">
        <v>1</v>
      </c>
      <c r="D51">
        <v>8054</v>
      </c>
      <c r="E51">
        <v>8123</v>
      </c>
      <c r="F51">
        <v>8</v>
      </c>
      <c r="G51">
        <v>9.1999999999999993</v>
      </c>
      <c r="H51">
        <v>0.86956524999999996</v>
      </c>
      <c r="I51">
        <v>0.13043477000000001</v>
      </c>
      <c r="J51">
        <v>0.53488369999999996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8117</v>
      </c>
      <c r="F52">
        <v>8</v>
      </c>
      <c r="G52">
        <v>9.1999999999999993</v>
      </c>
      <c r="H52">
        <v>0.86956524999999996</v>
      </c>
      <c r="I52">
        <v>0.13043477000000001</v>
      </c>
      <c r="J52">
        <v>0.53488369999999996</v>
      </c>
    </row>
    <row r="53" spans="1:10" x14ac:dyDescent="0.3">
      <c r="A53">
        <v>51</v>
      </c>
      <c r="B53">
        <v>815</v>
      </c>
      <c r="C53" t="b">
        <v>1</v>
      </c>
      <c r="D53">
        <v>8048</v>
      </c>
      <c r="E53">
        <v>8123</v>
      </c>
      <c r="F53">
        <v>8</v>
      </c>
      <c r="G53">
        <v>9.1999999999999993</v>
      </c>
      <c r="H53">
        <v>0.86956524999999996</v>
      </c>
      <c r="I53">
        <v>0.13043477000000001</v>
      </c>
      <c r="J53">
        <v>0.53488369999999996</v>
      </c>
    </row>
    <row r="54" spans="1:10" x14ac:dyDescent="0.3">
      <c r="A54">
        <v>52</v>
      </c>
      <c r="B54">
        <v>830</v>
      </c>
      <c r="C54" t="b">
        <v>1</v>
      </c>
      <c r="D54">
        <v>8042</v>
      </c>
      <c r="E54">
        <v>8123</v>
      </c>
      <c r="F54">
        <v>8</v>
      </c>
      <c r="G54">
        <v>9.1999999999999993</v>
      </c>
      <c r="H54">
        <v>0.86956524999999996</v>
      </c>
      <c r="I54">
        <v>0.13043477000000001</v>
      </c>
      <c r="J54">
        <v>0.53488369999999996</v>
      </c>
    </row>
    <row r="55" spans="1:10" x14ac:dyDescent="0.3">
      <c r="A55">
        <v>53</v>
      </c>
      <c r="B55">
        <v>846</v>
      </c>
      <c r="C55" t="b">
        <v>1</v>
      </c>
      <c r="D55">
        <v>8054</v>
      </c>
      <c r="E55">
        <v>8123</v>
      </c>
      <c r="F55">
        <v>8</v>
      </c>
      <c r="G55">
        <v>9.1999999999999993</v>
      </c>
      <c r="H55">
        <v>0.86956524999999996</v>
      </c>
      <c r="I55">
        <v>0.13043477000000001</v>
      </c>
      <c r="J55">
        <v>0.53488369999999996</v>
      </c>
    </row>
    <row r="56" spans="1:10" x14ac:dyDescent="0.3">
      <c r="A56">
        <v>54</v>
      </c>
      <c r="B56">
        <v>862</v>
      </c>
      <c r="C56" t="b">
        <v>1</v>
      </c>
      <c r="D56">
        <v>8048</v>
      </c>
      <c r="E56">
        <v>8123</v>
      </c>
      <c r="F56">
        <v>8</v>
      </c>
      <c r="G56">
        <v>9.1999999999999993</v>
      </c>
      <c r="H56">
        <v>0.86956524999999996</v>
      </c>
      <c r="I56">
        <v>0.13043477000000001</v>
      </c>
      <c r="J56">
        <v>0.53488369999999996</v>
      </c>
    </row>
    <row r="57" spans="1:10" x14ac:dyDescent="0.3">
      <c r="A57">
        <v>55</v>
      </c>
      <c r="B57">
        <v>878</v>
      </c>
      <c r="C57" t="b">
        <v>1</v>
      </c>
      <c r="D57">
        <v>8042</v>
      </c>
      <c r="E57">
        <v>8123</v>
      </c>
      <c r="F57">
        <v>8</v>
      </c>
      <c r="G57">
        <v>8.8000000000000007</v>
      </c>
      <c r="H57">
        <v>0.90909090000000004</v>
      </c>
      <c r="I57">
        <v>9.0909110000000001E-2</v>
      </c>
      <c r="J57">
        <v>0.52380954999999996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8117</v>
      </c>
      <c r="F58">
        <v>8</v>
      </c>
      <c r="G58">
        <v>8.4</v>
      </c>
      <c r="H58">
        <v>0.95238100000000003</v>
      </c>
      <c r="I58">
        <v>4.7619003999999999E-2</v>
      </c>
      <c r="J58">
        <v>0.51219510000000001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8123</v>
      </c>
      <c r="F59">
        <v>8</v>
      </c>
      <c r="G59">
        <v>8</v>
      </c>
      <c r="H59">
        <v>1</v>
      </c>
      <c r="I59">
        <v>0</v>
      </c>
      <c r="J59">
        <v>0.5</v>
      </c>
    </row>
    <row r="60" spans="1:10" x14ac:dyDescent="0.3">
      <c r="A60">
        <v>58</v>
      </c>
      <c r="B60">
        <v>925</v>
      </c>
      <c r="C60" t="b">
        <v>1</v>
      </c>
      <c r="D60">
        <v>8048</v>
      </c>
      <c r="E60">
        <v>8123</v>
      </c>
      <c r="F60">
        <v>8</v>
      </c>
      <c r="G60">
        <v>8</v>
      </c>
      <c r="H60">
        <v>1</v>
      </c>
      <c r="I60">
        <v>0</v>
      </c>
      <c r="J60">
        <v>0.5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8117</v>
      </c>
      <c r="F61">
        <v>8</v>
      </c>
      <c r="G61">
        <v>8</v>
      </c>
      <c r="H61">
        <v>1</v>
      </c>
      <c r="I61">
        <v>0</v>
      </c>
      <c r="J61">
        <v>0.5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8117</v>
      </c>
      <c r="F62">
        <v>8</v>
      </c>
      <c r="G62">
        <v>7.6</v>
      </c>
      <c r="H62">
        <v>1.0526316</v>
      </c>
      <c r="I62">
        <v>-5.2631589999999999E-2</v>
      </c>
      <c r="J62">
        <v>0.48717946000000001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7.6</v>
      </c>
      <c r="H63">
        <v>1.0526316</v>
      </c>
      <c r="I63">
        <v>-5.2631589999999999E-2</v>
      </c>
      <c r="J63">
        <v>0.48717946000000001</v>
      </c>
    </row>
    <row r="64" spans="1:10" x14ac:dyDescent="0.3">
      <c r="A64">
        <v>62</v>
      </c>
      <c r="B64">
        <v>989</v>
      </c>
      <c r="C64" t="b">
        <v>1</v>
      </c>
      <c r="D64">
        <v>8048</v>
      </c>
      <c r="E64">
        <v>8123</v>
      </c>
      <c r="F64">
        <v>8</v>
      </c>
      <c r="G64">
        <v>7.6</v>
      </c>
      <c r="H64">
        <v>1.0526316</v>
      </c>
      <c r="I64">
        <v>-5.2631589999999999E-2</v>
      </c>
      <c r="J64">
        <v>0.48717946000000001</v>
      </c>
    </row>
    <row r="65" spans="1:10" x14ac:dyDescent="0.3">
      <c r="A65">
        <v>63</v>
      </c>
      <c r="B65">
        <v>1006</v>
      </c>
      <c r="C65" t="b">
        <v>1</v>
      </c>
      <c r="D65">
        <v>8048</v>
      </c>
      <c r="E65">
        <v>8117</v>
      </c>
      <c r="F65">
        <v>8</v>
      </c>
      <c r="G65">
        <v>7.2</v>
      </c>
      <c r="H65">
        <v>1.1111112000000001</v>
      </c>
      <c r="I65">
        <v>-0.11111114</v>
      </c>
      <c r="J65">
        <v>0.4736842</v>
      </c>
    </row>
    <row r="66" spans="1:10" x14ac:dyDescent="0.3">
      <c r="A66">
        <v>64</v>
      </c>
      <c r="B66">
        <v>1021</v>
      </c>
      <c r="C66" t="b">
        <v>1</v>
      </c>
      <c r="D66">
        <v>8048</v>
      </c>
      <c r="E66">
        <v>8123</v>
      </c>
      <c r="F66">
        <v>8</v>
      </c>
      <c r="G66">
        <v>7.2</v>
      </c>
      <c r="H66">
        <v>1.1111112000000001</v>
      </c>
      <c r="I66">
        <v>-0.11111114</v>
      </c>
      <c r="J66">
        <v>0.4736842</v>
      </c>
    </row>
    <row r="67" spans="1:10" x14ac:dyDescent="0.3">
      <c r="A67">
        <v>65</v>
      </c>
      <c r="B67">
        <v>1037</v>
      </c>
      <c r="C67" t="b">
        <v>1</v>
      </c>
      <c r="D67">
        <v>8048</v>
      </c>
      <c r="E67">
        <v>8123</v>
      </c>
      <c r="F67">
        <v>8</v>
      </c>
      <c r="G67">
        <v>7.2</v>
      </c>
      <c r="H67">
        <v>1.1111112000000001</v>
      </c>
      <c r="I67">
        <v>-0.11111114</v>
      </c>
      <c r="J67">
        <v>0.4736842</v>
      </c>
    </row>
    <row r="68" spans="1:10" x14ac:dyDescent="0.3">
      <c r="A68">
        <v>66</v>
      </c>
      <c r="B68">
        <v>1053</v>
      </c>
      <c r="C68" t="b">
        <v>1</v>
      </c>
      <c r="D68">
        <v>8048</v>
      </c>
      <c r="E68">
        <v>8117</v>
      </c>
      <c r="F68">
        <v>8</v>
      </c>
      <c r="G68">
        <v>7.2</v>
      </c>
      <c r="H68">
        <v>1.1111112000000001</v>
      </c>
      <c r="I68">
        <v>-0.11111114</v>
      </c>
      <c r="J68">
        <v>0.4736842</v>
      </c>
    </row>
    <row r="69" spans="1:10" x14ac:dyDescent="0.3">
      <c r="A69">
        <v>67</v>
      </c>
      <c r="B69">
        <v>1069</v>
      </c>
      <c r="C69" t="b">
        <v>1</v>
      </c>
      <c r="D69">
        <v>8048</v>
      </c>
      <c r="E69">
        <v>8123</v>
      </c>
      <c r="F69">
        <v>8</v>
      </c>
      <c r="G69">
        <v>7.2</v>
      </c>
      <c r="H69">
        <v>1.1111112000000001</v>
      </c>
      <c r="I69">
        <v>-0.11111114</v>
      </c>
      <c r="J69">
        <v>0.4736842</v>
      </c>
    </row>
    <row r="70" spans="1:10" x14ac:dyDescent="0.3">
      <c r="A70">
        <v>68</v>
      </c>
      <c r="B70">
        <v>1085</v>
      </c>
      <c r="C70" t="b">
        <v>1</v>
      </c>
      <c r="D70">
        <v>8048</v>
      </c>
      <c r="E70">
        <v>8123</v>
      </c>
      <c r="F70">
        <v>8</v>
      </c>
      <c r="G70">
        <v>7.2</v>
      </c>
      <c r="H70">
        <v>1.1111112000000001</v>
      </c>
      <c r="I70">
        <v>-0.11111114</v>
      </c>
      <c r="J70">
        <v>0.4736842</v>
      </c>
    </row>
    <row r="71" spans="1:10" x14ac:dyDescent="0.3">
      <c r="A71">
        <v>69</v>
      </c>
      <c r="B71">
        <v>1100</v>
      </c>
      <c r="C71" t="b">
        <v>1</v>
      </c>
      <c r="D71">
        <v>8048</v>
      </c>
      <c r="E71">
        <v>8129</v>
      </c>
      <c r="F71">
        <v>8</v>
      </c>
      <c r="G71">
        <v>7.2</v>
      </c>
      <c r="H71">
        <v>1.1111112000000001</v>
      </c>
      <c r="I71">
        <v>-0.11111114</v>
      </c>
      <c r="J71">
        <v>0.4736842</v>
      </c>
    </row>
    <row r="72" spans="1:10" x14ac:dyDescent="0.3">
      <c r="A72">
        <v>70</v>
      </c>
      <c r="B72">
        <v>1116</v>
      </c>
      <c r="C72" t="b">
        <v>1</v>
      </c>
      <c r="D72">
        <v>8048</v>
      </c>
      <c r="E72">
        <v>8129</v>
      </c>
      <c r="F72">
        <v>8</v>
      </c>
      <c r="G72">
        <v>7.2</v>
      </c>
      <c r="H72">
        <v>1.1111112000000001</v>
      </c>
      <c r="I72">
        <v>-0.11111114</v>
      </c>
      <c r="J72">
        <v>0.4736842</v>
      </c>
    </row>
    <row r="73" spans="1:10" x14ac:dyDescent="0.3">
      <c r="A73">
        <v>71</v>
      </c>
      <c r="B73">
        <v>1132</v>
      </c>
      <c r="C73" t="b">
        <v>1</v>
      </c>
      <c r="D73">
        <v>8048</v>
      </c>
      <c r="E73">
        <v>8129</v>
      </c>
      <c r="F73">
        <v>8</v>
      </c>
      <c r="G73">
        <v>7.6</v>
      </c>
      <c r="H73">
        <v>1.0526316</v>
      </c>
      <c r="I73">
        <v>-5.2631589999999999E-2</v>
      </c>
      <c r="J73">
        <v>0.48717946000000001</v>
      </c>
    </row>
    <row r="74" spans="1:10" x14ac:dyDescent="0.3">
      <c r="A74">
        <v>72</v>
      </c>
      <c r="B74">
        <v>1148</v>
      </c>
      <c r="C74" t="b">
        <v>1</v>
      </c>
      <c r="D74">
        <v>8048</v>
      </c>
      <c r="E74">
        <v>8129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1164</v>
      </c>
      <c r="C75" t="b">
        <v>1</v>
      </c>
      <c r="D75">
        <v>8048</v>
      </c>
      <c r="E75">
        <v>8129</v>
      </c>
      <c r="F75">
        <v>8</v>
      </c>
      <c r="G75">
        <v>8.4</v>
      </c>
      <c r="H75">
        <v>0.95238100000000003</v>
      </c>
      <c r="I75">
        <v>4.7619003999999999E-2</v>
      </c>
      <c r="J75">
        <v>0.51219510000000001</v>
      </c>
    </row>
    <row r="76" spans="1:10" x14ac:dyDescent="0.3">
      <c r="A76">
        <v>74</v>
      </c>
      <c r="B76">
        <v>1180</v>
      </c>
      <c r="C76" t="b">
        <v>1</v>
      </c>
      <c r="D76">
        <v>8048</v>
      </c>
      <c r="E76">
        <v>8129</v>
      </c>
      <c r="F76">
        <v>8</v>
      </c>
      <c r="G76">
        <v>8.8000000000000007</v>
      </c>
      <c r="H76">
        <v>0.90909090000000004</v>
      </c>
      <c r="I76">
        <v>9.0909110000000001E-2</v>
      </c>
      <c r="J76">
        <v>0.52380954999999996</v>
      </c>
    </row>
    <row r="77" spans="1:10" x14ac:dyDescent="0.3">
      <c r="A77">
        <v>75</v>
      </c>
      <c r="B77">
        <v>1196</v>
      </c>
      <c r="C77" t="b">
        <v>1</v>
      </c>
      <c r="D77">
        <v>8048</v>
      </c>
      <c r="E77">
        <v>8123</v>
      </c>
      <c r="F77">
        <v>8</v>
      </c>
      <c r="G77">
        <v>9.6</v>
      </c>
      <c r="H77">
        <v>0.83333330000000005</v>
      </c>
      <c r="I77">
        <v>0.1666667</v>
      </c>
      <c r="J77">
        <v>0.54545456000000003</v>
      </c>
    </row>
    <row r="78" spans="1:10" x14ac:dyDescent="0.3">
      <c r="A78">
        <v>76</v>
      </c>
      <c r="B78">
        <v>1211</v>
      </c>
      <c r="C78" t="b">
        <v>1</v>
      </c>
      <c r="D78">
        <v>8048</v>
      </c>
      <c r="E78">
        <v>8123</v>
      </c>
      <c r="F78">
        <v>8</v>
      </c>
      <c r="G78">
        <v>10</v>
      </c>
      <c r="H78">
        <v>0.8</v>
      </c>
      <c r="I78">
        <v>0.2</v>
      </c>
      <c r="J78">
        <v>0.55555560000000004</v>
      </c>
    </row>
    <row r="79" spans="1:10" x14ac:dyDescent="0.3">
      <c r="A79">
        <v>77</v>
      </c>
      <c r="B79">
        <v>1227</v>
      </c>
      <c r="C79" t="b">
        <v>1</v>
      </c>
      <c r="D79">
        <v>8048</v>
      </c>
      <c r="E79">
        <v>8123</v>
      </c>
      <c r="F79">
        <v>8</v>
      </c>
      <c r="G79">
        <v>10</v>
      </c>
      <c r="H79">
        <v>0.8</v>
      </c>
      <c r="I79">
        <v>0.2</v>
      </c>
      <c r="J79">
        <v>0.55555560000000004</v>
      </c>
    </row>
    <row r="80" spans="1:10" x14ac:dyDescent="0.3">
      <c r="A80">
        <v>78</v>
      </c>
      <c r="B80">
        <v>1243</v>
      </c>
      <c r="C80" t="b">
        <v>1</v>
      </c>
      <c r="D80">
        <v>8054</v>
      </c>
      <c r="E80">
        <v>8123</v>
      </c>
      <c r="F80">
        <v>8</v>
      </c>
      <c r="G80">
        <v>10.4</v>
      </c>
      <c r="H80">
        <v>0.76923079999999999</v>
      </c>
      <c r="I80">
        <v>0.23076920000000001</v>
      </c>
      <c r="J80">
        <v>0.56521739999999998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10.4</v>
      </c>
      <c r="H81">
        <v>0.76923079999999999</v>
      </c>
      <c r="I81">
        <v>0.23076920000000001</v>
      </c>
      <c r="J81">
        <v>0.56521739999999998</v>
      </c>
    </row>
    <row r="82" spans="1:10" x14ac:dyDescent="0.3">
      <c r="A82">
        <v>80</v>
      </c>
      <c r="B82">
        <v>1277</v>
      </c>
      <c r="C82" t="b">
        <v>1</v>
      </c>
      <c r="D82">
        <v>8048</v>
      </c>
      <c r="E82">
        <v>8117</v>
      </c>
      <c r="F82">
        <v>8</v>
      </c>
      <c r="G82">
        <v>10.4</v>
      </c>
      <c r="H82">
        <v>0.76923079999999999</v>
      </c>
      <c r="I82">
        <v>0.23076920000000001</v>
      </c>
      <c r="J82">
        <v>0.56521739999999998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10.4</v>
      </c>
      <c r="H83">
        <v>0.76923079999999999</v>
      </c>
      <c r="I83">
        <v>0.23076920000000001</v>
      </c>
      <c r="J83">
        <v>0.56521739999999998</v>
      </c>
    </row>
    <row r="84" spans="1:10" x14ac:dyDescent="0.3">
      <c r="A84">
        <v>82</v>
      </c>
      <c r="B84">
        <v>1308</v>
      </c>
      <c r="C84" t="b">
        <v>1</v>
      </c>
      <c r="D84">
        <v>8048</v>
      </c>
      <c r="E84">
        <v>8123</v>
      </c>
      <c r="F84">
        <v>8</v>
      </c>
      <c r="G84">
        <v>10.4</v>
      </c>
      <c r="H84">
        <v>0.76923079999999999</v>
      </c>
      <c r="I84">
        <v>0.23076920000000001</v>
      </c>
      <c r="J84">
        <v>0.56521739999999998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10.4</v>
      </c>
      <c r="H85">
        <v>0.76923079999999999</v>
      </c>
      <c r="I85">
        <v>0.23076920000000001</v>
      </c>
      <c r="J85">
        <v>0.56521739999999998</v>
      </c>
    </row>
    <row r="86" spans="1:10" x14ac:dyDescent="0.3">
      <c r="A86">
        <v>84</v>
      </c>
      <c r="B86">
        <v>1340</v>
      </c>
      <c r="C86" t="b">
        <v>1</v>
      </c>
      <c r="D86">
        <v>8048</v>
      </c>
      <c r="E86">
        <v>8123</v>
      </c>
      <c r="F86">
        <v>8</v>
      </c>
      <c r="G86">
        <v>10.4</v>
      </c>
      <c r="H86">
        <v>0.76923079999999999</v>
      </c>
      <c r="I86">
        <v>0.23076920000000001</v>
      </c>
      <c r="J86">
        <v>0.56521739999999998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8123</v>
      </c>
      <c r="F87">
        <v>8</v>
      </c>
      <c r="G87">
        <v>10.4</v>
      </c>
      <c r="H87">
        <v>0.76923079999999999</v>
      </c>
      <c r="I87">
        <v>0.23076920000000001</v>
      </c>
      <c r="J87">
        <v>0.56521739999999998</v>
      </c>
    </row>
    <row r="88" spans="1:10" x14ac:dyDescent="0.3">
      <c r="A88">
        <v>86</v>
      </c>
      <c r="B88">
        <v>1371</v>
      </c>
      <c r="C88" t="b">
        <v>1</v>
      </c>
      <c r="D88">
        <v>8048</v>
      </c>
      <c r="E88">
        <v>8123</v>
      </c>
      <c r="F88">
        <v>8</v>
      </c>
      <c r="G88">
        <v>10</v>
      </c>
      <c r="H88">
        <v>0.8</v>
      </c>
      <c r="I88">
        <v>0.2</v>
      </c>
      <c r="J88">
        <v>0.55555560000000004</v>
      </c>
    </row>
    <row r="89" spans="1:10" x14ac:dyDescent="0.3">
      <c r="A89">
        <v>87</v>
      </c>
      <c r="B89">
        <v>1387</v>
      </c>
      <c r="C89" t="b">
        <v>1</v>
      </c>
      <c r="D89">
        <v>8048</v>
      </c>
      <c r="E89">
        <v>8123</v>
      </c>
      <c r="F89">
        <v>8</v>
      </c>
      <c r="G89">
        <v>9.6</v>
      </c>
      <c r="H89">
        <v>0.83333330000000005</v>
      </c>
      <c r="I89">
        <v>0.1666667</v>
      </c>
      <c r="J89">
        <v>0.54545456000000003</v>
      </c>
    </row>
    <row r="90" spans="1:10" x14ac:dyDescent="0.3">
      <c r="A90">
        <v>88</v>
      </c>
      <c r="B90">
        <v>1403</v>
      </c>
      <c r="C90" t="b">
        <v>1</v>
      </c>
      <c r="D90">
        <v>8048</v>
      </c>
      <c r="E90">
        <v>8111</v>
      </c>
      <c r="F90">
        <v>8</v>
      </c>
      <c r="G90">
        <v>9.1999999999999993</v>
      </c>
      <c r="H90">
        <v>0.86956524999999996</v>
      </c>
      <c r="I90">
        <v>0.13043477000000001</v>
      </c>
      <c r="J90">
        <v>0.53488369999999996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8117</v>
      </c>
      <c r="F91">
        <v>8</v>
      </c>
      <c r="G91">
        <v>8.8000000000000007</v>
      </c>
      <c r="H91">
        <v>0.90909090000000004</v>
      </c>
      <c r="I91">
        <v>9.0909110000000001E-2</v>
      </c>
      <c r="J91">
        <v>0.52380954999999996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8117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8048</v>
      </c>
      <c r="E93">
        <v>8117</v>
      </c>
      <c r="F93">
        <v>8</v>
      </c>
      <c r="G93">
        <v>7.2</v>
      </c>
      <c r="H93">
        <v>1.1111112000000001</v>
      </c>
      <c r="I93">
        <v>-0.11111114</v>
      </c>
      <c r="J93">
        <v>0.4736842</v>
      </c>
    </row>
    <row r="94" spans="1:10" x14ac:dyDescent="0.3">
      <c r="A94">
        <v>92</v>
      </c>
      <c r="B94">
        <v>1466</v>
      </c>
      <c r="C94" t="b">
        <v>1</v>
      </c>
      <c r="D94">
        <v>8048</v>
      </c>
      <c r="E94">
        <v>8117</v>
      </c>
      <c r="F94">
        <v>8</v>
      </c>
      <c r="G94">
        <v>6.8</v>
      </c>
      <c r="H94">
        <v>1.1764705</v>
      </c>
      <c r="I94">
        <v>-0.17647055</v>
      </c>
      <c r="J94">
        <v>0.45945944999999999</v>
      </c>
    </row>
    <row r="95" spans="1:10" x14ac:dyDescent="0.3">
      <c r="A95">
        <v>93</v>
      </c>
      <c r="B95">
        <v>1482</v>
      </c>
      <c r="C95" t="b">
        <v>1</v>
      </c>
      <c r="D95">
        <v>8042</v>
      </c>
      <c r="E95">
        <v>8117</v>
      </c>
      <c r="F95">
        <v>8</v>
      </c>
      <c r="G95">
        <v>6.4</v>
      </c>
      <c r="H95">
        <v>1.25</v>
      </c>
      <c r="I95">
        <v>-0.24999999000000001</v>
      </c>
      <c r="J95">
        <v>0.44444447999999998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8</v>
      </c>
      <c r="G97">
        <v>5.6</v>
      </c>
      <c r="H97">
        <v>1.4285715000000001</v>
      </c>
      <c r="I97">
        <v>-0.42857146000000002</v>
      </c>
      <c r="J97">
        <v>0.41176467999999999</v>
      </c>
    </row>
    <row r="98" spans="1:10" x14ac:dyDescent="0.3">
      <c r="A98">
        <v>96</v>
      </c>
      <c r="B98">
        <v>1530</v>
      </c>
      <c r="C98" t="b">
        <v>1</v>
      </c>
      <c r="D98">
        <v>8054</v>
      </c>
      <c r="E98">
        <v>8123</v>
      </c>
      <c r="F98">
        <v>8</v>
      </c>
      <c r="G98">
        <v>5.6</v>
      </c>
      <c r="H98">
        <v>1.4285715000000001</v>
      </c>
      <c r="I98">
        <v>-0.42857146000000002</v>
      </c>
      <c r="J98">
        <v>0.41176467999999999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8</v>
      </c>
      <c r="G99">
        <v>5.6</v>
      </c>
      <c r="H99">
        <v>1.4285715000000001</v>
      </c>
      <c r="I99">
        <v>-0.42857146000000002</v>
      </c>
      <c r="J99">
        <v>0.41176467999999999</v>
      </c>
    </row>
    <row r="100" spans="1:10" x14ac:dyDescent="0.3">
      <c r="A100">
        <v>98</v>
      </c>
      <c r="B100">
        <v>1562</v>
      </c>
      <c r="C100" t="b">
        <v>1</v>
      </c>
      <c r="D100">
        <v>8048</v>
      </c>
      <c r="E100">
        <v>8117</v>
      </c>
      <c r="F100">
        <v>8</v>
      </c>
      <c r="G100">
        <v>5.6</v>
      </c>
      <c r="H100">
        <v>1.4285715000000001</v>
      </c>
      <c r="I100">
        <v>-0.42857146000000002</v>
      </c>
      <c r="J100">
        <v>0.41176467999999999</v>
      </c>
    </row>
    <row r="101" spans="1:10" x14ac:dyDescent="0.3">
      <c r="A101">
        <v>99</v>
      </c>
      <c r="B101">
        <v>1577</v>
      </c>
      <c r="C101" t="b">
        <v>1</v>
      </c>
      <c r="D101">
        <v>8048</v>
      </c>
      <c r="E101">
        <v>8123</v>
      </c>
      <c r="F101">
        <v>8</v>
      </c>
      <c r="G101">
        <v>5.6</v>
      </c>
      <c r="H101">
        <v>1.4285715000000001</v>
      </c>
      <c r="I101">
        <v>-0.42857146000000002</v>
      </c>
      <c r="J101">
        <v>0.41176467999999999</v>
      </c>
    </row>
    <row r="102" spans="1:10" x14ac:dyDescent="0.3">
      <c r="A102">
        <v>100</v>
      </c>
      <c r="B102">
        <v>1593</v>
      </c>
      <c r="C102" t="b">
        <v>1</v>
      </c>
      <c r="D102">
        <v>8048</v>
      </c>
      <c r="E102">
        <v>8123</v>
      </c>
      <c r="F102">
        <v>8</v>
      </c>
      <c r="G102">
        <v>5.6</v>
      </c>
      <c r="H102">
        <v>1.4285715000000001</v>
      </c>
      <c r="I102">
        <v>-0.42857146000000002</v>
      </c>
      <c r="J102">
        <v>0.41176467999999999</v>
      </c>
    </row>
    <row r="103" spans="1:10" x14ac:dyDescent="0.3">
      <c r="A103">
        <v>101</v>
      </c>
      <c r="B103">
        <v>1609</v>
      </c>
      <c r="C103" t="b">
        <v>1</v>
      </c>
      <c r="D103">
        <v>8048</v>
      </c>
      <c r="E103">
        <v>8123</v>
      </c>
      <c r="F103">
        <v>8</v>
      </c>
      <c r="G103">
        <v>5.6</v>
      </c>
      <c r="H103">
        <v>1.4285715000000001</v>
      </c>
      <c r="I103">
        <v>-0.42857146000000002</v>
      </c>
      <c r="J103">
        <v>0.41176467999999999</v>
      </c>
    </row>
    <row r="104" spans="1:10" x14ac:dyDescent="0.3">
      <c r="A104">
        <v>102</v>
      </c>
      <c r="B104">
        <v>1625</v>
      </c>
      <c r="C104" t="b">
        <v>1</v>
      </c>
      <c r="D104">
        <v>8048</v>
      </c>
      <c r="E104">
        <v>8123</v>
      </c>
      <c r="F104">
        <v>8</v>
      </c>
      <c r="G104">
        <v>5.6</v>
      </c>
      <c r="H104">
        <v>1.4285715000000001</v>
      </c>
      <c r="I104">
        <v>-0.42857146000000002</v>
      </c>
      <c r="J104">
        <v>0.41176467999999999</v>
      </c>
    </row>
    <row r="105" spans="1:10" x14ac:dyDescent="0.3">
      <c r="A105">
        <v>103</v>
      </c>
      <c r="B105">
        <v>1640</v>
      </c>
      <c r="C105" t="b">
        <v>1</v>
      </c>
      <c r="D105">
        <v>8042</v>
      </c>
      <c r="E105">
        <v>8123</v>
      </c>
      <c r="F105">
        <v>8</v>
      </c>
      <c r="G105">
        <v>5.6</v>
      </c>
      <c r="H105">
        <v>1.4285715000000001</v>
      </c>
      <c r="I105">
        <v>-0.42857146000000002</v>
      </c>
      <c r="J105">
        <v>0.41176467999999999</v>
      </c>
    </row>
    <row r="106" spans="1:10" x14ac:dyDescent="0.3">
      <c r="A106">
        <v>104</v>
      </c>
      <c r="B106">
        <v>1656</v>
      </c>
      <c r="C106" t="b">
        <v>1</v>
      </c>
      <c r="D106">
        <v>8048</v>
      </c>
      <c r="E106">
        <v>8123</v>
      </c>
      <c r="F106">
        <v>8</v>
      </c>
      <c r="G106">
        <v>5.6</v>
      </c>
      <c r="H106">
        <v>1.4285715000000001</v>
      </c>
      <c r="I106">
        <v>-0.42857146000000002</v>
      </c>
      <c r="J106">
        <v>0.41176467999999999</v>
      </c>
    </row>
    <row r="107" spans="1:10" x14ac:dyDescent="0.3">
      <c r="A107">
        <v>105</v>
      </c>
      <c r="B107">
        <v>1672</v>
      </c>
      <c r="C107" t="b">
        <v>1</v>
      </c>
      <c r="D107">
        <v>8048</v>
      </c>
      <c r="E107">
        <v>8123</v>
      </c>
      <c r="F107">
        <v>8</v>
      </c>
      <c r="G107">
        <v>6</v>
      </c>
      <c r="H107">
        <v>1.3333333999999999</v>
      </c>
      <c r="I107">
        <v>-0.33333333999999998</v>
      </c>
      <c r="J107">
        <v>0.42857142999999998</v>
      </c>
    </row>
    <row r="108" spans="1:10" x14ac:dyDescent="0.3">
      <c r="A108">
        <v>106</v>
      </c>
      <c r="B108">
        <v>1688</v>
      </c>
      <c r="C108" t="b">
        <v>1</v>
      </c>
      <c r="D108">
        <v>8054</v>
      </c>
      <c r="E108">
        <v>8117</v>
      </c>
      <c r="F108">
        <v>8</v>
      </c>
      <c r="G108">
        <v>6.4</v>
      </c>
      <c r="H108">
        <v>1.25</v>
      </c>
      <c r="I108">
        <v>-0.24999999000000001</v>
      </c>
      <c r="J108">
        <v>0.44444447999999998</v>
      </c>
    </row>
    <row r="109" spans="1:10" x14ac:dyDescent="0.3">
      <c r="A109">
        <v>107</v>
      </c>
      <c r="B109">
        <v>1704</v>
      </c>
      <c r="C109" t="b">
        <v>1</v>
      </c>
      <c r="D109">
        <v>8054</v>
      </c>
      <c r="E109">
        <v>8123</v>
      </c>
      <c r="F109">
        <v>8</v>
      </c>
      <c r="G109">
        <v>6.8</v>
      </c>
      <c r="H109">
        <v>1.1764705</v>
      </c>
      <c r="I109">
        <v>-0.17647055</v>
      </c>
      <c r="J109">
        <v>0.45945944999999999</v>
      </c>
    </row>
    <row r="110" spans="1:10" x14ac:dyDescent="0.3">
      <c r="A110">
        <v>108</v>
      </c>
      <c r="B110">
        <v>1719</v>
      </c>
      <c r="C110" t="b">
        <v>1</v>
      </c>
      <c r="D110">
        <v>8054</v>
      </c>
      <c r="E110">
        <v>8123</v>
      </c>
      <c r="F110">
        <v>8.4</v>
      </c>
      <c r="G110">
        <v>7.2</v>
      </c>
      <c r="H110">
        <v>1.1666666000000001</v>
      </c>
      <c r="I110">
        <v>-0.16666664</v>
      </c>
      <c r="J110">
        <v>0.46153845999999998</v>
      </c>
    </row>
    <row r="111" spans="1:10" x14ac:dyDescent="0.3">
      <c r="A111">
        <v>109</v>
      </c>
      <c r="B111">
        <v>1735</v>
      </c>
      <c r="C111" t="b">
        <v>1</v>
      </c>
      <c r="D111">
        <v>8054</v>
      </c>
      <c r="E111">
        <v>8123</v>
      </c>
      <c r="F111">
        <v>8.8000000000000007</v>
      </c>
      <c r="G111">
        <v>7.6</v>
      </c>
      <c r="H111">
        <v>1.1578946999999999</v>
      </c>
      <c r="I111">
        <v>-0.15789478000000001</v>
      </c>
      <c r="J111">
        <v>0.46341463999999999</v>
      </c>
    </row>
    <row r="112" spans="1:10" x14ac:dyDescent="0.3">
      <c r="A112">
        <v>110</v>
      </c>
      <c r="B112">
        <v>1751</v>
      </c>
      <c r="C112" t="b">
        <v>1</v>
      </c>
      <c r="D112">
        <v>8054</v>
      </c>
      <c r="E112">
        <v>8123</v>
      </c>
      <c r="F112">
        <v>9.1999999999999993</v>
      </c>
      <c r="G112">
        <v>8</v>
      </c>
      <c r="H112">
        <v>1.1499999999999999</v>
      </c>
      <c r="I112">
        <v>-0.14999998</v>
      </c>
      <c r="J112">
        <v>0.46511626</v>
      </c>
    </row>
    <row r="113" spans="1:10" x14ac:dyDescent="0.3">
      <c r="A113">
        <v>111</v>
      </c>
      <c r="B113">
        <v>1767</v>
      </c>
      <c r="C113" t="b">
        <v>1</v>
      </c>
      <c r="D113">
        <v>8054</v>
      </c>
      <c r="E113">
        <v>8123</v>
      </c>
      <c r="F113">
        <v>9.6</v>
      </c>
      <c r="G113">
        <v>8</v>
      </c>
      <c r="H113">
        <v>1.2</v>
      </c>
      <c r="I113">
        <v>-0.20000005000000001</v>
      </c>
      <c r="J113">
        <v>0.45454544000000002</v>
      </c>
    </row>
    <row r="114" spans="1:10" x14ac:dyDescent="0.3">
      <c r="A114">
        <v>112</v>
      </c>
      <c r="B114">
        <v>1783</v>
      </c>
      <c r="C114" t="b">
        <v>1</v>
      </c>
      <c r="D114">
        <v>8048</v>
      </c>
      <c r="E114">
        <v>8123</v>
      </c>
      <c r="F114">
        <v>10</v>
      </c>
      <c r="G114">
        <v>8</v>
      </c>
      <c r="H114">
        <v>1.25</v>
      </c>
      <c r="I114">
        <v>-0.25</v>
      </c>
      <c r="J114">
        <v>0.44444444999999999</v>
      </c>
    </row>
    <row r="115" spans="1:10" x14ac:dyDescent="0.3">
      <c r="A115">
        <v>113</v>
      </c>
      <c r="B115">
        <v>1799</v>
      </c>
      <c r="C115" t="b">
        <v>1</v>
      </c>
      <c r="D115">
        <v>8048</v>
      </c>
      <c r="E115">
        <v>8123</v>
      </c>
      <c r="F115">
        <v>10.4</v>
      </c>
      <c r="G115">
        <v>8</v>
      </c>
      <c r="H115">
        <v>1.3</v>
      </c>
      <c r="I115">
        <v>-0.29999995000000002</v>
      </c>
      <c r="J115">
        <v>0.43478262000000001</v>
      </c>
    </row>
    <row r="116" spans="1:10" x14ac:dyDescent="0.3">
      <c r="A116">
        <v>114</v>
      </c>
      <c r="B116">
        <v>1815</v>
      </c>
      <c r="C116" t="b">
        <v>1</v>
      </c>
      <c r="D116">
        <v>8048</v>
      </c>
      <c r="E116">
        <v>8123</v>
      </c>
      <c r="F116">
        <v>10.4</v>
      </c>
      <c r="G116">
        <v>8</v>
      </c>
      <c r="H116">
        <v>1.3</v>
      </c>
      <c r="I116">
        <v>-0.29999995000000002</v>
      </c>
      <c r="J116">
        <v>0.43478262000000001</v>
      </c>
    </row>
    <row r="117" spans="1:10" x14ac:dyDescent="0.3">
      <c r="A117">
        <v>115</v>
      </c>
      <c r="B117">
        <v>1831</v>
      </c>
      <c r="C117" t="b">
        <v>1</v>
      </c>
      <c r="D117">
        <v>8048</v>
      </c>
      <c r="E117">
        <v>8123</v>
      </c>
      <c r="F117">
        <v>10.4</v>
      </c>
      <c r="G117">
        <v>8</v>
      </c>
      <c r="H117">
        <v>1.3</v>
      </c>
      <c r="I117">
        <v>-0.29999995000000002</v>
      </c>
      <c r="J117">
        <v>0.43478262000000001</v>
      </c>
    </row>
    <row r="118" spans="1:10" x14ac:dyDescent="0.3">
      <c r="A118">
        <v>116</v>
      </c>
      <c r="B118">
        <v>1846</v>
      </c>
      <c r="C118" t="b">
        <v>1</v>
      </c>
      <c r="D118">
        <v>8048</v>
      </c>
      <c r="E118">
        <v>8123</v>
      </c>
      <c r="F118">
        <v>10.4</v>
      </c>
      <c r="G118">
        <v>8</v>
      </c>
      <c r="H118">
        <v>1.3</v>
      </c>
      <c r="I118">
        <v>-0.29999995000000002</v>
      </c>
      <c r="J118">
        <v>0.43478262000000001</v>
      </c>
    </row>
    <row r="119" spans="1:10" x14ac:dyDescent="0.3">
      <c r="A119">
        <v>117</v>
      </c>
      <c r="B119">
        <v>1862</v>
      </c>
      <c r="C119" t="b">
        <v>1</v>
      </c>
      <c r="D119">
        <v>8048</v>
      </c>
      <c r="E119">
        <v>8123</v>
      </c>
      <c r="F119">
        <v>10.4</v>
      </c>
      <c r="G119">
        <v>8</v>
      </c>
      <c r="H119">
        <v>1.3</v>
      </c>
      <c r="I119">
        <v>-0.29999995000000002</v>
      </c>
      <c r="J119">
        <v>0.43478262000000001</v>
      </c>
    </row>
    <row r="120" spans="1:10" x14ac:dyDescent="0.3">
      <c r="A120">
        <v>118</v>
      </c>
      <c r="B120">
        <v>1878</v>
      </c>
      <c r="C120" t="b">
        <v>1</v>
      </c>
      <c r="D120">
        <v>8048</v>
      </c>
      <c r="E120">
        <v>8123</v>
      </c>
      <c r="F120">
        <v>10.4</v>
      </c>
      <c r="G120">
        <v>8</v>
      </c>
      <c r="H120">
        <v>1.3</v>
      </c>
      <c r="I120">
        <v>-0.29999995000000002</v>
      </c>
      <c r="J120">
        <v>0.43478262000000001</v>
      </c>
    </row>
    <row r="121" spans="1:10" x14ac:dyDescent="0.3">
      <c r="A121">
        <v>119</v>
      </c>
      <c r="B121">
        <v>1894</v>
      </c>
      <c r="C121" t="b">
        <v>1</v>
      </c>
      <c r="D121">
        <v>8048</v>
      </c>
      <c r="E121">
        <v>8123</v>
      </c>
      <c r="F121">
        <v>10.4</v>
      </c>
      <c r="G121">
        <v>8</v>
      </c>
      <c r="H121">
        <v>1.3</v>
      </c>
      <c r="I121">
        <v>-0.29999995000000002</v>
      </c>
      <c r="J121">
        <v>0.43478262000000001</v>
      </c>
    </row>
    <row r="122" spans="1:10" x14ac:dyDescent="0.3">
      <c r="A122">
        <v>120</v>
      </c>
      <c r="B122">
        <v>1910</v>
      </c>
      <c r="C122" t="b">
        <v>1</v>
      </c>
      <c r="D122">
        <v>8048</v>
      </c>
      <c r="E122">
        <v>8123</v>
      </c>
      <c r="F122">
        <v>10.4</v>
      </c>
      <c r="G122">
        <v>8</v>
      </c>
      <c r="H122">
        <v>1.3</v>
      </c>
      <c r="I122">
        <v>-0.29999995000000002</v>
      </c>
      <c r="J122">
        <v>0.43478262000000001</v>
      </c>
    </row>
    <row r="123" spans="1:10" x14ac:dyDescent="0.3">
      <c r="A123">
        <v>121</v>
      </c>
      <c r="B123">
        <v>1926</v>
      </c>
      <c r="C123" t="b">
        <v>1</v>
      </c>
      <c r="D123">
        <v>8048</v>
      </c>
      <c r="E123">
        <v>8123</v>
      </c>
      <c r="F123">
        <v>10.4</v>
      </c>
      <c r="G123">
        <v>8</v>
      </c>
      <c r="H123">
        <v>1.3</v>
      </c>
      <c r="I123">
        <v>-0.29999995000000002</v>
      </c>
      <c r="J123">
        <v>0.43478262000000001</v>
      </c>
    </row>
    <row r="124" spans="1:10" x14ac:dyDescent="0.3">
      <c r="A124">
        <v>122</v>
      </c>
      <c r="B124">
        <v>1942</v>
      </c>
      <c r="C124" t="b">
        <v>1</v>
      </c>
      <c r="D124">
        <v>8048</v>
      </c>
      <c r="E124">
        <v>8123</v>
      </c>
      <c r="F124">
        <v>10.4</v>
      </c>
      <c r="G124">
        <v>8</v>
      </c>
      <c r="H124">
        <v>1.3</v>
      </c>
      <c r="I124">
        <v>-0.29999995000000002</v>
      </c>
      <c r="J124">
        <v>0.43478262000000001</v>
      </c>
    </row>
    <row r="125" spans="1:10" x14ac:dyDescent="0.3">
      <c r="A125">
        <v>123</v>
      </c>
      <c r="B125">
        <v>1958</v>
      </c>
      <c r="C125" t="b">
        <v>1</v>
      </c>
      <c r="D125">
        <v>8042</v>
      </c>
      <c r="E125">
        <v>8123</v>
      </c>
      <c r="F125">
        <v>10</v>
      </c>
      <c r="G125">
        <v>8</v>
      </c>
      <c r="H125">
        <v>1.25</v>
      </c>
      <c r="I125">
        <v>-0.25</v>
      </c>
      <c r="J125">
        <v>0.44444444999999999</v>
      </c>
    </row>
    <row r="126" spans="1:10" x14ac:dyDescent="0.3">
      <c r="A126">
        <v>124</v>
      </c>
      <c r="B126">
        <v>1974</v>
      </c>
      <c r="C126" t="b">
        <v>1</v>
      </c>
      <c r="D126">
        <v>8048</v>
      </c>
      <c r="E126">
        <v>8123</v>
      </c>
      <c r="F126">
        <v>9.6</v>
      </c>
      <c r="G126">
        <v>8</v>
      </c>
      <c r="H126">
        <v>1.2</v>
      </c>
      <c r="I126">
        <v>-0.20000005000000001</v>
      </c>
      <c r="J126">
        <v>0.45454544000000002</v>
      </c>
    </row>
    <row r="127" spans="1:10" x14ac:dyDescent="0.3">
      <c r="A127">
        <v>125</v>
      </c>
      <c r="B127">
        <v>1990</v>
      </c>
      <c r="C127" t="b">
        <v>1</v>
      </c>
      <c r="D127">
        <v>8048</v>
      </c>
      <c r="E127">
        <v>8123</v>
      </c>
      <c r="F127">
        <v>9.1999999999999993</v>
      </c>
      <c r="G127">
        <v>8</v>
      </c>
      <c r="H127">
        <v>1.1499999999999999</v>
      </c>
      <c r="I127">
        <v>-0.14999998</v>
      </c>
      <c r="J127">
        <v>0.46511626</v>
      </c>
    </row>
    <row r="128" spans="1:10" x14ac:dyDescent="0.3">
      <c r="A128">
        <v>126</v>
      </c>
      <c r="B128">
        <v>2006</v>
      </c>
      <c r="C128" t="b">
        <v>1</v>
      </c>
      <c r="D128">
        <v>8048</v>
      </c>
      <c r="E128">
        <v>8123</v>
      </c>
      <c r="F128">
        <v>8.8000000000000007</v>
      </c>
      <c r="G128">
        <v>8</v>
      </c>
      <c r="H128">
        <v>1.1000000000000001</v>
      </c>
      <c r="I128">
        <v>-0.10000002400000001</v>
      </c>
      <c r="J128">
        <v>0.47619050000000002</v>
      </c>
    </row>
    <row r="129" spans="1:10" x14ac:dyDescent="0.3">
      <c r="A129">
        <v>127</v>
      </c>
      <c r="B129">
        <v>2022</v>
      </c>
      <c r="C129" t="b">
        <v>1</v>
      </c>
      <c r="D129">
        <v>8054</v>
      </c>
      <c r="E129">
        <v>8123</v>
      </c>
      <c r="F129">
        <v>8.4</v>
      </c>
      <c r="G129">
        <v>8</v>
      </c>
      <c r="H129">
        <v>1.05</v>
      </c>
      <c r="I129">
        <v>-4.9999952E-2</v>
      </c>
      <c r="J129">
        <v>0.48780489999999999</v>
      </c>
    </row>
    <row r="130" spans="1:10" x14ac:dyDescent="0.3">
      <c r="A130">
        <v>128</v>
      </c>
      <c r="B130">
        <v>2038</v>
      </c>
      <c r="C130" t="b">
        <v>1</v>
      </c>
      <c r="D130">
        <v>8054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2053</v>
      </c>
      <c r="C131" t="b">
        <v>1</v>
      </c>
      <c r="D131">
        <v>8048</v>
      </c>
      <c r="E131">
        <v>8117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2069</v>
      </c>
      <c r="C132" t="b">
        <v>1</v>
      </c>
      <c r="D132">
        <v>8054</v>
      </c>
      <c r="E132">
        <v>8123</v>
      </c>
      <c r="F132">
        <v>8.4</v>
      </c>
      <c r="G132">
        <v>8</v>
      </c>
      <c r="H132">
        <v>1.05</v>
      </c>
      <c r="I132">
        <v>-4.9999952E-2</v>
      </c>
      <c r="J132">
        <v>0.48780489999999999</v>
      </c>
    </row>
    <row r="133" spans="1:10" x14ac:dyDescent="0.3">
      <c r="A133">
        <v>131</v>
      </c>
      <c r="B133">
        <v>2085</v>
      </c>
      <c r="C133" t="b">
        <v>1</v>
      </c>
      <c r="D133">
        <v>8048</v>
      </c>
      <c r="E133">
        <v>8123</v>
      </c>
      <c r="F133">
        <v>8.8000000000000007</v>
      </c>
      <c r="G133">
        <v>8</v>
      </c>
      <c r="H133">
        <v>1.1000000000000001</v>
      </c>
      <c r="I133">
        <v>-0.10000002400000001</v>
      </c>
      <c r="J133">
        <v>0.47619050000000002</v>
      </c>
    </row>
    <row r="134" spans="1:10" x14ac:dyDescent="0.3">
      <c r="A134">
        <v>132</v>
      </c>
      <c r="B134">
        <v>2101</v>
      </c>
      <c r="C134" t="b">
        <v>1</v>
      </c>
      <c r="D134">
        <v>8042</v>
      </c>
      <c r="E134">
        <v>8123</v>
      </c>
      <c r="F134">
        <v>8.8000000000000007</v>
      </c>
      <c r="G134">
        <v>8</v>
      </c>
      <c r="H134">
        <v>1.1000000000000001</v>
      </c>
      <c r="I134">
        <v>-0.10000002400000001</v>
      </c>
      <c r="J134">
        <v>0.47619050000000002</v>
      </c>
    </row>
    <row r="135" spans="1:10" x14ac:dyDescent="0.3">
      <c r="A135">
        <v>133</v>
      </c>
      <c r="B135">
        <v>2117</v>
      </c>
      <c r="C135" t="b">
        <v>1</v>
      </c>
      <c r="D135">
        <v>8042</v>
      </c>
      <c r="E135">
        <v>8123</v>
      </c>
      <c r="F135">
        <v>8.8000000000000007</v>
      </c>
      <c r="G135">
        <v>8</v>
      </c>
      <c r="H135">
        <v>1.1000000000000001</v>
      </c>
      <c r="I135">
        <v>-0.10000002400000001</v>
      </c>
      <c r="J135">
        <v>0.47619050000000002</v>
      </c>
    </row>
    <row r="136" spans="1:10" x14ac:dyDescent="0.3">
      <c r="A136">
        <v>134</v>
      </c>
      <c r="B136">
        <v>2132</v>
      </c>
      <c r="C136" t="b">
        <v>1</v>
      </c>
      <c r="D136">
        <v>8054</v>
      </c>
      <c r="E136">
        <v>8117</v>
      </c>
      <c r="F136">
        <v>8.8000000000000007</v>
      </c>
      <c r="G136">
        <v>8</v>
      </c>
      <c r="H136">
        <v>1.1000000000000001</v>
      </c>
      <c r="I136">
        <v>-0.10000002400000001</v>
      </c>
      <c r="J136">
        <v>0.47619050000000002</v>
      </c>
    </row>
    <row r="137" spans="1:10" x14ac:dyDescent="0.3">
      <c r="A137">
        <v>135</v>
      </c>
      <c r="B137">
        <v>2148</v>
      </c>
      <c r="C137" t="b">
        <v>1</v>
      </c>
      <c r="D137">
        <v>8048</v>
      </c>
      <c r="E137">
        <v>8123</v>
      </c>
      <c r="F137">
        <v>8.8000000000000007</v>
      </c>
      <c r="G137">
        <v>8</v>
      </c>
      <c r="H137">
        <v>1.1000000000000001</v>
      </c>
      <c r="I137">
        <v>-0.10000002400000001</v>
      </c>
      <c r="J137">
        <v>0.47619050000000002</v>
      </c>
    </row>
    <row r="138" spans="1:10" x14ac:dyDescent="0.3">
      <c r="A138">
        <v>136</v>
      </c>
      <c r="B138">
        <v>2165</v>
      </c>
      <c r="C138" t="b">
        <v>1</v>
      </c>
      <c r="D138">
        <v>8048</v>
      </c>
      <c r="E138">
        <v>8117</v>
      </c>
      <c r="F138">
        <v>8.8000000000000007</v>
      </c>
      <c r="G138">
        <v>8</v>
      </c>
      <c r="H138">
        <v>1.1000000000000001</v>
      </c>
      <c r="I138">
        <v>-0.10000002400000001</v>
      </c>
      <c r="J138">
        <v>0.47619050000000002</v>
      </c>
    </row>
    <row r="139" spans="1:10" x14ac:dyDescent="0.3">
      <c r="A139">
        <v>137</v>
      </c>
      <c r="B139">
        <v>2180</v>
      </c>
      <c r="C139" t="b">
        <v>1</v>
      </c>
      <c r="D139">
        <v>8048</v>
      </c>
      <c r="E139">
        <v>8123</v>
      </c>
      <c r="F139">
        <v>8.8000000000000007</v>
      </c>
      <c r="G139">
        <v>8</v>
      </c>
      <c r="H139">
        <v>1.1000000000000001</v>
      </c>
      <c r="I139">
        <v>-0.10000002400000001</v>
      </c>
      <c r="J139">
        <v>0.47619050000000002</v>
      </c>
    </row>
    <row r="140" spans="1:10" x14ac:dyDescent="0.3">
      <c r="A140">
        <v>138</v>
      </c>
      <c r="B140">
        <v>2197</v>
      </c>
      <c r="C140" t="b">
        <v>1</v>
      </c>
      <c r="D140">
        <v>8048</v>
      </c>
      <c r="E140">
        <v>8123</v>
      </c>
      <c r="F140">
        <v>8.8000000000000007</v>
      </c>
      <c r="G140">
        <v>8</v>
      </c>
      <c r="H140">
        <v>1.1000000000000001</v>
      </c>
      <c r="I140">
        <v>-0.10000002400000001</v>
      </c>
      <c r="J140">
        <v>0.47619050000000002</v>
      </c>
    </row>
    <row r="141" spans="1:10" x14ac:dyDescent="0.3">
      <c r="A141">
        <v>139</v>
      </c>
      <c r="B141">
        <v>2213</v>
      </c>
      <c r="C141" t="b">
        <v>1</v>
      </c>
      <c r="D141">
        <v>8048</v>
      </c>
      <c r="E141">
        <v>8123</v>
      </c>
      <c r="F141">
        <v>8.8000000000000007</v>
      </c>
      <c r="G141">
        <v>8</v>
      </c>
      <c r="H141">
        <v>1.1000000000000001</v>
      </c>
      <c r="I141">
        <v>-0.10000002400000001</v>
      </c>
      <c r="J141">
        <v>0.47619050000000002</v>
      </c>
    </row>
    <row r="142" spans="1:10" x14ac:dyDescent="0.3">
      <c r="A142">
        <v>140</v>
      </c>
      <c r="B142">
        <v>2229</v>
      </c>
      <c r="C142" t="b">
        <v>1</v>
      </c>
      <c r="D142">
        <v>8048</v>
      </c>
      <c r="E142">
        <v>8123</v>
      </c>
      <c r="F142">
        <v>8.8000000000000007</v>
      </c>
      <c r="G142">
        <v>8</v>
      </c>
      <c r="H142">
        <v>1.1000000000000001</v>
      </c>
      <c r="I142">
        <v>-0.10000002400000001</v>
      </c>
      <c r="J142">
        <v>0.47619050000000002</v>
      </c>
    </row>
    <row r="143" spans="1:10" x14ac:dyDescent="0.3">
      <c r="A143">
        <v>141</v>
      </c>
      <c r="B143">
        <v>2245</v>
      </c>
      <c r="C143" t="b">
        <v>1</v>
      </c>
      <c r="D143">
        <v>8054</v>
      </c>
      <c r="E143">
        <v>8123</v>
      </c>
      <c r="F143">
        <v>8.8000000000000007</v>
      </c>
      <c r="G143">
        <v>8</v>
      </c>
      <c r="H143">
        <v>1.1000000000000001</v>
      </c>
      <c r="I143">
        <v>-0.10000002400000001</v>
      </c>
      <c r="J143">
        <v>0.47619050000000002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8.8000000000000007</v>
      </c>
      <c r="G144">
        <v>8</v>
      </c>
      <c r="H144">
        <v>1.1000000000000001</v>
      </c>
      <c r="I144">
        <v>-0.10000002400000001</v>
      </c>
      <c r="J144">
        <v>0.47619050000000002</v>
      </c>
    </row>
    <row r="145" spans="1:10" x14ac:dyDescent="0.3">
      <c r="A145">
        <v>143</v>
      </c>
      <c r="B145">
        <v>2277</v>
      </c>
      <c r="C145" t="b">
        <v>1</v>
      </c>
      <c r="D145">
        <v>8054</v>
      </c>
      <c r="E145">
        <v>8117</v>
      </c>
      <c r="F145">
        <v>8.8000000000000007</v>
      </c>
      <c r="G145">
        <v>8</v>
      </c>
      <c r="H145">
        <v>1.1000000000000001</v>
      </c>
      <c r="I145">
        <v>-0.10000002400000001</v>
      </c>
      <c r="J145">
        <v>0.47619050000000002</v>
      </c>
    </row>
    <row r="146" spans="1:10" x14ac:dyDescent="0.3">
      <c r="A146">
        <v>144</v>
      </c>
      <c r="B146">
        <v>2292</v>
      </c>
      <c r="C146" t="b">
        <v>1</v>
      </c>
      <c r="D146">
        <v>8048</v>
      </c>
      <c r="E146">
        <v>8123</v>
      </c>
      <c r="F146">
        <v>8.8000000000000007</v>
      </c>
      <c r="G146">
        <v>8</v>
      </c>
      <c r="H146">
        <v>1.1000000000000001</v>
      </c>
      <c r="I146">
        <v>-0.10000002400000001</v>
      </c>
      <c r="J146">
        <v>0.47619050000000002</v>
      </c>
    </row>
    <row r="147" spans="1:10" x14ac:dyDescent="0.3">
      <c r="A147">
        <v>145</v>
      </c>
      <c r="B147">
        <v>2308</v>
      </c>
      <c r="C147" t="b">
        <v>1</v>
      </c>
      <c r="D147">
        <v>8048</v>
      </c>
      <c r="E147">
        <v>8117</v>
      </c>
      <c r="F147">
        <v>8.4</v>
      </c>
      <c r="G147">
        <v>8</v>
      </c>
      <c r="H147">
        <v>1.05</v>
      </c>
      <c r="I147">
        <v>-4.9999952E-2</v>
      </c>
      <c r="J147">
        <v>0.48780489999999999</v>
      </c>
    </row>
    <row r="148" spans="1:10" x14ac:dyDescent="0.3">
      <c r="A148">
        <v>146</v>
      </c>
      <c r="B148">
        <v>2324</v>
      </c>
      <c r="C148" t="b">
        <v>1</v>
      </c>
      <c r="D148">
        <v>8048</v>
      </c>
      <c r="E148">
        <v>8117</v>
      </c>
      <c r="F148">
        <v>8</v>
      </c>
      <c r="G148">
        <v>7.6</v>
      </c>
      <c r="H148">
        <v>1.0526316</v>
      </c>
      <c r="I148">
        <v>-5.2631589999999999E-2</v>
      </c>
      <c r="J148">
        <v>0.48717946000000001</v>
      </c>
    </row>
    <row r="149" spans="1:10" x14ac:dyDescent="0.3">
      <c r="A149">
        <v>147</v>
      </c>
      <c r="B149">
        <v>2340</v>
      </c>
      <c r="C149" t="b">
        <v>1</v>
      </c>
      <c r="D149">
        <v>8048</v>
      </c>
      <c r="E149">
        <v>8123</v>
      </c>
      <c r="F149">
        <v>8</v>
      </c>
      <c r="G149">
        <v>7.2</v>
      </c>
      <c r="H149">
        <v>1.1111112000000001</v>
      </c>
      <c r="I149">
        <v>-0.11111114</v>
      </c>
      <c r="J149">
        <v>0.4736842</v>
      </c>
    </row>
    <row r="150" spans="1:10" x14ac:dyDescent="0.3">
      <c r="A150">
        <v>148</v>
      </c>
      <c r="B150">
        <v>2356</v>
      </c>
      <c r="C150" t="b">
        <v>1</v>
      </c>
      <c r="D150">
        <v>8048</v>
      </c>
      <c r="E150">
        <v>8123</v>
      </c>
      <c r="F150">
        <v>8</v>
      </c>
      <c r="G150">
        <v>7.2</v>
      </c>
      <c r="H150">
        <v>1.1111112000000001</v>
      </c>
      <c r="I150">
        <v>-0.11111114</v>
      </c>
      <c r="J150">
        <v>0.4736842</v>
      </c>
    </row>
    <row r="151" spans="1:10" x14ac:dyDescent="0.3">
      <c r="A151">
        <v>149</v>
      </c>
      <c r="B151">
        <v>2372</v>
      </c>
      <c r="C151" t="b">
        <v>1</v>
      </c>
      <c r="D151">
        <v>8048</v>
      </c>
      <c r="E151">
        <v>8117</v>
      </c>
      <c r="F151">
        <v>8</v>
      </c>
      <c r="G151">
        <v>6.8</v>
      </c>
      <c r="H151">
        <v>1.1764705</v>
      </c>
      <c r="I151">
        <v>-0.17647055</v>
      </c>
      <c r="J151">
        <v>0.45945944999999999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8</v>
      </c>
      <c r="G152">
        <v>6.8</v>
      </c>
      <c r="H152">
        <v>1.1764705</v>
      </c>
      <c r="I152">
        <v>-0.17647055</v>
      </c>
      <c r="J152">
        <v>0.45945944999999999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8123</v>
      </c>
      <c r="F153">
        <v>8</v>
      </c>
      <c r="G153">
        <v>6.8</v>
      </c>
      <c r="H153">
        <v>1.1764705</v>
      </c>
      <c r="I153">
        <v>-0.17647055</v>
      </c>
      <c r="J153">
        <v>0.45945944999999999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8123</v>
      </c>
      <c r="F154">
        <v>8</v>
      </c>
      <c r="G154">
        <v>6.8</v>
      </c>
      <c r="H154">
        <v>1.1764705</v>
      </c>
      <c r="I154">
        <v>-0.17647055</v>
      </c>
      <c r="J154">
        <v>0.45945944999999999</v>
      </c>
    </row>
    <row r="155" spans="1:10" x14ac:dyDescent="0.3">
      <c r="A155">
        <v>153</v>
      </c>
      <c r="B155">
        <v>2435</v>
      </c>
      <c r="C155" t="b">
        <v>1</v>
      </c>
      <c r="D155">
        <v>8048</v>
      </c>
      <c r="E155">
        <v>8123</v>
      </c>
      <c r="F155">
        <v>8</v>
      </c>
      <c r="G155">
        <v>6.8</v>
      </c>
      <c r="H155">
        <v>1.1764705</v>
      </c>
      <c r="I155">
        <v>-0.17647055</v>
      </c>
      <c r="J155">
        <v>0.45945944999999999</v>
      </c>
    </row>
    <row r="156" spans="1:10" x14ac:dyDescent="0.3">
      <c r="A156">
        <v>154</v>
      </c>
      <c r="B156">
        <v>2451</v>
      </c>
      <c r="C156" t="b">
        <v>1</v>
      </c>
      <c r="D156">
        <v>8048</v>
      </c>
      <c r="E156">
        <v>8123</v>
      </c>
      <c r="F156">
        <v>8</v>
      </c>
      <c r="G156">
        <v>6.8</v>
      </c>
      <c r="H156">
        <v>1.1764705</v>
      </c>
      <c r="I156">
        <v>-0.17647055</v>
      </c>
      <c r="J156">
        <v>0.45945944999999999</v>
      </c>
    </row>
    <row r="157" spans="1:10" x14ac:dyDescent="0.3">
      <c r="A157">
        <v>155</v>
      </c>
      <c r="B157">
        <v>2467</v>
      </c>
      <c r="C157" t="b">
        <v>1</v>
      </c>
      <c r="D157">
        <v>8048</v>
      </c>
      <c r="E157">
        <v>8123</v>
      </c>
      <c r="F157">
        <v>8</v>
      </c>
      <c r="G157">
        <v>6.8</v>
      </c>
      <c r="H157">
        <v>1.1764705</v>
      </c>
      <c r="I157">
        <v>-0.17647055</v>
      </c>
      <c r="J157">
        <v>0.45945944999999999</v>
      </c>
    </row>
    <row r="158" spans="1:10" x14ac:dyDescent="0.3">
      <c r="A158">
        <v>156</v>
      </c>
      <c r="B158">
        <v>2483</v>
      </c>
      <c r="C158" t="b">
        <v>1</v>
      </c>
      <c r="D158">
        <v>8048</v>
      </c>
      <c r="E158">
        <v>8123</v>
      </c>
      <c r="F158">
        <v>8</v>
      </c>
      <c r="G158">
        <v>6.8</v>
      </c>
      <c r="H158">
        <v>1.1764705</v>
      </c>
      <c r="I158">
        <v>-0.17647055</v>
      </c>
      <c r="J158">
        <v>0.45945944999999999</v>
      </c>
    </row>
    <row r="159" spans="1:10" x14ac:dyDescent="0.3">
      <c r="A159">
        <v>157</v>
      </c>
      <c r="B159">
        <v>2498</v>
      </c>
      <c r="C159" t="b">
        <v>1</v>
      </c>
      <c r="D159">
        <v>8042</v>
      </c>
      <c r="E159">
        <v>8129</v>
      </c>
      <c r="F159">
        <v>8</v>
      </c>
      <c r="G159">
        <v>6.8</v>
      </c>
      <c r="H159">
        <v>1.1764705</v>
      </c>
      <c r="I159">
        <v>-0.17647055</v>
      </c>
      <c r="J159">
        <v>0.45945944999999999</v>
      </c>
    </row>
    <row r="160" spans="1:10" x14ac:dyDescent="0.3">
      <c r="A160">
        <v>158</v>
      </c>
      <c r="B160">
        <v>2514</v>
      </c>
      <c r="C160" t="b">
        <v>1</v>
      </c>
      <c r="D160">
        <v>8048</v>
      </c>
      <c r="E160">
        <v>8123</v>
      </c>
      <c r="F160">
        <v>8</v>
      </c>
      <c r="G160">
        <v>6.8</v>
      </c>
      <c r="H160">
        <v>1.1764705</v>
      </c>
      <c r="I160">
        <v>-0.17647055</v>
      </c>
      <c r="J160">
        <v>0.45945944999999999</v>
      </c>
    </row>
    <row r="161" spans="1:10" x14ac:dyDescent="0.3">
      <c r="A161">
        <v>159</v>
      </c>
      <c r="B161">
        <v>2530</v>
      </c>
      <c r="C161" t="b">
        <v>1</v>
      </c>
      <c r="D161">
        <v>8048</v>
      </c>
      <c r="E161">
        <v>8117</v>
      </c>
      <c r="F161">
        <v>8</v>
      </c>
      <c r="G161">
        <v>6.8</v>
      </c>
      <c r="H161">
        <v>1.1764705</v>
      </c>
      <c r="I161">
        <v>-0.17647055</v>
      </c>
      <c r="J161">
        <v>0.45945944999999999</v>
      </c>
    </row>
    <row r="162" spans="1:10" x14ac:dyDescent="0.3">
      <c r="A162">
        <v>160</v>
      </c>
      <c r="B162">
        <v>2546</v>
      </c>
      <c r="C162" t="b">
        <v>1</v>
      </c>
      <c r="D162">
        <v>8048</v>
      </c>
      <c r="E162">
        <v>8117</v>
      </c>
      <c r="F162">
        <v>8</v>
      </c>
      <c r="G162">
        <v>6.8</v>
      </c>
      <c r="H162">
        <v>1.1764705</v>
      </c>
      <c r="I162">
        <v>-0.17647055</v>
      </c>
      <c r="J162">
        <v>0.45945944999999999</v>
      </c>
    </row>
    <row r="163" spans="1:10" x14ac:dyDescent="0.3">
      <c r="A163">
        <v>161</v>
      </c>
      <c r="B163">
        <v>2562</v>
      </c>
      <c r="C163" t="b">
        <v>1</v>
      </c>
      <c r="D163">
        <v>8048</v>
      </c>
      <c r="E163">
        <v>8117</v>
      </c>
      <c r="F163">
        <v>8</v>
      </c>
      <c r="G163">
        <v>6.8</v>
      </c>
      <c r="H163">
        <v>1.1764705</v>
      </c>
      <c r="I163">
        <v>-0.17647055</v>
      </c>
      <c r="J163">
        <v>0.45945944999999999</v>
      </c>
    </row>
    <row r="164" spans="1:10" x14ac:dyDescent="0.3">
      <c r="A164">
        <v>162</v>
      </c>
      <c r="B164">
        <v>2578</v>
      </c>
      <c r="C164" t="b">
        <v>1</v>
      </c>
      <c r="D164">
        <v>8048</v>
      </c>
      <c r="E164">
        <v>8123</v>
      </c>
      <c r="F164">
        <v>8</v>
      </c>
      <c r="G164">
        <v>6.8</v>
      </c>
      <c r="H164">
        <v>1.1764705</v>
      </c>
      <c r="I164">
        <v>-0.17647055</v>
      </c>
      <c r="J164">
        <v>0.45945944999999999</v>
      </c>
    </row>
    <row r="165" spans="1:10" x14ac:dyDescent="0.3">
      <c r="A165">
        <v>163</v>
      </c>
      <c r="B165">
        <v>2594</v>
      </c>
      <c r="C165" t="b">
        <v>1</v>
      </c>
      <c r="D165">
        <v>8048</v>
      </c>
      <c r="E165">
        <v>8123</v>
      </c>
      <c r="F165">
        <v>8</v>
      </c>
      <c r="G165">
        <v>6.4</v>
      </c>
      <c r="H165">
        <v>1.25</v>
      </c>
      <c r="I165">
        <v>-0.24999999000000001</v>
      </c>
      <c r="J165">
        <v>0.44444447999999998</v>
      </c>
    </row>
    <row r="166" spans="1:10" x14ac:dyDescent="0.3">
      <c r="A166">
        <v>164</v>
      </c>
      <c r="B166">
        <v>2610</v>
      </c>
      <c r="C166" t="b">
        <v>1</v>
      </c>
      <c r="D166">
        <v>8048</v>
      </c>
      <c r="E166">
        <v>8123</v>
      </c>
      <c r="F166">
        <v>8</v>
      </c>
      <c r="G166">
        <v>6.8</v>
      </c>
      <c r="H166">
        <v>1.1764705</v>
      </c>
      <c r="I166">
        <v>-0.17647055</v>
      </c>
      <c r="J166">
        <v>0.45945944999999999</v>
      </c>
    </row>
    <row r="167" spans="1:10" x14ac:dyDescent="0.3">
      <c r="A167">
        <v>165</v>
      </c>
      <c r="B167">
        <v>2626</v>
      </c>
      <c r="C167" t="b">
        <v>1</v>
      </c>
      <c r="D167">
        <v>8048</v>
      </c>
      <c r="E167">
        <v>8123</v>
      </c>
      <c r="F167">
        <v>8</v>
      </c>
      <c r="G167">
        <v>6.8</v>
      </c>
      <c r="H167">
        <v>1.1764705</v>
      </c>
      <c r="I167">
        <v>-0.17647055</v>
      </c>
      <c r="J167">
        <v>0.45945944999999999</v>
      </c>
    </row>
    <row r="168" spans="1:10" x14ac:dyDescent="0.3">
      <c r="A168">
        <v>166</v>
      </c>
      <c r="B168">
        <v>2642</v>
      </c>
      <c r="C168" t="b">
        <v>1</v>
      </c>
      <c r="D168">
        <v>8048</v>
      </c>
      <c r="E168">
        <v>8123</v>
      </c>
      <c r="F168">
        <v>8</v>
      </c>
      <c r="G168">
        <v>6.8</v>
      </c>
      <c r="H168">
        <v>1.1764705</v>
      </c>
      <c r="I168">
        <v>-0.17647055</v>
      </c>
      <c r="J168">
        <v>0.45945944999999999</v>
      </c>
    </row>
    <row r="169" spans="1:10" x14ac:dyDescent="0.3">
      <c r="A169">
        <v>167</v>
      </c>
      <c r="B169">
        <v>2657</v>
      </c>
      <c r="C169" t="b">
        <v>1</v>
      </c>
      <c r="D169">
        <v>8048</v>
      </c>
      <c r="E169">
        <v>8123</v>
      </c>
      <c r="F169">
        <v>8</v>
      </c>
      <c r="G169">
        <v>6.8</v>
      </c>
      <c r="H169">
        <v>1.1764705</v>
      </c>
      <c r="I169">
        <v>-0.17647055</v>
      </c>
      <c r="J169">
        <v>0.45945944999999999</v>
      </c>
    </row>
    <row r="170" spans="1:10" x14ac:dyDescent="0.3">
      <c r="A170">
        <v>168</v>
      </c>
      <c r="B170">
        <v>2673</v>
      </c>
      <c r="C170" t="b">
        <v>1</v>
      </c>
      <c r="D170">
        <v>8048</v>
      </c>
      <c r="E170">
        <v>8123</v>
      </c>
      <c r="F170">
        <v>8</v>
      </c>
      <c r="G170">
        <v>6.8</v>
      </c>
      <c r="H170">
        <v>1.1764705</v>
      </c>
      <c r="I170">
        <v>-0.17647055</v>
      </c>
      <c r="J170">
        <v>0.45945944999999999</v>
      </c>
    </row>
    <row r="171" spans="1:10" x14ac:dyDescent="0.3">
      <c r="A171">
        <v>169</v>
      </c>
      <c r="B171">
        <v>2689</v>
      </c>
      <c r="C171" t="b">
        <v>1</v>
      </c>
      <c r="D171">
        <v>8048</v>
      </c>
      <c r="E171">
        <v>8123</v>
      </c>
      <c r="F171">
        <v>8</v>
      </c>
      <c r="G171">
        <v>6.8</v>
      </c>
      <c r="H171">
        <v>1.1764705</v>
      </c>
      <c r="I171">
        <v>-0.17647055</v>
      </c>
      <c r="J171">
        <v>0.45945944999999999</v>
      </c>
    </row>
    <row r="172" spans="1:10" x14ac:dyDescent="0.3">
      <c r="A172">
        <v>170</v>
      </c>
      <c r="B172">
        <v>2705</v>
      </c>
      <c r="C172" t="b">
        <v>1</v>
      </c>
      <c r="D172">
        <v>8048</v>
      </c>
      <c r="E172">
        <v>8123</v>
      </c>
      <c r="F172">
        <v>8</v>
      </c>
      <c r="G172">
        <v>6.8</v>
      </c>
      <c r="H172">
        <v>1.1764705</v>
      </c>
      <c r="I172">
        <v>-0.17647055</v>
      </c>
      <c r="J172">
        <v>0.45945944999999999</v>
      </c>
    </row>
    <row r="173" spans="1:10" x14ac:dyDescent="0.3">
      <c r="A173">
        <v>171</v>
      </c>
      <c r="B173">
        <v>2721</v>
      </c>
      <c r="C173" t="b">
        <v>1</v>
      </c>
      <c r="D173">
        <v>8048</v>
      </c>
      <c r="E173">
        <v>8123</v>
      </c>
      <c r="F173">
        <v>8</v>
      </c>
      <c r="G173">
        <v>6.8</v>
      </c>
      <c r="H173">
        <v>1.1764705</v>
      </c>
      <c r="I173">
        <v>-0.17647055</v>
      </c>
      <c r="J173">
        <v>0.45945944999999999</v>
      </c>
    </row>
    <row r="174" spans="1:10" x14ac:dyDescent="0.3">
      <c r="A174">
        <v>172</v>
      </c>
      <c r="B174">
        <v>2737</v>
      </c>
      <c r="C174" t="b">
        <v>1</v>
      </c>
      <c r="D174">
        <v>8048</v>
      </c>
      <c r="E174">
        <v>8123</v>
      </c>
      <c r="F174">
        <v>8</v>
      </c>
      <c r="G174">
        <v>6.8</v>
      </c>
      <c r="H174">
        <v>1.1764705</v>
      </c>
      <c r="I174">
        <v>-0.17647055</v>
      </c>
      <c r="J174">
        <v>0.45945944999999999</v>
      </c>
    </row>
    <row r="175" spans="1:10" x14ac:dyDescent="0.3">
      <c r="A175">
        <v>173</v>
      </c>
      <c r="B175">
        <v>2753</v>
      </c>
      <c r="C175" t="b">
        <v>1</v>
      </c>
      <c r="D175">
        <v>8048</v>
      </c>
      <c r="E175">
        <v>8123</v>
      </c>
      <c r="F175">
        <v>8</v>
      </c>
      <c r="G175">
        <v>6.8</v>
      </c>
      <c r="H175">
        <v>1.1764705</v>
      </c>
      <c r="I175">
        <v>-0.17647055</v>
      </c>
      <c r="J175">
        <v>0.45945944999999999</v>
      </c>
    </row>
    <row r="176" spans="1:10" x14ac:dyDescent="0.3">
      <c r="A176">
        <v>174</v>
      </c>
      <c r="B176">
        <v>2769</v>
      </c>
      <c r="C176" t="b">
        <v>1</v>
      </c>
      <c r="D176">
        <v>8048</v>
      </c>
      <c r="E176">
        <v>8123</v>
      </c>
      <c r="F176">
        <v>8</v>
      </c>
      <c r="G176">
        <v>6.8</v>
      </c>
      <c r="H176">
        <v>1.1764705</v>
      </c>
      <c r="I176">
        <v>-0.17647055</v>
      </c>
      <c r="J176">
        <v>0.45945944999999999</v>
      </c>
    </row>
    <row r="177" spans="1:10" x14ac:dyDescent="0.3">
      <c r="A177">
        <v>175</v>
      </c>
      <c r="B177">
        <v>2784</v>
      </c>
      <c r="C177" t="b">
        <v>1</v>
      </c>
      <c r="D177">
        <v>8048</v>
      </c>
      <c r="E177">
        <v>8129</v>
      </c>
      <c r="F177">
        <v>8</v>
      </c>
      <c r="G177">
        <v>6.8</v>
      </c>
      <c r="H177">
        <v>1.1764705</v>
      </c>
      <c r="I177">
        <v>-0.17647055</v>
      </c>
      <c r="J177">
        <v>0.45945944999999999</v>
      </c>
    </row>
    <row r="178" spans="1:10" x14ac:dyDescent="0.3">
      <c r="A178">
        <v>176</v>
      </c>
      <c r="B178">
        <v>2800</v>
      </c>
      <c r="C178" t="b">
        <v>1</v>
      </c>
      <c r="D178">
        <v>8048</v>
      </c>
      <c r="E178">
        <v>8123</v>
      </c>
      <c r="F178">
        <v>8</v>
      </c>
      <c r="G178">
        <v>7.2</v>
      </c>
      <c r="H178">
        <v>1.1111112000000001</v>
      </c>
      <c r="I178">
        <v>-0.11111114</v>
      </c>
      <c r="J178">
        <v>0.4736842</v>
      </c>
    </row>
    <row r="179" spans="1:10" x14ac:dyDescent="0.3">
      <c r="A179">
        <v>177</v>
      </c>
      <c r="B179">
        <v>2816</v>
      </c>
      <c r="C179" t="b">
        <v>1</v>
      </c>
      <c r="D179">
        <v>8042</v>
      </c>
      <c r="E179">
        <v>8123</v>
      </c>
      <c r="F179">
        <v>8</v>
      </c>
      <c r="G179">
        <v>7.6</v>
      </c>
      <c r="H179">
        <v>1.0526316</v>
      </c>
      <c r="I179">
        <v>-5.2631589999999999E-2</v>
      </c>
      <c r="J179">
        <v>0.48717946000000001</v>
      </c>
    </row>
    <row r="180" spans="1:10" x14ac:dyDescent="0.3">
      <c r="A180">
        <v>178</v>
      </c>
      <c r="B180">
        <v>2832</v>
      </c>
      <c r="C180" t="b">
        <v>1</v>
      </c>
      <c r="D180">
        <v>8048</v>
      </c>
      <c r="E180">
        <v>8129</v>
      </c>
      <c r="F180">
        <v>8</v>
      </c>
      <c r="G180">
        <v>8</v>
      </c>
      <c r="H180">
        <v>1</v>
      </c>
      <c r="I180">
        <v>0</v>
      </c>
      <c r="J180">
        <v>0.5</v>
      </c>
    </row>
    <row r="181" spans="1:10" x14ac:dyDescent="0.3">
      <c r="A181">
        <v>179</v>
      </c>
      <c r="B181">
        <v>2848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2864</v>
      </c>
      <c r="C182" t="b">
        <v>1</v>
      </c>
      <c r="D182">
        <v>8048</v>
      </c>
      <c r="E182">
        <v>8123</v>
      </c>
      <c r="F182">
        <v>8</v>
      </c>
      <c r="G182">
        <v>8</v>
      </c>
      <c r="H182">
        <v>1</v>
      </c>
      <c r="I182">
        <v>0</v>
      </c>
      <c r="J182">
        <v>0.5</v>
      </c>
    </row>
    <row r="183" spans="1:10" x14ac:dyDescent="0.3">
      <c r="A183">
        <v>181</v>
      </c>
      <c r="B183">
        <v>2880</v>
      </c>
      <c r="C183" t="b">
        <v>1</v>
      </c>
      <c r="D183">
        <v>8048</v>
      </c>
      <c r="E183">
        <v>8117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2895</v>
      </c>
      <c r="C184" t="b">
        <v>1</v>
      </c>
      <c r="D184">
        <v>8054</v>
      </c>
      <c r="E184">
        <v>8117</v>
      </c>
      <c r="F184">
        <v>8</v>
      </c>
      <c r="G184">
        <v>8</v>
      </c>
      <c r="H184">
        <v>1</v>
      </c>
      <c r="I184">
        <v>0</v>
      </c>
      <c r="J184">
        <v>0.5</v>
      </c>
    </row>
    <row r="185" spans="1:10" x14ac:dyDescent="0.3">
      <c r="A185">
        <v>183</v>
      </c>
      <c r="B185">
        <v>2911</v>
      </c>
      <c r="C185" t="b">
        <v>1</v>
      </c>
      <c r="D185">
        <v>8054</v>
      </c>
      <c r="E185">
        <v>8123</v>
      </c>
      <c r="F185">
        <v>8</v>
      </c>
      <c r="G185">
        <v>8</v>
      </c>
      <c r="H185">
        <v>1</v>
      </c>
      <c r="I185">
        <v>0</v>
      </c>
      <c r="J185">
        <v>0.5</v>
      </c>
    </row>
    <row r="186" spans="1:10" x14ac:dyDescent="0.3">
      <c r="A186">
        <v>184</v>
      </c>
      <c r="B186">
        <v>2927</v>
      </c>
      <c r="C186" t="b">
        <v>1</v>
      </c>
      <c r="D186">
        <v>8048</v>
      </c>
      <c r="E186">
        <v>8123</v>
      </c>
      <c r="F186">
        <v>8</v>
      </c>
      <c r="G186">
        <v>8</v>
      </c>
      <c r="H186">
        <v>1</v>
      </c>
      <c r="I186">
        <v>0</v>
      </c>
      <c r="J186">
        <v>0.5</v>
      </c>
    </row>
    <row r="187" spans="1:10" x14ac:dyDescent="0.3">
      <c r="A187">
        <v>185</v>
      </c>
      <c r="B187">
        <v>2943</v>
      </c>
      <c r="C187" t="b">
        <v>1</v>
      </c>
      <c r="D187">
        <v>8054</v>
      </c>
      <c r="E187">
        <v>8123</v>
      </c>
      <c r="F187">
        <v>8.4</v>
      </c>
      <c r="G187">
        <v>8</v>
      </c>
      <c r="H187">
        <v>1.05</v>
      </c>
      <c r="I187">
        <v>-4.9999952E-2</v>
      </c>
      <c r="J187">
        <v>0.48780489999999999</v>
      </c>
    </row>
    <row r="188" spans="1:10" x14ac:dyDescent="0.3">
      <c r="A188">
        <v>186</v>
      </c>
      <c r="B188">
        <v>2959</v>
      </c>
      <c r="C188" t="b">
        <v>1</v>
      </c>
      <c r="D188">
        <v>8048</v>
      </c>
      <c r="E188">
        <v>8117</v>
      </c>
      <c r="F188">
        <v>8.8000000000000007</v>
      </c>
      <c r="G188">
        <v>8</v>
      </c>
      <c r="H188">
        <v>1.1000000000000001</v>
      </c>
      <c r="I188">
        <v>-0.10000002400000001</v>
      </c>
      <c r="J188">
        <v>0.47619050000000002</v>
      </c>
    </row>
    <row r="189" spans="1:10" x14ac:dyDescent="0.3">
      <c r="A189">
        <v>187</v>
      </c>
      <c r="B189">
        <v>2975</v>
      </c>
      <c r="C189" t="b">
        <v>1</v>
      </c>
      <c r="D189">
        <v>8048</v>
      </c>
      <c r="E189">
        <v>8123</v>
      </c>
      <c r="F189">
        <v>8.8000000000000007</v>
      </c>
      <c r="G189">
        <v>8</v>
      </c>
      <c r="H189">
        <v>1.1000000000000001</v>
      </c>
      <c r="I189">
        <v>-0.10000002400000001</v>
      </c>
      <c r="J189">
        <v>0.47619050000000002</v>
      </c>
    </row>
    <row r="190" spans="1:10" x14ac:dyDescent="0.3">
      <c r="A190">
        <v>188</v>
      </c>
      <c r="B190">
        <v>2991</v>
      </c>
      <c r="C190" t="b">
        <v>1</v>
      </c>
      <c r="D190">
        <v>8054</v>
      </c>
      <c r="E190">
        <v>8123</v>
      </c>
      <c r="F190">
        <v>8.8000000000000007</v>
      </c>
      <c r="G190">
        <v>8</v>
      </c>
      <c r="H190">
        <v>1.1000000000000001</v>
      </c>
      <c r="I190">
        <v>-0.10000002400000001</v>
      </c>
      <c r="J190">
        <v>0.47619050000000002</v>
      </c>
    </row>
    <row r="191" spans="1:10" x14ac:dyDescent="0.3">
      <c r="A191">
        <v>189</v>
      </c>
      <c r="B191">
        <v>3007</v>
      </c>
      <c r="C191" t="b">
        <v>1</v>
      </c>
      <c r="D191">
        <v>8048</v>
      </c>
      <c r="E191">
        <v>8123</v>
      </c>
      <c r="F191">
        <v>8.8000000000000007</v>
      </c>
      <c r="G191">
        <v>8</v>
      </c>
      <c r="H191">
        <v>1.1000000000000001</v>
      </c>
      <c r="I191">
        <v>-0.10000002400000001</v>
      </c>
      <c r="J191">
        <v>0.47619050000000002</v>
      </c>
    </row>
    <row r="192" spans="1:10" x14ac:dyDescent="0.3">
      <c r="A192">
        <v>190</v>
      </c>
      <c r="B192">
        <v>3023</v>
      </c>
      <c r="C192" t="b">
        <v>1</v>
      </c>
      <c r="D192">
        <v>8048</v>
      </c>
      <c r="E192">
        <v>8123</v>
      </c>
      <c r="F192">
        <v>8.8000000000000007</v>
      </c>
      <c r="G192">
        <v>8</v>
      </c>
      <c r="H192">
        <v>1.1000000000000001</v>
      </c>
      <c r="I192">
        <v>-0.10000002400000001</v>
      </c>
      <c r="J192">
        <v>0.47619050000000002</v>
      </c>
    </row>
    <row r="193" spans="1:10" x14ac:dyDescent="0.3">
      <c r="A193">
        <v>191</v>
      </c>
      <c r="B193">
        <v>3039</v>
      </c>
      <c r="C193" t="b">
        <v>1</v>
      </c>
      <c r="D193">
        <v>8048</v>
      </c>
      <c r="E193">
        <v>8129</v>
      </c>
      <c r="F193">
        <v>8.8000000000000007</v>
      </c>
      <c r="G193">
        <v>8</v>
      </c>
      <c r="H193">
        <v>1.1000000000000001</v>
      </c>
      <c r="I193">
        <v>-0.10000002400000001</v>
      </c>
      <c r="J193">
        <v>0.47619050000000002</v>
      </c>
    </row>
    <row r="194" spans="1:10" x14ac:dyDescent="0.3">
      <c r="A194">
        <v>192</v>
      </c>
      <c r="B194">
        <v>3055</v>
      </c>
      <c r="C194" t="b">
        <v>1</v>
      </c>
      <c r="D194">
        <v>8048</v>
      </c>
      <c r="E194">
        <v>8123</v>
      </c>
      <c r="F194">
        <v>8.8000000000000007</v>
      </c>
      <c r="G194">
        <v>8</v>
      </c>
      <c r="H194">
        <v>1.1000000000000001</v>
      </c>
      <c r="I194">
        <v>-0.10000002400000001</v>
      </c>
      <c r="J194">
        <v>0.47619050000000002</v>
      </c>
    </row>
    <row r="195" spans="1:10" x14ac:dyDescent="0.3">
      <c r="A195">
        <v>193</v>
      </c>
      <c r="B195">
        <v>3071</v>
      </c>
      <c r="C195" t="b">
        <v>1</v>
      </c>
      <c r="D195">
        <v>8048</v>
      </c>
      <c r="E195">
        <v>8117</v>
      </c>
      <c r="F195">
        <v>8.8000000000000007</v>
      </c>
      <c r="G195">
        <v>8</v>
      </c>
      <c r="H195">
        <v>1.1000000000000001</v>
      </c>
      <c r="I195">
        <v>-0.10000002400000001</v>
      </c>
      <c r="J195">
        <v>0.47619050000000002</v>
      </c>
    </row>
    <row r="196" spans="1:10" x14ac:dyDescent="0.3">
      <c r="A196">
        <v>194</v>
      </c>
      <c r="B196">
        <v>3086</v>
      </c>
      <c r="C196" t="b">
        <v>1</v>
      </c>
      <c r="D196">
        <v>8048</v>
      </c>
      <c r="E196">
        <v>8117</v>
      </c>
      <c r="F196">
        <v>8.8000000000000007</v>
      </c>
      <c r="G196">
        <v>8</v>
      </c>
      <c r="H196">
        <v>1.1000000000000001</v>
      </c>
      <c r="I196">
        <v>-0.10000002400000001</v>
      </c>
      <c r="J196">
        <v>0.47619050000000002</v>
      </c>
    </row>
    <row r="197" spans="1:10" x14ac:dyDescent="0.3">
      <c r="A197">
        <v>195</v>
      </c>
      <c r="B197">
        <v>3102</v>
      </c>
      <c r="C197" t="b">
        <v>1</v>
      </c>
      <c r="D197">
        <v>8048</v>
      </c>
      <c r="E197">
        <v>8117</v>
      </c>
      <c r="F197">
        <v>8.8000000000000007</v>
      </c>
      <c r="G197">
        <v>7.6</v>
      </c>
      <c r="H197">
        <v>1.1578946999999999</v>
      </c>
      <c r="I197">
        <v>-0.15789478000000001</v>
      </c>
      <c r="J197">
        <v>0.46341463999999999</v>
      </c>
    </row>
    <row r="198" spans="1:10" x14ac:dyDescent="0.3">
      <c r="A198">
        <v>196</v>
      </c>
      <c r="B198">
        <v>3118</v>
      </c>
      <c r="C198" t="b">
        <v>1</v>
      </c>
      <c r="D198">
        <v>8048</v>
      </c>
      <c r="E198">
        <v>8117</v>
      </c>
      <c r="F198">
        <v>8.8000000000000007</v>
      </c>
      <c r="G198">
        <v>7.2</v>
      </c>
      <c r="H198">
        <v>1.2222223000000001</v>
      </c>
      <c r="I198">
        <v>-0.22222227999999999</v>
      </c>
      <c r="J198">
        <v>0.45</v>
      </c>
    </row>
    <row r="199" spans="1:10" x14ac:dyDescent="0.3">
      <c r="A199">
        <v>197</v>
      </c>
      <c r="B199">
        <v>3134</v>
      </c>
      <c r="C199" t="b">
        <v>1</v>
      </c>
      <c r="D199">
        <v>8048</v>
      </c>
      <c r="E199">
        <v>8117</v>
      </c>
      <c r="F199">
        <v>8.8000000000000007</v>
      </c>
      <c r="G199">
        <v>6.8</v>
      </c>
      <c r="H199">
        <v>1.2941176999999999</v>
      </c>
      <c r="I199">
        <v>-0.29411763000000002</v>
      </c>
      <c r="J199">
        <v>0.43589744000000002</v>
      </c>
    </row>
    <row r="200" spans="1:10" x14ac:dyDescent="0.3">
      <c r="A200">
        <v>198</v>
      </c>
      <c r="B200">
        <v>3150</v>
      </c>
      <c r="C200" t="b">
        <v>1</v>
      </c>
      <c r="D200">
        <v>8048</v>
      </c>
      <c r="E200">
        <v>8117</v>
      </c>
      <c r="F200">
        <v>8.8000000000000007</v>
      </c>
      <c r="G200">
        <v>6.4</v>
      </c>
      <c r="H200">
        <v>1.375</v>
      </c>
      <c r="I200">
        <v>-0.375</v>
      </c>
      <c r="J200">
        <v>0.4210526</v>
      </c>
    </row>
    <row r="201" spans="1:10" x14ac:dyDescent="0.3">
      <c r="A201">
        <v>199</v>
      </c>
      <c r="B201">
        <v>3165</v>
      </c>
      <c r="C201" t="b">
        <v>1</v>
      </c>
      <c r="D201">
        <v>8048</v>
      </c>
      <c r="E201">
        <v>8123</v>
      </c>
      <c r="F201">
        <v>8.8000000000000007</v>
      </c>
      <c r="G201">
        <v>6</v>
      </c>
      <c r="H201">
        <v>1.4666667</v>
      </c>
      <c r="I201">
        <v>-0.46666669999999999</v>
      </c>
      <c r="J201">
        <v>0.40540540000000003</v>
      </c>
    </row>
    <row r="202" spans="1:10" x14ac:dyDescent="0.3">
      <c r="A202">
        <v>200</v>
      </c>
      <c r="B202">
        <v>3181</v>
      </c>
      <c r="C202" t="b">
        <v>1</v>
      </c>
      <c r="D202">
        <v>8048</v>
      </c>
      <c r="E202">
        <v>8123</v>
      </c>
      <c r="F202">
        <v>8.4</v>
      </c>
      <c r="G202">
        <v>5.6</v>
      </c>
      <c r="H202">
        <v>1.5</v>
      </c>
      <c r="I202">
        <v>-0.49999997000000002</v>
      </c>
      <c r="J202">
        <v>0.4</v>
      </c>
    </row>
    <row r="203" spans="1:10" x14ac:dyDescent="0.3">
      <c r="A203">
        <v>201</v>
      </c>
      <c r="B203">
        <v>3197</v>
      </c>
      <c r="C203" t="b">
        <v>1</v>
      </c>
      <c r="D203">
        <v>8048</v>
      </c>
      <c r="E203">
        <v>8134</v>
      </c>
      <c r="F203">
        <v>8</v>
      </c>
      <c r="G203">
        <v>5.6</v>
      </c>
      <c r="H203">
        <v>1.4285715000000001</v>
      </c>
      <c r="I203">
        <v>-0.42857146000000002</v>
      </c>
      <c r="J203">
        <v>0.41176467999999999</v>
      </c>
    </row>
    <row r="204" spans="1:10" x14ac:dyDescent="0.3">
      <c r="A204">
        <v>202</v>
      </c>
      <c r="B204">
        <v>3213</v>
      </c>
      <c r="C204" t="b">
        <v>1</v>
      </c>
      <c r="D204">
        <v>8048</v>
      </c>
      <c r="E204">
        <v>8123</v>
      </c>
      <c r="F204">
        <v>8</v>
      </c>
      <c r="G204">
        <v>5.6</v>
      </c>
      <c r="H204">
        <v>1.4285715000000001</v>
      </c>
      <c r="I204">
        <v>-0.42857146000000002</v>
      </c>
      <c r="J204">
        <v>0.41176467999999999</v>
      </c>
    </row>
    <row r="205" spans="1:10" x14ac:dyDescent="0.3">
      <c r="A205">
        <v>203</v>
      </c>
      <c r="B205">
        <v>3229</v>
      </c>
      <c r="C205" t="b">
        <v>1</v>
      </c>
      <c r="D205">
        <v>8048</v>
      </c>
      <c r="E205">
        <v>8123</v>
      </c>
      <c r="F205">
        <v>8</v>
      </c>
      <c r="G205">
        <v>5.6</v>
      </c>
      <c r="H205">
        <v>1.4285715000000001</v>
      </c>
      <c r="I205">
        <v>-0.42857146000000002</v>
      </c>
      <c r="J205">
        <v>0.41176467999999999</v>
      </c>
    </row>
    <row r="206" spans="1:10" x14ac:dyDescent="0.3">
      <c r="A206">
        <v>204</v>
      </c>
      <c r="B206">
        <v>3245</v>
      </c>
      <c r="C206" t="b">
        <v>1</v>
      </c>
      <c r="D206">
        <v>8048</v>
      </c>
      <c r="E206">
        <v>8123</v>
      </c>
      <c r="F206">
        <v>8</v>
      </c>
      <c r="G206">
        <v>5.6</v>
      </c>
      <c r="H206">
        <v>1.4285715000000001</v>
      </c>
      <c r="I206">
        <v>-0.42857146000000002</v>
      </c>
      <c r="J206">
        <v>0.41176467999999999</v>
      </c>
    </row>
    <row r="207" spans="1:10" x14ac:dyDescent="0.3">
      <c r="A207">
        <v>205</v>
      </c>
      <c r="B207">
        <v>3261</v>
      </c>
      <c r="C207" t="b">
        <v>1</v>
      </c>
      <c r="D207">
        <v>8048</v>
      </c>
      <c r="E207">
        <v>8123</v>
      </c>
      <c r="F207">
        <v>8</v>
      </c>
      <c r="G207">
        <v>5.6</v>
      </c>
      <c r="H207">
        <v>1.4285715000000001</v>
      </c>
      <c r="I207">
        <v>-0.42857146000000002</v>
      </c>
      <c r="J207">
        <v>0.41176467999999999</v>
      </c>
    </row>
    <row r="208" spans="1:10" x14ac:dyDescent="0.3">
      <c r="A208">
        <v>206</v>
      </c>
      <c r="B208">
        <v>3277</v>
      </c>
      <c r="C208" t="b">
        <v>1</v>
      </c>
      <c r="D208">
        <v>8048</v>
      </c>
      <c r="E208">
        <v>8111</v>
      </c>
      <c r="F208">
        <v>8</v>
      </c>
      <c r="G208">
        <v>5.6</v>
      </c>
      <c r="H208">
        <v>1.4285715000000001</v>
      </c>
      <c r="I208">
        <v>-0.42857146000000002</v>
      </c>
      <c r="J208">
        <v>0.41176467999999999</v>
      </c>
    </row>
    <row r="209" spans="1:10" x14ac:dyDescent="0.3">
      <c r="A209">
        <v>207</v>
      </c>
      <c r="B209">
        <v>3293</v>
      </c>
      <c r="C209" t="b">
        <v>1</v>
      </c>
      <c r="D209">
        <v>8048</v>
      </c>
      <c r="E209">
        <v>8117</v>
      </c>
      <c r="F209">
        <v>8</v>
      </c>
      <c r="G209">
        <v>5.6</v>
      </c>
      <c r="H209">
        <v>1.4285715000000001</v>
      </c>
      <c r="I209">
        <v>-0.42857146000000002</v>
      </c>
      <c r="J209">
        <v>0.41176467999999999</v>
      </c>
    </row>
    <row r="210" spans="1:10" x14ac:dyDescent="0.3">
      <c r="A210">
        <v>208</v>
      </c>
      <c r="B210">
        <v>3309</v>
      </c>
      <c r="C210" t="b">
        <v>1</v>
      </c>
      <c r="D210">
        <v>8048</v>
      </c>
      <c r="E210">
        <v>8111</v>
      </c>
      <c r="F210">
        <v>8</v>
      </c>
      <c r="G210">
        <v>5.2</v>
      </c>
      <c r="H210">
        <v>1.5384616</v>
      </c>
      <c r="I210">
        <v>-0.53846156999999994</v>
      </c>
      <c r="J210">
        <v>0.39393938000000001</v>
      </c>
    </row>
    <row r="211" spans="1:10" x14ac:dyDescent="0.3">
      <c r="A211">
        <v>209</v>
      </c>
      <c r="B211">
        <v>3324</v>
      </c>
      <c r="C211" t="b">
        <v>1</v>
      </c>
      <c r="D211">
        <v>8048</v>
      </c>
      <c r="E211">
        <v>8117</v>
      </c>
      <c r="F211">
        <v>8</v>
      </c>
      <c r="G211">
        <v>4.8</v>
      </c>
      <c r="H211">
        <v>1.6666666000000001</v>
      </c>
      <c r="I211">
        <v>-0.6666666</v>
      </c>
      <c r="J211">
        <v>0.375</v>
      </c>
    </row>
    <row r="212" spans="1:10" x14ac:dyDescent="0.3">
      <c r="A212">
        <v>210</v>
      </c>
      <c r="B212">
        <v>3340</v>
      </c>
      <c r="C212" t="b">
        <v>1</v>
      </c>
      <c r="D212">
        <v>8048</v>
      </c>
      <c r="E212">
        <v>8111</v>
      </c>
      <c r="F212">
        <v>8</v>
      </c>
      <c r="G212">
        <v>4.4000000000000004</v>
      </c>
      <c r="H212">
        <v>1.8181818000000001</v>
      </c>
      <c r="I212">
        <v>-0.81818175000000004</v>
      </c>
      <c r="J212">
        <v>0.35483872999999999</v>
      </c>
    </row>
    <row r="213" spans="1:10" x14ac:dyDescent="0.3">
      <c r="A213">
        <v>211</v>
      </c>
      <c r="B213">
        <v>3356</v>
      </c>
      <c r="C213" t="b">
        <v>1</v>
      </c>
      <c r="D213">
        <v>8048</v>
      </c>
      <c r="E213">
        <v>8117</v>
      </c>
      <c r="F213">
        <v>8</v>
      </c>
      <c r="G213">
        <v>4.4000000000000004</v>
      </c>
      <c r="H213">
        <v>1.8181818000000001</v>
      </c>
      <c r="I213">
        <v>-0.81818175000000004</v>
      </c>
      <c r="J213">
        <v>0.35483872999999999</v>
      </c>
    </row>
    <row r="214" spans="1:10" x14ac:dyDescent="0.3">
      <c r="A214">
        <v>212</v>
      </c>
      <c r="B214">
        <v>3372</v>
      </c>
      <c r="C214" t="b">
        <v>1</v>
      </c>
      <c r="D214">
        <v>8048</v>
      </c>
      <c r="E214">
        <v>8123</v>
      </c>
      <c r="F214">
        <v>8</v>
      </c>
      <c r="G214">
        <v>4.4000000000000004</v>
      </c>
      <c r="H214">
        <v>1.8181818000000001</v>
      </c>
      <c r="I214">
        <v>-0.81818175000000004</v>
      </c>
      <c r="J214">
        <v>0.35483872999999999</v>
      </c>
    </row>
    <row r="215" spans="1:10" x14ac:dyDescent="0.3">
      <c r="A215">
        <v>213</v>
      </c>
      <c r="B215">
        <v>3388</v>
      </c>
      <c r="C215" t="b">
        <v>1</v>
      </c>
      <c r="D215">
        <v>8048</v>
      </c>
      <c r="E215">
        <v>8123</v>
      </c>
      <c r="F215">
        <v>8</v>
      </c>
      <c r="G215">
        <v>4.4000000000000004</v>
      </c>
      <c r="H215">
        <v>1.8181818000000001</v>
      </c>
      <c r="I215">
        <v>-0.81818175000000004</v>
      </c>
      <c r="J215">
        <v>0.35483872999999999</v>
      </c>
    </row>
    <row r="216" spans="1:10" x14ac:dyDescent="0.3">
      <c r="A216">
        <v>214</v>
      </c>
      <c r="B216">
        <v>3404</v>
      </c>
      <c r="C216" t="b">
        <v>1</v>
      </c>
      <c r="D216">
        <v>8048</v>
      </c>
      <c r="E216">
        <v>8123</v>
      </c>
      <c r="F216">
        <v>8</v>
      </c>
      <c r="G216">
        <v>4.8</v>
      </c>
      <c r="H216">
        <v>1.6666666000000001</v>
      </c>
      <c r="I216">
        <v>-0.6666666</v>
      </c>
      <c r="J216">
        <v>0.375</v>
      </c>
    </row>
    <row r="217" spans="1:10" x14ac:dyDescent="0.3">
      <c r="A217">
        <v>215</v>
      </c>
      <c r="B217">
        <v>3420</v>
      </c>
      <c r="C217" t="b">
        <v>1</v>
      </c>
      <c r="D217">
        <v>8048</v>
      </c>
      <c r="E217">
        <v>8123</v>
      </c>
      <c r="F217">
        <v>8</v>
      </c>
      <c r="G217">
        <v>5.2</v>
      </c>
      <c r="H217">
        <v>1.5384616</v>
      </c>
      <c r="I217">
        <v>-0.53846156999999994</v>
      </c>
      <c r="J217">
        <v>0.39393938000000001</v>
      </c>
    </row>
    <row r="218" spans="1:10" x14ac:dyDescent="0.3">
      <c r="A218">
        <v>216</v>
      </c>
      <c r="B218">
        <v>3436</v>
      </c>
      <c r="C218" t="b">
        <v>1</v>
      </c>
      <c r="D218">
        <v>8048</v>
      </c>
      <c r="E218">
        <v>8123</v>
      </c>
      <c r="F218">
        <v>8</v>
      </c>
      <c r="G218">
        <v>5.2</v>
      </c>
      <c r="H218">
        <v>1.5384616</v>
      </c>
      <c r="I218">
        <v>-0.53846156999999994</v>
      </c>
      <c r="J218">
        <v>0.39393938000000001</v>
      </c>
    </row>
    <row r="219" spans="1:10" x14ac:dyDescent="0.3">
      <c r="A219">
        <v>217</v>
      </c>
      <c r="B219">
        <v>3452</v>
      </c>
      <c r="C219" t="b">
        <v>1</v>
      </c>
      <c r="D219">
        <v>8048</v>
      </c>
      <c r="E219">
        <v>8123</v>
      </c>
      <c r="F219">
        <v>8</v>
      </c>
      <c r="G219">
        <v>5.2</v>
      </c>
      <c r="H219">
        <v>1.5384616</v>
      </c>
      <c r="I219">
        <v>-0.53846156999999994</v>
      </c>
      <c r="J219">
        <v>0.39393938000000001</v>
      </c>
    </row>
    <row r="220" spans="1:10" x14ac:dyDescent="0.3">
      <c r="A220">
        <v>218</v>
      </c>
      <c r="B220">
        <v>3468</v>
      </c>
      <c r="C220" t="b">
        <v>1</v>
      </c>
      <c r="D220">
        <v>8042</v>
      </c>
      <c r="E220">
        <v>8123</v>
      </c>
      <c r="F220">
        <v>8</v>
      </c>
      <c r="G220">
        <v>5.2</v>
      </c>
      <c r="H220">
        <v>1.5384616</v>
      </c>
      <c r="I220">
        <v>-0.53846156999999994</v>
      </c>
      <c r="J220">
        <v>0.39393938000000001</v>
      </c>
    </row>
    <row r="221" spans="1:10" x14ac:dyDescent="0.3">
      <c r="A221">
        <v>219</v>
      </c>
      <c r="B221">
        <v>3484</v>
      </c>
      <c r="C221" t="b">
        <v>1</v>
      </c>
      <c r="D221">
        <v>8048</v>
      </c>
      <c r="E221">
        <v>8123</v>
      </c>
      <c r="F221">
        <v>8</v>
      </c>
      <c r="G221">
        <v>5.2</v>
      </c>
      <c r="H221">
        <v>1.5384616</v>
      </c>
      <c r="I221">
        <v>-0.53846156999999994</v>
      </c>
      <c r="J221">
        <v>0.39393938000000001</v>
      </c>
    </row>
    <row r="222" spans="1:10" x14ac:dyDescent="0.3">
      <c r="A222">
        <v>220</v>
      </c>
      <c r="B222">
        <v>3500</v>
      </c>
      <c r="C222" t="b">
        <v>1</v>
      </c>
      <c r="D222">
        <v>8048</v>
      </c>
      <c r="E222">
        <v>8117</v>
      </c>
      <c r="F222">
        <v>8</v>
      </c>
      <c r="G222">
        <v>5.2</v>
      </c>
      <c r="H222">
        <v>1.5384616</v>
      </c>
      <c r="I222">
        <v>-0.53846156999999994</v>
      </c>
      <c r="J222">
        <v>0.39393938000000001</v>
      </c>
    </row>
    <row r="223" spans="1:10" x14ac:dyDescent="0.3">
      <c r="A223">
        <v>221</v>
      </c>
      <c r="B223">
        <v>3516</v>
      </c>
      <c r="C223" t="b">
        <v>1</v>
      </c>
      <c r="D223">
        <v>8054</v>
      </c>
      <c r="E223">
        <v>8123</v>
      </c>
      <c r="F223">
        <v>8</v>
      </c>
      <c r="G223">
        <v>5.2</v>
      </c>
      <c r="H223">
        <v>1.5384616</v>
      </c>
      <c r="I223">
        <v>-0.53846156999999994</v>
      </c>
      <c r="J223">
        <v>0.39393938000000001</v>
      </c>
    </row>
    <row r="224" spans="1:10" x14ac:dyDescent="0.3">
      <c r="A224">
        <v>222</v>
      </c>
      <c r="B224">
        <v>3532</v>
      </c>
      <c r="C224" t="b">
        <v>1</v>
      </c>
      <c r="D224">
        <v>8048</v>
      </c>
      <c r="E224">
        <v>8123</v>
      </c>
      <c r="F224">
        <v>8</v>
      </c>
      <c r="G224">
        <v>5.2</v>
      </c>
      <c r="H224">
        <v>1.5384616</v>
      </c>
      <c r="I224">
        <v>-0.53846156999999994</v>
      </c>
      <c r="J224">
        <v>0.39393938000000001</v>
      </c>
    </row>
    <row r="225" spans="1:10" x14ac:dyDescent="0.3">
      <c r="A225">
        <v>223</v>
      </c>
      <c r="B225">
        <v>3548</v>
      </c>
      <c r="C225" t="b">
        <v>1</v>
      </c>
      <c r="D225">
        <v>8048</v>
      </c>
      <c r="E225">
        <v>8129</v>
      </c>
      <c r="F225">
        <v>8</v>
      </c>
      <c r="G225">
        <v>5.6</v>
      </c>
      <c r="H225">
        <v>1.4285715000000001</v>
      </c>
      <c r="I225">
        <v>-0.42857146000000002</v>
      </c>
      <c r="J225">
        <v>0.41176467999999999</v>
      </c>
    </row>
    <row r="226" spans="1:10" x14ac:dyDescent="0.3">
      <c r="A226">
        <v>224</v>
      </c>
      <c r="B226">
        <v>3564</v>
      </c>
      <c r="C226" t="b">
        <v>1</v>
      </c>
      <c r="D226">
        <v>8048</v>
      </c>
      <c r="E226">
        <v>8123</v>
      </c>
      <c r="F226">
        <v>8</v>
      </c>
      <c r="G226">
        <v>6</v>
      </c>
      <c r="H226">
        <v>1.3333333999999999</v>
      </c>
      <c r="I226">
        <v>-0.33333333999999998</v>
      </c>
      <c r="J226">
        <v>0.42857142999999998</v>
      </c>
    </row>
    <row r="227" spans="1:10" x14ac:dyDescent="0.3">
      <c r="A227">
        <v>225</v>
      </c>
      <c r="B227">
        <v>3580</v>
      </c>
      <c r="C227" t="b">
        <v>1</v>
      </c>
      <c r="D227">
        <v>8048</v>
      </c>
      <c r="E227">
        <v>8123</v>
      </c>
      <c r="F227">
        <v>8</v>
      </c>
      <c r="G227">
        <v>6.8</v>
      </c>
      <c r="H227">
        <v>1.1764705</v>
      </c>
      <c r="I227">
        <v>-0.17647055</v>
      </c>
      <c r="J227">
        <v>0.45945944999999999</v>
      </c>
    </row>
    <row r="228" spans="1:10" x14ac:dyDescent="0.3">
      <c r="A228">
        <v>226</v>
      </c>
      <c r="B228">
        <v>3595</v>
      </c>
      <c r="C228" t="b">
        <v>1</v>
      </c>
      <c r="D228">
        <v>8048</v>
      </c>
      <c r="E228">
        <v>8123</v>
      </c>
      <c r="F228">
        <v>8</v>
      </c>
      <c r="G228">
        <v>7.2</v>
      </c>
      <c r="H228">
        <v>1.1111112000000001</v>
      </c>
      <c r="I228">
        <v>-0.11111114</v>
      </c>
      <c r="J228">
        <v>0.4736842</v>
      </c>
    </row>
    <row r="229" spans="1:10" x14ac:dyDescent="0.3">
      <c r="A229">
        <v>227</v>
      </c>
      <c r="B229">
        <v>3611</v>
      </c>
      <c r="C229" t="b">
        <v>1</v>
      </c>
      <c r="D229">
        <v>8042</v>
      </c>
      <c r="E229">
        <v>8123</v>
      </c>
      <c r="F229">
        <v>8</v>
      </c>
      <c r="G229">
        <v>7.6</v>
      </c>
      <c r="H229">
        <v>1.0526316</v>
      </c>
      <c r="I229">
        <v>-5.2631589999999999E-2</v>
      </c>
      <c r="J229">
        <v>0.48717946000000001</v>
      </c>
    </row>
    <row r="230" spans="1:10" x14ac:dyDescent="0.3">
      <c r="A230">
        <v>228</v>
      </c>
      <c r="B230">
        <v>3627</v>
      </c>
      <c r="C230" t="b">
        <v>1</v>
      </c>
      <c r="D230">
        <v>8042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3644</v>
      </c>
      <c r="C231" t="b">
        <v>1</v>
      </c>
      <c r="D231">
        <v>8037</v>
      </c>
      <c r="E231">
        <v>8123</v>
      </c>
      <c r="F231">
        <v>7.6</v>
      </c>
      <c r="G231">
        <v>8</v>
      </c>
      <c r="H231">
        <v>0.95</v>
      </c>
      <c r="I231">
        <v>5.0000012000000003E-2</v>
      </c>
      <c r="J231">
        <v>0.51282050000000001</v>
      </c>
    </row>
    <row r="232" spans="1:10" x14ac:dyDescent="0.3">
      <c r="A232">
        <v>230</v>
      </c>
      <c r="B232">
        <v>3660</v>
      </c>
      <c r="C232" t="b">
        <v>1</v>
      </c>
      <c r="D232">
        <v>8042</v>
      </c>
      <c r="E232">
        <v>8123</v>
      </c>
      <c r="F232">
        <v>7.2</v>
      </c>
      <c r="G232">
        <v>8</v>
      </c>
      <c r="H232">
        <v>0.9</v>
      </c>
      <c r="I232">
        <v>0.10000002400000001</v>
      </c>
      <c r="J232">
        <v>0.5263158</v>
      </c>
    </row>
    <row r="233" spans="1:10" x14ac:dyDescent="0.3">
      <c r="A233">
        <v>231</v>
      </c>
      <c r="B233">
        <v>3675</v>
      </c>
      <c r="C233" t="b">
        <v>1</v>
      </c>
      <c r="D233">
        <v>8042</v>
      </c>
      <c r="E233">
        <v>8123</v>
      </c>
      <c r="F233">
        <v>6.8</v>
      </c>
      <c r="G233">
        <v>8</v>
      </c>
      <c r="H233">
        <v>0.85</v>
      </c>
      <c r="I233">
        <v>0.14999998</v>
      </c>
      <c r="J233">
        <v>0.54054049999999998</v>
      </c>
    </row>
    <row r="234" spans="1:10" x14ac:dyDescent="0.3">
      <c r="A234">
        <v>232</v>
      </c>
      <c r="B234">
        <v>3691</v>
      </c>
      <c r="C234" t="b">
        <v>1</v>
      </c>
      <c r="D234">
        <v>8042</v>
      </c>
      <c r="E234">
        <v>8123</v>
      </c>
      <c r="F234">
        <v>6.4</v>
      </c>
      <c r="G234">
        <v>8</v>
      </c>
      <c r="H234">
        <v>0.8</v>
      </c>
      <c r="I234">
        <v>0.19999998999999999</v>
      </c>
      <c r="J234">
        <v>0.55555560000000004</v>
      </c>
    </row>
    <row r="235" spans="1:10" x14ac:dyDescent="0.3">
      <c r="A235">
        <v>233</v>
      </c>
      <c r="B235">
        <v>3707</v>
      </c>
      <c r="C235" t="b">
        <v>1</v>
      </c>
      <c r="D235">
        <v>8054</v>
      </c>
      <c r="E235">
        <v>8123</v>
      </c>
      <c r="F235">
        <v>6</v>
      </c>
      <c r="G235">
        <v>8</v>
      </c>
      <c r="H235">
        <v>0.75</v>
      </c>
      <c r="I235">
        <v>0.25</v>
      </c>
      <c r="J235">
        <v>0.57142859999999995</v>
      </c>
    </row>
    <row r="236" spans="1:10" x14ac:dyDescent="0.3">
      <c r="A236">
        <v>234</v>
      </c>
      <c r="B236">
        <v>3723</v>
      </c>
      <c r="C236" t="b">
        <v>1</v>
      </c>
      <c r="D236">
        <v>8054</v>
      </c>
      <c r="E236">
        <v>8123</v>
      </c>
      <c r="F236">
        <v>5.6</v>
      </c>
      <c r="G236">
        <v>8</v>
      </c>
      <c r="H236">
        <v>0.7</v>
      </c>
      <c r="I236">
        <v>0.3</v>
      </c>
      <c r="J236">
        <v>0.58823526000000004</v>
      </c>
    </row>
    <row r="237" spans="1:10" x14ac:dyDescent="0.3">
      <c r="A237">
        <v>235</v>
      </c>
      <c r="B237">
        <v>3739</v>
      </c>
      <c r="C237" t="b">
        <v>1</v>
      </c>
      <c r="D237">
        <v>8054</v>
      </c>
      <c r="E237">
        <v>8117</v>
      </c>
      <c r="F237">
        <v>6</v>
      </c>
      <c r="G237">
        <v>8</v>
      </c>
      <c r="H237">
        <v>0.75</v>
      </c>
      <c r="I237">
        <v>0.25</v>
      </c>
      <c r="J237">
        <v>0.57142859999999995</v>
      </c>
    </row>
    <row r="238" spans="1:10" x14ac:dyDescent="0.3">
      <c r="A238">
        <v>236</v>
      </c>
      <c r="B238">
        <v>3755</v>
      </c>
      <c r="C238" t="b">
        <v>1</v>
      </c>
      <c r="D238">
        <v>8054</v>
      </c>
      <c r="E238">
        <v>8123</v>
      </c>
      <c r="F238">
        <v>6.4</v>
      </c>
      <c r="G238">
        <v>8</v>
      </c>
      <c r="H238">
        <v>0.8</v>
      </c>
      <c r="I238">
        <v>0.19999998999999999</v>
      </c>
      <c r="J238">
        <v>0.55555560000000004</v>
      </c>
    </row>
    <row r="239" spans="1:10" x14ac:dyDescent="0.3">
      <c r="A239">
        <v>237</v>
      </c>
      <c r="B239">
        <v>3771</v>
      </c>
      <c r="C239" t="b">
        <v>1</v>
      </c>
      <c r="D239">
        <v>8054</v>
      </c>
      <c r="E239">
        <v>8117</v>
      </c>
      <c r="F239">
        <v>6.8</v>
      </c>
      <c r="G239">
        <v>8</v>
      </c>
      <c r="H239">
        <v>0.85</v>
      </c>
      <c r="I239">
        <v>0.14999998</v>
      </c>
      <c r="J239">
        <v>0.54054049999999998</v>
      </c>
    </row>
    <row r="240" spans="1:10" x14ac:dyDescent="0.3">
      <c r="A240">
        <v>238</v>
      </c>
      <c r="B240">
        <v>3787</v>
      </c>
      <c r="C240" t="b">
        <v>1</v>
      </c>
      <c r="D240">
        <v>8054</v>
      </c>
      <c r="E240">
        <v>8123</v>
      </c>
      <c r="F240">
        <v>7.2</v>
      </c>
      <c r="G240">
        <v>8</v>
      </c>
      <c r="H240">
        <v>0.9</v>
      </c>
      <c r="I240">
        <v>0.10000002400000001</v>
      </c>
      <c r="J240">
        <v>0.5263158</v>
      </c>
    </row>
    <row r="241" spans="1:10" x14ac:dyDescent="0.3">
      <c r="A241">
        <v>239</v>
      </c>
      <c r="B241">
        <v>3803</v>
      </c>
      <c r="C241" t="b">
        <v>1</v>
      </c>
      <c r="D241">
        <v>8054</v>
      </c>
      <c r="E241">
        <v>8123</v>
      </c>
      <c r="F241">
        <v>7.6</v>
      </c>
      <c r="G241">
        <v>8</v>
      </c>
      <c r="H241">
        <v>0.95</v>
      </c>
      <c r="I241">
        <v>5.0000012000000003E-2</v>
      </c>
      <c r="J241">
        <v>0.51282050000000001</v>
      </c>
    </row>
    <row r="242" spans="1:10" x14ac:dyDescent="0.3">
      <c r="A242">
        <v>240</v>
      </c>
      <c r="B242">
        <v>3819</v>
      </c>
      <c r="C242" t="b">
        <v>1</v>
      </c>
      <c r="D242">
        <v>8048</v>
      </c>
      <c r="E242">
        <v>8123</v>
      </c>
      <c r="F242">
        <v>8</v>
      </c>
      <c r="G242">
        <v>8</v>
      </c>
      <c r="H242">
        <v>1</v>
      </c>
      <c r="I242">
        <v>0</v>
      </c>
      <c r="J242">
        <v>0.5</v>
      </c>
    </row>
    <row r="243" spans="1:10" x14ac:dyDescent="0.3">
      <c r="A243">
        <v>241</v>
      </c>
      <c r="B243">
        <v>3835</v>
      </c>
      <c r="C243" t="b">
        <v>1</v>
      </c>
      <c r="D243">
        <v>8048</v>
      </c>
      <c r="E243">
        <v>8123</v>
      </c>
      <c r="F243">
        <v>8.4</v>
      </c>
      <c r="G243">
        <v>8</v>
      </c>
      <c r="H243">
        <v>1.05</v>
      </c>
      <c r="I243">
        <v>-4.9999952E-2</v>
      </c>
      <c r="J243">
        <v>0.48780489999999999</v>
      </c>
    </row>
    <row r="244" spans="1:10" x14ac:dyDescent="0.3">
      <c r="A244">
        <v>242</v>
      </c>
      <c r="B244">
        <v>3851</v>
      </c>
      <c r="C244" t="b">
        <v>1</v>
      </c>
      <c r="D244">
        <v>8054</v>
      </c>
      <c r="E244">
        <v>8117</v>
      </c>
      <c r="F244">
        <v>8.8000000000000007</v>
      </c>
      <c r="G244">
        <v>8</v>
      </c>
      <c r="H244">
        <v>1.1000000000000001</v>
      </c>
      <c r="I244">
        <v>-0.10000002400000001</v>
      </c>
      <c r="J244">
        <v>0.47619050000000002</v>
      </c>
    </row>
    <row r="245" spans="1:10" x14ac:dyDescent="0.3">
      <c r="A245">
        <v>243</v>
      </c>
      <c r="B245">
        <v>3867</v>
      </c>
      <c r="C245" t="b">
        <v>1</v>
      </c>
      <c r="D245">
        <v>8054</v>
      </c>
      <c r="E245">
        <v>8123</v>
      </c>
      <c r="F245">
        <v>9.1999999999999993</v>
      </c>
      <c r="G245">
        <v>8</v>
      </c>
      <c r="H245">
        <v>1.1499999999999999</v>
      </c>
      <c r="I245">
        <v>-0.14999998</v>
      </c>
      <c r="J245">
        <v>0.46511626</v>
      </c>
    </row>
    <row r="246" spans="1:10" x14ac:dyDescent="0.3">
      <c r="A246">
        <v>244</v>
      </c>
      <c r="B246">
        <v>3882</v>
      </c>
      <c r="C246" t="b">
        <v>1</v>
      </c>
      <c r="D246">
        <v>8048</v>
      </c>
      <c r="E246">
        <v>8123</v>
      </c>
      <c r="F246">
        <v>9.6</v>
      </c>
      <c r="G246">
        <v>8</v>
      </c>
      <c r="H246">
        <v>1.2</v>
      </c>
      <c r="I246">
        <v>-0.20000005000000001</v>
      </c>
      <c r="J246">
        <v>0.45454544000000002</v>
      </c>
    </row>
    <row r="247" spans="1:10" x14ac:dyDescent="0.3">
      <c r="A247">
        <v>245</v>
      </c>
      <c r="B247">
        <v>3898</v>
      </c>
      <c r="C247" t="b">
        <v>1</v>
      </c>
      <c r="D247">
        <v>8048</v>
      </c>
      <c r="E247">
        <v>8123</v>
      </c>
      <c r="F247">
        <v>10</v>
      </c>
      <c r="G247">
        <v>8</v>
      </c>
      <c r="H247">
        <v>1.25</v>
      </c>
      <c r="I247">
        <v>-0.25</v>
      </c>
      <c r="J247">
        <v>0.44444444999999999</v>
      </c>
    </row>
    <row r="248" spans="1:10" x14ac:dyDescent="0.3">
      <c r="A248">
        <v>246</v>
      </c>
      <c r="B248">
        <v>3914</v>
      </c>
      <c r="C248" t="b">
        <v>1</v>
      </c>
      <c r="D248">
        <v>8048</v>
      </c>
      <c r="E248">
        <v>8123</v>
      </c>
      <c r="F248">
        <v>10.4</v>
      </c>
      <c r="G248">
        <v>8</v>
      </c>
      <c r="H248">
        <v>1.3</v>
      </c>
      <c r="I248">
        <v>-0.29999995000000002</v>
      </c>
      <c r="J248">
        <v>0.43478262000000001</v>
      </c>
    </row>
    <row r="249" spans="1:10" x14ac:dyDescent="0.3">
      <c r="A249">
        <v>247</v>
      </c>
      <c r="B249">
        <v>3930</v>
      </c>
      <c r="C249" t="b">
        <v>1</v>
      </c>
      <c r="D249">
        <v>8054</v>
      </c>
      <c r="E249">
        <v>8123</v>
      </c>
      <c r="F249">
        <v>10.8</v>
      </c>
      <c r="G249">
        <v>8</v>
      </c>
      <c r="H249">
        <v>1.35</v>
      </c>
      <c r="I249">
        <v>-0.35000002000000002</v>
      </c>
      <c r="J249">
        <v>0.42553192000000001</v>
      </c>
    </row>
    <row r="250" spans="1:10" x14ac:dyDescent="0.3">
      <c r="A250">
        <v>248</v>
      </c>
      <c r="B250">
        <v>3946</v>
      </c>
      <c r="C250" t="b">
        <v>1</v>
      </c>
      <c r="D250">
        <v>8048</v>
      </c>
      <c r="E250">
        <v>8123</v>
      </c>
      <c r="F250">
        <v>11.2</v>
      </c>
      <c r="G250">
        <v>8</v>
      </c>
      <c r="H250">
        <v>1.4</v>
      </c>
      <c r="I250">
        <v>-0.39999997999999998</v>
      </c>
      <c r="J250">
        <v>0.41666666000000002</v>
      </c>
    </row>
    <row r="251" spans="1:10" x14ac:dyDescent="0.3">
      <c r="A251">
        <v>249</v>
      </c>
      <c r="B251">
        <v>3962</v>
      </c>
      <c r="C251" t="b">
        <v>1</v>
      </c>
      <c r="D251">
        <v>8048</v>
      </c>
      <c r="E251">
        <v>8123</v>
      </c>
      <c r="F251">
        <v>11.6</v>
      </c>
      <c r="G251">
        <v>8</v>
      </c>
      <c r="H251">
        <v>1.45</v>
      </c>
      <c r="I251">
        <v>-0.45000004999999998</v>
      </c>
      <c r="J251">
        <v>0.40816324999999998</v>
      </c>
    </row>
    <row r="252" spans="1:10" x14ac:dyDescent="0.3">
      <c r="A252">
        <v>250</v>
      </c>
      <c r="B252">
        <v>3978</v>
      </c>
      <c r="C252" t="b">
        <v>1</v>
      </c>
      <c r="D252">
        <v>8048</v>
      </c>
      <c r="E252">
        <v>8123</v>
      </c>
      <c r="F252">
        <v>11.2</v>
      </c>
      <c r="G252">
        <v>8</v>
      </c>
      <c r="H252">
        <v>1.4</v>
      </c>
      <c r="I252">
        <v>-0.39999997999999998</v>
      </c>
      <c r="J252">
        <v>0.41666666000000002</v>
      </c>
    </row>
    <row r="253" spans="1:10" x14ac:dyDescent="0.3">
      <c r="A253">
        <v>251</v>
      </c>
      <c r="B253">
        <v>3994</v>
      </c>
      <c r="C253" t="b">
        <v>1</v>
      </c>
      <c r="D253">
        <v>8048</v>
      </c>
      <c r="E253">
        <v>8117</v>
      </c>
      <c r="F253">
        <v>10.8</v>
      </c>
      <c r="G253">
        <v>8</v>
      </c>
      <c r="H253">
        <v>1.35</v>
      </c>
      <c r="I253">
        <v>-0.35000002000000002</v>
      </c>
      <c r="J253">
        <v>0.42553192000000001</v>
      </c>
    </row>
    <row r="254" spans="1:10" x14ac:dyDescent="0.3">
      <c r="A254">
        <v>252</v>
      </c>
      <c r="B254">
        <v>4010</v>
      </c>
      <c r="C254" t="b">
        <v>1</v>
      </c>
      <c r="D254">
        <v>8048</v>
      </c>
      <c r="E254">
        <v>8123</v>
      </c>
      <c r="F254">
        <v>10.4</v>
      </c>
      <c r="G254">
        <v>8</v>
      </c>
      <c r="H254">
        <v>1.3</v>
      </c>
      <c r="I254">
        <v>-0.29999995000000002</v>
      </c>
      <c r="J254">
        <v>0.43478262000000001</v>
      </c>
    </row>
    <row r="255" spans="1:10" x14ac:dyDescent="0.3">
      <c r="A255">
        <v>253</v>
      </c>
      <c r="B255">
        <v>4026</v>
      </c>
      <c r="C255" t="b">
        <v>1</v>
      </c>
      <c r="D255">
        <v>8054</v>
      </c>
      <c r="E255">
        <v>8117</v>
      </c>
      <c r="F255">
        <v>10</v>
      </c>
      <c r="G255">
        <v>8</v>
      </c>
      <c r="H255">
        <v>1.25</v>
      </c>
      <c r="I255">
        <v>-0.25</v>
      </c>
      <c r="J255">
        <v>0.44444444999999999</v>
      </c>
    </row>
    <row r="256" spans="1:10" x14ac:dyDescent="0.3">
      <c r="A256">
        <v>254</v>
      </c>
      <c r="B256">
        <v>4042</v>
      </c>
      <c r="C256" t="b">
        <v>1</v>
      </c>
      <c r="D256">
        <v>8048</v>
      </c>
      <c r="E256">
        <v>8117</v>
      </c>
      <c r="F256">
        <v>9.6</v>
      </c>
      <c r="G256">
        <v>7.6</v>
      </c>
      <c r="H256">
        <v>1.263158</v>
      </c>
      <c r="I256">
        <v>-0.26315796000000002</v>
      </c>
      <c r="J256">
        <v>0.44186044000000002</v>
      </c>
    </row>
    <row r="257" spans="1:10" x14ac:dyDescent="0.3">
      <c r="A257">
        <v>255</v>
      </c>
      <c r="B257">
        <v>4058</v>
      </c>
      <c r="C257" t="b">
        <v>1</v>
      </c>
      <c r="D257">
        <v>8048</v>
      </c>
      <c r="E257">
        <v>8123</v>
      </c>
      <c r="F257">
        <v>9.1999999999999993</v>
      </c>
      <c r="G257">
        <v>7.2</v>
      </c>
      <c r="H257">
        <v>1.2777778</v>
      </c>
      <c r="I257">
        <v>-0.27777780000000002</v>
      </c>
      <c r="J257">
        <v>0.43902439999999998</v>
      </c>
    </row>
    <row r="258" spans="1:10" x14ac:dyDescent="0.3">
      <c r="A258">
        <v>256</v>
      </c>
      <c r="B258">
        <v>4073</v>
      </c>
      <c r="C258" t="b">
        <v>1</v>
      </c>
      <c r="D258">
        <v>8054</v>
      </c>
      <c r="E258">
        <v>8123</v>
      </c>
      <c r="F258">
        <v>8.8000000000000007</v>
      </c>
      <c r="G258">
        <v>7.2</v>
      </c>
      <c r="H258">
        <v>1.2222223000000001</v>
      </c>
      <c r="I258">
        <v>-0.22222227999999999</v>
      </c>
      <c r="J258">
        <v>0.45</v>
      </c>
    </row>
    <row r="259" spans="1:10" x14ac:dyDescent="0.3">
      <c r="A259">
        <v>257</v>
      </c>
      <c r="B259">
        <v>4089</v>
      </c>
      <c r="C259" t="b">
        <v>1</v>
      </c>
      <c r="D259">
        <v>8048</v>
      </c>
      <c r="E259">
        <v>8117</v>
      </c>
      <c r="F259">
        <v>8.4</v>
      </c>
      <c r="G259">
        <v>6.8</v>
      </c>
      <c r="H259">
        <v>1.2352939999999999</v>
      </c>
      <c r="I259">
        <v>-0.23529402999999999</v>
      </c>
      <c r="J259">
        <v>0.44736843999999998</v>
      </c>
    </row>
    <row r="260" spans="1:10" x14ac:dyDescent="0.3">
      <c r="A260">
        <v>258</v>
      </c>
      <c r="B260">
        <v>4105</v>
      </c>
      <c r="C260" t="b">
        <v>1</v>
      </c>
      <c r="D260">
        <v>8048</v>
      </c>
      <c r="E260">
        <v>8123</v>
      </c>
      <c r="F260">
        <v>8</v>
      </c>
      <c r="G260">
        <v>6.8</v>
      </c>
      <c r="H260">
        <v>1.1764705</v>
      </c>
      <c r="I260">
        <v>-0.17647055</v>
      </c>
      <c r="J260">
        <v>0.45945944999999999</v>
      </c>
    </row>
    <row r="261" spans="1:10" x14ac:dyDescent="0.3">
      <c r="A261">
        <v>259</v>
      </c>
      <c r="B261">
        <v>4121</v>
      </c>
      <c r="C261" t="b">
        <v>1</v>
      </c>
      <c r="D261">
        <v>8048</v>
      </c>
      <c r="E261">
        <v>8123</v>
      </c>
      <c r="F261">
        <v>8</v>
      </c>
      <c r="G261">
        <v>6.8</v>
      </c>
      <c r="H261">
        <v>1.1764705</v>
      </c>
      <c r="I261">
        <v>-0.17647055</v>
      </c>
      <c r="J261">
        <v>0.45945944999999999</v>
      </c>
    </row>
    <row r="262" spans="1:10" x14ac:dyDescent="0.3">
      <c r="A262">
        <v>260</v>
      </c>
      <c r="B262">
        <v>4137</v>
      </c>
      <c r="C262" t="b">
        <v>1</v>
      </c>
      <c r="D262">
        <v>8054</v>
      </c>
      <c r="E262">
        <v>8123</v>
      </c>
      <c r="F262">
        <v>8</v>
      </c>
      <c r="G262">
        <v>6.8</v>
      </c>
      <c r="H262">
        <v>1.1764705</v>
      </c>
      <c r="I262">
        <v>-0.17647055</v>
      </c>
      <c r="J262">
        <v>0.45945944999999999</v>
      </c>
    </row>
    <row r="263" spans="1:10" x14ac:dyDescent="0.3">
      <c r="A263">
        <v>261</v>
      </c>
      <c r="B263">
        <v>4153</v>
      </c>
      <c r="C263" t="b">
        <v>1</v>
      </c>
      <c r="D263">
        <v>8054</v>
      </c>
      <c r="E263">
        <v>8123</v>
      </c>
      <c r="F263">
        <v>8</v>
      </c>
      <c r="G263">
        <v>6.8</v>
      </c>
      <c r="H263">
        <v>1.1764705</v>
      </c>
      <c r="I263">
        <v>-0.17647055</v>
      </c>
      <c r="J263">
        <v>0.45945944999999999</v>
      </c>
    </row>
    <row r="264" spans="1:10" x14ac:dyDescent="0.3">
      <c r="A264">
        <v>262</v>
      </c>
      <c r="B264">
        <v>4169</v>
      </c>
      <c r="C264" t="b">
        <v>1</v>
      </c>
      <c r="D264">
        <v>8054</v>
      </c>
      <c r="E264">
        <v>8117</v>
      </c>
      <c r="F264">
        <v>8.4</v>
      </c>
      <c r="G264">
        <v>6.8</v>
      </c>
      <c r="H264">
        <v>1.2352939999999999</v>
      </c>
      <c r="I264">
        <v>-0.23529402999999999</v>
      </c>
      <c r="J264">
        <v>0.44736843999999998</v>
      </c>
    </row>
    <row r="265" spans="1:10" x14ac:dyDescent="0.3">
      <c r="A265">
        <v>263</v>
      </c>
      <c r="B265">
        <v>4185</v>
      </c>
      <c r="C265" t="b">
        <v>1</v>
      </c>
      <c r="D265">
        <v>8054</v>
      </c>
      <c r="E265">
        <v>8123</v>
      </c>
      <c r="F265">
        <v>8.8000000000000007</v>
      </c>
      <c r="G265">
        <v>6.8</v>
      </c>
      <c r="H265">
        <v>1.2941176999999999</v>
      </c>
      <c r="I265">
        <v>-0.29411763000000002</v>
      </c>
      <c r="J265">
        <v>0.43589744000000002</v>
      </c>
    </row>
    <row r="266" spans="1:10" x14ac:dyDescent="0.3">
      <c r="A266">
        <v>264</v>
      </c>
      <c r="B266">
        <v>4201</v>
      </c>
      <c r="C266" t="b">
        <v>1</v>
      </c>
      <c r="D266">
        <v>8048</v>
      </c>
      <c r="E266">
        <v>8117</v>
      </c>
      <c r="F266">
        <v>9.1999999999999993</v>
      </c>
      <c r="G266">
        <v>6.8</v>
      </c>
      <c r="H266">
        <v>1.3529412000000001</v>
      </c>
      <c r="I266">
        <v>-0.35294110000000001</v>
      </c>
      <c r="J266">
        <v>0.42499999999999999</v>
      </c>
    </row>
    <row r="267" spans="1:10" x14ac:dyDescent="0.3">
      <c r="A267">
        <v>265</v>
      </c>
      <c r="B267">
        <v>4217</v>
      </c>
      <c r="C267" t="b">
        <v>1</v>
      </c>
      <c r="D267">
        <v>8048</v>
      </c>
      <c r="E267">
        <v>8117</v>
      </c>
      <c r="F267">
        <v>9.6</v>
      </c>
      <c r="G267">
        <v>6.4</v>
      </c>
      <c r="H267">
        <v>1.5</v>
      </c>
      <c r="I267">
        <v>-0.50000005999999997</v>
      </c>
      <c r="J267">
        <v>0.4</v>
      </c>
    </row>
    <row r="268" spans="1:10" x14ac:dyDescent="0.3">
      <c r="A268">
        <v>266</v>
      </c>
      <c r="B268">
        <v>4232</v>
      </c>
      <c r="C268" t="b">
        <v>1</v>
      </c>
      <c r="D268">
        <v>8054</v>
      </c>
      <c r="E268">
        <v>8123</v>
      </c>
      <c r="F268">
        <v>10</v>
      </c>
      <c r="G268">
        <v>6</v>
      </c>
      <c r="H268">
        <v>1.6666666000000001</v>
      </c>
      <c r="I268">
        <v>-0.66666669999999995</v>
      </c>
      <c r="J268">
        <v>0.375</v>
      </c>
    </row>
    <row r="269" spans="1:10" x14ac:dyDescent="0.3">
      <c r="A269">
        <v>267</v>
      </c>
      <c r="B269">
        <v>4248</v>
      </c>
      <c r="C269" t="b">
        <v>1</v>
      </c>
      <c r="D269">
        <v>8048</v>
      </c>
      <c r="E269">
        <v>8123</v>
      </c>
      <c r="F269">
        <v>10</v>
      </c>
      <c r="G269">
        <v>6</v>
      </c>
      <c r="H269">
        <v>1.6666666000000001</v>
      </c>
      <c r="I269">
        <v>-0.66666669999999995</v>
      </c>
      <c r="J269">
        <v>0.375</v>
      </c>
    </row>
    <row r="270" spans="1:10" x14ac:dyDescent="0.3">
      <c r="A270">
        <v>268</v>
      </c>
      <c r="B270">
        <v>4264</v>
      </c>
      <c r="C270" t="b">
        <v>1</v>
      </c>
      <c r="D270">
        <v>8048</v>
      </c>
      <c r="E270">
        <v>8117</v>
      </c>
      <c r="F270">
        <v>10</v>
      </c>
      <c r="G270">
        <v>5.6</v>
      </c>
      <c r="H270">
        <v>1.7857143</v>
      </c>
      <c r="I270">
        <v>-0.78571429999999998</v>
      </c>
      <c r="J270">
        <v>0.35897434</v>
      </c>
    </row>
    <row r="271" spans="1:10" x14ac:dyDescent="0.3">
      <c r="A271">
        <v>269</v>
      </c>
      <c r="B271">
        <v>4279</v>
      </c>
      <c r="C271" t="b">
        <v>1</v>
      </c>
      <c r="D271">
        <v>8048</v>
      </c>
      <c r="E271">
        <v>8123</v>
      </c>
      <c r="F271">
        <v>10</v>
      </c>
      <c r="G271">
        <v>6</v>
      </c>
      <c r="H271">
        <v>1.6666666000000001</v>
      </c>
      <c r="I271">
        <v>-0.66666669999999995</v>
      </c>
      <c r="J271">
        <v>0.375</v>
      </c>
    </row>
    <row r="272" spans="1:10" x14ac:dyDescent="0.3">
      <c r="A272">
        <v>270</v>
      </c>
      <c r="B272">
        <v>4295</v>
      </c>
      <c r="C272" t="b">
        <v>1</v>
      </c>
      <c r="D272">
        <v>8048</v>
      </c>
      <c r="E272">
        <v>8123</v>
      </c>
      <c r="F272">
        <v>10</v>
      </c>
      <c r="G272">
        <v>6.4</v>
      </c>
      <c r="H272">
        <v>1.5625</v>
      </c>
      <c r="I272">
        <v>-0.5625</v>
      </c>
      <c r="J272">
        <v>0.39024392000000002</v>
      </c>
    </row>
    <row r="273" spans="1:10" x14ac:dyDescent="0.3">
      <c r="A273">
        <v>271</v>
      </c>
      <c r="B273">
        <v>4311</v>
      </c>
      <c r="C273" t="b">
        <v>1</v>
      </c>
      <c r="D273">
        <v>8048</v>
      </c>
      <c r="E273">
        <v>8123</v>
      </c>
      <c r="F273">
        <v>10</v>
      </c>
      <c r="G273">
        <v>6.4</v>
      </c>
      <c r="H273">
        <v>1.5625</v>
      </c>
      <c r="I273">
        <v>-0.5625</v>
      </c>
      <c r="J273">
        <v>0.39024392000000002</v>
      </c>
    </row>
    <row r="274" spans="1:10" x14ac:dyDescent="0.3">
      <c r="A274">
        <v>272</v>
      </c>
      <c r="B274">
        <v>4327</v>
      </c>
      <c r="C274" t="b">
        <v>1</v>
      </c>
      <c r="D274">
        <v>8048</v>
      </c>
      <c r="E274">
        <v>8117</v>
      </c>
      <c r="F274">
        <v>10</v>
      </c>
      <c r="G274">
        <v>6.8</v>
      </c>
      <c r="H274">
        <v>1.4705881999999999</v>
      </c>
      <c r="I274">
        <v>-0.47058820000000001</v>
      </c>
      <c r="J274">
        <v>0.40476193999999999</v>
      </c>
    </row>
    <row r="275" spans="1:10" x14ac:dyDescent="0.3">
      <c r="A275">
        <v>273</v>
      </c>
      <c r="B275">
        <v>4343</v>
      </c>
      <c r="C275" t="b">
        <v>1</v>
      </c>
      <c r="D275">
        <v>8048</v>
      </c>
      <c r="E275">
        <v>8123</v>
      </c>
      <c r="F275">
        <v>10</v>
      </c>
      <c r="G275">
        <v>6.8</v>
      </c>
      <c r="H275">
        <v>1.4705881999999999</v>
      </c>
      <c r="I275">
        <v>-0.47058820000000001</v>
      </c>
      <c r="J275">
        <v>0.40476193999999999</v>
      </c>
    </row>
    <row r="276" spans="1:10" x14ac:dyDescent="0.3">
      <c r="A276">
        <v>274</v>
      </c>
      <c r="B276">
        <v>4359</v>
      </c>
      <c r="C276" t="b">
        <v>1</v>
      </c>
      <c r="D276">
        <v>8048</v>
      </c>
      <c r="E276">
        <v>8123</v>
      </c>
      <c r="F276">
        <v>10</v>
      </c>
      <c r="G276">
        <v>6.8</v>
      </c>
      <c r="H276">
        <v>1.4705881999999999</v>
      </c>
      <c r="I276">
        <v>-0.47058820000000001</v>
      </c>
      <c r="J276">
        <v>0.40476193999999999</v>
      </c>
    </row>
    <row r="277" spans="1:10" x14ac:dyDescent="0.3">
      <c r="A277">
        <v>275</v>
      </c>
      <c r="B277">
        <v>4375</v>
      </c>
      <c r="C277" t="b">
        <v>1</v>
      </c>
      <c r="D277">
        <v>8054</v>
      </c>
      <c r="E277">
        <v>8117</v>
      </c>
      <c r="F277">
        <v>10</v>
      </c>
      <c r="G277">
        <v>6.8</v>
      </c>
      <c r="H277">
        <v>1.4705881999999999</v>
      </c>
      <c r="I277">
        <v>-0.47058820000000001</v>
      </c>
      <c r="J277">
        <v>0.40476193999999999</v>
      </c>
    </row>
    <row r="278" spans="1:10" x14ac:dyDescent="0.3">
      <c r="A278">
        <v>276</v>
      </c>
      <c r="B278">
        <v>4391</v>
      </c>
      <c r="C278" t="b">
        <v>1</v>
      </c>
      <c r="D278">
        <v>8048</v>
      </c>
      <c r="E278">
        <v>8117</v>
      </c>
      <c r="F278">
        <v>10</v>
      </c>
      <c r="G278">
        <v>6.4</v>
      </c>
      <c r="H278">
        <v>1.5625</v>
      </c>
      <c r="I278">
        <v>-0.5625</v>
      </c>
      <c r="J278">
        <v>0.39024392000000002</v>
      </c>
    </row>
    <row r="279" spans="1:10" x14ac:dyDescent="0.3">
      <c r="A279">
        <v>277</v>
      </c>
      <c r="B279">
        <v>4407</v>
      </c>
      <c r="C279" t="b">
        <v>1</v>
      </c>
      <c r="D279">
        <v>8048</v>
      </c>
      <c r="E279">
        <v>8123</v>
      </c>
      <c r="F279">
        <v>9.6</v>
      </c>
      <c r="G279">
        <v>6.4</v>
      </c>
      <c r="H279">
        <v>1.5</v>
      </c>
      <c r="I279">
        <v>-0.50000005999999997</v>
      </c>
      <c r="J279">
        <v>0.4</v>
      </c>
    </row>
    <row r="280" spans="1:10" x14ac:dyDescent="0.3">
      <c r="A280">
        <v>278</v>
      </c>
      <c r="B280">
        <v>4422</v>
      </c>
      <c r="C280" t="b">
        <v>1</v>
      </c>
      <c r="D280">
        <v>8048</v>
      </c>
      <c r="E280">
        <v>8123</v>
      </c>
      <c r="F280">
        <v>9.1999999999999993</v>
      </c>
      <c r="G280">
        <v>6.4</v>
      </c>
      <c r="H280">
        <v>1.4375</v>
      </c>
      <c r="I280">
        <v>-0.43749993999999998</v>
      </c>
      <c r="J280">
        <v>0.41025642000000001</v>
      </c>
    </row>
    <row r="281" spans="1:10" x14ac:dyDescent="0.3">
      <c r="A281">
        <v>279</v>
      </c>
      <c r="B281">
        <v>4438</v>
      </c>
      <c r="C281" t="b">
        <v>1</v>
      </c>
      <c r="D281">
        <v>8048</v>
      </c>
      <c r="E281">
        <v>8123</v>
      </c>
      <c r="F281">
        <v>8.8000000000000007</v>
      </c>
      <c r="G281">
        <v>6.4</v>
      </c>
      <c r="H281">
        <v>1.375</v>
      </c>
      <c r="I281">
        <v>-0.375</v>
      </c>
      <c r="J281">
        <v>0.4210526</v>
      </c>
    </row>
    <row r="282" spans="1:10" x14ac:dyDescent="0.3">
      <c r="A282">
        <v>280</v>
      </c>
      <c r="B282">
        <v>4454</v>
      </c>
      <c r="C282" t="b">
        <v>1</v>
      </c>
      <c r="D282">
        <v>8048</v>
      </c>
      <c r="E282">
        <v>8129</v>
      </c>
      <c r="F282">
        <v>8.4</v>
      </c>
      <c r="G282">
        <v>6.8</v>
      </c>
      <c r="H282">
        <v>1.2352939999999999</v>
      </c>
      <c r="I282">
        <v>-0.23529402999999999</v>
      </c>
      <c r="J282">
        <v>0.44736843999999998</v>
      </c>
    </row>
    <row r="283" spans="1:10" x14ac:dyDescent="0.3">
      <c r="A283">
        <v>281</v>
      </c>
      <c r="B283">
        <v>4470</v>
      </c>
      <c r="C283" t="b">
        <v>1</v>
      </c>
      <c r="D283">
        <v>8048</v>
      </c>
      <c r="E283">
        <v>8129</v>
      </c>
      <c r="F283">
        <v>8</v>
      </c>
      <c r="G283">
        <v>7.2</v>
      </c>
      <c r="H283">
        <v>1.1111112000000001</v>
      </c>
      <c r="I283">
        <v>-0.11111114</v>
      </c>
      <c r="J283">
        <v>0.4736842</v>
      </c>
    </row>
    <row r="284" spans="1:10" x14ac:dyDescent="0.3">
      <c r="A284">
        <v>282</v>
      </c>
      <c r="B284">
        <v>4486</v>
      </c>
      <c r="C284" t="b">
        <v>1</v>
      </c>
      <c r="D284">
        <v>8048</v>
      </c>
      <c r="E284">
        <v>8123</v>
      </c>
      <c r="F284">
        <v>8</v>
      </c>
      <c r="G284">
        <v>7.2</v>
      </c>
      <c r="H284">
        <v>1.1111112000000001</v>
      </c>
      <c r="I284">
        <v>-0.11111114</v>
      </c>
      <c r="J284">
        <v>0.4736842</v>
      </c>
    </row>
    <row r="285" spans="1:10" x14ac:dyDescent="0.3">
      <c r="A285">
        <v>283</v>
      </c>
      <c r="B285">
        <v>4502</v>
      </c>
      <c r="C285" t="b">
        <v>1</v>
      </c>
      <c r="D285">
        <v>8048</v>
      </c>
      <c r="E285">
        <v>8129</v>
      </c>
      <c r="F285">
        <v>8</v>
      </c>
      <c r="G285">
        <v>8</v>
      </c>
      <c r="H285">
        <v>1</v>
      </c>
      <c r="I285">
        <v>0</v>
      </c>
      <c r="J285">
        <v>0.5</v>
      </c>
    </row>
    <row r="286" spans="1:10" x14ac:dyDescent="0.3">
      <c r="A286">
        <v>284</v>
      </c>
      <c r="B286">
        <v>4518</v>
      </c>
      <c r="C286" t="b">
        <v>1</v>
      </c>
      <c r="D286">
        <v>8054</v>
      </c>
      <c r="E286">
        <v>8123</v>
      </c>
      <c r="F286">
        <v>8</v>
      </c>
      <c r="G286">
        <v>8.4</v>
      </c>
      <c r="H286">
        <v>0.95238100000000003</v>
      </c>
      <c r="I286">
        <v>4.7619003999999999E-2</v>
      </c>
      <c r="J286">
        <v>0.51219510000000001</v>
      </c>
    </row>
    <row r="287" spans="1:10" x14ac:dyDescent="0.3">
      <c r="A287">
        <v>285</v>
      </c>
      <c r="B287">
        <v>4534</v>
      </c>
      <c r="C287" t="b">
        <v>1</v>
      </c>
      <c r="D287">
        <v>8054</v>
      </c>
      <c r="E287">
        <v>8129</v>
      </c>
      <c r="F287">
        <v>8</v>
      </c>
      <c r="G287">
        <v>8.8000000000000007</v>
      </c>
      <c r="H287">
        <v>0.90909090000000004</v>
      </c>
      <c r="I287">
        <v>9.0909110000000001E-2</v>
      </c>
      <c r="J287">
        <v>0.52380954999999996</v>
      </c>
    </row>
    <row r="288" spans="1:10" x14ac:dyDescent="0.3">
      <c r="A288">
        <v>286</v>
      </c>
      <c r="B288">
        <v>4550</v>
      </c>
      <c r="C288" t="b">
        <v>1</v>
      </c>
      <c r="D288">
        <v>8048</v>
      </c>
      <c r="E288">
        <v>8117</v>
      </c>
      <c r="F288">
        <v>8</v>
      </c>
      <c r="G288">
        <v>8.8000000000000007</v>
      </c>
      <c r="H288">
        <v>0.90909090000000004</v>
      </c>
      <c r="I288">
        <v>9.0909110000000001E-2</v>
      </c>
      <c r="J288">
        <v>0.52380954999999996</v>
      </c>
    </row>
    <row r="289" spans="1:10" x14ac:dyDescent="0.3">
      <c r="A289">
        <v>287</v>
      </c>
      <c r="B289">
        <v>4566</v>
      </c>
      <c r="C289" t="b">
        <v>1</v>
      </c>
      <c r="D289">
        <v>8048</v>
      </c>
      <c r="E289">
        <v>8123</v>
      </c>
      <c r="F289">
        <v>8</v>
      </c>
      <c r="G289">
        <v>8.8000000000000007</v>
      </c>
      <c r="H289">
        <v>0.90909090000000004</v>
      </c>
      <c r="I289">
        <v>9.0909110000000001E-2</v>
      </c>
      <c r="J289">
        <v>0.52380954999999996</v>
      </c>
    </row>
    <row r="290" spans="1:10" x14ac:dyDescent="0.3">
      <c r="A290">
        <v>288</v>
      </c>
      <c r="B290">
        <v>4581</v>
      </c>
      <c r="C290" t="b">
        <v>1</v>
      </c>
      <c r="D290">
        <v>8048</v>
      </c>
      <c r="E290">
        <v>8123</v>
      </c>
      <c r="F290">
        <v>8</v>
      </c>
      <c r="G290">
        <v>8.8000000000000007</v>
      </c>
      <c r="H290">
        <v>0.90909090000000004</v>
      </c>
      <c r="I290">
        <v>9.0909110000000001E-2</v>
      </c>
      <c r="J290">
        <v>0.52380954999999996</v>
      </c>
    </row>
    <row r="291" spans="1:10" x14ac:dyDescent="0.3">
      <c r="A291">
        <v>289</v>
      </c>
      <c r="B291">
        <v>4597</v>
      </c>
      <c r="C291" t="b">
        <v>1</v>
      </c>
      <c r="D291">
        <v>8048</v>
      </c>
      <c r="E291">
        <v>8123</v>
      </c>
      <c r="F291">
        <v>8</v>
      </c>
      <c r="G291">
        <v>8.8000000000000007</v>
      </c>
      <c r="H291">
        <v>0.90909090000000004</v>
      </c>
      <c r="I291">
        <v>9.0909110000000001E-2</v>
      </c>
      <c r="J291">
        <v>0.52380954999999996</v>
      </c>
    </row>
    <row r="292" spans="1:10" x14ac:dyDescent="0.3">
      <c r="A292">
        <v>290</v>
      </c>
      <c r="B292">
        <v>4613</v>
      </c>
      <c r="C292" t="b">
        <v>1</v>
      </c>
      <c r="D292">
        <v>8054</v>
      </c>
      <c r="E292">
        <v>8123</v>
      </c>
      <c r="F292">
        <v>8</v>
      </c>
      <c r="G292">
        <v>8.8000000000000007</v>
      </c>
      <c r="H292">
        <v>0.90909090000000004</v>
      </c>
      <c r="I292">
        <v>9.0909110000000001E-2</v>
      </c>
      <c r="J292">
        <v>0.52380954999999996</v>
      </c>
    </row>
    <row r="293" spans="1:10" x14ac:dyDescent="0.3">
      <c r="A293">
        <v>291</v>
      </c>
      <c r="B293">
        <v>4629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4645</v>
      </c>
      <c r="C294" t="b">
        <v>1</v>
      </c>
      <c r="D294">
        <v>8048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4661</v>
      </c>
      <c r="C295" t="b">
        <v>1</v>
      </c>
      <c r="D295">
        <v>8048</v>
      </c>
      <c r="E295">
        <v>8123</v>
      </c>
      <c r="F295">
        <v>8</v>
      </c>
      <c r="G295">
        <v>9.1999999999999993</v>
      </c>
      <c r="H295">
        <v>0.86956524999999996</v>
      </c>
      <c r="I295">
        <v>0.13043477000000001</v>
      </c>
      <c r="J295">
        <v>0.53488369999999996</v>
      </c>
    </row>
    <row r="296" spans="1:10" x14ac:dyDescent="0.3">
      <c r="A296">
        <v>294</v>
      </c>
      <c r="B296">
        <v>4677</v>
      </c>
      <c r="C296" t="b">
        <v>1</v>
      </c>
      <c r="D296">
        <v>8048</v>
      </c>
      <c r="E296">
        <v>8123</v>
      </c>
      <c r="F296">
        <v>8</v>
      </c>
      <c r="G296">
        <v>9.1999999999999993</v>
      </c>
      <c r="H296">
        <v>0.86956524999999996</v>
      </c>
      <c r="I296">
        <v>0.13043477000000001</v>
      </c>
      <c r="J296">
        <v>0.53488369999999996</v>
      </c>
    </row>
    <row r="297" spans="1:10" x14ac:dyDescent="0.3">
      <c r="A297">
        <v>295</v>
      </c>
      <c r="B297">
        <v>4693</v>
      </c>
      <c r="C297" t="b">
        <v>1</v>
      </c>
      <c r="D297">
        <v>8048</v>
      </c>
      <c r="E297">
        <v>8123</v>
      </c>
      <c r="F297">
        <v>8</v>
      </c>
      <c r="G297">
        <v>9.1999999999999993</v>
      </c>
      <c r="H297">
        <v>0.86956524999999996</v>
      </c>
      <c r="I297">
        <v>0.13043477000000001</v>
      </c>
      <c r="J297">
        <v>0.53488369999999996</v>
      </c>
    </row>
    <row r="298" spans="1:10" x14ac:dyDescent="0.3">
      <c r="A298">
        <v>296</v>
      </c>
      <c r="B298">
        <v>4709</v>
      </c>
      <c r="C298" t="b">
        <v>1</v>
      </c>
      <c r="D298">
        <v>8048</v>
      </c>
      <c r="E298">
        <v>8123</v>
      </c>
      <c r="F298">
        <v>8</v>
      </c>
      <c r="G298">
        <v>9.1999999999999993</v>
      </c>
      <c r="H298">
        <v>0.86956524999999996</v>
      </c>
      <c r="I298">
        <v>0.13043477000000001</v>
      </c>
      <c r="J298">
        <v>0.53488369999999996</v>
      </c>
    </row>
    <row r="299" spans="1:10" x14ac:dyDescent="0.3">
      <c r="A299">
        <v>297</v>
      </c>
      <c r="B299">
        <v>4725</v>
      </c>
      <c r="C299" t="b">
        <v>1</v>
      </c>
      <c r="D299">
        <v>8054</v>
      </c>
      <c r="E299">
        <v>8123</v>
      </c>
      <c r="F299">
        <v>8</v>
      </c>
      <c r="G299">
        <v>9.1999999999999993</v>
      </c>
      <c r="H299">
        <v>0.86956524999999996</v>
      </c>
      <c r="I299">
        <v>0.13043477000000001</v>
      </c>
      <c r="J299">
        <v>0.53488369999999996</v>
      </c>
    </row>
    <row r="300" spans="1:10" x14ac:dyDescent="0.3">
      <c r="A300">
        <v>298</v>
      </c>
      <c r="B300">
        <v>4741</v>
      </c>
      <c r="C300" t="b">
        <v>1</v>
      </c>
      <c r="D300">
        <v>8048</v>
      </c>
      <c r="E300">
        <v>8117</v>
      </c>
      <c r="F300">
        <v>8</v>
      </c>
      <c r="G300">
        <v>8.8000000000000007</v>
      </c>
      <c r="H300">
        <v>0.90909090000000004</v>
      </c>
      <c r="I300">
        <v>9.0909110000000001E-2</v>
      </c>
      <c r="J300">
        <v>0.52380954999999996</v>
      </c>
    </row>
    <row r="301" spans="1:10" x14ac:dyDescent="0.3">
      <c r="A301">
        <v>299</v>
      </c>
      <c r="B301">
        <v>4757</v>
      </c>
      <c r="C301" t="b">
        <v>1</v>
      </c>
      <c r="D301">
        <v>8048</v>
      </c>
      <c r="E301">
        <v>8123</v>
      </c>
      <c r="F301">
        <v>8</v>
      </c>
      <c r="G301">
        <v>8.4</v>
      </c>
      <c r="H301">
        <v>0.95238100000000003</v>
      </c>
      <c r="I301">
        <v>4.7619003999999999E-2</v>
      </c>
      <c r="J301">
        <v>0.51219510000000001</v>
      </c>
    </row>
    <row r="302" spans="1:10" x14ac:dyDescent="0.3">
      <c r="A302">
        <v>300</v>
      </c>
      <c r="B302">
        <v>4772</v>
      </c>
      <c r="C302" t="b">
        <v>1</v>
      </c>
      <c r="D302">
        <v>8048</v>
      </c>
      <c r="E302">
        <v>8123</v>
      </c>
      <c r="F302">
        <v>8</v>
      </c>
      <c r="G302">
        <v>8</v>
      </c>
      <c r="H302">
        <v>1</v>
      </c>
      <c r="I302">
        <v>0</v>
      </c>
      <c r="J302">
        <v>0.5</v>
      </c>
    </row>
    <row r="303" spans="1:10" x14ac:dyDescent="0.3">
      <c r="A303">
        <v>301</v>
      </c>
      <c r="B303">
        <v>4788</v>
      </c>
      <c r="C303" t="b">
        <v>1</v>
      </c>
      <c r="D303">
        <v>8048</v>
      </c>
      <c r="E303">
        <v>8117</v>
      </c>
      <c r="F303">
        <v>8</v>
      </c>
      <c r="G303">
        <v>8</v>
      </c>
      <c r="H303">
        <v>1</v>
      </c>
      <c r="I303">
        <v>0</v>
      </c>
      <c r="J303">
        <v>0.5</v>
      </c>
    </row>
    <row r="304" spans="1:10" x14ac:dyDescent="0.3">
      <c r="A304">
        <v>302</v>
      </c>
      <c r="B304">
        <v>4804</v>
      </c>
      <c r="C304" t="b">
        <v>1</v>
      </c>
      <c r="D304">
        <v>8048</v>
      </c>
      <c r="E304">
        <v>8117</v>
      </c>
      <c r="F304">
        <v>8</v>
      </c>
      <c r="G304">
        <v>7.6</v>
      </c>
      <c r="H304">
        <v>1.0526316</v>
      </c>
      <c r="I304">
        <v>-5.2631589999999999E-2</v>
      </c>
      <c r="J304">
        <v>0.48717946000000001</v>
      </c>
    </row>
    <row r="305" spans="1:10" x14ac:dyDescent="0.3">
      <c r="A305">
        <v>303</v>
      </c>
      <c r="B305">
        <v>4820</v>
      </c>
      <c r="C305" t="b">
        <v>1</v>
      </c>
      <c r="D305">
        <v>8048</v>
      </c>
      <c r="E305">
        <v>8117</v>
      </c>
      <c r="F305">
        <v>8</v>
      </c>
      <c r="G305">
        <v>7.2</v>
      </c>
      <c r="H305">
        <v>1.1111112000000001</v>
      </c>
      <c r="I305">
        <v>-0.11111114</v>
      </c>
      <c r="J305">
        <v>0.4736842</v>
      </c>
    </row>
    <row r="306" spans="1:10" x14ac:dyDescent="0.3">
      <c r="A306">
        <v>304</v>
      </c>
      <c r="B306">
        <v>4836</v>
      </c>
      <c r="C306" t="b">
        <v>1</v>
      </c>
      <c r="D306">
        <v>8048</v>
      </c>
      <c r="E306">
        <v>8123</v>
      </c>
      <c r="F306">
        <v>8</v>
      </c>
      <c r="G306">
        <v>6.8</v>
      </c>
      <c r="H306">
        <v>1.1764705</v>
      </c>
      <c r="I306">
        <v>-0.17647055</v>
      </c>
      <c r="J306">
        <v>0.45945944999999999</v>
      </c>
    </row>
    <row r="307" spans="1:10" x14ac:dyDescent="0.3">
      <c r="A307">
        <v>305</v>
      </c>
      <c r="B307">
        <v>4852</v>
      </c>
      <c r="C307" t="b">
        <v>1</v>
      </c>
      <c r="D307">
        <v>8054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4867</v>
      </c>
      <c r="C308" t="b">
        <v>1</v>
      </c>
      <c r="D308">
        <v>8048</v>
      </c>
      <c r="E308">
        <v>8129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4883</v>
      </c>
      <c r="C309" t="b">
        <v>1</v>
      </c>
      <c r="D309">
        <v>8048</v>
      </c>
      <c r="E309">
        <v>8129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4899</v>
      </c>
      <c r="C310" t="b">
        <v>1</v>
      </c>
      <c r="D310">
        <v>8048</v>
      </c>
      <c r="E310">
        <v>8129</v>
      </c>
      <c r="F310">
        <v>8</v>
      </c>
      <c r="G310">
        <v>6.8</v>
      </c>
      <c r="H310">
        <v>1.1764705</v>
      </c>
      <c r="I310">
        <v>-0.17647055</v>
      </c>
      <c r="J310">
        <v>0.45945944999999999</v>
      </c>
    </row>
    <row r="311" spans="1:10" x14ac:dyDescent="0.3">
      <c r="A311">
        <v>309</v>
      </c>
      <c r="B311">
        <v>4914</v>
      </c>
      <c r="C311" t="b">
        <v>1</v>
      </c>
      <c r="D311">
        <v>8048</v>
      </c>
      <c r="E311">
        <v>8129</v>
      </c>
      <c r="F311">
        <v>8</v>
      </c>
      <c r="G311">
        <v>7.2</v>
      </c>
      <c r="H311">
        <v>1.1111112000000001</v>
      </c>
      <c r="I311">
        <v>-0.11111114</v>
      </c>
      <c r="J311">
        <v>0.4736842</v>
      </c>
    </row>
    <row r="312" spans="1:10" x14ac:dyDescent="0.3">
      <c r="A312">
        <v>310</v>
      </c>
      <c r="B312">
        <v>4930</v>
      </c>
      <c r="C312" t="b">
        <v>1</v>
      </c>
      <c r="D312">
        <v>8054</v>
      </c>
      <c r="E312">
        <v>8129</v>
      </c>
      <c r="F312">
        <v>8</v>
      </c>
      <c r="G312">
        <v>7.6</v>
      </c>
      <c r="H312">
        <v>1.0526316</v>
      </c>
      <c r="I312">
        <v>-5.2631589999999999E-2</v>
      </c>
      <c r="J312">
        <v>0.48717946000000001</v>
      </c>
    </row>
    <row r="313" spans="1:10" x14ac:dyDescent="0.3">
      <c r="A313">
        <v>311</v>
      </c>
      <c r="B313">
        <v>4945</v>
      </c>
      <c r="C313" t="b">
        <v>1</v>
      </c>
      <c r="D313">
        <v>8048</v>
      </c>
      <c r="E313">
        <v>8123</v>
      </c>
      <c r="F313">
        <v>8</v>
      </c>
      <c r="G313">
        <v>8</v>
      </c>
      <c r="H313">
        <v>1</v>
      </c>
      <c r="I313">
        <v>0</v>
      </c>
      <c r="J313">
        <v>0.5</v>
      </c>
    </row>
    <row r="314" spans="1:10" x14ac:dyDescent="0.3">
      <c r="A314">
        <v>312</v>
      </c>
      <c r="B314">
        <v>4961</v>
      </c>
      <c r="C314" t="b">
        <v>1</v>
      </c>
      <c r="D314">
        <v>8054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4977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4993</v>
      </c>
      <c r="C316" t="b">
        <v>1</v>
      </c>
      <c r="D316">
        <v>8054</v>
      </c>
      <c r="E316">
        <v>8123</v>
      </c>
      <c r="F316">
        <v>8.4</v>
      </c>
      <c r="G316">
        <v>8.4</v>
      </c>
      <c r="H316">
        <v>1</v>
      </c>
      <c r="I316">
        <v>0</v>
      </c>
      <c r="J316">
        <v>0.5</v>
      </c>
    </row>
    <row r="317" spans="1:10" x14ac:dyDescent="0.3">
      <c r="A317">
        <v>315</v>
      </c>
      <c r="B317">
        <v>5009</v>
      </c>
      <c r="C317" t="b">
        <v>1</v>
      </c>
      <c r="D317">
        <v>8054</v>
      </c>
      <c r="E317">
        <v>8117</v>
      </c>
      <c r="F317">
        <v>8.8000000000000007</v>
      </c>
      <c r="G317">
        <v>8.4</v>
      </c>
      <c r="H317">
        <v>1.0476190999999999</v>
      </c>
      <c r="I317">
        <v>-4.7619120000000001E-2</v>
      </c>
      <c r="J317">
        <v>0.48837206</v>
      </c>
    </row>
    <row r="318" spans="1:10" x14ac:dyDescent="0.3">
      <c r="A318">
        <v>316</v>
      </c>
      <c r="B318">
        <v>5025</v>
      </c>
      <c r="C318" t="b">
        <v>1</v>
      </c>
      <c r="D318">
        <v>8042</v>
      </c>
      <c r="E318">
        <v>8117</v>
      </c>
      <c r="F318">
        <v>9.1999999999999993</v>
      </c>
      <c r="G318">
        <v>8.4</v>
      </c>
      <c r="H318">
        <v>1.0952381</v>
      </c>
      <c r="I318">
        <v>-9.5238119999999996E-2</v>
      </c>
      <c r="J318">
        <v>0.47727275000000002</v>
      </c>
    </row>
    <row r="319" spans="1:10" x14ac:dyDescent="0.3">
      <c r="A319">
        <v>317</v>
      </c>
      <c r="B319">
        <v>5041</v>
      </c>
      <c r="C319" t="b">
        <v>1</v>
      </c>
      <c r="D319">
        <v>8042</v>
      </c>
      <c r="E319">
        <v>8123</v>
      </c>
      <c r="F319">
        <v>9.1999999999999993</v>
      </c>
      <c r="G319">
        <v>8.8000000000000007</v>
      </c>
      <c r="H319">
        <v>1.0454545</v>
      </c>
      <c r="I319">
        <v>-4.5454502000000001E-2</v>
      </c>
      <c r="J319">
        <v>0.48888890000000002</v>
      </c>
    </row>
    <row r="320" spans="1:10" x14ac:dyDescent="0.3">
      <c r="A320">
        <v>318</v>
      </c>
      <c r="B320">
        <v>5057</v>
      </c>
      <c r="C320" t="b">
        <v>1</v>
      </c>
      <c r="D320">
        <v>8042</v>
      </c>
      <c r="E320">
        <v>8123</v>
      </c>
      <c r="F320">
        <v>8.8000000000000007</v>
      </c>
      <c r="G320">
        <v>9.1999999999999993</v>
      </c>
      <c r="H320">
        <v>0.95652179999999998</v>
      </c>
      <c r="I320">
        <v>4.3478219999999998E-2</v>
      </c>
      <c r="J320">
        <v>0.51111110000000004</v>
      </c>
    </row>
    <row r="321" spans="1:10" x14ac:dyDescent="0.3">
      <c r="A321">
        <v>319</v>
      </c>
      <c r="B321">
        <v>5072</v>
      </c>
      <c r="C321" t="b">
        <v>1</v>
      </c>
      <c r="D321">
        <v>8042</v>
      </c>
      <c r="E321">
        <v>8123</v>
      </c>
      <c r="F321">
        <v>8.4</v>
      </c>
      <c r="G321">
        <v>9.6</v>
      </c>
      <c r="H321">
        <v>0.87499994000000003</v>
      </c>
      <c r="I321">
        <v>0.12500006999999999</v>
      </c>
      <c r="J321">
        <v>0.53333335999999998</v>
      </c>
    </row>
    <row r="322" spans="1:10" x14ac:dyDescent="0.3">
      <c r="A322">
        <v>320</v>
      </c>
      <c r="B322">
        <v>5088</v>
      </c>
      <c r="C322" t="b">
        <v>1</v>
      </c>
      <c r="D322">
        <v>8042</v>
      </c>
      <c r="E322">
        <v>8123</v>
      </c>
      <c r="F322">
        <v>8</v>
      </c>
      <c r="G322">
        <v>10</v>
      </c>
      <c r="H322">
        <v>0.8</v>
      </c>
      <c r="I322">
        <v>0.2</v>
      </c>
      <c r="J322">
        <v>0.55555560000000004</v>
      </c>
    </row>
    <row r="323" spans="1:10" x14ac:dyDescent="0.3">
      <c r="A323">
        <v>321</v>
      </c>
      <c r="B323">
        <v>5103</v>
      </c>
      <c r="C323" t="b">
        <v>1</v>
      </c>
      <c r="D323">
        <v>8042</v>
      </c>
      <c r="E323">
        <v>8123</v>
      </c>
      <c r="F323">
        <v>7.6</v>
      </c>
      <c r="G323">
        <v>10</v>
      </c>
      <c r="H323">
        <v>0.76</v>
      </c>
      <c r="I323">
        <v>0.24000001000000001</v>
      </c>
      <c r="J323">
        <v>0.56818179999999996</v>
      </c>
    </row>
    <row r="324" spans="1:10" x14ac:dyDescent="0.3">
      <c r="A324">
        <v>322</v>
      </c>
      <c r="B324">
        <v>5118</v>
      </c>
      <c r="C324" t="b">
        <v>1</v>
      </c>
      <c r="D324">
        <v>8042</v>
      </c>
      <c r="E324">
        <v>8117</v>
      </c>
      <c r="F324">
        <v>7.2</v>
      </c>
      <c r="G324">
        <v>10</v>
      </c>
      <c r="H324">
        <v>0.71999997000000004</v>
      </c>
      <c r="I324">
        <v>0.28000003000000001</v>
      </c>
      <c r="J324">
        <v>0.58139529999999995</v>
      </c>
    </row>
    <row r="325" spans="1:10" x14ac:dyDescent="0.3">
      <c r="A325">
        <v>323</v>
      </c>
      <c r="B325">
        <v>5134</v>
      </c>
      <c r="C325" t="b">
        <v>1</v>
      </c>
      <c r="D325">
        <v>8048</v>
      </c>
      <c r="E325">
        <v>8117</v>
      </c>
      <c r="F325">
        <v>6.8</v>
      </c>
      <c r="G325">
        <v>9.6</v>
      </c>
      <c r="H325">
        <v>0.70833330000000005</v>
      </c>
      <c r="I325">
        <v>0.2916667</v>
      </c>
      <c r="J325">
        <v>0.58536582999999998</v>
      </c>
    </row>
    <row r="326" spans="1:10" x14ac:dyDescent="0.3">
      <c r="A326">
        <v>324</v>
      </c>
      <c r="B326">
        <v>5150</v>
      </c>
      <c r="C326" t="b">
        <v>1</v>
      </c>
      <c r="D326">
        <v>8048</v>
      </c>
      <c r="E326">
        <v>8117</v>
      </c>
      <c r="F326">
        <v>6.4</v>
      </c>
      <c r="G326">
        <v>8.8000000000000007</v>
      </c>
      <c r="H326">
        <v>0.72727275000000002</v>
      </c>
      <c r="I326">
        <v>0.27272728000000002</v>
      </c>
      <c r="J326">
        <v>0.57894736999999996</v>
      </c>
    </row>
    <row r="327" spans="1:10" x14ac:dyDescent="0.3">
      <c r="A327">
        <v>325</v>
      </c>
      <c r="B327">
        <v>5166</v>
      </c>
      <c r="C327" t="b">
        <v>1</v>
      </c>
      <c r="D327">
        <v>8048</v>
      </c>
      <c r="E327">
        <v>8117</v>
      </c>
      <c r="F327">
        <v>6.4</v>
      </c>
      <c r="G327">
        <v>8</v>
      </c>
      <c r="H327">
        <v>0.8</v>
      </c>
      <c r="I327">
        <v>0.19999998999999999</v>
      </c>
      <c r="J327">
        <v>0.55555560000000004</v>
      </c>
    </row>
    <row r="328" spans="1:10" x14ac:dyDescent="0.3">
      <c r="A328">
        <v>326</v>
      </c>
      <c r="B328">
        <v>5182</v>
      </c>
      <c r="C328" t="b">
        <v>1</v>
      </c>
      <c r="D328">
        <v>8048</v>
      </c>
      <c r="E328">
        <v>8123</v>
      </c>
      <c r="F328">
        <v>6.4</v>
      </c>
      <c r="G328">
        <v>7.2</v>
      </c>
      <c r="H328">
        <v>0.88888895999999995</v>
      </c>
      <c r="I328">
        <v>0.111111075</v>
      </c>
      <c r="J328">
        <v>0.52941172999999997</v>
      </c>
    </row>
    <row r="329" spans="1:10" x14ac:dyDescent="0.3">
      <c r="A329">
        <v>327</v>
      </c>
      <c r="B329">
        <v>5197</v>
      </c>
      <c r="C329" t="b">
        <v>1</v>
      </c>
      <c r="D329">
        <v>8048</v>
      </c>
      <c r="E329">
        <v>8123</v>
      </c>
      <c r="F329">
        <v>6.4</v>
      </c>
      <c r="G329">
        <v>6.4</v>
      </c>
      <c r="H329">
        <v>1</v>
      </c>
      <c r="I329">
        <v>0</v>
      </c>
      <c r="J329">
        <v>0.5</v>
      </c>
    </row>
    <row r="330" spans="1:10" x14ac:dyDescent="0.3">
      <c r="A330">
        <v>328</v>
      </c>
      <c r="B330">
        <v>5213</v>
      </c>
      <c r="C330" t="b">
        <v>1</v>
      </c>
      <c r="D330">
        <v>8048</v>
      </c>
      <c r="E330">
        <v>8117</v>
      </c>
      <c r="F330">
        <v>6.4</v>
      </c>
      <c r="G330">
        <v>6</v>
      </c>
      <c r="H330">
        <v>1.0666667000000001</v>
      </c>
      <c r="I330">
        <v>-6.6666685000000003E-2</v>
      </c>
      <c r="J330">
        <v>0.48387098000000001</v>
      </c>
    </row>
    <row r="331" spans="1:10" x14ac:dyDescent="0.3">
      <c r="A331">
        <v>329</v>
      </c>
      <c r="B331">
        <v>5229</v>
      </c>
      <c r="C331" t="b">
        <v>1</v>
      </c>
      <c r="D331">
        <v>8054</v>
      </c>
      <c r="E331">
        <v>8117</v>
      </c>
      <c r="F331">
        <v>6</v>
      </c>
      <c r="G331">
        <v>5.6</v>
      </c>
      <c r="H331">
        <v>1.0714284999999999</v>
      </c>
      <c r="I331">
        <v>-7.142859E-2</v>
      </c>
      <c r="J331">
        <v>0.48275859999999998</v>
      </c>
    </row>
    <row r="332" spans="1:10" x14ac:dyDescent="0.3">
      <c r="A332">
        <v>330</v>
      </c>
      <c r="B332">
        <v>5244</v>
      </c>
      <c r="C332" t="b">
        <v>1</v>
      </c>
      <c r="D332">
        <v>8048</v>
      </c>
      <c r="E332">
        <v>8123</v>
      </c>
      <c r="F332">
        <v>5.6</v>
      </c>
      <c r="G332">
        <v>5.6</v>
      </c>
      <c r="H332">
        <v>1</v>
      </c>
      <c r="I332">
        <v>0</v>
      </c>
      <c r="J332">
        <v>0.5</v>
      </c>
    </row>
    <row r="333" spans="1:10" x14ac:dyDescent="0.3">
      <c r="A333">
        <v>331</v>
      </c>
      <c r="B333">
        <v>5260</v>
      </c>
      <c r="C333" t="b">
        <v>1</v>
      </c>
      <c r="D333">
        <v>8048</v>
      </c>
      <c r="E333">
        <v>8129</v>
      </c>
      <c r="F333">
        <v>5.2</v>
      </c>
      <c r="G333">
        <v>5.6</v>
      </c>
      <c r="H333">
        <v>0.92857140000000005</v>
      </c>
      <c r="I333">
        <v>7.142859E-2</v>
      </c>
      <c r="J333">
        <v>0.51851857000000001</v>
      </c>
    </row>
    <row r="334" spans="1:10" x14ac:dyDescent="0.3">
      <c r="A334">
        <v>332</v>
      </c>
      <c r="B334">
        <v>5275</v>
      </c>
      <c r="C334" t="b">
        <v>1</v>
      </c>
      <c r="D334">
        <v>8048</v>
      </c>
      <c r="E334">
        <v>8123</v>
      </c>
      <c r="F334">
        <v>5.2</v>
      </c>
      <c r="G334">
        <v>5.6</v>
      </c>
      <c r="H334">
        <v>0.92857140000000005</v>
      </c>
      <c r="I334">
        <v>7.142859E-2</v>
      </c>
      <c r="J334">
        <v>0.51851857000000001</v>
      </c>
    </row>
    <row r="335" spans="1:10" x14ac:dyDescent="0.3">
      <c r="A335">
        <v>333</v>
      </c>
      <c r="B335">
        <v>5291</v>
      </c>
      <c r="C335" t="b">
        <v>1</v>
      </c>
      <c r="D335">
        <v>8048</v>
      </c>
      <c r="E335">
        <v>8117</v>
      </c>
      <c r="F335">
        <v>5.6</v>
      </c>
      <c r="G335">
        <v>5.6</v>
      </c>
      <c r="H335">
        <v>1</v>
      </c>
      <c r="I335">
        <v>0</v>
      </c>
      <c r="J335">
        <v>0.5</v>
      </c>
    </row>
    <row r="336" spans="1:10" x14ac:dyDescent="0.3">
      <c r="A336">
        <v>334</v>
      </c>
      <c r="B336">
        <v>5307</v>
      </c>
      <c r="C336" t="b">
        <v>1</v>
      </c>
      <c r="D336">
        <v>8048</v>
      </c>
      <c r="E336">
        <v>8123</v>
      </c>
      <c r="F336">
        <v>6</v>
      </c>
      <c r="G336">
        <v>5.6</v>
      </c>
      <c r="H336">
        <v>1.0714284999999999</v>
      </c>
      <c r="I336">
        <v>-7.142859E-2</v>
      </c>
      <c r="J336">
        <v>0.48275859999999998</v>
      </c>
    </row>
    <row r="337" spans="1:10" x14ac:dyDescent="0.3">
      <c r="A337">
        <v>335</v>
      </c>
      <c r="B337">
        <v>5322</v>
      </c>
      <c r="C337" t="b">
        <v>1</v>
      </c>
      <c r="D337">
        <v>8048</v>
      </c>
      <c r="E337">
        <v>8123</v>
      </c>
      <c r="F337">
        <v>6.4</v>
      </c>
      <c r="G337">
        <v>5.6</v>
      </c>
      <c r="H337">
        <v>1.1428571999999999</v>
      </c>
      <c r="I337">
        <v>-0.14285718</v>
      </c>
      <c r="J337">
        <v>0.46666667000000001</v>
      </c>
    </row>
    <row r="338" spans="1:10" x14ac:dyDescent="0.3">
      <c r="A338">
        <v>336</v>
      </c>
      <c r="B338">
        <v>5338</v>
      </c>
      <c r="C338" t="b">
        <v>1</v>
      </c>
      <c r="D338">
        <v>8048</v>
      </c>
      <c r="E338">
        <v>8123</v>
      </c>
      <c r="F338">
        <v>6.8</v>
      </c>
      <c r="G338">
        <v>5.6</v>
      </c>
      <c r="H338">
        <v>1.2142857</v>
      </c>
      <c r="I338">
        <v>-0.21428578000000001</v>
      </c>
      <c r="J338">
        <v>0.45161291999999997</v>
      </c>
    </row>
    <row r="339" spans="1:10" x14ac:dyDescent="0.3">
      <c r="A339">
        <v>337</v>
      </c>
      <c r="B339">
        <v>5354</v>
      </c>
      <c r="C339" t="b">
        <v>1</v>
      </c>
      <c r="D339">
        <v>8042</v>
      </c>
      <c r="E339">
        <v>8123</v>
      </c>
      <c r="F339">
        <v>7.2</v>
      </c>
      <c r="G339">
        <v>5.6</v>
      </c>
      <c r="H339">
        <v>1.2857143</v>
      </c>
      <c r="I339">
        <v>-0.28571426999999999</v>
      </c>
      <c r="J339">
        <v>0.43750002999999998</v>
      </c>
    </row>
    <row r="340" spans="1:10" x14ac:dyDescent="0.3">
      <c r="A340">
        <v>338</v>
      </c>
      <c r="B340">
        <v>5370</v>
      </c>
      <c r="C340" t="b">
        <v>1</v>
      </c>
      <c r="D340">
        <v>8042</v>
      </c>
      <c r="E340">
        <v>8123</v>
      </c>
      <c r="F340">
        <v>7.6</v>
      </c>
      <c r="G340">
        <v>5.6</v>
      </c>
      <c r="H340">
        <v>1.3571428000000001</v>
      </c>
      <c r="I340">
        <v>-0.35714287</v>
      </c>
      <c r="J340">
        <v>0.42424244</v>
      </c>
    </row>
    <row r="341" spans="1:10" x14ac:dyDescent="0.3">
      <c r="A341">
        <v>339</v>
      </c>
      <c r="B341">
        <v>5386</v>
      </c>
      <c r="C341" t="b">
        <v>1</v>
      </c>
      <c r="D341">
        <v>8048</v>
      </c>
      <c r="E341">
        <v>8123</v>
      </c>
      <c r="F341">
        <v>8</v>
      </c>
      <c r="G341">
        <v>6</v>
      </c>
      <c r="H341">
        <v>1.3333333999999999</v>
      </c>
      <c r="I341">
        <v>-0.33333333999999998</v>
      </c>
      <c r="J341">
        <v>0.42857142999999998</v>
      </c>
    </row>
    <row r="342" spans="1:10" x14ac:dyDescent="0.3">
      <c r="A342">
        <v>340</v>
      </c>
      <c r="B342">
        <v>5401</v>
      </c>
      <c r="C342" t="b">
        <v>1</v>
      </c>
      <c r="D342">
        <v>8048</v>
      </c>
      <c r="E342">
        <v>8123</v>
      </c>
      <c r="F342">
        <v>8</v>
      </c>
      <c r="G342">
        <v>6.4</v>
      </c>
      <c r="H342">
        <v>1.25</v>
      </c>
      <c r="I342">
        <v>-0.24999999000000001</v>
      </c>
      <c r="J342">
        <v>0.44444447999999998</v>
      </c>
    </row>
    <row r="343" spans="1:10" x14ac:dyDescent="0.3">
      <c r="A343">
        <v>341</v>
      </c>
      <c r="B343">
        <v>5417</v>
      </c>
      <c r="C343" t="b">
        <v>1</v>
      </c>
      <c r="D343">
        <v>8048</v>
      </c>
      <c r="E343">
        <v>8123</v>
      </c>
      <c r="F343">
        <v>8</v>
      </c>
      <c r="G343">
        <v>6.8</v>
      </c>
      <c r="H343">
        <v>1.1764705</v>
      </c>
      <c r="I343">
        <v>-0.17647055</v>
      </c>
      <c r="J343">
        <v>0.45945944999999999</v>
      </c>
    </row>
    <row r="344" spans="1:10" x14ac:dyDescent="0.3">
      <c r="A344">
        <v>342</v>
      </c>
      <c r="B344">
        <v>5433</v>
      </c>
      <c r="C344" t="b">
        <v>1</v>
      </c>
      <c r="D344">
        <v>8048</v>
      </c>
      <c r="E344">
        <v>8129</v>
      </c>
      <c r="F344">
        <v>8</v>
      </c>
      <c r="G344">
        <v>7.2</v>
      </c>
      <c r="H344">
        <v>1.1111112000000001</v>
      </c>
      <c r="I344">
        <v>-0.11111114</v>
      </c>
      <c r="J344">
        <v>0.4736842</v>
      </c>
    </row>
    <row r="345" spans="1:10" x14ac:dyDescent="0.3">
      <c r="A345">
        <v>343</v>
      </c>
      <c r="B345">
        <v>5449</v>
      </c>
      <c r="C345" t="b">
        <v>1</v>
      </c>
      <c r="D345">
        <v>8048</v>
      </c>
      <c r="E345">
        <v>8129</v>
      </c>
      <c r="F345">
        <v>8</v>
      </c>
      <c r="G345">
        <v>7.6</v>
      </c>
      <c r="H345">
        <v>1.0526316</v>
      </c>
      <c r="I345">
        <v>-5.2631589999999999E-2</v>
      </c>
      <c r="J345">
        <v>0.48717946000000001</v>
      </c>
    </row>
    <row r="346" spans="1:10" x14ac:dyDescent="0.3">
      <c r="A346">
        <v>344</v>
      </c>
      <c r="B346">
        <v>5465</v>
      </c>
      <c r="C346" t="b">
        <v>1</v>
      </c>
      <c r="D346">
        <v>8048</v>
      </c>
      <c r="E346">
        <v>8129</v>
      </c>
      <c r="F346">
        <v>8</v>
      </c>
      <c r="G346">
        <v>8.4</v>
      </c>
      <c r="H346">
        <v>0.95238100000000003</v>
      </c>
      <c r="I346">
        <v>4.7619003999999999E-2</v>
      </c>
      <c r="J346">
        <v>0.51219510000000001</v>
      </c>
    </row>
    <row r="347" spans="1:10" x14ac:dyDescent="0.3">
      <c r="A347">
        <v>345</v>
      </c>
      <c r="B347">
        <v>5481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5496</v>
      </c>
      <c r="C348" t="b">
        <v>1</v>
      </c>
      <c r="D348">
        <v>8048</v>
      </c>
      <c r="E348">
        <v>8129</v>
      </c>
      <c r="F348">
        <v>8</v>
      </c>
      <c r="G348">
        <v>9.1999999999999993</v>
      </c>
      <c r="H348">
        <v>0.86956524999999996</v>
      </c>
      <c r="I348">
        <v>0.13043477000000001</v>
      </c>
      <c r="J348">
        <v>0.53488369999999996</v>
      </c>
    </row>
    <row r="349" spans="1:10" x14ac:dyDescent="0.3">
      <c r="A349">
        <v>347</v>
      </c>
      <c r="B349">
        <v>5512</v>
      </c>
      <c r="C349" t="b">
        <v>1</v>
      </c>
      <c r="D349">
        <v>8048</v>
      </c>
      <c r="E349">
        <v>8129</v>
      </c>
      <c r="F349">
        <v>8</v>
      </c>
      <c r="G349">
        <v>9.6</v>
      </c>
      <c r="H349">
        <v>0.83333330000000005</v>
      </c>
      <c r="I349">
        <v>0.1666667</v>
      </c>
      <c r="J349">
        <v>0.54545456000000003</v>
      </c>
    </row>
    <row r="350" spans="1:10" x14ac:dyDescent="0.3">
      <c r="A350">
        <v>348</v>
      </c>
      <c r="B350">
        <v>5528</v>
      </c>
      <c r="C350" t="b">
        <v>1</v>
      </c>
      <c r="D350">
        <v>8054</v>
      </c>
      <c r="E350">
        <v>8117</v>
      </c>
      <c r="F350">
        <v>8</v>
      </c>
      <c r="G350">
        <v>10</v>
      </c>
      <c r="H350">
        <v>0.8</v>
      </c>
      <c r="I350">
        <v>0.2</v>
      </c>
      <c r="J350">
        <v>0.55555560000000004</v>
      </c>
    </row>
    <row r="351" spans="1:10" x14ac:dyDescent="0.3">
      <c r="A351">
        <v>349</v>
      </c>
      <c r="B351">
        <v>5544</v>
      </c>
      <c r="C351" t="b">
        <v>1</v>
      </c>
      <c r="D351">
        <v>8048</v>
      </c>
      <c r="E351">
        <v>8123</v>
      </c>
      <c r="F351">
        <v>8</v>
      </c>
      <c r="G351">
        <v>10.4</v>
      </c>
      <c r="H351">
        <v>0.76923079999999999</v>
      </c>
      <c r="I351">
        <v>0.23076920000000001</v>
      </c>
      <c r="J351">
        <v>0.56521739999999998</v>
      </c>
    </row>
    <row r="352" spans="1:10" x14ac:dyDescent="0.3">
      <c r="A352">
        <v>350</v>
      </c>
      <c r="B352">
        <v>5560</v>
      </c>
      <c r="C352" t="b">
        <v>1</v>
      </c>
      <c r="D352">
        <v>8048</v>
      </c>
      <c r="E352">
        <v>8117</v>
      </c>
      <c r="F352">
        <v>8</v>
      </c>
      <c r="G352">
        <v>10.4</v>
      </c>
      <c r="H352">
        <v>0.76923079999999999</v>
      </c>
      <c r="I352">
        <v>0.23076920000000001</v>
      </c>
      <c r="J352">
        <v>0.56521739999999998</v>
      </c>
    </row>
    <row r="353" spans="1:10" x14ac:dyDescent="0.3">
      <c r="A353">
        <v>351</v>
      </c>
      <c r="B353">
        <v>5576</v>
      </c>
      <c r="C353" t="b">
        <v>1</v>
      </c>
      <c r="D353">
        <v>8048</v>
      </c>
      <c r="E353">
        <v>8117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5592</v>
      </c>
      <c r="C354" t="b">
        <v>1</v>
      </c>
      <c r="D354">
        <v>8048</v>
      </c>
      <c r="E354">
        <v>8117</v>
      </c>
      <c r="F354">
        <v>8</v>
      </c>
      <c r="G354">
        <v>9.6</v>
      </c>
      <c r="H354">
        <v>0.83333330000000005</v>
      </c>
      <c r="I354">
        <v>0.1666667</v>
      </c>
      <c r="J354">
        <v>0.54545456000000003</v>
      </c>
    </row>
    <row r="355" spans="1:10" x14ac:dyDescent="0.3">
      <c r="A355">
        <v>353</v>
      </c>
      <c r="B355">
        <v>5608</v>
      </c>
      <c r="C355" t="b">
        <v>1</v>
      </c>
      <c r="D355">
        <v>8048</v>
      </c>
      <c r="E355">
        <v>8123</v>
      </c>
      <c r="F355">
        <v>8</v>
      </c>
      <c r="G355">
        <v>9.1999999999999993</v>
      </c>
      <c r="H355">
        <v>0.86956524999999996</v>
      </c>
      <c r="I355">
        <v>0.13043477000000001</v>
      </c>
      <c r="J355">
        <v>0.53488369999999996</v>
      </c>
    </row>
    <row r="356" spans="1:10" x14ac:dyDescent="0.3">
      <c r="A356">
        <v>354</v>
      </c>
      <c r="B356">
        <v>5624</v>
      </c>
      <c r="C356" t="b">
        <v>1</v>
      </c>
      <c r="D356">
        <v>8048</v>
      </c>
      <c r="E356">
        <v>8111</v>
      </c>
      <c r="F356">
        <v>8</v>
      </c>
      <c r="G356">
        <v>8.8000000000000007</v>
      </c>
      <c r="H356">
        <v>0.90909090000000004</v>
      </c>
      <c r="I356">
        <v>9.0909110000000001E-2</v>
      </c>
      <c r="J356">
        <v>0.52380954999999996</v>
      </c>
    </row>
    <row r="357" spans="1:10" x14ac:dyDescent="0.3">
      <c r="A357">
        <v>355</v>
      </c>
      <c r="B357">
        <v>5640</v>
      </c>
      <c r="C357" t="b">
        <v>1</v>
      </c>
      <c r="D357">
        <v>8054</v>
      </c>
      <c r="E357">
        <v>8123</v>
      </c>
      <c r="F357">
        <v>8</v>
      </c>
      <c r="G357">
        <v>8.4</v>
      </c>
      <c r="H357">
        <v>0.95238100000000003</v>
      </c>
      <c r="I357">
        <v>4.7619003999999999E-2</v>
      </c>
      <c r="J357">
        <v>0.51219510000000001</v>
      </c>
    </row>
    <row r="358" spans="1:10" x14ac:dyDescent="0.3">
      <c r="A358">
        <v>356</v>
      </c>
      <c r="B358">
        <v>5656</v>
      </c>
      <c r="C358" t="b">
        <v>1</v>
      </c>
      <c r="D358">
        <v>8048</v>
      </c>
      <c r="E358">
        <v>8123</v>
      </c>
      <c r="F358">
        <v>8</v>
      </c>
      <c r="G358">
        <v>8.4</v>
      </c>
      <c r="H358">
        <v>0.95238100000000003</v>
      </c>
      <c r="I358">
        <v>4.7619003999999999E-2</v>
      </c>
      <c r="J358">
        <v>0.51219510000000001</v>
      </c>
    </row>
    <row r="359" spans="1:10" x14ac:dyDescent="0.3">
      <c r="A359">
        <v>357</v>
      </c>
      <c r="B359">
        <v>5672</v>
      </c>
      <c r="C359" t="b">
        <v>1</v>
      </c>
      <c r="D359">
        <v>8048</v>
      </c>
      <c r="E359">
        <v>8123</v>
      </c>
      <c r="F359">
        <v>8</v>
      </c>
      <c r="G359">
        <v>8.4</v>
      </c>
      <c r="H359">
        <v>0.95238100000000003</v>
      </c>
      <c r="I359">
        <v>4.7619003999999999E-2</v>
      </c>
      <c r="J359">
        <v>0.51219510000000001</v>
      </c>
    </row>
    <row r="360" spans="1:10" x14ac:dyDescent="0.3">
      <c r="A360">
        <v>358</v>
      </c>
      <c r="B360">
        <v>5688</v>
      </c>
      <c r="C360" t="b">
        <v>1</v>
      </c>
      <c r="D360">
        <v>8048</v>
      </c>
      <c r="E360">
        <v>8123</v>
      </c>
      <c r="F360">
        <v>8</v>
      </c>
      <c r="G360">
        <v>8.4</v>
      </c>
      <c r="H360">
        <v>0.95238100000000003</v>
      </c>
      <c r="I360">
        <v>4.7619003999999999E-2</v>
      </c>
      <c r="J360">
        <v>0.51219510000000001</v>
      </c>
    </row>
    <row r="361" spans="1:10" x14ac:dyDescent="0.3">
      <c r="A361">
        <v>359</v>
      </c>
      <c r="B361">
        <v>5703</v>
      </c>
      <c r="C361" t="b">
        <v>1</v>
      </c>
      <c r="D361">
        <v>8048</v>
      </c>
      <c r="E361">
        <v>8117</v>
      </c>
      <c r="F361">
        <v>8</v>
      </c>
      <c r="G361">
        <v>8</v>
      </c>
      <c r="H361">
        <v>1</v>
      </c>
      <c r="I361">
        <v>0</v>
      </c>
      <c r="J361">
        <v>0.5</v>
      </c>
    </row>
    <row r="362" spans="1:10" x14ac:dyDescent="0.3">
      <c r="A362">
        <v>360</v>
      </c>
      <c r="B362">
        <v>5719</v>
      </c>
      <c r="C362" t="b">
        <v>1</v>
      </c>
      <c r="D362">
        <v>8048</v>
      </c>
      <c r="E362">
        <v>8123</v>
      </c>
      <c r="F362">
        <v>8</v>
      </c>
      <c r="G362">
        <v>7.6</v>
      </c>
      <c r="H362">
        <v>1.0526316</v>
      </c>
      <c r="I362">
        <v>-5.2631589999999999E-2</v>
      </c>
      <c r="J362">
        <v>0.48717946000000001</v>
      </c>
    </row>
    <row r="363" spans="1:10" x14ac:dyDescent="0.3">
      <c r="A363">
        <v>361</v>
      </c>
      <c r="B363">
        <v>5735</v>
      </c>
      <c r="C363" t="b">
        <v>1</v>
      </c>
      <c r="D363">
        <v>8048</v>
      </c>
      <c r="E363">
        <v>8123</v>
      </c>
      <c r="F363">
        <v>8</v>
      </c>
      <c r="G363">
        <v>7.2</v>
      </c>
      <c r="H363">
        <v>1.1111112000000001</v>
      </c>
      <c r="I363">
        <v>-0.11111114</v>
      </c>
      <c r="J363">
        <v>0.4736842</v>
      </c>
    </row>
    <row r="364" spans="1:10" x14ac:dyDescent="0.3">
      <c r="A364">
        <v>362</v>
      </c>
      <c r="B364">
        <v>5751</v>
      </c>
      <c r="C364" t="b">
        <v>1</v>
      </c>
      <c r="D364">
        <v>8048</v>
      </c>
      <c r="E364">
        <v>8123</v>
      </c>
      <c r="F364">
        <v>8</v>
      </c>
      <c r="G364">
        <v>6.8</v>
      </c>
      <c r="H364">
        <v>1.1764705</v>
      </c>
      <c r="I364">
        <v>-0.17647055</v>
      </c>
      <c r="J364">
        <v>0.45945944999999999</v>
      </c>
    </row>
    <row r="365" spans="1:10" x14ac:dyDescent="0.3">
      <c r="A365">
        <v>363</v>
      </c>
      <c r="B365">
        <v>5766</v>
      </c>
      <c r="C365" t="b">
        <v>1</v>
      </c>
      <c r="D365">
        <v>8048</v>
      </c>
      <c r="E365">
        <v>8123</v>
      </c>
      <c r="F365">
        <v>8</v>
      </c>
      <c r="G365">
        <v>6.4</v>
      </c>
      <c r="H365">
        <v>1.25</v>
      </c>
      <c r="I365">
        <v>-0.24999999000000001</v>
      </c>
      <c r="J365">
        <v>0.44444447999999998</v>
      </c>
    </row>
    <row r="366" spans="1:10" x14ac:dyDescent="0.3">
      <c r="A366">
        <v>364</v>
      </c>
      <c r="B366">
        <v>5782</v>
      </c>
      <c r="C366" t="b">
        <v>1</v>
      </c>
      <c r="D366">
        <v>8048</v>
      </c>
      <c r="E366">
        <v>8123</v>
      </c>
      <c r="F366">
        <v>8</v>
      </c>
      <c r="G366">
        <v>6</v>
      </c>
      <c r="H366">
        <v>1.3333333999999999</v>
      </c>
      <c r="I366">
        <v>-0.33333333999999998</v>
      </c>
      <c r="J366">
        <v>0.42857142999999998</v>
      </c>
    </row>
    <row r="367" spans="1:10" x14ac:dyDescent="0.3">
      <c r="A367">
        <v>365</v>
      </c>
      <c r="B367">
        <v>5798</v>
      </c>
      <c r="C367" t="b">
        <v>1</v>
      </c>
      <c r="D367">
        <v>8042</v>
      </c>
      <c r="E367">
        <v>8123</v>
      </c>
      <c r="F367">
        <v>8</v>
      </c>
      <c r="G367">
        <v>6</v>
      </c>
      <c r="H367">
        <v>1.3333333999999999</v>
      </c>
      <c r="I367">
        <v>-0.33333333999999998</v>
      </c>
      <c r="J367">
        <v>0.42857142999999998</v>
      </c>
    </row>
    <row r="368" spans="1:10" x14ac:dyDescent="0.3">
      <c r="A368">
        <v>366</v>
      </c>
      <c r="B368">
        <v>5814</v>
      </c>
      <c r="C368" t="b">
        <v>1</v>
      </c>
      <c r="D368">
        <v>8048</v>
      </c>
      <c r="E368">
        <v>8123</v>
      </c>
      <c r="F368">
        <v>8</v>
      </c>
      <c r="G368">
        <v>6.4</v>
      </c>
      <c r="H368">
        <v>1.25</v>
      </c>
      <c r="I368">
        <v>-0.24999999000000001</v>
      </c>
      <c r="J368">
        <v>0.44444447999999998</v>
      </c>
    </row>
    <row r="369" spans="1:10" x14ac:dyDescent="0.3">
      <c r="A369">
        <v>367</v>
      </c>
      <c r="B369">
        <v>5830</v>
      </c>
      <c r="C369" t="b">
        <v>1</v>
      </c>
      <c r="D369">
        <v>8048</v>
      </c>
      <c r="E369">
        <v>8123</v>
      </c>
      <c r="F369">
        <v>8</v>
      </c>
      <c r="G369">
        <v>6.8</v>
      </c>
      <c r="H369">
        <v>1.1764705</v>
      </c>
      <c r="I369">
        <v>-0.17647055</v>
      </c>
      <c r="J369">
        <v>0.45945944999999999</v>
      </c>
    </row>
    <row r="370" spans="1:10" x14ac:dyDescent="0.3">
      <c r="A370">
        <v>368</v>
      </c>
      <c r="B370">
        <v>5846</v>
      </c>
      <c r="C370" t="b">
        <v>1</v>
      </c>
      <c r="D370">
        <v>8054</v>
      </c>
      <c r="E370">
        <v>8117</v>
      </c>
      <c r="F370">
        <v>8</v>
      </c>
      <c r="G370">
        <v>7.2</v>
      </c>
      <c r="H370">
        <v>1.1111112000000001</v>
      </c>
      <c r="I370">
        <v>-0.11111114</v>
      </c>
      <c r="J370">
        <v>0.4736842</v>
      </c>
    </row>
    <row r="371" spans="1:10" x14ac:dyDescent="0.3">
      <c r="A371">
        <v>369</v>
      </c>
      <c r="B371">
        <v>5862</v>
      </c>
      <c r="C371" t="b">
        <v>1</v>
      </c>
      <c r="D371">
        <v>8048</v>
      </c>
      <c r="E371">
        <v>8123</v>
      </c>
      <c r="F371">
        <v>8</v>
      </c>
      <c r="G371">
        <v>7.6</v>
      </c>
      <c r="H371">
        <v>1.0526316</v>
      </c>
      <c r="I371">
        <v>-5.2631589999999999E-2</v>
      </c>
      <c r="J371">
        <v>0.48717946000000001</v>
      </c>
    </row>
    <row r="372" spans="1:10" x14ac:dyDescent="0.3">
      <c r="A372">
        <v>370</v>
      </c>
      <c r="B372">
        <v>5878</v>
      </c>
      <c r="C372" t="b">
        <v>1</v>
      </c>
      <c r="D372">
        <v>8048</v>
      </c>
      <c r="E372">
        <v>8117</v>
      </c>
      <c r="F372">
        <v>8</v>
      </c>
      <c r="G372">
        <v>8</v>
      </c>
      <c r="H372">
        <v>1</v>
      </c>
      <c r="I372">
        <v>0</v>
      </c>
      <c r="J372">
        <v>0.5</v>
      </c>
    </row>
    <row r="373" spans="1:10" x14ac:dyDescent="0.3">
      <c r="A373">
        <v>371</v>
      </c>
      <c r="B373">
        <v>5894</v>
      </c>
      <c r="C373" t="b">
        <v>1</v>
      </c>
      <c r="D373">
        <v>8048</v>
      </c>
      <c r="E373">
        <v>8117</v>
      </c>
      <c r="F373">
        <v>8</v>
      </c>
      <c r="G373">
        <v>7.6</v>
      </c>
      <c r="H373">
        <v>1.0526316</v>
      </c>
      <c r="I373">
        <v>-5.2631589999999999E-2</v>
      </c>
      <c r="J373">
        <v>0.48717946000000001</v>
      </c>
    </row>
    <row r="374" spans="1:10" x14ac:dyDescent="0.3">
      <c r="A374">
        <v>372</v>
      </c>
      <c r="B374">
        <v>5910</v>
      </c>
      <c r="C374" t="b">
        <v>1</v>
      </c>
      <c r="D374">
        <v>8048</v>
      </c>
      <c r="E374">
        <v>8123</v>
      </c>
      <c r="F374">
        <v>8</v>
      </c>
      <c r="G374">
        <v>7.2</v>
      </c>
      <c r="H374">
        <v>1.1111112000000001</v>
      </c>
      <c r="I374">
        <v>-0.11111114</v>
      </c>
      <c r="J374">
        <v>0.4736842</v>
      </c>
    </row>
    <row r="375" spans="1:10" x14ac:dyDescent="0.3">
      <c r="A375">
        <v>373</v>
      </c>
      <c r="B375">
        <v>5926</v>
      </c>
      <c r="C375" t="b">
        <v>1</v>
      </c>
      <c r="D375">
        <v>8048</v>
      </c>
      <c r="E375">
        <v>8117</v>
      </c>
      <c r="F375">
        <v>8</v>
      </c>
      <c r="G375">
        <v>6.8</v>
      </c>
      <c r="H375">
        <v>1.1764705</v>
      </c>
      <c r="I375">
        <v>-0.17647055</v>
      </c>
      <c r="J375">
        <v>0.45945944999999999</v>
      </c>
    </row>
    <row r="376" spans="1:10" x14ac:dyDescent="0.3">
      <c r="A376">
        <v>374</v>
      </c>
      <c r="B376">
        <v>5942</v>
      </c>
      <c r="C376" t="b">
        <v>1</v>
      </c>
      <c r="D376">
        <v>8048</v>
      </c>
      <c r="E376">
        <v>8123</v>
      </c>
      <c r="F376">
        <v>8</v>
      </c>
      <c r="G376">
        <v>6.4</v>
      </c>
      <c r="H376">
        <v>1.25</v>
      </c>
      <c r="I376">
        <v>-0.24999999000000001</v>
      </c>
      <c r="J376">
        <v>0.44444447999999998</v>
      </c>
    </row>
    <row r="377" spans="1:10" x14ac:dyDescent="0.3">
      <c r="A377">
        <v>375</v>
      </c>
      <c r="B377">
        <v>5957</v>
      </c>
      <c r="C377" t="b">
        <v>1</v>
      </c>
      <c r="D377">
        <v>8048</v>
      </c>
      <c r="E377">
        <v>8117</v>
      </c>
      <c r="F377">
        <v>8</v>
      </c>
      <c r="G377">
        <v>6</v>
      </c>
      <c r="H377">
        <v>1.3333333999999999</v>
      </c>
      <c r="I377">
        <v>-0.33333333999999998</v>
      </c>
      <c r="J377">
        <v>0.42857142999999998</v>
      </c>
    </row>
    <row r="378" spans="1:10" x14ac:dyDescent="0.3">
      <c r="A378">
        <v>376</v>
      </c>
      <c r="B378">
        <v>5973</v>
      </c>
      <c r="C378" t="b">
        <v>1</v>
      </c>
      <c r="D378">
        <v>8048</v>
      </c>
      <c r="E378">
        <v>8117</v>
      </c>
      <c r="F378">
        <v>8</v>
      </c>
      <c r="G378">
        <v>5.6</v>
      </c>
      <c r="H378">
        <v>1.4285715000000001</v>
      </c>
      <c r="I378">
        <v>-0.42857146000000002</v>
      </c>
      <c r="J378">
        <v>0.41176467999999999</v>
      </c>
    </row>
    <row r="379" spans="1:10" x14ac:dyDescent="0.3">
      <c r="A379">
        <v>377</v>
      </c>
      <c r="B379">
        <v>5989</v>
      </c>
      <c r="C379" t="b">
        <v>1</v>
      </c>
      <c r="D379">
        <v>8048</v>
      </c>
      <c r="E379">
        <v>8117</v>
      </c>
      <c r="F379">
        <v>8</v>
      </c>
      <c r="G379">
        <v>5.2</v>
      </c>
      <c r="H379">
        <v>1.5384616</v>
      </c>
      <c r="I379">
        <v>-0.53846156999999994</v>
      </c>
      <c r="J379">
        <v>0.39393938000000001</v>
      </c>
    </row>
    <row r="380" spans="1:10" x14ac:dyDescent="0.3">
      <c r="A380">
        <v>378</v>
      </c>
      <c r="B380">
        <v>6005</v>
      </c>
      <c r="C380" t="b">
        <v>1</v>
      </c>
      <c r="D380">
        <v>8048</v>
      </c>
      <c r="E380">
        <v>8123</v>
      </c>
      <c r="F380">
        <v>8</v>
      </c>
      <c r="G380">
        <v>4.8</v>
      </c>
      <c r="H380">
        <v>1.6666666000000001</v>
      </c>
      <c r="I380">
        <v>-0.6666666</v>
      </c>
      <c r="J380">
        <v>0.375</v>
      </c>
    </row>
    <row r="381" spans="1:10" x14ac:dyDescent="0.3">
      <c r="A381">
        <v>379</v>
      </c>
      <c r="B381">
        <v>6021</v>
      </c>
      <c r="C381" t="b">
        <v>1</v>
      </c>
      <c r="D381">
        <v>8048</v>
      </c>
      <c r="E381">
        <v>8123</v>
      </c>
      <c r="F381">
        <v>8</v>
      </c>
      <c r="G381">
        <v>4.4000000000000004</v>
      </c>
      <c r="H381">
        <v>1.8181818000000001</v>
      </c>
      <c r="I381">
        <v>-0.81818175000000004</v>
      </c>
      <c r="J381">
        <v>0.35483872999999999</v>
      </c>
    </row>
    <row r="382" spans="1:10" x14ac:dyDescent="0.3">
      <c r="A382">
        <v>380</v>
      </c>
      <c r="B382">
        <v>6037</v>
      </c>
      <c r="C382" t="b">
        <v>1</v>
      </c>
      <c r="D382">
        <v>8048</v>
      </c>
      <c r="E382">
        <v>8123</v>
      </c>
      <c r="F382">
        <v>8</v>
      </c>
      <c r="G382">
        <v>4.4000000000000004</v>
      </c>
      <c r="H382">
        <v>1.8181818000000001</v>
      </c>
      <c r="I382">
        <v>-0.81818175000000004</v>
      </c>
      <c r="J382">
        <v>0.35483872999999999</v>
      </c>
    </row>
    <row r="383" spans="1:10" x14ac:dyDescent="0.3">
      <c r="A383">
        <v>381</v>
      </c>
      <c r="B383">
        <v>6053</v>
      </c>
      <c r="C383" t="b">
        <v>1</v>
      </c>
      <c r="D383">
        <v>8048</v>
      </c>
      <c r="E383">
        <v>8117</v>
      </c>
      <c r="F383">
        <v>8</v>
      </c>
      <c r="G383">
        <v>4.4000000000000004</v>
      </c>
      <c r="H383">
        <v>1.8181818000000001</v>
      </c>
      <c r="I383">
        <v>-0.81818175000000004</v>
      </c>
      <c r="J383">
        <v>0.35483872999999999</v>
      </c>
    </row>
    <row r="384" spans="1:10" x14ac:dyDescent="0.3">
      <c r="A384">
        <v>382</v>
      </c>
      <c r="B384">
        <v>6068</v>
      </c>
      <c r="C384" t="b">
        <v>1</v>
      </c>
      <c r="D384">
        <v>8048</v>
      </c>
      <c r="E384">
        <v>8123</v>
      </c>
      <c r="F384">
        <v>8</v>
      </c>
      <c r="G384">
        <v>4.4000000000000004</v>
      </c>
      <c r="H384">
        <v>1.8181818000000001</v>
      </c>
      <c r="I384">
        <v>-0.81818175000000004</v>
      </c>
      <c r="J384">
        <v>0.35483872999999999</v>
      </c>
    </row>
    <row r="385" spans="1:10" x14ac:dyDescent="0.3">
      <c r="A385">
        <v>383</v>
      </c>
      <c r="B385">
        <v>6084</v>
      </c>
      <c r="C385" t="b">
        <v>1</v>
      </c>
      <c r="D385">
        <v>8048</v>
      </c>
      <c r="E385">
        <v>8117</v>
      </c>
      <c r="F385">
        <v>8</v>
      </c>
      <c r="G385">
        <v>4.4000000000000004</v>
      </c>
      <c r="H385">
        <v>1.8181818000000001</v>
      </c>
      <c r="I385">
        <v>-0.81818175000000004</v>
      </c>
      <c r="J385">
        <v>0.35483872999999999</v>
      </c>
    </row>
    <row r="386" spans="1:10" x14ac:dyDescent="0.3">
      <c r="A386">
        <v>384</v>
      </c>
      <c r="B386">
        <v>6100</v>
      </c>
      <c r="C386" t="b">
        <v>1</v>
      </c>
      <c r="D386">
        <v>8048</v>
      </c>
      <c r="E386">
        <v>8123</v>
      </c>
      <c r="F386">
        <v>8</v>
      </c>
      <c r="G386">
        <v>4.4000000000000004</v>
      </c>
      <c r="H386">
        <v>1.8181818000000001</v>
      </c>
      <c r="I386">
        <v>-0.81818175000000004</v>
      </c>
      <c r="J386">
        <v>0.35483872999999999</v>
      </c>
    </row>
    <row r="387" spans="1:10" x14ac:dyDescent="0.3">
      <c r="A387">
        <v>385</v>
      </c>
      <c r="B387">
        <v>6116</v>
      </c>
      <c r="C387" t="b">
        <v>1</v>
      </c>
      <c r="D387">
        <v>8048</v>
      </c>
      <c r="E387">
        <v>8117</v>
      </c>
      <c r="F387">
        <v>8</v>
      </c>
      <c r="G387">
        <v>4</v>
      </c>
      <c r="H387">
        <v>2</v>
      </c>
      <c r="I387">
        <v>-1</v>
      </c>
      <c r="J387">
        <v>0.33333333999999998</v>
      </c>
    </row>
    <row r="388" spans="1:10" x14ac:dyDescent="0.3">
      <c r="A388">
        <v>386</v>
      </c>
      <c r="B388">
        <v>6131</v>
      </c>
      <c r="C388" t="b">
        <v>1</v>
      </c>
      <c r="D388">
        <v>8054</v>
      </c>
      <c r="E388">
        <v>8123</v>
      </c>
      <c r="F388">
        <v>8</v>
      </c>
      <c r="G388">
        <v>4.4000000000000004</v>
      </c>
      <c r="H388">
        <v>1.8181818000000001</v>
      </c>
      <c r="I388">
        <v>-0.81818175000000004</v>
      </c>
      <c r="J388">
        <v>0.35483872999999999</v>
      </c>
    </row>
    <row r="389" spans="1:10" x14ac:dyDescent="0.3">
      <c r="A389">
        <v>387</v>
      </c>
      <c r="B389">
        <v>6147</v>
      </c>
      <c r="C389" t="b">
        <v>1</v>
      </c>
      <c r="D389">
        <v>8048</v>
      </c>
      <c r="E389">
        <v>8123</v>
      </c>
      <c r="F389">
        <v>8</v>
      </c>
      <c r="G389">
        <v>4.8</v>
      </c>
      <c r="H389">
        <v>1.6666666000000001</v>
      </c>
      <c r="I389">
        <v>-0.6666666</v>
      </c>
      <c r="J389">
        <v>0.375</v>
      </c>
    </row>
    <row r="390" spans="1:10" x14ac:dyDescent="0.3">
      <c r="A390">
        <v>388</v>
      </c>
      <c r="B390">
        <v>6163</v>
      </c>
      <c r="C390" t="b">
        <v>1</v>
      </c>
      <c r="D390">
        <v>8048</v>
      </c>
      <c r="E390">
        <v>8123</v>
      </c>
      <c r="F390">
        <v>8</v>
      </c>
      <c r="G390">
        <v>5.2</v>
      </c>
      <c r="H390">
        <v>1.5384616</v>
      </c>
      <c r="I390">
        <v>-0.53846156999999994</v>
      </c>
      <c r="J390">
        <v>0.39393938000000001</v>
      </c>
    </row>
    <row r="391" spans="1:10" x14ac:dyDescent="0.3">
      <c r="A391">
        <v>389</v>
      </c>
      <c r="B391">
        <v>6179</v>
      </c>
      <c r="C391" t="b">
        <v>1</v>
      </c>
      <c r="D391">
        <v>8048</v>
      </c>
      <c r="E391">
        <v>8123</v>
      </c>
      <c r="F391">
        <v>8</v>
      </c>
      <c r="G391">
        <v>5.6</v>
      </c>
      <c r="H391">
        <v>1.4285715000000001</v>
      </c>
      <c r="I391">
        <v>-0.42857146000000002</v>
      </c>
      <c r="J391">
        <v>0.41176467999999999</v>
      </c>
    </row>
    <row r="392" spans="1:10" x14ac:dyDescent="0.3">
      <c r="A392">
        <v>390</v>
      </c>
      <c r="B392">
        <v>6195</v>
      </c>
      <c r="C392" t="b">
        <v>1</v>
      </c>
      <c r="D392">
        <v>8048</v>
      </c>
      <c r="E392">
        <v>8123</v>
      </c>
      <c r="F392">
        <v>8</v>
      </c>
      <c r="G392">
        <v>6</v>
      </c>
      <c r="H392">
        <v>1.3333333999999999</v>
      </c>
      <c r="I392">
        <v>-0.33333333999999998</v>
      </c>
      <c r="J392">
        <v>0.42857142999999998</v>
      </c>
    </row>
    <row r="393" spans="1:10" x14ac:dyDescent="0.3">
      <c r="A393">
        <v>391</v>
      </c>
      <c r="B393">
        <v>6211</v>
      </c>
      <c r="C393" t="b">
        <v>1</v>
      </c>
      <c r="D393">
        <v>8048</v>
      </c>
      <c r="E393">
        <v>8123</v>
      </c>
      <c r="F393">
        <v>8</v>
      </c>
      <c r="G393">
        <v>6.4</v>
      </c>
      <c r="H393">
        <v>1.25</v>
      </c>
      <c r="I393">
        <v>-0.24999999000000001</v>
      </c>
      <c r="J393">
        <v>0.44444447999999998</v>
      </c>
    </row>
    <row r="394" spans="1:10" x14ac:dyDescent="0.3">
      <c r="A394">
        <v>392</v>
      </c>
      <c r="B394">
        <v>6227</v>
      </c>
      <c r="C394" t="b">
        <v>1</v>
      </c>
      <c r="D394">
        <v>8048</v>
      </c>
      <c r="E394">
        <v>8123</v>
      </c>
      <c r="F394">
        <v>8</v>
      </c>
      <c r="G394">
        <v>6.8</v>
      </c>
      <c r="H394">
        <v>1.1764705</v>
      </c>
      <c r="I394">
        <v>-0.17647055</v>
      </c>
      <c r="J394">
        <v>0.45945944999999999</v>
      </c>
    </row>
    <row r="395" spans="1:10" x14ac:dyDescent="0.3">
      <c r="A395">
        <v>393</v>
      </c>
      <c r="B395">
        <v>6243</v>
      </c>
      <c r="C395" t="b">
        <v>1</v>
      </c>
      <c r="D395">
        <v>8048</v>
      </c>
      <c r="E395">
        <v>8123</v>
      </c>
      <c r="F395">
        <v>8</v>
      </c>
      <c r="G395">
        <v>7.2</v>
      </c>
      <c r="H395">
        <v>1.1111112000000001</v>
      </c>
      <c r="I395">
        <v>-0.11111114</v>
      </c>
      <c r="J395">
        <v>0.4736842</v>
      </c>
    </row>
    <row r="396" spans="1:10" x14ac:dyDescent="0.3">
      <c r="A396">
        <v>394</v>
      </c>
      <c r="B396">
        <v>6261</v>
      </c>
      <c r="C396" t="b">
        <v>1</v>
      </c>
      <c r="D396">
        <v>8048</v>
      </c>
      <c r="E396">
        <v>8123</v>
      </c>
      <c r="F396">
        <v>8</v>
      </c>
      <c r="G396">
        <v>7.6</v>
      </c>
      <c r="H396">
        <v>1.0526316</v>
      </c>
      <c r="I396">
        <v>-5.2631589999999999E-2</v>
      </c>
      <c r="J396">
        <v>0.48717946000000001</v>
      </c>
    </row>
    <row r="397" spans="1:10" x14ac:dyDescent="0.3">
      <c r="A397">
        <v>395</v>
      </c>
      <c r="B397">
        <v>6277</v>
      </c>
      <c r="C397" t="b">
        <v>1</v>
      </c>
      <c r="D397">
        <v>8048</v>
      </c>
      <c r="E397">
        <v>8123</v>
      </c>
      <c r="F397">
        <v>8</v>
      </c>
      <c r="G397">
        <v>7.6</v>
      </c>
      <c r="H397">
        <v>1.0526316</v>
      </c>
      <c r="I397">
        <v>-5.2631589999999999E-2</v>
      </c>
      <c r="J397">
        <v>0.48717946000000001</v>
      </c>
    </row>
    <row r="398" spans="1:10" x14ac:dyDescent="0.3">
      <c r="A398">
        <v>396</v>
      </c>
      <c r="B398">
        <v>6293</v>
      </c>
      <c r="C398" t="b">
        <v>1</v>
      </c>
      <c r="D398">
        <v>8048</v>
      </c>
      <c r="E398">
        <v>8123</v>
      </c>
      <c r="F398">
        <v>8</v>
      </c>
      <c r="G398">
        <v>7.6</v>
      </c>
      <c r="H398">
        <v>1.0526316</v>
      </c>
      <c r="I398">
        <v>-5.2631589999999999E-2</v>
      </c>
      <c r="J398">
        <v>0.48717946000000001</v>
      </c>
    </row>
    <row r="399" spans="1:10" x14ac:dyDescent="0.3">
      <c r="A399">
        <v>397</v>
      </c>
      <c r="B399">
        <v>6309</v>
      </c>
      <c r="C399" t="b">
        <v>1</v>
      </c>
      <c r="D399">
        <v>8054</v>
      </c>
      <c r="E399">
        <v>8129</v>
      </c>
      <c r="F399">
        <v>8</v>
      </c>
      <c r="G399">
        <v>7.6</v>
      </c>
      <c r="H399">
        <v>1.0526316</v>
      </c>
      <c r="I399">
        <v>-5.2631589999999999E-2</v>
      </c>
      <c r="J399">
        <v>0.48717946000000001</v>
      </c>
    </row>
    <row r="400" spans="1:10" x14ac:dyDescent="0.3">
      <c r="A400">
        <v>398</v>
      </c>
      <c r="B400">
        <v>6325</v>
      </c>
      <c r="C400" t="b">
        <v>1</v>
      </c>
      <c r="D400">
        <v>8048</v>
      </c>
      <c r="E400">
        <v>8123</v>
      </c>
      <c r="F400">
        <v>8</v>
      </c>
      <c r="G400">
        <v>7.6</v>
      </c>
      <c r="H400">
        <v>1.0526316</v>
      </c>
      <c r="I400">
        <v>-5.2631589999999999E-2</v>
      </c>
      <c r="J400">
        <v>0.48717946000000001</v>
      </c>
    </row>
    <row r="401" spans="1:10" x14ac:dyDescent="0.3">
      <c r="A401">
        <v>399</v>
      </c>
      <c r="B401">
        <v>6341</v>
      </c>
      <c r="C401" t="b">
        <v>1</v>
      </c>
      <c r="D401">
        <v>8048</v>
      </c>
      <c r="E401">
        <v>8123</v>
      </c>
      <c r="F401">
        <v>8</v>
      </c>
      <c r="G401">
        <v>7.6</v>
      </c>
      <c r="H401">
        <v>1.0526316</v>
      </c>
      <c r="I401">
        <v>-5.2631589999999999E-2</v>
      </c>
      <c r="J401">
        <v>0.48717946000000001</v>
      </c>
    </row>
    <row r="402" spans="1:10" x14ac:dyDescent="0.3">
      <c r="A402">
        <v>400</v>
      </c>
      <c r="B402">
        <v>6357</v>
      </c>
      <c r="C402" t="b">
        <v>1</v>
      </c>
      <c r="D402">
        <v>8042</v>
      </c>
      <c r="E402">
        <v>8117</v>
      </c>
      <c r="F402">
        <v>8</v>
      </c>
      <c r="G402">
        <v>8</v>
      </c>
      <c r="H402">
        <v>1</v>
      </c>
      <c r="I402">
        <v>0</v>
      </c>
      <c r="J402">
        <v>0.5</v>
      </c>
    </row>
    <row r="403" spans="1:10" x14ac:dyDescent="0.3">
      <c r="A403">
        <v>401</v>
      </c>
      <c r="B403">
        <v>6372</v>
      </c>
      <c r="C403" t="b">
        <v>1</v>
      </c>
      <c r="D403">
        <v>8042</v>
      </c>
      <c r="E403">
        <v>8129</v>
      </c>
      <c r="F403">
        <v>8</v>
      </c>
      <c r="G403">
        <v>8</v>
      </c>
      <c r="H403">
        <v>1</v>
      </c>
      <c r="I403">
        <v>0</v>
      </c>
      <c r="J403">
        <v>0.5</v>
      </c>
    </row>
    <row r="404" spans="1:10" x14ac:dyDescent="0.3">
      <c r="A404">
        <v>402</v>
      </c>
      <c r="B404">
        <v>6388</v>
      </c>
      <c r="C404" t="b">
        <v>1</v>
      </c>
      <c r="D404">
        <v>8042</v>
      </c>
      <c r="E404">
        <v>8123</v>
      </c>
      <c r="F404">
        <v>7.6</v>
      </c>
      <c r="G404">
        <v>8</v>
      </c>
      <c r="H404">
        <v>0.95</v>
      </c>
      <c r="I404">
        <v>5.0000012000000003E-2</v>
      </c>
      <c r="J404">
        <v>0.51282050000000001</v>
      </c>
    </row>
    <row r="405" spans="1:10" x14ac:dyDescent="0.3">
      <c r="A405">
        <v>403</v>
      </c>
      <c r="B405">
        <v>6404</v>
      </c>
      <c r="C405" t="b">
        <v>1</v>
      </c>
      <c r="D405">
        <v>8042</v>
      </c>
      <c r="E405">
        <v>8123</v>
      </c>
      <c r="F405">
        <v>7.2</v>
      </c>
      <c r="G405">
        <v>8</v>
      </c>
      <c r="H405">
        <v>0.9</v>
      </c>
      <c r="I405">
        <v>0.10000002400000001</v>
      </c>
      <c r="J405">
        <v>0.5263158</v>
      </c>
    </row>
    <row r="406" spans="1:10" x14ac:dyDescent="0.3">
      <c r="A406">
        <v>404</v>
      </c>
      <c r="B406">
        <v>6420</v>
      </c>
      <c r="C406" t="b">
        <v>1</v>
      </c>
      <c r="D406">
        <v>8042</v>
      </c>
      <c r="E406">
        <v>8117</v>
      </c>
      <c r="F406">
        <v>6.8</v>
      </c>
      <c r="G406">
        <v>8</v>
      </c>
      <c r="H406">
        <v>0.85</v>
      </c>
      <c r="I406">
        <v>0.14999998</v>
      </c>
      <c r="J406">
        <v>0.54054049999999998</v>
      </c>
    </row>
    <row r="407" spans="1:10" x14ac:dyDescent="0.3">
      <c r="A407">
        <v>405</v>
      </c>
      <c r="B407">
        <v>6436</v>
      </c>
      <c r="C407" t="b">
        <v>1</v>
      </c>
      <c r="D407">
        <v>8042</v>
      </c>
      <c r="E407">
        <v>8117</v>
      </c>
      <c r="F407">
        <v>6.4</v>
      </c>
      <c r="G407">
        <v>8</v>
      </c>
      <c r="H407">
        <v>0.8</v>
      </c>
      <c r="I407">
        <v>0.19999998999999999</v>
      </c>
      <c r="J407">
        <v>0.55555560000000004</v>
      </c>
    </row>
    <row r="408" spans="1:10" x14ac:dyDescent="0.3">
      <c r="A408">
        <v>406</v>
      </c>
      <c r="B408">
        <v>6452</v>
      </c>
      <c r="C408" t="b">
        <v>1</v>
      </c>
      <c r="D408">
        <v>8048</v>
      </c>
      <c r="E408">
        <v>8117</v>
      </c>
      <c r="F408">
        <v>6</v>
      </c>
      <c r="G408">
        <v>7.6</v>
      </c>
      <c r="H408">
        <v>0.78947369999999994</v>
      </c>
      <c r="I408">
        <v>0.2105263</v>
      </c>
      <c r="J408">
        <v>0.55882350000000003</v>
      </c>
    </row>
    <row r="409" spans="1:10" x14ac:dyDescent="0.3">
      <c r="A409">
        <v>407</v>
      </c>
      <c r="B409">
        <v>6467</v>
      </c>
      <c r="C409" t="b">
        <v>1</v>
      </c>
      <c r="D409">
        <v>8048</v>
      </c>
      <c r="E409">
        <v>8117</v>
      </c>
      <c r="F409">
        <v>5.6</v>
      </c>
      <c r="G409">
        <v>7.2</v>
      </c>
      <c r="H409">
        <v>0.77777779999999996</v>
      </c>
      <c r="I409">
        <v>0.22222221</v>
      </c>
      <c r="J409">
        <v>0.5625</v>
      </c>
    </row>
    <row r="410" spans="1:10" x14ac:dyDescent="0.3">
      <c r="A410">
        <v>408</v>
      </c>
      <c r="B410">
        <v>6484</v>
      </c>
      <c r="C410" t="b">
        <v>1</v>
      </c>
      <c r="D410">
        <v>8048</v>
      </c>
      <c r="E410">
        <v>8117</v>
      </c>
      <c r="F410">
        <v>5.6</v>
      </c>
      <c r="G410">
        <v>6.8</v>
      </c>
      <c r="H410">
        <v>0.82352935999999999</v>
      </c>
      <c r="I410">
        <v>0.17647061999999999</v>
      </c>
      <c r="J410">
        <v>0.54838710000000002</v>
      </c>
    </row>
    <row r="411" spans="1:10" x14ac:dyDescent="0.3">
      <c r="A411">
        <v>409</v>
      </c>
      <c r="B411">
        <v>6499</v>
      </c>
      <c r="C411" t="b">
        <v>1</v>
      </c>
      <c r="D411">
        <v>8048</v>
      </c>
      <c r="E411">
        <v>8117</v>
      </c>
      <c r="F411">
        <v>5.6</v>
      </c>
      <c r="G411">
        <v>6.4</v>
      </c>
      <c r="H411">
        <v>0.875</v>
      </c>
      <c r="I411">
        <v>0.12500003000000001</v>
      </c>
      <c r="J411">
        <v>0.53333335999999998</v>
      </c>
    </row>
    <row r="412" spans="1:10" x14ac:dyDescent="0.3">
      <c r="A412">
        <v>410</v>
      </c>
      <c r="B412">
        <v>6515</v>
      </c>
      <c r="C412" t="b">
        <v>1</v>
      </c>
      <c r="D412">
        <v>8048</v>
      </c>
      <c r="E412">
        <v>8123</v>
      </c>
      <c r="F412">
        <v>5.6</v>
      </c>
      <c r="G412">
        <v>6</v>
      </c>
      <c r="H412">
        <v>0.93333334000000001</v>
      </c>
      <c r="I412">
        <v>6.6666685000000003E-2</v>
      </c>
      <c r="J412">
        <v>0.51724135999999998</v>
      </c>
    </row>
    <row r="413" spans="1:10" x14ac:dyDescent="0.3">
      <c r="A413">
        <v>411</v>
      </c>
      <c r="B413">
        <v>6531</v>
      </c>
      <c r="C413" t="b">
        <v>1</v>
      </c>
      <c r="D413">
        <v>8054</v>
      </c>
      <c r="E413">
        <v>8123</v>
      </c>
      <c r="F413">
        <v>5.6</v>
      </c>
      <c r="G413">
        <v>5.6</v>
      </c>
      <c r="H413">
        <v>1</v>
      </c>
      <c r="I413">
        <v>0</v>
      </c>
      <c r="J413">
        <v>0.5</v>
      </c>
    </row>
    <row r="414" spans="1:10" x14ac:dyDescent="0.3">
      <c r="A414">
        <v>412</v>
      </c>
      <c r="B414">
        <v>6546</v>
      </c>
      <c r="C414" t="b">
        <v>1</v>
      </c>
      <c r="D414">
        <v>8048</v>
      </c>
      <c r="E414">
        <v>8117</v>
      </c>
      <c r="F414">
        <v>5.6</v>
      </c>
      <c r="G414">
        <v>5.2</v>
      </c>
      <c r="H414">
        <v>1.0769230999999999</v>
      </c>
      <c r="I414">
        <v>-7.6923094999999997E-2</v>
      </c>
      <c r="J414">
        <v>0.48148150000000001</v>
      </c>
    </row>
    <row r="415" spans="1:10" x14ac:dyDescent="0.3">
      <c r="A415">
        <v>413</v>
      </c>
      <c r="B415">
        <v>6562</v>
      </c>
      <c r="C415" t="b">
        <v>1</v>
      </c>
      <c r="D415">
        <v>8048</v>
      </c>
      <c r="E415">
        <v>8123</v>
      </c>
      <c r="F415">
        <v>5.6</v>
      </c>
      <c r="G415">
        <v>5.2</v>
      </c>
      <c r="H415">
        <v>1.0769230999999999</v>
      </c>
      <c r="I415">
        <v>-7.6923094999999997E-2</v>
      </c>
      <c r="J415">
        <v>0.48148150000000001</v>
      </c>
    </row>
    <row r="416" spans="1:10" x14ac:dyDescent="0.3">
      <c r="A416">
        <v>414</v>
      </c>
      <c r="B416">
        <v>6578</v>
      </c>
      <c r="C416" t="b">
        <v>1</v>
      </c>
      <c r="D416">
        <v>8048</v>
      </c>
      <c r="E416">
        <v>8123</v>
      </c>
      <c r="F416">
        <v>5.6</v>
      </c>
      <c r="G416">
        <v>5.2</v>
      </c>
      <c r="H416">
        <v>1.0769230999999999</v>
      </c>
      <c r="I416">
        <v>-7.6923094999999997E-2</v>
      </c>
      <c r="J416">
        <v>0.48148150000000001</v>
      </c>
    </row>
    <row r="417" spans="1:10" x14ac:dyDescent="0.3">
      <c r="A417">
        <v>415</v>
      </c>
      <c r="B417">
        <v>6594</v>
      </c>
      <c r="C417" t="b">
        <v>1</v>
      </c>
      <c r="D417">
        <v>8048</v>
      </c>
      <c r="E417">
        <v>8123</v>
      </c>
      <c r="F417">
        <v>5.6</v>
      </c>
      <c r="G417">
        <v>5.2</v>
      </c>
      <c r="H417">
        <v>1.0769230999999999</v>
      </c>
      <c r="I417">
        <v>-7.6923094999999997E-2</v>
      </c>
      <c r="J417">
        <v>0.48148150000000001</v>
      </c>
    </row>
    <row r="418" spans="1:10" x14ac:dyDescent="0.3">
      <c r="A418">
        <v>416</v>
      </c>
      <c r="B418">
        <v>6610</v>
      </c>
      <c r="C418" t="b">
        <v>1</v>
      </c>
      <c r="D418">
        <v>8042</v>
      </c>
      <c r="E418">
        <v>8123</v>
      </c>
      <c r="F418">
        <v>5.6</v>
      </c>
      <c r="G418">
        <v>5.2</v>
      </c>
      <c r="H418">
        <v>1.0769230999999999</v>
      </c>
      <c r="I418">
        <v>-7.6923094999999997E-2</v>
      </c>
      <c r="J418">
        <v>0.48148150000000001</v>
      </c>
    </row>
    <row r="419" spans="1:10" x14ac:dyDescent="0.3">
      <c r="A419">
        <v>417</v>
      </c>
      <c r="B419">
        <v>6626</v>
      </c>
      <c r="C419" t="b">
        <v>1</v>
      </c>
      <c r="D419">
        <v>8048</v>
      </c>
      <c r="E419">
        <v>8129</v>
      </c>
      <c r="F419">
        <v>6</v>
      </c>
      <c r="G419">
        <v>5.2</v>
      </c>
      <c r="H419">
        <v>1.1538461</v>
      </c>
      <c r="I419">
        <v>-0.15384618999999999</v>
      </c>
      <c r="J419">
        <v>0.46428570000000002</v>
      </c>
    </row>
    <row r="420" spans="1:10" x14ac:dyDescent="0.3">
      <c r="A420">
        <v>418</v>
      </c>
      <c r="B420">
        <v>6642</v>
      </c>
      <c r="C420" t="b">
        <v>1</v>
      </c>
      <c r="D420">
        <v>8054</v>
      </c>
      <c r="E420">
        <v>8117</v>
      </c>
      <c r="F420">
        <v>6.4</v>
      </c>
      <c r="G420">
        <v>5.2</v>
      </c>
      <c r="H420">
        <v>1.2307693</v>
      </c>
      <c r="I420">
        <v>-0.23076928999999999</v>
      </c>
      <c r="J420">
        <v>0.44827582999999999</v>
      </c>
    </row>
    <row r="421" spans="1:10" x14ac:dyDescent="0.3">
      <c r="A421">
        <v>419</v>
      </c>
      <c r="B421">
        <v>6658</v>
      </c>
      <c r="C421" t="b">
        <v>1</v>
      </c>
      <c r="D421">
        <v>8054</v>
      </c>
      <c r="E421">
        <v>8123</v>
      </c>
      <c r="F421">
        <v>6.8</v>
      </c>
      <c r="G421">
        <v>5.2</v>
      </c>
      <c r="H421">
        <v>1.3076924000000001</v>
      </c>
      <c r="I421">
        <v>-0.30769237999999999</v>
      </c>
      <c r="J421">
        <v>0.43333329999999998</v>
      </c>
    </row>
    <row r="422" spans="1:10" x14ac:dyDescent="0.3">
      <c r="A422">
        <v>420</v>
      </c>
      <c r="B422">
        <v>6674</v>
      </c>
      <c r="C422" t="b">
        <v>1</v>
      </c>
      <c r="D422">
        <v>8054</v>
      </c>
      <c r="E422">
        <v>8123</v>
      </c>
      <c r="F422">
        <v>7.6</v>
      </c>
      <c r="G422">
        <v>5.2</v>
      </c>
      <c r="H422">
        <v>1.4615385999999999</v>
      </c>
      <c r="I422">
        <v>-0.46153850000000002</v>
      </c>
      <c r="J422">
        <v>0.40625</v>
      </c>
    </row>
    <row r="423" spans="1:10" x14ac:dyDescent="0.3">
      <c r="A423">
        <v>421</v>
      </c>
      <c r="B423">
        <v>6690</v>
      </c>
      <c r="C423" t="b">
        <v>1</v>
      </c>
      <c r="D423">
        <v>8054</v>
      </c>
      <c r="E423">
        <v>8117</v>
      </c>
      <c r="F423">
        <v>8.4</v>
      </c>
      <c r="G423">
        <v>5.6</v>
      </c>
      <c r="H423">
        <v>1.5</v>
      </c>
      <c r="I423">
        <v>-0.49999997000000002</v>
      </c>
      <c r="J423">
        <v>0.4</v>
      </c>
    </row>
    <row r="424" spans="1:10" x14ac:dyDescent="0.3">
      <c r="A424">
        <v>422</v>
      </c>
      <c r="B424">
        <v>6706</v>
      </c>
      <c r="C424" t="b">
        <v>1</v>
      </c>
      <c r="D424">
        <v>8054</v>
      </c>
      <c r="E424">
        <v>8123</v>
      </c>
      <c r="F424">
        <v>9.1999999999999993</v>
      </c>
      <c r="G424">
        <v>6</v>
      </c>
      <c r="H424">
        <v>1.5333333</v>
      </c>
      <c r="I424">
        <v>-0.53333330000000001</v>
      </c>
      <c r="J424">
        <v>0.39473686000000002</v>
      </c>
    </row>
    <row r="425" spans="1:10" x14ac:dyDescent="0.3">
      <c r="A425">
        <v>423</v>
      </c>
      <c r="B425">
        <v>6722</v>
      </c>
      <c r="C425" t="b">
        <v>1</v>
      </c>
      <c r="D425">
        <v>8054</v>
      </c>
      <c r="E425">
        <v>8123</v>
      </c>
      <c r="F425">
        <v>9.6</v>
      </c>
      <c r="G425">
        <v>6.4</v>
      </c>
      <c r="H425">
        <v>1.5</v>
      </c>
      <c r="I425">
        <v>-0.50000005999999997</v>
      </c>
      <c r="J425">
        <v>0.4</v>
      </c>
    </row>
    <row r="426" spans="1:10" x14ac:dyDescent="0.3">
      <c r="A426">
        <v>424</v>
      </c>
      <c r="B426">
        <v>6738</v>
      </c>
      <c r="C426" t="b">
        <v>1</v>
      </c>
      <c r="D426">
        <v>8054</v>
      </c>
      <c r="E426">
        <v>8123</v>
      </c>
      <c r="F426">
        <v>10</v>
      </c>
      <c r="G426">
        <v>6.8</v>
      </c>
      <c r="H426">
        <v>1.4705881999999999</v>
      </c>
      <c r="I426">
        <v>-0.47058820000000001</v>
      </c>
      <c r="J426">
        <v>0.40476193999999999</v>
      </c>
    </row>
    <row r="427" spans="1:10" x14ac:dyDescent="0.3">
      <c r="A427">
        <v>425</v>
      </c>
      <c r="B427">
        <v>6754</v>
      </c>
      <c r="C427" t="b">
        <v>1</v>
      </c>
      <c r="D427">
        <v>8048</v>
      </c>
      <c r="E427">
        <v>8117</v>
      </c>
      <c r="F427">
        <v>10.4</v>
      </c>
      <c r="G427">
        <v>7.2</v>
      </c>
      <c r="H427">
        <v>1.4444444000000001</v>
      </c>
      <c r="I427">
        <v>-0.44444442000000001</v>
      </c>
      <c r="J427">
        <v>0.40909094000000001</v>
      </c>
    </row>
    <row r="428" spans="1:10" x14ac:dyDescent="0.3">
      <c r="A428">
        <v>426</v>
      </c>
      <c r="B428">
        <v>6770</v>
      </c>
      <c r="C428" t="b">
        <v>1</v>
      </c>
      <c r="D428">
        <v>8048</v>
      </c>
      <c r="E428">
        <v>8123</v>
      </c>
      <c r="F428">
        <v>10.8</v>
      </c>
      <c r="G428">
        <v>7.6</v>
      </c>
      <c r="H428">
        <v>1.4210526999999999</v>
      </c>
      <c r="I428">
        <v>-0.42105266000000002</v>
      </c>
      <c r="J428">
        <v>0.41304347000000002</v>
      </c>
    </row>
    <row r="429" spans="1:10" x14ac:dyDescent="0.3">
      <c r="A429">
        <v>427</v>
      </c>
      <c r="B429">
        <v>6785</v>
      </c>
      <c r="C429" t="b">
        <v>1</v>
      </c>
      <c r="D429">
        <v>8042</v>
      </c>
      <c r="E429">
        <v>8123</v>
      </c>
      <c r="F429">
        <v>10.8</v>
      </c>
      <c r="G429">
        <v>8</v>
      </c>
      <c r="H429">
        <v>1.35</v>
      </c>
      <c r="I429">
        <v>-0.35000002000000002</v>
      </c>
      <c r="J429">
        <v>0.42553192000000001</v>
      </c>
    </row>
    <row r="430" spans="1:10" x14ac:dyDescent="0.3">
      <c r="A430">
        <v>428</v>
      </c>
      <c r="B430">
        <v>6801</v>
      </c>
      <c r="C430" t="b">
        <v>1</v>
      </c>
      <c r="D430">
        <v>8048</v>
      </c>
      <c r="E430">
        <v>8123</v>
      </c>
      <c r="F430">
        <v>10.8</v>
      </c>
      <c r="G430">
        <v>8</v>
      </c>
      <c r="H430">
        <v>1.35</v>
      </c>
      <c r="I430">
        <v>-0.35000002000000002</v>
      </c>
      <c r="J430">
        <v>0.42553192000000001</v>
      </c>
    </row>
    <row r="431" spans="1:10" x14ac:dyDescent="0.3">
      <c r="A431">
        <v>429</v>
      </c>
      <c r="B431">
        <v>6817</v>
      </c>
      <c r="C431" t="b">
        <v>1</v>
      </c>
      <c r="D431">
        <v>8048</v>
      </c>
      <c r="E431">
        <v>8123</v>
      </c>
      <c r="F431">
        <v>10.8</v>
      </c>
      <c r="G431">
        <v>8</v>
      </c>
      <c r="H431">
        <v>1.35</v>
      </c>
      <c r="I431">
        <v>-0.35000002000000002</v>
      </c>
      <c r="J431">
        <v>0.42553192000000001</v>
      </c>
    </row>
    <row r="432" spans="1:10" x14ac:dyDescent="0.3">
      <c r="A432">
        <v>430</v>
      </c>
      <c r="B432">
        <v>6833</v>
      </c>
      <c r="C432" t="b">
        <v>1</v>
      </c>
      <c r="D432">
        <v>8048</v>
      </c>
      <c r="E432">
        <v>8123</v>
      </c>
      <c r="F432">
        <v>10.8</v>
      </c>
      <c r="G432">
        <v>8</v>
      </c>
      <c r="H432">
        <v>1.35</v>
      </c>
      <c r="I432">
        <v>-0.35000002000000002</v>
      </c>
      <c r="J432">
        <v>0.42553192000000001</v>
      </c>
    </row>
    <row r="433" spans="1:10" x14ac:dyDescent="0.3">
      <c r="A433">
        <v>431</v>
      </c>
      <c r="B433">
        <v>6849</v>
      </c>
      <c r="C433" t="b">
        <v>1</v>
      </c>
      <c r="D433">
        <v>8054</v>
      </c>
      <c r="E433">
        <v>8123</v>
      </c>
      <c r="F433">
        <v>10.8</v>
      </c>
      <c r="G433">
        <v>8</v>
      </c>
      <c r="H433">
        <v>1.35</v>
      </c>
      <c r="I433">
        <v>-0.35000002000000002</v>
      </c>
      <c r="J433">
        <v>0.42553192000000001</v>
      </c>
    </row>
    <row r="434" spans="1:10" x14ac:dyDescent="0.3">
      <c r="A434">
        <v>432</v>
      </c>
      <c r="B434">
        <v>6865</v>
      </c>
      <c r="C434" t="b">
        <v>1</v>
      </c>
      <c r="D434">
        <v>8054</v>
      </c>
      <c r="E434">
        <v>8123</v>
      </c>
      <c r="F434">
        <v>10.8</v>
      </c>
      <c r="G434">
        <v>8</v>
      </c>
      <c r="H434">
        <v>1.35</v>
      </c>
      <c r="I434">
        <v>-0.35000002000000002</v>
      </c>
      <c r="J434">
        <v>0.42553192000000001</v>
      </c>
    </row>
    <row r="435" spans="1:10" x14ac:dyDescent="0.3">
      <c r="A435">
        <v>433</v>
      </c>
      <c r="B435">
        <v>6880</v>
      </c>
      <c r="C435" t="b">
        <v>1</v>
      </c>
      <c r="D435">
        <v>8054</v>
      </c>
      <c r="E435">
        <v>8123</v>
      </c>
      <c r="F435">
        <v>11.2</v>
      </c>
      <c r="G435">
        <v>8</v>
      </c>
      <c r="H435">
        <v>1.4</v>
      </c>
      <c r="I435">
        <v>-0.39999997999999998</v>
      </c>
      <c r="J435">
        <v>0.41666666000000002</v>
      </c>
    </row>
    <row r="436" spans="1:10" x14ac:dyDescent="0.3">
      <c r="A436">
        <v>434</v>
      </c>
      <c r="B436">
        <v>6896</v>
      </c>
      <c r="C436" t="b">
        <v>1</v>
      </c>
      <c r="D436">
        <v>8054</v>
      </c>
      <c r="E436">
        <v>8123</v>
      </c>
      <c r="F436">
        <v>11.6</v>
      </c>
      <c r="G436">
        <v>8</v>
      </c>
      <c r="H436">
        <v>1.45</v>
      </c>
      <c r="I436">
        <v>-0.45000004999999998</v>
      </c>
      <c r="J436">
        <v>0.40816324999999998</v>
      </c>
    </row>
    <row r="437" spans="1:10" x14ac:dyDescent="0.3">
      <c r="A437">
        <v>435</v>
      </c>
      <c r="B437">
        <v>6912</v>
      </c>
      <c r="C437" t="b">
        <v>1</v>
      </c>
      <c r="D437">
        <v>8054</v>
      </c>
      <c r="E437">
        <v>8123</v>
      </c>
      <c r="F437">
        <v>11.6</v>
      </c>
      <c r="G437">
        <v>8</v>
      </c>
      <c r="H437">
        <v>1.45</v>
      </c>
      <c r="I437">
        <v>-0.45000004999999998</v>
      </c>
      <c r="J437">
        <v>0.40816324999999998</v>
      </c>
    </row>
    <row r="438" spans="1:10" x14ac:dyDescent="0.3">
      <c r="A438">
        <v>436</v>
      </c>
      <c r="B438">
        <v>6928</v>
      </c>
      <c r="C438" t="b">
        <v>1</v>
      </c>
      <c r="D438">
        <v>8054</v>
      </c>
      <c r="E438">
        <v>8123</v>
      </c>
      <c r="F438">
        <v>11.6</v>
      </c>
      <c r="G438">
        <v>8</v>
      </c>
      <c r="H438">
        <v>1.45</v>
      </c>
      <c r="I438">
        <v>-0.45000004999999998</v>
      </c>
      <c r="J438">
        <v>0.40816324999999998</v>
      </c>
    </row>
    <row r="439" spans="1:10" x14ac:dyDescent="0.3">
      <c r="A439">
        <v>437</v>
      </c>
      <c r="B439">
        <v>6944</v>
      </c>
      <c r="C439" t="b">
        <v>1</v>
      </c>
      <c r="D439">
        <v>8048</v>
      </c>
      <c r="E439">
        <v>8123</v>
      </c>
      <c r="F439">
        <v>11.6</v>
      </c>
      <c r="G439">
        <v>8</v>
      </c>
      <c r="H439">
        <v>1.45</v>
      </c>
      <c r="I439">
        <v>-0.45000004999999998</v>
      </c>
      <c r="J439">
        <v>0.40816324999999998</v>
      </c>
    </row>
    <row r="440" spans="1:10" x14ac:dyDescent="0.3">
      <c r="A440">
        <v>438</v>
      </c>
      <c r="B440">
        <v>6960</v>
      </c>
      <c r="C440" t="b">
        <v>1</v>
      </c>
      <c r="D440">
        <v>8048</v>
      </c>
      <c r="E440">
        <v>8123</v>
      </c>
      <c r="F440">
        <v>11.6</v>
      </c>
      <c r="G440">
        <v>8</v>
      </c>
      <c r="H440">
        <v>1.45</v>
      </c>
      <c r="I440">
        <v>-0.45000004999999998</v>
      </c>
      <c r="J440">
        <v>0.40816324999999998</v>
      </c>
    </row>
    <row r="441" spans="1:10" x14ac:dyDescent="0.3">
      <c r="A441">
        <v>439</v>
      </c>
      <c r="B441">
        <v>6975</v>
      </c>
      <c r="C441" t="b">
        <v>1</v>
      </c>
      <c r="D441">
        <v>8048</v>
      </c>
      <c r="E441">
        <v>8123</v>
      </c>
      <c r="F441">
        <v>11.2</v>
      </c>
      <c r="G441">
        <v>8</v>
      </c>
      <c r="H441">
        <v>1.4</v>
      </c>
      <c r="I441">
        <v>-0.39999997999999998</v>
      </c>
      <c r="J441">
        <v>0.41666666000000002</v>
      </c>
    </row>
    <row r="442" spans="1:10" x14ac:dyDescent="0.3">
      <c r="A442">
        <v>440</v>
      </c>
      <c r="B442">
        <v>6991</v>
      </c>
      <c r="C442" t="b">
        <v>1</v>
      </c>
      <c r="D442">
        <v>8054</v>
      </c>
      <c r="E442">
        <v>8123</v>
      </c>
      <c r="F442">
        <v>10.8</v>
      </c>
      <c r="G442">
        <v>8</v>
      </c>
      <c r="H442">
        <v>1.35</v>
      </c>
      <c r="I442">
        <v>-0.35000002000000002</v>
      </c>
      <c r="J442">
        <v>0.42553192000000001</v>
      </c>
    </row>
    <row r="443" spans="1:10" x14ac:dyDescent="0.3">
      <c r="A443">
        <v>441</v>
      </c>
      <c r="B443">
        <v>7007</v>
      </c>
      <c r="C443" t="b">
        <v>1</v>
      </c>
      <c r="D443">
        <v>8042</v>
      </c>
      <c r="E443">
        <v>8123</v>
      </c>
      <c r="F443">
        <v>10.4</v>
      </c>
      <c r="G443">
        <v>8</v>
      </c>
      <c r="H443">
        <v>1.3</v>
      </c>
      <c r="I443">
        <v>-0.29999995000000002</v>
      </c>
      <c r="J443">
        <v>0.43478262000000001</v>
      </c>
    </row>
    <row r="444" spans="1:10" x14ac:dyDescent="0.3">
      <c r="A444">
        <v>442</v>
      </c>
      <c r="B444">
        <v>7023</v>
      </c>
      <c r="C444" t="b">
        <v>1</v>
      </c>
      <c r="D444">
        <v>8048</v>
      </c>
      <c r="E444">
        <v>8117</v>
      </c>
      <c r="F444">
        <v>10.4</v>
      </c>
      <c r="G444">
        <v>8</v>
      </c>
      <c r="H444">
        <v>1.3</v>
      </c>
      <c r="I444">
        <v>-0.29999995000000002</v>
      </c>
      <c r="J444">
        <v>0.43478262000000001</v>
      </c>
    </row>
    <row r="445" spans="1:10" x14ac:dyDescent="0.3">
      <c r="A445">
        <v>443</v>
      </c>
      <c r="B445">
        <v>7039</v>
      </c>
      <c r="C445" t="b">
        <v>1</v>
      </c>
      <c r="D445">
        <v>8048</v>
      </c>
      <c r="E445">
        <v>8123</v>
      </c>
      <c r="F445">
        <v>10.4</v>
      </c>
      <c r="G445">
        <v>8</v>
      </c>
      <c r="H445">
        <v>1.3</v>
      </c>
      <c r="I445">
        <v>-0.29999995000000002</v>
      </c>
      <c r="J445">
        <v>0.43478262000000001</v>
      </c>
    </row>
    <row r="446" spans="1:10" x14ac:dyDescent="0.3">
      <c r="A446">
        <v>444</v>
      </c>
      <c r="B446">
        <v>7055</v>
      </c>
      <c r="C446" t="b">
        <v>1</v>
      </c>
      <c r="D446">
        <v>8048</v>
      </c>
      <c r="E446">
        <v>8123</v>
      </c>
      <c r="F446">
        <v>10.4</v>
      </c>
      <c r="G446">
        <v>8</v>
      </c>
      <c r="H446">
        <v>1.3</v>
      </c>
      <c r="I446">
        <v>-0.29999995000000002</v>
      </c>
      <c r="J446">
        <v>0.43478262000000001</v>
      </c>
    </row>
    <row r="447" spans="1:10" x14ac:dyDescent="0.3">
      <c r="A447">
        <v>445</v>
      </c>
      <c r="B447">
        <v>7071</v>
      </c>
      <c r="C447" t="b">
        <v>1</v>
      </c>
      <c r="D447">
        <v>8048</v>
      </c>
      <c r="E447">
        <v>8117</v>
      </c>
      <c r="F447">
        <v>10.4</v>
      </c>
      <c r="G447">
        <v>8</v>
      </c>
      <c r="H447">
        <v>1.3</v>
      </c>
      <c r="I447">
        <v>-0.29999995000000002</v>
      </c>
      <c r="J447">
        <v>0.43478262000000001</v>
      </c>
    </row>
    <row r="448" spans="1:10" x14ac:dyDescent="0.3">
      <c r="A448">
        <v>446</v>
      </c>
      <c r="B448">
        <v>7087</v>
      </c>
      <c r="C448" t="b">
        <v>1</v>
      </c>
      <c r="D448">
        <v>8048</v>
      </c>
      <c r="E448">
        <v>8117</v>
      </c>
      <c r="F448">
        <v>10.4</v>
      </c>
      <c r="G448">
        <v>7.6</v>
      </c>
      <c r="H448">
        <v>1.3684210999999999</v>
      </c>
      <c r="I448">
        <v>-0.36842101999999999</v>
      </c>
      <c r="J448">
        <v>0.42222222999999998</v>
      </c>
    </row>
    <row r="449" spans="1:10" x14ac:dyDescent="0.3">
      <c r="A449">
        <v>447</v>
      </c>
      <c r="B449">
        <v>7102</v>
      </c>
      <c r="C449" t="b">
        <v>1</v>
      </c>
      <c r="D449">
        <v>8048</v>
      </c>
      <c r="E449">
        <v>8123</v>
      </c>
      <c r="F449">
        <v>10.4</v>
      </c>
      <c r="G449">
        <v>7.6</v>
      </c>
      <c r="H449">
        <v>1.3684210999999999</v>
      </c>
      <c r="I449">
        <v>-0.36842101999999999</v>
      </c>
      <c r="J449">
        <v>0.42222222999999998</v>
      </c>
    </row>
    <row r="450" spans="1:10" x14ac:dyDescent="0.3">
      <c r="A450">
        <v>448</v>
      </c>
      <c r="B450">
        <v>7118</v>
      </c>
      <c r="C450" t="b">
        <v>1</v>
      </c>
      <c r="D450">
        <v>8048</v>
      </c>
      <c r="E450">
        <v>8123</v>
      </c>
      <c r="F450">
        <v>10</v>
      </c>
      <c r="G450">
        <v>7.6</v>
      </c>
      <c r="H450">
        <v>1.3157894999999999</v>
      </c>
      <c r="I450">
        <v>-0.3157895</v>
      </c>
      <c r="J450">
        <v>0.43181816000000001</v>
      </c>
    </row>
    <row r="451" spans="1:10" x14ac:dyDescent="0.3">
      <c r="A451">
        <v>449</v>
      </c>
      <c r="B451">
        <v>7134</v>
      </c>
      <c r="C451" t="b">
        <v>1</v>
      </c>
      <c r="D451">
        <v>8048</v>
      </c>
      <c r="E451">
        <v>8123</v>
      </c>
      <c r="F451">
        <v>9.6</v>
      </c>
      <c r="G451">
        <v>7.6</v>
      </c>
      <c r="H451">
        <v>1.263158</v>
      </c>
      <c r="I451">
        <v>-0.26315796000000002</v>
      </c>
      <c r="J451">
        <v>0.44186044000000002</v>
      </c>
    </row>
    <row r="452" spans="1:10" x14ac:dyDescent="0.3">
      <c r="A452">
        <v>450</v>
      </c>
      <c r="B452">
        <v>7150</v>
      </c>
      <c r="C452" t="b">
        <v>1</v>
      </c>
      <c r="D452">
        <v>8042</v>
      </c>
      <c r="E452">
        <v>8123</v>
      </c>
      <c r="F452">
        <v>9.1999999999999993</v>
      </c>
      <c r="G452">
        <v>7.6</v>
      </c>
      <c r="H452">
        <v>1.2105262999999999</v>
      </c>
      <c r="I452">
        <v>-0.2105263</v>
      </c>
      <c r="J452">
        <v>0.45238096</v>
      </c>
    </row>
    <row r="453" spans="1:10" x14ac:dyDescent="0.3">
      <c r="A453">
        <v>451</v>
      </c>
      <c r="B453">
        <v>7165</v>
      </c>
      <c r="C453" t="b">
        <v>1</v>
      </c>
      <c r="D453">
        <v>8054</v>
      </c>
      <c r="E453">
        <v>8123</v>
      </c>
      <c r="F453">
        <v>8.8000000000000007</v>
      </c>
      <c r="G453">
        <v>7.6</v>
      </c>
      <c r="H453">
        <v>1.1578946999999999</v>
      </c>
      <c r="I453">
        <v>-0.15789478000000001</v>
      </c>
      <c r="J453">
        <v>0.46341463999999999</v>
      </c>
    </row>
    <row r="454" spans="1:10" x14ac:dyDescent="0.3">
      <c r="A454">
        <v>452</v>
      </c>
      <c r="B454">
        <v>7181</v>
      </c>
      <c r="C454" t="b">
        <v>1</v>
      </c>
      <c r="D454">
        <v>8042</v>
      </c>
      <c r="E454">
        <v>8123</v>
      </c>
      <c r="F454">
        <v>8.4</v>
      </c>
      <c r="G454">
        <v>7.6</v>
      </c>
      <c r="H454">
        <v>1.1052630999999999</v>
      </c>
      <c r="I454">
        <v>-0.10526312</v>
      </c>
      <c r="J454">
        <v>0.47499999999999998</v>
      </c>
    </row>
    <row r="455" spans="1:10" x14ac:dyDescent="0.3">
      <c r="A455">
        <v>453</v>
      </c>
      <c r="B455">
        <v>7197</v>
      </c>
      <c r="C455" t="b">
        <v>1</v>
      </c>
      <c r="D455">
        <v>8048</v>
      </c>
      <c r="E455">
        <v>8129</v>
      </c>
      <c r="F455">
        <v>8</v>
      </c>
      <c r="G455">
        <v>7.6</v>
      </c>
      <c r="H455">
        <v>1.0526316</v>
      </c>
      <c r="I455">
        <v>-5.2631589999999999E-2</v>
      </c>
      <c r="J455">
        <v>0.48717946000000001</v>
      </c>
    </row>
    <row r="456" spans="1:10" x14ac:dyDescent="0.3">
      <c r="A456">
        <v>454</v>
      </c>
      <c r="B456">
        <v>7213</v>
      </c>
      <c r="C456" t="b">
        <v>1</v>
      </c>
      <c r="D456">
        <v>8048</v>
      </c>
      <c r="E456">
        <v>8123</v>
      </c>
      <c r="F456">
        <v>8</v>
      </c>
      <c r="G456">
        <v>7.6</v>
      </c>
      <c r="H456">
        <v>1.0526316</v>
      </c>
      <c r="I456">
        <v>-5.2631589999999999E-2</v>
      </c>
      <c r="J456">
        <v>0.48717946000000001</v>
      </c>
    </row>
    <row r="457" spans="1:10" x14ac:dyDescent="0.3">
      <c r="A457">
        <v>455</v>
      </c>
      <c r="B457">
        <v>7229</v>
      </c>
      <c r="C457" t="b">
        <v>1</v>
      </c>
      <c r="D457">
        <v>8048</v>
      </c>
      <c r="E457">
        <v>8123</v>
      </c>
      <c r="F457">
        <v>8</v>
      </c>
      <c r="G457">
        <v>7.6</v>
      </c>
      <c r="H457">
        <v>1.0526316</v>
      </c>
      <c r="I457">
        <v>-5.2631589999999999E-2</v>
      </c>
      <c r="J457">
        <v>0.48717946000000001</v>
      </c>
    </row>
    <row r="458" spans="1:10" x14ac:dyDescent="0.3">
      <c r="A458">
        <v>456</v>
      </c>
      <c r="B458">
        <v>7245</v>
      </c>
      <c r="C458" t="b">
        <v>1</v>
      </c>
      <c r="D458">
        <v>8048</v>
      </c>
      <c r="E458">
        <v>8123</v>
      </c>
      <c r="F458">
        <v>8</v>
      </c>
      <c r="G458">
        <v>7.6</v>
      </c>
      <c r="H458">
        <v>1.0526316</v>
      </c>
      <c r="I458">
        <v>-5.2631589999999999E-2</v>
      </c>
      <c r="J458">
        <v>0.48717946000000001</v>
      </c>
    </row>
    <row r="459" spans="1:10" x14ac:dyDescent="0.3">
      <c r="A459">
        <v>457</v>
      </c>
      <c r="B459">
        <v>7261</v>
      </c>
      <c r="C459" t="b">
        <v>1</v>
      </c>
      <c r="D459">
        <v>8048</v>
      </c>
      <c r="E459">
        <v>8123</v>
      </c>
      <c r="F459">
        <v>8</v>
      </c>
      <c r="G459">
        <v>7.6</v>
      </c>
      <c r="H459">
        <v>1.0526316</v>
      </c>
      <c r="I459">
        <v>-5.2631589999999999E-2</v>
      </c>
      <c r="J459">
        <v>0.48717946000000001</v>
      </c>
    </row>
    <row r="460" spans="1:10" x14ac:dyDescent="0.3">
      <c r="A460">
        <v>458</v>
      </c>
      <c r="B460">
        <v>7277</v>
      </c>
      <c r="C460" t="b">
        <v>1</v>
      </c>
      <c r="D460">
        <v>8048</v>
      </c>
      <c r="E460">
        <v>8117</v>
      </c>
      <c r="F460">
        <v>8</v>
      </c>
      <c r="G460">
        <v>7.6</v>
      </c>
      <c r="H460">
        <v>1.0526316</v>
      </c>
      <c r="I460">
        <v>-5.2631589999999999E-2</v>
      </c>
      <c r="J460">
        <v>0.48717946000000001</v>
      </c>
    </row>
    <row r="461" spans="1:10" x14ac:dyDescent="0.3">
      <c r="A461">
        <v>459</v>
      </c>
      <c r="B461">
        <v>7293</v>
      </c>
      <c r="C461" t="b">
        <v>1</v>
      </c>
      <c r="D461">
        <v>8048</v>
      </c>
      <c r="E461">
        <v>8117</v>
      </c>
      <c r="F461">
        <v>8</v>
      </c>
      <c r="G461">
        <v>7.6</v>
      </c>
      <c r="H461">
        <v>1.0526316</v>
      </c>
      <c r="I461">
        <v>-5.2631589999999999E-2</v>
      </c>
      <c r="J461">
        <v>0.48717946000000001</v>
      </c>
    </row>
    <row r="462" spans="1:10" x14ac:dyDescent="0.3">
      <c r="A462">
        <v>460</v>
      </c>
      <c r="B462">
        <v>7309</v>
      </c>
      <c r="C462" t="b">
        <v>1</v>
      </c>
      <c r="D462">
        <v>8054</v>
      </c>
      <c r="E462">
        <v>8123</v>
      </c>
      <c r="F462">
        <v>8</v>
      </c>
      <c r="G462">
        <v>7.6</v>
      </c>
      <c r="H462">
        <v>1.0526316</v>
      </c>
      <c r="I462">
        <v>-5.2631589999999999E-2</v>
      </c>
      <c r="J462">
        <v>0.48717946000000001</v>
      </c>
    </row>
    <row r="463" spans="1:10" x14ac:dyDescent="0.3">
      <c r="A463">
        <v>461</v>
      </c>
      <c r="B463">
        <v>7324</v>
      </c>
      <c r="C463" t="b">
        <v>1</v>
      </c>
      <c r="D463">
        <v>8048</v>
      </c>
      <c r="E463">
        <v>8117</v>
      </c>
      <c r="F463">
        <v>8</v>
      </c>
      <c r="G463">
        <v>7.6</v>
      </c>
      <c r="H463">
        <v>1.0526316</v>
      </c>
      <c r="I463">
        <v>-5.2631589999999999E-2</v>
      </c>
      <c r="J463">
        <v>0.48717946000000001</v>
      </c>
    </row>
    <row r="464" spans="1:10" x14ac:dyDescent="0.3">
      <c r="A464">
        <v>462</v>
      </c>
      <c r="B464">
        <v>7340</v>
      </c>
      <c r="C464" t="b">
        <v>1</v>
      </c>
      <c r="D464">
        <v>8054</v>
      </c>
      <c r="E464">
        <v>8117</v>
      </c>
      <c r="F464">
        <v>8</v>
      </c>
      <c r="G464">
        <v>7.2</v>
      </c>
      <c r="H464">
        <v>1.1111112000000001</v>
      </c>
      <c r="I464">
        <v>-0.11111114</v>
      </c>
      <c r="J464">
        <v>0.4736842</v>
      </c>
    </row>
    <row r="465" spans="1:10" x14ac:dyDescent="0.3">
      <c r="A465">
        <v>463</v>
      </c>
      <c r="B465">
        <v>7356</v>
      </c>
      <c r="C465" t="b">
        <v>1</v>
      </c>
      <c r="D465">
        <v>8042</v>
      </c>
      <c r="E465">
        <v>8117</v>
      </c>
      <c r="F465">
        <v>8</v>
      </c>
      <c r="G465">
        <v>6.8</v>
      </c>
      <c r="H465">
        <v>1.1764705</v>
      </c>
      <c r="I465">
        <v>-0.17647055</v>
      </c>
      <c r="J465">
        <v>0.45945944999999999</v>
      </c>
    </row>
    <row r="466" spans="1:10" x14ac:dyDescent="0.3">
      <c r="A466">
        <v>464</v>
      </c>
      <c r="B466">
        <v>7372</v>
      </c>
      <c r="C466" t="b">
        <v>1</v>
      </c>
      <c r="D466">
        <v>8048</v>
      </c>
      <c r="E466">
        <v>8117</v>
      </c>
      <c r="F466">
        <v>8</v>
      </c>
      <c r="G466">
        <v>6.4</v>
      </c>
      <c r="H466">
        <v>1.25</v>
      </c>
      <c r="I466">
        <v>-0.24999999000000001</v>
      </c>
      <c r="J466">
        <v>0.44444447999999998</v>
      </c>
    </row>
    <row r="467" spans="1:10" x14ac:dyDescent="0.3">
      <c r="A467">
        <v>465</v>
      </c>
      <c r="B467">
        <v>7389</v>
      </c>
      <c r="C467" t="b">
        <v>1</v>
      </c>
      <c r="D467">
        <v>8048</v>
      </c>
      <c r="E467">
        <v>8117</v>
      </c>
      <c r="F467">
        <v>8</v>
      </c>
      <c r="G467">
        <v>6</v>
      </c>
      <c r="H467">
        <v>1.3333333999999999</v>
      </c>
      <c r="I467">
        <v>-0.33333333999999998</v>
      </c>
      <c r="J467">
        <v>0.42857142999999998</v>
      </c>
    </row>
    <row r="468" spans="1:10" x14ac:dyDescent="0.3">
      <c r="A468">
        <v>466</v>
      </c>
      <c r="B468">
        <v>7404</v>
      </c>
      <c r="C468" t="b">
        <v>1</v>
      </c>
      <c r="D468">
        <v>8048</v>
      </c>
      <c r="E468">
        <v>8123</v>
      </c>
      <c r="F468">
        <v>8</v>
      </c>
      <c r="G468">
        <v>5.6</v>
      </c>
      <c r="H468">
        <v>1.4285715000000001</v>
      </c>
      <c r="I468">
        <v>-0.42857146000000002</v>
      </c>
      <c r="J468">
        <v>0.41176467999999999</v>
      </c>
    </row>
    <row r="469" spans="1:10" x14ac:dyDescent="0.3">
      <c r="A469">
        <v>467</v>
      </c>
      <c r="B469">
        <v>7420</v>
      </c>
      <c r="C469" t="b">
        <v>1</v>
      </c>
      <c r="D469">
        <v>8054</v>
      </c>
      <c r="E469">
        <v>8123</v>
      </c>
      <c r="F469">
        <v>8</v>
      </c>
      <c r="G469">
        <v>5.2</v>
      </c>
      <c r="H469">
        <v>1.5384616</v>
      </c>
      <c r="I469">
        <v>-0.53846156999999994</v>
      </c>
      <c r="J469">
        <v>0.39393938000000001</v>
      </c>
    </row>
    <row r="470" spans="1:10" x14ac:dyDescent="0.3">
      <c r="A470">
        <v>468</v>
      </c>
      <c r="B470">
        <v>7436</v>
      </c>
      <c r="C470" t="b">
        <v>1</v>
      </c>
      <c r="D470">
        <v>8048</v>
      </c>
      <c r="E470">
        <v>8123</v>
      </c>
      <c r="F470">
        <v>8</v>
      </c>
      <c r="G470">
        <v>5.2</v>
      </c>
      <c r="H470">
        <v>1.5384616</v>
      </c>
      <c r="I470">
        <v>-0.53846156999999994</v>
      </c>
      <c r="J470">
        <v>0.39393938000000001</v>
      </c>
    </row>
    <row r="471" spans="1:10" x14ac:dyDescent="0.3">
      <c r="A471">
        <v>469</v>
      </c>
      <c r="B471">
        <v>7452</v>
      </c>
      <c r="C471" t="b">
        <v>1</v>
      </c>
      <c r="D471">
        <v>8060</v>
      </c>
      <c r="E471">
        <v>8123</v>
      </c>
      <c r="F471">
        <v>8</v>
      </c>
      <c r="G471">
        <v>5.2</v>
      </c>
      <c r="H471">
        <v>1.5384616</v>
      </c>
      <c r="I471">
        <v>-0.53846156999999994</v>
      </c>
      <c r="J471">
        <v>0.39393938000000001</v>
      </c>
    </row>
    <row r="472" spans="1:10" x14ac:dyDescent="0.3">
      <c r="A472">
        <v>470</v>
      </c>
      <c r="B472">
        <v>7468</v>
      </c>
      <c r="C472" t="b">
        <v>1</v>
      </c>
      <c r="D472">
        <v>8060</v>
      </c>
      <c r="E472">
        <v>8123</v>
      </c>
      <c r="F472">
        <v>8.4</v>
      </c>
      <c r="G472">
        <v>5.2</v>
      </c>
      <c r="H472">
        <v>1.6153846000000001</v>
      </c>
      <c r="I472">
        <v>-0.61538459999999995</v>
      </c>
      <c r="J472">
        <v>0.38235295000000002</v>
      </c>
    </row>
    <row r="473" spans="1:10" x14ac:dyDescent="0.3">
      <c r="A473">
        <v>471</v>
      </c>
      <c r="B473">
        <v>7484</v>
      </c>
      <c r="C473" t="b">
        <v>1</v>
      </c>
      <c r="D473">
        <v>8054</v>
      </c>
      <c r="E473">
        <v>8117</v>
      </c>
      <c r="F473">
        <v>8.8000000000000007</v>
      </c>
      <c r="G473">
        <v>5.2</v>
      </c>
      <c r="H473">
        <v>1.6923078</v>
      </c>
      <c r="I473">
        <v>-0.69230780000000003</v>
      </c>
      <c r="J473">
        <v>0.37142855000000002</v>
      </c>
    </row>
    <row r="474" spans="1:10" x14ac:dyDescent="0.3">
      <c r="A474">
        <v>472</v>
      </c>
      <c r="B474">
        <v>7500</v>
      </c>
      <c r="C474" t="b">
        <v>1</v>
      </c>
      <c r="D474">
        <v>8054</v>
      </c>
      <c r="E474">
        <v>8123</v>
      </c>
      <c r="F474">
        <v>9.1999999999999993</v>
      </c>
      <c r="G474">
        <v>5.2</v>
      </c>
      <c r="H474">
        <v>1.7692308000000001</v>
      </c>
      <c r="I474">
        <v>-0.76923079999999999</v>
      </c>
      <c r="J474">
        <v>0.36111110000000002</v>
      </c>
    </row>
    <row r="475" spans="1:10" x14ac:dyDescent="0.3">
      <c r="A475">
        <v>473</v>
      </c>
      <c r="B475">
        <v>7516</v>
      </c>
      <c r="C475" t="b">
        <v>1</v>
      </c>
      <c r="D475">
        <v>8054</v>
      </c>
      <c r="E475">
        <v>8117</v>
      </c>
      <c r="F475">
        <v>9.6</v>
      </c>
      <c r="G475">
        <v>5.2</v>
      </c>
      <c r="H475">
        <v>1.8461540000000001</v>
      </c>
      <c r="I475">
        <v>-0.84615399999999996</v>
      </c>
      <c r="J475">
        <v>0.35135132000000002</v>
      </c>
    </row>
    <row r="476" spans="1:10" x14ac:dyDescent="0.3">
      <c r="A476">
        <v>474</v>
      </c>
      <c r="B476">
        <v>7532</v>
      </c>
      <c r="C476" t="b">
        <v>1</v>
      </c>
      <c r="D476">
        <v>8054</v>
      </c>
      <c r="E476">
        <v>8123</v>
      </c>
      <c r="F476">
        <v>10</v>
      </c>
      <c r="G476">
        <v>5.2</v>
      </c>
      <c r="H476">
        <v>1.9230769999999999</v>
      </c>
      <c r="I476">
        <v>-0.92307700000000004</v>
      </c>
      <c r="J476">
        <v>0.34210527000000002</v>
      </c>
    </row>
    <row r="477" spans="1:10" x14ac:dyDescent="0.3">
      <c r="A477">
        <v>475</v>
      </c>
      <c r="B477">
        <v>7548</v>
      </c>
      <c r="C477" t="b">
        <v>1</v>
      </c>
      <c r="D477">
        <v>8060</v>
      </c>
      <c r="E477">
        <v>8123</v>
      </c>
      <c r="F477">
        <v>10.4</v>
      </c>
      <c r="G477">
        <v>5.2</v>
      </c>
      <c r="H477">
        <v>2</v>
      </c>
      <c r="I477">
        <v>-1</v>
      </c>
      <c r="J477">
        <v>0.33333333999999998</v>
      </c>
    </row>
    <row r="478" spans="1:10" x14ac:dyDescent="0.3">
      <c r="A478">
        <v>476</v>
      </c>
      <c r="B478">
        <v>7563</v>
      </c>
      <c r="C478" t="b">
        <v>1</v>
      </c>
      <c r="D478">
        <v>8042</v>
      </c>
      <c r="E478">
        <v>8123</v>
      </c>
      <c r="F478">
        <v>10.8</v>
      </c>
      <c r="G478">
        <v>5.6</v>
      </c>
      <c r="H478">
        <v>1.9285715000000001</v>
      </c>
      <c r="I478">
        <v>-0.92857149999999999</v>
      </c>
      <c r="J478">
        <v>0.34146342000000002</v>
      </c>
    </row>
    <row r="479" spans="1:10" x14ac:dyDescent="0.3">
      <c r="A479">
        <v>477</v>
      </c>
      <c r="B479">
        <v>7579</v>
      </c>
      <c r="C479" t="b">
        <v>1</v>
      </c>
      <c r="D479">
        <v>8048</v>
      </c>
      <c r="E479">
        <v>8123</v>
      </c>
      <c r="F479">
        <v>11.2</v>
      </c>
      <c r="G479">
        <v>6</v>
      </c>
      <c r="H479">
        <v>1.8666666999999999</v>
      </c>
      <c r="I479">
        <v>-0.86666659999999995</v>
      </c>
      <c r="J479">
        <v>0.34883720000000001</v>
      </c>
    </row>
    <row r="480" spans="1:10" x14ac:dyDescent="0.3">
      <c r="A480">
        <v>478</v>
      </c>
      <c r="B480">
        <v>7595</v>
      </c>
      <c r="C480" t="b">
        <v>1</v>
      </c>
      <c r="D480">
        <v>8048</v>
      </c>
      <c r="E480">
        <v>8117</v>
      </c>
      <c r="F480">
        <v>11.2</v>
      </c>
      <c r="G480">
        <v>6.4</v>
      </c>
      <c r="H480">
        <v>1.75</v>
      </c>
      <c r="I480">
        <v>-0.74999994000000003</v>
      </c>
      <c r="J480">
        <v>0.36363636999999999</v>
      </c>
    </row>
    <row r="481" spans="1:10" x14ac:dyDescent="0.3">
      <c r="A481">
        <v>479</v>
      </c>
      <c r="B481">
        <v>7611</v>
      </c>
      <c r="C481" t="b">
        <v>1</v>
      </c>
      <c r="D481">
        <v>8048</v>
      </c>
      <c r="E481">
        <v>8123</v>
      </c>
      <c r="F481">
        <v>11.2</v>
      </c>
      <c r="G481">
        <v>6.8</v>
      </c>
      <c r="H481">
        <v>1.6470587000000001</v>
      </c>
      <c r="I481">
        <v>-0.64705869999999999</v>
      </c>
      <c r="J481">
        <v>0.37777779</v>
      </c>
    </row>
    <row r="482" spans="1:10" x14ac:dyDescent="0.3">
      <c r="A482">
        <v>480</v>
      </c>
      <c r="B482">
        <v>7627</v>
      </c>
      <c r="C482" t="b">
        <v>1</v>
      </c>
      <c r="D482">
        <v>8054</v>
      </c>
      <c r="E482">
        <v>8123</v>
      </c>
      <c r="F482">
        <v>11.2</v>
      </c>
      <c r="G482">
        <v>7.2</v>
      </c>
      <c r="H482">
        <v>1.5555555999999999</v>
      </c>
      <c r="I482">
        <v>-0.55555560000000004</v>
      </c>
      <c r="J482">
        <v>0.39130433999999997</v>
      </c>
    </row>
    <row r="483" spans="1:10" x14ac:dyDescent="0.3">
      <c r="A483">
        <v>481</v>
      </c>
      <c r="B483">
        <v>7643</v>
      </c>
      <c r="C483" t="b">
        <v>1</v>
      </c>
      <c r="D483">
        <v>8048</v>
      </c>
      <c r="E483">
        <v>8123</v>
      </c>
      <c r="F483">
        <v>11.2</v>
      </c>
      <c r="G483">
        <v>7.6</v>
      </c>
      <c r="H483">
        <v>1.4736842000000001</v>
      </c>
      <c r="I483">
        <v>-0.4736842</v>
      </c>
      <c r="J483">
        <v>0.40425533000000002</v>
      </c>
    </row>
    <row r="484" spans="1:10" x14ac:dyDescent="0.3">
      <c r="A484">
        <v>482</v>
      </c>
      <c r="B484">
        <v>7659</v>
      </c>
      <c r="C484" t="b">
        <v>1</v>
      </c>
      <c r="D484">
        <v>8048</v>
      </c>
      <c r="E484">
        <v>8117</v>
      </c>
      <c r="F484">
        <v>11.2</v>
      </c>
      <c r="G484">
        <v>8</v>
      </c>
      <c r="H484">
        <v>1.4</v>
      </c>
      <c r="I484">
        <v>-0.39999997999999998</v>
      </c>
      <c r="J484">
        <v>0.41666666000000002</v>
      </c>
    </row>
    <row r="485" spans="1:10" x14ac:dyDescent="0.3">
      <c r="A485">
        <v>483</v>
      </c>
      <c r="B485">
        <v>7675</v>
      </c>
      <c r="C485" t="b">
        <v>1</v>
      </c>
      <c r="D485">
        <v>8048</v>
      </c>
      <c r="E485">
        <v>8123</v>
      </c>
      <c r="F485">
        <v>11.2</v>
      </c>
      <c r="G485">
        <v>8</v>
      </c>
      <c r="H485">
        <v>1.4</v>
      </c>
      <c r="I485">
        <v>-0.39999997999999998</v>
      </c>
      <c r="J485">
        <v>0.41666666000000002</v>
      </c>
    </row>
    <row r="486" spans="1:10" x14ac:dyDescent="0.3">
      <c r="A486">
        <v>484</v>
      </c>
      <c r="B486">
        <v>7691</v>
      </c>
      <c r="C486" t="b">
        <v>1</v>
      </c>
      <c r="D486">
        <v>8054</v>
      </c>
      <c r="E486">
        <v>8117</v>
      </c>
      <c r="F486">
        <v>11.2</v>
      </c>
      <c r="G486">
        <v>8</v>
      </c>
      <c r="H486">
        <v>1.4</v>
      </c>
      <c r="I486">
        <v>-0.39999997999999998</v>
      </c>
      <c r="J486">
        <v>0.41666666000000002</v>
      </c>
    </row>
    <row r="487" spans="1:10" x14ac:dyDescent="0.3">
      <c r="A487">
        <v>485</v>
      </c>
      <c r="B487">
        <v>7707</v>
      </c>
      <c r="C487" t="b">
        <v>1</v>
      </c>
      <c r="D487">
        <v>8054</v>
      </c>
      <c r="E487">
        <v>8123</v>
      </c>
      <c r="F487">
        <v>10.8</v>
      </c>
      <c r="G487">
        <v>8</v>
      </c>
      <c r="H487">
        <v>1.35</v>
      </c>
      <c r="I487">
        <v>-0.35000002000000002</v>
      </c>
      <c r="J487">
        <v>0.42553192000000001</v>
      </c>
    </row>
    <row r="488" spans="1:10" x14ac:dyDescent="0.3">
      <c r="A488">
        <v>486</v>
      </c>
      <c r="B488">
        <v>7722</v>
      </c>
      <c r="C488" t="b">
        <v>1</v>
      </c>
      <c r="D488">
        <v>8042</v>
      </c>
      <c r="E488">
        <v>8123</v>
      </c>
      <c r="F488">
        <v>10.4</v>
      </c>
      <c r="G488">
        <v>8</v>
      </c>
      <c r="H488">
        <v>1.3</v>
      </c>
      <c r="I488">
        <v>-0.29999995000000002</v>
      </c>
      <c r="J488">
        <v>0.43478262000000001</v>
      </c>
    </row>
    <row r="489" spans="1:10" x14ac:dyDescent="0.3">
      <c r="A489">
        <v>487</v>
      </c>
      <c r="B489">
        <v>7738</v>
      </c>
      <c r="C489" t="b">
        <v>1</v>
      </c>
      <c r="D489">
        <v>8048</v>
      </c>
      <c r="E489">
        <v>8123</v>
      </c>
      <c r="F489">
        <v>10</v>
      </c>
      <c r="G489">
        <v>8</v>
      </c>
      <c r="H489">
        <v>1.25</v>
      </c>
      <c r="I489">
        <v>-0.25</v>
      </c>
      <c r="J489">
        <v>0.44444444999999999</v>
      </c>
    </row>
    <row r="490" spans="1:10" x14ac:dyDescent="0.3">
      <c r="A490">
        <v>488</v>
      </c>
      <c r="B490">
        <v>7754</v>
      </c>
      <c r="C490" t="b">
        <v>1</v>
      </c>
      <c r="D490">
        <v>8048</v>
      </c>
      <c r="E490">
        <v>8123</v>
      </c>
      <c r="F490">
        <v>9.6</v>
      </c>
      <c r="G490">
        <v>8</v>
      </c>
      <c r="H490">
        <v>1.2</v>
      </c>
      <c r="I490">
        <v>-0.20000005000000001</v>
      </c>
      <c r="J490">
        <v>0.45454544000000002</v>
      </c>
    </row>
    <row r="491" spans="1:10" x14ac:dyDescent="0.3">
      <c r="A491">
        <v>489</v>
      </c>
      <c r="B491">
        <v>7770</v>
      </c>
      <c r="C491" t="b">
        <v>1</v>
      </c>
      <c r="D491">
        <v>8048</v>
      </c>
      <c r="E491">
        <v>8123</v>
      </c>
      <c r="F491">
        <v>9.1999999999999993</v>
      </c>
      <c r="G491">
        <v>8</v>
      </c>
      <c r="H491">
        <v>1.1499999999999999</v>
      </c>
      <c r="I491">
        <v>-0.14999998</v>
      </c>
      <c r="J491">
        <v>0.46511626</v>
      </c>
    </row>
    <row r="492" spans="1:10" x14ac:dyDescent="0.3">
      <c r="A492">
        <v>490</v>
      </c>
      <c r="B492">
        <v>7786</v>
      </c>
      <c r="C492" t="b">
        <v>1</v>
      </c>
      <c r="D492">
        <v>8048</v>
      </c>
      <c r="E492">
        <v>8117</v>
      </c>
      <c r="F492">
        <v>8.8000000000000007</v>
      </c>
      <c r="G492">
        <v>8</v>
      </c>
      <c r="H492">
        <v>1.1000000000000001</v>
      </c>
      <c r="I492">
        <v>-0.10000002400000001</v>
      </c>
      <c r="J492">
        <v>0.47619050000000002</v>
      </c>
    </row>
    <row r="493" spans="1:10" x14ac:dyDescent="0.3">
      <c r="A493">
        <v>491</v>
      </c>
      <c r="B493">
        <v>7802</v>
      </c>
      <c r="C493" t="b">
        <v>1</v>
      </c>
      <c r="D493">
        <v>8048</v>
      </c>
      <c r="E493">
        <v>8123</v>
      </c>
      <c r="F493">
        <v>8.4</v>
      </c>
      <c r="G493">
        <v>8</v>
      </c>
      <c r="H493">
        <v>1.05</v>
      </c>
      <c r="I493">
        <v>-4.9999952E-2</v>
      </c>
      <c r="J493">
        <v>0.48780489999999999</v>
      </c>
    </row>
    <row r="494" spans="1:10" x14ac:dyDescent="0.3">
      <c r="A494">
        <v>492</v>
      </c>
      <c r="B494">
        <v>7818</v>
      </c>
      <c r="C494" t="b">
        <v>1</v>
      </c>
      <c r="D494">
        <v>8048</v>
      </c>
      <c r="E494">
        <v>8123</v>
      </c>
      <c r="F494">
        <v>8</v>
      </c>
      <c r="G494">
        <v>8</v>
      </c>
      <c r="H494">
        <v>1</v>
      </c>
      <c r="I494">
        <v>0</v>
      </c>
      <c r="J494">
        <v>0.5</v>
      </c>
    </row>
    <row r="495" spans="1:10" x14ac:dyDescent="0.3">
      <c r="A495">
        <v>493</v>
      </c>
      <c r="B495">
        <v>7834</v>
      </c>
      <c r="C495" t="b">
        <v>1</v>
      </c>
      <c r="D495">
        <v>8054</v>
      </c>
      <c r="E495">
        <v>8123</v>
      </c>
      <c r="F495">
        <v>8</v>
      </c>
      <c r="G495">
        <v>8</v>
      </c>
      <c r="H495">
        <v>1</v>
      </c>
      <c r="I495">
        <v>0</v>
      </c>
      <c r="J495">
        <v>0.5</v>
      </c>
    </row>
    <row r="496" spans="1:10" x14ac:dyDescent="0.3">
      <c r="A496">
        <v>494</v>
      </c>
      <c r="B496">
        <v>7850</v>
      </c>
      <c r="C496" t="b">
        <v>1</v>
      </c>
      <c r="D496">
        <v>8048</v>
      </c>
      <c r="E496">
        <v>8123</v>
      </c>
      <c r="F496">
        <v>8</v>
      </c>
      <c r="G496">
        <v>8</v>
      </c>
      <c r="H496">
        <v>1</v>
      </c>
      <c r="I496">
        <v>0</v>
      </c>
      <c r="J496">
        <v>0.5</v>
      </c>
    </row>
    <row r="497" spans="1:10" x14ac:dyDescent="0.3">
      <c r="A497">
        <v>495</v>
      </c>
      <c r="B497">
        <v>7866</v>
      </c>
      <c r="C497" t="b">
        <v>1</v>
      </c>
      <c r="D497">
        <v>8048</v>
      </c>
      <c r="E497">
        <v>8123</v>
      </c>
      <c r="F497">
        <v>8</v>
      </c>
      <c r="G497">
        <v>8</v>
      </c>
      <c r="H497">
        <v>1</v>
      </c>
      <c r="I497">
        <v>0</v>
      </c>
      <c r="J497">
        <v>0.5</v>
      </c>
    </row>
    <row r="498" spans="1:10" x14ac:dyDescent="0.3">
      <c r="A498">
        <v>496</v>
      </c>
      <c r="B498">
        <v>7882</v>
      </c>
      <c r="C498" t="b">
        <v>1</v>
      </c>
      <c r="D498">
        <v>8048</v>
      </c>
      <c r="E498">
        <v>8123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7898</v>
      </c>
      <c r="C499" t="b">
        <v>1</v>
      </c>
      <c r="D499">
        <v>8054</v>
      </c>
      <c r="E499">
        <v>8123</v>
      </c>
      <c r="F499">
        <v>8</v>
      </c>
      <c r="G499">
        <v>8</v>
      </c>
      <c r="H499">
        <v>1</v>
      </c>
      <c r="I499">
        <v>0</v>
      </c>
      <c r="J499">
        <v>0.5</v>
      </c>
    </row>
    <row r="500" spans="1:10" x14ac:dyDescent="0.3">
      <c r="A500">
        <v>498</v>
      </c>
      <c r="B500">
        <v>7914</v>
      </c>
      <c r="C500" t="b">
        <v>1</v>
      </c>
      <c r="D500">
        <v>8054</v>
      </c>
      <c r="E500">
        <v>8123</v>
      </c>
      <c r="F500">
        <v>8</v>
      </c>
      <c r="G500">
        <v>8</v>
      </c>
      <c r="H500">
        <v>1</v>
      </c>
      <c r="I500">
        <v>0</v>
      </c>
      <c r="J500">
        <v>0.5</v>
      </c>
    </row>
    <row r="501" spans="1:10" x14ac:dyDescent="0.3">
      <c r="A501">
        <v>499</v>
      </c>
      <c r="B501">
        <v>7930</v>
      </c>
      <c r="C501" t="b">
        <v>1</v>
      </c>
      <c r="D501">
        <v>8054</v>
      </c>
      <c r="E501">
        <v>8117</v>
      </c>
      <c r="F501">
        <v>8.4</v>
      </c>
      <c r="G501">
        <v>8</v>
      </c>
      <c r="H501">
        <v>1.05</v>
      </c>
      <c r="I501">
        <v>-4.9999952E-2</v>
      </c>
      <c r="J501">
        <v>0.48780489999999999</v>
      </c>
    </row>
    <row r="502" spans="1:10" x14ac:dyDescent="0.3">
      <c r="A502">
        <v>500</v>
      </c>
      <c r="B502">
        <v>7946</v>
      </c>
      <c r="C502" t="b">
        <v>1</v>
      </c>
      <c r="D502">
        <v>8048</v>
      </c>
      <c r="E502">
        <v>8123</v>
      </c>
      <c r="F502">
        <v>8.8000000000000007</v>
      </c>
      <c r="G502">
        <v>8</v>
      </c>
      <c r="H502">
        <v>1.1000000000000001</v>
      </c>
      <c r="I502">
        <v>-0.10000002400000001</v>
      </c>
      <c r="J502">
        <v>0.47619050000000002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BF3A-AE4A-41E7-8050-9B071E44F77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8054</v>
      </c>
      <c r="E2">
        <v>8129</v>
      </c>
      <c r="F2">
        <v>14</v>
      </c>
      <c r="G2">
        <v>14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27</v>
      </c>
      <c r="C3" t="b">
        <v>1</v>
      </c>
      <c r="D3">
        <v>8048</v>
      </c>
      <c r="E3">
        <v>8129</v>
      </c>
      <c r="F3">
        <v>14</v>
      </c>
      <c r="G3">
        <v>14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43</v>
      </c>
      <c r="C4" t="b">
        <v>1</v>
      </c>
      <c r="D4">
        <v>8060</v>
      </c>
      <c r="E4">
        <v>8129</v>
      </c>
      <c r="F4">
        <v>14</v>
      </c>
      <c r="G4">
        <v>14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59</v>
      </c>
      <c r="C5" t="b">
        <v>1</v>
      </c>
      <c r="D5">
        <v>8054</v>
      </c>
      <c r="E5">
        <v>8129</v>
      </c>
      <c r="F5">
        <v>14</v>
      </c>
      <c r="G5">
        <v>14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75</v>
      </c>
      <c r="C6" t="b">
        <v>1</v>
      </c>
      <c r="D6">
        <v>8060</v>
      </c>
      <c r="E6">
        <v>8134</v>
      </c>
      <c r="F6">
        <v>14</v>
      </c>
      <c r="G6">
        <v>14</v>
      </c>
      <c r="H6">
        <v>1</v>
      </c>
      <c r="I6">
        <v>0</v>
      </c>
      <c r="J6">
        <v>0.5</v>
      </c>
    </row>
    <row r="7" spans="1:10" x14ac:dyDescent="0.3">
      <c r="A7">
        <v>5</v>
      </c>
      <c r="B7">
        <v>91</v>
      </c>
      <c r="C7" t="b">
        <v>1</v>
      </c>
      <c r="D7">
        <v>8054</v>
      </c>
      <c r="E7">
        <v>8129</v>
      </c>
      <c r="F7">
        <v>14</v>
      </c>
      <c r="G7">
        <v>14</v>
      </c>
      <c r="H7">
        <v>1</v>
      </c>
      <c r="I7">
        <v>0</v>
      </c>
      <c r="J7">
        <v>0.5</v>
      </c>
    </row>
    <row r="8" spans="1:10" x14ac:dyDescent="0.3">
      <c r="A8">
        <v>6</v>
      </c>
      <c r="B8">
        <v>107</v>
      </c>
      <c r="C8" t="b">
        <v>1</v>
      </c>
      <c r="D8">
        <v>8054</v>
      </c>
      <c r="E8">
        <v>8129</v>
      </c>
      <c r="F8">
        <v>14</v>
      </c>
      <c r="G8">
        <v>14</v>
      </c>
      <c r="H8">
        <v>1</v>
      </c>
      <c r="I8">
        <v>0</v>
      </c>
      <c r="J8">
        <v>0.5</v>
      </c>
    </row>
    <row r="9" spans="1:10" x14ac:dyDescent="0.3">
      <c r="A9">
        <v>7</v>
      </c>
      <c r="B9">
        <v>123</v>
      </c>
      <c r="C9" t="b">
        <v>1</v>
      </c>
      <c r="D9">
        <v>8065</v>
      </c>
      <c r="E9">
        <v>8129</v>
      </c>
      <c r="F9">
        <v>14</v>
      </c>
      <c r="G9">
        <v>14</v>
      </c>
      <c r="H9">
        <v>1</v>
      </c>
      <c r="I9">
        <v>0</v>
      </c>
      <c r="J9">
        <v>0.5</v>
      </c>
    </row>
    <row r="10" spans="1:10" x14ac:dyDescent="0.3">
      <c r="A10">
        <v>8</v>
      </c>
      <c r="B10">
        <v>139</v>
      </c>
      <c r="C10" t="b">
        <v>1</v>
      </c>
      <c r="D10">
        <v>8065</v>
      </c>
      <c r="E10">
        <v>8134</v>
      </c>
      <c r="F10">
        <v>14.666667</v>
      </c>
      <c r="G10">
        <v>14</v>
      </c>
      <c r="H10">
        <v>1.0476190999999999</v>
      </c>
      <c r="I10">
        <v>-4.7619069999999999E-2</v>
      </c>
      <c r="J10">
        <v>0.48837206</v>
      </c>
    </row>
    <row r="11" spans="1:10" x14ac:dyDescent="0.3">
      <c r="A11">
        <v>9</v>
      </c>
      <c r="B11">
        <v>154</v>
      </c>
      <c r="C11" t="b">
        <v>1</v>
      </c>
      <c r="D11">
        <v>8065</v>
      </c>
      <c r="E11">
        <v>8129</v>
      </c>
      <c r="F11">
        <v>15.7</v>
      </c>
      <c r="G11">
        <v>14</v>
      </c>
      <c r="H11">
        <v>1.1214286</v>
      </c>
      <c r="I11">
        <v>-0.12142856</v>
      </c>
      <c r="J11">
        <v>0.47138047</v>
      </c>
    </row>
    <row r="12" spans="1:10" x14ac:dyDescent="0.3">
      <c r="A12">
        <v>10</v>
      </c>
      <c r="B12">
        <v>170</v>
      </c>
      <c r="C12" t="b">
        <v>1</v>
      </c>
      <c r="D12">
        <v>8060</v>
      </c>
      <c r="E12">
        <v>8129</v>
      </c>
      <c r="F12">
        <v>16.545453999999999</v>
      </c>
      <c r="G12">
        <v>14</v>
      </c>
      <c r="H12">
        <v>1.1818181000000001</v>
      </c>
      <c r="I12">
        <v>-0.18181813999999999</v>
      </c>
      <c r="J12">
        <v>0.45833333999999998</v>
      </c>
    </row>
    <row r="13" spans="1:10" x14ac:dyDescent="0.3">
      <c r="A13">
        <v>11</v>
      </c>
      <c r="B13">
        <v>186</v>
      </c>
      <c r="C13" t="b">
        <v>1</v>
      </c>
      <c r="D13">
        <v>8065</v>
      </c>
      <c r="E13">
        <v>8134</v>
      </c>
      <c r="F13">
        <v>17.25</v>
      </c>
      <c r="G13">
        <v>14</v>
      </c>
      <c r="H13">
        <v>1.2321428000000001</v>
      </c>
      <c r="I13">
        <v>-0.23214285000000001</v>
      </c>
      <c r="J13">
        <v>0.44800000000000001</v>
      </c>
    </row>
    <row r="14" spans="1:10" x14ac:dyDescent="0.3">
      <c r="A14">
        <v>12</v>
      </c>
      <c r="B14">
        <v>202</v>
      </c>
      <c r="C14" t="b">
        <v>1</v>
      </c>
      <c r="D14">
        <v>8060</v>
      </c>
      <c r="E14">
        <v>8129</v>
      </c>
      <c r="F14">
        <v>17.846153000000001</v>
      </c>
      <c r="G14">
        <v>14</v>
      </c>
      <c r="H14">
        <v>1.2747252</v>
      </c>
      <c r="I14">
        <v>-0.27472522999999999</v>
      </c>
      <c r="J14">
        <v>0.43961351999999998</v>
      </c>
    </row>
    <row r="15" spans="1:10" x14ac:dyDescent="0.3">
      <c r="A15">
        <v>13</v>
      </c>
      <c r="B15">
        <v>218</v>
      </c>
      <c r="C15" t="b">
        <v>1</v>
      </c>
      <c r="D15">
        <v>8060</v>
      </c>
      <c r="E15">
        <v>8129</v>
      </c>
      <c r="F15">
        <v>18</v>
      </c>
      <c r="G15">
        <v>14</v>
      </c>
      <c r="H15">
        <v>1.2857143</v>
      </c>
      <c r="I15">
        <v>-0.28571429999999998</v>
      </c>
      <c r="J15">
        <v>0.4375</v>
      </c>
    </row>
    <row r="16" spans="1:10" x14ac:dyDescent="0.3">
      <c r="A16">
        <v>14</v>
      </c>
      <c r="B16">
        <v>234</v>
      </c>
      <c r="C16" t="b">
        <v>1</v>
      </c>
      <c r="D16">
        <v>8060</v>
      </c>
      <c r="E16">
        <v>8123</v>
      </c>
      <c r="F16">
        <v>18.133333</v>
      </c>
      <c r="G16">
        <v>14</v>
      </c>
      <c r="H16">
        <v>1.2952380999999999</v>
      </c>
      <c r="I16">
        <v>-0.29523808000000001</v>
      </c>
      <c r="J16">
        <v>0.43568467999999999</v>
      </c>
    </row>
    <row r="17" spans="1:10" x14ac:dyDescent="0.3">
      <c r="A17">
        <v>15</v>
      </c>
      <c r="B17">
        <v>250</v>
      </c>
      <c r="C17" t="b">
        <v>1</v>
      </c>
      <c r="D17">
        <v>8060</v>
      </c>
      <c r="E17">
        <v>8129</v>
      </c>
      <c r="F17">
        <v>18.533332999999999</v>
      </c>
      <c r="G17">
        <v>14</v>
      </c>
      <c r="H17">
        <v>1.3238095000000001</v>
      </c>
      <c r="I17">
        <v>-0.32380946999999999</v>
      </c>
      <c r="J17">
        <v>0.43032786000000001</v>
      </c>
    </row>
    <row r="18" spans="1:10" x14ac:dyDescent="0.3">
      <c r="A18">
        <v>16</v>
      </c>
      <c r="B18">
        <v>266</v>
      </c>
      <c r="C18" t="b">
        <v>1</v>
      </c>
      <c r="D18">
        <v>8065</v>
      </c>
      <c r="E18">
        <v>8129</v>
      </c>
      <c r="F18">
        <v>18.933332</v>
      </c>
      <c r="G18">
        <v>14</v>
      </c>
      <c r="H18">
        <v>1.3523809</v>
      </c>
      <c r="I18">
        <v>-0.3523809</v>
      </c>
      <c r="J18">
        <v>0.42510120000000001</v>
      </c>
    </row>
    <row r="19" spans="1:10" x14ac:dyDescent="0.3">
      <c r="A19">
        <v>17</v>
      </c>
      <c r="B19">
        <v>281</v>
      </c>
      <c r="C19" t="b">
        <v>1</v>
      </c>
      <c r="D19">
        <v>8060</v>
      </c>
      <c r="E19">
        <v>8134</v>
      </c>
      <c r="F19">
        <v>19.333334000000001</v>
      </c>
      <c r="G19">
        <v>14</v>
      </c>
      <c r="H19">
        <v>1.3809525</v>
      </c>
      <c r="I19">
        <v>-0.38095242000000001</v>
      </c>
      <c r="J19">
        <v>0.41999996000000001</v>
      </c>
    </row>
    <row r="20" spans="1:10" x14ac:dyDescent="0.3">
      <c r="A20">
        <v>18</v>
      </c>
      <c r="B20">
        <v>297</v>
      </c>
      <c r="C20" t="b">
        <v>1</v>
      </c>
      <c r="D20">
        <v>8060</v>
      </c>
      <c r="E20">
        <v>8134</v>
      </c>
      <c r="F20">
        <v>19.733333999999999</v>
      </c>
      <c r="G20">
        <v>14</v>
      </c>
      <c r="H20">
        <v>1.4095238000000001</v>
      </c>
      <c r="I20">
        <v>-0.40952380999999999</v>
      </c>
      <c r="J20">
        <v>0.41501975000000002</v>
      </c>
    </row>
    <row r="21" spans="1:10" x14ac:dyDescent="0.3">
      <c r="A21">
        <v>19</v>
      </c>
      <c r="B21">
        <v>313</v>
      </c>
      <c r="C21" t="b">
        <v>1</v>
      </c>
      <c r="D21">
        <v>8060</v>
      </c>
      <c r="E21">
        <v>8140</v>
      </c>
      <c r="F21">
        <v>20.133333</v>
      </c>
      <c r="G21">
        <v>14.333333</v>
      </c>
      <c r="H21">
        <v>1.4046512</v>
      </c>
      <c r="I21">
        <v>-0.40465119999999999</v>
      </c>
      <c r="J21">
        <v>0.41586070000000003</v>
      </c>
    </row>
    <row r="22" spans="1:10" x14ac:dyDescent="0.3">
      <c r="A22">
        <v>20</v>
      </c>
      <c r="B22">
        <v>329</v>
      </c>
      <c r="C22" t="b">
        <v>1</v>
      </c>
      <c r="D22">
        <v>8065</v>
      </c>
      <c r="E22">
        <v>8134</v>
      </c>
      <c r="F22">
        <v>20.533332999999999</v>
      </c>
      <c r="G22">
        <v>14.666667</v>
      </c>
      <c r="H22">
        <v>1.4</v>
      </c>
      <c r="I22">
        <v>-0.39999994999999999</v>
      </c>
      <c r="J22">
        <v>0.41666666000000002</v>
      </c>
    </row>
    <row r="23" spans="1:10" x14ac:dyDescent="0.3">
      <c r="A23">
        <v>21</v>
      </c>
      <c r="B23">
        <v>345</v>
      </c>
      <c r="C23" t="b">
        <v>1</v>
      </c>
      <c r="D23">
        <v>8060</v>
      </c>
      <c r="E23">
        <v>8134</v>
      </c>
      <c r="F23">
        <v>20.933332</v>
      </c>
      <c r="G23">
        <v>15</v>
      </c>
      <c r="H23">
        <v>1.3955554999999999</v>
      </c>
      <c r="I23">
        <v>-0.3955555</v>
      </c>
      <c r="J23">
        <v>0.41743970000000002</v>
      </c>
    </row>
    <row r="24" spans="1:10" x14ac:dyDescent="0.3">
      <c r="A24">
        <v>22</v>
      </c>
      <c r="B24">
        <v>361</v>
      </c>
      <c r="C24" t="b">
        <v>1</v>
      </c>
      <c r="D24">
        <v>8054</v>
      </c>
      <c r="E24">
        <v>8140</v>
      </c>
      <c r="F24">
        <v>21.333334000000001</v>
      </c>
      <c r="G24">
        <v>15.333333</v>
      </c>
      <c r="H24">
        <v>1.3913044000000001</v>
      </c>
      <c r="I24">
        <v>-0.3913044</v>
      </c>
      <c r="J24">
        <v>0.41818179999999999</v>
      </c>
    </row>
    <row r="25" spans="1:10" x14ac:dyDescent="0.3">
      <c r="A25">
        <v>23</v>
      </c>
      <c r="B25">
        <v>377</v>
      </c>
      <c r="C25" t="b">
        <v>1</v>
      </c>
      <c r="D25">
        <v>8060</v>
      </c>
      <c r="E25">
        <v>8129</v>
      </c>
      <c r="F25">
        <v>21.333334000000001</v>
      </c>
      <c r="G25">
        <v>15.666667</v>
      </c>
      <c r="H25">
        <v>1.3617021</v>
      </c>
      <c r="I25">
        <v>-0.36170214000000001</v>
      </c>
      <c r="J25">
        <v>0.42342343999999998</v>
      </c>
    </row>
    <row r="26" spans="1:10" x14ac:dyDescent="0.3">
      <c r="A26">
        <v>24</v>
      </c>
      <c r="B26">
        <v>393</v>
      </c>
      <c r="C26" t="b">
        <v>1</v>
      </c>
      <c r="D26">
        <v>8060</v>
      </c>
      <c r="E26">
        <v>8129</v>
      </c>
      <c r="F26">
        <v>21</v>
      </c>
      <c r="G26">
        <v>16</v>
      </c>
      <c r="H26">
        <v>1.3125</v>
      </c>
      <c r="I26">
        <v>-0.3125</v>
      </c>
      <c r="J26">
        <v>0.43243243999999997</v>
      </c>
    </row>
    <row r="27" spans="1:10" x14ac:dyDescent="0.3">
      <c r="A27">
        <v>25</v>
      </c>
      <c r="B27">
        <v>409</v>
      </c>
      <c r="C27" t="b">
        <v>1</v>
      </c>
      <c r="D27">
        <v>8054</v>
      </c>
      <c r="E27">
        <v>8123</v>
      </c>
      <c r="F27">
        <v>20.666665999999999</v>
      </c>
      <c r="G27">
        <v>16</v>
      </c>
      <c r="H27">
        <v>1.2916666000000001</v>
      </c>
      <c r="I27">
        <v>-0.29166662999999998</v>
      </c>
      <c r="J27">
        <v>0.43636366999999998</v>
      </c>
    </row>
    <row r="28" spans="1:10" x14ac:dyDescent="0.3">
      <c r="A28">
        <v>26</v>
      </c>
      <c r="B28">
        <v>425</v>
      </c>
      <c r="C28" t="b">
        <v>1</v>
      </c>
      <c r="D28">
        <v>8065</v>
      </c>
      <c r="E28">
        <v>8134</v>
      </c>
      <c r="F28">
        <v>20.333334000000001</v>
      </c>
      <c r="G28">
        <v>16</v>
      </c>
      <c r="H28">
        <v>1.2708333999999999</v>
      </c>
      <c r="I28">
        <v>-0.27083337000000002</v>
      </c>
      <c r="J28">
        <v>0.44036694999999998</v>
      </c>
    </row>
    <row r="29" spans="1:10" x14ac:dyDescent="0.3">
      <c r="A29">
        <v>27</v>
      </c>
      <c r="B29">
        <v>440</v>
      </c>
      <c r="C29" t="b">
        <v>1</v>
      </c>
      <c r="D29">
        <v>8060</v>
      </c>
      <c r="E29">
        <v>8123</v>
      </c>
      <c r="F29">
        <v>20</v>
      </c>
      <c r="G29">
        <v>16</v>
      </c>
      <c r="H29">
        <v>1.25</v>
      </c>
      <c r="I29">
        <v>-0.25</v>
      </c>
      <c r="J29">
        <v>0.44444444999999999</v>
      </c>
    </row>
    <row r="30" spans="1:10" x14ac:dyDescent="0.3">
      <c r="A30">
        <v>28</v>
      </c>
      <c r="B30">
        <v>456</v>
      </c>
      <c r="C30" t="b">
        <v>1</v>
      </c>
      <c r="D30">
        <v>8065</v>
      </c>
      <c r="E30">
        <v>8123</v>
      </c>
      <c r="F30">
        <v>20</v>
      </c>
      <c r="G30">
        <v>15.6</v>
      </c>
      <c r="H30">
        <v>1.2820511999999999</v>
      </c>
      <c r="I30">
        <v>-0.28205127000000002</v>
      </c>
      <c r="J30">
        <v>0.43820226000000001</v>
      </c>
    </row>
    <row r="31" spans="1:10" x14ac:dyDescent="0.3">
      <c r="A31">
        <v>29</v>
      </c>
      <c r="B31">
        <v>472</v>
      </c>
      <c r="C31" t="b">
        <v>1</v>
      </c>
      <c r="D31">
        <v>8065</v>
      </c>
      <c r="E31">
        <v>8129</v>
      </c>
      <c r="F31">
        <v>20.333334000000001</v>
      </c>
      <c r="G31">
        <v>15.2</v>
      </c>
      <c r="H31">
        <v>1.3377193000000001</v>
      </c>
      <c r="I31">
        <v>-0.33771934999999997</v>
      </c>
      <c r="J31">
        <v>0.42776736999999998</v>
      </c>
    </row>
    <row r="32" spans="1:10" x14ac:dyDescent="0.3">
      <c r="A32">
        <v>30</v>
      </c>
      <c r="B32">
        <v>488</v>
      </c>
      <c r="C32" t="b">
        <v>1</v>
      </c>
      <c r="D32">
        <v>8060</v>
      </c>
      <c r="E32">
        <v>8129</v>
      </c>
      <c r="F32">
        <v>20.666665999999999</v>
      </c>
      <c r="G32">
        <v>15.2</v>
      </c>
      <c r="H32">
        <v>1.3596490999999999</v>
      </c>
      <c r="I32">
        <v>-0.3596491</v>
      </c>
      <c r="J32">
        <v>0.42379182999999998</v>
      </c>
    </row>
    <row r="33" spans="1:10" x14ac:dyDescent="0.3">
      <c r="A33">
        <v>31</v>
      </c>
      <c r="B33">
        <v>504</v>
      </c>
      <c r="C33" t="b">
        <v>1</v>
      </c>
      <c r="D33">
        <v>8060</v>
      </c>
      <c r="E33">
        <v>8134</v>
      </c>
      <c r="F33">
        <v>20.666665999999999</v>
      </c>
      <c r="G33">
        <v>15.2</v>
      </c>
      <c r="H33">
        <v>1.3596490999999999</v>
      </c>
      <c r="I33">
        <v>-0.3596491</v>
      </c>
      <c r="J33">
        <v>0.42379182999999998</v>
      </c>
    </row>
    <row r="34" spans="1:10" x14ac:dyDescent="0.3">
      <c r="A34">
        <v>32</v>
      </c>
      <c r="B34">
        <v>520</v>
      </c>
      <c r="C34" t="b">
        <v>1</v>
      </c>
      <c r="D34">
        <v>8060</v>
      </c>
      <c r="E34">
        <v>8129</v>
      </c>
      <c r="F34">
        <v>20.666665999999999</v>
      </c>
      <c r="G34">
        <v>15.2</v>
      </c>
      <c r="H34">
        <v>1.3596490999999999</v>
      </c>
      <c r="I34">
        <v>-0.3596491</v>
      </c>
      <c r="J34">
        <v>0.42379182999999998</v>
      </c>
    </row>
    <row r="35" spans="1:10" x14ac:dyDescent="0.3">
      <c r="A35">
        <v>33</v>
      </c>
      <c r="B35">
        <v>536</v>
      </c>
      <c r="C35" t="b">
        <v>1</v>
      </c>
      <c r="D35">
        <v>8054</v>
      </c>
      <c r="E35">
        <v>8134</v>
      </c>
      <c r="F35">
        <v>20.666665999999999</v>
      </c>
      <c r="G35">
        <v>15.2</v>
      </c>
      <c r="H35">
        <v>1.3596490999999999</v>
      </c>
      <c r="I35">
        <v>-0.3596491</v>
      </c>
      <c r="J35">
        <v>0.42379182999999998</v>
      </c>
    </row>
    <row r="36" spans="1:10" x14ac:dyDescent="0.3">
      <c r="A36">
        <v>34</v>
      </c>
      <c r="B36">
        <v>552</v>
      </c>
      <c r="C36" t="b">
        <v>1</v>
      </c>
      <c r="D36">
        <v>8060</v>
      </c>
      <c r="E36">
        <v>8129</v>
      </c>
      <c r="F36">
        <v>20.666665999999999</v>
      </c>
      <c r="G36">
        <v>14.866667</v>
      </c>
      <c r="H36">
        <v>1.3901345000000001</v>
      </c>
      <c r="I36">
        <v>-0.39013448000000001</v>
      </c>
      <c r="J36">
        <v>0.41838649999999999</v>
      </c>
    </row>
    <row r="37" spans="1:10" x14ac:dyDescent="0.3">
      <c r="A37">
        <v>35</v>
      </c>
      <c r="B37">
        <v>568</v>
      </c>
      <c r="C37" t="b">
        <v>1</v>
      </c>
      <c r="D37">
        <v>8060</v>
      </c>
      <c r="E37">
        <v>8134</v>
      </c>
      <c r="F37">
        <v>20.666665999999999</v>
      </c>
      <c r="G37">
        <v>14.866667</v>
      </c>
      <c r="H37">
        <v>1.3901345000000001</v>
      </c>
      <c r="I37">
        <v>-0.39013448000000001</v>
      </c>
      <c r="J37">
        <v>0.41838649999999999</v>
      </c>
    </row>
    <row r="38" spans="1:10" x14ac:dyDescent="0.3">
      <c r="A38">
        <v>36</v>
      </c>
      <c r="B38">
        <v>584</v>
      </c>
      <c r="C38" t="b">
        <v>1</v>
      </c>
      <c r="D38">
        <v>8054</v>
      </c>
      <c r="E38">
        <v>8129</v>
      </c>
      <c r="F38">
        <v>20.666665999999999</v>
      </c>
      <c r="G38">
        <v>14.533334</v>
      </c>
      <c r="H38">
        <v>1.4220183</v>
      </c>
      <c r="I38">
        <v>-0.42201825999999998</v>
      </c>
      <c r="J38">
        <v>0.41287878</v>
      </c>
    </row>
    <row r="39" spans="1:10" x14ac:dyDescent="0.3">
      <c r="A39">
        <v>37</v>
      </c>
      <c r="B39">
        <v>599</v>
      </c>
      <c r="C39" t="b">
        <v>1</v>
      </c>
      <c r="D39">
        <v>8048</v>
      </c>
      <c r="E39">
        <v>8129</v>
      </c>
      <c r="F39">
        <v>20.266666000000001</v>
      </c>
      <c r="G39">
        <v>14.2</v>
      </c>
      <c r="H39">
        <v>1.42723</v>
      </c>
      <c r="I39">
        <v>-0.42723006000000002</v>
      </c>
      <c r="J39">
        <v>0.41199225</v>
      </c>
    </row>
    <row r="40" spans="1:10" x14ac:dyDescent="0.3">
      <c r="A40">
        <v>38</v>
      </c>
      <c r="B40">
        <v>615</v>
      </c>
      <c r="C40" t="b">
        <v>1</v>
      </c>
      <c r="D40">
        <v>8054</v>
      </c>
      <c r="E40">
        <v>8129</v>
      </c>
      <c r="F40">
        <v>19.866667</v>
      </c>
      <c r="G40">
        <v>13.866667</v>
      </c>
      <c r="H40">
        <v>1.4326923</v>
      </c>
      <c r="I40">
        <v>-0.43269229999999997</v>
      </c>
      <c r="J40">
        <v>0.41106720000000002</v>
      </c>
    </row>
    <row r="41" spans="1:10" x14ac:dyDescent="0.3">
      <c r="A41">
        <v>39</v>
      </c>
      <c r="B41">
        <v>631</v>
      </c>
      <c r="C41" t="b">
        <v>1</v>
      </c>
      <c r="D41">
        <v>8065</v>
      </c>
      <c r="E41">
        <v>8129</v>
      </c>
      <c r="F41">
        <v>19.466667000000001</v>
      </c>
      <c r="G41">
        <v>13.533334</v>
      </c>
      <c r="H41">
        <v>1.4384235999999999</v>
      </c>
      <c r="I41">
        <v>-0.43842363000000001</v>
      </c>
      <c r="J41">
        <v>0.41010102999999998</v>
      </c>
    </row>
    <row r="42" spans="1:10" x14ac:dyDescent="0.3">
      <c r="A42">
        <v>40</v>
      </c>
      <c r="B42">
        <v>647</v>
      </c>
      <c r="C42" t="b">
        <v>1</v>
      </c>
      <c r="D42">
        <v>8060</v>
      </c>
      <c r="E42">
        <v>8129</v>
      </c>
      <c r="F42">
        <v>19.066668</v>
      </c>
      <c r="G42">
        <v>13.533334</v>
      </c>
      <c r="H42">
        <v>1.4088670000000001</v>
      </c>
      <c r="I42">
        <v>-0.40886699999999998</v>
      </c>
      <c r="J42">
        <v>0.41513290000000003</v>
      </c>
    </row>
    <row r="43" spans="1:10" x14ac:dyDescent="0.3">
      <c r="A43">
        <v>41</v>
      </c>
      <c r="B43">
        <v>663</v>
      </c>
      <c r="C43" t="b">
        <v>1</v>
      </c>
      <c r="D43">
        <v>8060</v>
      </c>
      <c r="E43">
        <v>8123</v>
      </c>
      <c r="F43">
        <v>19.066668</v>
      </c>
      <c r="G43">
        <v>13.533334</v>
      </c>
      <c r="H43">
        <v>1.4088670000000001</v>
      </c>
      <c r="I43">
        <v>-0.40886699999999998</v>
      </c>
      <c r="J43">
        <v>0.41513290000000003</v>
      </c>
    </row>
    <row r="44" spans="1:10" x14ac:dyDescent="0.3">
      <c r="A44">
        <v>42</v>
      </c>
      <c r="B44">
        <v>679</v>
      </c>
      <c r="C44" t="b">
        <v>1</v>
      </c>
      <c r="D44">
        <v>8054</v>
      </c>
      <c r="E44">
        <v>8140</v>
      </c>
      <c r="F44">
        <v>19.066668</v>
      </c>
      <c r="G44">
        <v>13.533334</v>
      </c>
      <c r="H44">
        <v>1.4088670000000001</v>
      </c>
      <c r="I44">
        <v>-0.40886699999999998</v>
      </c>
      <c r="J44">
        <v>0.41513290000000003</v>
      </c>
    </row>
    <row r="45" spans="1:10" x14ac:dyDescent="0.3">
      <c r="A45">
        <v>43</v>
      </c>
      <c r="B45">
        <v>695</v>
      </c>
      <c r="C45" t="b">
        <v>1</v>
      </c>
      <c r="D45">
        <v>8065</v>
      </c>
      <c r="E45">
        <v>8134</v>
      </c>
      <c r="F45">
        <v>19.066668</v>
      </c>
      <c r="G45">
        <v>13.933332999999999</v>
      </c>
      <c r="H45">
        <v>1.3684210999999999</v>
      </c>
      <c r="I45">
        <v>-0.3684211</v>
      </c>
      <c r="J45">
        <v>0.42222222999999998</v>
      </c>
    </row>
    <row r="46" spans="1:10" x14ac:dyDescent="0.3">
      <c r="A46">
        <v>44</v>
      </c>
      <c r="B46">
        <v>711</v>
      </c>
      <c r="C46" t="b">
        <v>1</v>
      </c>
      <c r="D46">
        <v>8060</v>
      </c>
      <c r="E46">
        <v>8140</v>
      </c>
      <c r="F46">
        <v>18.733333999999999</v>
      </c>
      <c r="G46">
        <v>14.666667</v>
      </c>
      <c r="H46">
        <v>1.2772726999999999</v>
      </c>
      <c r="I46">
        <v>-0.27727273000000002</v>
      </c>
      <c r="J46">
        <v>0.43912174999999998</v>
      </c>
    </row>
    <row r="47" spans="1:10" x14ac:dyDescent="0.3">
      <c r="A47">
        <v>45</v>
      </c>
      <c r="B47">
        <v>727</v>
      </c>
      <c r="C47" t="b">
        <v>1</v>
      </c>
      <c r="D47">
        <v>8060</v>
      </c>
      <c r="E47">
        <v>8134</v>
      </c>
      <c r="F47">
        <v>18.399999999999999</v>
      </c>
      <c r="G47">
        <v>15</v>
      </c>
      <c r="H47">
        <v>1.2266667</v>
      </c>
      <c r="I47">
        <v>-0.22666664</v>
      </c>
      <c r="J47">
        <v>0.44910178000000001</v>
      </c>
    </row>
    <row r="48" spans="1:10" x14ac:dyDescent="0.3">
      <c r="A48">
        <v>46</v>
      </c>
      <c r="B48">
        <v>742</v>
      </c>
      <c r="C48" t="b">
        <v>1</v>
      </c>
      <c r="D48">
        <v>8060</v>
      </c>
      <c r="E48">
        <v>8140</v>
      </c>
      <c r="F48">
        <v>18.399999999999999</v>
      </c>
      <c r="G48">
        <v>15.733333999999999</v>
      </c>
      <c r="H48">
        <v>1.1694914999999999</v>
      </c>
      <c r="I48">
        <v>-0.16949148</v>
      </c>
      <c r="J48">
        <v>0.46093752999999998</v>
      </c>
    </row>
    <row r="49" spans="1:10" x14ac:dyDescent="0.3">
      <c r="A49">
        <v>47</v>
      </c>
      <c r="B49">
        <v>758</v>
      </c>
      <c r="C49" t="b">
        <v>1</v>
      </c>
      <c r="D49">
        <v>8060</v>
      </c>
      <c r="E49">
        <v>8134</v>
      </c>
      <c r="F49">
        <v>18.399999999999999</v>
      </c>
      <c r="G49">
        <v>16.066668</v>
      </c>
      <c r="H49">
        <v>1.1452281</v>
      </c>
      <c r="I49">
        <v>-0.14522813000000001</v>
      </c>
      <c r="J49">
        <v>0.46615087999999999</v>
      </c>
    </row>
    <row r="50" spans="1:10" x14ac:dyDescent="0.3">
      <c r="A50">
        <v>48</v>
      </c>
      <c r="B50">
        <v>774</v>
      </c>
      <c r="C50" t="b">
        <v>1</v>
      </c>
      <c r="D50">
        <v>8060</v>
      </c>
      <c r="E50">
        <v>8129</v>
      </c>
      <c r="F50">
        <v>18.399999999999999</v>
      </c>
      <c r="G50">
        <v>16.399999999999999</v>
      </c>
      <c r="H50">
        <v>1.1219512</v>
      </c>
      <c r="I50">
        <v>-0.12195122</v>
      </c>
      <c r="J50">
        <v>0.47126435999999999</v>
      </c>
    </row>
    <row r="51" spans="1:10" x14ac:dyDescent="0.3">
      <c r="A51">
        <v>49</v>
      </c>
      <c r="B51">
        <v>790</v>
      </c>
      <c r="C51" t="b">
        <v>1</v>
      </c>
      <c r="D51">
        <v>8065</v>
      </c>
      <c r="E51">
        <v>8129</v>
      </c>
      <c r="F51">
        <v>18.399999999999999</v>
      </c>
      <c r="G51">
        <v>16.733333999999999</v>
      </c>
      <c r="H51">
        <v>1.0996014999999999</v>
      </c>
      <c r="I51">
        <v>-9.9601549999999997E-2</v>
      </c>
      <c r="J51">
        <v>0.47628087000000002</v>
      </c>
    </row>
    <row r="52" spans="1:10" x14ac:dyDescent="0.3">
      <c r="A52">
        <v>50</v>
      </c>
      <c r="B52">
        <v>806</v>
      </c>
      <c r="C52" t="b">
        <v>1</v>
      </c>
      <c r="D52">
        <v>8060</v>
      </c>
      <c r="E52">
        <v>8129</v>
      </c>
      <c r="F52">
        <v>18.399999999999999</v>
      </c>
      <c r="G52">
        <v>16.399999999999999</v>
      </c>
      <c r="H52">
        <v>1.1219512</v>
      </c>
      <c r="I52">
        <v>-0.12195122</v>
      </c>
      <c r="J52">
        <v>0.47126435999999999</v>
      </c>
    </row>
    <row r="53" spans="1:10" x14ac:dyDescent="0.3">
      <c r="A53">
        <v>51</v>
      </c>
      <c r="B53">
        <v>822</v>
      </c>
      <c r="C53" t="b">
        <v>1</v>
      </c>
      <c r="D53">
        <v>8060</v>
      </c>
      <c r="E53">
        <v>8129</v>
      </c>
      <c r="F53">
        <v>18.399999999999999</v>
      </c>
      <c r="G53">
        <v>16.399999999999999</v>
      </c>
      <c r="H53">
        <v>1.1219512</v>
      </c>
      <c r="I53">
        <v>-0.12195122</v>
      </c>
      <c r="J53">
        <v>0.47126435999999999</v>
      </c>
    </row>
    <row r="54" spans="1:10" x14ac:dyDescent="0.3">
      <c r="A54">
        <v>52</v>
      </c>
      <c r="B54">
        <v>838</v>
      </c>
      <c r="C54" t="b">
        <v>1</v>
      </c>
      <c r="D54">
        <v>8065</v>
      </c>
      <c r="E54">
        <v>8123</v>
      </c>
      <c r="F54">
        <v>18.8</v>
      </c>
      <c r="G54">
        <v>16.399999999999999</v>
      </c>
      <c r="H54">
        <v>1.1463414000000001</v>
      </c>
      <c r="I54">
        <v>-0.14634143999999999</v>
      </c>
      <c r="J54">
        <v>0.46590912000000001</v>
      </c>
    </row>
    <row r="55" spans="1:10" x14ac:dyDescent="0.3">
      <c r="A55">
        <v>53</v>
      </c>
      <c r="B55">
        <v>854</v>
      </c>
      <c r="C55" t="b">
        <v>1</v>
      </c>
      <c r="D55">
        <v>8060</v>
      </c>
      <c r="E55">
        <v>8129</v>
      </c>
      <c r="F55">
        <v>19.2</v>
      </c>
      <c r="G55">
        <v>16.399999999999999</v>
      </c>
      <c r="H55">
        <v>1.1707318</v>
      </c>
      <c r="I55">
        <v>-0.17073178</v>
      </c>
      <c r="J55">
        <v>0.46067416999999999</v>
      </c>
    </row>
    <row r="56" spans="1:10" x14ac:dyDescent="0.3">
      <c r="A56">
        <v>54</v>
      </c>
      <c r="B56">
        <v>870</v>
      </c>
      <c r="C56" t="b">
        <v>1</v>
      </c>
      <c r="D56">
        <v>8060</v>
      </c>
      <c r="E56">
        <v>8140</v>
      </c>
      <c r="F56">
        <v>19.600000000000001</v>
      </c>
      <c r="G56">
        <v>16.399999999999999</v>
      </c>
      <c r="H56">
        <v>1.195122</v>
      </c>
      <c r="I56">
        <v>-0.19512199999999999</v>
      </c>
      <c r="J56">
        <v>0.45555556000000003</v>
      </c>
    </row>
    <row r="57" spans="1:10" x14ac:dyDescent="0.3">
      <c r="A57">
        <v>55</v>
      </c>
      <c r="B57">
        <v>886</v>
      </c>
      <c r="C57" t="b">
        <v>1</v>
      </c>
      <c r="D57">
        <v>8060</v>
      </c>
      <c r="E57">
        <v>8140</v>
      </c>
      <c r="F57">
        <v>20</v>
      </c>
      <c r="G57">
        <v>16.399999999999999</v>
      </c>
      <c r="H57">
        <v>1.2195122</v>
      </c>
      <c r="I57">
        <v>-0.21951222000000001</v>
      </c>
      <c r="J57">
        <v>0.45054941999999998</v>
      </c>
    </row>
    <row r="58" spans="1:10" x14ac:dyDescent="0.3">
      <c r="A58">
        <v>56</v>
      </c>
      <c r="B58">
        <v>902</v>
      </c>
      <c r="C58" t="b">
        <v>1</v>
      </c>
      <c r="D58">
        <v>8065</v>
      </c>
      <c r="E58">
        <v>8140</v>
      </c>
      <c r="F58">
        <v>20</v>
      </c>
      <c r="G58">
        <v>17.133333</v>
      </c>
      <c r="H58">
        <v>1.1673150999999999</v>
      </c>
      <c r="I58">
        <v>-0.16731519</v>
      </c>
      <c r="J58">
        <v>0.46140039999999999</v>
      </c>
    </row>
    <row r="59" spans="1:10" x14ac:dyDescent="0.3">
      <c r="A59">
        <v>57</v>
      </c>
      <c r="B59">
        <v>917</v>
      </c>
      <c r="C59" t="b">
        <v>1</v>
      </c>
      <c r="D59">
        <v>8054</v>
      </c>
      <c r="E59">
        <v>8134</v>
      </c>
      <c r="F59">
        <v>20</v>
      </c>
      <c r="G59">
        <v>17.866667</v>
      </c>
      <c r="H59">
        <v>1.1194029999999999</v>
      </c>
      <c r="I59">
        <v>-0.11940297499999999</v>
      </c>
      <c r="J59">
        <v>0.47183096000000002</v>
      </c>
    </row>
    <row r="60" spans="1:10" x14ac:dyDescent="0.3">
      <c r="A60">
        <v>58</v>
      </c>
      <c r="B60">
        <v>934</v>
      </c>
      <c r="C60" t="b">
        <v>1</v>
      </c>
      <c r="D60">
        <v>8054</v>
      </c>
      <c r="E60">
        <v>8134</v>
      </c>
      <c r="F60">
        <v>20</v>
      </c>
      <c r="G60">
        <v>18.600000000000001</v>
      </c>
      <c r="H60">
        <v>1.0752687000000001</v>
      </c>
      <c r="I60">
        <v>-7.5268799999999997E-2</v>
      </c>
      <c r="J60">
        <v>0.48186531999999999</v>
      </c>
    </row>
    <row r="61" spans="1:10" x14ac:dyDescent="0.3">
      <c r="A61">
        <v>59</v>
      </c>
      <c r="B61">
        <v>949</v>
      </c>
      <c r="C61" t="b">
        <v>1</v>
      </c>
      <c r="D61">
        <v>8060</v>
      </c>
      <c r="E61">
        <v>8134</v>
      </c>
      <c r="F61">
        <v>20</v>
      </c>
      <c r="G61">
        <v>18.600000000000001</v>
      </c>
      <c r="H61">
        <v>1.0752687000000001</v>
      </c>
      <c r="I61">
        <v>-7.5268799999999997E-2</v>
      </c>
      <c r="J61">
        <v>0.48186531999999999</v>
      </c>
    </row>
    <row r="62" spans="1:10" x14ac:dyDescent="0.3">
      <c r="A62">
        <v>60</v>
      </c>
      <c r="B62">
        <v>965</v>
      </c>
      <c r="C62" t="b">
        <v>1</v>
      </c>
      <c r="D62">
        <v>8060</v>
      </c>
      <c r="E62">
        <v>8123</v>
      </c>
      <c r="F62">
        <v>20</v>
      </c>
      <c r="G62">
        <v>18.600000000000001</v>
      </c>
      <c r="H62">
        <v>1.0752687000000001</v>
      </c>
      <c r="I62">
        <v>-7.5268799999999997E-2</v>
      </c>
      <c r="J62">
        <v>0.48186531999999999</v>
      </c>
    </row>
    <row r="63" spans="1:10" x14ac:dyDescent="0.3">
      <c r="A63">
        <v>61</v>
      </c>
      <c r="B63">
        <v>981</v>
      </c>
      <c r="C63" t="b">
        <v>1</v>
      </c>
      <c r="D63">
        <v>8060</v>
      </c>
      <c r="E63">
        <v>8129</v>
      </c>
      <c r="F63">
        <v>20</v>
      </c>
      <c r="G63">
        <v>18.2</v>
      </c>
      <c r="H63">
        <v>1.0989009999999999</v>
      </c>
      <c r="I63">
        <v>-9.8901056000000001E-2</v>
      </c>
      <c r="J63">
        <v>0.47643980000000002</v>
      </c>
    </row>
    <row r="64" spans="1:10" x14ac:dyDescent="0.3">
      <c r="A64">
        <v>62</v>
      </c>
      <c r="B64">
        <v>996</v>
      </c>
      <c r="C64" t="b">
        <v>1</v>
      </c>
      <c r="D64">
        <v>8060</v>
      </c>
      <c r="E64">
        <v>8129</v>
      </c>
      <c r="F64">
        <v>20</v>
      </c>
      <c r="G64">
        <v>17.866667</v>
      </c>
      <c r="H64">
        <v>1.1194029999999999</v>
      </c>
      <c r="I64">
        <v>-0.11940297499999999</v>
      </c>
      <c r="J64">
        <v>0.47183096000000002</v>
      </c>
    </row>
    <row r="65" spans="1:10" x14ac:dyDescent="0.3">
      <c r="A65">
        <v>63</v>
      </c>
      <c r="B65">
        <v>1012</v>
      </c>
      <c r="C65" t="b">
        <v>1</v>
      </c>
      <c r="D65">
        <v>8054</v>
      </c>
      <c r="E65">
        <v>8134</v>
      </c>
      <c r="F65">
        <v>20</v>
      </c>
      <c r="G65">
        <v>17.533332999999999</v>
      </c>
      <c r="H65">
        <v>1.1406845000000001</v>
      </c>
      <c r="I65">
        <v>-0.14068443999999999</v>
      </c>
      <c r="J65">
        <v>0.46714032</v>
      </c>
    </row>
    <row r="66" spans="1:10" x14ac:dyDescent="0.3">
      <c r="A66">
        <v>64</v>
      </c>
      <c r="B66">
        <v>1027</v>
      </c>
      <c r="C66" t="b">
        <v>1</v>
      </c>
      <c r="D66">
        <v>8060</v>
      </c>
      <c r="E66">
        <v>8129</v>
      </c>
      <c r="F66">
        <v>20</v>
      </c>
      <c r="G66">
        <v>17.2</v>
      </c>
      <c r="H66">
        <v>1.1627907</v>
      </c>
      <c r="I66">
        <v>-0.16279063999999999</v>
      </c>
      <c r="J66">
        <v>0.46236559999999999</v>
      </c>
    </row>
    <row r="67" spans="1:10" x14ac:dyDescent="0.3">
      <c r="A67">
        <v>65</v>
      </c>
      <c r="B67">
        <v>1043</v>
      </c>
      <c r="C67" t="b">
        <v>1</v>
      </c>
      <c r="D67">
        <v>8060</v>
      </c>
      <c r="E67">
        <v>8129</v>
      </c>
      <c r="F67">
        <v>20</v>
      </c>
      <c r="G67">
        <v>17.2</v>
      </c>
      <c r="H67">
        <v>1.1627907</v>
      </c>
      <c r="I67">
        <v>-0.16279063999999999</v>
      </c>
      <c r="J67">
        <v>0.46236559999999999</v>
      </c>
    </row>
    <row r="68" spans="1:10" x14ac:dyDescent="0.3">
      <c r="A68">
        <v>66</v>
      </c>
      <c r="B68">
        <v>1059</v>
      </c>
      <c r="C68" t="b">
        <v>1</v>
      </c>
      <c r="D68">
        <v>8065</v>
      </c>
      <c r="E68">
        <v>8134</v>
      </c>
      <c r="F68">
        <v>20</v>
      </c>
      <c r="G68">
        <v>17.2</v>
      </c>
      <c r="H68">
        <v>1.1627907</v>
      </c>
      <c r="I68">
        <v>-0.16279063999999999</v>
      </c>
      <c r="J68">
        <v>0.46236559999999999</v>
      </c>
    </row>
    <row r="69" spans="1:10" x14ac:dyDescent="0.3">
      <c r="A69">
        <v>67</v>
      </c>
      <c r="B69">
        <v>1075</v>
      </c>
      <c r="C69" t="b">
        <v>1</v>
      </c>
      <c r="D69">
        <v>8065</v>
      </c>
      <c r="E69">
        <v>8129</v>
      </c>
      <c r="F69">
        <v>20</v>
      </c>
      <c r="G69">
        <v>17.2</v>
      </c>
      <c r="H69">
        <v>1.1627907</v>
      </c>
      <c r="I69">
        <v>-0.16279063999999999</v>
      </c>
      <c r="J69">
        <v>0.46236559999999999</v>
      </c>
    </row>
    <row r="70" spans="1:10" x14ac:dyDescent="0.3">
      <c r="A70">
        <v>68</v>
      </c>
      <c r="B70">
        <v>1091</v>
      </c>
      <c r="C70" t="b">
        <v>1</v>
      </c>
      <c r="D70">
        <v>8060</v>
      </c>
      <c r="E70">
        <v>8134</v>
      </c>
      <c r="F70">
        <v>20</v>
      </c>
      <c r="G70">
        <v>17.2</v>
      </c>
      <c r="H70">
        <v>1.1627907</v>
      </c>
      <c r="I70">
        <v>-0.16279063999999999</v>
      </c>
      <c r="J70">
        <v>0.46236559999999999</v>
      </c>
    </row>
    <row r="71" spans="1:10" x14ac:dyDescent="0.3">
      <c r="A71">
        <v>69</v>
      </c>
      <c r="B71">
        <v>1106</v>
      </c>
      <c r="C71" t="b">
        <v>1</v>
      </c>
      <c r="D71">
        <v>8060</v>
      </c>
      <c r="E71">
        <v>8134</v>
      </c>
      <c r="F71">
        <v>20</v>
      </c>
      <c r="G71">
        <v>17.533332999999999</v>
      </c>
      <c r="H71">
        <v>1.1406845000000001</v>
      </c>
      <c r="I71">
        <v>-0.14068443999999999</v>
      </c>
      <c r="J71">
        <v>0.46714032</v>
      </c>
    </row>
    <row r="72" spans="1:10" x14ac:dyDescent="0.3">
      <c r="A72">
        <v>70</v>
      </c>
      <c r="B72">
        <v>1122</v>
      </c>
      <c r="C72" t="b">
        <v>1</v>
      </c>
      <c r="D72">
        <v>8054</v>
      </c>
      <c r="E72">
        <v>8129</v>
      </c>
      <c r="F72">
        <v>20</v>
      </c>
      <c r="G72">
        <v>17.866667</v>
      </c>
      <c r="H72">
        <v>1.1194029999999999</v>
      </c>
      <c r="I72">
        <v>-0.11940297499999999</v>
      </c>
      <c r="J72">
        <v>0.47183096000000002</v>
      </c>
    </row>
    <row r="73" spans="1:10" x14ac:dyDescent="0.3">
      <c r="A73">
        <v>71</v>
      </c>
      <c r="B73">
        <v>1138</v>
      </c>
      <c r="C73" t="b">
        <v>1</v>
      </c>
      <c r="D73">
        <v>8060</v>
      </c>
      <c r="E73">
        <v>8134</v>
      </c>
      <c r="F73">
        <v>20</v>
      </c>
      <c r="G73">
        <v>17.466667000000001</v>
      </c>
      <c r="H73">
        <v>1.1450381000000001</v>
      </c>
      <c r="I73">
        <v>-0.14503812999999999</v>
      </c>
      <c r="J73">
        <v>0.4661922</v>
      </c>
    </row>
    <row r="74" spans="1:10" x14ac:dyDescent="0.3">
      <c r="A74">
        <v>72</v>
      </c>
      <c r="B74">
        <v>1154</v>
      </c>
      <c r="C74" t="b">
        <v>1</v>
      </c>
      <c r="D74">
        <v>8060</v>
      </c>
      <c r="E74">
        <v>8129</v>
      </c>
      <c r="F74">
        <v>20</v>
      </c>
      <c r="G74">
        <v>17.066668</v>
      </c>
      <c r="H74">
        <v>1.1718748999999999</v>
      </c>
      <c r="I74">
        <v>-0.17187494</v>
      </c>
      <c r="J74">
        <v>0.4604317</v>
      </c>
    </row>
    <row r="75" spans="1:10" x14ac:dyDescent="0.3">
      <c r="A75">
        <v>73</v>
      </c>
      <c r="B75">
        <v>1170</v>
      </c>
      <c r="C75" t="b">
        <v>1</v>
      </c>
      <c r="D75">
        <v>8065</v>
      </c>
      <c r="E75">
        <v>8129</v>
      </c>
      <c r="F75">
        <v>20</v>
      </c>
      <c r="G75">
        <v>16.333334000000001</v>
      </c>
      <c r="H75">
        <v>1.2244896999999999</v>
      </c>
      <c r="I75">
        <v>-0.22448974999999999</v>
      </c>
      <c r="J75">
        <v>0.44954126999999999</v>
      </c>
    </row>
    <row r="76" spans="1:10" x14ac:dyDescent="0.3">
      <c r="A76">
        <v>74</v>
      </c>
      <c r="B76">
        <v>1186</v>
      </c>
      <c r="C76" t="b">
        <v>1</v>
      </c>
      <c r="D76">
        <v>8065</v>
      </c>
      <c r="E76">
        <v>8134</v>
      </c>
      <c r="F76">
        <v>20</v>
      </c>
      <c r="G76">
        <v>16</v>
      </c>
      <c r="H76">
        <v>1.25</v>
      </c>
      <c r="I76">
        <v>-0.25</v>
      </c>
      <c r="J76">
        <v>0.44444444999999999</v>
      </c>
    </row>
    <row r="77" spans="1:10" x14ac:dyDescent="0.3">
      <c r="A77">
        <v>75</v>
      </c>
      <c r="B77">
        <v>1202</v>
      </c>
      <c r="C77" t="b">
        <v>1</v>
      </c>
      <c r="D77">
        <v>8060</v>
      </c>
      <c r="E77">
        <v>8129</v>
      </c>
      <c r="F77">
        <v>20</v>
      </c>
      <c r="G77">
        <v>15.666667</v>
      </c>
      <c r="H77">
        <v>1.2765957000000001</v>
      </c>
      <c r="I77">
        <v>-0.2765957</v>
      </c>
      <c r="J77">
        <v>0.43925231999999997</v>
      </c>
    </row>
    <row r="78" spans="1:10" x14ac:dyDescent="0.3">
      <c r="A78">
        <v>76</v>
      </c>
      <c r="B78">
        <v>1218</v>
      </c>
      <c r="C78" t="b">
        <v>1</v>
      </c>
      <c r="D78">
        <v>8054</v>
      </c>
      <c r="E78">
        <v>8129</v>
      </c>
      <c r="F78">
        <v>20</v>
      </c>
      <c r="G78">
        <v>15.333333</v>
      </c>
      <c r="H78">
        <v>1.3043479</v>
      </c>
      <c r="I78">
        <v>-0.30434783999999998</v>
      </c>
      <c r="J78">
        <v>0.43396230000000002</v>
      </c>
    </row>
    <row r="79" spans="1:10" x14ac:dyDescent="0.3">
      <c r="A79">
        <v>77</v>
      </c>
      <c r="B79">
        <v>1234</v>
      </c>
      <c r="C79" t="b">
        <v>1</v>
      </c>
      <c r="D79">
        <v>8060</v>
      </c>
      <c r="E79">
        <v>8123</v>
      </c>
      <c r="F79">
        <v>20</v>
      </c>
      <c r="G79">
        <v>15.333333</v>
      </c>
      <c r="H79">
        <v>1.3043479</v>
      </c>
      <c r="I79">
        <v>-0.30434783999999998</v>
      </c>
      <c r="J79">
        <v>0.43396230000000002</v>
      </c>
    </row>
    <row r="80" spans="1:10" x14ac:dyDescent="0.3">
      <c r="A80">
        <v>78</v>
      </c>
      <c r="B80">
        <v>1250</v>
      </c>
      <c r="C80" t="b">
        <v>1</v>
      </c>
      <c r="D80">
        <v>8060</v>
      </c>
      <c r="E80">
        <v>8129</v>
      </c>
      <c r="F80">
        <v>20</v>
      </c>
      <c r="G80">
        <v>15.333333</v>
      </c>
      <c r="H80">
        <v>1.3043479</v>
      </c>
      <c r="I80">
        <v>-0.30434783999999998</v>
      </c>
      <c r="J80">
        <v>0.43396230000000002</v>
      </c>
    </row>
    <row r="81" spans="1:10" x14ac:dyDescent="0.3">
      <c r="A81">
        <v>79</v>
      </c>
      <c r="B81">
        <v>1266</v>
      </c>
      <c r="C81" t="b">
        <v>1</v>
      </c>
      <c r="D81">
        <v>8065</v>
      </c>
      <c r="E81">
        <v>8140</v>
      </c>
      <c r="F81">
        <v>20</v>
      </c>
      <c r="G81">
        <v>15.333333</v>
      </c>
      <c r="H81">
        <v>1.3043479</v>
      </c>
      <c r="I81">
        <v>-0.30434783999999998</v>
      </c>
      <c r="J81">
        <v>0.43396230000000002</v>
      </c>
    </row>
    <row r="82" spans="1:10" x14ac:dyDescent="0.3">
      <c r="A82">
        <v>80</v>
      </c>
      <c r="B82">
        <v>1282</v>
      </c>
      <c r="C82" t="b">
        <v>1</v>
      </c>
      <c r="D82">
        <v>8060</v>
      </c>
      <c r="E82">
        <v>8134</v>
      </c>
      <c r="F82">
        <v>20</v>
      </c>
      <c r="G82">
        <v>15.333333</v>
      </c>
      <c r="H82">
        <v>1.3043479</v>
      </c>
      <c r="I82">
        <v>-0.30434783999999998</v>
      </c>
      <c r="J82">
        <v>0.43396230000000002</v>
      </c>
    </row>
    <row r="83" spans="1:10" x14ac:dyDescent="0.3">
      <c r="A83">
        <v>81</v>
      </c>
      <c r="B83">
        <v>1298</v>
      </c>
      <c r="C83" t="b">
        <v>1</v>
      </c>
      <c r="D83">
        <v>8060</v>
      </c>
      <c r="E83">
        <v>8134</v>
      </c>
      <c r="F83">
        <v>20</v>
      </c>
      <c r="G83">
        <v>15.666667</v>
      </c>
      <c r="H83">
        <v>1.2765957000000001</v>
      </c>
      <c r="I83">
        <v>-0.2765957</v>
      </c>
      <c r="J83">
        <v>0.43925231999999997</v>
      </c>
    </row>
    <row r="84" spans="1:10" x14ac:dyDescent="0.3">
      <c r="A84">
        <v>82</v>
      </c>
      <c r="B84">
        <v>1314</v>
      </c>
      <c r="C84" t="b">
        <v>1</v>
      </c>
      <c r="D84">
        <v>8060</v>
      </c>
      <c r="E84">
        <v>8134</v>
      </c>
      <c r="F84">
        <v>20</v>
      </c>
      <c r="G84">
        <v>16</v>
      </c>
      <c r="H84">
        <v>1.25</v>
      </c>
      <c r="I84">
        <v>-0.25</v>
      </c>
      <c r="J84">
        <v>0.44444444999999999</v>
      </c>
    </row>
    <row r="85" spans="1:10" x14ac:dyDescent="0.3">
      <c r="A85">
        <v>83</v>
      </c>
      <c r="B85">
        <v>1330</v>
      </c>
      <c r="C85" t="b">
        <v>1</v>
      </c>
      <c r="D85">
        <v>8065</v>
      </c>
      <c r="E85">
        <v>8134</v>
      </c>
      <c r="F85">
        <v>20</v>
      </c>
      <c r="G85">
        <v>16.333334000000001</v>
      </c>
      <c r="H85">
        <v>1.2244896999999999</v>
      </c>
      <c r="I85">
        <v>-0.22448974999999999</v>
      </c>
      <c r="J85">
        <v>0.44954126999999999</v>
      </c>
    </row>
    <row r="86" spans="1:10" x14ac:dyDescent="0.3">
      <c r="A86">
        <v>84</v>
      </c>
      <c r="B86">
        <v>1346</v>
      </c>
      <c r="C86" t="b">
        <v>1</v>
      </c>
      <c r="D86">
        <v>8065</v>
      </c>
      <c r="E86">
        <v>8140</v>
      </c>
      <c r="F86">
        <v>20</v>
      </c>
      <c r="G86">
        <v>16.333334000000001</v>
      </c>
      <c r="H86">
        <v>1.2244896999999999</v>
      </c>
      <c r="I86">
        <v>-0.22448974999999999</v>
      </c>
      <c r="J86">
        <v>0.44954126999999999</v>
      </c>
    </row>
    <row r="87" spans="1:10" x14ac:dyDescent="0.3">
      <c r="A87">
        <v>85</v>
      </c>
      <c r="B87">
        <v>1362</v>
      </c>
      <c r="C87" t="b">
        <v>1</v>
      </c>
      <c r="D87">
        <v>8060</v>
      </c>
      <c r="E87">
        <v>8140</v>
      </c>
      <c r="F87">
        <v>20</v>
      </c>
      <c r="G87">
        <v>16.333334000000001</v>
      </c>
      <c r="H87">
        <v>1.2244896999999999</v>
      </c>
      <c r="I87">
        <v>-0.22448974999999999</v>
      </c>
      <c r="J87">
        <v>0.44954126999999999</v>
      </c>
    </row>
    <row r="88" spans="1:10" x14ac:dyDescent="0.3">
      <c r="A88">
        <v>86</v>
      </c>
      <c r="B88">
        <v>1378</v>
      </c>
      <c r="C88" t="b">
        <v>1</v>
      </c>
      <c r="D88">
        <v>8060</v>
      </c>
      <c r="E88">
        <v>8140</v>
      </c>
      <c r="F88">
        <v>20</v>
      </c>
      <c r="G88">
        <v>16.733333999999999</v>
      </c>
      <c r="H88">
        <v>1.1952191999999999</v>
      </c>
      <c r="I88">
        <v>-0.19521910000000001</v>
      </c>
      <c r="J88">
        <v>0.45553537999999999</v>
      </c>
    </row>
    <row r="89" spans="1:10" x14ac:dyDescent="0.3">
      <c r="A89">
        <v>87</v>
      </c>
      <c r="B89">
        <v>1394</v>
      </c>
      <c r="C89" t="b">
        <v>1</v>
      </c>
      <c r="D89">
        <v>8060</v>
      </c>
      <c r="E89">
        <v>8129</v>
      </c>
      <c r="F89">
        <v>20</v>
      </c>
      <c r="G89">
        <v>17.133333</v>
      </c>
      <c r="H89">
        <v>1.1673150999999999</v>
      </c>
      <c r="I89">
        <v>-0.16731519</v>
      </c>
      <c r="J89">
        <v>0.46140039999999999</v>
      </c>
    </row>
    <row r="90" spans="1:10" x14ac:dyDescent="0.3">
      <c r="A90">
        <v>88</v>
      </c>
      <c r="B90">
        <v>1409</v>
      </c>
      <c r="C90" t="b">
        <v>1</v>
      </c>
      <c r="D90">
        <v>8060</v>
      </c>
      <c r="E90">
        <v>8140</v>
      </c>
      <c r="F90">
        <v>20</v>
      </c>
      <c r="G90">
        <v>17.866667</v>
      </c>
      <c r="H90">
        <v>1.1194029999999999</v>
      </c>
      <c r="I90">
        <v>-0.11940297499999999</v>
      </c>
      <c r="J90">
        <v>0.47183096000000002</v>
      </c>
    </row>
    <row r="91" spans="1:10" x14ac:dyDescent="0.3">
      <c r="A91">
        <v>89</v>
      </c>
      <c r="B91">
        <v>1425</v>
      </c>
      <c r="C91" t="b">
        <v>1</v>
      </c>
      <c r="D91">
        <v>8060</v>
      </c>
      <c r="E91">
        <v>8140</v>
      </c>
      <c r="F91">
        <v>20</v>
      </c>
      <c r="G91">
        <v>18.600000000000001</v>
      </c>
      <c r="H91">
        <v>1.0752687000000001</v>
      </c>
      <c r="I91">
        <v>-7.5268799999999997E-2</v>
      </c>
      <c r="J91">
        <v>0.48186531999999999</v>
      </c>
    </row>
    <row r="92" spans="1:10" x14ac:dyDescent="0.3">
      <c r="A92">
        <v>90</v>
      </c>
      <c r="B92">
        <v>1441</v>
      </c>
      <c r="C92" t="b">
        <v>1</v>
      </c>
      <c r="D92">
        <v>8060</v>
      </c>
      <c r="E92">
        <v>8140</v>
      </c>
      <c r="F92">
        <v>20</v>
      </c>
      <c r="G92">
        <v>19.333334000000001</v>
      </c>
      <c r="H92">
        <v>1.0344827000000001</v>
      </c>
      <c r="I92">
        <v>-3.4482724999999999E-2</v>
      </c>
      <c r="J92">
        <v>0.4915254</v>
      </c>
    </row>
    <row r="93" spans="1:10" x14ac:dyDescent="0.3">
      <c r="A93">
        <v>91</v>
      </c>
      <c r="B93">
        <v>1457</v>
      </c>
      <c r="C93" t="b">
        <v>1</v>
      </c>
      <c r="D93">
        <v>8065</v>
      </c>
      <c r="E93">
        <v>8134</v>
      </c>
      <c r="F93">
        <v>20</v>
      </c>
      <c r="G93">
        <v>20.066668</v>
      </c>
      <c r="H93">
        <v>0.9966777</v>
      </c>
      <c r="I93">
        <v>3.3223033000000001E-3</v>
      </c>
      <c r="J93">
        <v>0.50083195999999996</v>
      </c>
    </row>
    <row r="94" spans="1:10" x14ac:dyDescent="0.3">
      <c r="A94">
        <v>92</v>
      </c>
      <c r="B94">
        <v>1472</v>
      </c>
      <c r="C94" t="b">
        <v>1</v>
      </c>
      <c r="D94">
        <v>8060</v>
      </c>
      <c r="E94">
        <v>8129</v>
      </c>
      <c r="F94">
        <v>20</v>
      </c>
      <c r="G94">
        <v>20.8</v>
      </c>
      <c r="H94">
        <v>0.96153849999999996</v>
      </c>
      <c r="I94">
        <v>3.8461503000000001E-2</v>
      </c>
      <c r="J94">
        <v>0.50980389999999998</v>
      </c>
    </row>
    <row r="95" spans="1:10" x14ac:dyDescent="0.3">
      <c r="A95">
        <v>93</v>
      </c>
      <c r="B95">
        <v>1488</v>
      </c>
      <c r="C95" t="b">
        <v>1</v>
      </c>
      <c r="D95">
        <v>8060</v>
      </c>
      <c r="E95">
        <v>8134</v>
      </c>
      <c r="F95">
        <v>20</v>
      </c>
      <c r="G95">
        <v>21.133333</v>
      </c>
      <c r="H95">
        <v>0.94637230000000006</v>
      </c>
      <c r="I95">
        <v>5.3627754999999999E-2</v>
      </c>
      <c r="J95">
        <v>0.51377636000000004</v>
      </c>
    </row>
    <row r="96" spans="1:10" x14ac:dyDescent="0.3">
      <c r="A96">
        <v>94</v>
      </c>
      <c r="B96">
        <v>1504</v>
      </c>
      <c r="C96" t="b">
        <v>1</v>
      </c>
      <c r="D96">
        <v>8060</v>
      </c>
      <c r="E96">
        <v>8129</v>
      </c>
      <c r="F96">
        <v>20</v>
      </c>
      <c r="G96">
        <v>21.466667000000001</v>
      </c>
      <c r="H96">
        <v>0.93167699999999998</v>
      </c>
      <c r="I96">
        <v>6.8322999999999995E-2</v>
      </c>
      <c r="J96">
        <v>0.5176849</v>
      </c>
    </row>
    <row r="97" spans="1:10" x14ac:dyDescent="0.3">
      <c r="A97">
        <v>95</v>
      </c>
      <c r="B97">
        <v>1519</v>
      </c>
      <c r="C97" t="b">
        <v>1</v>
      </c>
      <c r="D97">
        <v>8060</v>
      </c>
      <c r="E97">
        <v>8123</v>
      </c>
      <c r="F97">
        <v>20</v>
      </c>
      <c r="G97">
        <v>21.466667000000001</v>
      </c>
      <c r="H97">
        <v>0.93167699999999998</v>
      </c>
      <c r="I97">
        <v>6.8322999999999995E-2</v>
      </c>
      <c r="J97">
        <v>0.5176849</v>
      </c>
    </row>
    <row r="98" spans="1:10" x14ac:dyDescent="0.3">
      <c r="A98">
        <v>96</v>
      </c>
      <c r="B98">
        <v>1535</v>
      </c>
      <c r="C98" t="b">
        <v>1</v>
      </c>
      <c r="D98">
        <v>8054</v>
      </c>
      <c r="E98">
        <v>8129</v>
      </c>
      <c r="F98">
        <v>20</v>
      </c>
      <c r="G98">
        <v>21.133333</v>
      </c>
      <c r="H98">
        <v>0.94637230000000006</v>
      </c>
      <c r="I98">
        <v>5.3627754999999999E-2</v>
      </c>
      <c r="J98">
        <v>0.51377636000000004</v>
      </c>
    </row>
    <row r="99" spans="1:10" x14ac:dyDescent="0.3">
      <c r="A99">
        <v>97</v>
      </c>
      <c r="B99">
        <v>1551</v>
      </c>
      <c r="C99" t="b">
        <v>1</v>
      </c>
      <c r="D99">
        <v>8054</v>
      </c>
      <c r="E99">
        <v>8129</v>
      </c>
      <c r="F99">
        <v>20</v>
      </c>
      <c r="G99">
        <v>20.8</v>
      </c>
      <c r="H99">
        <v>0.96153849999999996</v>
      </c>
      <c r="I99">
        <v>3.8461503000000001E-2</v>
      </c>
      <c r="J99">
        <v>0.50980389999999998</v>
      </c>
    </row>
    <row r="100" spans="1:10" x14ac:dyDescent="0.3">
      <c r="A100">
        <v>98</v>
      </c>
      <c r="B100">
        <v>1567</v>
      </c>
      <c r="C100" t="b">
        <v>1</v>
      </c>
      <c r="D100">
        <v>8054</v>
      </c>
      <c r="E100">
        <v>8129</v>
      </c>
      <c r="F100">
        <v>19.600000000000001</v>
      </c>
      <c r="G100">
        <v>20.466667000000001</v>
      </c>
      <c r="H100">
        <v>0.95765469999999997</v>
      </c>
      <c r="I100">
        <v>4.2345279999999999E-2</v>
      </c>
      <c r="J100">
        <v>0.51081529999999997</v>
      </c>
    </row>
    <row r="101" spans="1:10" x14ac:dyDescent="0.3">
      <c r="A101">
        <v>99</v>
      </c>
      <c r="B101">
        <v>1583</v>
      </c>
      <c r="C101" t="b">
        <v>1</v>
      </c>
      <c r="D101">
        <v>8054</v>
      </c>
      <c r="E101">
        <v>8129</v>
      </c>
      <c r="F101">
        <v>19.2</v>
      </c>
      <c r="G101">
        <v>20.133333</v>
      </c>
      <c r="H101">
        <v>0.9536424</v>
      </c>
      <c r="I101">
        <v>4.6357572E-2</v>
      </c>
      <c r="J101">
        <v>0.51186436000000002</v>
      </c>
    </row>
    <row r="102" spans="1:10" x14ac:dyDescent="0.3">
      <c r="A102">
        <v>100</v>
      </c>
      <c r="B102">
        <v>1599</v>
      </c>
      <c r="C102" t="b">
        <v>1</v>
      </c>
      <c r="D102">
        <v>8060</v>
      </c>
      <c r="E102">
        <v>8129</v>
      </c>
      <c r="F102">
        <v>18.8</v>
      </c>
      <c r="G102">
        <v>19.8</v>
      </c>
      <c r="H102">
        <v>0.94949496</v>
      </c>
      <c r="I102">
        <v>5.0505053000000001E-2</v>
      </c>
      <c r="J102">
        <v>0.51295334000000004</v>
      </c>
    </row>
    <row r="103" spans="1:10" x14ac:dyDescent="0.3">
      <c r="A103">
        <v>101</v>
      </c>
      <c r="B103">
        <v>1615</v>
      </c>
      <c r="C103" t="b">
        <v>1</v>
      </c>
      <c r="D103">
        <v>8054</v>
      </c>
      <c r="E103">
        <v>8129</v>
      </c>
      <c r="F103">
        <v>18.399999999999999</v>
      </c>
      <c r="G103">
        <v>19.066668</v>
      </c>
      <c r="H103">
        <v>0.96503490000000003</v>
      </c>
      <c r="I103">
        <v>3.4965099999999999E-2</v>
      </c>
      <c r="J103">
        <v>0.50889680000000004</v>
      </c>
    </row>
    <row r="104" spans="1:10" x14ac:dyDescent="0.3">
      <c r="A104">
        <v>102</v>
      </c>
      <c r="B104">
        <v>1631</v>
      </c>
      <c r="C104" t="b">
        <v>1</v>
      </c>
      <c r="D104">
        <v>8054</v>
      </c>
      <c r="E104">
        <v>8129</v>
      </c>
      <c r="F104">
        <v>18</v>
      </c>
      <c r="G104">
        <v>18.333334000000001</v>
      </c>
      <c r="H104">
        <v>0.98181814000000001</v>
      </c>
      <c r="I104">
        <v>1.8181853000000001E-2</v>
      </c>
      <c r="J104">
        <v>0.50458709999999996</v>
      </c>
    </row>
    <row r="105" spans="1:10" x14ac:dyDescent="0.3">
      <c r="A105">
        <v>103</v>
      </c>
      <c r="B105">
        <v>1647</v>
      </c>
      <c r="C105" t="b">
        <v>1</v>
      </c>
      <c r="D105">
        <v>8048</v>
      </c>
      <c r="E105">
        <v>8134</v>
      </c>
      <c r="F105">
        <v>17.600000000000001</v>
      </c>
      <c r="G105">
        <v>17.600000000000001</v>
      </c>
      <c r="H105">
        <v>1</v>
      </c>
      <c r="I105">
        <v>0</v>
      </c>
      <c r="J105">
        <v>0.5</v>
      </c>
    </row>
    <row r="106" spans="1:10" x14ac:dyDescent="0.3">
      <c r="A106">
        <v>104</v>
      </c>
      <c r="B106">
        <v>1663</v>
      </c>
      <c r="C106" t="b">
        <v>1</v>
      </c>
      <c r="D106">
        <v>8054</v>
      </c>
      <c r="E106">
        <v>8129</v>
      </c>
      <c r="F106">
        <v>17.2</v>
      </c>
      <c r="G106">
        <v>16.866667</v>
      </c>
      <c r="H106">
        <v>1.0197628999999999</v>
      </c>
      <c r="I106">
        <v>-1.9762882999999998E-2</v>
      </c>
      <c r="J106">
        <v>0.49510765000000001</v>
      </c>
    </row>
    <row r="107" spans="1:10" x14ac:dyDescent="0.3">
      <c r="A107">
        <v>105</v>
      </c>
      <c r="B107">
        <v>1679</v>
      </c>
      <c r="C107" t="b">
        <v>1</v>
      </c>
      <c r="D107">
        <v>8054</v>
      </c>
      <c r="E107">
        <v>8123</v>
      </c>
      <c r="F107">
        <v>16.8</v>
      </c>
      <c r="G107">
        <v>16.133333</v>
      </c>
      <c r="H107">
        <v>1.0413222</v>
      </c>
      <c r="I107">
        <v>-4.1322275999999998E-2</v>
      </c>
      <c r="J107">
        <v>0.48987853999999997</v>
      </c>
    </row>
    <row r="108" spans="1:10" x14ac:dyDescent="0.3">
      <c r="A108">
        <v>106</v>
      </c>
      <c r="B108">
        <v>1695</v>
      </c>
      <c r="C108" t="b">
        <v>1</v>
      </c>
      <c r="D108">
        <v>8060</v>
      </c>
      <c r="E108">
        <v>8129</v>
      </c>
      <c r="F108">
        <v>16.399999999999999</v>
      </c>
      <c r="G108">
        <v>15.4</v>
      </c>
      <c r="H108">
        <v>1.0649351</v>
      </c>
      <c r="I108">
        <v>-6.4935066E-2</v>
      </c>
      <c r="J108">
        <v>0.48427673999999998</v>
      </c>
    </row>
    <row r="109" spans="1:10" x14ac:dyDescent="0.3">
      <c r="A109">
        <v>107</v>
      </c>
      <c r="B109">
        <v>1711</v>
      </c>
      <c r="C109" t="b">
        <v>1</v>
      </c>
      <c r="D109">
        <v>8054</v>
      </c>
      <c r="E109">
        <v>8134</v>
      </c>
      <c r="F109">
        <v>16</v>
      </c>
      <c r="G109">
        <v>14.666667</v>
      </c>
      <c r="H109">
        <v>1.0909091</v>
      </c>
      <c r="I109">
        <v>-9.0909063999999998E-2</v>
      </c>
      <c r="J109">
        <v>0.47826087</v>
      </c>
    </row>
    <row r="110" spans="1:10" x14ac:dyDescent="0.3">
      <c r="A110">
        <v>108</v>
      </c>
      <c r="B110">
        <v>1727</v>
      </c>
      <c r="C110" t="b">
        <v>1</v>
      </c>
      <c r="D110">
        <v>8060</v>
      </c>
      <c r="E110">
        <v>8129</v>
      </c>
      <c r="F110">
        <v>15.6</v>
      </c>
      <c r="G110">
        <v>14.333333</v>
      </c>
      <c r="H110">
        <v>1.0883721</v>
      </c>
      <c r="I110">
        <v>-8.8372140000000002E-2</v>
      </c>
      <c r="J110">
        <v>0.47884184000000002</v>
      </c>
    </row>
    <row r="111" spans="1:10" x14ac:dyDescent="0.3">
      <c r="A111">
        <v>109</v>
      </c>
      <c r="B111">
        <v>1742</v>
      </c>
      <c r="C111" t="b">
        <v>1</v>
      </c>
      <c r="D111">
        <v>8060</v>
      </c>
      <c r="E111">
        <v>8134</v>
      </c>
      <c r="F111">
        <v>15.6</v>
      </c>
      <c r="G111">
        <v>14</v>
      </c>
      <c r="H111">
        <v>1.1142856999999999</v>
      </c>
      <c r="I111">
        <v>-0.11428574499999999</v>
      </c>
      <c r="J111">
        <v>0.47297296</v>
      </c>
    </row>
    <row r="112" spans="1:10" x14ac:dyDescent="0.3">
      <c r="A112">
        <v>110</v>
      </c>
      <c r="B112">
        <v>1758</v>
      </c>
      <c r="C112" t="b">
        <v>1</v>
      </c>
      <c r="D112">
        <v>8054</v>
      </c>
      <c r="E112">
        <v>8129</v>
      </c>
      <c r="F112">
        <v>15.6</v>
      </c>
      <c r="G112">
        <v>14</v>
      </c>
      <c r="H112">
        <v>1.1142856999999999</v>
      </c>
      <c r="I112">
        <v>-0.11428574499999999</v>
      </c>
      <c r="J112">
        <v>0.47297296</v>
      </c>
    </row>
    <row r="113" spans="1:10" x14ac:dyDescent="0.3">
      <c r="A113">
        <v>111</v>
      </c>
      <c r="B113">
        <v>1774</v>
      </c>
      <c r="C113" t="b">
        <v>1</v>
      </c>
      <c r="D113">
        <v>8054</v>
      </c>
      <c r="E113">
        <v>8134</v>
      </c>
      <c r="F113">
        <v>15.2</v>
      </c>
      <c r="G113">
        <v>14.333333</v>
      </c>
      <c r="H113">
        <v>1.0604651</v>
      </c>
      <c r="I113">
        <v>-6.0465127E-2</v>
      </c>
      <c r="J113">
        <v>0.48532730000000002</v>
      </c>
    </row>
    <row r="114" spans="1:10" x14ac:dyDescent="0.3">
      <c r="A114">
        <v>112</v>
      </c>
      <c r="B114">
        <v>1790</v>
      </c>
      <c r="C114" t="b">
        <v>1</v>
      </c>
      <c r="D114">
        <v>8054</v>
      </c>
      <c r="E114">
        <v>8129</v>
      </c>
      <c r="F114">
        <v>14.8</v>
      </c>
      <c r="G114">
        <v>14.333333</v>
      </c>
      <c r="H114">
        <v>1.0325582</v>
      </c>
      <c r="I114">
        <v>-3.2558177000000001E-2</v>
      </c>
      <c r="J114">
        <v>0.49199082999999999</v>
      </c>
    </row>
    <row r="115" spans="1:10" x14ac:dyDescent="0.3">
      <c r="A115">
        <v>113</v>
      </c>
      <c r="B115">
        <v>1805</v>
      </c>
      <c r="C115" t="b">
        <v>1</v>
      </c>
      <c r="D115">
        <v>8054</v>
      </c>
      <c r="E115">
        <v>8129</v>
      </c>
      <c r="F115">
        <v>14.8</v>
      </c>
      <c r="G115">
        <v>14.333333</v>
      </c>
      <c r="H115">
        <v>1.0325582</v>
      </c>
      <c r="I115">
        <v>-3.2558177000000001E-2</v>
      </c>
      <c r="J115">
        <v>0.49199082999999999</v>
      </c>
    </row>
    <row r="116" spans="1:10" x14ac:dyDescent="0.3">
      <c r="A116">
        <v>114</v>
      </c>
      <c r="B116">
        <v>1821</v>
      </c>
      <c r="C116" t="b">
        <v>1</v>
      </c>
      <c r="D116">
        <v>8048</v>
      </c>
      <c r="E116">
        <v>8123</v>
      </c>
      <c r="F116">
        <v>14.8</v>
      </c>
      <c r="G116">
        <v>14.333333</v>
      </c>
      <c r="H116">
        <v>1.0325582</v>
      </c>
      <c r="I116">
        <v>-3.2558177000000001E-2</v>
      </c>
      <c r="J116">
        <v>0.49199082999999999</v>
      </c>
    </row>
    <row r="117" spans="1:10" x14ac:dyDescent="0.3">
      <c r="A117">
        <v>115</v>
      </c>
      <c r="B117">
        <v>1837</v>
      </c>
      <c r="C117" t="b">
        <v>1</v>
      </c>
      <c r="D117">
        <v>8054</v>
      </c>
      <c r="E117">
        <v>8129</v>
      </c>
      <c r="F117">
        <v>14.8</v>
      </c>
      <c r="G117">
        <v>14.333333</v>
      </c>
      <c r="H117">
        <v>1.0325582</v>
      </c>
      <c r="I117">
        <v>-3.2558177000000001E-2</v>
      </c>
      <c r="J117">
        <v>0.49199082999999999</v>
      </c>
    </row>
    <row r="118" spans="1:10" x14ac:dyDescent="0.3">
      <c r="A118">
        <v>116</v>
      </c>
      <c r="B118">
        <v>1853</v>
      </c>
      <c r="C118" t="b">
        <v>1</v>
      </c>
      <c r="D118">
        <v>8065</v>
      </c>
      <c r="E118">
        <v>8134</v>
      </c>
      <c r="F118">
        <v>14.8</v>
      </c>
      <c r="G118">
        <v>14.333333</v>
      </c>
      <c r="H118">
        <v>1.0325582</v>
      </c>
      <c r="I118">
        <v>-3.2558177000000001E-2</v>
      </c>
      <c r="J118">
        <v>0.49199082999999999</v>
      </c>
    </row>
    <row r="119" spans="1:10" x14ac:dyDescent="0.3">
      <c r="A119">
        <v>117</v>
      </c>
      <c r="B119">
        <v>1869</v>
      </c>
      <c r="C119" t="b">
        <v>1</v>
      </c>
      <c r="D119">
        <v>8060</v>
      </c>
      <c r="E119">
        <v>8129</v>
      </c>
      <c r="F119">
        <v>14.8</v>
      </c>
      <c r="G119">
        <v>14.333333</v>
      </c>
      <c r="H119">
        <v>1.0325582</v>
      </c>
      <c r="I119">
        <v>-3.2558177000000001E-2</v>
      </c>
      <c r="J119">
        <v>0.49199082999999999</v>
      </c>
    </row>
    <row r="120" spans="1:10" x14ac:dyDescent="0.3">
      <c r="A120">
        <v>118</v>
      </c>
      <c r="B120">
        <v>1885</v>
      </c>
      <c r="C120" t="b">
        <v>1</v>
      </c>
      <c r="D120">
        <v>8060</v>
      </c>
      <c r="E120">
        <v>8134</v>
      </c>
      <c r="F120">
        <v>15.2</v>
      </c>
      <c r="G120">
        <v>14.333333</v>
      </c>
      <c r="H120">
        <v>1.0604651</v>
      </c>
      <c r="I120">
        <v>-6.0465127E-2</v>
      </c>
      <c r="J120">
        <v>0.48532730000000002</v>
      </c>
    </row>
    <row r="121" spans="1:10" x14ac:dyDescent="0.3">
      <c r="A121">
        <v>119</v>
      </c>
      <c r="B121">
        <v>1900</v>
      </c>
      <c r="C121" t="b">
        <v>1</v>
      </c>
      <c r="D121">
        <v>8060</v>
      </c>
      <c r="E121">
        <v>8134</v>
      </c>
      <c r="F121">
        <v>15.6</v>
      </c>
      <c r="G121">
        <v>14.666667</v>
      </c>
      <c r="H121">
        <v>1.0636364</v>
      </c>
      <c r="I121">
        <v>-6.3636369999999998E-2</v>
      </c>
      <c r="J121">
        <v>0.4845815</v>
      </c>
    </row>
    <row r="122" spans="1:10" x14ac:dyDescent="0.3">
      <c r="A122">
        <v>120</v>
      </c>
      <c r="B122">
        <v>1916</v>
      </c>
      <c r="C122" t="b">
        <v>1</v>
      </c>
      <c r="D122">
        <v>8060</v>
      </c>
      <c r="E122">
        <v>8134</v>
      </c>
      <c r="F122">
        <v>16</v>
      </c>
      <c r="G122">
        <v>15</v>
      </c>
      <c r="H122">
        <v>1.0666667000000001</v>
      </c>
      <c r="I122">
        <v>-6.6666669999999997E-2</v>
      </c>
      <c r="J122">
        <v>0.48387095000000002</v>
      </c>
    </row>
    <row r="123" spans="1:10" x14ac:dyDescent="0.3">
      <c r="A123">
        <v>121</v>
      </c>
      <c r="B123">
        <v>1932</v>
      </c>
      <c r="C123" t="b">
        <v>1</v>
      </c>
      <c r="D123">
        <v>8060</v>
      </c>
      <c r="E123">
        <v>8134</v>
      </c>
      <c r="F123">
        <v>16.399999999999999</v>
      </c>
      <c r="G123">
        <v>15.333333</v>
      </c>
      <c r="H123">
        <v>1.0695652</v>
      </c>
      <c r="I123">
        <v>-6.9565214E-2</v>
      </c>
      <c r="J123">
        <v>0.48319328</v>
      </c>
    </row>
    <row r="124" spans="1:10" x14ac:dyDescent="0.3">
      <c r="A124">
        <v>122</v>
      </c>
      <c r="B124">
        <v>1948</v>
      </c>
      <c r="C124" t="b">
        <v>1</v>
      </c>
      <c r="D124">
        <v>8065</v>
      </c>
      <c r="E124">
        <v>8129</v>
      </c>
      <c r="F124">
        <v>16.8</v>
      </c>
      <c r="G124">
        <v>15.666667</v>
      </c>
      <c r="H124">
        <v>1.0723404000000001</v>
      </c>
      <c r="I124">
        <v>-7.2340353999999996E-2</v>
      </c>
      <c r="J124">
        <v>0.48254619999999998</v>
      </c>
    </row>
    <row r="125" spans="1:10" x14ac:dyDescent="0.3">
      <c r="A125">
        <v>123</v>
      </c>
      <c r="B125">
        <v>1964</v>
      </c>
      <c r="C125" t="b">
        <v>1</v>
      </c>
      <c r="D125">
        <v>8060</v>
      </c>
      <c r="E125">
        <v>8129</v>
      </c>
      <c r="F125">
        <v>17.2</v>
      </c>
      <c r="G125">
        <v>16</v>
      </c>
      <c r="H125">
        <v>1.075</v>
      </c>
      <c r="I125">
        <v>-7.5000049999999999E-2</v>
      </c>
      <c r="J125">
        <v>0.48192770000000001</v>
      </c>
    </row>
    <row r="126" spans="1:10" x14ac:dyDescent="0.3">
      <c r="A126">
        <v>124</v>
      </c>
      <c r="B126">
        <v>1980</v>
      </c>
      <c r="C126" t="b">
        <v>1</v>
      </c>
      <c r="D126">
        <v>8060</v>
      </c>
      <c r="E126">
        <v>8129</v>
      </c>
      <c r="F126">
        <v>17.2</v>
      </c>
      <c r="G126">
        <v>16</v>
      </c>
      <c r="H126">
        <v>1.075</v>
      </c>
      <c r="I126">
        <v>-7.5000049999999999E-2</v>
      </c>
      <c r="J126">
        <v>0.48192770000000001</v>
      </c>
    </row>
    <row r="127" spans="1:10" x14ac:dyDescent="0.3">
      <c r="A127">
        <v>125</v>
      </c>
      <c r="B127">
        <v>1996</v>
      </c>
      <c r="C127" t="b">
        <v>1</v>
      </c>
      <c r="D127">
        <v>8060</v>
      </c>
      <c r="E127">
        <v>8134</v>
      </c>
      <c r="F127">
        <v>17.2</v>
      </c>
      <c r="G127">
        <v>16</v>
      </c>
      <c r="H127">
        <v>1.075</v>
      </c>
      <c r="I127">
        <v>-7.5000049999999999E-2</v>
      </c>
      <c r="J127">
        <v>0.48192770000000001</v>
      </c>
    </row>
    <row r="128" spans="1:10" x14ac:dyDescent="0.3">
      <c r="A128">
        <v>126</v>
      </c>
      <c r="B128">
        <v>2012</v>
      </c>
      <c r="C128" t="b">
        <v>1</v>
      </c>
      <c r="D128">
        <v>8054</v>
      </c>
      <c r="E128">
        <v>8129</v>
      </c>
      <c r="F128">
        <v>17.600000000000001</v>
      </c>
      <c r="G128">
        <v>15.666667</v>
      </c>
      <c r="H128">
        <v>1.1234043</v>
      </c>
      <c r="I128">
        <v>-0.12340426</v>
      </c>
      <c r="J128">
        <v>0.47094190000000002</v>
      </c>
    </row>
    <row r="129" spans="1:10" x14ac:dyDescent="0.3">
      <c r="A129">
        <v>127</v>
      </c>
      <c r="B129">
        <v>2028</v>
      </c>
      <c r="C129" t="b">
        <v>1</v>
      </c>
      <c r="D129">
        <v>8054</v>
      </c>
      <c r="E129">
        <v>8129</v>
      </c>
      <c r="F129">
        <v>18</v>
      </c>
      <c r="G129">
        <v>15.666667</v>
      </c>
      <c r="H129">
        <v>1.1489362000000001</v>
      </c>
      <c r="I129">
        <v>-0.14893614999999999</v>
      </c>
      <c r="J129">
        <v>0.46534651999999999</v>
      </c>
    </row>
    <row r="130" spans="1:10" x14ac:dyDescent="0.3">
      <c r="A130">
        <v>128</v>
      </c>
      <c r="B130">
        <v>2044</v>
      </c>
      <c r="C130" t="b">
        <v>1</v>
      </c>
      <c r="D130">
        <v>8060</v>
      </c>
      <c r="E130">
        <v>8134</v>
      </c>
      <c r="F130">
        <v>18.399999999999999</v>
      </c>
      <c r="G130">
        <v>15.666667</v>
      </c>
      <c r="H130">
        <v>1.1744680000000001</v>
      </c>
      <c r="I130">
        <v>-0.17446803999999999</v>
      </c>
      <c r="J130">
        <v>0.45988262000000002</v>
      </c>
    </row>
    <row r="131" spans="1:10" x14ac:dyDescent="0.3">
      <c r="A131">
        <v>129</v>
      </c>
      <c r="B131">
        <v>2059</v>
      </c>
      <c r="C131" t="b">
        <v>1</v>
      </c>
      <c r="D131">
        <v>8060</v>
      </c>
      <c r="E131">
        <v>8129</v>
      </c>
      <c r="F131">
        <v>18.8</v>
      </c>
      <c r="G131">
        <v>15.666667</v>
      </c>
      <c r="H131">
        <v>1.1999998999999999</v>
      </c>
      <c r="I131">
        <v>-0.19999992999999999</v>
      </c>
      <c r="J131">
        <v>0.45454547000000001</v>
      </c>
    </row>
    <row r="132" spans="1:10" x14ac:dyDescent="0.3">
      <c r="A132">
        <v>130</v>
      </c>
      <c r="B132">
        <v>2075</v>
      </c>
      <c r="C132" t="b">
        <v>1</v>
      </c>
      <c r="D132">
        <v>8060</v>
      </c>
      <c r="E132">
        <v>8129</v>
      </c>
      <c r="F132">
        <v>19.2</v>
      </c>
      <c r="G132">
        <v>15.666667</v>
      </c>
      <c r="H132">
        <v>1.2255319</v>
      </c>
      <c r="I132">
        <v>-0.22553193999999999</v>
      </c>
      <c r="J132">
        <v>0.44933077999999999</v>
      </c>
    </row>
    <row r="133" spans="1:10" x14ac:dyDescent="0.3">
      <c r="A133">
        <v>131</v>
      </c>
      <c r="B133">
        <v>2091</v>
      </c>
      <c r="C133" t="b">
        <v>1</v>
      </c>
      <c r="D133">
        <v>8060</v>
      </c>
      <c r="E133">
        <v>8134</v>
      </c>
      <c r="F133">
        <v>19.600000000000001</v>
      </c>
      <c r="G133">
        <v>15.666667</v>
      </c>
      <c r="H133">
        <v>1.2510638000000001</v>
      </c>
      <c r="I133">
        <v>-0.25106381999999999</v>
      </c>
      <c r="J133">
        <v>0.44423443000000001</v>
      </c>
    </row>
    <row r="134" spans="1:10" x14ac:dyDescent="0.3">
      <c r="A134">
        <v>132</v>
      </c>
      <c r="B134">
        <v>2107</v>
      </c>
      <c r="C134" t="b">
        <v>1</v>
      </c>
      <c r="D134">
        <v>8065</v>
      </c>
      <c r="E134">
        <v>8134</v>
      </c>
      <c r="F134">
        <v>20</v>
      </c>
      <c r="G134">
        <v>16</v>
      </c>
      <c r="H134">
        <v>1.25</v>
      </c>
      <c r="I134">
        <v>-0.25</v>
      </c>
      <c r="J134">
        <v>0.44444444999999999</v>
      </c>
    </row>
    <row r="135" spans="1:10" x14ac:dyDescent="0.3">
      <c r="A135">
        <v>133</v>
      </c>
      <c r="B135">
        <v>2123</v>
      </c>
      <c r="C135" t="b">
        <v>1</v>
      </c>
      <c r="D135">
        <v>8060</v>
      </c>
      <c r="E135">
        <v>8129</v>
      </c>
      <c r="F135">
        <v>20</v>
      </c>
      <c r="G135">
        <v>16</v>
      </c>
      <c r="H135">
        <v>1.25</v>
      </c>
      <c r="I135">
        <v>-0.25</v>
      </c>
      <c r="J135">
        <v>0.44444444999999999</v>
      </c>
    </row>
    <row r="136" spans="1:10" x14ac:dyDescent="0.3">
      <c r="A136">
        <v>134</v>
      </c>
      <c r="B136">
        <v>2139</v>
      </c>
      <c r="C136" t="b">
        <v>1</v>
      </c>
      <c r="D136">
        <v>8060</v>
      </c>
      <c r="E136">
        <v>8129</v>
      </c>
      <c r="F136">
        <v>20</v>
      </c>
      <c r="G136">
        <v>15.666667</v>
      </c>
      <c r="H136">
        <v>1.2765957000000001</v>
      </c>
      <c r="I136">
        <v>-0.2765957</v>
      </c>
      <c r="J136">
        <v>0.43925231999999997</v>
      </c>
    </row>
    <row r="137" spans="1:10" x14ac:dyDescent="0.3">
      <c r="A137">
        <v>135</v>
      </c>
      <c r="B137">
        <v>2155</v>
      </c>
      <c r="C137" t="b">
        <v>1</v>
      </c>
      <c r="D137">
        <v>8060</v>
      </c>
      <c r="E137">
        <v>8129</v>
      </c>
      <c r="F137">
        <v>20</v>
      </c>
      <c r="G137">
        <v>15.333333</v>
      </c>
      <c r="H137">
        <v>1.3043479</v>
      </c>
      <c r="I137">
        <v>-0.30434783999999998</v>
      </c>
      <c r="J137">
        <v>0.43396230000000002</v>
      </c>
    </row>
    <row r="138" spans="1:10" x14ac:dyDescent="0.3">
      <c r="A138">
        <v>136</v>
      </c>
      <c r="B138">
        <v>2171</v>
      </c>
      <c r="C138" t="b">
        <v>1</v>
      </c>
      <c r="D138">
        <v>8054</v>
      </c>
      <c r="E138">
        <v>8134</v>
      </c>
      <c r="F138">
        <v>20</v>
      </c>
      <c r="G138">
        <v>15</v>
      </c>
      <c r="H138">
        <v>1.3333333999999999</v>
      </c>
      <c r="I138">
        <v>-0.33333333999999998</v>
      </c>
      <c r="J138">
        <v>0.42857142999999998</v>
      </c>
    </row>
    <row r="139" spans="1:10" x14ac:dyDescent="0.3">
      <c r="A139">
        <v>137</v>
      </c>
      <c r="B139">
        <v>2187</v>
      </c>
      <c r="C139" t="b">
        <v>1</v>
      </c>
      <c r="D139">
        <v>8054</v>
      </c>
      <c r="E139">
        <v>8140</v>
      </c>
      <c r="F139">
        <v>20</v>
      </c>
      <c r="G139">
        <v>14.666667</v>
      </c>
      <c r="H139">
        <v>1.3636364000000001</v>
      </c>
      <c r="I139">
        <v>-0.36363634</v>
      </c>
      <c r="J139">
        <v>0.42307693000000002</v>
      </c>
    </row>
    <row r="140" spans="1:10" x14ac:dyDescent="0.3">
      <c r="A140">
        <v>138</v>
      </c>
      <c r="B140">
        <v>2203</v>
      </c>
      <c r="C140" t="b">
        <v>1</v>
      </c>
      <c r="D140">
        <v>8060</v>
      </c>
      <c r="E140">
        <v>8129</v>
      </c>
      <c r="F140">
        <v>20</v>
      </c>
      <c r="G140">
        <v>14.333333</v>
      </c>
      <c r="H140">
        <v>1.3953488999999999</v>
      </c>
      <c r="I140">
        <v>-0.39534888000000001</v>
      </c>
      <c r="J140">
        <v>0.41747572999999999</v>
      </c>
    </row>
    <row r="141" spans="1:10" x14ac:dyDescent="0.3">
      <c r="A141">
        <v>139</v>
      </c>
      <c r="B141">
        <v>2219</v>
      </c>
      <c r="C141" t="b">
        <v>1</v>
      </c>
      <c r="D141">
        <v>8060</v>
      </c>
      <c r="E141">
        <v>8134</v>
      </c>
      <c r="F141">
        <v>20</v>
      </c>
      <c r="G141">
        <v>14.666667</v>
      </c>
      <c r="H141">
        <v>1.3636364000000001</v>
      </c>
      <c r="I141">
        <v>-0.36363634</v>
      </c>
      <c r="J141">
        <v>0.42307693000000002</v>
      </c>
    </row>
    <row r="142" spans="1:10" x14ac:dyDescent="0.3">
      <c r="A142">
        <v>140</v>
      </c>
      <c r="B142">
        <v>2235</v>
      </c>
      <c r="C142" t="b">
        <v>1</v>
      </c>
      <c r="D142">
        <v>8060</v>
      </c>
      <c r="E142">
        <v>8134</v>
      </c>
      <c r="F142">
        <v>20</v>
      </c>
      <c r="G142">
        <v>15</v>
      </c>
      <c r="H142">
        <v>1.3333333999999999</v>
      </c>
      <c r="I142">
        <v>-0.33333333999999998</v>
      </c>
      <c r="J142">
        <v>0.42857142999999998</v>
      </c>
    </row>
    <row r="143" spans="1:10" x14ac:dyDescent="0.3">
      <c r="A143">
        <v>141</v>
      </c>
      <c r="B143">
        <v>2251</v>
      </c>
      <c r="C143" t="b">
        <v>1</v>
      </c>
      <c r="D143">
        <v>8065</v>
      </c>
      <c r="E143">
        <v>8129</v>
      </c>
      <c r="F143">
        <v>20</v>
      </c>
      <c r="G143">
        <v>15.333333</v>
      </c>
      <c r="H143">
        <v>1.3043479</v>
      </c>
      <c r="I143">
        <v>-0.30434783999999998</v>
      </c>
      <c r="J143">
        <v>0.43396230000000002</v>
      </c>
    </row>
    <row r="144" spans="1:10" x14ac:dyDescent="0.3">
      <c r="A144">
        <v>142</v>
      </c>
      <c r="B144">
        <v>2267</v>
      </c>
      <c r="C144" t="b">
        <v>1</v>
      </c>
      <c r="D144">
        <v>8065</v>
      </c>
      <c r="E144">
        <v>8129</v>
      </c>
      <c r="F144">
        <v>20</v>
      </c>
      <c r="G144">
        <v>15.333333</v>
      </c>
      <c r="H144">
        <v>1.3043479</v>
      </c>
      <c r="I144">
        <v>-0.30434783999999998</v>
      </c>
      <c r="J144">
        <v>0.43396230000000002</v>
      </c>
    </row>
    <row r="145" spans="1:10" x14ac:dyDescent="0.3">
      <c r="A145">
        <v>143</v>
      </c>
      <c r="B145">
        <v>2283</v>
      </c>
      <c r="C145" t="b">
        <v>1</v>
      </c>
      <c r="D145">
        <v>8065</v>
      </c>
      <c r="E145">
        <v>8129</v>
      </c>
      <c r="F145">
        <v>20.333334000000001</v>
      </c>
      <c r="G145">
        <v>15.333333</v>
      </c>
      <c r="H145">
        <v>1.326087</v>
      </c>
      <c r="I145">
        <v>-0.32608703</v>
      </c>
      <c r="J145">
        <v>0.42990652000000001</v>
      </c>
    </row>
    <row r="146" spans="1:10" x14ac:dyDescent="0.3">
      <c r="A146">
        <v>144</v>
      </c>
      <c r="B146">
        <v>2299</v>
      </c>
      <c r="C146" t="b">
        <v>1</v>
      </c>
      <c r="D146">
        <v>8060</v>
      </c>
      <c r="E146">
        <v>8129</v>
      </c>
      <c r="F146">
        <v>20.666665999999999</v>
      </c>
      <c r="G146">
        <v>15.333333</v>
      </c>
      <c r="H146">
        <v>1.3478261</v>
      </c>
      <c r="I146">
        <v>-0.34782605999999999</v>
      </c>
      <c r="J146">
        <v>0.42592590000000002</v>
      </c>
    </row>
    <row r="147" spans="1:10" x14ac:dyDescent="0.3">
      <c r="A147">
        <v>145</v>
      </c>
      <c r="B147">
        <v>2315</v>
      </c>
      <c r="C147" t="b">
        <v>1</v>
      </c>
      <c r="D147">
        <v>8065</v>
      </c>
      <c r="E147">
        <v>8129</v>
      </c>
      <c r="F147">
        <v>21</v>
      </c>
      <c r="G147">
        <v>15.333333</v>
      </c>
      <c r="H147">
        <v>1.3695652</v>
      </c>
      <c r="I147">
        <v>-0.36956525000000001</v>
      </c>
      <c r="J147">
        <v>0.42201834999999999</v>
      </c>
    </row>
    <row r="148" spans="1:10" x14ac:dyDescent="0.3">
      <c r="A148">
        <v>146</v>
      </c>
      <c r="B148">
        <v>2330</v>
      </c>
      <c r="C148" t="b">
        <v>1</v>
      </c>
      <c r="D148">
        <v>8060</v>
      </c>
      <c r="E148">
        <v>8123</v>
      </c>
      <c r="F148">
        <v>21.333334000000001</v>
      </c>
      <c r="G148">
        <v>15.333333</v>
      </c>
      <c r="H148">
        <v>1.3913044000000001</v>
      </c>
      <c r="I148">
        <v>-0.3913044</v>
      </c>
      <c r="J148">
        <v>0.41818179999999999</v>
      </c>
    </row>
    <row r="149" spans="1:10" x14ac:dyDescent="0.3">
      <c r="A149">
        <v>147</v>
      </c>
      <c r="B149">
        <v>2346</v>
      </c>
      <c r="C149" t="b">
        <v>1</v>
      </c>
      <c r="D149">
        <v>8060</v>
      </c>
      <c r="E149">
        <v>8134</v>
      </c>
      <c r="F149">
        <v>21.333334000000001</v>
      </c>
      <c r="G149">
        <v>15</v>
      </c>
      <c r="H149">
        <v>1.4222223000000001</v>
      </c>
      <c r="I149">
        <v>-0.42222226000000002</v>
      </c>
      <c r="J149">
        <v>0.41284399999999999</v>
      </c>
    </row>
    <row r="150" spans="1:10" x14ac:dyDescent="0.3">
      <c r="A150">
        <v>148</v>
      </c>
      <c r="B150">
        <v>2362</v>
      </c>
      <c r="C150" t="b">
        <v>1</v>
      </c>
      <c r="D150">
        <v>8060</v>
      </c>
      <c r="E150">
        <v>8134</v>
      </c>
      <c r="F150">
        <v>21.333334000000001</v>
      </c>
      <c r="G150">
        <v>15</v>
      </c>
      <c r="H150">
        <v>1.4222223000000001</v>
      </c>
      <c r="I150">
        <v>-0.42222226000000002</v>
      </c>
      <c r="J150">
        <v>0.41284399999999999</v>
      </c>
    </row>
    <row r="151" spans="1:10" x14ac:dyDescent="0.3">
      <c r="A151">
        <v>149</v>
      </c>
      <c r="B151">
        <v>2378</v>
      </c>
      <c r="C151" t="b">
        <v>1</v>
      </c>
      <c r="D151">
        <v>8060</v>
      </c>
      <c r="E151">
        <v>8134</v>
      </c>
      <c r="F151">
        <v>21.333334000000001</v>
      </c>
      <c r="G151">
        <v>15.333333</v>
      </c>
      <c r="H151">
        <v>1.3913044000000001</v>
      </c>
      <c r="I151">
        <v>-0.3913044</v>
      </c>
      <c r="J151">
        <v>0.41818179999999999</v>
      </c>
    </row>
    <row r="152" spans="1:10" x14ac:dyDescent="0.3">
      <c r="A152">
        <v>150</v>
      </c>
      <c r="B152">
        <v>2394</v>
      </c>
      <c r="C152" t="b">
        <v>1</v>
      </c>
      <c r="D152">
        <v>8060</v>
      </c>
      <c r="E152">
        <v>8134</v>
      </c>
      <c r="F152">
        <v>21.333334000000001</v>
      </c>
      <c r="G152">
        <v>15.666667</v>
      </c>
      <c r="H152">
        <v>1.3617021</v>
      </c>
      <c r="I152">
        <v>-0.36170214000000001</v>
      </c>
      <c r="J152">
        <v>0.42342343999999998</v>
      </c>
    </row>
    <row r="153" spans="1:10" x14ac:dyDescent="0.3">
      <c r="A153">
        <v>151</v>
      </c>
      <c r="B153">
        <v>2410</v>
      </c>
      <c r="C153" t="b">
        <v>1</v>
      </c>
      <c r="D153">
        <v>8054</v>
      </c>
      <c r="E153">
        <v>8134</v>
      </c>
      <c r="F153">
        <v>21.333334000000001</v>
      </c>
      <c r="G153">
        <v>16</v>
      </c>
      <c r="H153">
        <v>1.3333333999999999</v>
      </c>
      <c r="I153">
        <v>-0.33333337000000002</v>
      </c>
      <c r="J153">
        <v>0.42857139999999999</v>
      </c>
    </row>
    <row r="154" spans="1:10" x14ac:dyDescent="0.3">
      <c r="A154">
        <v>152</v>
      </c>
      <c r="B154">
        <v>2426</v>
      </c>
      <c r="C154" t="b">
        <v>1</v>
      </c>
      <c r="D154">
        <v>8054</v>
      </c>
      <c r="E154">
        <v>8134</v>
      </c>
      <c r="F154">
        <v>21.333334000000001</v>
      </c>
      <c r="G154">
        <v>16.333334000000001</v>
      </c>
      <c r="H154">
        <v>1.3061224</v>
      </c>
      <c r="I154">
        <v>-0.30612242000000001</v>
      </c>
      <c r="J154">
        <v>0.43362832000000001</v>
      </c>
    </row>
    <row r="155" spans="1:10" x14ac:dyDescent="0.3">
      <c r="A155">
        <v>153</v>
      </c>
      <c r="B155">
        <v>2442</v>
      </c>
      <c r="C155" t="b">
        <v>1</v>
      </c>
      <c r="D155">
        <v>8054</v>
      </c>
      <c r="E155">
        <v>8129</v>
      </c>
      <c r="F155">
        <v>20.933332</v>
      </c>
      <c r="G155">
        <v>16.666665999999999</v>
      </c>
      <c r="H155">
        <v>1.256</v>
      </c>
      <c r="I155">
        <v>-0.25599998000000002</v>
      </c>
      <c r="J155">
        <v>0.4432624</v>
      </c>
    </row>
    <row r="156" spans="1:10" x14ac:dyDescent="0.3">
      <c r="A156">
        <v>154</v>
      </c>
      <c r="B156">
        <v>2458</v>
      </c>
      <c r="C156" t="b">
        <v>1</v>
      </c>
      <c r="D156">
        <v>8060</v>
      </c>
      <c r="E156">
        <v>8129</v>
      </c>
      <c r="F156">
        <v>20.533332999999999</v>
      </c>
      <c r="G156">
        <v>16.666665999999999</v>
      </c>
      <c r="H156">
        <v>1.232</v>
      </c>
      <c r="I156">
        <v>-0.23200002</v>
      </c>
      <c r="J156">
        <v>0.44802868000000001</v>
      </c>
    </row>
    <row r="157" spans="1:10" x14ac:dyDescent="0.3">
      <c r="A157">
        <v>155</v>
      </c>
      <c r="B157">
        <v>2473</v>
      </c>
      <c r="C157" t="b">
        <v>1</v>
      </c>
      <c r="D157">
        <v>8060</v>
      </c>
      <c r="E157">
        <v>8134</v>
      </c>
      <c r="F157">
        <v>20.133333</v>
      </c>
      <c r="G157">
        <v>16.666665999999999</v>
      </c>
      <c r="H157">
        <v>1.2080001</v>
      </c>
      <c r="I157">
        <v>-0.20800003</v>
      </c>
      <c r="J157">
        <v>0.45289853000000002</v>
      </c>
    </row>
    <row r="158" spans="1:10" x14ac:dyDescent="0.3">
      <c r="A158">
        <v>156</v>
      </c>
      <c r="B158">
        <v>2490</v>
      </c>
      <c r="C158" t="b">
        <v>1</v>
      </c>
      <c r="D158">
        <v>8060</v>
      </c>
      <c r="E158">
        <v>8134</v>
      </c>
      <c r="F158">
        <v>20.133333</v>
      </c>
      <c r="G158">
        <v>16.666665999999999</v>
      </c>
      <c r="H158">
        <v>1.2080001</v>
      </c>
      <c r="I158">
        <v>-0.20800003</v>
      </c>
      <c r="J158">
        <v>0.45289853000000002</v>
      </c>
    </row>
    <row r="159" spans="1:10" x14ac:dyDescent="0.3">
      <c r="A159">
        <v>157</v>
      </c>
      <c r="B159">
        <v>2506</v>
      </c>
      <c r="C159" t="b">
        <v>1</v>
      </c>
      <c r="D159">
        <v>8054</v>
      </c>
      <c r="E159">
        <v>8129</v>
      </c>
      <c r="F159">
        <v>20.133333</v>
      </c>
      <c r="G159">
        <v>16.666665999999999</v>
      </c>
      <c r="H159">
        <v>1.2080001</v>
      </c>
      <c r="I159">
        <v>-0.20800003</v>
      </c>
      <c r="J159">
        <v>0.45289853000000002</v>
      </c>
    </row>
    <row r="160" spans="1:10" x14ac:dyDescent="0.3">
      <c r="A160">
        <v>158</v>
      </c>
      <c r="B160">
        <v>2522</v>
      </c>
      <c r="C160" t="b">
        <v>1</v>
      </c>
      <c r="D160">
        <v>8054</v>
      </c>
      <c r="E160">
        <v>8129</v>
      </c>
      <c r="F160">
        <v>19.8</v>
      </c>
      <c r="G160">
        <v>16.666665999999999</v>
      </c>
      <c r="H160">
        <v>1.1879999999999999</v>
      </c>
      <c r="I160">
        <v>-0.188</v>
      </c>
      <c r="J160">
        <v>0.45703837000000003</v>
      </c>
    </row>
    <row r="161" spans="1:10" x14ac:dyDescent="0.3">
      <c r="A161">
        <v>159</v>
      </c>
      <c r="B161">
        <v>2537</v>
      </c>
      <c r="C161" t="b">
        <v>1</v>
      </c>
      <c r="D161">
        <v>8060</v>
      </c>
      <c r="E161">
        <v>8134</v>
      </c>
      <c r="F161">
        <v>19.466667000000001</v>
      </c>
      <c r="G161">
        <v>17</v>
      </c>
      <c r="H161">
        <v>1.1450981</v>
      </c>
      <c r="I161">
        <v>-0.14509807999999999</v>
      </c>
      <c r="J161">
        <v>0.46617915999999998</v>
      </c>
    </row>
    <row r="162" spans="1:10" x14ac:dyDescent="0.3">
      <c r="A162">
        <v>160</v>
      </c>
      <c r="B162">
        <v>2553</v>
      </c>
      <c r="C162" t="b">
        <v>1</v>
      </c>
      <c r="D162">
        <v>8060</v>
      </c>
      <c r="E162">
        <v>8140</v>
      </c>
      <c r="F162">
        <v>19.133333</v>
      </c>
      <c r="G162">
        <v>17.333334000000001</v>
      </c>
      <c r="H162">
        <v>1.1038460999999999</v>
      </c>
      <c r="I162">
        <v>-0.1038461</v>
      </c>
      <c r="J162">
        <v>0.47531994999999999</v>
      </c>
    </row>
    <row r="163" spans="1:10" x14ac:dyDescent="0.3">
      <c r="A163">
        <v>161</v>
      </c>
      <c r="B163">
        <v>2569</v>
      </c>
      <c r="C163" t="b">
        <v>1</v>
      </c>
      <c r="D163">
        <v>8065</v>
      </c>
      <c r="E163">
        <v>8134</v>
      </c>
      <c r="F163">
        <v>18.8</v>
      </c>
      <c r="G163">
        <v>17.666665999999999</v>
      </c>
      <c r="H163">
        <v>1.0641509</v>
      </c>
      <c r="I163">
        <v>-6.4150940000000004E-2</v>
      </c>
      <c r="J163">
        <v>0.48446067999999998</v>
      </c>
    </row>
    <row r="164" spans="1:10" x14ac:dyDescent="0.3">
      <c r="A164">
        <v>162</v>
      </c>
      <c r="B164">
        <v>2585</v>
      </c>
      <c r="C164" t="b">
        <v>1</v>
      </c>
      <c r="D164">
        <v>8060</v>
      </c>
      <c r="E164">
        <v>8134</v>
      </c>
      <c r="F164">
        <v>18.8</v>
      </c>
      <c r="G164">
        <v>18</v>
      </c>
      <c r="H164">
        <v>1.0444443999999999</v>
      </c>
      <c r="I164">
        <v>-4.4444400000000002E-2</v>
      </c>
      <c r="J164">
        <v>0.48913044</v>
      </c>
    </row>
    <row r="165" spans="1:10" x14ac:dyDescent="0.3">
      <c r="A165">
        <v>163</v>
      </c>
      <c r="B165">
        <v>2600</v>
      </c>
      <c r="C165" t="b">
        <v>1</v>
      </c>
      <c r="D165">
        <v>8060</v>
      </c>
      <c r="E165">
        <v>8140</v>
      </c>
      <c r="F165">
        <v>18.8</v>
      </c>
      <c r="G165">
        <v>18.333334000000001</v>
      </c>
      <c r="H165">
        <v>1.0254544999999999</v>
      </c>
      <c r="I165">
        <v>-2.5454469E-2</v>
      </c>
      <c r="J165">
        <v>0.4937164</v>
      </c>
    </row>
    <row r="166" spans="1:10" x14ac:dyDescent="0.3">
      <c r="A166">
        <v>164</v>
      </c>
      <c r="B166">
        <v>2616</v>
      </c>
      <c r="C166" t="b">
        <v>1</v>
      </c>
      <c r="D166">
        <v>8060</v>
      </c>
      <c r="E166">
        <v>8134</v>
      </c>
      <c r="F166">
        <v>18.8</v>
      </c>
      <c r="G166">
        <v>18.333334000000001</v>
      </c>
      <c r="H166">
        <v>1.0254544999999999</v>
      </c>
      <c r="I166">
        <v>-2.5454469E-2</v>
      </c>
      <c r="J166">
        <v>0.4937164</v>
      </c>
    </row>
    <row r="167" spans="1:10" x14ac:dyDescent="0.3">
      <c r="A167">
        <v>165</v>
      </c>
      <c r="B167">
        <v>2632</v>
      </c>
      <c r="C167" t="b">
        <v>1</v>
      </c>
      <c r="D167">
        <v>8060</v>
      </c>
      <c r="E167">
        <v>8134</v>
      </c>
      <c r="F167">
        <v>18.8</v>
      </c>
      <c r="G167">
        <v>18.333334000000001</v>
      </c>
      <c r="H167">
        <v>1.0254544999999999</v>
      </c>
      <c r="I167">
        <v>-2.5454469E-2</v>
      </c>
      <c r="J167">
        <v>0.4937164</v>
      </c>
    </row>
    <row r="168" spans="1:10" x14ac:dyDescent="0.3">
      <c r="A168">
        <v>166</v>
      </c>
      <c r="B168">
        <v>2648</v>
      </c>
      <c r="C168" t="b">
        <v>1</v>
      </c>
      <c r="D168">
        <v>8060</v>
      </c>
      <c r="E168">
        <v>8129</v>
      </c>
      <c r="F168">
        <v>18.8</v>
      </c>
      <c r="G168">
        <v>18.333334000000001</v>
      </c>
      <c r="H168">
        <v>1.0254544999999999</v>
      </c>
      <c r="I168">
        <v>-2.5454469E-2</v>
      </c>
      <c r="J168">
        <v>0.4937164</v>
      </c>
    </row>
    <row r="169" spans="1:10" x14ac:dyDescent="0.3">
      <c r="A169">
        <v>167</v>
      </c>
      <c r="B169">
        <v>2664</v>
      </c>
      <c r="C169" t="b">
        <v>1</v>
      </c>
      <c r="D169">
        <v>8060</v>
      </c>
      <c r="E169">
        <v>8129</v>
      </c>
      <c r="F169">
        <v>18.8</v>
      </c>
      <c r="G169">
        <v>18.333334000000001</v>
      </c>
      <c r="H169">
        <v>1.0254544999999999</v>
      </c>
      <c r="I169">
        <v>-2.5454469E-2</v>
      </c>
      <c r="J169">
        <v>0.4937164</v>
      </c>
    </row>
    <row r="170" spans="1:10" x14ac:dyDescent="0.3">
      <c r="A170">
        <v>168</v>
      </c>
      <c r="B170">
        <v>2680</v>
      </c>
      <c r="C170" t="b">
        <v>1</v>
      </c>
      <c r="D170">
        <v>8060</v>
      </c>
      <c r="E170">
        <v>8134</v>
      </c>
      <c r="F170">
        <v>19.2</v>
      </c>
      <c r="G170">
        <v>18.333334000000001</v>
      </c>
      <c r="H170">
        <v>1.0472726999999999</v>
      </c>
      <c r="I170">
        <v>-4.7272733999999997E-2</v>
      </c>
      <c r="J170">
        <v>0.48845473</v>
      </c>
    </row>
    <row r="171" spans="1:10" x14ac:dyDescent="0.3">
      <c r="A171">
        <v>169</v>
      </c>
      <c r="B171">
        <v>2696</v>
      </c>
      <c r="C171" t="b">
        <v>1</v>
      </c>
      <c r="D171">
        <v>8060</v>
      </c>
      <c r="E171">
        <v>8134</v>
      </c>
      <c r="F171">
        <v>19.600000000000001</v>
      </c>
      <c r="G171">
        <v>18.333334000000001</v>
      </c>
      <c r="H171">
        <v>1.0690907999999999</v>
      </c>
      <c r="I171">
        <v>-6.9090894999999999E-2</v>
      </c>
      <c r="J171">
        <v>0.48330404999999999</v>
      </c>
    </row>
    <row r="172" spans="1:10" x14ac:dyDescent="0.3">
      <c r="A172">
        <v>170</v>
      </c>
      <c r="B172">
        <v>2712</v>
      </c>
      <c r="C172" t="b">
        <v>1</v>
      </c>
      <c r="D172">
        <v>8060</v>
      </c>
      <c r="E172">
        <v>8134</v>
      </c>
      <c r="F172">
        <v>20</v>
      </c>
      <c r="G172">
        <v>18.333334000000001</v>
      </c>
      <c r="H172">
        <v>1.0909089999999999</v>
      </c>
      <c r="I172">
        <v>-9.090906E-2</v>
      </c>
      <c r="J172">
        <v>0.47826084000000002</v>
      </c>
    </row>
    <row r="173" spans="1:10" x14ac:dyDescent="0.3">
      <c r="A173">
        <v>171</v>
      </c>
      <c r="B173">
        <v>2728</v>
      </c>
      <c r="C173" t="b">
        <v>1</v>
      </c>
      <c r="D173">
        <v>8065</v>
      </c>
      <c r="E173">
        <v>8134</v>
      </c>
      <c r="F173">
        <v>20</v>
      </c>
      <c r="G173">
        <v>18.333334000000001</v>
      </c>
      <c r="H173">
        <v>1.0909089999999999</v>
      </c>
      <c r="I173">
        <v>-9.090906E-2</v>
      </c>
      <c r="J173">
        <v>0.47826084000000002</v>
      </c>
    </row>
    <row r="174" spans="1:10" x14ac:dyDescent="0.3">
      <c r="A174">
        <v>172</v>
      </c>
      <c r="B174">
        <v>2744</v>
      </c>
      <c r="C174" t="b">
        <v>1</v>
      </c>
      <c r="D174">
        <v>8060</v>
      </c>
      <c r="E174">
        <v>8129</v>
      </c>
      <c r="F174">
        <v>20</v>
      </c>
      <c r="G174">
        <v>18.666665999999999</v>
      </c>
      <c r="H174">
        <v>1.0714287</v>
      </c>
      <c r="I174">
        <v>-7.1428604000000007E-2</v>
      </c>
      <c r="J174">
        <v>0.48275864000000002</v>
      </c>
    </row>
    <row r="175" spans="1:10" x14ac:dyDescent="0.3">
      <c r="A175">
        <v>173</v>
      </c>
      <c r="B175">
        <v>2760</v>
      </c>
      <c r="C175" t="b">
        <v>1</v>
      </c>
      <c r="D175">
        <v>8060</v>
      </c>
      <c r="E175">
        <v>8134</v>
      </c>
      <c r="F175">
        <v>20</v>
      </c>
      <c r="G175">
        <v>19</v>
      </c>
      <c r="H175">
        <v>1.0526316</v>
      </c>
      <c r="I175">
        <v>-5.2631579999999997E-2</v>
      </c>
      <c r="J175">
        <v>0.48717949999999999</v>
      </c>
    </row>
    <row r="176" spans="1:10" x14ac:dyDescent="0.3">
      <c r="A176">
        <v>174</v>
      </c>
      <c r="B176">
        <v>2776</v>
      </c>
      <c r="C176" t="b">
        <v>1</v>
      </c>
      <c r="D176">
        <v>8060</v>
      </c>
      <c r="E176">
        <v>8140</v>
      </c>
      <c r="F176">
        <v>20</v>
      </c>
      <c r="G176">
        <v>19</v>
      </c>
      <c r="H176">
        <v>1.0526316</v>
      </c>
      <c r="I176">
        <v>-5.2631579999999997E-2</v>
      </c>
      <c r="J176">
        <v>0.48717949999999999</v>
      </c>
    </row>
    <row r="177" spans="1:10" x14ac:dyDescent="0.3">
      <c r="A177">
        <v>175</v>
      </c>
      <c r="B177">
        <v>2792</v>
      </c>
      <c r="C177" t="b">
        <v>1</v>
      </c>
      <c r="D177">
        <v>8060</v>
      </c>
      <c r="E177">
        <v>8140</v>
      </c>
      <c r="F177">
        <v>20</v>
      </c>
      <c r="G177">
        <v>19</v>
      </c>
      <c r="H177">
        <v>1.0526316</v>
      </c>
      <c r="I177">
        <v>-5.2631579999999997E-2</v>
      </c>
      <c r="J177">
        <v>0.48717949999999999</v>
      </c>
    </row>
    <row r="178" spans="1:10" x14ac:dyDescent="0.3">
      <c r="A178">
        <v>176</v>
      </c>
      <c r="B178">
        <v>2807</v>
      </c>
      <c r="C178" t="b">
        <v>1</v>
      </c>
      <c r="D178">
        <v>8060</v>
      </c>
      <c r="E178">
        <v>8134</v>
      </c>
      <c r="F178">
        <v>20</v>
      </c>
      <c r="G178">
        <v>19</v>
      </c>
      <c r="H178">
        <v>1.0526316</v>
      </c>
      <c r="I178">
        <v>-5.2631579999999997E-2</v>
      </c>
      <c r="J178">
        <v>0.48717949999999999</v>
      </c>
    </row>
    <row r="179" spans="1:10" x14ac:dyDescent="0.3">
      <c r="A179">
        <v>177</v>
      </c>
      <c r="B179">
        <v>2823</v>
      </c>
      <c r="C179" t="b">
        <v>1</v>
      </c>
      <c r="D179">
        <v>8060</v>
      </c>
      <c r="E179">
        <v>8134</v>
      </c>
      <c r="F179">
        <v>20</v>
      </c>
      <c r="G179">
        <v>19</v>
      </c>
      <c r="H179">
        <v>1.0526316</v>
      </c>
      <c r="I179">
        <v>-5.2631579999999997E-2</v>
      </c>
      <c r="J179">
        <v>0.48717949999999999</v>
      </c>
    </row>
    <row r="180" spans="1:10" x14ac:dyDescent="0.3">
      <c r="A180">
        <v>178</v>
      </c>
      <c r="B180">
        <v>2839</v>
      </c>
      <c r="C180" t="b">
        <v>1</v>
      </c>
      <c r="D180">
        <v>8054</v>
      </c>
      <c r="E180">
        <v>8129</v>
      </c>
      <c r="F180">
        <v>20</v>
      </c>
      <c r="G180">
        <v>19</v>
      </c>
      <c r="H180">
        <v>1.0526316</v>
      </c>
      <c r="I180">
        <v>-5.2631579999999997E-2</v>
      </c>
      <c r="J180">
        <v>0.48717949999999999</v>
      </c>
    </row>
    <row r="181" spans="1:10" x14ac:dyDescent="0.3">
      <c r="A181">
        <v>179</v>
      </c>
      <c r="B181">
        <v>2855</v>
      </c>
      <c r="C181" t="b">
        <v>1</v>
      </c>
      <c r="D181">
        <v>8060</v>
      </c>
      <c r="E181">
        <v>8129</v>
      </c>
      <c r="F181">
        <v>20</v>
      </c>
      <c r="G181">
        <v>19</v>
      </c>
      <c r="H181">
        <v>1.0526316</v>
      </c>
      <c r="I181">
        <v>-5.2631579999999997E-2</v>
      </c>
      <c r="J181">
        <v>0.48717949999999999</v>
      </c>
    </row>
    <row r="182" spans="1:10" x14ac:dyDescent="0.3">
      <c r="A182">
        <v>180</v>
      </c>
      <c r="B182">
        <v>2871</v>
      </c>
      <c r="C182" t="b">
        <v>1</v>
      </c>
      <c r="D182">
        <v>8065</v>
      </c>
      <c r="E182">
        <v>8129</v>
      </c>
      <c r="F182">
        <v>20</v>
      </c>
      <c r="G182">
        <v>18.666665999999999</v>
      </c>
      <c r="H182">
        <v>1.0714287</v>
      </c>
      <c r="I182">
        <v>-7.1428604000000007E-2</v>
      </c>
      <c r="J182">
        <v>0.48275864000000002</v>
      </c>
    </row>
    <row r="183" spans="1:10" x14ac:dyDescent="0.3">
      <c r="A183">
        <v>181</v>
      </c>
      <c r="B183">
        <v>2886</v>
      </c>
      <c r="C183" t="b">
        <v>1</v>
      </c>
      <c r="D183">
        <v>8060</v>
      </c>
      <c r="E183">
        <v>8129</v>
      </c>
      <c r="F183">
        <v>20</v>
      </c>
      <c r="G183">
        <v>18.333334000000001</v>
      </c>
      <c r="H183">
        <v>1.0909089999999999</v>
      </c>
      <c r="I183">
        <v>-9.090906E-2</v>
      </c>
      <c r="J183">
        <v>0.47826084000000002</v>
      </c>
    </row>
    <row r="184" spans="1:10" x14ac:dyDescent="0.3">
      <c r="A184">
        <v>182</v>
      </c>
      <c r="B184">
        <v>2902</v>
      </c>
      <c r="C184" t="b">
        <v>1</v>
      </c>
      <c r="D184">
        <v>8060</v>
      </c>
      <c r="E184">
        <v>8129</v>
      </c>
      <c r="F184">
        <v>20</v>
      </c>
      <c r="G184">
        <v>18</v>
      </c>
      <c r="H184">
        <v>1.1111112000000001</v>
      </c>
      <c r="I184">
        <v>-0.11111111</v>
      </c>
      <c r="J184">
        <v>0.47368421999999999</v>
      </c>
    </row>
    <row r="185" spans="1:10" x14ac:dyDescent="0.3">
      <c r="A185">
        <v>183</v>
      </c>
      <c r="B185">
        <v>2918</v>
      </c>
      <c r="C185" t="b">
        <v>1</v>
      </c>
      <c r="D185">
        <v>8060</v>
      </c>
      <c r="E185">
        <v>8117</v>
      </c>
      <c r="F185">
        <v>20</v>
      </c>
      <c r="G185">
        <v>17.666665999999999</v>
      </c>
      <c r="H185">
        <v>1.1320755</v>
      </c>
      <c r="I185">
        <v>-0.13207552</v>
      </c>
      <c r="J185">
        <v>0.46902656999999998</v>
      </c>
    </row>
    <row r="186" spans="1:10" x14ac:dyDescent="0.3">
      <c r="A186">
        <v>184</v>
      </c>
      <c r="B186">
        <v>2934</v>
      </c>
      <c r="C186" t="b">
        <v>1</v>
      </c>
      <c r="D186">
        <v>8060</v>
      </c>
      <c r="E186">
        <v>8140</v>
      </c>
      <c r="F186">
        <v>20</v>
      </c>
      <c r="G186">
        <v>17.333334000000001</v>
      </c>
      <c r="H186">
        <v>1.1538461</v>
      </c>
      <c r="I186">
        <v>-0.15384611000000001</v>
      </c>
      <c r="J186">
        <v>0.46428570000000002</v>
      </c>
    </row>
    <row r="187" spans="1:10" x14ac:dyDescent="0.3">
      <c r="A187">
        <v>185</v>
      </c>
      <c r="B187">
        <v>2950</v>
      </c>
      <c r="C187" t="b">
        <v>1</v>
      </c>
      <c r="D187">
        <v>8060</v>
      </c>
      <c r="E187">
        <v>8134</v>
      </c>
      <c r="F187">
        <v>20</v>
      </c>
      <c r="G187">
        <v>17</v>
      </c>
      <c r="H187">
        <v>1.1764706</v>
      </c>
      <c r="I187">
        <v>-0.17647060000000001</v>
      </c>
      <c r="J187">
        <v>0.45945944999999999</v>
      </c>
    </row>
    <row r="188" spans="1:10" x14ac:dyDescent="0.3">
      <c r="A188">
        <v>186</v>
      </c>
      <c r="B188">
        <v>2966</v>
      </c>
      <c r="C188" t="b">
        <v>1</v>
      </c>
      <c r="D188">
        <v>8054</v>
      </c>
      <c r="E188">
        <v>8134</v>
      </c>
      <c r="F188">
        <v>20</v>
      </c>
      <c r="G188">
        <v>17</v>
      </c>
      <c r="H188">
        <v>1.1764706</v>
      </c>
      <c r="I188">
        <v>-0.17647060000000001</v>
      </c>
      <c r="J188">
        <v>0.45945944999999999</v>
      </c>
    </row>
    <row r="189" spans="1:10" x14ac:dyDescent="0.3">
      <c r="A189">
        <v>187</v>
      </c>
      <c r="B189">
        <v>2982</v>
      </c>
      <c r="C189" t="b">
        <v>1</v>
      </c>
      <c r="D189">
        <v>8060</v>
      </c>
      <c r="E189">
        <v>8134</v>
      </c>
      <c r="F189">
        <v>20</v>
      </c>
      <c r="G189">
        <v>17</v>
      </c>
      <c r="H189">
        <v>1.1764706</v>
      </c>
      <c r="I189">
        <v>-0.17647060000000001</v>
      </c>
      <c r="J189">
        <v>0.45945944999999999</v>
      </c>
    </row>
    <row r="190" spans="1:10" x14ac:dyDescent="0.3">
      <c r="A190">
        <v>188</v>
      </c>
      <c r="B190">
        <v>2998</v>
      </c>
      <c r="C190" t="b">
        <v>1</v>
      </c>
      <c r="D190">
        <v>8060</v>
      </c>
      <c r="E190">
        <v>8134</v>
      </c>
      <c r="F190">
        <v>20</v>
      </c>
      <c r="G190">
        <v>17</v>
      </c>
      <c r="H190">
        <v>1.1764706</v>
      </c>
      <c r="I190">
        <v>-0.17647060000000001</v>
      </c>
      <c r="J190">
        <v>0.45945944999999999</v>
      </c>
    </row>
    <row r="191" spans="1:10" x14ac:dyDescent="0.3">
      <c r="A191">
        <v>189</v>
      </c>
      <c r="B191">
        <v>3014</v>
      </c>
      <c r="C191" t="b">
        <v>1</v>
      </c>
      <c r="D191">
        <v>8060</v>
      </c>
      <c r="E191">
        <v>8134</v>
      </c>
      <c r="F191">
        <v>20</v>
      </c>
      <c r="G191">
        <v>17</v>
      </c>
      <c r="H191">
        <v>1.1764706</v>
      </c>
      <c r="I191">
        <v>-0.17647060000000001</v>
      </c>
      <c r="J191">
        <v>0.45945944999999999</v>
      </c>
    </row>
    <row r="192" spans="1:10" x14ac:dyDescent="0.3">
      <c r="A192">
        <v>190</v>
      </c>
      <c r="B192">
        <v>3030</v>
      </c>
      <c r="C192" t="b">
        <v>1</v>
      </c>
      <c r="D192">
        <v>8054</v>
      </c>
      <c r="E192">
        <v>8134</v>
      </c>
      <c r="F192">
        <v>20</v>
      </c>
      <c r="G192">
        <v>17</v>
      </c>
      <c r="H192">
        <v>1.1764706</v>
      </c>
      <c r="I192">
        <v>-0.17647060000000001</v>
      </c>
      <c r="J192">
        <v>0.45945944999999999</v>
      </c>
    </row>
    <row r="193" spans="1:10" x14ac:dyDescent="0.3">
      <c r="A193">
        <v>191</v>
      </c>
      <c r="B193">
        <v>3046</v>
      </c>
      <c r="C193" t="b">
        <v>1</v>
      </c>
      <c r="D193">
        <v>8060</v>
      </c>
      <c r="E193">
        <v>8134</v>
      </c>
      <c r="F193">
        <v>20</v>
      </c>
      <c r="G193">
        <v>17</v>
      </c>
      <c r="H193">
        <v>1.1764706</v>
      </c>
      <c r="I193">
        <v>-0.17647060000000001</v>
      </c>
      <c r="J193">
        <v>0.45945944999999999</v>
      </c>
    </row>
    <row r="194" spans="1:10" x14ac:dyDescent="0.3">
      <c r="A194">
        <v>192</v>
      </c>
      <c r="B194">
        <v>3062</v>
      </c>
      <c r="C194" t="b">
        <v>1</v>
      </c>
      <c r="D194">
        <v>8054</v>
      </c>
      <c r="E194">
        <v>8140</v>
      </c>
      <c r="F194">
        <v>20</v>
      </c>
      <c r="G194">
        <v>17</v>
      </c>
      <c r="H194">
        <v>1.1764706</v>
      </c>
      <c r="I194">
        <v>-0.17647060000000001</v>
      </c>
      <c r="J194">
        <v>0.45945944999999999</v>
      </c>
    </row>
    <row r="195" spans="1:10" x14ac:dyDescent="0.3">
      <c r="A195">
        <v>193</v>
      </c>
      <c r="B195">
        <v>3077</v>
      </c>
      <c r="C195" t="b">
        <v>1</v>
      </c>
      <c r="D195">
        <v>8065</v>
      </c>
      <c r="E195">
        <v>8140</v>
      </c>
      <c r="F195">
        <v>20</v>
      </c>
      <c r="G195">
        <v>17</v>
      </c>
      <c r="H195">
        <v>1.1764706</v>
      </c>
      <c r="I195">
        <v>-0.17647060000000001</v>
      </c>
      <c r="J195">
        <v>0.45945944999999999</v>
      </c>
    </row>
    <row r="196" spans="1:10" x14ac:dyDescent="0.3">
      <c r="A196">
        <v>194</v>
      </c>
      <c r="B196">
        <v>3093</v>
      </c>
      <c r="C196" t="b">
        <v>1</v>
      </c>
      <c r="D196">
        <v>8060</v>
      </c>
      <c r="E196">
        <v>8134</v>
      </c>
      <c r="F196">
        <v>20</v>
      </c>
      <c r="G196">
        <v>17</v>
      </c>
      <c r="H196">
        <v>1.1764706</v>
      </c>
      <c r="I196">
        <v>-0.17647060000000001</v>
      </c>
      <c r="J196">
        <v>0.45945944999999999</v>
      </c>
    </row>
    <row r="197" spans="1:10" x14ac:dyDescent="0.3">
      <c r="A197">
        <v>195</v>
      </c>
      <c r="B197">
        <v>3109</v>
      </c>
      <c r="C197" t="b">
        <v>1</v>
      </c>
      <c r="D197">
        <v>8054</v>
      </c>
      <c r="E197">
        <v>8134</v>
      </c>
      <c r="F197">
        <v>20</v>
      </c>
      <c r="G197">
        <v>17.333334000000001</v>
      </c>
      <c r="H197">
        <v>1.1538461</v>
      </c>
      <c r="I197">
        <v>-0.15384611000000001</v>
      </c>
      <c r="J197">
        <v>0.46428570000000002</v>
      </c>
    </row>
    <row r="198" spans="1:10" x14ac:dyDescent="0.3">
      <c r="A198">
        <v>196</v>
      </c>
      <c r="B198">
        <v>3124</v>
      </c>
      <c r="C198" t="b">
        <v>1</v>
      </c>
      <c r="D198">
        <v>8060</v>
      </c>
      <c r="E198">
        <v>8134</v>
      </c>
      <c r="F198">
        <v>20</v>
      </c>
      <c r="G198">
        <v>17.666665999999999</v>
      </c>
      <c r="H198">
        <v>1.1320755</v>
      </c>
      <c r="I198">
        <v>-0.13207552</v>
      </c>
      <c r="J198">
        <v>0.46902656999999998</v>
      </c>
    </row>
    <row r="199" spans="1:10" x14ac:dyDescent="0.3">
      <c r="A199">
        <v>197</v>
      </c>
      <c r="B199">
        <v>3140</v>
      </c>
      <c r="C199" t="b">
        <v>1</v>
      </c>
      <c r="D199">
        <v>8060</v>
      </c>
      <c r="E199">
        <v>8134</v>
      </c>
      <c r="F199">
        <v>20</v>
      </c>
      <c r="G199">
        <v>18</v>
      </c>
      <c r="H199">
        <v>1.1111112000000001</v>
      </c>
      <c r="I199">
        <v>-0.11111111</v>
      </c>
      <c r="J199">
        <v>0.47368421999999999</v>
      </c>
    </row>
    <row r="200" spans="1:10" x14ac:dyDescent="0.3">
      <c r="A200">
        <v>198</v>
      </c>
      <c r="B200">
        <v>3156</v>
      </c>
      <c r="C200" t="b">
        <v>1</v>
      </c>
      <c r="D200">
        <v>8060</v>
      </c>
      <c r="E200">
        <v>8134</v>
      </c>
      <c r="F200">
        <v>20</v>
      </c>
      <c r="G200">
        <v>18.333334000000001</v>
      </c>
      <c r="H200">
        <v>1.0909089999999999</v>
      </c>
      <c r="I200">
        <v>-9.090906E-2</v>
      </c>
      <c r="J200">
        <v>0.47826084000000002</v>
      </c>
    </row>
    <row r="201" spans="1:10" x14ac:dyDescent="0.3">
      <c r="A201">
        <v>199</v>
      </c>
      <c r="B201">
        <v>3172</v>
      </c>
      <c r="C201" t="b">
        <v>1</v>
      </c>
      <c r="D201">
        <v>8060</v>
      </c>
      <c r="E201">
        <v>8129</v>
      </c>
      <c r="F201">
        <v>20</v>
      </c>
      <c r="G201">
        <v>18.666665999999999</v>
      </c>
      <c r="H201">
        <v>1.0714287</v>
      </c>
      <c r="I201">
        <v>-7.1428604000000007E-2</v>
      </c>
      <c r="J201">
        <v>0.48275864000000002</v>
      </c>
    </row>
    <row r="202" spans="1:10" x14ac:dyDescent="0.3">
      <c r="A202">
        <v>200</v>
      </c>
      <c r="B202">
        <v>3188</v>
      </c>
      <c r="C202" t="b">
        <v>1</v>
      </c>
      <c r="D202">
        <v>8065</v>
      </c>
      <c r="E202">
        <v>8134</v>
      </c>
      <c r="F202">
        <v>20</v>
      </c>
      <c r="G202">
        <v>19</v>
      </c>
      <c r="H202">
        <v>1.0526316</v>
      </c>
      <c r="I202">
        <v>-5.2631579999999997E-2</v>
      </c>
      <c r="J202">
        <v>0.48717949999999999</v>
      </c>
    </row>
    <row r="203" spans="1:10" x14ac:dyDescent="0.3">
      <c r="A203">
        <v>201</v>
      </c>
      <c r="B203">
        <v>3204</v>
      </c>
      <c r="C203" t="b">
        <v>1</v>
      </c>
      <c r="D203">
        <v>8060</v>
      </c>
      <c r="E203">
        <v>8134</v>
      </c>
      <c r="F203">
        <v>20</v>
      </c>
      <c r="G203">
        <v>19</v>
      </c>
      <c r="H203">
        <v>1.0526316</v>
      </c>
      <c r="I203">
        <v>-5.2631579999999997E-2</v>
      </c>
      <c r="J203">
        <v>0.48717949999999999</v>
      </c>
    </row>
    <row r="204" spans="1:10" x14ac:dyDescent="0.3">
      <c r="A204">
        <v>202</v>
      </c>
      <c r="B204">
        <v>3219</v>
      </c>
      <c r="C204" t="b">
        <v>1</v>
      </c>
      <c r="D204">
        <v>8054</v>
      </c>
      <c r="E204">
        <v>8134</v>
      </c>
      <c r="F204">
        <v>20</v>
      </c>
      <c r="G204">
        <v>19</v>
      </c>
      <c r="H204">
        <v>1.0526316</v>
      </c>
      <c r="I204">
        <v>-5.2631579999999997E-2</v>
      </c>
      <c r="J204">
        <v>0.48717949999999999</v>
      </c>
    </row>
    <row r="205" spans="1:10" x14ac:dyDescent="0.3">
      <c r="A205">
        <v>203</v>
      </c>
      <c r="B205">
        <v>3235</v>
      </c>
      <c r="C205" t="b">
        <v>1</v>
      </c>
      <c r="D205">
        <v>8060</v>
      </c>
      <c r="E205">
        <v>8123</v>
      </c>
      <c r="F205">
        <v>20</v>
      </c>
      <c r="G205">
        <v>19</v>
      </c>
      <c r="H205">
        <v>1.0526316</v>
      </c>
      <c r="I205">
        <v>-5.2631579999999997E-2</v>
      </c>
      <c r="J205">
        <v>0.48717949999999999</v>
      </c>
    </row>
    <row r="206" spans="1:10" x14ac:dyDescent="0.3">
      <c r="A206">
        <v>204</v>
      </c>
      <c r="B206">
        <v>3251</v>
      </c>
      <c r="C206" t="b">
        <v>1</v>
      </c>
      <c r="D206">
        <v>8060</v>
      </c>
      <c r="E206">
        <v>8129</v>
      </c>
      <c r="F206">
        <v>20</v>
      </c>
      <c r="G206">
        <v>19</v>
      </c>
      <c r="H206">
        <v>1.0526316</v>
      </c>
      <c r="I206">
        <v>-5.2631579999999997E-2</v>
      </c>
      <c r="J206">
        <v>0.48717949999999999</v>
      </c>
    </row>
    <row r="207" spans="1:10" x14ac:dyDescent="0.3">
      <c r="A207">
        <v>205</v>
      </c>
      <c r="B207">
        <v>3267</v>
      </c>
      <c r="C207" t="b">
        <v>1</v>
      </c>
      <c r="D207">
        <v>8054</v>
      </c>
      <c r="E207">
        <v>8134</v>
      </c>
      <c r="F207">
        <v>20</v>
      </c>
      <c r="G207">
        <v>19</v>
      </c>
      <c r="H207">
        <v>1.0526316</v>
      </c>
      <c r="I207">
        <v>-5.2631579999999997E-2</v>
      </c>
      <c r="J207">
        <v>0.48717949999999999</v>
      </c>
    </row>
    <row r="208" spans="1:10" x14ac:dyDescent="0.3">
      <c r="A208">
        <v>206</v>
      </c>
      <c r="B208">
        <v>3283</v>
      </c>
      <c r="C208" t="b">
        <v>1</v>
      </c>
      <c r="D208">
        <v>8065</v>
      </c>
      <c r="E208">
        <v>8129</v>
      </c>
      <c r="F208">
        <v>20</v>
      </c>
      <c r="G208">
        <v>18.666665999999999</v>
      </c>
      <c r="H208">
        <v>1.0714287</v>
      </c>
      <c r="I208">
        <v>-7.1428604000000007E-2</v>
      </c>
      <c r="J208">
        <v>0.48275864000000002</v>
      </c>
    </row>
    <row r="209" spans="1:10" x14ac:dyDescent="0.3">
      <c r="A209">
        <v>207</v>
      </c>
      <c r="B209">
        <v>3299</v>
      </c>
      <c r="C209" t="b">
        <v>1</v>
      </c>
      <c r="D209">
        <v>8060</v>
      </c>
      <c r="E209">
        <v>8123</v>
      </c>
      <c r="F209">
        <v>20</v>
      </c>
      <c r="G209">
        <v>18.333334000000001</v>
      </c>
      <c r="H209">
        <v>1.0909089999999999</v>
      </c>
      <c r="I209">
        <v>-9.090906E-2</v>
      </c>
      <c r="J209">
        <v>0.47826084000000002</v>
      </c>
    </row>
    <row r="210" spans="1:10" x14ac:dyDescent="0.3">
      <c r="A210">
        <v>208</v>
      </c>
      <c r="B210">
        <v>3315</v>
      </c>
      <c r="C210" t="b">
        <v>1</v>
      </c>
      <c r="D210">
        <v>8060</v>
      </c>
      <c r="E210">
        <v>8129</v>
      </c>
      <c r="F210">
        <v>20</v>
      </c>
      <c r="G210">
        <v>18</v>
      </c>
      <c r="H210">
        <v>1.1111112000000001</v>
      </c>
      <c r="I210">
        <v>-0.11111111</v>
      </c>
      <c r="J210">
        <v>0.47368421999999999</v>
      </c>
    </row>
    <row r="211" spans="1:10" x14ac:dyDescent="0.3">
      <c r="A211">
        <v>209</v>
      </c>
      <c r="B211">
        <v>3330</v>
      </c>
      <c r="C211" t="b">
        <v>1</v>
      </c>
      <c r="D211">
        <v>8060</v>
      </c>
      <c r="E211">
        <v>8134</v>
      </c>
      <c r="F211">
        <v>20</v>
      </c>
      <c r="G211">
        <v>17.666665999999999</v>
      </c>
      <c r="H211">
        <v>1.1320755</v>
      </c>
      <c r="I211">
        <v>-0.13207552</v>
      </c>
      <c r="J211">
        <v>0.46902656999999998</v>
      </c>
    </row>
    <row r="212" spans="1:10" x14ac:dyDescent="0.3">
      <c r="A212">
        <v>210</v>
      </c>
      <c r="B212">
        <v>3347</v>
      </c>
      <c r="C212" t="b">
        <v>1</v>
      </c>
      <c r="D212">
        <v>8054</v>
      </c>
      <c r="E212">
        <v>8140</v>
      </c>
      <c r="F212">
        <v>20</v>
      </c>
      <c r="G212">
        <v>17.333334000000001</v>
      </c>
      <c r="H212">
        <v>1.1538461</v>
      </c>
      <c r="I212">
        <v>-0.15384611000000001</v>
      </c>
      <c r="J212">
        <v>0.46428570000000002</v>
      </c>
    </row>
    <row r="213" spans="1:10" x14ac:dyDescent="0.3">
      <c r="A213">
        <v>211</v>
      </c>
      <c r="B213">
        <v>3363</v>
      </c>
      <c r="C213" t="b">
        <v>1</v>
      </c>
      <c r="D213">
        <v>8065</v>
      </c>
      <c r="E213">
        <v>8140</v>
      </c>
      <c r="F213">
        <v>20</v>
      </c>
      <c r="G213">
        <v>17.333334000000001</v>
      </c>
      <c r="H213">
        <v>1.1538461</v>
      </c>
      <c r="I213">
        <v>-0.15384611000000001</v>
      </c>
      <c r="J213">
        <v>0.46428570000000002</v>
      </c>
    </row>
    <row r="214" spans="1:10" x14ac:dyDescent="0.3">
      <c r="A214">
        <v>212</v>
      </c>
      <c r="B214">
        <v>3378</v>
      </c>
      <c r="C214" t="b">
        <v>1</v>
      </c>
      <c r="D214">
        <v>8065</v>
      </c>
      <c r="E214">
        <v>8134</v>
      </c>
      <c r="F214">
        <v>20</v>
      </c>
      <c r="G214">
        <v>17.333334000000001</v>
      </c>
      <c r="H214">
        <v>1.1538461</v>
      </c>
      <c r="I214">
        <v>-0.15384611000000001</v>
      </c>
      <c r="J214">
        <v>0.46428570000000002</v>
      </c>
    </row>
    <row r="215" spans="1:10" x14ac:dyDescent="0.3">
      <c r="A215">
        <v>213</v>
      </c>
      <c r="B215">
        <v>3394</v>
      </c>
      <c r="C215" t="b">
        <v>1</v>
      </c>
      <c r="D215">
        <v>8060</v>
      </c>
      <c r="E215">
        <v>8140</v>
      </c>
      <c r="F215">
        <v>20</v>
      </c>
      <c r="G215">
        <v>17.733333999999999</v>
      </c>
      <c r="H215">
        <v>1.1278195</v>
      </c>
      <c r="I215">
        <v>-0.12781954000000001</v>
      </c>
      <c r="J215">
        <v>0.46996464999999998</v>
      </c>
    </row>
    <row r="216" spans="1:10" x14ac:dyDescent="0.3">
      <c r="A216">
        <v>214</v>
      </c>
      <c r="B216">
        <v>3410</v>
      </c>
      <c r="C216" t="b">
        <v>1</v>
      </c>
      <c r="D216">
        <v>8060</v>
      </c>
      <c r="E216">
        <v>8134</v>
      </c>
      <c r="F216">
        <v>20</v>
      </c>
      <c r="G216">
        <v>18.133333</v>
      </c>
      <c r="H216">
        <v>1.1029412000000001</v>
      </c>
      <c r="I216">
        <v>-0.102941185</v>
      </c>
      <c r="J216">
        <v>0.47552450000000002</v>
      </c>
    </row>
    <row r="217" spans="1:10" x14ac:dyDescent="0.3">
      <c r="A217">
        <v>215</v>
      </c>
      <c r="B217">
        <v>3426</v>
      </c>
      <c r="C217" t="b">
        <v>1</v>
      </c>
      <c r="D217">
        <v>8060</v>
      </c>
      <c r="E217">
        <v>8129</v>
      </c>
      <c r="F217">
        <v>20</v>
      </c>
      <c r="G217">
        <v>18.133333</v>
      </c>
      <c r="H217">
        <v>1.1029412000000001</v>
      </c>
      <c r="I217">
        <v>-0.102941185</v>
      </c>
      <c r="J217">
        <v>0.47552450000000002</v>
      </c>
    </row>
    <row r="218" spans="1:10" x14ac:dyDescent="0.3">
      <c r="A218">
        <v>216</v>
      </c>
      <c r="B218">
        <v>3442</v>
      </c>
      <c r="C218" t="b">
        <v>1</v>
      </c>
      <c r="D218">
        <v>8060</v>
      </c>
      <c r="E218">
        <v>8129</v>
      </c>
      <c r="F218">
        <v>20</v>
      </c>
      <c r="G218">
        <v>18.133333</v>
      </c>
      <c r="H218">
        <v>1.1029412000000001</v>
      </c>
      <c r="I218">
        <v>-0.102941185</v>
      </c>
      <c r="J218">
        <v>0.47552450000000002</v>
      </c>
    </row>
    <row r="219" spans="1:10" x14ac:dyDescent="0.3">
      <c r="A219">
        <v>217</v>
      </c>
      <c r="B219">
        <v>3457</v>
      </c>
      <c r="C219" t="b">
        <v>1</v>
      </c>
      <c r="D219">
        <v>8060</v>
      </c>
      <c r="E219">
        <v>8129</v>
      </c>
      <c r="F219">
        <v>20</v>
      </c>
      <c r="G219">
        <v>17.8</v>
      </c>
      <c r="H219">
        <v>1.1235956</v>
      </c>
      <c r="I219">
        <v>-0.12359555</v>
      </c>
      <c r="J219">
        <v>0.47089945999999999</v>
      </c>
    </row>
    <row r="220" spans="1:10" x14ac:dyDescent="0.3">
      <c r="A220">
        <v>218</v>
      </c>
      <c r="B220">
        <v>3473</v>
      </c>
      <c r="C220" t="b">
        <v>1</v>
      </c>
      <c r="D220">
        <v>8060</v>
      </c>
      <c r="E220">
        <v>8129</v>
      </c>
      <c r="F220">
        <v>20</v>
      </c>
      <c r="G220">
        <v>17.466667000000001</v>
      </c>
      <c r="H220">
        <v>1.1450381000000001</v>
      </c>
      <c r="I220">
        <v>-0.14503812999999999</v>
      </c>
      <c r="J220">
        <v>0.4661922</v>
      </c>
    </row>
    <row r="221" spans="1:10" x14ac:dyDescent="0.3">
      <c r="A221">
        <v>219</v>
      </c>
      <c r="B221">
        <v>3489</v>
      </c>
      <c r="C221" t="b">
        <v>1</v>
      </c>
      <c r="D221">
        <v>8071</v>
      </c>
      <c r="E221">
        <v>8129</v>
      </c>
      <c r="F221">
        <v>20</v>
      </c>
      <c r="G221">
        <v>17.133333</v>
      </c>
      <c r="H221">
        <v>1.1673150999999999</v>
      </c>
      <c r="I221">
        <v>-0.16731519</v>
      </c>
      <c r="J221">
        <v>0.46140039999999999</v>
      </c>
    </row>
    <row r="222" spans="1:10" x14ac:dyDescent="0.3">
      <c r="A222">
        <v>220</v>
      </c>
      <c r="B222">
        <v>3505</v>
      </c>
      <c r="C222" t="b">
        <v>1</v>
      </c>
      <c r="D222">
        <v>8065</v>
      </c>
      <c r="E222">
        <v>8129</v>
      </c>
      <c r="F222">
        <v>20</v>
      </c>
      <c r="G222">
        <v>16.8</v>
      </c>
      <c r="H222">
        <v>1.1904763</v>
      </c>
      <c r="I222">
        <v>-0.19047623999999999</v>
      </c>
      <c r="J222">
        <v>0.45652172000000002</v>
      </c>
    </row>
    <row r="223" spans="1:10" x14ac:dyDescent="0.3">
      <c r="A223">
        <v>221</v>
      </c>
      <c r="B223">
        <v>3521</v>
      </c>
      <c r="C223" t="b">
        <v>1</v>
      </c>
      <c r="D223">
        <v>8065</v>
      </c>
      <c r="E223">
        <v>8123</v>
      </c>
      <c r="F223">
        <v>20.333334000000001</v>
      </c>
      <c r="G223">
        <v>16.8</v>
      </c>
      <c r="H223">
        <v>1.2103176</v>
      </c>
      <c r="I223">
        <v>-0.21031754999999999</v>
      </c>
      <c r="J223">
        <v>0.45242369999999998</v>
      </c>
    </row>
    <row r="224" spans="1:10" x14ac:dyDescent="0.3">
      <c r="A224">
        <v>222</v>
      </c>
      <c r="B224">
        <v>3536</v>
      </c>
      <c r="C224" t="b">
        <v>1</v>
      </c>
      <c r="D224">
        <v>8065</v>
      </c>
      <c r="E224">
        <v>8129</v>
      </c>
      <c r="F224">
        <v>20.666665999999999</v>
      </c>
      <c r="G224">
        <v>16.8</v>
      </c>
      <c r="H224">
        <v>1.2301588000000001</v>
      </c>
      <c r="I224">
        <v>-0.23015875</v>
      </c>
      <c r="J224">
        <v>0.44839856</v>
      </c>
    </row>
    <row r="225" spans="1:10" x14ac:dyDescent="0.3">
      <c r="A225">
        <v>223</v>
      </c>
      <c r="B225">
        <v>3552</v>
      </c>
      <c r="C225" t="b">
        <v>1</v>
      </c>
      <c r="D225">
        <v>8071</v>
      </c>
      <c r="E225">
        <v>8129</v>
      </c>
      <c r="F225">
        <v>21</v>
      </c>
      <c r="G225">
        <v>16.8</v>
      </c>
      <c r="H225">
        <v>1.25</v>
      </c>
      <c r="I225">
        <v>-0.25000006000000002</v>
      </c>
      <c r="J225">
        <v>0.44444444999999999</v>
      </c>
    </row>
    <row r="226" spans="1:10" x14ac:dyDescent="0.3">
      <c r="A226">
        <v>224</v>
      </c>
      <c r="B226">
        <v>3568</v>
      </c>
      <c r="C226" t="b">
        <v>1</v>
      </c>
      <c r="D226">
        <v>8060</v>
      </c>
      <c r="E226">
        <v>8129</v>
      </c>
      <c r="F226">
        <v>21.333334000000001</v>
      </c>
      <c r="G226">
        <v>16.8</v>
      </c>
      <c r="H226">
        <v>1.2698413</v>
      </c>
      <c r="I226">
        <v>-0.26984137000000002</v>
      </c>
      <c r="J226">
        <v>0.44055945000000002</v>
      </c>
    </row>
    <row r="227" spans="1:10" x14ac:dyDescent="0.3">
      <c r="A227">
        <v>225</v>
      </c>
      <c r="B227">
        <v>3584</v>
      </c>
      <c r="C227" t="b">
        <v>1</v>
      </c>
      <c r="D227">
        <v>8060</v>
      </c>
      <c r="E227">
        <v>8129</v>
      </c>
      <c r="F227">
        <v>21.666665999999999</v>
      </c>
      <c r="G227">
        <v>16.8</v>
      </c>
      <c r="H227">
        <v>1.2896825000000001</v>
      </c>
      <c r="I227">
        <v>-0.28968256999999997</v>
      </c>
      <c r="J227">
        <v>0.43674173999999999</v>
      </c>
    </row>
    <row r="228" spans="1:10" x14ac:dyDescent="0.3">
      <c r="A228">
        <v>226</v>
      </c>
      <c r="B228">
        <v>3600</v>
      </c>
      <c r="C228" t="b">
        <v>1</v>
      </c>
      <c r="D228">
        <v>8060</v>
      </c>
      <c r="E228">
        <v>8129</v>
      </c>
      <c r="F228">
        <v>21.666665999999999</v>
      </c>
      <c r="G228">
        <v>16.466667000000001</v>
      </c>
      <c r="H228">
        <v>1.3157893000000001</v>
      </c>
      <c r="I228">
        <v>-0.3157894</v>
      </c>
      <c r="J228">
        <v>0.43181821999999997</v>
      </c>
    </row>
    <row r="229" spans="1:10" x14ac:dyDescent="0.3">
      <c r="A229">
        <v>227</v>
      </c>
      <c r="B229">
        <v>3616</v>
      </c>
      <c r="C229" t="b">
        <v>1</v>
      </c>
      <c r="D229">
        <v>8060</v>
      </c>
      <c r="E229">
        <v>8129</v>
      </c>
      <c r="F229">
        <v>21.666665999999999</v>
      </c>
      <c r="G229">
        <v>16.133333</v>
      </c>
      <c r="H229">
        <v>1.3429751000000001</v>
      </c>
      <c r="I229">
        <v>-0.34297517</v>
      </c>
      <c r="J229">
        <v>0.42680775999999998</v>
      </c>
    </row>
    <row r="230" spans="1:10" x14ac:dyDescent="0.3">
      <c r="A230">
        <v>228</v>
      </c>
      <c r="B230">
        <v>3631</v>
      </c>
      <c r="C230" t="b">
        <v>1</v>
      </c>
      <c r="D230">
        <v>8060</v>
      </c>
      <c r="E230">
        <v>8129</v>
      </c>
      <c r="F230">
        <v>21.666665999999999</v>
      </c>
      <c r="G230">
        <v>15.4</v>
      </c>
      <c r="H230">
        <v>1.4069263999999999</v>
      </c>
      <c r="I230">
        <v>-0.40692640000000002</v>
      </c>
      <c r="J230">
        <v>0.41546761999999998</v>
      </c>
    </row>
    <row r="231" spans="1:10" x14ac:dyDescent="0.3">
      <c r="A231">
        <v>229</v>
      </c>
      <c r="B231">
        <v>3647</v>
      </c>
      <c r="C231" t="b">
        <v>1</v>
      </c>
      <c r="D231">
        <v>8054</v>
      </c>
      <c r="E231">
        <v>8134</v>
      </c>
      <c r="F231">
        <v>21.666665999999999</v>
      </c>
      <c r="G231">
        <v>14.666667</v>
      </c>
      <c r="H231">
        <v>1.4772726</v>
      </c>
      <c r="I231">
        <v>-0.47727266000000002</v>
      </c>
      <c r="J231">
        <v>0.40366974</v>
      </c>
    </row>
    <row r="232" spans="1:10" x14ac:dyDescent="0.3">
      <c r="A232">
        <v>230</v>
      </c>
      <c r="B232">
        <v>3663</v>
      </c>
      <c r="C232" t="b">
        <v>1</v>
      </c>
      <c r="D232">
        <v>8060</v>
      </c>
      <c r="E232">
        <v>8134</v>
      </c>
      <c r="F232">
        <v>21.666665999999999</v>
      </c>
      <c r="G232">
        <v>14.333333</v>
      </c>
      <c r="H232">
        <v>1.5116278999999999</v>
      </c>
      <c r="I232">
        <v>-0.51162790000000002</v>
      </c>
      <c r="J232">
        <v>0.39814814999999998</v>
      </c>
    </row>
    <row r="233" spans="1:10" x14ac:dyDescent="0.3">
      <c r="A233">
        <v>231</v>
      </c>
      <c r="B233">
        <v>3679</v>
      </c>
      <c r="C233" t="b">
        <v>1</v>
      </c>
      <c r="D233">
        <v>8060</v>
      </c>
      <c r="E233">
        <v>8134</v>
      </c>
      <c r="F233">
        <v>21.666665999999999</v>
      </c>
      <c r="G233">
        <v>14.333333</v>
      </c>
      <c r="H233">
        <v>1.5116278999999999</v>
      </c>
      <c r="I233">
        <v>-0.51162790000000002</v>
      </c>
      <c r="J233">
        <v>0.39814814999999998</v>
      </c>
    </row>
    <row r="234" spans="1:10" x14ac:dyDescent="0.3">
      <c r="A234">
        <v>232</v>
      </c>
      <c r="B234">
        <v>3695</v>
      </c>
      <c r="C234" t="b">
        <v>1</v>
      </c>
      <c r="D234">
        <v>8060</v>
      </c>
      <c r="E234">
        <v>8134</v>
      </c>
      <c r="F234">
        <v>21.666665999999999</v>
      </c>
      <c r="G234">
        <v>14.666667</v>
      </c>
      <c r="H234">
        <v>1.4772726</v>
      </c>
      <c r="I234">
        <v>-0.47727266000000002</v>
      </c>
      <c r="J234">
        <v>0.40366974</v>
      </c>
    </row>
    <row r="235" spans="1:10" x14ac:dyDescent="0.3">
      <c r="A235">
        <v>233</v>
      </c>
      <c r="B235">
        <v>3710</v>
      </c>
      <c r="C235" t="b">
        <v>1</v>
      </c>
      <c r="D235">
        <v>8065</v>
      </c>
      <c r="E235">
        <v>8134</v>
      </c>
      <c r="F235">
        <v>21.666665999999999</v>
      </c>
      <c r="G235">
        <v>15</v>
      </c>
      <c r="H235">
        <v>1.4444444000000001</v>
      </c>
      <c r="I235">
        <v>-0.44444440000000002</v>
      </c>
      <c r="J235">
        <v>0.40909094000000001</v>
      </c>
    </row>
    <row r="236" spans="1:10" x14ac:dyDescent="0.3">
      <c r="A236">
        <v>234</v>
      </c>
      <c r="B236">
        <v>3726</v>
      </c>
      <c r="C236" t="b">
        <v>1</v>
      </c>
      <c r="D236">
        <v>8060</v>
      </c>
      <c r="E236">
        <v>8134</v>
      </c>
      <c r="F236">
        <v>21.666665999999999</v>
      </c>
      <c r="G236">
        <v>15.333333</v>
      </c>
      <c r="H236">
        <v>1.4130434999999999</v>
      </c>
      <c r="I236">
        <v>-0.41304347000000002</v>
      </c>
      <c r="J236">
        <v>0.41441440000000002</v>
      </c>
    </row>
    <row r="237" spans="1:10" x14ac:dyDescent="0.3">
      <c r="A237">
        <v>235</v>
      </c>
      <c r="B237">
        <v>3741</v>
      </c>
      <c r="C237" t="b">
        <v>1</v>
      </c>
      <c r="D237">
        <v>8065</v>
      </c>
      <c r="E237">
        <v>8123</v>
      </c>
      <c r="F237">
        <v>21.666665999999999</v>
      </c>
      <c r="G237">
        <v>15.666667</v>
      </c>
      <c r="H237">
        <v>1.3829787</v>
      </c>
      <c r="I237">
        <v>-0.38297864999999998</v>
      </c>
      <c r="J237">
        <v>0.41964287</v>
      </c>
    </row>
    <row r="238" spans="1:10" x14ac:dyDescent="0.3">
      <c r="A238">
        <v>236</v>
      </c>
      <c r="B238">
        <v>3757</v>
      </c>
      <c r="C238" t="b">
        <v>1</v>
      </c>
      <c r="D238">
        <v>8065</v>
      </c>
      <c r="E238">
        <v>8134</v>
      </c>
      <c r="F238">
        <v>21.666665999999999</v>
      </c>
      <c r="G238">
        <v>16</v>
      </c>
      <c r="H238">
        <v>1.3541666000000001</v>
      </c>
      <c r="I238">
        <v>-0.35416662999999998</v>
      </c>
      <c r="J238">
        <v>0.42477880000000001</v>
      </c>
    </row>
    <row r="239" spans="1:10" x14ac:dyDescent="0.3">
      <c r="A239">
        <v>237</v>
      </c>
      <c r="B239">
        <v>3773</v>
      </c>
      <c r="C239" t="b">
        <v>1</v>
      </c>
      <c r="D239">
        <v>8054</v>
      </c>
      <c r="E239">
        <v>8134</v>
      </c>
      <c r="F239">
        <v>21.666665999999999</v>
      </c>
      <c r="G239">
        <v>16.333334000000001</v>
      </c>
      <c r="H239">
        <v>1.3265305999999999</v>
      </c>
      <c r="I239">
        <v>-0.32653051999999999</v>
      </c>
      <c r="J239">
        <v>0.4298246</v>
      </c>
    </row>
    <row r="240" spans="1:10" x14ac:dyDescent="0.3">
      <c r="A240">
        <v>238</v>
      </c>
      <c r="B240">
        <v>3788</v>
      </c>
      <c r="C240" t="b">
        <v>1</v>
      </c>
      <c r="D240">
        <v>8054</v>
      </c>
      <c r="E240">
        <v>8140</v>
      </c>
      <c r="F240">
        <v>21.333334000000001</v>
      </c>
      <c r="G240">
        <v>16.666665999999999</v>
      </c>
      <c r="H240">
        <v>1.2800001000000001</v>
      </c>
      <c r="I240">
        <v>-0.28000009999999997</v>
      </c>
      <c r="J240">
        <v>0.4385965</v>
      </c>
    </row>
    <row r="241" spans="1:10" x14ac:dyDescent="0.3">
      <c r="A241">
        <v>239</v>
      </c>
      <c r="B241">
        <v>3804</v>
      </c>
      <c r="C241" t="b">
        <v>1</v>
      </c>
      <c r="D241">
        <v>8054</v>
      </c>
      <c r="E241">
        <v>8134</v>
      </c>
      <c r="F241">
        <v>20.6</v>
      </c>
      <c r="G241">
        <v>17</v>
      </c>
      <c r="H241">
        <v>1.2117647</v>
      </c>
      <c r="I241">
        <v>-0.21176471999999999</v>
      </c>
      <c r="J241">
        <v>0.45212766999999998</v>
      </c>
    </row>
    <row r="242" spans="1:10" x14ac:dyDescent="0.3">
      <c r="A242">
        <v>240</v>
      </c>
      <c r="B242">
        <v>3820</v>
      </c>
      <c r="C242" t="b">
        <v>1</v>
      </c>
      <c r="D242">
        <v>8054</v>
      </c>
      <c r="E242">
        <v>8134</v>
      </c>
      <c r="F242">
        <v>19.866667</v>
      </c>
      <c r="G242">
        <v>17.333334000000001</v>
      </c>
      <c r="H242">
        <v>1.1461538</v>
      </c>
      <c r="I242">
        <v>-0.14615381</v>
      </c>
      <c r="J242">
        <v>0.46594983000000001</v>
      </c>
    </row>
    <row r="243" spans="1:10" x14ac:dyDescent="0.3">
      <c r="A243">
        <v>241</v>
      </c>
      <c r="B243">
        <v>3836</v>
      </c>
      <c r="C243" t="b">
        <v>1</v>
      </c>
      <c r="D243">
        <v>8054</v>
      </c>
      <c r="E243">
        <v>8129</v>
      </c>
      <c r="F243">
        <v>19.466667000000001</v>
      </c>
      <c r="G243">
        <v>17.666665999999999</v>
      </c>
      <c r="H243">
        <v>1.1018869</v>
      </c>
      <c r="I243">
        <v>-0.10188686</v>
      </c>
      <c r="J243">
        <v>0.47576301999999998</v>
      </c>
    </row>
    <row r="244" spans="1:10" x14ac:dyDescent="0.3">
      <c r="A244">
        <v>242</v>
      </c>
      <c r="B244">
        <v>3852</v>
      </c>
      <c r="C244" t="b">
        <v>1</v>
      </c>
      <c r="D244">
        <v>8054</v>
      </c>
      <c r="E244">
        <v>8134</v>
      </c>
      <c r="F244">
        <v>19.066668</v>
      </c>
      <c r="G244">
        <v>18</v>
      </c>
      <c r="H244">
        <v>1.0592592999999999</v>
      </c>
      <c r="I244">
        <v>-5.9259310000000003E-2</v>
      </c>
      <c r="J244">
        <v>0.48561153000000001</v>
      </c>
    </row>
    <row r="245" spans="1:10" x14ac:dyDescent="0.3">
      <c r="A245">
        <v>243</v>
      </c>
      <c r="B245">
        <v>3868</v>
      </c>
      <c r="C245" t="b">
        <v>1</v>
      </c>
      <c r="D245">
        <v>8071</v>
      </c>
      <c r="E245">
        <v>8134</v>
      </c>
      <c r="F245">
        <v>18.666665999999999</v>
      </c>
      <c r="G245">
        <v>18.333334000000001</v>
      </c>
      <c r="H245">
        <v>1.0181818</v>
      </c>
      <c r="I245">
        <v>-1.8181749000000001E-2</v>
      </c>
      <c r="J245">
        <v>0.49549549999999998</v>
      </c>
    </row>
    <row r="246" spans="1:10" x14ac:dyDescent="0.3">
      <c r="A246">
        <v>244</v>
      </c>
      <c r="B246">
        <v>3883</v>
      </c>
      <c r="C246" t="b">
        <v>1</v>
      </c>
      <c r="D246">
        <v>8071</v>
      </c>
      <c r="E246">
        <v>8140</v>
      </c>
      <c r="F246">
        <v>18.266666000000001</v>
      </c>
      <c r="G246">
        <v>18.666665999999999</v>
      </c>
      <c r="H246">
        <v>0.97857150000000004</v>
      </c>
      <c r="I246">
        <v>2.1428552E-2</v>
      </c>
      <c r="J246">
        <v>0.50541513999999998</v>
      </c>
    </row>
    <row r="247" spans="1:10" x14ac:dyDescent="0.3">
      <c r="A247">
        <v>245</v>
      </c>
      <c r="B247">
        <v>3898</v>
      </c>
      <c r="C247" t="b">
        <v>1</v>
      </c>
      <c r="D247">
        <v>8060</v>
      </c>
      <c r="E247">
        <v>8134</v>
      </c>
      <c r="F247">
        <v>18.266666000000001</v>
      </c>
      <c r="G247">
        <v>19</v>
      </c>
      <c r="H247">
        <v>0.96140349999999997</v>
      </c>
      <c r="I247">
        <v>3.8596502999999997E-2</v>
      </c>
      <c r="J247">
        <v>0.50983900000000004</v>
      </c>
    </row>
    <row r="248" spans="1:10" x14ac:dyDescent="0.3">
      <c r="A248">
        <v>246</v>
      </c>
      <c r="B248">
        <v>3914</v>
      </c>
      <c r="C248" t="b">
        <v>1</v>
      </c>
      <c r="D248">
        <v>8060</v>
      </c>
      <c r="E248">
        <v>8134</v>
      </c>
      <c r="F248">
        <v>18.266666000000001</v>
      </c>
      <c r="G248">
        <v>19</v>
      </c>
      <c r="H248">
        <v>0.96140349999999997</v>
      </c>
      <c r="I248">
        <v>3.8596502999999997E-2</v>
      </c>
      <c r="J248">
        <v>0.50983900000000004</v>
      </c>
    </row>
    <row r="249" spans="1:10" x14ac:dyDescent="0.3">
      <c r="A249">
        <v>247</v>
      </c>
      <c r="B249">
        <v>3929</v>
      </c>
      <c r="C249" t="b">
        <v>1</v>
      </c>
      <c r="D249">
        <v>8060</v>
      </c>
      <c r="E249">
        <v>8140</v>
      </c>
      <c r="F249">
        <v>18.266666000000001</v>
      </c>
      <c r="G249">
        <v>19</v>
      </c>
      <c r="H249">
        <v>0.96140349999999997</v>
      </c>
      <c r="I249">
        <v>3.8596502999999997E-2</v>
      </c>
      <c r="J249">
        <v>0.50983900000000004</v>
      </c>
    </row>
    <row r="250" spans="1:10" x14ac:dyDescent="0.3">
      <c r="A250">
        <v>248</v>
      </c>
      <c r="B250">
        <v>3945</v>
      </c>
      <c r="C250" t="b">
        <v>1</v>
      </c>
      <c r="D250">
        <v>8065</v>
      </c>
      <c r="E250">
        <v>8134</v>
      </c>
      <c r="F250">
        <v>18.266666000000001</v>
      </c>
      <c r="G250">
        <v>19</v>
      </c>
      <c r="H250">
        <v>0.96140349999999997</v>
      </c>
      <c r="I250">
        <v>3.8596502999999997E-2</v>
      </c>
      <c r="J250">
        <v>0.50983900000000004</v>
      </c>
    </row>
    <row r="251" spans="1:10" x14ac:dyDescent="0.3">
      <c r="A251">
        <v>249</v>
      </c>
      <c r="B251">
        <v>3961</v>
      </c>
      <c r="C251" t="b">
        <v>1</v>
      </c>
      <c r="D251">
        <v>8060</v>
      </c>
      <c r="E251">
        <v>8134</v>
      </c>
      <c r="F251">
        <v>18.266666000000001</v>
      </c>
      <c r="G251">
        <v>19</v>
      </c>
      <c r="H251">
        <v>0.96140349999999997</v>
      </c>
      <c r="I251">
        <v>3.8596502999999997E-2</v>
      </c>
      <c r="J251">
        <v>0.50983900000000004</v>
      </c>
    </row>
    <row r="252" spans="1:10" x14ac:dyDescent="0.3">
      <c r="A252">
        <v>250</v>
      </c>
      <c r="B252">
        <v>3977</v>
      </c>
      <c r="C252" t="b">
        <v>1</v>
      </c>
      <c r="D252">
        <v>8054</v>
      </c>
      <c r="E252">
        <v>8134</v>
      </c>
      <c r="F252">
        <v>18.266666000000001</v>
      </c>
      <c r="G252">
        <v>19</v>
      </c>
      <c r="H252">
        <v>0.96140349999999997</v>
      </c>
      <c r="I252">
        <v>3.8596502999999997E-2</v>
      </c>
      <c r="J252">
        <v>0.50983900000000004</v>
      </c>
    </row>
    <row r="253" spans="1:10" x14ac:dyDescent="0.3">
      <c r="A253">
        <v>251</v>
      </c>
      <c r="B253">
        <v>3993</v>
      </c>
      <c r="C253" t="b">
        <v>1</v>
      </c>
      <c r="D253">
        <v>8054</v>
      </c>
      <c r="E253">
        <v>8140</v>
      </c>
      <c r="F253">
        <v>17.933332</v>
      </c>
      <c r="G253">
        <v>19</v>
      </c>
      <c r="H253">
        <v>0.94385960000000002</v>
      </c>
      <c r="I253">
        <v>5.6140397000000002E-2</v>
      </c>
      <c r="J253">
        <v>0.51444040000000002</v>
      </c>
    </row>
    <row r="254" spans="1:10" x14ac:dyDescent="0.3">
      <c r="A254">
        <v>252</v>
      </c>
      <c r="B254">
        <v>4008</v>
      </c>
      <c r="C254" t="b">
        <v>1</v>
      </c>
      <c r="D254">
        <v>8054</v>
      </c>
      <c r="E254">
        <v>8134</v>
      </c>
      <c r="F254">
        <v>17.2</v>
      </c>
      <c r="G254">
        <v>19</v>
      </c>
      <c r="H254">
        <v>0.90526320000000005</v>
      </c>
      <c r="I254">
        <v>9.4736799999999996E-2</v>
      </c>
      <c r="J254">
        <v>0.52486189999999999</v>
      </c>
    </row>
    <row r="255" spans="1:10" x14ac:dyDescent="0.3">
      <c r="A255">
        <v>253</v>
      </c>
      <c r="B255">
        <v>4024</v>
      </c>
      <c r="C255" t="b">
        <v>1</v>
      </c>
      <c r="D255">
        <v>8054</v>
      </c>
      <c r="E255">
        <v>8129</v>
      </c>
      <c r="F255">
        <v>16.8</v>
      </c>
      <c r="G255">
        <v>19</v>
      </c>
      <c r="H255">
        <v>0.88421046999999997</v>
      </c>
      <c r="I255">
        <v>0.11578951</v>
      </c>
      <c r="J255">
        <v>0.53072624999999995</v>
      </c>
    </row>
    <row r="256" spans="1:10" x14ac:dyDescent="0.3">
      <c r="A256">
        <v>254</v>
      </c>
      <c r="B256">
        <v>4039</v>
      </c>
      <c r="C256" t="b">
        <v>1</v>
      </c>
      <c r="D256">
        <v>8060</v>
      </c>
      <c r="E256">
        <v>8129</v>
      </c>
      <c r="F256">
        <v>16.8</v>
      </c>
      <c r="G256">
        <v>19</v>
      </c>
      <c r="H256">
        <v>0.88421046999999997</v>
      </c>
      <c r="I256">
        <v>0.11578951</v>
      </c>
      <c r="J256">
        <v>0.53072624999999995</v>
      </c>
    </row>
    <row r="257" spans="1:10" x14ac:dyDescent="0.3">
      <c r="A257">
        <v>255</v>
      </c>
      <c r="B257">
        <v>4054</v>
      </c>
      <c r="C257" t="b">
        <v>1</v>
      </c>
      <c r="D257">
        <v>8054</v>
      </c>
      <c r="E257">
        <v>8129</v>
      </c>
      <c r="F257">
        <v>16.8</v>
      </c>
      <c r="G257">
        <v>18.666665999999999</v>
      </c>
      <c r="H257">
        <v>0.9</v>
      </c>
      <c r="I257">
        <v>0.10000001</v>
      </c>
      <c r="J257">
        <v>0.52631574999999997</v>
      </c>
    </row>
    <row r="258" spans="1:10" x14ac:dyDescent="0.3">
      <c r="A258">
        <v>256</v>
      </c>
      <c r="B258">
        <v>4070</v>
      </c>
      <c r="C258" t="b">
        <v>1</v>
      </c>
      <c r="D258">
        <v>8060</v>
      </c>
      <c r="E258">
        <v>8129</v>
      </c>
      <c r="F258">
        <v>16.8</v>
      </c>
      <c r="G258">
        <v>18.333334000000001</v>
      </c>
      <c r="H258">
        <v>0.91636353999999998</v>
      </c>
      <c r="I258">
        <v>8.3636440000000006E-2</v>
      </c>
      <c r="J258">
        <v>0.52182170000000005</v>
      </c>
    </row>
    <row r="259" spans="1:10" x14ac:dyDescent="0.3">
      <c r="A259">
        <v>257</v>
      </c>
      <c r="B259">
        <v>4085</v>
      </c>
      <c r="C259" t="b">
        <v>1</v>
      </c>
      <c r="D259">
        <v>8060</v>
      </c>
      <c r="E259">
        <v>8129</v>
      </c>
      <c r="F259">
        <v>17.2</v>
      </c>
      <c r="G259">
        <v>18</v>
      </c>
      <c r="H259">
        <v>0.95555559999999995</v>
      </c>
      <c r="I259">
        <v>4.4444400000000002E-2</v>
      </c>
      <c r="J259">
        <v>0.51136360000000003</v>
      </c>
    </row>
    <row r="260" spans="1:10" x14ac:dyDescent="0.3">
      <c r="A260">
        <v>258</v>
      </c>
      <c r="B260">
        <v>4101</v>
      </c>
      <c r="C260" t="b">
        <v>1</v>
      </c>
      <c r="D260">
        <v>8065</v>
      </c>
      <c r="E260">
        <v>8129</v>
      </c>
      <c r="F260">
        <v>17.600000000000001</v>
      </c>
      <c r="G260">
        <v>17.666665999999999</v>
      </c>
      <c r="H260">
        <v>0.99622650000000001</v>
      </c>
      <c r="I260">
        <v>3.7735275000000002E-3</v>
      </c>
      <c r="J260">
        <v>0.50094514999999995</v>
      </c>
    </row>
    <row r="261" spans="1:10" x14ac:dyDescent="0.3">
      <c r="A261">
        <v>259</v>
      </c>
      <c r="B261">
        <v>4116</v>
      </c>
      <c r="C261" t="b">
        <v>1</v>
      </c>
      <c r="D261">
        <v>8060</v>
      </c>
      <c r="E261">
        <v>8129</v>
      </c>
      <c r="F261">
        <v>18</v>
      </c>
      <c r="G261">
        <v>17.333334000000001</v>
      </c>
      <c r="H261">
        <v>1.0384614000000001</v>
      </c>
      <c r="I261">
        <v>-3.8461500000000003E-2</v>
      </c>
      <c r="J261">
        <v>0.49056601999999999</v>
      </c>
    </row>
    <row r="262" spans="1:10" x14ac:dyDescent="0.3">
      <c r="A262">
        <v>260</v>
      </c>
      <c r="B262">
        <v>4132</v>
      </c>
      <c r="C262" t="b">
        <v>1</v>
      </c>
      <c r="D262">
        <v>8060</v>
      </c>
      <c r="E262">
        <v>8134</v>
      </c>
      <c r="F262">
        <v>18</v>
      </c>
      <c r="G262">
        <v>17</v>
      </c>
      <c r="H262">
        <v>1.0588236</v>
      </c>
      <c r="I262">
        <v>-5.8823529999999999E-2</v>
      </c>
      <c r="J262">
        <v>0.48571429999999999</v>
      </c>
    </row>
    <row r="263" spans="1:10" x14ac:dyDescent="0.3">
      <c r="A263">
        <v>261</v>
      </c>
      <c r="B263">
        <v>4148</v>
      </c>
      <c r="C263" t="b">
        <v>1</v>
      </c>
      <c r="D263">
        <v>8060</v>
      </c>
      <c r="E263">
        <v>8129</v>
      </c>
      <c r="F263">
        <v>18</v>
      </c>
      <c r="G263">
        <v>16.666665999999999</v>
      </c>
      <c r="H263">
        <v>1.08</v>
      </c>
      <c r="I263">
        <v>-8.0000039999999994E-2</v>
      </c>
      <c r="J263">
        <v>0.48076924999999998</v>
      </c>
    </row>
    <row r="264" spans="1:10" x14ac:dyDescent="0.3">
      <c r="A264">
        <v>262</v>
      </c>
      <c r="B264">
        <v>4163</v>
      </c>
      <c r="C264" t="b">
        <v>1</v>
      </c>
      <c r="D264">
        <v>8065</v>
      </c>
      <c r="E264">
        <v>8129</v>
      </c>
      <c r="F264">
        <v>18</v>
      </c>
      <c r="G264">
        <v>16.333334000000001</v>
      </c>
      <c r="H264">
        <v>1.1020407999999999</v>
      </c>
      <c r="I264">
        <v>-0.102040775</v>
      </c>
      <c r="J264">
        <v>0.47572811999999998</v>
      </c>
    </row>
    <row r="265" spans="1:10" x14ac:dyDescent="0.3">
      <c r="A265">
        <v>263</v>
      </c>
      <c r="B265">
        <v>4179</v>
      </c>
      <c r="C265" t="b">
        <v>1</v>
      </c>
      <c r="D265">
        <v>8071</v>
      </c>
      <c r="E265">
        <v>8129</v>
      </c>
      <c r="F265">
        <v>18</v>
      </c>
      <c r="G265">
        <v>16</v>
      </c>
      <c r="H265">
        <v>1.125</v>
      </c>
      <c r="I265">
        <v>-0.125</v>
      </c>
      <c r="J265">
        <v>0.47058823999999999</v>
      </c>
    </row>
    <row r="266" spans="1:10" x14ac:dyDescent="0.3">
      <c r="A266">
        <v>264</v>
      </c>
      <c r="B266">
        <v>4195</v>
      </c>
      <c r="C266" t="b">
        <v>1</v>
      </c>
      <c r="D266">
        <v>8065</v>
      </c>
      <c r="E266">
        <v>8129</v>
      </c>
      <c r="F266">
        <v>18.333334000000001</v>
      </c>
      <c r="G266">
        <v>15.666667</v>
      </c>
      <c r="H266">
        <v>1.1702127</v>
      </c>
      <c r="I266">
        <v>-0.17021278000000001</v>
      </c>
      <c r="J266">
        <v>0.46078432000000002</v>
      </c>
    </row>
    <row r="267" spans="1:10" x14ac:dyDescent="0.3">
      <c r="A267">
        <v>265</v>
      </c>
      <c r="B267">
        <v>4211</v>
      </c>
      <c r="C267" t="b">
        <v>1</v>
      </c>
      <c r="D267">
        <v>8065</v>
      </c>
      <c r="E267">
        <v>8134</v>
      </c>
      <c r="F267">
        <v>18.666665999999999</v>
      </c>
      <c r="G267">
        <v>15.333333</v>
      </c>
      <c r="H267">
        <v>1.2173913000000001</v>
      </c>
      <c r="I267">
        <v>-0.21739127999999999</v>
      </c>
      <c r="J267">
        <v>0.4509804</v>
      </c>
    </row>
    <row r="268" spans="1:10" x14ac:dyDescent="0.3">
      <c r="A268">
        <v>266</v>
      </c>
      <c r="B268">
        <v>4227</v>
      </c>
      <c r="C268" t="b">
        <v>1</v>
      </c>
      <c r="D268">
        <v>8060</v>
      </c>
      <c r="E268">
        <v>8140</v>
      </c>
      <c r="F268">
        <v>19</v>
      </c>
      <c r="G268">
        <v>15</v>
      </c>
      <c r="H268">
        <v>1.2666667</v>
      </c>
      <c r="I268">
        <v>-0.26666667999999999</v>
      </c>
      <c r="J268">
        <v>0.44117646999999999</v>
      </c>
    </row>
    <row r="269" spans="1:10" x14ac:dyDescent="0.3">
      <c r="A269">
        <v>267</v>
      </c>
      <c r="B269">
        <v>4243</v>
      </c>
      <c r="C269" t="b">
        <v>1</v>
      </c>
      <c r="D269">
        <v>8060</v>
      </c>
      <c r="E269">
        <v>8134</v>
      </c>
      <c r="F269">
        <v>19.733333999999999</v>
      </c>
      <c r="G269">
        <v>15</v>
      </c>
      <c r="H269">
        <v>1.3155555999999999</v>
      </c>
      <c r="I269">
        <v>-0.31555557000000001</v>
      </c>
      <c r="J269">
        <v>0.43186180000000002</v>
      </c>
    </row>
    <row r="270" spans="1:10" x14ac:dyDescent="0.3">
      <c r="A270">
        <v>268</v>
      </c>
      <c r="B270">
        <v>4259</v>
      </c>
      <c r="C270" t="b">
        <v>1</v>
      </c>
      <c r="D270">
        <v>8060</v>
      </c>
      <c r="E270">
        <v>8134</v>
      </c>
      <c r="F270">
        <v>20.133333</v>
      </c>
      <c r="G270">
        <v>15</v>
      </c>
      <c r="H270">
        <v>1.3422221999999999</v>
      </c>
      <c r="I270">
        <v>-0.34222219999999998</v>
      </c>
      <c r="J270">
        <v>0.42694500000000002</v>
      </c>
    </row>
    <row r="271" spans="1:10" x14ac:dyDescent="0.3">
      <c r="A271">
        <v>269</v>
      </c>
      <c r="B271">
        <v>4275</v>
      </c>
      <c r="C271" t="b">
        <v>1</v>
      </c>
      <c r="D271">
        <v>8060</v>
      </c>
      <c r="E271">
        <v>8134</v>
      </c>
      <c r="F271">
        <v>20.533332999999999</v>
      </c>
      <c r="G271">
        <v>15</v>
      </c>
      <c r="H271">
        <v>1.3688889</v>
      </c>
      <c r="I271">
        <v>-0.36888884999999999</v>
      </c>
      <c r="J271">
        <v>0.42213884000000002</v>
      </c>
    </row>
    <row r="272" spans="1:10" x14ac:dyDescent="0.3">
      <c r="A272">
        <v>270</v>
      </c>
      <c r="B272">
        <v>4291</v>
      </c>
      <c r="C272" t="b">
        <v>1</v>
      </c>
      <c r="D272">
        <v>8060</v>
      </c>
      <c r="E272">
        <v>8134</v>
      </c>
      <c r="F272">
        <v>20.933332</v>
      </c>
      <c r="G272">
        <v>15.333333</v>
      </c>
      <c r="H272">
        <v>1.3652173000000001</v>
      </c>
      <c r="I272">
        <v>-0.36521735999999999</v>
      </c>
      <c r="J272">
        <v>0.42279410000000001</v>
      </c>
    </row>
    <row r="273" spans="1:10" x14ac:dyDescent="0.3">
      <c r="A273">
        <v>271</v>
      </c>
      <c r="B273">
        <v>4307</v>
      </c>
      <c r="C273" t="b">
        <v>1</v>
      </c>
      <c r="D273">
        <v>8060</v>
      </c>
      <c r="E273">
        <v>8134</v>
      </c>
      <c r="F273">
        <v>21.333334000000001</v>
      </c>
      <c r="G273">
        <v>15.666667</v>
      </c>
      <c r="H273">
        <v>1.3617021</v>
      </c>
      <c r="I273">
        <v>-0.36170214000000001</v>
      </c>
      <c r="J273">
        <v>0.42342343999999998</v>
      </c>
    </row>
    <row r="274" spans="1:10" x14ac:dyDescent="0.3">
      <c r="A274">
        <v>272</v>
      </c>
      <c r="B274">
        <v>4323</v>
      </c>
      <c r="C274" t="b">
        <v>1</v>
      </c>
      <c r="D274">
        <v>8065</v>
      </c>
      <c r="E274">
        <v>8140</v>
      </c>
      <c r="F274">
        <v>21.333334000000001</v>
      </c>
      <c r="G274">
        <v>16</v>
      </c>
      <c r="H274">
        <v>1.3333333999999999</v>
      </c>
      <c r="I274">
        <v>-0.33333337000000002</v>
      </c>
      <c r="J274">
        <v>0.42857139999999999</v>
      </c>
    </row>
    <row r="275" spans="1:10" x14ac:dyDescent="0.3">
      <c r="A275">
        <v>273</v>
      </c>
      <c r="B275">
        <v>4339</v>
      </c>
      <c r="C275" t="b">
        <v>1</v>
      </c>
      <c r="D275">
        <v>8054</v>
      </c>
      <c r="E275">
        <v>8134</v>
      </c>
      <c r="F275">
        <v>21.333334000000001</v>
      </c>
      <c r="G275">
        <v>16.333334000000001</v>
      </c>
      <c r="H275">
        <v>1.3061224</v>
      </c>
      <c r="I275">
        <v>-0.30612242000000001</v>
      </c>
      <c r="J275">
        <v>0.43362832000000001</v>
      </c>
    </row>
    <row r="276" spans="1:10" x14ac:dyDescent="0.3">
      <c r="A276">
        <v>274</v>
      </c>
      <c r="B276">
        <v>4355</v>
      </c>
      <c r="C276" t="b">
        <v>1</v>
      </c>
      <c r="D276">
        <v>8065</v>
      </c>
      <c r="E276">
        <v>8134</v>
      </c>
      <c r="F276">
        <v>21.333334000000001</v>
      </c>
      <c r="G276">
        <v>16.666665999999999</v>
      </c>
      <c r="H276">
        <v>1.2800001000000001</v>
      </c>
      <c r="I276">
        <v>-0.28000009999999997</v>
      </c>
      <c r="J276">
        <v>0.4385965</v>
      </c>
    </row>
    <row r="277" spans="1:10" x14ac:dyDescent="0.3">
      <c r="A277">
        <v>275</v>
      </c>
      <c r="B277">
        <v>4371</v>
      </c>
      <c r="C277" t="b">
        <v>1</v>
      </c>
      <c r="D277">
        <v>8077</v>
      </c>
      <c r="E277">
        <v>8134</v>
      </c>
      <c r="F277">
        <v>21.666665999999999</v>
      </c>
      <c r="G277">
        <v>17</v>
      </c>
      <c r="H277">
        <v>1.2745097999999999</v>
      </c>
      <c r="I277">
        <v>-0.27450975999999999</v>
      </c>
      <c r="J277">
        <v>0.43965520000000002</v>
      </c>
    </row>
    <row r="278" spans="1:10" x14ac:dyDescent="0.3">
      <c r="A278">
        <v>276</v>
      </c>
      <c r="B278">
        <v>4386</v>
      </c>
      <c r="C278" t="b">
        <v>1</v>
      </c>
      <c r="D278">
        <v>8071</v>
      </c>
      <c r="E278">
        <v>8134</v>
      </c>
      <c r="F278">
        <v>22</v>
      </c>
      <c r="G278">
        <v>17.333334000000001</v>
      </c>
      <c r="H278">
        <v>1.2692307</v>
      </c>
      <c r="I278">
        <v>-0.26923071999999998</v>
      </c>
      <c r="J278">
        <v>0.44067793999999999</v>
      </c>
    </row>
    <row r="279" spans="1:10" x14ac:dyDescent="0.3">
      <c r="A279">
        <v>277</v>
      </c>
      <c r="B279">
        <v>4403</v>
      </c>
      <c r="C279" t="b">
        <v>1</v>
      </c>
      <c r="D279">
        <v>8071</v>
      </c>
      <c r="E279">
        <v>8134</v>
      </c>
      <c r="F279">
        <v>22.733333999999999</v>
      </c>
      <c r="G279">
        <v>17.666665999999999</v>
      </c>
      <c r="H279">
        <v>1.2867925</v>
      </c>
      <c r="I279">
        <v>-0.28679252</v>
      </c>
      <c r="J279">
        <v>0.43729370000000001</v>
      </c>
    </row>
    <row r="280" spans="1:10" x14ac:dyDescent="0.3">
      <c r="A280">
        <v>278</v>
      </c>
      <c r="B280">
        <v>4418</v>
      </c>
      <c r="C280" t="b">
        <v>1</v>
      </c>
      <c r="D280">
        <v>8065</v>
      </c>
      <c r="E280">
        <v>8129</v>
      </c>
      <c r="F280">
        <v>23.466667000000001</v>
      </c>
      <c r="G280">
        <v>18</v>
      </c>
      <c r="H280">
        <v>1.3037038000000001</v>
      </c>
      <c r="I280">
        <v>-0.30370373000000001</v>
      </c>
      <c r="J280">
        <v>0.43408360000000001</v>
      </c>
    </row>
    <row r="281" spans="1:10" x14ac:dyDescent="0.3">
      <c r="A281">
        <v>279</v>
      </c>
      <c r="B281">
        <v>4434</v>
      </c>
      <c r="C281" t="b">
        <v>1</v>
      </c>
      <c r="D281">
        <v>8065</v>
      </c>
      <c r="E281">
        <v>8129</v>
      </c>
      <c r="F281">
        <v>23.866667</v>
      </c>
      <c r="G281">
        <v>18.333334000000001</v>
      </c>
      <c r="H281">
        <v>1.3018181</v>
      </c>
      <c r="I281">
        <v>-0.30181813000000002</v>
      </c>
      <c r="J281">
        <v>0.43443917999999998</v>
      </c>
    </row>
    <row r="282" spans="1:10" x14ac:dyDescent="0.3">
      <c r="A282">
        <v>280</v>
      </c>
      <c r="B282">
        <v>4450</v>
      </c>
      <c r="C282" t="b">
        <v>1</v>
      </c>
      <c r="D282">
        <v>8065</v>
      </c>
      <c r="E282">
        <v>8129</v>
      </c>
      <c r="F282">
        <v>23.866667</v>
      </c>
      <c r="G282">
        <v>18.333334000000001</v>
      </c>
      <c r="H282">
        <v>1.3018181</v>
      </c>
      <c r="I282">
        <v>-0.30181813000000002</v>
      </c>
      <c r="J282">
        <v>0.43443917999999998</v>
      </c>
    </row>
    <row r="283" spans="1:10" x14ac:dyDescent="0.3">
      <c r="A283">
        <v>281</v>
      </c>
      <c r="B283">
        <v>4466</v>
      </c>
      <c r="C283" t="b">
        <v>1</v>
      </c>
      <c r="D283">
        <v>8065</v>
      </c>
      <c r="E283">
        <v>8129</v>
      </c>
      <c r="F283">
        <v>23.866667</v>
      </c>
      <c r="G283">
        <v>18.333334000000001</v>
      </c>
      <c r="H283">
        <v>1.3018181</v>
      </c>
      <c r="I283">
        <v>-0.30181813000000002</v>
      </c>
      <c r="J283">
        <v>0.43443917999999998</v>
      </c>
    </row>
    <row r="284" spans="1:10" x14ac:dyDescent="0.3">
      <c r="A284">
        <v>282</v>
      </c>
      <c r="B284">
        <v>4482</v>
      </c>
      <c r="C284" t="b">
        <v>1</v>
      </c>
      <c r="D284">
        <v>8060</v>
      </c>
      <c r="E284">
        <v>8129</v>
      </c>
      <c r="F284">
        <v>23.866667</v>
      </c>
      <c r="G284">
        <v>18</v>
      </c>
      <c r="H284">
        <v>1.3259259999999999</v>
      </c>
      <c r="I284">
        <v>-0.32592595000000002</v>
      </c>
      <c r="J284">
        <v>0.42993629999999999</v>
      </c>
    </row>
    <row r="285" spans="1:10" x14ac:dyDescent="0.3">
      <c r="A285">
        <v>283</v>
      </c>
      <c r="B285">
        <v>4498</v>
      </c>
      <c r="C285" t="b">
        <v>1</v>
      </c>
      <c r="D285">
        <v>8060</v>
      </c>
      <c r="E285">
        <v>8129</v>
      </c>
      <c r="F285">
        <v>24.2</v>
      </c>
      <c r="G285">
        <v>17.666665999999999</v>
      </c>
      <c r="H285">
        <v>1.3698113999999999</v>
      </c>
      <c r="I285">
        <v>-0.36981142</v>
      </c>
      <c r="J285">
        <v>0.42197447999999999</v>
      </c>
    </row>
    <row r="286" spans="1:10" x14ac:dyDescent="0.3">
      <c r="A286">
        <v>284</v>
      </c>
      <c r="B286">
        <v>4514</v>
      </c>
      <c r="C286" t="b">
        <v>1</v>
      </c>
      <c r="D286">
        <v>8054</v>
      </c>
      <c r="E286">
        <v>8129</v>
      </c>
      <c r="F286">
        <v>24.2</v>
      </c>
      <c r="G286">
        <v>17.333334000000001</v>
      </c>
      <c r="H286">
        <v>1.3961538</v>
      </c>
      <c r="I286">
        <v>-0.39615383999999998</v>
      </c>
      <c r="J286">
        <v>0.41733547999999998</v>
      </c>
    </row>
    <row r="287" spans="1:10" x14ac:dyDescent="0.3">
      <c r="A287">
        <v>285</v>
      </c>
      <c r="B287">
        <v>4530</v>
      </c>
      <c r="C287" t="b">
        <v>1</v>
      </c>
      <c r="D287">
        <v>8054</v>
      </c>
      <c r="E287">
        <v>8129</v>
      </c>
      <c r="F287">
        <v>24.2</v>
      </c>
      <c r="G287">
        <v>17</v>
      </c>
      <c r="H287">
        <v>1.4235294999999999</v>
      </c>
      <c r="I287">
        <v>-0.42352944999999997</v>
      </c>
      <c r="J287">
        <v>0.41262135</v>
      </c>
    </row>
    <row r="288" spans="1:10" x14ac:dyDescent="0.3">
      <c r="A288">
        <v>286</v>
      </c>
      <c r="B288">
        <v>4546</v>
      </c>
      <c r="C288" t="b">
        <v>1</v>
      </c>
      <c r="D288">
        <v>8060</v>
      </c>
      <c r="E288">
        <v>8129</v>
      </c>
      <c r="F288">
        <v>24.2</v>
      </c>
      <c r="G288">
        <v>16.666665999999999</v>
      </c>
      <c r="H288">
        <v>1.4520001</v>
      </c>
      <c r="I288">
        <v>-0.45200010000000002</v>
      </c>
      <c r="J288">
        <v>0.40783029999999998</v>
      </c>
    </row>
    <row r="289" spans="1:10" x14ac:dyDescent="0.3">
      <c r="A289">
        <v>287</v>
      </c>
      <c r="B289">
        <v>4562</v>
      </c>
      <c r="C289" t="b">
        <v>1</v>
      </c>
      <c r="D289">
        <v>8054</v>
      </c>
      <c r="E289">
        <v>8129</v>
      </c>
      <c r="F289">
        <v>23.8</v>
      </c>
      <c r="G289">
        <v>16.333334000000001</v>
      </c>
      <c r="H289">
        <v>1.4571426999999999</v>
      </c>
      <c r="I289">
        <v>-0.45714273999999999</v>
      </c>
      <c r="J289">
        <v>0.40697680000000003</v>
      </c>
    </row>
    <row r="290" spans="1:10" x14ac:dyDescent="0.3">
      <c r="A290">
        <v>288</v>
      </c>
      <c r="B290">
        <v>4578</v>
      </c>
      <c r="C290" t="b">
        <v>1</v>
      </c>
      <c r="D290">
        <v>8065</v>
      </c>
      <c r="E290">
        <v>8129</v>
      </c>
      <c r="F290">
        <v>23.4</v>
      </c>
      <c r="G290">
        <v>16</v>
      </c>
      <c r="H290">
        <v>1.4624999999999999</v>
      </c>
      <c r="I290">
        <v>-0.46249997999999998</v>
      </c>
      <c r="J290">
        <v>0.40609136000000001</v>
      </c>
    </row>
    <row r="291" spans="1:10" x14ac:dyDescent="0.3">
      <c r="A291">
        <v>289</v>
      </c>
      <c r="B291">
        <v>4594</v>
      </c>
      <c r="C291" t="b">
        <v>1</v>
      </c>
      <c r="D291">
        <v>8065</v>
      </c>
      <c r="E291">
        <v>8129</v>
      </c>
      <c r="F291">
        <v>23.4</v>
      </c>
      <c r="G291">
        <v>15.666667</v>
      </c>
      <c r="H291">
        <v>1.4936168999999999</v>
      </c>
      <c r="I291">
        <v>-0.49361696999999999</v>
      </c>
      <c r="J291">
        <v>0.40102389999999999</v>
      </c>
    </row>
    <row r="292" spans="1:10" x14ac:dyDescent="0.3">
      <c r="A292">
        <v>290</v>
      </c>
      <c r="B292">
        <v>4609</v>
      </c>
      <c r="C292" t="b">
        <v>1</v>
      </c>
      <c r="D292">
        <v>8065</v>
      </c>
      <c r="E292">
        <v>8129</v>
      </c>
      <c r="F292">
        <v>23.4</v>
      </c>
      <c r="G292">
        <v>15.333333</v>
      </c>
      <c r="H292">
        <v>1.5260868999999999</v>
      </c>
      <c r="I292">
        <v>-0.52608699999999997</v>
      </c>
      <c r="J292">
        <v>0.39586916999999999</v>
      </c>
    </row>
    <row r="293" spans="1:10" x14ac:dyDescent="0.3">
      <c r="A293">
        <v>291</v>
      </c>
      <c r="B293">
        <v>4625</v>
      </c>
      <c r="C293" t="b">
        <v>1</v>
      </c>
      <c r="D293">
        <v>8065</v>
      </c>
      <c r="E293">
        <v>8134</v>
      </c>
      <c r="F293">
        <v>23.4</v>
      </c>
      <c r="G293">
        <v>15</v>
      </c>
      <c r="H293">
        <v>1.56</v>
      </c>
      <c r="I293">
        <v>-0.56000000000000005</v>
      </c>
      <c r="J293">
        <v>0.39062497000000002</v>
      </c>
    </row>
    <row r="294" spans="1:10" x14ac:dyDescent="0.3">
      <c r="A294">
        <v>292</v>
      </c>
      <c r="B294">
        <v>4641</v>
      </c>
      <c r="C294" t="b">
        <v>1</v>
      </c>
      <c r="D294">
        <v>8060</v>
      </c>
      <c r="E294">
        <v>8129</v>
      </c>
      <c r="F294">
        <v>23</v>
      </c>
      <c r="G294">
        <v>14.666667</v>
      </c>
      <c r="H294">
        <v>1.5681818000000001</v>
      </c>
      <c r="I294">
        <v>-0.56818179999999996</v>
      </c>
      <c r="J294">
        <v>0.38938050000000002</v>
      </c>
    </row>
    <row r="295" spans="1:10" x14ac:dyDescent="0.3">
      <c r="A295">
        <v>293</v>
      </c>
      <c r="B295">
        <v>4657</v>
      </c>
      <c r="C295" t="b">
        <v>1</v>
      </c>
      <c r="D295">
        <v>8060</v>
      </c>
      <c r="E295">
        <v>8129</v>
      </c>
      <c r="F295">
        <v>22.6</v>
      </c>
      <c r="G295">
        <v>14.333333</v>
      </c>
      <c r="H295">
        <v>1.5767442</v>
      </c>
      <c r="I295">
        <v>-0.57674426000000001</v>
      </c>
      <c r="J295">
        <v>0.38808661999999999</v>
      </c>
    </row>
    <row r="296" spans="1:10" x14ac:dyDescent="0.3">
      <c r="A296">
        <v>294</v>
      </c>
      <c r="B296">
        <v>4673</v>
      </c>
      <c r="C296" t="b">
        <v>1</v>
      </c>
      <c r="D296">
        <v>8060</v>
      </c>
      <c r="E296">
        <v>8123</v>
      </c>
      <c r="F296">
        <v>21.866667</v>
      </c>
      <c r="G296">
        <v>14</v>
      </c>
      <c r="H296">
        <v>1.5619048</v>
      </c>
      <c r="I296">
        <v>-0.56190479999999998</v>
      </c>
      <c r="J296">
        <v>0.39033455</v>
      </c>
    </row>
    <row r="297" spans="1:10" x14ac:dyDescent="0.3">
      <c r="A297">
        <v>295</v>
      </c>
      <c r="B297">
        <v>4689</v>
      </c>
      <c r="C297" t="b">
        <v>1</v>
      </c>
      <c r="D297">
        <v>8054</v>
      </c>
      <c r="E297">
        <v>8129</v>
      </c>
      <c r="F297">
        <v>21.533332999999999</v>
      </c>
      <c r="G297">
        <v>14</v>
      </c>
      <c r="H297">
        <v>1.5380952000000001</v>
      </c>
      <c r="I297">
        <v>-0.5380952</v>
      </c>
      <c r="J297">
        <v>0.39399624</v>
      </c>
    </row>
    <row r="298" spans="1:10" x14ac:dyDescent="0.3">
      <c r="A298">
        <v>296</v>
      </c>
      <c r="B298">
        <v>4705</v>
      </c>
      <c r="C298" t="b">
        <v>1</v>
      </c>
      <c r="D298">
        <v>8060</v>
      </c>
      <c r="E298">
        <v>8129</v>
      </c>
      <c r="F298">
        <v>21.2</v>
      </c>
      <c r="G298">
        <v>14</v>
      </c>
      <c r="H298">
        <v>1.5142857999999999</v>
      </c>
      <c r="I298">
        <v>-0.51428574000000005</v>
      </c>
      <c r="J298">
        <v>0.39772724999999998</v>
      </c>
    </row>
    <row r="299" spans="1:10" x14ac:dyDescent="0.3">
      <c r="A299">
        <v>297</v>
      </c>
      <c r="B299">
        <v>4721</v>
      </c>
      <c r="C299" t="b">
        <v>1</v>
      </c>
      <c r="D299">
        <v>8060</v>
      </c>
      <c r="E299">
        <v>8134</v>
      </c>
      <c r="F299">
        <v>20.866667</v>
      </c>
      <c r="G299">
        <v>14</v>
      </c>
      <c r="H299">
        <v>1.4904763000000001</v>
      </c>
      <c r="I299">
        <v>-0.49047619999999997</v>
      </c>
      <c r="J299">
        <v>0.40152959999999999</v>
      </c>
    </row>
    <row r="300" spans="1:10" x14ac:dyDescent="0.3">
      <c r="A300">
        <v>298</v>
      </c>
      <c r="B300">
        <v>4736</v>
      </c>
      <c r="C300" t="b">
        <v>1</v>
      </c>
      <c r="D300">
        <v>8065</v>
      </c>
      <c r="E300">
        <v>8134</v>
      </c>
      <c r="F300">
        <v>20.533332999999999</v>
      </c>
      <c r="G300">
        <v>14</v>
      </c>
      <c r="H300">
        <v>1.4666665999999999</v>
      </c>
      <c r="I300">
        <v>-0.46666664000000002</v>
      </c>
      <c r="J300">
        <v>0.40540540000000003</v>
      </c>
    </row>
    <row r="301" spans="1:10" x14ac:dyDescent="0.3">
      <c r="A301">
        <v>299</v>
      </c>
      <c r="B301">
        <v>4752</v>
      </c>
      <c r="C301" t="b">
        <v>1</v>
      </c>
      <c r="D301">
        <v>8060</v>
      </c>
      <c r="E301">
        <v>8134</v>
      </c>
      <c r="F301">
        <v>20.533332999999999</v>
      </c>
      <c r="G301">
        <v>14.333333</v>
      </c>
      <c r="H301">
        <v>1.4325581999999999</v>
      </c>
      <c r="I301">
        <v>-0.43255814999999997</v>
      </c>
      <c r="J301">
        <v>0.41108987000000002</v>
      </c>
    </row>
    <row r="302" spans="1:10" x14ac:dyDescent="0.3">
      <c r="A302">
        <v>300</v>
      </c>
      <c r="B302">
        <v>4768</v>
      </c>
      <c r="C302" t="b">
        <v>1</v>
      </c>
      <c r="D302">
        <v>8054</v>
      </c>
      <c r="E302">
        <v>8140</v>
      </c>
      <c r="F302">
        <v>20.533332999999999</v>
      </c>
      <c r="G302">
        <v>14.666667</v>
      </c>
      <c r="H302">
        <v>1.4</v>
      </c>
      <c r="I302">
        <v>-0.39999994999999999</v>
      </c>
      <c r="J302">
        <v>0.41666666000000002</v>
      </c>
    </row>
    <row r="303" spans="1:10" x14ac:dyDescent="0.3">
      <c r="A303">
        <v>301</v>
      </c>
      <c r="B303">
        <v>4784</v>
      </c>
      <c r="C303" t="b">
        <v>1</v>
      </c>
      <c r="D303">
        <v>8065</v>
      </c>
      <c r="E303">
        <v>8134</v>
      </c>
      <c r="F303">
        <v>20.533332999999999</v>
      </c>
      <c r="G303">
        <v>15</v>
      </c>
      <c r="H303">
        <v>1.3688889</v>
      </c>
      <c r="I303">
        <v>-0.36888884999999999</v>
      </c>
      <c r="J303">
        <v>0.42213884000000002</v>
      </c>
    </row>
    <row r="304" spans="1:10" x14ac:dyDescent="0.3">
      <c r="A304">
        <v>302</v>
      </c>
      <c r="B304">
        <v>4800</v>
      </c>
      <c r="C304" t="b">
        <v>1</v>
      </c>
      <c r="D304">
        <v>8060</v>
      </c>
      <c r="E304">
        <v>8134</v>
      </c>
      <c r="F304">
        <v>20.933332</v>
      </c>
      <c r="G304">
        <v>15.333333</v>
      </c>
      <c r="H304">
        <v>1.3652173000000001</v>
      </c>
      <c r="I304">
        <v>-0.36521735999999999</v>
      </c>
      <c r="J304">
        <v>0.42279410000000001</v>
      </c>
    </row>
    <row r="305" spans="1:10" x14ac:dyDescent="0.3">
      <c r="A305">
        <v>303</v>
      </c>
      <c r="B305">
        <v>4816</v>
      </c>
      <c r="C305" t="b">
        <v>1</v>
      </c>
      <c r="D305">
        <v>8065</v>
      </c>
      <c r="E305">
        <v>8129</v>
      </c>
      <c r="F305">
        <v>21.333334000000001</v>
      </c>
      <c r="G305">
        <v>15.666667</v>
      </c>
      <c r="H305">
        <v>1.3617021</v>
      </c>
      <c r="I305">
        <v>-0.36170214000000001</v>
      </c>
      <c r="J305">
        <v>0.42342343999999998</v>
      </c>
    </row>
    <row r="306" spans="1:10" x14ac:dyDescent="0.3">
      <c r="A306">
        <v>304</v>
      </c>
      <c r="B306">
        <v>4832</v>
      </c>
      <c r="C306" t="b">
        <v>1</v>
      </c>
      <c r="D306">
        <v>8060</v>
      </c>
      <c r="E306">
        <v>8129</v>
      </c>
      <c r="F306">
        <v>21.333334000000001</v>
      </c>
      <c r="G306">
        <v>16</v>
      </c>
      <c r="H306">
        <v>1.3333333999999999</v>
      </c>
      <c r="I306">
        <v>-0.33333337000000002</v>
      </c>
      <c r="J306">
        <v>0.42857139999999999</v>
      </c>
    </row>
    <row r="307" spans="1:10" x14ac:dyDescent="0.3">
      <c r="A307">
        <v>305</v>
      </c>
      <c r="B307">
        <v>4848</v>
      </c>
      <c r="C307" t="b">
        <v>1</v>
      </c>
      <c r="D307">
        <v>8060</v>
      </c>
      <c r="E307">
        <v>8129</v>
      </c>
      <c r="F307">
        <v>21</v>
      </c>
      <c r="G307">
        <v>16</v>
      </c>
      <c r="H307">
        <v>1.3125</v>
      </c>
      <c r="I307">
        <v>-0.3125</v>
      </c>
      <c r="J307">
        <v>0.43243243999999997</v>
      </c>
    </row>
    <row r="308" spans="1:10" x14ac:dyDescent="0.3">
      <c r="A308">
        <v>306</v>
      </c>
      <c r="B308">
        <v>4864</v>
      </c>
      <c r="C308" t="b">
        <v>1</v>
      </c>
      <c r="D308">
        <v>8060</v>
      </c>
      <c r="E308">
        <v>8129</v>
      </c>
      <c r="F308">
        <v>20.666665999999999</v>
      </c>
      <c r="G308">
        <v>16</v>
      </c>
      <c r="H308">
        <v>1.2916666000000001</v>
      </c>
      <c r="I308">
        <v>-0.29166662999999998</v>
      </c>
      <c r="J308">
        <v>0.43636366999999998</v>
      </c>
    </row>
    <row r="309" spans="1:10" x14ac:dyDescent="0.3">
      <c r="A309">
        <v>307</v>
      </c>
      <c r="B309">
        <v>4880</v>
      </c>
      <c r="C309" t="b">
        <v>1</v>
      </c>
      <c r="D309">
        <v>8060</v>
      </c>
      <c r="E309">
        <v>8129</v>
      </c>
      <c r="F309">
        <v>20.333334000000001</v>
      </c>
      <c r="G309">
        <v>16</v>
      </c>
      <c r="H309">
        <v>1.2708333999999999</v>
      </c>
      <c r="I309">
        <v>-0.27083337000000002</v>
      </c>
      <c r="J309">
        <v>0.44036694999999998</v>
      </c>
    </row>
    <row r="310" spans="1:10" x14ac:dyDescent="0.3">
      <c r="A310">
        <v>308</v>
      </c>
      <c r="B310">
        <v>4896</v>
      </c>
      <c r="C310" t="b">
        <v>1</v>
      </c>
      <c r="D310">
        <v>8060</v>
      </c>
      <c r="E310">
        <v>8129</v>
      </c>
      <c r="F310">
        <v>20</v>
      </c>
      <c r="G310">
        <v>16</v>
      </c>
      <c r="H310">
        <v>1.25</v>
      </c>
      <c r="I310">
        <v>-0.25</v>
      </c>
      <c r="J310">
        <v>0.44444444999999999</v>
      </c>
    </row>
    <row r="311" spans="1:10" x14ac:dyDescent="0.3">
      <c r="A311">
        <v>309</v>
      </c>
      <c r="B311">
        <v>4912</v>
      </c>
      <c r="C311" t="b">
        <v>1</v>
      </c>
      <c r="D311">
        <v>8060</v>
      </c>
      <c r="E311">
        <v>8123</v>
      </c>
      <c r="F311">
        <v>20</v>
      </c>
      <c r="G311">
        <v>16</v>
      </c>
      <c r="H311">
        <v>1.25</v>
      </c>
      <c r="I311">
        <v>-0.25</v>
      </c>
      <c r="J311">
        <v>0.44444444999999999</v>
      </c>
    </row>
    <row r="312" spans="1:10" x14ac:dyDescent="0.3">
      <c r="A312">
        <v>310</v>
      </c>
      <c r="B312">
        <v>4928</v>
      </c>
      <c r="C312" t="b">
        <v>1</v>
      </c>
      <c r="D312">
        <v>8060</v>
      </c>
      <c r="E312">
        <v>8129</v>
      </c>
      <c r="F312">
        <v>20</v>
      </c>
      <c r="G312">
        <v>16</v>
      </c>
      <c r="H312">
        <v>1.25</v>
      </c>
      <c r="I312">
        <v>-0.25</v>
      </c>
      <c r="J312">
        <v>0.44444444999999999</v>
      </c>
    </row>
    <row r="313" spans="1:10" x14ac:dyDescent="0.3">
      <c r="A313">
        <v>311</v>
      </c>
      <c r="B313">
        <v>4944</v>
      </c>
      <c r="C313" t="b">
        <v>1</v>
      </c>
      <c r="D313">
        <v>8065</v>
      </c>
      <c r="E313">
        <v>8129</v>
      </c>
      <c r="F313">
        <v>20</v>
      </c>
      <c r="G313">
        <v>16</v>
      </c>
      <c r="H313">
        <v>1.25</v>
      </c>
      <c r="I313">
        <v>-0.25</v>
      </c>
      <c r="J313">
        <v>0.44444444999999999</v>
      </c>
    </row>
    <row r="314" spans="1:10" x14ac:dyDescent="0.3">
      <c r="A314">
        <v>312</v>
      </c>
      <c r="B314">
        <v>4960</v>
      </c>
      <c r="C314" t="b">
        <v>1</v>
      </c>
      <c r="D314">
        <v>8065</v>
      </c>
      <c r="E314">
        <v>8129</v>
      </c>
      <c r="F314">
        <v>20</v>
      </c>
      <c r="G314">
        <v>16</v>
      </c>
      <c r="H314">
        <v>1.25</v>
      </c>
      <c r="I314">
        <v>-0.25</v>
      </c>
      <c r="J314">
        <v>0.44444444999999999</v>
      </c>
    </row>
    <row r="315" spans="1:10" x14ac:dyDescent="0.3">
      <c r="A315">
        <v>313</v>
      </c>
      <c r="B315">
        <v>4976</v>
      </c>
      <c r="C315" t="b">
        <v>1</v>
      </c>
      <c r="D315">
        <v>8065</v>
      </c>
      <c r="E315">
        <v>8129</v>
      </c>
      <c r="F315">
        <v>20.333334000000001</v>
      </c>
      <c r="G315">
        <v>16</v>
      </c>
      <c r="H315">
        <v>1.2708333999999999</v>
      </c>
      <c r="I315">
        <v>-0.27083337000000002</v>
      </c>
      <c r="J315">
        <v>0.44036694999999998</v>
      </c>
    </row>
    <row r="316" spans="1:10" x14ac:dyDescent="0.3">
      <c r="A316">
        <v>314</v>
      </c>
      <c r="B316">
        <v>4992</v>
      </c>
      <c r="C316" t="b">
        <v>1</v>
      </c>
      <c r="D316">
        <v>8065</v>
      </c>
      <c r="E316">
        <v>8129</v>
      </c>
      <c r="F316">
        <v>20.666665999999999</v>
      </c>
      <c r="G316">
        <v>15.666667</v>
      </c>
      <c r="H316">
        <v>1.3191489000000001</v>
      </c>
      <c r="I316">
        <v>-0.31914886999999997</v>
      </c>
      <c r="J316">
        <v>0.43119269999999998</v>
      </c>
    </row>
    <row r="317" spans="1:10" x14ac:dyDescent="0.3">
      <c r="A317">
        <v>315</v>
      </c>
      <c r="B317">
        <v>5007</v>
      </c>
      <c r="C317" t="b">
        <v>1</v>
      </c>
      <c r="D317">
        <v>8065</v>
      </c>
      <c r="E317">
        <v>8140</v>
      </c>
      <c r="F317">
        <v>21</v>
      </c>
      <c r="G317">
        <v>15.333333</v>
      </c>
      <c r="H317">
        <v>1.3695652</v>
      </c>
      <c r="I317">
        <v>-0.36956525000000001</v>
      </c>
      <c r="J317">
        <v>0.42201834999999999</v>
      </c>
    </row>
    <row r="318" spans="1:10" x14ac:dyDescent="0.3">
      <c r="A318">
        <v>316</v>
      </c>
      <c r="B318">
        <v>5023</v>
      </c>
      <c r="C318" t="b">
        <v>1</v>
      </c>
      <c r="D318">
        <v>8065</v>
      </c>
      <c r="E318">
        <v>8134</v>
      </c>
      <c r="F318">
        <v>21.333334000000001</v>
      </c>
      <c r="G318">
        <v>15</v>
      </c>
      <c r="H318">
        <v>1.4222223000000001</v>
      </c>
      <c r="I318">
        <v>-0.42222226000000002</v>
      </c>
      <c r="J318">
        <v>0.41284399999999999</v>
      </c>
    </row>
    <row r="319" spans="1:10" x14ac:dyDescent="0.3">
      <c r="A319">
        <v>317</v>
      </c>
      <c r="B319">
        <v>5039</v>
      </c>
      <c r="C319" t="b">
        <v>1</v>
      </c>
      <c r="D319">
        <v>8065</v>
      </c>
      <c r="E319">
        <v>8134</v>
      </c>
      <c r="F319">
        <v>21.666665999999999</v>
      </c>
      <c r="G319">
        <v>15</v>
      </c>
      <c r="H319">
        <v>1.4444444000000001</v>
      </c>
      <c r="I319">
        <v>-0.44444440000000002</v>
      </c>
      <c r="J319">
        <v>0.40909094000000001</v>
      </c>
    </row>
    <row r="320" spans="1:10" x14ac:dyDescent="0.3">
      <c r="A320">
        <v>318</v>
      </c>
      <c r="B320">
        <v>5055</v>
      </c>
      <c r="C320" t="b">
        <v>1</v>
      </c>
      <c r="D320">
        <v>8060</v>
      </c>
      <c r="E320">
        <v>8134</v>
      </c>
      <c r="F320">
        <v>22</v>
      </c>
      <c r="G320">
        <v>15</v>
      </c>
      <c r="H320">
        <v>1.4666667</v>
      </c>
      <c r="I320">
        <v>-0.46666667000000001</v>
      </c>
      <c r="J320">
        <v>0.40540540000000003</v>
      </c>
    </row>
    <row r="321" spans="1:10" x14ac:dyDescent="0.3">
      <c r="A321">
        <v>319</v>
      </c>
      <c r="B321">
        <v>5071</v>
      </c>
      <c r="C321" t="b">
        <v>1</v>
      </c>
      <c r="D321">
        <v>8054</v>
      </c>
      <c r="E321">
        <v>8134</v>
      </c>
      <c r="F321">
        <v>22.333334000000001</v>
      </c>
      <c r="G321">
        <v>15</v>
      </c>
      <c r="H321">
        <v>1.4888889999999999</v>
      </c>
      <c r="I321">
        <v>-0.48888892</v>
      </c>
      <c r="J321">
        <v>0.40178570000000002</v>
      </c>
    </row>
    <row r="322" spans="1:10" x14ac:dyDescent="0.3">
      <c r="A322">
        <v>320</v>
      </c>
      <c r="B322">
        <v>5087</v>
      </c>
      <c r="C322" t="b">
        <v>1</v>
      </c>
      <c r="D322">
        <v>8054</v>
      </c>
      <c r="E322">
        <v>8134</v>
      </c>
      <c r="F322">
        <v>22.333334000000001</v>
      </c>
      <c r="G322">
        <v>15.333333</v>
      </c>
      <c r="H322">
        <v>1.4565219</v>
      </c>
      <c r="I322">
        <v>-0.45652179999999998</v>
      </c>
      <c r="J322">
        <v>0.40707964000000002</v>
      </c>
    </row>
    <row r="323" spans="1:10" x14ac:dyDescent="0.3">
      <c r="A323">
        <v>321</v>
      </c>
      <c r="B323">
        <v>5103</v>
      </c>
      <c r="C323" t="b">
        <v>1</v>
      </c>
      <c r="D323">
        <v>8060</v>
      </c>
      <c r="E323">
        <v>8134</v>
      </c>
      <c r="F323">
        <v>22.333334000000001</v>
      </c>
      <c r="G323">
        <v>15.666667</v>
      </c>
      <c r="H323">
        <v>1.425532</v>
      </c>
      <c r="I323">
        <v>-0.42553192000000001</v>
      </c>
      <c r="J323">
        <v>0.4122807</v>
      </c>
    </row>
    <row r="324" spans="1:10" x14ac:dyDescent="0.3">
      <c r="A324">
        <v>322</v>
      </c>
      <c r="B324">
        <v>5119</v>
      </c>
      <c r="C324" t="b">
        <v>1</v>
      </c>
      <c r="D324">
        <v>8060</v>
      </c>
      <c r="E324">
        <v>8134</v>
      </c>
      <c r="F324">
        <v>22.333334000000001</v>
      </c>
      <c r="G324">
        <v>16</v>
      </c>
      <c r="H324">
        <v>1.3958333999999999</v>
      </c>
      <c r="I324">
        <v>-0.39583337000000002</v>
      </c>
      <c r="J324">
        <v>0.41739126999999998</v>
      </c>
    </row>
    <row r="325" spans="1:10" x14ac:dyDescent="0.3">
      <c r="A325">
        <v>323</v>
      </c>
      <c r="B325">
        <v>5135</v>
      </c>
      <c r="C325" t="b">
        <v>1</v>
      </c>
      <c r="D325">
        <v>8060</v>
      </c>
      <c r="E325">
        <v>8134</v>
      </c>
      <c r="F325">
        <v>22.333334000000001</v>
      </c>
      <c r="G325">
        <v>16.333334000000001</v>
      </c>
      <c r="H325">
        <v>1.3673469</v>
      </c>
      <c r="I325">
        <v>-0.36734689999999998</v>
      </c>
      <c r="J325">
        <v>0.42241380000000001</v>
      </c>
    </row>
    <row r="326" spans="1:10" x14ac:dyDescent="0.3">
      <c r="A326">
        <v>324</v>
      </c>
      <c r="B326">
        <v>5151</v>
      </c>
      <c r="C326" t="b">
        <v>1</v>
      </c>
      <c r="D326">
        <v>8060</v>
      </c>
      <c r="E326">
        <v>8134</v>
      </c>
      <c r="F326">
        <v>22.333334000000001</v>
      </c>
      <c r="G326">
        <v>16.666665999999999</v>
      </c>
      <c r="H326">
        <v>1.34</v>
      </c>
      <c r="I326">
        <v>-0.34000010000000003</v>
      </c>
      <c r="J326">
        <v>0.42735040000000002</v>
      </c>
    </row>
    <row r="327" spans="1:10" x14ac:dyDescent="0.3">
      <c r="A327">
        <v>325</v>
      </c>
      <c r="B327">
        <v>5167</v>
      </c>
      <c r="C327" t="b">
        <v>1</v>
      </c>
      <c r="D327">
        <v>8060</v>
      </c>
      <c r="E327">
        <v>8134</v>
      </c>
      <c r="F327">
        <v>22.333334000000001</v>
      </c>
      <c r="G327">
        <v>17</v>
      </c>
      <c r="H327">
        <v>1.3137255000000001</v>
      </c>
      <c r="I327">
        <v>-0.31372552999999997</v>
      </c>
      <c r="J327">
        <v>0.43220334999999999</v>
      </c>
    </row>
    <row r="328" spans="1:10" x14ac:dyDescent="0.3">
      <c r="A328">
        <v>326</v>
      </c>
      <c r="B328">
        <v>5183</v>
      </c>
      <c r="C328" t="b">
        <v>1</v>
      </c>
      <c r="D328">
        <v>8060</v>
      </c>
      <c r="E328">
        <v>8134</v>
      </c>
      <c r="F328">
        <v>22.333334000000001</v>
      </c>
      <c r="G328">
        <v>17.333334000000001</v>
      </c>
      <c r="H328">
        <v>1.2884616</v>
      </c>
      <c r="I328">
        <v>-0.28846154000000002</v>
      </c>
      <c r="J328">
        <v>0.4369748</v>
      </c>
    </row>
    <row r="329" spans="1:10" x14ac:dyDescent="0.3">
      <c r="A329">
        <v>327</v>
      </c>
      <c r="B329">
        <v>5199</v>
      </c>
      <c r="C329" t="b">
        <v>1</v>
      </c>
      <c r="D329">
        <v>8060</v>
      </c>
      <c r="E329">
        <v>8129</v>
      </c>
      <c r="F329">
        <v>22.333334000000001</v>
      </c>
      <c r="G329">
        <v>17.666665999999999</v>
      </c>
      <c r="H329">
        <v>1.264151</v>
      </c>
      <c r="I329">
        <v>-0.26415104</v>
      </c>
      <c r="J329">
        <v>0.44166665999999999</v>
      </c>
    </row>
    <row r="330" spans="1:10" x14ac:dyDescent="0.3">
      <c r="A330">
        <v>328</v>
      </c>
      <c r="B330">
        <v>5215</v>
      </c>
      <c r="C330" t="b">
        <v>1</v>
      </c>
      <c r="D330">
        <v>8060</v>
      </c>
      <c r="E330">
        <v>8123</v>
      </c>
      <c r="F330">
        <v>22</v>
      </c>
      <c r="G330">
        <v>18</v>
      </c>
      <c r="H330">
        <v>1.2222222</v>
      </c>
      <c r="I330">
        <v>-0.22222222</v>
      </c>
      <c r="J330">
        <v>0.45</v>
      </c>
    </row>
    <row r="331" spans="1:10" x14ac:dyDescent="0.3">
      <c r="A331">
        <v>329</v>
      </c>
      <c r="B331">
        <v>5230</v>
      </c>
      <c r="C331" t="b">
        <v>1</v>
      </c>
      <c r="D331">
        <v>8060</v>
      </c>
      <c r="E331">
        <v>8129</v>
      </c>
      <c r="F331">
        <v>21.666665999999999</v>
      </c>
      <c r="G331">
        <v>18</v>
      </c>
      <c r="H331">
        <v>1.2037036000000001</v>
      </c>
      <c r="I331">
        <v>-0.20370367</v>
      </c>
      <c r="J331">
        <v>0.45378154999999998</v>
      </c>
    </row>
    <row r="332" spans="1:10" x14ac:dyDescent="0.3">
      <c r="A332">
        <v>330</v>
      </c>
      <c r="B332">
        <v>5246</v>
      </c>
      <c r="C332" t="b">
        <v>1</v>
      </c>
      <c r="D332">
        <v>8065</v>
      </c>
      <c r="E332">
        <v>8129</v>
      </c>
      <c r="F332">
        <v>21.333334000000001</v>
      </c>
      <c r="G332">
        <v>18</v>
      </c>
      <c r="H332">
        <v>1.1851852</v>
      </c>
      <c r="I332">
        <v>-0.18518522000000001</v>
      </c>
      <c r="J332">
        <v>0.45762710000000001</v>
      </c>
    </row>
    <row r="333" spans="1:10" x14ac:dyDescent="0.3">
      <c r="A333">
        <v>331</v>
      </c>
      <c r="B333">
        <v>5262</v>
      </c>
      <c r="C333" t="b">
        <v>1</v>
      </c>
      <c r="D333">
        <v>8065</v>
      </c>
      <c r="E333">
        <v>8129</v>
      </c>
      <c r="F333">
        <v>21</v>
      </c>
      <c r="G333">
        <v>18</v>
      </c>
      <c r="H333">
        <v>1.1666666000000001</v>
      </c>
      <c r="I333">
        <v>-0.16666666999999999</v>
      </c>
      <c r="J333">
        <v>0.46153845999999998</v>
      </c>
    </row>
    <row r="334" spans="1:10" x14ac:dyDescent="0.3">
      <c r="A334">
        <v>332</v>
      </c>
      <c r="B334">
        <v>5278</v>
      </c>
      <c r="C334" t="b">
        <v>1</v>
      </c>
      <c r="D334">
        <v>8065</v>
      </c>
      <c r="E334">
        <v>8123</v>
      </c>
      <c r="F334">
        <v>21</v>
      </c>
      <c r="G334">
        <v>17.666665999999999</v>
      </c>
      <c r="H334">
        <v>1.1886793</v>
      </c>
      <c r="I334">
        <v>-0.18867929999999999</v>
      </c>
      <c r="J334">
        <v>0.45689657</v>
      </c>
    </row>
    <row r="335" spans="1:10" x14ac:dyDescent="0.3">
      <c r="A335">
        <v>333</v>
      </c>
      <c r="B335">
        <v>5294</v>
      </c>
      <c r="C335" t="b">
        <v>1</v>
      </c>
      <c r="D335">
        <v>8060</v>
      </c>
      <c r="E335">
        <v>8123</v>
      </c>
      <c r="F335">
        <v>21</v>
      </c>
      <c r="G335">
        <v>17.333334000000001</v>
      </c>
      <c r="H335">
        <v>1.2115384</v>
      </c>
      <c r="I335">
        <v>-0.21153842</v>
      </c>
      <c r="J335">
        <v>0.45217390000000002</v>
      </c>
    </row>
    <row r="336" spans="1:10" x14ac:dyDescent="0.3">
      <c r="A336">
        <v>334</v>
      </c>
      <c r="B336">
        <v>5310</v>
      </c>
      <c r="C336" t="b">
        <v>1</v>
      </c>
      <c r="D336">
        <v>8065</v>
      </c>
      <c r="E336">
        <v>8129</v>
      </c>
      <c r="F336">
        <v>21</v>
      </c>
      <c r="G336">
        <v>17</v>
      </c>
      <c r="H336">
        <v>1.2352941</v>
      </c>
      <c r="I336">
        <v>-0.23529412</v>
      </c>
      <c r="J336">
        <v>0.4473684</v>
      </c>
    </row>
    <row r="337" spans="1:10" x14ac:dyDescent="0.3">
      <c r="A337">
        <v>335</v>
      </c>
      <c r="B337">
        <v>5326</v>
      </c>
      <c r="C337" t="b">
        <v>1</v>
      </c>
      <c r="D337">
        <v>8060</v>
      </c>
      <c r="E337">
        <v>8134</v>
      </c>
      <c r="F337">
        <v>21.333334000000001</v>
      </c>
      <c r="G337">
        <v>16.666665999999999</v>
      </c>
      <c r="H337">
        <v>1.2800001000000001</v>
      </c>
      <c r="I337">
        <v>-0.28000009999999997</v>
      </c>
      <c r="J337">
        <v>0.4385965</v>
      </c>
    </row>
    <row r="338" spans="1:10" x14ac:dyDescent="0.3">
      <c r="A338">
        <v>336</v>
      </c>
      <c r="B338">
        <v>5342</v>
      </c>
      <c r="C338" t="b">
        <v>1</v>
      </c>
      <c r="D338">
        <v>8054</v>
      </c>
      <c r="E338">
        <v>8140</v>
      </c>
      <c r="F338">
        <v>21.333334000000001</v>
      </c>
      <c r="G338">
        <v>16.333334000000001</v>
      </c>
      <c r="H338">
        <v>1.3061224</v>
      </c>
      <c r="I338">
        <v>-0.30612242000000001</v>
      </c>
      <c r="J338">
        <v>0.43362832000000001</v>
      </c>
    </row>
    <row r="339" spans="1:10" x14ac:dyDescent="0.3">
      <c r="A339">
        <v>337</v>
      </c>
      <c r="B339">
        <v>5358</v>
      </c>
      <c r="C339" t="b">
        <v>1</v>
      </c>
      <c r="D339">
        <v>8054</v>
      </c>
      <c r="E339">
        <v>8140</v>
      </c>
      <c r="F339">
        <v>21.333334000000001</v>
      </c>
      <c r="G339">
        <v>16.333334000000001</v>
      </c>
      <c r="H339">
        <v>1.3061224</v>
      </c>
      <c r="I339">
        <v>-0.30612242000000001</v>
      </c>
      <c r="J339">
        <v>0.43362832000000001</v>
      </c>
    </row>
    <row r="340" spans="1:10" x14ac:dyDescent="0.3">
      <c r="A340">
        <v>338</v>
      </c>
      <c r="B340">
        <v>5374</v>
      </c>
      <c r="C340" t="b">
        <v>1</v>
      </c>
      <c r="D340">
        <v>8054</v>
      </c>
      <c r="E340">
        <v>8134</v>
      </c>
      <c r="F340">
        <v>20.933332</v>
      </c>
      <c r="G340">
        <v>16.333334000000001</v>
      </c>
      <c r="H340">
        <v>1.2816325</v>
      </c>
      <c r="I340">
        <v>-0.28163253999999999</v>
      </c>
      <c r="J340">
        <v>0.43828266999999999</v>
      </c>
    </row>
    <row r="341" spans="1:10" x14ac:dyDescent="0.3">
      <c r="A341">
        <v>339</v>
      </c>
      <c r="B341">
        <v>5390</v>
      </c>
      <c r="C341" t="b">
        <v>1</v>
      </c>
      <c r="D341">
        <v>8065</v>
      </c>
      <c r="E341">
        <v>8134</v>
      </c>
      <c r="F341">
        <v>20.533332999999999</v>
      </c>
      <c r="G341">
        <v>16.333334000000001</v>
      </c>
      <c r="H341">
        <v>1.2571428</v>
      </c>
      <c r="I341">
        <v>-0.25714278000000002</v>
      </c>
      <c r="J341">
        <v>0.44303796000000001</v>
      </c>
    </row>
    <row r="342" spans="1:10" x14ac:dyDescent="0.3">
      <c r="A342">
        <v>340</v>
      </c>
      <c r="B342">
        <v>5405</v>
      </c>
      <c r="C342" t="b">
        <v>1</v>
      </c>
      <c r="D342">
        <v>8071</v>
      </c>
      <c r="E342">
        <v>8134</v>
      </c>
      <c r="F342">
        <v>20.133333</v>
      </c>
      <c r="G342">
        <v>16.333334000000001</v>
      </c>
      <c r="H342">
        <v>1.232653</v>
      </c>
      <c r="I342">
        <v>-0.232653</v>
      </c>
      <c r="J342">
        <v>0.44789763999999999</v>
      </c>
    </row>
    <row r="343" spans="1:10" x14ac:dyDescent="0.3">
      <c r="A343">
        <v>341</v>
      </c>
      <c r="B343">
        <v>5421</v>
      </c>
      <c r="C343" t="b">
        <v>1</v>
      </c>
      <c r="D343">
        <v>8060</v>
      </c>
      <c r="E343">
        <v>8134</v>
      </c>
      <c r="F343">
        <v>20.133333</v>
      </c>
      <c r="G343">
        <v>16.333334000000001</v>
      </c>
      <c r="H343">
        <v>1.232653</v>
      </c>
      <c r="I343">
        <v>-0.232653</v>
      </c>
      <c r="J343">
        <v>0.44789763999999999</v>
      </c>
    </row>
    <row r="344" spans="1:10" x14ac:dyDescent="0.3">
      <c r="A344">
        <v>342</v>
      </c>
      <c r="B344">
        <v>5437</v>
      </c>
      <c r="C344" t="b">
        <v>1</v>
      </c>
      <c r="D344">
        <v>8065</v>
      </c>
      <c r="E344">
        <v>8129</v>
      </c>
      <c r="F344">
        <v>20.466667000000001</v>
      </c>
      <c r="G344">
        <v>16.333334000000001</v>
      </c>
      <c r="H344">
        <v>1.2530612000000001</v>
      </c>
      <c r="I344">
        <v>-0.25306119999999999</v>
      </c>
      <c r="J344">
        <v>0.44384056</v>
      </c>
    </row>
    <row r="345" spans="1:10" x14ac:dyDescent="0.3">
      <c r="A345">
        <v>343</v>
      </c>
      <c r="B345">
        <v>5453</v>
      </c>
      <c r="C345" t="b">
        <v>1</v>
      </c>
      <c r="D345">
        <v>8060</v>
      </c>
      <c r="E345">
        <v>8134</v>
      </c>
      <c r="F345">
        <v>20.8</v>
      </c>
      <c r="G345">
        <v>16.333334000000001</v>
      </c>
      <c r="H345">
        <v>1.2734692999999999</v>
      </c>
      <c r="I345">
        <v>-0.27346930000000003</v>
      </c>
      <c r="J345">
        <v>0.43985639999999998</v>
      </c>
    </row>
    <row r="346" spans="1:10" x14ac:dyDescent="0.3">
      <c r="A346">
        <v>344</v>
      </c>
      <c r="B346">
        <v>5469</v>
      </c>
      <c r="C346" t="b">
        <v>1</v>
      </c>
      <c r="D346">
        <v>8060</v>
      </c>
      <c r="E346">
        <v>8134</v>
      </c>
      <c r="F346">
        <v>20.8</v>
      </c>
      <c r="G346">
        <v>16.666665999999999</v>
      </c>
      <c r="H346">
        <v>1.248</v>
      </c>
      <c r="I346">
        <v>-0.248</v>
      </c>
      <c r="J346">
        <v>0.44483983999999999</v>
      </c>
    </row>
    <row r="347" spans="1:10" x14ac:dyDescent="0.3">
      <c r="A347">
        <v>345</v>
      </c>
      <c r="B347">
        <v>5484</v>
      </c>
      <c r="C347" t="b">
        <v>1</v>
      </c>
      <c r="D347">
        <v>8065</v>
      </c>
      <c r="E347">
        <v>8134</v>
      </c>
      <c r="F347">
        <v>20.8</v>
      </c>
      <c r="G347">
        <v>17</v>
      </c>
      <c r="H347">
        <v>1.2235293</v>
      </c>
      <c r="I347">
        <v>-0.22352937000000001</v>
      </c>
      <c r="J347">
        <v>0.44973545999999998</v>
      </c>
    </row>
    <row r="348" spans="1:10" x14ac:dyDescent="0.3">
      <c r="A348">
        <v>346</v>
      </c>
      <c r="B348">
        <v>5500</v>
      </c>
      <c r="C348" t="b">
        <v>1</v>
      </c>
      <c r="D348">
        <v>8065</v>
      </c>
      <c r="E348">
        <v>8140</v>
      </c>
      <c r="F348">
        <v>21.133333</v>
      </c>
      <c r="G348">
        <v>17.333334000000001</v>
      </c>
      <c r="H348">
        <v>1.2192308000000001</v>
      </c>
      <c r="I348">
        <v>-0.21923071</v>
      </c>
      <c r="J348">
        <v>0.45060657999999998</v>
      </c>
    </row>
    <row r="349" spans="1:10" x14ac:dyDescent="0.3">
      <c r="A349">
        <v>347</v>
      </c>
      <c r="B349">
        <v>5516</v>
      </c>
      <c r="C349" t="b">
        <v>1</v>
      </c>
      <c r="D349">
        <v>8054</v>
      </c>
      <c r="E349">
        <v>8134</v>
      </c>
      <c r="F349">
        <v>20.8</v>
      </c>
      <c r="G349">
        <v>17.666665999999999</v>
      </c>
      <c r="H349">
        <v>1.1773585</v>
      </c>
      <c r="I349">
        <v>-0.1773585</v>
      </c>
      <c r="J349">
        <v>0.45927210000000002</v>
      </c>
    </row>
    <row r="350" spans="1:10" x14ac:dyDescent="0.3">
      <c r="A350">
        <v>348</v>
      </c>
      <c r="B350">
        <v>5532</v>
      </c>
      <c r="C350" t="b">
        <v>1</v>
      </c>
      <c r="D350">
        <v>8060</v>
      </c>
      <c r="E350">
        <v>8134</v>
      </c>
      <c r="F350">
        <v>20.466667000000001</v>
      </c>
      <c r="G350">
        <v>18</v>
      </c>
      <c r="H350">
        <v>1.1370370000000001</v>
      </c>
      <c r="I350">
        <v>-0.13703707000000001</v>
      </c>
      <c r="J350">
        <v>0.46793760000000001</v>
      </c>
    </row>
    <row r="351" spans="1:10" x14ac:dyDescent="0.3">
      <c r="A351">
        <v>349</v>
      </c>
      <c r="B351">
        <v>5548</v>
      </c>
      <c r="C351" t="b">
        <v>1</v>
      </c>
      <c r="D351">
        <v>8060</v>
      </c>
      <c r="E351">
        <v>8140</v>
      </c>
      <c r="F351">
        <v>20.133333</v>
      </c>
      <c r="G351">
        <v>18.333334000000001</v>
      </c>
      <c r="H351">
        <v>1.0981817</v>
      </c>
      <c r="I351">
        <v>-9.8181779999999996E-2</v>
      </c>
      <c r="J351">
        <v>0.47660311999999999</v>
      </c>
    </row>
    <row r="352" spans="1:10" x14ac:dyDescent="0.3">
      <c r="A352">
        <v>350</v>
      </c>
      <c r="B352">
        <v>5564</v>
      </c>
      <c r="C352" t="b">
        <v>1</v>
      </c>
      <c r="D352">
        <v>8065</v>
      </c>
      <c r="E352">
        <v>8134</v>
      </c>
      <c r="F352">
        <v>19.8</v>
      </c>
      <c r="G352">
        <v>18.666665999999999</v>
      </c>
      <c r="H352">
        <v>1.0607142000000001</v>
      </c>
      <c r="I352">
        <v>-6.0714282000000001E-2</v>
      </c>
      <c r="J352">
        <v>0.48526861999999998</v>
      </c>
    </row>
    <row r="353" spans="1:10" x14ac:dyDescent="0.3">
      <c r="A353">
        <v>351</v>
      </c>
      <c r="B353">
        <v>5580</v>
      </c>
      <c r="C353" t="b">
        <v>1</v>
      </c>
      <c r="D353">
        <v>8060</v>
      </c>
      <c r="E353">
        <v>8134</v>
      </c>
      <c r="F353">
        <v>19.8</v>
      </c>
      <c r="G353">
        <v>19</v>
      </c>
      <c r="H353">
        <v>1.0421052</v>
      </c>
      <c r="I353">
        <v>-4.2105223999999997E-2</v>
      </c>
      <c r="J353">
        <v>0.48969072000000002</v>
      </c>
    </row>
    <row r="354" spans="1:10" x14ac:dyDescent="0.3">
      <c r="A354">
        <v>352</v>
      </c>
      <c r="B354">
        <v>5596</v>
      </c>
      <c r="C354" t="b">
        <v>1</v>
      </c>
      <c r="D354">
        <v>8060</v>
      </c>
      <c r="E354">
        <v>8134</v>
      </c>
      <c r="F354">
        <v>19.8</v>
      </c>
      <c r="G354">
        <v>19</v>
      </c>
      <c r="H354">
        <v>1.0421052</v>
      </c>
      <c r="I354">
        <v>-4.2105223999999997E-2</v>
      </c>
      <c r="J354">
        <v>0.48969072000000002</v>
      </c>
    </row>
    <row r="355" spans="1:10" x14ac:dyDescent="0.3">
      <c r="A355">
        <v>353</v>
      </c>
      <c r="B355">
        <v>5612</v>
      </c>
      <c r="C355" t="b">
        <v>1</v>
      </c>
      <c r="D355">
        <v>8065</v>
      </c>
      <c r="E355">
        <v>8140</v>
      </c>
      <c r="F355">
        <v>20.2</v>
      </c>
      <c r="G355">
        <v>19</v>
      </c>
      <c r="H355">
        <v>1.0631579</v>
      </c>
      <c r="I355">
        <v>-6.3157939999999996E-2</v>
      </c>
      <c r="J355">
        <v>0.48469385999999998</v>
      </c>
    </row>
    <row r="356" spans="1:10" x14ac:dyDescent="0.3">
      <c r="A356">
        <v>354</v>
      </c>
      <c r="B356">
        <v>5628</v>
      </c>
      <c r="C356" t="b">
        <v>1</v>
      </c>
      <c r="D356">
        <v>8060</v>
      </c>
      <c r="E356">
        <v>8134</v>
      </c>
      <c r="F356">
        <v>20.6</v>
      </c>
      <c r="G356">
        <v>19</v>
      </c>
      <c r="H356">
        <v>1.0842105</v>
      </c>
      <c r="I356">
        <v>-8.4210544999999998E-2</v>
      </c>
      <c r="J356">
        <v>0.479798</v>
      </c>
    </row>
    <row r="357" spans="1:10" x14ac:dyDescent="0.3">
      <c r="A357">
        <v>355</v>
      </c>
      <c r="B357">
        <v>5644</v>
      </c>
      <c r="C357" t="b">
        <v>1</v>
      </c>
      <c r="D357">
        <v>8060</v>
      </c>
      <c r="E357">
        <v>8134</v>
      </c>
      <c r="F357">
        <v>21</v>
      </c>
      <c r="G357">
        <v>19</v>
      </c>
      <c r="H357">
        <v>1.1052630999999999</v>
      </c>
      <c r="I357">
        <v>-0.10526315999999999</v>
      </c>
      <c r="J357">
        <v>0.47499999999999998</v>
      </c>
    </row>
    <row r="358" spans="1:10" x14ac:dyDescent="0.3">
      <c r="A358">
        <v>356</v>
      </c>
      <c r="B358">
        <v>5659</v>
      </c>
      <c r="C358" t="b">
        <v>1</v>
      </c>
      <c r="D358">
        <v>8065</v>
      </c>
      <c r="E358">
        <v>8134</v>
      </c>
      <c r="F358">
        <v>21</v>
      </c>
      <c r="G358">
        <v>19</v>
      </c>
      <c r="H358">
        <v>1.1052630999999999</v>
      </c>
      <c r="I358">
        <v>-0.10526315999999999</v>
      </c>
      <c r="J358">
        <v>0.47499999999999998</v>
      </c>
    </row>
    <row r="359" spans="1:10" x14ac:dyDescent="0.3">
      <c r="A359">
        <v>357</v>
      </c>
      <c r="B359">
        <v>5675</v>
      </c>
      <c r="C359" t="b">
        <v>1</v>
      </c>
      <c r="D359">
        <v>8060</v>
      </c>
      <c r="E359">
        <v>8134</v>
      </c>
      <c r="F359">
        <v>20.666665999999999</v>
      </c>
      <c r="G359">
        <v>19</v>
      </c>
      <c r="H359">
        <v>1.0877193000000001</v>
      </c>
      <c r="I359">
        <v>-8.7719259999999993E-2</v>
      </c>
      <c r="J359">
        <v>0.47899163</v>
      </c>
    </row>
    <row r="360" spans="1:10" x14ac:dyDescent="0.3">
      <c r="A360">
        <v>358</v>
      </c>
      <c r="B360">
        <v>5691</v>
      </c>
      <c r="C360" t="b">
        <v>1</v>
      </c>
      <c r="D360">
        <v>8060</v>
      </c>
      <c r="E360">
        <v>8134</v>
      </c>
      <c r="F360">
        <v>20.333334000000001</v>
      </c>
      <c r="G360">
        <v>19</v>
      </c>
      <c r="H360">
        <v>1.0701754999999999</v>
      </c>
      <c r="I360">
        <v>-7.0175470000000004E-2</v>
      </c>
      <c r="J360">
        <v>0.48305081999999999</v>
      </c>
    </row>
    <row r="361" spans="1:10" x14ac:dyDescent="0.3">
      <c r="A361">
        <v>359</v>
      </c>
      <c r="B361">
        <v>5707</v>
      </c>
      <c r="C361" t="b">
        <v>1</v>
      </c>
      <c r="D361">
        <v>8060</v>
      </c>
      <c r="E361">
        <v>8134</v>
      </c>
      <c r="F361">
        <v>20.333334000000001</v>
      </c>
      <c r="G361">
        <v>19</v>
      </c>
      <c r="H361">
        <v>1.0701754999999999</v>
      </c>
      <c r="I361">
        <v>-7.0175470000000004E-2</v>
      </c>
      <c r="J361">
        <v>0.48305081999999999</v>
      </c>
    </row>
    <row r="362" spans="1:10" x14ac:dyDescent="0.3">
      <c r="A362">
        <v>360</v>
      </c>
      <c r="B362">
        <v>5723</v>
      </c>
      <c r="C362" t="b">
        <v>1</v>
      </c>
      <c r="D362">
        <v>8065</v>
      </c>
      <c r="E362">
        <v>8129</v>
      </c>
      <c r="F362">
        <v>20.333334000000001</v>
      </c>
      <c r="G362">
        <v>19</v>
      </c>
      <c r="H362">
        <v>1.0701754999999999</v>
      </c>
      <c r="I362">
        <v>-7.0175470000000004E-2</v>
      </c>
      <c r="J362">
        <v>0.48305081999999999</v>
      </c>
    </row>
    <row r="363" spans="1:10" x14ac:dyDescent="0.3">
      <c r="A363">
        <v>361</v>
      </c>
      <c r="B363">
        <v>5738</v>
      </c>
      <c r="C363" t="b">
        <v>1</v>
      </c>
      <c r="D363">
        <v>8060</v>
      </c>
      <c r="E363">
        <v>8134</v>
      </c>
      <c r="F363">
        <v>20</v>
      </c>
      <c r="G363">
        <v>19</v>
      </c>
      <c r="H363">
        <v>1.0526316</v>
      </c>
      <c r="I363">
        <v>-5.2631579999999997E-2</v>
      </c>
      <c r="J363">
        <v>0.48717949999999999</v>
      </c>
    </row>
    <row r="364" spans="1:10" x14ac:dyDescent="0.3">
      <c r="A364">
        <v>362</v>
      </c>
      <c r="B364">
        <v>5755</v>
      </c>
      <c r="C364" t="b">
        <v>1</v>
      </c>
      <c r="D364">
        <v>8054</v>
      </c>
      <c r="E364">
        <v>8134</v>
      </c>
      <c r="F364">
        <v>20</v>
      </c>
      <c r="G364">
        <v>19</v>
      </c>
      <c r="H364">
        <v>1.0526316</v>
      </c>
      <c r="I364">
        <v>-5.2631579999999997E-2</v>
      </c>
      <c r="J364">
        <v>0.48717949999999999</v>
      </c>
    </row>
    <row r="365" spans="1:10" x14ac:dyDescent="0.3">
      <c r="A365">
        <v>363</v>
      </c>
      <c r="B365">
        <v>5770</v>
      </c>
      <c r="C365" t="b">
        <v>1</v>
      </c>
      <c r="D365">
        <v>8060</v>
      </c>
      <c r="E365">
        <v>8134</v>
      </c>
      <c r="F365">
        <v>20</v>
      </c>
      <c r="G365">
        <v>19</v>
      </c>
      <c r="H365">
        <v>1.0526316</v>
      </c>
      <c r="I365">
        <v>-5.2631579999999997E-2</v>
      </c>
      <c r="J365">
        <v>0.48717949999999999</v>
      </c>
    </row>
    <row r="366" spans="1:10" x14ac:dyDescent="0.3">
      <c r="A366">
        <v>364</v>
      </c>
      <c r="B366">
        <v>5786</v>
      </c>
      <c r="C366" t="b">
        <v>1</v>
      </c>
      <c r="D366">
        <v>8060</v>
      </c>
      <c r="E366">
        <v>8134</v>
      </c>
      <c r="F366">
        <v>20</v>
      </c>
      <c r="G366">
        <v>19</v>
      </c>
      <c r="H366">
        <v>1.0526316</v>
      </c>
      <c r="I366">
        <v>-5.2631579999999997E-2</v>
      </c>
      <c r="J366">
        <v>0.48717949999999999</v>
      </c>
    </row>
    <row r="367" spans="1:10" x14ac:dyDescent="0.3">
      <c r="A367">
        <v>365</v>
      </c>
      <c r="B367">
        <v>5802</v>
      </c>
      <c r="C367" t="b">
        <v>1</v>
      </c>
      <c r="D367">
        <v>8060</v>
      </c>
      <c r="E367">
        <v>8134</v>
      </c>
      <c r="F367">
        <v>20</v>
      </c>
      <c r="G367">
        <v>19</v>
      </c>
      <c r="H367">
        <v>1.0526316</v>
      </c>
      <c r="I367">
        <v>-5.2631579999999997E-2</v>
      </c>
      <c r="J367">
        <v>0.48717949999999999</v>
      </c>
    </row>
    <row r="368" spans="1:10" x14ac:dyDescent="0.3">
      <c r="A368">
        <v>366</v>
      </c>
      <c r="B368">
        <v>5817</v>
      </c>
      <c r="C368" t="b">
        <v>1</v>
      </c>
      <c r="D368">
        <v>8060</v>
      </c>
      <c r="E368">
        <v>8134</v>
      </c>
      <c r="F368">
        <v>20</v>
      </c>
      <c r="G368">
        <v>19</v>
      </c>
      <c r="H368">
        <v>1.0526316</v>
      </c>
      <c r="I368">
        <v>-5.2631579999999997E-2</v>
      </c>
      <c r="J368">
        <v>0.48717949999999999</v>
      </c>
    </row>
    <row r="369" spans="1:10" x14ac:dyDescent="0.3">
      <c r="A369">
        <v>367</v>
      </c>
      <c r="B369">
        <v>5833</v>
      </c>
      <c r="C369" t="b">
        <v>1</v>
      </c>
      <c r="D369">
        <v>8060</v>
      </c>
      <c r="E369">
        <v>8129</v>
      </c>
      <c r="F369">
        <v>20</v>
      </c>
      <c r="G369">
        <v>19</v>
      </c>
      <c r="H369">
        <v>1.0526316</v>
      </c>
      <c r="I369">
        <v>-5.2631579999999997E-2</v>
      </c>
      <c r="J369">
        <v>0.48717949999999999</v>
      </c>
    </row>
    <row r="370" spans="1:10" x14ac:dyDescent="0.3">
      <c r="A370">
        <v>368</v>
      </c>
      <c r="B370">
        <v>5849</v>
      </c>
      <c r="C370" t="b">
        <v>1</v>
      </c>
      <c r="D370">
        <v>8065</v>
      </c>
      <c r="E370">
        <v>8134</v>
      </c>
      <c r="F370">
        <v>20</v>
      </c>
      <c r="G370">
        <v>19</v>
      </c>
      <c r="H370">
        <v>1.0526316</v>
      </c>
      <c r="I370">
        <v>-5.2631579999999997E-2</v>
      </c>
      <c r="J370">
        <v>0.48717949999999999</v>
      </c>
    </row>
    <row r="371" spans="1:10" x14ac:dyDescent="0.3">
      <c r="A371">
        <v>369</v>
      </c>
      <c r="B371">
        <v>5865</v>
      </c>
      <c r="C371" t="b">
        <v>1</v>
      </c>
      <c r="D371">
        <v>8065</v>
      </c>
      <c r="E371">
        <v>8134</v>
      </c>
      <c r="F371">
        <v>20</v>
      </c>
      <c r="G371">
        <v>19</v>
      </c>
      <c r="H371">
        <v>1.0526316</v>
      </c>
      <c r="I371">
        <v>-5.2631579999999997E-2</v>
      </c>
      <c r="J371">
        <v>0.48717949999999999</v>
      </c>
    </row>
    <row r="372" spans="1:10" x14ac:dyDescent="0.3">
      <c r="A372">
        <v>370</v>
      </c>
      <c r="B372">
        <v>5881</v>
      </c>
      <c r="C372" t="b">
        <v>1</v>
      </c>
      <c r="D372">
        <v>8054</v>
      </c>
      <c r="E372">
        <v>8134</v>
      </c>
      <c r="F372">
        <v>20</v>
      </c>
      <c r="G372">
        <v>19</v>
      </c>
      <c r="H372">
        <v>1.0526316</v>
      </c>
      <c r="I372">
        <v>-5.2631579999999997E-2</v>
      </c>
      <c r="J372">
        <v>0.48717949999999999</v>
      </c>
    </row>
    <row r="373" spans="1:10" x14ac:dyDescent="0.3">
      <c r="A373">
        <v>371</v>
      </c>
      <c r="B373">
        <v>5897</v>
      </c>
      <c r="C373" t="b">
        <v>1</v>
      </c>
      <c r="D373">
        <v>8054</v>
      </c>
      <c r="E373">
        <v>8134</v>
      </c>
      <c r="F373">
        <v>20</v>
      </c>
      <c r="G373">
        <v>19</v>
      </c>
      <c r="H373">
        <v>1.0526316</v>
      </c>
      <c r="I373">
        <v>-5.2631579999999997E-2</v>
      </c>
      <c r="J373">
        <v>0.48717949999999999</v>
      </c>
    </row>
    <row r="374" spans="1:10" x14ac:dyDescent="0.3">
      <c r="A374">
        <v>372</v>
      </c>
      <c r="B374">
        <v>5913</v>
      </c>
      <c r="C374" t="b">
        <v>1</v>
      </c>
      <c r="D374">
        <v>8060</v>
      </c>
      <c r="E374">
        <v>8134</v>
      </c>
      <c r="F374">
        <v>20</v>
      </c>
      <c r="G374">
        <v>19</v>
      </c>
      <c r="H374">
        <v>1.0526316</v>
      </c>
      <c r="I374">
        <v>-5.2631579999999997E-2</v>
      </c>
      <c r="J374">
        <v>0.48717949999999999</v>
      </c>
    </row>
    <row r="375" spans="1:10" x14ac:dyDescent="0.3">
      <c r="A375">
        <v>373</v>
      </c>
      <c r="B375">
        <v>5929</v>
      </c>
      <c r="C375" t="b">
        <v>1</v>
      </c>
      <c r="D375">
        <v>8054</v>
      </c>
      <c r="E375">
        <v>8134</v>
      </c>
      <c r="F375">
        <v>19.600000000000001</v>
      </c>
      <c r="G375">
        <v>19</v>
      </c>
      <c r="H375">
        <v>1.031579</v>
      </c>
      <c r="I375">
        <v>-3.1578969999999998E-2</v>
      </c>
      <c r="J375">
        <v>0.492228</v>
      </c>
    </row>
    <row r="376" spans="1:10" x14ac:dyDescent="0.3">
      <c r="A376">
        <v>374</v>
      </c>
      <c r="B376">
        <v>5945</v>
      </c>
      <c r="C376" t="b">
        <v>1</v>
      </c>
      <c r="D376">
        <v>8048</v>
      </c>
      <c r="E376">
        <v>8134</v>
      </c>
      <c r="F376">
        <v>19.2</v>
      </c>
      <c r="G376">
        <v>19</v>
      </c>
      <c r="H376">
        <v>1.0105263</v>
      </c>
      <c r="I376">
        <v>-1.0526356000000001E-2</v>
      </c>
      <c r="J376">
        <v>0.4973822</v>
      </c>
    </row>
    <row r="377" spans="1:10" x14ac:dyDescent="0.3">
      <c r="A377">
        <v>375</v>
      </c>
      <c r="B377">
        <v>5961</v>
      </c>
      <c r="C377" t="b">
        <v>1</v>
      </c>
      <c r="D377">
        <v>8054</v>
      </c>
      <c r="E377">
        <v>8134</v>
      </c>
      <c r="F377">
        <v>18.8</v>
      </c>
      <c r="G377">
        <v>19</v>
      </c>
      <c r="H377">
        <v>0.98947364000000004</v>
      </c>
      <c r="I377">
        <v>1.0526356000000001E-2</v>
      </c>
      <c r="J377">
        <v>0.50264549999999997</v>
      </c>
    </row>
    <row r="378" spans="1:10" x14ac:dyDescent="0.3">
      <c r="A378">
        <v>376</v>
      </c>
      <c r="B378">
        <v>5977</v>
      </c>
      <c r="C378" t="b">
        <v>1</v>
      </c>
      <c r="D378">
        <v>8054</v>
      </c>
      <c r="E378">
        <v>8134</v>
      </c>
      <c r="F378">
        <v>18.399999999999999</v>
      </c>
      <c r="G378">
        <v>19</v>
      </c>
      <c r="H378">
        <v>0.96842103999999996</v>
      </c>
      <c r="I378">
        <v>3.1578969999999998E-2</v>
      </c>
      <c r="J378">
        <v>0.50802135000000004</v>
      </c>
    </row>
    <row r="379" spans="1:10" x14ac:dyDescent="0.3">
      <c r="A379">
        <v>377</v>
      </c>
      <c r="B379">
        <v>5993</v>
      </c>
      <c r="C379" t="b">
        <v>1</v>
      </c>
      <c r="D379">
        <v>8065</v>
      </c>
      <c r="E379">
        <v>8129</v>
      </c>
      <c r="F379">
        <v>18</v>
      </c>
      <c r="G379">
        <v>19</v>
      </c>
      <c r="H379">
        <v>0.94736843999999998</v>
      </c>
      <c r="I379">
        <v>5.2631579999999997E-2</v>
      </c>
      <c r="J379">
        <v>0.51351349999999996</v>
      </c>
    </row>
    <row r="380" spans="1:10" x14ac:dyDescent="0.3">
      <c r="A380">
        <v>378</v>
      </c>
      <c r="B380">
        <v>6008</v>
      </c>
      <c r="C380" t="b">
        <v>1</v>
      </c>
      <c r="D380">
        <v>8065</v>
      </c>
      <c r="E380">
        <v>8134</v>
      </c>
      <c r="F380">
        <v>17.600000000000001</v>
      </c>
      <c r="G380">
        <v>19</v>
      </c>
      <c r="H380">
        <v>0.92631580000000002</v>
      </c>
      <c r="I380">
        <v>7.3684189999999997E-2</v>
      </c>
      <c r="J380">
        <v>0.51912570000000002</v>
      </c>
    </row>
    <row r="381" spans="1:10" x14ac:dyDescent="0.3">
      <c r="A381">
        <v>379</v>
      </c>
      <c r="B381">
        <v>6024</v>
      </c>
      <c r="C381" t="b">
        <v>1</v>
      </c>
      <c r="D381">
        <v>8060</v>
      </c>
      <c r="E381">
        <v>8134</v>
      </c>
      <c r="F381">
        <v>17.600000000000001</v>
      </c>
      <c r="G381">
        <v>19</v>
      </c>
      <c r="H381">
        <v>0.92631580000000002</v>
      </c>
      <c r="I381">
        <v>7.3684189999999997E-2</v>
      </c>
      <c r="J381">
        <v>0.51912570000000002</v>
      </c>
    </row>
    <row r="382" spans="1:10" x14ac:dyDescent="0.3">
      <c r="A382">
        <v>380</v>
      </c>
      <c r="B382">
        <v>6040</v>
      </c>
      <c r="C382" t="b">
        <v>1</v>
      </c>
      <c r="D382">
        <v>8065</v>
      </c>
      <c r="E382">
        <v>8134</v>
      </c>
      <c r="F382">
        <v>17.933332</v>
      </c>
      <c r="G382">
        <v>19</v>
      </c>
      <c r="H382">
        <v>0.94385960000000002</v>
      </c>
      <c r="I382">
        <v>5.6140397000000002E-2</v>
      </c>
      <c r="J382">
        <v>0.51444040000000002</v>
      </c>
    </row>
    <row r="383" spans="1:10" x14ac:dyDescent="0.3">
      <c r="A383">
        <v>381</v>
      </c>
      <c r="B383">
        <v>6056</v>
      </c>
      <c r="C383" t="b">
        <v>1</v>
      </c>
      <c r="D383">
        <v>8060</v>
      </c>
      <c r="E383">
        <v>8129</v>
      </c>
      <c r="F383">
        <v>18.266666000000001</v>
      </c>
      <c r="G383">
        <v>19</v>
      </c>
      <c r="H383">
        <v>0.96140349999999997</v>
      </c>
      <c r="I383">
        <v>3.8596502999999997E-2</v>
      </c>
      <c r="J383">
        <v>0.50983900000000004</v>
      </c>
    </row>
    <row r="384" spans="1:10" x14ac:dyDescent="0.3">
      <c r="A384">
        <v>382</v>
      </c>
      <c r="B384">
        <v>6072</v>
      </c>
      <c r="C384" t="b">
        <v>1</v>
      </c>
      <c r="D384">
        <v>8060</v>
      </c>
      <c r="E384">
        <v>8129</v>
      </c>
      <c r="F384">
        <v>18.266666000000001</v>
      </c>
      <c r="G384">
        <v>19</v>
      </c>
      <c r="H384">
        <v>0.96140349999999997</v>
      </c>
      <c r="I384">
        <v>3.8596502999999997E-2</v>
      </c>
      <c r="J384">
        <v>0.50983900000000004</v>
      </c>
    </row>
    <row r="385" spans="1:10" x14ac:dyDescent="0.3">
      <c r="A385">
        <v>383</v>
      </c>
      <c r="B385">
        <v>6087</v>
      </c>
      <c r="C385" t="b">
        <v>1</v>
      </c>
      <c r="D385">
        <v>8065</v>
      </c>
      <c r="E385">
        <v>8134</v>
      </c>
      <c r="F385">
        <v>18.266666000000001</v>
      </c>
      <c r="G385">
        <v>19</v>
      </c>
      <c r="H385">
        <v>0.96140349999999997</v>
      </c>
      <c r="I385">
        <v>3.8596502999999997E-2</v>
      </c>
      <c r="J385">
        <v>0.50983900000000004</v>
      </c>
    </row>
    <row r="386" spans="1:10" x14ac:dyDescent="0.3">
      <c r="A386">
        <v>384</v>
      </c>
      <c r="B386">
        <v>6104</v>
      </c>
      <c r="C386" t="b">
        <v>1</v>
      </c>
      <c r="D386">
        <v>8060</v>
      </c>
      <c r="E386">
        <v>8140</v>
      </c>
      <c r="F386">
        <v>18.266666000000001</v>
      </c>
      <c r="G386">
        <v>19</v>
      </c>
      <c r="H386">
        <v>0.96140349999999997</v>
      </c>
      <c r="I386">
        <v>3.8596502999999997E-2</v>
      </c>
      <c r="J386">
        <v>0.50983900000000004</v>
      </c>
    </row>
    <row r="387" spans="1:10" x14ac:dyDescent="0.3">
      <c r="A387">
        <v>385</v>
      </c>
      <c r="B387">
        <v>6119</v>
      </c>
      <c r="C387" t="b">
        <v>1</v>
      </c>
      <c r="D387">
        <v>8054</v>
      </c>
      <c r="E387">
        <v>8134</v>
      </c>
      <c r="F387">
        <v>18.266666000000001</v>
      </c>
      <c r="G387">
        <v>19</v>
      </c>
      <c r="H387">
        <v>0.96140349999999997</v>
      </c>
      <c r="I387">
        <v>3.8596502999999997E-2</v>
      </c>
      <c r="J387">
        <v>0.50983900000000004</v>
      </c>
    </row>
    <row r="388" spans="1:10" x14ac:dyDescent="0.3">
      <c r="A388">
        <v>386</v>
      </c>
      <c r="B388">
        <v>6135</v>
      </c>
      <c r="C388" t="b">
        <v>1</v>
      </c>
      <c r="D388">
        <v>8060</v>
      </c>
      <c r="E388">
        <v>8140</v>
      </c>
      <c r="F388">
        <v>18.266666000000001</v>
      </c>
      <c r="G388">
        <v>19</v>
      </c>
      <c r="H388">
        <v>0.96140349999999997</v>
      </c>
      <c r="I388">
        <v>3.8596502999999997E-2</v>
      </c>
      <c r="J388">
        <v>0.50983900000000004</v>
      </c>
    </row>
    <row r="389" spans="1:10" x14ac:dyDescent="0.3">
      <c r="A389">
        <v>387</v>
      </c>
      <c r="B389">
        <v>6151</v>
      </c>
      <c r="C389" t="b">
        <v>1</v>
      </c>
      <c r="D389">
        <v>8060</v>
      </c>
      <c r="E389">
        <v>8134</v>
      </c>
      <c r="F389">
        <v>18.266666000000001</v>
      </c>
      <c r="G389">
        <v>19</v>
      </c>
      <c r="H389">
        <v>0.96140349999999997</v>
      </c>
      <c r="I389">
        <v>3.8596502999999997E-2</v>
      </c>
      <c r="J389">
        <v>0.50983900000000004</v>
      </c>
    </row>
    <row r="390" spans="1:10" x14ac:dyDescent="0.3">
      <c r="A390">
        <v>388</v>
      </c>
      <c r="B390">
        <v>6167</v>
      </c>
      <c r="C390" t="b">
        <v>1</v>
      </c>
      <c r="D390">
        <v>8065</v>
      </c>
      <c r="E390">
        <v>8134</v>
      </c>
      <c r="F390">
        <v>18.666665999999999</v>
      </c>
      <c r="G390">
        <v>19</v>
      </c>
      <c r="H390">
        <v>0.98245610000000005</v>
      </c>
      <c r="I390">
        <v>1.7543893000000001E-2</v>
      </c>
      <c r="J390">
        <v>0.50442480000000001</v>
      </c>
    </row>
    <row r="391" spans="1:10" x14ac:dyDescent="0.3">
      <c r="A391">
        <v>389</v>
      </c>
      <c r="B391">
        <v>6183</v>
      </c>
      <c r="C391" t="b">
        <v>1</v>
      </c>
      <c r="D391">
        <v>8065</v>
      </c>
      <c r="E391">
        <v>8134</v>
      </c>
      <c r="F391">
        <v>19.066668</v>
      </c>
      <c r="G391">
        <v>19</v>
      </c>
      <c r="H391">
        <v>1.0035088000000001</v>
      </c>
      <c r="I391">
        <v>-3.5088188000000002E-3</v>
      </c>
      <c r="J391">
        <v>0.49912434999999999</v>
      </c>
    </row>
    <row r="392" spans="1:10" x14ac:dyDescent="0.3">
      <c r="A392">
        <v>390</v>
      </c>
      <c r="B392">
        <v>6198</v>
      </c>
      <c r="C392" t="b">
        <v>1</v>
      </c>
      <c r="D392">
        <v>8060</v>
      </c>
      <c r="E392">
        <v>8134</v>
      </c>
      <c r="F392">
        <v>19.466667000000001</v>
      </c>
      <c r="G392">
        <v>19</v>
      </c>
      <c r="H392">
        <v>1.0245614000000001</v>
      </c>
      <c r="I392">
        <v>-2.4561429999999999E-2</v>
      </c>
      <c r="J392">
        <v>0.49393411999999998</v>
      </c>
    </row>
    <row r="393" spans="1:10" x14ac:dyDescent="0.3">
      <c r="A393">
        <v>391</v>
      </c>
      <c r="B393">
        <v>6214</v>
      </c>
      <c r="C393" t="b">
        <v>1</v>
      </c>
      <c r="D393">
        <v>8060</v>
      </c>
      <c r="E393">
        <v>8134</v>
      </c>
      <c r="F393">
        <v>19.866667</v>
      </c>
      <c r="G393">
        <v>19</v>
      </c>
      <c r="H393">
        <v>1.045614</v>
      </c>
      <c r="I393">
        <v>-4.5614040000000002E-2</v>
      </c>
      <c r="J393">
        <v>0.48885074000000001</v>
      </c>
    </row>
    <row r="394" spans="1:10" x14ac:dyDescent="0.3">
      <c r="A394">
        <v>392</v>
      </c>
      <c r="B394">
        <v>6230</v>
      </c>
      <c r="C394" t="b">
        <v>1</v>
      </c>
      <c r="D394">
        <v>8060</v>
      </c>
      <c r="E394">
        <v>8129</v>
      </c>
      <c r="F394">
        <v>20.266666000000001</v>
      </c>
      <c r="G394">
        <v>19</v>
      </c>
      <c r="H394">
        <v>1.0666666</v>
      </c>
      <c r="I394">
        <v>-6.6666655000000005E-2</v>
      </c>
      <c r="J394">
        <v>0.48387098000000001</v>
      </c>
    </row>
    <row r="395" spans="1:10" x14ac:dyDescent="0.3">
      <c r="A395">
        <v>393</v>
      </c>
      <c r="B395">
        <v>6246</v>
      </c>
      <c r="C395" t="b">
        <v>1</v>
      </c>
      <c r="D395">
        <v>8060</v>
      </c>
      <c r="E395">
        <v>8134</v>
      </c>
      <c r="F395">
        <v>20.666665999999999</v>
      </c>
      <c r="G395">
        <v>19</v>
      </c>
      <c r="H395">
        <v>1.0877193000000001</v>
      </c>
      <c r="I395">
        <v>-8.7719259999999993E-2</v>
      </c>
      <c r="J395">
        <v>0.47899163</v>
      </c>
    </row>
    <row r="396" spans="1:10" x14ac:dyDescent="0.3">
      <c r="A396">
        <v>394</v>
      </c>
      <c r="B396">
        <v>6262</v>
      </c>
      <c r="C396" t="b">
        <v>1</v>
      </c>
      <c r="D396">
        <v>8060</v>
      </c>
      <c r="E396">
        <v>8134</v>
      </c>
      <c r="F396">
        <v>20.666665999999999</v>
      </c>
      <c r="G396">
        <v>19</v>
      </c>
      <c r="H396">
        <v>1.0877193000000001</v>
      </c>
      <c r="I396">
        <v>-8.7719259999999993E-2</v>
      </c>
      <c r="J396">
        <v>0.47899163</v>
      </c>
    </row>
    <row r="397" spans="1:10" x14ac:dyDescent="0.3">
      <c r="A397">
        <v>395</v>
      </c>
      <c r="B397">
        <v>6278</v>
      </c>
      <c r="C397" t="b">
        <v>1</v>
      </c>
      <c r="D397">
        <v>8060</v>
      </c>
      <c r="E397">
        <v>8134</v>
      </c>
      <c r="F397">
        <v>20.333334000000001</v>
      </c>
      <c r="G397">
        <v>19</v>
      </c>
      <c r="H397">
        <v>1.0701754999999999</v>
      </c>
      <c r="I397">
        <v>-7.0175470000000004E-2</v>
      </c>
      <c r="J397">
        <v>0.48305081999999999</v>
      </c>
    </row>
    <row r="398" spans="1:10" x14ac:dyDescent="0.3">
      <c r="A398">
        <v>396</v>
      </c>
      <c r="B398">
        <v>6294</v>
      </c>
      <c r="C398" t="b">
        <v>1</v>
      </c>
      <c r="D398">
        <v>8065</v>
      </c>
      <c r="E398">
        <v>8134</v>
      </c>
      <c r="F398">
        <v>20</v>
      </c>
      <c r="G398">
        <v>19</v>
      </c>
      <c r="H398">
        <v>1.0526316</v>
      </c>
      <c r="I398">
        <v>-5.2631579999999997E-2</v>
      </c>
      <c r="J398">
        <v>0.48717949999999999</v>
      </c>
    </row>
    <row r="399" spans="1:10" x14ac:dyDescent="0.3">
      <c r="A399">
        <v>397</v>
      </c>
      <c r="B399">
        <v>6310</v>
      </c>
      <c r="C399" t="b">
        <v>1</v>
      </c>
      <c r="D399">
        <v>8065</v>
      </c>
      <c r="E399">
        <v>8134</v>
      </c>
      <c r="F399">
        <v>20</v>
      </c>
      <c r="G399">
        <v>19</v>
      </c>
      <c r="H399">
        <v>1.0526316</v>
      </c>
      <c r="I399">
        <v>-5.2631579999999997E-2</v>
      </c>
      <c r="J399">
        <v>0.48717949999999999</v>
      </c>
    </row>
    <row r="400" spans="1:10" x14ac:dyDescent="0.3">
      <c r="A400">
        <v>398</v>
      </c>
      <c r="B400">
        <v>6326</v>
      </c>
      <c r="C400" t="b">
        <v>1</v>
      </c>
      <c r="D400">
        <v>8060</v>
      </c>
      <c r="E400">
        <v>8134</v>
      </c>
      <c r="F400">
        <v>20</v>
      </c>
      <c r="G400">
        <v>19</v>
      </c>
      <c r="H400">
        <v>1.0526316</v>
      </c>
      <c r="I400">
        <v>-5.2631579999999997E-2</v>
      </c>
      <c r="J400">
        <v>0.48717949999999999</v>
      </c>
    </row>
    <row r="401" spans="1:10" x14ac:dyDescent="0.3">
      <c r="A401">
        <v>399</v>
      </c>
      <c r="B401">
        <v>6341</v>
      </c>
      <c r="C401" t="b">
        <v>1</v>
      </c>
      <c r="D401">
        <v>8065</v>
      </c>
      <c r="E401">
        <v>8134</v>
      </c>
      <c r="F401">
        <v>20.333334000000001</v>
      </c>
      <c r="G401">
        <v>19</v>
      </c>
      <c r="H401">
        <v>1.0701754999999999</v>
      </c>
      <c r="I401">
        <v>-7.0175470000000004E-2</v>
      </c>
      <c r="J401">
        <v>0.48305081999999999</v>
      </c>
    </row>
    <row r="402" spans="1:10" x14ac:dyDescent="0.3">
      <c r="A402">
        <v>400</v>
      </c>
      <c r="B402">
        <v>6357</v>
      </c>
      <c r="C402" t="b">
        <v>1</v>
      </c>
      <c r="D402">
        <v>8060</v>
      </c>
      <c r="E402">
        <v>8129</v>
      </c>
      <c r="F402">
        <v>20.666665999999999</v>
      </c>
      <c r="G402">
        <v>19</v>
      </c>
      <c r="H402">
        <v>1.0877193000000001</v>
      </c>
      <c r="I402">
        <v>-8.7719259999999993E-2</v>
      </c>
      <c r="J402">
        <v>0.47899163</v>
      </c>
    </row>
    <row r="403" spans="1:10" x14ac:dyDescent="0.3">
      <c r="A403">
        <v>401</v>
      </c>
      <c r="B403">
        <v>6373</v>
      </c>
      <c r="C403" t="b">
        <v>1</v>
      </c>
      <c r="D403">
        <v>8065</v>
      </c>
      <c r="E403">
        <v>8134</v>
      </c>
      <c r="F403">
        <v>21</v>
      </c>
      <c r="G403">
        <v>19</v>
      </c>
      <c r="H403">
        <v>1.1052630999999999</v>
      </c>
      <c r="I403">
        <v>-0.10526315999999999</v>
      </c>
      <c r="J403">
        <v>0.47499999999999998</v>
      </c>
    </row>
    <row r="404" spans="1:10" x14ac:dyDescent="0.3">
      <c r="A404">
        <v>402</v>
      </c>
      <c r="B404">
        <v>6389</v>
      </c>
      <c r="C404" t="b">
        <v>1</v>
      </c>
      <c r="D404">
        <v>8071</v>
      </c>
      <c r="E404">
        <v>8134</v>
      </c>
      <c r="F404">
        <v>21.333334000000001</v>
      </c>
      <c r="G404">
        <v>19</v>
      </c>
      <c r="H404">
        <v>1.1228070000000001</v>
      </c>
      <c r="I404">
        <v>-0.12280705</v>
      </c>
      <c r="J404">
        <v>0.47107433999999998</v>
      </c>
    </row>
    <row r="405" spans="1:10" x14ac:dyDescent="0.3">
      <c r="A405">
        <v>403</v>
      </c>
      <c r="B405">
        <v>6405</v>
      </c>
      <c r="C405" t="b">
        <v>1</v>
      </c>
      <c r="D405">
        <v>8060</v>
      </c>
      <c r="E405">
        <v>8129</v>
      </c>
      <c r="F405">
        <v>21.666665999999999</v>
      </c>
      <c r="G405">
        <v>19</v>
      </c>
      <c r="H405">
        <v>1.1403508</v>
      </c>
      <c r="I405">
        <v>-0.14035085</v>
      </c>
      <c r="J405">
        <v>0.46721315000000002</v>
      </c>
    </row>
    <row r="406" spans="1:10" x14ac:dyDescent="0.3">
      <c r="A406">
        <v>404</v>
      </c>
      <c r="B406">
        <v>6421</v>
      </c>
      <c r="C406" t="b">
        <v>1</v>
      </c>
      <c r="D406">
        <v>8065</v>
      </c>
      <c r="E406">
        <v>8134</v>
      </c>
      <c r="F406">
        <v>22</v>
      </c>
      <c r="G406">
        <v>19</v>
      </c>
      <c r="H406">
        <v>1.1578946999999999</v>
      </c>
      <c r="I406">
        <v>-0.15789473000000001</v>
      </c>
      <c r="J406">
        <v>0.46341463999999999</v>
      </c>
    </row>
    <row r="407" spans="1:10" x14ac:dyDescent="0.3">
      <c r="A407">
        <v>405</v>
      </c>
      <c r="B407">
        <v>6437</v>
      </c>
      <c r="C407" t="b">
        <v>1</v>
      </c>
      <c r="D407">
        <v>8065</v>
      </c>
      <c r="E407">
        <v>8134</v>
      </c>
      <c r="F407">
        <v>22.333334000000001</v>
      </c>
      <c r="G407">
        <v>19</v>
      </c>
      <c r="H407">
        <v>1.1754385999999999</v>
      </c>
      <c r="I407">
        <v>-0.17543863000000001</v>
      </c>
      <c r="J407">
        <v>0.45967740000000001</v>
      </c>
    </row>
    <row r="408" spans="1:10" x14ac:dyDescent="0.3">
      <c r="A408">
        <v>406</v>
      </c>
      <c r="B408">
        <v>6452</v>
      </c>
      <c r="C408" t="b">
        <v>1</v>
      </c>
      <c r="D408">
        <v>8060</v>
      </c>
      <c r="E408">
        <v>8129</v>
      </c>
      <c r="F408">
        <v>22.666665999999999</v>
      </c>
      <c r="G408">
        <v>19</v>
      </c>
      <c r="H408">
        <v>1.1929824</v>
      </c>
      <c r="I408">
        <v>-0.19298241999999999</v>
      </c>
      <c r="J408">
        <v>0.45600003</v>
      </c>
    </row>
    <row r="409" spans="1:10" x14ac:dyDescent="0.3">
      <c r="A409">
        <v>407</v>
      </c>
      <c r="B409">
        <v>6468</v>
      </c>
      <c r="C409" t="b">
        <v>1</v>
      </c>
      <c r="D409">
        <v>8060</v>
      </c>
      <c r="E409">
        <v>8129</v>
      </c>
      <c r="F409">
        <v>22.666665999999999</v>
      </c>
      <c r="G409">
        <v>18.666665999999999</v>
      </c>
      <c r="H409">
        <v>1.2142857</v>
      </c>
      <c r="I409">
        <v>-0.21428572000000001</v>
      </c>
      <c r="J409">
        <v>0.45161289999999998</v>
      </c>
    </row>
    <row r="410" spans="1:10" x14ac:dyDescent="0.3">
      <c r="A410">
        <v>408</v>
      </c>
      <c r="B410">
        <v>6484</v>
      </c>
      <c r="C410" t="b">
        <v>1</v>
      </c>
      <c r="D410">
        <v>8065</v>
      </c>
      <c r="E410">
        <v>8134</v>
      </c>
      <c r="F410">
        <v>23</v>
      </c>
      <c r="G410">
        <v>18.666665999999999</v>
      </c>
      <c r="H410">
        <v>1.2321428999999999</v>
      </c>
      <c r="I410">
        <v>-0.23214290000000001</v>
      </c>
      <c r="J410">
        <v>0.44800000000000001</v>
      </c>
    </row>
    <row r="411" spans="1:10" x14ac:dyDescent="0.3">
      <c r="A411">
        <v>409</v>
      </c>
      <c r="B411">
        <v>6500</v>
      </c>
      <c r="C411" t="b">
        <v>1</v>
      </c>
      <c r="D411">
        <v>8065</v>
      </c>
      <c r="E411">
        <v>8134</v>
      </c>
      <c r="F411">
        <v>23.333334000000001</v>
      </c>
      <c r="G411">
        <v>18.666665999999999</v>
      </c>
      <c r="H411">
        <v>1.2500001000000001</v>
      </c>
      <c r="I411">
        <v>-0.2500001</v>
      </c>
      <c r="J411">
        <v>0.44444442000000001</v>
      </c>
    </row>
    <row r="412" spans="1:10" x14ac:dyDescent="0.3">
      <c r="A412">
        <v>410</v>
      </c>
      <c r="B412">
        <v>6516</v>
      </c>
      <c r="C412" t="b">
        <v>1</v>
      </c>
      <c r="D412">
        <v>8065</v>
      </c>
      <c r="E412">
        <v>8140</v>
      </c>
      <c r="F412">
        <v>23.666665999999999</v>
      </c>
      <c r="G412">
        <v>18.666665999999999</v>
      </c>
      <c r="H412">
        <v>1.2678571999999999</v>
      </c>
      <c r="I412">
        <v>-0.26785715999999998</v>
      </c>
      <c r="J412">
        <v>0.44094487999999998</v>
      </c>
    </row>
    <row r="413" spans="1:10" x14ac:dyDescent="0.3">
      <c r="A413">
        <v>411</v>
      </c>
      <c r="B413">
        <v>6532</v>
      </c>
      <c r="C413" t="b">
        <v>1</v>
      </c>
      <c r="D413">
        <v>8065</v>
      </c>
      <c r="E413">
        <v>8134</v>
      </c>
      <c r="F413">
        <v>24</v>
      </c>
      <c r="G413">
        <v>18.666665999999999</v>
      </c>
      <c r="H413">
        <v>1.2857144</v>
      </c>
      <c r="I413">
        <v>-0.28571433000000002</v>
      </c>
      <c r="J413">
        <v>0.4375</v>
      </c>
    </row>
    <row r="414" spans="1:10" x14ac:dyDescent="0.3">
      <c r="A414">
        <v>412</v>
      </c>
      <c r="B414">
        <v>6548</v>
      </c>
      <c r="C414" t="b">
        <v>1</v>
      </c>
      <c r="D414">
        <v>8065</v>
      </c>
      <c r="E414">
        <v>8134</v>
      </c>
      <c r="F414">
        <v>24.333334000000001</v>
      </c>
      <c r="G414">
        <v>18.666665999999999</v>
      </c>
      <c r="H414">
        <v>1.3035715000000001</v>
      </c>
      <c r="I414">
        <v>-0.30357149999999999</v>
      </c>
      <c r="J414">
        <v>0.43410852999999999</v>
      </c>
    </row>
    <row r="415" spans="1:10" x14ac:dyDescent="0.3">
      <c r="A415">
        <v>413</v>
      </c>
      <c r="B415">
        <v>6564</v>
      </c>
      <c r="C415" t="b">
        <v>1</v>
      </c>
      <c r="D415">
        <v>8065</v>
      </c>
      <c r="E415">
        <v>8134</v>
      </c>
      <c r="F415">
        <v>24.666665999999999</v>
      </c>
      <c r="G415">
        <v>18.666665999999999</v>
      </c>
      <c r="H415">
        <v>1.3214284999999999</v>
      </c>
      <c r="I415">
        <v>-0.32142860000000001</v>
      </c>
      <c r="J415">
        <v>0.43076923</v>
      </c>
    </row>
    <row r="416" spans="1:10" x14ac:dyDescent="0.3">
      <c r="A416">
        <v>414</v>
      </c>
      <c r="B416">
        <v>6580</v>
      </c>
      <c r="C416" t="b">
        <v>1</v>
      </c>
      <c r="D416">
        <v>8065</v>
      </c>
      <c r="E416">
        <v>8129</v>
      </c>
      <c r="F416">
        <v>24.666665999999999</v>
      </c>
      <c r="G416">
        <v>18.666665999999999</v>
      </c>
      <c r="H416">
        <v>1.3214284999999999</v>
      </c>
      <c r="I416">
        <v>-0.32142860000000001</v>
      </c>
      <c r="J416">
        <v>0.43076923</v>
      </c>
    </row>
    <row r="417" spans="1:10" x14ac:dyDescent="0.3">
      <c r="A417">
        <v>415</v>
      </c>
      <c r="B417">
        <v>6596</v>
      </c>
      <c r="C417" t="b">
        <v>1</v>
      </c>
      <c r="D417">
        <v>8060</v>
      </c>
      <c r="E417">
        <v>8134</v>
      </c>
      <c r="F417">
        <v>24.666665999999999</v>
      </c>
      <c r="G417">
        <v>18.666665999999999</v>
      </c>
      <c r="H417">
        <v>1.3214284999999999</v>
      </c>
      <c r="I417">
        <v>-0.32142860000000001</v>
      </c>
      <c r="J417">
        <v>0.43076923</v>
      </c>
    </row>
    <row r="418" spans="1:10" x14ac:dyDescent="0.3">
      <c r="A418">
        <v>416</v>
      </c>
      <c r="B418">
        <v>6612</v>
      </c>
      <c r="C418" t="b">
        <v>1</v>
      </c>
      <c r="D418">
        <v>8060</v>
      </c>
      <c r="E418">
        <v>8134</v>
      </c>
      <c r="F418">
        <v>24.666665999999999</v>
      </c>
      <c r="G418">
        <v>18.666665999999999</v>
      </c>
      <c r="H418">
        <v>1.3214284999999999</v>
      </c>
      <c r="I418">
        <v>-0.32142860000000001</v>
      </c>
      <c r="J418">
        <v>0.43076923</v>
      </c>
    </row>
    <row r="419" spans="1:10" x14ac:dyDescent="0.3">
      <c r="A419">
        <v>417</v>
      </c>
      <c r="B419">
        <v>6628</v>
      </c>
      <c r="C419" t="b">
        <v>1</v>
      </c>
      <c r="D419">
        <v>8060</v>
      </c>
      <c r="E419">
        <v>8140</v>
      </c>
      <c r="F419">
        <v>24.333334000000001</v>
      </c>
      <c r="G419">
        <v>18.666665999999999</v>
      </c>
      <c r="H419">
        <v>1.3035715000000001</v>
      </c>
      <c r="I419">
        <v>-0.30357149999999999</v>
      </c>
      <c r="J419">
        <v>0.43410852999999999</v>
      </c>
    </row>
    <row r="420" spans="1:10" x14ac:dyDescent="0.3">
      <c r="A420">
        <v>418</v>
      </c>
      <c r="B420">
        <v>6644</v>
      </c>
      <c r="C420" t="b">
        <v>1</v>
      </c>
      <c r="D420">
        <v>8065</v>
      </c>
      <c r="E420">
        <v>8140</v>
      </c>
      <c r="F420">
        <v>24</v>
      </c>
      <c r="G420">
        <v>18.666665999999999</v>
      </c>
      <c r="H420">
        <v>1.2857144</v>
      </c>
      <c r="I420">
        <v>-0.28571433000000002</v>
      </c>
      <c r="J420">
        <v>0.4375</v>
      </c>
    </row>
    <row r="421" spans="1:10" x14ac:dyDescent="0.3">
      <c r="A421">
        <v>419</v>
      </c>
      <c r="B421">
        <v>6659</v>
      </c>
      <c r="C421" t="b">
        <v>1</v>
      </c>
      <c r="D421">
        <v>8060</v>
      </c>
      <c r="E421">
        <v>8134</v>
      </c>
      <c r="F421">
        <v>23.666665999999999</v>
      </c>
      <c r="G421">
        <v>18.666665999999999</v>
      </c>
      <c r="H421">
        <v>1.2678571999999999</v>
      </c>
      <c r="I421">
        <v>-0.26785715999999998</v>
      </c>
      <c r="J421">
        <v>0.44094487999999998</v>
      </c>
    </row>
    <row r="422" spans="1:10" x14ac:dyDescent="0.3">
      <c r="A422">
        <v>420</v>
      </c>
      <c r="B422">
        <v>6675</v>
      </c>
      <c r="C422" t="b">
        <v>1</v>
      </c>
      <c r="D422">
        <v>8060</v>
      </c>
      <c r="E422">
        <v>8134</v>
      </c>
      <c r="F422">
        <v>23.333334000000001</v>
      </c>
      <c r="G422">
        <v>18.666665999999999</v>
      </c>
      <c r="H422">
        <v>1.2500001000000001</v>
      </c>
      <c r="I422">
        <v>-0.2500001</v>
      </c>
      <c r="J422">
        <v>0.44444442000000001</v>
      </c>
    </row>
    <row r="423" spans="1:10" x14ac:dyDescent="0.3">
      <c r="A423">
        <v>421</v>
      </c>
      <c r="B423">
        <v>6691</v>
      </c>
      <c r="C423" t="b">
        <v>1</v>
      </c>
      <c r="D423">
        <v>8060</v>
      </c>
      <c r="E423">
        <v>8134</v>
      </c>
      <c r="F423">
        <v>23</v>
      </c>
      <c r="G423">
        <v>18.666665999999999</v>
      </c>
      <c r="H423">
        <v>1.2321428999999999</v>
      </c>
      <c r="I423">
        <v>-0.23214290000000001</v>
      </c>
      <c r="J423">
        <v>0.44800000000000001</v>
      </c>
    </row>
    <row r="424" spans="1:10" x14ac:dyDescent="0.3">
      <c r="A424">
        <v>422</v>
      </c>
      <c r="B424">
        <v>6706</v>
      </c>
      <c r="C424" t="b">
        <v>1</v>
      </c>
      <c r="D424">
        <v>8065</v>
      </c>
      <c r="E424">
        <v>8134</v>
      </c>
      <c r="F424">
        <v>23</v>
      </c>
      <c r="G424">
        <v>19</v>
      </c>
      <c r="H424">
        <v>1.2105262999999999</v>
      </c>
      <c r="I424">
        <v>-0.21052631999999999</v>
      </c>
      <c r="J424">
        <v>0.45238096</v>
      </c>
    </row>
    <row r="425" spans="1:10" x14ac:dyDescent="0.3">
      <c r="A425">
        <v>423</v>
      </c>
      <c r="B425">
        <v>6722</v>
      </c>
      <c r="C425" t="b">
        <v>1</v>
      </c>
      <c r="D425">
        <v>8060</v>
      </c>
      <c r="E425">
        <v>8134</v>
      </c>
      <c r="F425">
        <v>22.666665999999999</v>
      </c>
      <c r="G425">
        <v>19</v>
      </c>
      <c r="H425">
        <v>1.1929824</v>
      </c>
      <c r="I425">
        <v>-0.19298241999999999</v>
      </c>
      <c r="J425">
        <v>0.45600003</v>
      </c>
    </row>
    <row r="426" spans="1:10" x14ac:dyDescent="0.3">
      <c r="A426">
        <v>424</v>
      </c>
      <c r="B426">
        <v>6738</v>
      </c>
      <c r="C426" t="b">
        <v>1</v>
      </c>
      <c r="D426">
        <v>8060</v>
      </c>
      <c r="E426">
        <v>8134</v>
      </c>
      <c r="F426">
        <v>22.333334000000001</v>
      </c>
      <c r="G426">
        <v>19</v>
      </c>
      <c r="H426">
        <v>1.1754385999999999</v>
      </c>
      <c r="I426">
        <v>-0.17543863000000001</v>
      </c>
      <c r="J426">
        <v>0.45967740000000001</v>
      </c>
    </row>
    <row r="427" spans="1:10" x14ac:dyDescent="0.3">
      <c r="A427">
        <v>425</v>
      </c>
      <c r="B427">
        <v>6754</v>
      </c>
      <c r="C427" t="b">
        <v>1</v>
      </c>
      <c r="D427">
        <v>8060</v>
      </c>
      <c r="E427">
        <v>8129</v>
      </c>
      <c r="F427">
        <v>22</v>
      </c>
      <c r="G427">
        <v>19</v>
      </c>
      <c r="H427">
        <v>1.1578946999999999</v>
      </c>
      <c r="I427">
        <v>-0.15789473000000001</v>
      </c>
      <c r="J427">
        <v>0.46341463999999999</v>
      </c>
    </row>
    <row r="428" spans="1:10" x14ac:dyDescent="0.3">
      <c r="A428">
        <v>426</v>
      </c>
      <c r="B428">
        <v>6769</v>
      </c>
      <c r="C428" t="b">
        <v>1</v>
      </c>
      <c r="D428">
        <v>8060</v>
      </c>
      <c r="E428">
        <v>8134</v>
      </c>
      <c r="F428">
        <v>21.666665999999999</v>
      </c>
      <c r="G428">
        <v>19</v>
      </c>
      <c r="H428">
        <v>1.1403508</v>
      </c>
      <c r="I428">
        <v>-0.14035085</v>
      </c>
      <c r="J428">
        <v>0.46721315000000002</v>
      </c>
    </row>
    <row r="429" spans="1:10" x14ac:dyDescent="0.3">
      <c r="A429">
        <v>427</v>
      </c>
      <c r="B429">
        <v>6785</v>
      </c>
      <c r="C429" t="b">
        <v>1</v>
      </c>
      <c r="D429">
        <v>8054</v>
      </c>
      <c r="E429">
        <v>8129</v>
      </c>
      <c r="F429">
        <v>21.333334000000001</v>
      </c>
      <c r="G429">
        <v>19</v>
      </c>
      <c r="H429">
        <v>1.1228070000000001</v>
      </c>
      <c r="I429">
        <v>-0.12280705</v>
      </c>
      <c r="J429">
        <v>0.47107433999999998</v>
      </c>
    </row>
    <row r="430" spans="1:10" x14ac:dyDescent="0.3">
      <c r="A430">
        <v>428</v>
      </c>
      <c r="B430">
        <v>6801</v>
      </c>
      <c r="C430" t="b">
        <v>1</v>
      </c>
      <c r="D430">
        <v>8054</v>
      </c>
      <c r="E430">
        <v>8123</v>
      </c>
      <c r="F430">
        <v>21</v>
      </c>
      <c r="G430">
        <v>18.666665999999999</v>
      </c>
      <c r="H430">
        <v>1.125</v>
      </c>
      <c r="I430">
        <v>-0.12500004000000001</v>
      </c>
      <c r="J430">
        <v>0.47058823999999999</v>
      </c>
    </row>
    <row r="431" spans="1:10" x14ac:dyDescent="0.3">
      <c r="A431">
        <v>429</v>
      </c>
      <c r="B431">
        <v>6817</v>
      </c>
      <c r="C431" t="b">
        <v>1</v>
      </c>
      <c r="D431">
        <v>8054</v>
      </c>
      <c r="E431">
        <v>8129</v>
      </c>
      <c r="F431">
        <v>20.266666000000001</v>
      </c>
      <c r="G431">
        <v>18.333334000000001</v>
      </c>
      <c r="H431">
        <v>1.1054543999999999</v>
      </c>
      <c r="I431">
        <v>-0.10545449</v>
      </c>
      <c r="J431">
        <v>0.47495686999999998</v>
      </c>
    </row>
    <row r="432" spans="1:10" x14ac:dyDescent="0.3">
      <c r="A432">
        <v>430</v>
      </c>
      <c r="B432">
        <v>6833</v>
      </c>
      <c r="C432" t="b">
        <v>1</v>
      </c>
      <c r="D432">
        <v>8048</v>
      </c>
      <c r="E432">
        <v>8129</v>
      </c>
      <c r="F432">
        <v>19.533332999999999</v>
      </c>
      <c r="G432">
        <v>18</v>
      </c>
      <c r="H432">
        <v>1.0851852</v>
      </c>
      <c r="I432">
        <v>-8.5185154999999999E-2</v>
      </c>
      <c r="J432">
        <v>0.47957372999999998</v>
      </c>
    </row>
    <row r="433" spans="1:10" x14ac:dyDescent="0.3">
      <c r="A433">
        <v>431</v>
      </c>
      <c r="B433">
        <v>6849</v>
      </c>
      <c r="C433" t="b">
        <v>1</v>
      </c>
      <c r="D433">
        <v>8054</v>
      </c>
      <c r="E433">
        <v>8129</v>
      </c>
      <c r="F433">
        <v>18.8</v>
      </c>
      <c r="G433">
        <v>17.666665999999999</v>
      </c>
      <c r="H433">
        <v>1.0641509</v>
      </c>
      <c r="I433">
        <v>-6.4150940000000004E-2</v>
      </c>
      <c r="J433">
        <v>0.48446067999999998</v>
      </c>
    </row>
    <row r="434" spans="1:10" x14ac:dyDescent="0.3">
      <c r="A434">
        <v>432</v>
      </c>
      <c r="B434">
        <v>6865</v>
      </c>
      <c r="C434" t="b">
        <v>1</v>
      </c>
      <c r="D434">
        <v>8054</v>
      </c>
      <c r="E434">
        <v>8134</v>
      </c>
      <c r="F434">
        <v>18.399999999999999</v>
      </c>
      <c r="G434">
        <v>17.333334000000001</v>
      </c>
      <c r="H434">
        <v>1.0615384999999999</v>
      </c>
      <c r="I434">
        <v>-6.1538401999999999E-2</v>
      </c>
      <c r="J434">
        <v>0.48507464</v>
      </c>
    </row>
    <row r="435" spans="1:10" x14ac:dyDescent="0.3">
      <c r="A435">
        <v>433</v>
      </c>
      <c r="B435">
        <v>6881</v>
      </c>
      <c r="C435" t="b">
        <v>1</v>
      </c>
      <c r="D435">
        <v>8054</v>
      </c>
      <c r="E435">
        <v>8134</v>
      </c>
      <c r="F435">
        <v>18</v>
      </c>
      <c r="G435">
        <v>17</v>
      </c>
      <c r="H435">
        <v>1.0588236</v>
      </c>
      <c r="I435">
        <v>-5.8823529999999999E-2</v>
      </c>
      <c r="J435">
        <v>0.48571429999999999</v>
      </c>
    </row>
    <row r="436" spans="1:10" x14ac:dyDescent="0.3">
      <c r="A436">
        <v>434</v>
      </c>
      <c r="B436">
        <v>6897</v>
      </c>
      <c r="C436" t="b">
        <v>1</v>
      </c>
      <c r="D436">
        <v>8060</v>
      </c>
      <c r="E436">
        <v>8134</v>
      </c>
      <c r="F436">
        <v>17.600000000000001</v>
      </c>
      <c r="G436">
        <v>17</v>
      </c>
      <c r="H436">
        <v>1.0352942000000001</v>
      </c>
      <c r="I436">
        <v>-3.5294140000000002E-2</v>
      </c>
      <c r="J436">
        <v>0.49132949999999997</v>
      </c>
    </row>
    <row r="437" spans="1:10" x14ac:dyDescent="0.3">
      <c r="A437">
        <v>435</v>
      </c>
      <c r="B437">
        <v>6913</v>
      </c>
      <c r="C437" t="b">
        <v>1</v>
      </c>
      <c r="D437">
        <v>8060</v>
      </c>
      <c r="E437">
        <v>8134</v>
      </c>
      <c r="F437">
        <v>17.2</v>
      </c>
      <c r="G437">
        <v>17</v>
      </c>
      <c r="H437">
        <v>1.0117647999999999</v>
      </c>
      <c r="I437">
        <v>-1.1764751E-2</v>
      </c>
      <c r="J437">
        <v>0.49707600000000002</v>
      </c>
    </row>
    <row r="438" spans="1:10" x14ac:dyDescent="0.3">
      <c r="A438">
        <v>436</v>
      </c>
      <c r="B438">
        <v>6928</v>
      </c>
      <c r="C438" t="b">
        <v>1</v>
      </c>
      <c r="D438">
        <v>8060</v>
      </c>
      <c r="E438">
        <v>8140</v>
      </c>
      <c r="F438">
        <v>17.2</v>
      </c>
      <c r="G438">
        <v>17</v>
      </c>
      <c r="H438">
        <v>1.0117647999999999</v>
      </c>
      <c r="I438">
        <v>-1.1764751E-2</v>
      </c>
      <c r="J438">
        <v>0.49707600000000002</v>
      </c>
    </row>
    <row r="439" spans="1:10" x14ac:dyDescent="0.3">
      <c r="A439">
        <v>437</v>
      </c>
      <c r="B439">
        <v>6944</v>
      </c>
      <c r="C439" t="b">
        <v>1</v>
      </c>
      <c r="D439">
        <v>8060</v>
      </c>
      <c r="E439">
        <v>8134</v>
      </c>
      <c r="F439">
        <v>17.2</v>
      </c>
      <c r="G439">
        <v>17</v>
      </c>
      <c r="H439">
        <v>1.0117647999999999</v>
      </c>
      <c r="I439">
        <v>-1.1764751E-2</v>
      </c>
      <c r="J439">
        <v>0.49707600000000002</v>
      </c>
    </row>
    <row r="440" spans="1:10" x14ac:dyDescent="0.3">
      <c r="A440">
        <v>438</v>
      </c>
      <c r="B440">
        <v>6960</v>
      </c>
      <c r="C440" t="b">
        <v>1</v>
      </c>
      <c r="D440">
        <v>8060</v>
      </c>
      <c r="E440">
        <v>8140</v>
      </c>
      <c r="F440">
        <v>17.2</v>
      </c>
      <c r="G440">
        <v>17</v>
      </c>
      <c r="H440">
        <v>1.0117647999999999</v>
      </c>
      <c r="I440">
        <v>-1.1764751E-2</v>
      </c>
      <c r="J440">
        <v>0.49707600000000002</v>
      </c>
    </row>
    <row r="441" spans="1:10" x14ac:dyDescent="0.3">
      <c r="A441">
        <v>439</v>
      </c>
      <c r="B441">
        <v>6975</v>
      </c>
      <c r="C441" t="b">
        <v>1</v>
      </c>
      <c r="D441">
        <v>8065</v>
      </c>
      <c r="E441">
        <v>8134</v>
      </c>
      <c r="F441">
        <v>17.2</v>
      </c>
      <c r="G441">
        <v>17</v>
      </c>
      <c r="H441">
        <v>1.0117647999999999</v>
      </c>
      <c r="I441">
        <v>-1.1764751E-2</v>
      </c>
      <c r="J441">
        <v>0.49707600000000002</v>
      </c>
    </row>
    <row r="442" spans="1:10" x14ac:dyDescent="0.3">
      <c r="A442">
        <v>440</v>
      </c>
      <c r="B442">
        <v>6991</v>
      </c>
      <c r="C442" t="b">
        <v>1</v>
      </c>
      <c r="D442">
        <v>8060</v>
      </c>
      <c r="E442">
        <v>8134</v>
      </c>
      <c r="F442">
        <v>17.2</v>
      </c>
      <c r="G442">
        <v>17</v>
      </c>
      <c r="H442">
        <v>1.0117647999999999</v>
      </c>
      <c r="I442">
        <v>-1.1764751E-2</v>
      </c>
      <c r="J442">
        <v>0.49707600000000002</v>
      </c>
    </row>
    <row r="443" spans="1:10" x14ac:dyDescent="0.3">
      <c r="A443">
        <v>441</v>
      </c>
      <c r="B443">
        <v>7007</v>
      </c>
      <c r="C443" t="b">
        <v>1</v>
      </c>
      <c r="D443">
        <v>8054</v>
      </c>
      <c r="E443">
        <v>8134</v>
      </c>
      <c r="F443">
        <v>17.2</v>
      </c>
      <c r="G443">
        <v>17</v>
      </c>
      <c r="H443">
        <v>1.0117647999999999</v>
      </c>
      <c r="I443">
        <v>-1.1764751E-2</v>
      </c>
      <c r="J443">
        <v>0.49707600000000002</v>
      </c>
    </row>
    <row r="444" spans="1:10" x14ac:dyDescent="0.3">
      <c r="A444">
        <v>442</v>
      </c>
      <c r="B444">
        <v>7023</v>
      </c>
      <c r="C444" t="b">
        <v>1</v>
      </c>
      <c r="D444">
        <v>8054</v>
      </c>
      <c r="E444">
        <v>8129</v>
      </c>
      <c r="F444">
        <v>17.2</v>
      </c>
      <c r="G444">
        <v>17</v>
      </c>
      <c r="H444">
        <v>1.0117647999999999</v>
      </c>
      <c r="I444">
        <v>-1.1764751E-2</v>
      </c>
      <c r="J444">
        <v>0.49707600000000002</v>
      </c>
    </row>
    <row r="445" spans="1:10" x14ac:dyDescent="0.3">
      <c r="A445">
        <v>443</v>
      </c>
      <c r="B445">
        <v>7039</v>
      </c>
      <c r="C445" t="b">
        <v>1</v>
      </c>
      <c r="D445">
        <v>8054</v>
      </c>
      <c r="E445">
        <v>8129</v>
      </c>
      <c r="F445">
        <v>16.8</v>
      </c>
      <c r="G445">
        <v>17.333334000000001</v>
      </c>
      <c r="H445">
        <v>0.9692307</v>
      </c>
      <c r="I445">
        <v>3.0769310000000001E-2</v>
      </c>
      <c r="J445">
        <v>0.50781255999999997</v>
      </c>
    </row>
    <row r="446" spans="1:10" x14ac:dyDescent="0.3">
      <c r="A446">
        <v>444</v>
      </c>
      <c r="B446">
        <v>7055</v>
      </c>
      <c r="C446" t="b">
        <v>1</v>
      </c>
      <c r="D446">
        <v>8060</v>
      </c>
      <c r="E446">
        <v>8129</v>
      </c>
      <c r="F446">
        <v>16.8</v>
      </c>
      <c r="G446">
        <v>17.333334000000001</v>
      </c>
      <c r="H446">
        <v>0.9692307</v>
      </c>
      <c r="I446">
        <v>3.0769310000000001E-2</v>
      </c>
      <c r="J446">
        <v>0.50781255999999997</v>
      </c>
    </row>
    <row r="447" spans="1:10" x14ac:dyDescent="0.3">
      <c r="A447">
        <v>445</v>
      </c>
      <c r="B447">
        <v>7071</v>
      </c>
      <c r="C447" t="b">
        <v>1</v>
      </c>
      <c r="D447">
        <v>8060</v>
      </c>
      <c r="E447">
        <v>8129</v>
      </c>
      <c r="F447">
        <v>16.8</v>
      </c>
      <c r="G447">
        <v>17.333334000000001</v>
      </c>
      <c r="H447">
        <v>0.9692307</v>
      </c>
      <c r="I447">
        <v>3.0769310000000001E-2</v>
      </c>
      <c r="J447">
        <v>0.50781255999999997</v>
      </c>
    </row>
    <row r="448" spans="1:10" x14ac:dyDescent="0.3">
      <c r="A448">
        <v>446</v>
      </c>
      <c r="B448">
        <v>7087</v>
      </c>
      <c r="C448" t="b">
        <v>1</v>
      </c>
      <c r="D448">
        <v>8054</v>
      </c>
      <c r="E448">
        <v>8134</v>
      </c>
      <c r="F448">
        <v>16.8</v>
      </c>
      <c r="G448">
        <v>17.333334000000001</v>
      </c>
      <c r="H448">
        <v>0.9692307</v>
      </c>
      <c r="I448">
        <v>3.0769310000000001E-2</v>
      </c>
      <c r="J448">
        <v>0.50781255999999997</v>
      </c>
    </row>
    <row r="449" spans="1:10" x14ac:dyDescent="0.3">
      <c r="A449">
        <v>447</v>
      </c>
      <c r="B449">
        <v>7103</v>
      </c>
      <c r="C449" t="b">
        <v>1</v>
      </c>
      <c r="D449">
        <v>8060</v>
      </c>
      <c r="E449">
        <v>8129</v>
      </c>
      <c r="F449">
        <v>17.2</v>
      </c>
      <c r="G449">
        <v>17.333334000000001</v>
      </c>
      <c r="H449">
        <v>0.99230770000000001</v>
      </c>
      <c r="I449">
        <v>7.6923002000000001E-3</v>
      </c>
      <c r="J449">
        <v>0.50193052999999999</v>
      </c>
    </row>
    <row r="450" spans="1:10" x14ac:dyDescent="0.3">
      <c r="A450">
        <v>448</v>
      </c>
      <c r="B450">
        <v>7118</v>
      </c>
      <c r="C450" t="b">
        <v>1</v>
      </c>
      <c r="D450">
        <v>8065</v>
      </c>
      <c r="E450">
        <v>8123</v>
      </c>
      <c r="F450">
        <v>17.600000000000001</v>
      </c>
      <c r="G450">
        <v>17.333334000000001</v>
      </c>
      <c r="H450">
        <v>1.0153846</v>
      </c>
      <c r="I450">
        <v>-1.53846005E-2</v>
      </c>
      <c r="J450">
        <v>0.49618321999999998</v>
      </c>
    </row>
    <row r="451" spans="1:10" x14ac:dyDescent="0.3">
      <c r="A451">
        <v>449</v>
      </c>
      <c r="B451">
        <v>7134</v>
      </c>
      <c r="C451" t="b">
        <v>1</v>
      </c>
      <c r="D451">
        <v>8060</v>
      </c>
      <c r="E451">
        <v>8123</v>
      </c>
      <c r="F451">
        <v>18</v>
      </c>
      <c r="G451">
        <v>17</v>
      </c>
      <c r="H451">
        <v>1.0588236</v>
      </c>
      <c r="I451">
        <v>-5.8823529999999999E-2</v>
      </c>
      <c r="J451">
        <v>0.48571429999999999</v>
      </c>
    </row>
    <row r="452" spans="1:10" x14ac:dyDescent="0.3">
      <c r="A452">
        <v>450</v>
      </c>
      <c r="B452">
        <v>7150</v>
      </c>
      <c r="C452" t="b">
        <v>1</v>
      </c>
      <c r="D452">
        <v>8060</v>
      </c>
      <c r="E452">
        <v>8123</v>
      </c>
      <c r="F452">
        <v>18.399999999999999</v>
      </c>
      <c r="G452">
        <v>16.266666000000001</v>
      </c>
      <c r="H452">
        <v>1.1311475</v>
      </c>
      <c r="I452">
        <v>-0.13114753000000001</v>
      </c>
      <c r="J452">
        <v>0.4692308</v>
      </c>
    </row>
    <row r="453" spans="1:10" x14ac:dyDescent="0.3">
      <c r="A453">
        <v>451</v>
      </c>
      <c r="B453">
        <v>7166</v>
      </c>
      <c r="C453" t="b">
        <v>1</v>
      </c>
      <c r="D453">
        <v>8060</v>
      </c>
      <c r="E453">
        <v>8129</v>
      </c>
      <c r="F453">
        <v>18.399999999999999</v>
      </c>
      <c r="G453">
        <v>15.533334</v>
      </c>
      <c r="H453">
        <v>1.1845493</v>
      </c>
      <c r="I453">
        <v>-0.1845493</v>
      </c>
      <c r="J453">
        <v>0.45776030000000001</v>
      </c>
    </row>
    <row r="454" spans="1:10" x14ac:dyDescent="0.3">
      <c r="A454">
        <v>452</v>
      </c>
      <c r="B454">
        <v>7182</v>
      </c>
      <c r="C454" t="b">
        <v>1</v>
      </c>
      <c r="D454">
        <v>8065</v>
      </c>
      <c r="E454">
        <v>8129</v>
      </c>
      <c r="F454">
        <v>18.399999999999999</v>
      </c>
      <c r="G454">
        <v>14.8</v>
      </c>
      <c r="H454">
        <v>1.2432432</v>
      </c>
      <c r="I454">
        <v>-0.24324319999999999</v>
      </c>
      <c r="J454">
        <v>0.44578314000000002</v>
      </c>
    </row>
    <row r="455" spans="1:10" x14ac:dyDescent="0.3">
      <c r="A455">
        <v>453</v>
      </c>
      <c r="B455">
        <v>7198</v>
      </c>
      <c r="C455" t="b">
        <v>1</v>
      </c>
      <c r="D455">
        <v>8065</v>
      </c>
      <c r="E455">
        <v>8123</v>
      </c>
      <c r="F455">
        <v>18.399999999999999</v>
      </c>
      <c r="G455">
        <v>14.066667000000001</v>
      </c>
      <c r="H455">
        <v>1.3080567999999999</v>
      </c>
      <c r="I455">
        <v>-0.30805685999999999</v>
      </c>
      <c r="J455">
        <v>0.43326488000000002</v>
      </c>
    </row>
    <row r="456" spans="1:10" x14ac:dyDescent="0.3">
      <c r="A456">
        <v>454</v>
      </c>
      <c r="B456">
        <v>7214</v>
      </c>
      <c r="C456" t="b">
        <v>1</v>
      </c>
      <c r="D456">
        <v>8060</v>
      </c>
      <c r="E456">
        <v>8129</v>
      </c>
      <c r="F456">
        <v>18.399999999999999</v>
      </c>
      <c r="G456">
        <v>13.733333999999999</v>
      </c>
      <c r="H456">
        <v>1.3398057000000001</v>
      </c>
      <c r="I456">
        <v>-0.33980578</v>
      </c>
      <c r="J456">
        <v>0.42738593000000002</v>
      </c>
    </row>
    <row r="457" spans="1:10" x14ac:dyDescent="0.3">
      <c r="A457">
        <v>455</v>
      </c>
      <c r="B457">
        <v>7230</v>
      </c>
      <c r="C457" t="b">
        <v>1</v>
      </c>
      <c r="D457">
        <v>8060</v>
      </c>
      <c r="E457">
        <v>8123</v>
      </c>
      <c r="F457">
        <v>18.399999999999999</v>
      </c>
      <c r="G457">
        <v>13.4</v>
      </c>
      <c r="H457">
        <v>1.3731344000000001</v>
      </c>
      <c r="I457">
        <v>-0.37313434000000001</v>
      </c>
      <c r="J457">
        <v>0.42138365</v>
      </c>
    </row>
    <row r="458" spans="1:10" x14ac:dyDescent="0.3">
      <c r="A458">
        <v>456</v>
      </c>
      <c r="B458">
        <v>7246</v>
      </c>
      <c r="C458" t="b">
        <v>1</v>
      </c>
      <c r="D458">
        <v>8060</v>
      </c>
      <c r="E458">
        <v>8123</v>
      </c>
      <c r="F458">
        <v>18.399999999999999</v>
      </c>
      <c r="G458">
        <v>12.666667</v>
      </c>
      <c r="H458">
        <v>1.4526315000000001</v>
      </c>
      <c r="I458">
        <v>-0.45263150000000002</v>
      </c>
      <c r="J458">
        <v>0.40772533</v>
      </c>
    </row>
    <row r="459" spans="1:10" x14ac:dyDescent="0.3">
      <c r="A459">
        <v>457</v>
      </c>
      <c r="B459">
        <v>7262</v>
      </c>
      <c r="C459" t="b">
        <v>1</v>
      </c>
      <c r="D459">
        <v>8060</v>
      </c>
      <c r="E459">
        <v>8123</v>
      </c>
      <c r="F459">
        <v>18.399999999999999</v>
      </c>
      <c r="G459">
        <v>11.933332999999999</v>
      </c>
      <c r="H459">
        <v>1.5418993999999999</v>
      </c>
      <c r="I459">
        <v>-0.54189940000000003</v>
      </c>
      <c r="J459">
        <v>0.3934066</v>
      </c>
    </row>
    <row r="460" spans="1:10" x14ac:dyDescent="0.3">
      <c r="A460">
        <v>458</v>
      </c>
      <c r="B460">
        <v>7278</v>
      </c>
      <c r="C460" t="b">
        <v>1</v>
      </c>
      <c r="D460">
        <v>8060</v>
      </c>
      <c r="E460">
        <v>8129</v>
      </c>
      <c r="F460">
        <v>18.8</v>
      </c>
      <c r="G460">
        <v>11.2</v>
      </c>
      <c r="H460">
        <v>1.6785713</v>
      </c>
      <c r="I460">
        <v>-0.67857140000000005</v>
      </c>
      <c r="J460">
        <v>0.37333333000000002</v>
      </c>
    </row>
    <row r="461" spans="1:10" x14ac:dyDescent="0.3">
      <c r="A461">
        <v>459</v>
      </c>
      <c r="B461">
        <v>7294</v>
      </c>
      <c r="C461" t="b">
        <v>1</v>
      </c>
      <c r="D461">
        <v>8065</v>
      </c>
      <c r="E461">
        <v>8129</v>
      </c>
      <c r="F461">
        <v>19.2</v>
      </c>
      <c r="G461">
        <v>10.8</v>
      </c>
      <c r="H461">
        <v>1.7777778</v>
      </c>
      <c r="I461">
        <v>-0.77777779999999996</v>
      </c>
      <c r="J461">
        <v>0.36</v>
      </c>
    </row>
    <row r="462" spans="1:10" x14ac:dyDescent="0.3">
      <c r="A462">
        <v>460</v>
      </c>
      <c r="B462">
        <v>7310</v>
      </c>
      <c r="C462" t="b">
        <v>1</v>
      </c>
      <c r="D462">
        <v>8065</v>
      </c>
      <c r="E462">
        <v>8134</v>
      </c>
      <c r="F462">
        <v>19.600000000000001</v>
      </c>
      <c r="G462">
        <v>10.8</v>
      </c>
      <c r="H462">
        <v>1.8148148</v>
      </c>
      <c r="I462">
        <v>-0.81481479999999995</v>
      </c>
      <c r="J462">
        <v>0.35526313999999998</v>
      </c>
    </row>
    <row r="463" spans="1:10" x14ac:dyDescent="0.3">
      <c r="A463">
        <v>461</v>
      </c>
      <c r="B463">
        <v>7325</v>
      </c>
      <c r="C463" t="b">
        <v>1</v>
      </c>
      <c r="D463">
        <v>8060</v>
      </c>
      <c r="E463">
        <v>8134</v>
      </c>
      <c r="F463">
        <v>20</v>
      </c>
      <c r="G463">
        <v>10.8</v>
      </c>
      <c r="H463">
        <v>1.8518517999999999</v>
      </c>
      <c r="I463">
        <v>-0.85185180000000005</v>
      </c>
      <c r="J463">
        <v>0.35064936000000002</v>
      </c>
    </row>
    <row r="464" spans="1:10" x14ac:dyDescent="0.3">
      <c r="A464">
        <v>462</v>
      </c>
      <c r="B464">
        <v>7341</v>
      </c>
      <c r="C464" t="b">
        <v>1</v>
      </c>
      <c r="D464">
        <v>8054</v>
      </c>
      <c r="E464">
        <v>8129</v>
      </c>
      <c r="F464">
        <v>20</v>
      </c>
      <c r="G464">
        <v>10.8</v>
      </c>
      <c r="H464">
        <v>1.8518517999999999</v>
      </c>
      <c r="I464">
        <v>-0.85185180000000005</v>
      </c>
      <c r="J464">
        <v>0.35064936000000002</v>
      </c>
    </row>
    <row r="465" spans="1:10" x14ac:dyDescent="0.3">
      <c r="A465">
        <v>463</v>
      </c>
      <c r="B465">
        <v>7357</v>
      </c>
      <c r="C465" t="b">
        <v>1</v>
      </c>
      <c r="D465">
        <v>8060</v>
      </c>
      <c r="E465">
        <v>8129</v>
      </c>
      <c r="F465">
        <v>20</v>
      </c>
      <c r="G465">
        <v>10.8</v>
      </c>
      <c r="H465">
        <v>1.8518517999999999</v>
      </c>
      <c r="I465">
        <v>-0.85185180000000005</v>
      </c>
      <c r="J465">
        <v>0.35064936000000002</v>
      </c>
    </row>
    <row r="466" spans="1:10" x14ac:dyDescent="0.3">
      <c r="A466">
        <v>464</v>
      </c>
      <c r="B466">
        <v>7373</v>
      </c>
      <c r="C466" t="b">
        <v>1</v>
      </c>
      <c r="D466">
        <v>8060</v>
      </c>
      <c r="E466">
        <v>8134</v>
      </c>
      <c r="F466">
        <v>20</v>
      </c>
      <c r="G466">
        <v>11.133333</v>
      </c>
      <c r="H466">
        <v>1.7964072</v>
      </c>
      <c r="I466">
        <v>-0.79640719999999998</v>
      </c>
      <c r="J466">
        <v>0.35760170000000002</v>
      </c>
    </row>
    <row r="467" spans="1:10" x14ac:dyDescent="0.3">
      <c r="A467">
        <v>465</v>
      </c>
      <c r="B467">
        <v>7389</v>
      </c>
      <c r="C467" t="b">
        <v>1</v>
      </c>
      <c r="D467">
        <v>8065</v>
      </c>
      <c r="E467">
        <v>8134</v>
      </c>
      <c r="F467">
        <v>20</v>
      </c>
      <c r="G467">
        <v>11.866667</v>
      </c>
      <c r="H467">
        <v>1.6853932</v>
      </c>
      <c r="I467">
        <v>-0.68539320000000004</v>
      </c>
      <c r="J467">
        <v>0.37238494</v>
      </c>
    </row>
    <row r="468" spans="1:10" x14ac:dyDescent="0.3">
      <c r="A468">
        <v>466</v>
      </c>
      <c r="B468">
        <v>7405</v>
      </c>
      <c r="C468" t="b">
        <v>1</v>
      </c>
      <c r="D468">
        <v>8065</v>
      </c>
      <c r="E468">
        <v>8134</v>
      </c>
      <c r="F468">
        <v>20</v>
      </c>
      <c r="G468">
        <v>12.6</v>
      </c>
      <c r="H468">
        <v>1.5873014999999999</v>
      </c>
      <c r="I468">
        <v>-0.58730154999999995</v>
      </c>
      <c r="J468">
        <v>0.38650309999999999</v>
      </c>
    </row>
    <row r="469" spans="1:10" x14ac:dyDescent="0.3">
      <c r="A469">
        <v>467</v>
      </c>
      <c r="B469">
        <v>7421</v>
      </c>
      <c r="C469" t="b">
        <v>1</v>
      </c>
      <c r="D469">
        <v>8060</v>
      </c>
      <c r="E469">
        <v>8134</v>
      </c>
      <c r="F469">
        <v>20</v>
      </c>
      <c r="G469">
        <v>13.333333</v>
      </c>
      <c r="H469">
        <v>1.5</v>
      </c>
      <c r="I469">
        <v>-0.50000005999999997</v>
      </c>
      <c r="J469">
        <v>0.4</v>
      </c>
    </row>
    <row r="470" spans="1:10" x14ac:dyDescent="0.3">
      <c r="A470">
        <v>468</v>
      </c>
      <c r="B470">
        <v>7437</v>
      </c>
      <c r="C470" t="b">
        <v>1</v>
      </c>
      <c r="D470">
        <v>8060</v>
      </c>
      <c r="E470">
        <v>8134</v>
      </c>
      <c r="F470">
        <v>20</v>
      </c>
      <c r="G470">
        <v>14.066667000000001</v>
      </c>
      <c r="H470">
        <v>1.4218010000000001</v>
      </c>
      <c r="I470">
        <v>-0.42180094000000001</v>
      </c>
      <c r="J470">
        <v>0.41291586000000002</v>
      </c>
    </row>
    <row r="471" spans="1:10" x14ac:dyDescent="0.3">
      <c r="A471">
        <v>469</v>
      </c>
      <c r="B471">
        <v>7453</v>
      </c>
      <c r="C471" t="b">
        <v>1</v>
      </c>
      <c r="D471">
        <v>8065</v>
      </c>
      <c r="E471">
        <v>8134</v>
      </c>
      <c r="F471">
        <v>20.333334000000001</v>
      </c>
      <c r="G471">
        <v>14.4</v>
      </c>
      <c r="H471">
        <v>1.4120371</v>
      </c>
      <c r="I471">
        <v>-0.41203709999999999</v>
      </c>
      <c r="J471">
        <v>0.41458731999999998</v>
      </c>
    </row>
    <row r="472" spans="1:10" x14ac:dyDescent="0.3">
      <c r="A472">
        <v>470</v>
      </c>
      <c r="B472">
        <v>7468</v>
      </c>
      <c r="C472" t="b">
        <v>1</v>
      </c>
      <c r="D472">
        <v>8065</v>
      </c>
      <c r="E472">
        <v>8129</v>
      </c>
      <c r="F472">
        <v>20.666665999999999</v>
      </c>
      <c r="G472">
        <v>14.733333999999999</v>
      </c>
      <c r="H472">
        <v>1.4027148</v>
      </c>
      <c r="I472">
        <v>-0.40271488</v>
      </c>
      <c r="J472">
        <v>0.41619583999999998</v>
      </c>
    </row>
    <row r="473" spans="1:10" x14ac:dyDescent="0.3">
      <c r="A473">
        <v>471</v>
      </c>
      <c r="B473">
        <v>7484</v>
      </c>
      <c r="C473" t="b">
        <v>1</v>
      </c>
      <c r="D473">
        <v>8060</v>
      </c>
      <c r="E473">
        <v>8134</v>
      </c>
      <c r="F473">
        <v>20.666665999999999</v>
      </c>
      <c r="G473">
        <v>15.466666</v>
      </c>
      <c r="H473">
        <v>1.3362069000000001</v>
      </c>
      <c r="I473">
        <v>-0.33620687999999999</v>
      </c>
      <c r="J473">
        <v>0.42804429999999999</v>
      </c>
    </row>
    <row r="474" spans="1:10" x14ac:dyDescent="0.3">
      <c r="A474">
        <v>472</v>
      </c>
      <c r="B474">
        <v>7500</v>
      </c>
      <c r="C474" t="b">
        <v>1</v>
      </c>
      <c r="D474">
        <v>8060</v>
      </c>
      <c r="E474">
        <v>8134</v>
      </c>
      <c r="F474">
        <v>20.666665999999999</v>
      </c>
      <c r="G474">
        <v>16.2</v>
      </c>
      <c r="H474">
        <v>1.2757201</v>
      </c>
      <c r="I474">
        <v>-0.27572005999999999</v>
      </c>
      <c r="J474">
        <v>0.43942133</v>
      </c>
    </row>
    <row r="475" spans="1:10" x14ac:dyDescent="0.3">
      <c r="A475">
        <v>473</v>
      </c>
      <c r="B475">
        <v>7516</v>
      </c>
      <c r="C475" t="b">
        <v>1</v>
      </c>
      <c r="D475">
        <v>8060</v>
      </c>
      <c r="E475">
        <v>8134</v>
      </c>
      <c r="F475">
        <v>20.666665999999999</v>
      </c>
      <c r="G475">
        <v>16.933332</v>
      </c>
      <c r="H475">
        <v>1.2204725000000001</v>
      </c>
      <c r="I475">
        <v>-0.22047247</v>
      </c>
      <c r="J475">
        <v>0.45035459999999999</v>
      </c>
    </row>
    <row r="476" spans="1:10" x14ac:dyDescent="0.3">
      <c r="A476">
        <v>474</v>
      </c>
      <c r="B476">
        <v>7531</v>
      </c>
      <c r="C476" t="b">
        <v>1</v>
      </c>
      <c r="D476">
        <v>8060</v>
      </c>
      <c r="E476">
        <v>8129</v>
      </c>
      <c r="F476">
        <v>20.666665999999999</v>
      </c>
      <c r="G476">
        <v>17.666665999999999</v>
      </c>
      <c r="H476">
        <v>1.1698113999999999</v>
      </c>
      <c r="I476">
        <v>-0.16981131999999999</v>
      </c>
      <c r="J476">
        <v>0.46086955000000002</v>
      </c>
    </row>
    <row r="477" spans="1:10" x14ac:dyDescent="0.3">
      <c r="A477">
        <v>475</v>
      </c>
      <c r="B477">
        <v>7547</v>
      </c>
      <c r="C477" t="b">
        <v>1</v>
      </c>
      <c r="D477">
        <v>8060</v>
      </c>
      <c r="E477">
        <v>8134</v>
      </c>
      <c r="F477">
        <v>20.666665999999999</v>
      </c>
      <c r="G477">
        <v>18</v>
      </c>
      <c r="H477">
        <v>1.1481481</v>
      </c>
      <c r="I477">
        <v>-0.14814811999999999</v>
      </c>
      <c r="J477">
        <v>0.46551727999999998</v>
      </c>
    </row>
    <row r="478" spans="1:10" x14ac:dyDescent="0.3">
      <c r="A478">
        <v>476</v>
      </c>
      <c r="B478">
        <v>7563</v>
      </c>
      <c r="C478" t="b">
        <v>1</v>
      </c>
      <c r="D478">
        <v>8060</v>
      </c>
      <c r="E478">
        <v>8134</v>
      </c>
      <c r="F478">
        <v>20.666665999999999</v>
      </c>
      <c r="G478">
        <v>18.333334000000001</v>
      </c>
      <c r="H478">
        <v>1.1272726</v>
      </c>
      <c r="I478">
        <v>-0.12727264999999999</v>
      </c>
      <c r="J478">
        <v>0.47008547000000001</v>
      </c>
    </row>
    <row r="479" spans="1:10" x14ac:dyDescent="0.3">
      <c r="A479">
        <v>477</v>
      </c>
      <c r="B479">
        <v>7579</v>
      </c>
      <c r="C479" t="b">
        <v>1</v>
      </c>
      <c r="D479">
        <v>8065</v>
      </c>
      <c r="E479">
        <v>8134</v>
      </c>
      <c r="F479">
        <v>20.666665999999999</v>
      </c>
      <c r="G479">
        <v>18.666665999999999</v>
      </c>
      <c r="H479">
        <v>1.1071428000000001</v>
      </c>
      <c r="I479">
        <v>-0.10714286000000001</v>
      </c>
      <c r="J479">
        <v>0.47457626000000003</v>
      </c>
    </row>
    <row r="480" spans="1:10" x14ac:dyDescent="0.3">
      <c r="A480">
        <v>478</v>
      </c>
      <c r="B480">
        <v>7595</v>
      </c>
      <c r="C480" t="b">
        <v>1</v>
      </c>
      <c r="D480">
        <v>8065</v>
      </c>
      <c r="E480">
        <v>8134</v>
      </c>
      <c r="F480">
        <v>20.666665999999999</v>
      </c>
      <c r="G480">
        <v>19</v>
      </c>
      <c r="H480">
        <v>1.0877193000000001</v>
      </c>
      <c r="I480">
        <v>-8.7719259999999993E-2</v>
      </c>
      <c r="J480">
        <v>0.47899163</v>
      </c>
    </row>
    <row r="481" spans="1:10" x14ac:dyDescent="0.3">
      <c r="A481">
        <v>479</v>
      </c>
      <c r="B481">
        <v>7611</v>
      </c>
      <c r="C481" t="b">
        <v>1</v>
      </c>
      <c r="D481">
        <v>8065</v>
      </c>
      <c r="E481">
        <v>8134</v>
      </c>
      <c r="F481">
        <v>21</v>
      </c>
      <c r="G481">
        <v>19</v>
      </c>
      <c r="H481">
        <v>1.1052630999999999</v>
      </c>
      <c r="I481">
        <v>-0.10526315999999999</v>
      </c>
      <c r="J481">
        <v>0.47499999999999998</v>
      </c>
    </row>
    <row r="482" spans="1:10" x14ac:dyDescent="0.3">
      <c r="A482">
        <v>480</v>
      </c>
      <c r="B482">
        <v>7627</v>
      </c>
      <c r="C482" t="b">
        <v>1</v>
      </c>
      <c r="D482">
        <v>8065</v>
      </c>
      <c r="E482">
        <v>8134</v>
      </c>
      <c r="F482">
        <v>21.333334000000001</v>
      </c>
      <c r="G482">
        <v>19</v>
      </c>
      <c r="H482">
        <v>1.1228070000000001</v>
      </c>
      <c r="I482">
        <v>-0.12280705</v>
      </c>
      <c r="J482">
        <v>0.47107433999999998</v>
      </c>
    </row>
    <row r="483" spans="1:10" x14ac:dyDescent="0.3">
      <c r="A483">
        <v>481</v>
      </c>
      <c r="B483">
        <v>7643</v>
      </c>
      <c r="C483" t="b">
        <v>1</v>
      </c>
      <c r="D483">
        <v>8054</v>
      </c>
      <c r="E483">
        <v>8134</v>
      </c>
      <c r="F483">
        <v>21.666665999999999</v>
      </c>
      <c r="G483">
        <v>19</v>
      </c>
      <c r="H483">
        <v>1.1403508</v>
      </c>
      <c r="I483">
        <v>-0.14035085</v>
      </c>
      <c r="J483">
        <v>0.46721315000000002</v>
      </c>
    </row>
    <row r="484" spans="1:10" x14ac:dyDescent="0.3">
      <c r="A484">
        <v>482</v>
      </c>
      <c r="B484">
        <v>7659</v>
      </c>
      <c r="C484" t="b">
        <v>1</v>
      </c>
      <c r="D484">
        <v>8060</v>
      </c>
      <c r="E484">
        <v>8134</v>
      </c>
      <c r="F484">
        <v>22</v>
      </c>
      <c r="G484">
        <v>19</v>
      </c>
      <c r="H484">
        <v>1.1578946999999999</v>
      </c>
      <c r="I484">
        <v>-0.15789473000000001</v>
      </c>
      <c r="J484">
        <v>0.46341463999999999</v>
      </c>
    </row>
    <row r="485" spans="1:10" x14ac:dyDescent="0.3">
      <c r="A485">
        <v>483</v>
      </c>
      <c r="B485">
        <v>7674</v>
      </c>
      <c r="C485" t="b">
        <v>1</v>
      </c>
      <c r="D485">
        <v>8060</v>
      </c>
      <c r="E485">
        <v>8140</v>
      </c>
      <c r="F485">
        <v>22</v>
      </c>
      <c r="G485">
        <v>19</v>
      </c>
      <c r="H485">
        <v>1.1578946999999999</v>
      </c>
      <c r="I485">
        <v>-0.15789473000000001</v>
      </c>
      <c r="J485">
        <v>0.46341463999999999</v>
      </c>
    </row>
    <row r="486" spans="1:10" x14ac:dyDescent="0.3">
      <c r="A486">
        <v>484</v>
      </c>
      <c r="B486">
        <v>7691</v>
      </c>
      <c r="C486" t="b">
        <v>1</v>
      </c>
      <c r="D486">
        <v>8060</v>
      </c>
      <c r="E486">
        <v>8140</v>
      </c>
      <c r="F486">
        <v>21.666665999999999</v>
      </c>
      <c r="G486">
        <v>19</v>
      </c>
      <c r="H486">
        <v>1.1403508</v>
      </c>
      <c r="I486">
        <v>-0.14035085</v>
      </c>
      <c r="J486">
        <v>0.46721315000000002</v>
      </c>
    </row>
    <row r="487" spans="1:10" x14ac:dyDescent="0.3">
      <c r="A487">
        <v>485</v>
      </c>
      <c r="B487">
        <v>7706</v>
      </c>
      <c r="C487" t="b">
        <v>1</v>
      </c>
      <c r="D487">
        <v>8060</v>
      </c>
      <c r="E487">
        <v>8134</v>
      </c>
      <c r="F487">
        <v>21.333334000000001</v>
      </c>
      <c r="G487">
        <v>19</v>
      </c>
      <c r="H487">
        <v>1.1228070000000001</v>
      </c>
      <c r="I487">
        <v>-0.12280705</v>
      </c>
      <c r="J487">
        <v>0.47107433999999998</v>
      </c>
    </row>
    <row r="488" spans="1:10" x14ac:dyDescent="0.3">
      <c r="A488">
        <v>486</v>
      </c>
      <c r="B488">
        <v>7722</v>
      </c>
      <c r="C488" t="b">
        <v>1</v>
      </c>
      <c r="D488">
        <v>8065</v>
      </c>
      <c r="E488">
        <v>8134</v>
      </c>
      <c r="F488">
        <v>21.333334000000001</v>
      </c>
      <c r="G488">
        <v>19</v>
      </c>
      <c r="H488">
        <v>1.1228070000000001</v>
      </c>
      <c r="I488">
        <v>-0.12280705</v>
      </c>
      <c r="J488">
        <v>0.47107433999999998</v>
      </c>
    </row>
    <row r="489" spans="1:10" x14ac:dyDescent="0.3">
      <c r="A489">
        <v>487</v>
      </c>
      <c r="B489">
        <v>7738</v>
      </c>
      <c r="C489" t="b">
        <v>1</v>
      </c>
      <c r="D489">
        <v>8065</v>
      </c>
      <c r="E489">
        <v>8134</v>
      </c>
      <c r="F489">
        <v>21.333334000000001</v>
      </c>
      <c r="G489">
        <v>19</v>
      </c>
      <c r="H489">
        <v>1.1228070000000001</v>
      </c>
      <c r="I489">
        <v>-0.12280705</v>
      </c>
      <c r="J489">
        <v>0.47107433999999998</v>
      </c>
    </row>
    <row r="490" spans="1:10" x14ac:dyDescent="0.3">
      <c r="A490">
        <v>488</v>
      </c>
      <c r="B490">
        <v>7754</v>
      </c>
      <c r="C490" t="b">
        <v>1</v>
      </c>
      <c r="D490">
        <v>8060</v>
      </c>
      <c r="E490">
        <v>8134</v>
      </c>
      <c r="F490">
        <v>21.333334000000001</v>
      </c>
      <c r="G490">
        <v>19</v>
      </c>
      <c r="H490">
        <v>1.1228070000000001</v>
      </c>
      <c r="I490">
        <v>-0.12280705</v>
      </c>
      <c r="J490">
        <v>0.47107433999999998</v>
      </c>
    </row>
    <row r="491" spans="1:10" x14ac:dyDescent="0.3">
      <c r="A491">
        <v>489</v>
      </c>
      <c r="B491">
        <v>7770</v>
      </c>
      <c r="C491" t="b">
        <v>1</v>
      </c>
      <c r="D491">
        <v>8060</v>
      </c>
      <c r="E491">
        <v>8123</v>
      </c>
      <c r="F491">
        <v>21.333334000000001</v>
      </c>
      <c r="G491">
        <v>19</v>
      </c>
      <c r="H491">
        <v>1.1228070000000001</v>
      </c>
      <c r="I491">
        <v>-0.12280705</v>
      </c>
      <c r="J491">
        <v>0.47107433999999998</v>
      </c>
    </row>
    <row r="492" spans="1:10" x14ac:dyDescent="0.3">
      <c r="A492">
        <v>490</v>
      </c>
      <c r="B492">
        <v>7787</v>
      </c>
      <c r="C492" t="b">
        <v>1</v>
      </c>
      <c r="D492">
        <v>8065</v>
      </c>
      <c r="E492">
        <v>8134</v>
      </c>
      <c r="F492">
        <v>21.666665999999999</v>
      </c>
      <c r="G492">
        <v>19</v>
      </c>
      <c r="H492">
        <v>1.1403508</v>
      </c>
      <c r="I492">
        <v>-0.14035085</v>
      </c>
      <c r="J492">
        <v>0.46721315000000002</v>
      </c>
    </row>
    <row r="493" spans="1:10" x14ac:dyDescent="0.3">
      <c r="A493">
        <v>491</v>
      </c>
      <c r="B493">
        <v>7803</v>
      </c>
      <c r="C493" t="b">
        <v>1</v>
      </c>
      <c r="D493">
        <v>8060</v>
      </c>
      <c r="E493">
        <v>8123</v>
      </c>
      <c r="F493">
        <v>21.666665999999999</v>
      </c>
      <c r="G493">
        <v>19</v>
      </c>
      <c r="H493">
        <v>1.1403508</v>
      </c>
      <c r="I493">
        <v>-0.14035085</v>
      </c>
      <c r="J493">
        <v>0.46721315000000002</v>
      </c>
    </row>
    <row r="494" spans="1:10" x14ac:dyDescent="0.3">
      <c r="A494">
        <v>492</v>
      </c>
      <c r="B494">
        <v>7818</v>
      </c>
      <c r="C494" t="b">
        <v>1</v>
      </c>
      <c r="D494">
        <v>8054</v>
      </c>
      <c r="E494">
        <v>8129</v>
      </c>
      <c r="F494">
        <v>21.666665999999999</v>
      </c>
      <c r="G494">
        <v>18.666665999999999</v>
      </c>
      <c r="H494">
        <v>1.1607143</v>
      </c>
      <c r="I494">
        <v>-0.1607143</v>
      </c>
      <c r="J494">
        <v>0.46280991999999999</v>
      </c>
    </row>
    <row r="495" spans="1:10" x14ac:dyDescent="0.3">
      <c r="A495">
        <v>493</v>
      </c>
      <c r="B495">
        <v>7834</v>
      </c>
      <c r="C495" t="b">
        <v>1</v>
      </c>
      <c r="D495">
        <v>8060</v>
      </c>
      <c r="E495">
        <v>8129</v>
      </c>
      <c r="F495">
        <v>21.666665999999999</v>
      </c>
      <c r="G495">
        <v>18.333334000000001</v>
      </c>
      <c r="H495">
        <v>1.1818181000000001</v>
      </c>
      <c r="I495">
        <v>-0.18181811</v>
      </c>
      <c r="J495">
        <v>0.45833333999999998</v>
      </c>
    </row>
    <row r="496" spans="1:10" x14ac:dyDescent="0.3">
      <c r="A496">
        <v>494</v>
      </c>
      <c r="B496">
        <v>7850</v>
      </c>
      <c r="C496" t="b">
        <v>1</v>
      </c>
      <c r="D496">
        <v>8060</v>
      </c>
      <c r="E496">
        <v>8129</v>
      </c>
      <c r="F496">
        <v>21.333334000000001</v>
      </c>
      <c r="G496">
        <v>18</v>
      </c>
      <c r="H496">
        <v>1.1851852</v>
      </c>
      <c r="I496">
        <v>-0.18518522000000001</v>
      </c>
      <c r="J496">
        <v>0.45762710000000001</v>
      </c>
    </row>
    <row r="497" spans="1:10" x14ac:dyDescent="0.3">
      <c r="A497">
        <v>495</v>
      </c>
      <c r="B497">
        <v>7866</v>
      </c>
      <c r="C497" t="b">
        <v>1</v>
      </c>
      <c r="D497">
        <v>8054</v>
      </c>
      <c r="E497">
        <v>8134</v>
      </c>
      <c r="F497">
        <v>21</v>
      </c>
      <c r="G497">
        <v>17.666665999999999</v>
      </c>
      <c r="H497">
        <v>1.1886793</v>
      </c>
      <c r="I497">
        <v>-0.18867929999999999</v>
      </c>
      <c r="J497">
        <v>0.45689657</v>
      </c>
    </row>
    <row r="498" spans="1:10" x14ac:dyDescent="0.3">
      <c r="A498">
        <v>496</v>
      </c>
      <c r="B498">
        <v>7882</v>
      </c>
      <c r="C498" t="b">
        <v>1</v>
      </c>
      <c r="D498">
        <v>8060</v>
      </c>
      <c r="E498">
        <v>8134</v>
      </c>
      <c r="F498">
        <v>20.666665999999999</v>
      </c>
      <c r="G498">
        <v>17.333334000000001</v>
      </c>
      <c r="H498">
        <v>1.1923075999999999</v>
      </c>
      <c r="I498">
        <v>-0.1923076</v>
      </c>
      <c r="J498">
        <v>0.45614037000000002</v>
      </c>
    </row>
    <row r="499" spans="1:10" x14ac:dyDescent="0.3">
      <c r="A499">
        <v>497</v>
      </c>
      <c r="B499">
        <v>7899</v>
      </c>
      <c r="C499" t="b">
        <v>1</v>
      </c>
      <c r="D499">
        <v>8060</v>
      </c>
      <c r="E499">
        <v>8134</v>
      </c>
      <c r="F499">
        <v>20.333334000000001</v>
      </c>
      <c r="G499">
        <v>17.333334000000001</v>
      </c>
      <c r="H499">
        <v>1.1730769000000001</v>
      </c>
      <c r="I499">
        <v>-0.17307691</v>
      </c>
      <c r="J499">
        <v>0.460177</v>
      </c>
    </row>
    <row r="500" spans="1:10" x14ac:dyDescent="0.3">
      <c r="A500">
        <v>498</v>
      </c>
      <c r="B500">
        <v>7915</v>
      </c>
      <c r="C500" t="b">
        <v>1</v>
      </c>
      <c r="D500">
        <v>8060</v>
      </c>
      <c r="E500">
        <v>8140</v>
      </c>
      <c r="F500">
        <v>20.333334000000001</v>
      </c>
      <c r="G500">
        <v>17.333334000000001</v>
      </c>
      <c r="H500">
        <v>1.1730769000000001</v>
      </c>
      <c r="I500">
        <v>-0.17307691</v>
      </c>
      <c r="J500">
        <v>0.460177</v>
      </c>
    </row>
    <row r="501" spans="1:10" x14ac:dyDescent="0.3">
      <c r="A501">
        <v>499</v>
      </c>
      <c r="B501">
        <v>7931</v>
      </c>
      <c r="C501" t="b">
        <v>1</v>
      </c>
      <c r="D501">
        <v>8060</v>
      </c>
      <c r="E501">
        <v>8134</v>
      </c>
      <c r="F501">
        <v>20.333334000000001</v>
      </c>
      <c r="G501">
        <v>17.333334000000001</v>
      </c>
      <c r="H501">
        <v>1.1730769000000001</v>
      </c>
      <c r="I501">
        <v>-0.17307691</v>
      </c>
      <c r="J501">
        <v>0.460177</v>
      </c>
    </row>
    <row r="502" spans="1:10" x14ac:dyDescent="0.3">
      <c r="A502">
        <v>500</v>
      </c>
      <c r="B502">
        <v>7946</v>
      </c>
      <c r="C502" t="b">
        <v>1</v>
      </c>
      <c r="D502">
        <v>8060</v>
      </c>
      <c r="E502">
        <v>8134</v>
      </c>
      <c r="F502">
        <v>20.333334000000001</v>
      </c>
      <c r="G502">
        <v>17.333334000000001</v>
      </c>
      <c r="H502">
        <v>1.1730769000000001</v>
      </c>
      <c r="I502">
        <v>-0.17307691</v>
      </c>
      <c r="J502">
        <v>0.460177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964A-5D4A-4FE1-96DC-AF42D53F769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9.44140625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8060</v>
      </c>
      <c r="E2">
        <v>8134</v>
      </c>
      <c r="F2">
        <v>20</v>
      </c>
      <c r="G2">
        <v>19</v>
      </c>
      <c r="H2">
        <v>1.0526316</v>
      </c>
      <c r="I2">
        <v>-5.2631579999999997E-2</v>
      </c>
      <c r="J2">
        <v>0.48717949999999999</v>
      </c>
    </row>
    <row r="3" spans="1:10" x14ac:dyDescent="0.3">
      <c r="A3">
        <v>1</v>
      </c>
      <c r="B3">
        <v>17</v>
      </c>
      <c r="C3" t="b">
        <v>1</v>
      </c>
      <c r="D3">
        <v>8071</v>
      </c>
      <c r="E3">
        <v>8140</v>
      </c>
      <c r="F3">
        <v>25.5</v>
      </c>
      <c r="G3">
        <v>22</v>
      </c>
      <c r="H3">
        <v>1.1590909</v>
      </c>
      <c r="I3">
        <v>-0.15909090000000001</v>
      </c>
      <c r="J3">
        <v>0.46315790000000001</v>
      </c>
    </row>
    <row r="4" spans="1:10" x14ac:dyDescent="0.3">
      <c r="A4">
        <v>2</v>
      </c>
      <c r="B4">
        <v>33</v>
      </c>
      <c r="C4" t="b">
        <v>1</v>
      </c>
      <c r="D4">
        <v>8060</v>
      </c>
      <c r="E4">
        <v>8134</v>
      </c>
      <c r="F4">
        <v>23.666665999999999</v>
      </c>
      <c r="G4">
        <v>21</v>
      </c>
      <c r="H4">
        <v>1.1269841</v>
      </c>
      <c r="I4">
        <v>-0.12698408999999999</v>
      </c>
      <c r="J4">
        <v>0.47014928</v>
      </c>
    </row>
    <row r="5" spans="1:10" x14ac:dyDescent="0.3">
      <c r="A5">
        <v>3</v>
      </c>
      <c r="B5">
        <v>48</v>
      </c>
      <c r="C5" t="b">
        <v>1</v>
      </c>
      <c r="D5">
        <v>8060</v>
      </c>
      <c r="E5">
        <v>8134</v>
      </c>
      <c r="F5">
        <v>22.75</v>
      </c>
      <c r="G5">
        <v>20.5</v>
      </c>
      <c r="H5">
        <v>1.1097561</v>
      </c>
      <c r="I5">
        <v>-0.1097561</v>
      </c>
      <c r="J5">
        <v>0.47398844000000001</v>
      </c>
    </row>
    <row r="6" spans="1:10" x14ac:dyDescent="0.3">
      <c r="A6">
        <v>4</v>
      </c>
      <c r="B6">
        <v>64</v>
      </c>
      <c r="C6" t="b">
        <v>1</v>
      </c>
      <c r="D6">
        <v>8060</v>
      </c>
      <c r="E6">
        <v>8140</v>
      </c>
      <c r="F6">
        <v>22.2</v>
      </c>
      <c r="G6">
        <v>20.2</v>
      </c>
      <c r="H6">
        <v>1.0990099</v>
      </c>
      <c r="I6">
        <v>-9.9009894000000001E-2</v>
      </c>
      <c r="J6">
        <v>0.47641509999999998</v>
      </c>
    </row>
    <row r="7" spans="1:10" x14ac:dyDescent="0.3">
      <c r="A7">
        <v>5</v>
      </c>
      <c r="B7">
        <v>80</v>
      </c>
      <c r="C7" t="b">
        <v>1</v>
      </c>
      <c r="D7">
        <v>8054</v>
      </c>
      <c r="E7">
        <v>8140</v>
      </c>
      <c r="F7">
        <v>21.833334000000001</v>
      </c>
      <c r="G7">
        <v>21</v>
      </c>
      <c r="H7">
        <v>1.0396825999999999</v>
      </c>
      <c r="I7">
        <v>-3.968257E-2</v>
      </c>
      <c r="J7">
        <v>0.49027233999999997</v>
      </c>
    </row>
    <row r="8" spans="1:10" x14ac:dyDescent="0.3">
      <c r="A8">
        <v>6</v>
      </c>
      <c r="B8">
        <v>96</v>
      </c>
      <c r="C8" t="b">
        <v>1</v>
      </c>
      <c r="D8">
        <v>8054</v>
      </c>
      <c r="E8">
        <v>8134</v>
      </c>
      <c r="F8">
        <v>21.571428000000001</v>
      </c>
      <c r="G8">
        <v>20.714285</v>
      </c>
      <c r="H8">
        <v>1.0413793</v>
      </c>
      <c r="I8">
        <v>-4.1379340000000001E-2</v>
      </c>
      <c r="J8">
        <v>0.48986486000000001</v>
      </c>
    </row>
    <row r="9" spans="1:10" x14ac:dyDescent="0.3">
      <c r="A9">
        <v>7</v>
      </c>
      <c r="B9">
        <v>112</v>
      </c>
      <c r="C9" t="b">
        <v>1</v>
      </c>
      <c r="D9">
        <v>8060</v>
      </c>
      <c r="E9">
        <v>8140</v>
      </c>
      <c r="F9">
        <v>21.375</v>
      </c>
      <c r="G9">
        <v>21.25</v>
      </c>
      <c r="H9">
        <v>1.0058824</v>
      </c>
      <c r="I9">
        <v>-5.8823529999999999E-3</v>
      </c>
      <c r="J9">
        <v>0.49853373000000001</v>
      </c>
    </row>
    <row r="10" spans="1:10" x14ac:dyDescent="0.3">
      <c r="A10">
        <v>8</v>
      </c>
      <c r="B10">
        <v>127</v>
      </c>
      <c r="C10" t="b">
        <v>1</v>
      </c>
      <c r="D10">
        <v>8060</v>
      </c>
      <c r="E10">
        <v>8140</v>
      </c>
      <c r="F10">
        <v>21.222221000000001</v>
      </c>
      <c r="G10">
        <v>21.666665999999999</v>
      </c>
      <c r="H10">
        <v>0.9794872</v>
      </c>
      <c r="I10">
        <v>2.0512829999999999E-2</v>
      </c>
      <c r="J10">
        <v>0.5051814</v>
      </c>
    </row>
    <row r="11" spans="1:10" x14ac:dyDescent="0.3">
      <c r="A11">
        <v>9</v>
      </c>
      <c r="B11">
        <v>143</v>
      </c>
      <c r="C11" t="b">
        <v>1</v>
      </c>
      <c r="D11">
        <v>8060</v>
      </c>
      <c r="E11">
        <v>8134</v>
      </c>
      <c r="F11">
        <v>21.1</v>
      </c>
      <c r="G11">
        <v>22</v>
      </c>
      <c r="H11">
        <v>0.95909095</v>
      </c>
      <c r="I11">
        <v>4.0909073999999997E-2</v>
      </c>
      <c r="J11">
        <v>0.51044080000000003</v>
      </c>
    </row>
    <row r="12" spans="1:10" x14ac:dyDescent="0.3">
      <c r="A12">
        <v>10</v>
      </c>
      <c r="B12">
        <v>159</v>
      </c>
      <c r="C12" t="b">
        <v>1</v>
      </c>
      <c r="D12">
        <v>8060</v>
      </c>
      <c r="E12">
        <v>8134</v>
      </c>
      <c r="F12">
        <v>21</v>
      </c>
      <c r="G12">
        <v>21.727271999999999</v>
      </c>
      <c r="H12">
        <v>0.96652720000000003</v>
      </c>
      <c r="I12">
        <v>3.3472772999999997E-2</v>
      </c>
      <c r="J12">
        <v>0.50851064999999995</v>
      </c>
    </row>
    <row r="13" spans="1:10" x14ac:dyDescent="0.3">
      <c r="A13">
        <v>11</v>
      </c>
      <c r="B13">
        <v>175</v>
      </c>
      <c r="C13" t="b">
        <v>1</v>
      </c>
      <c r="D13">
        <v>8065</v>
      </c>
      <c r="E13">
        <v>8134</v>
      </c>
      <c r="F13">
        <v>20.916665999999999</v>
      </c>
      <c r="G13">
        <v>21.5</v>
      </c>
      <c r="H13">
        <v>0.97286819999999996</v>
      </c>
      <c r="I13">
        <v>2.7131813000000001E-2</v>
      </c>
      <c r="J13">
        <v>0.50687623000000004</v>
      </c>
    </row>
    <row r="14" spans="1:10" x14ac:dyDescent="0.3">
      <c r="A14">
        <v>12</v>
      </c>
      <c r="B14">
        <v>190</v>
      </c>
      <c r="C14" t="b">
        <v>1</v>
      </c>
      <c r="D14">
        <v>8060</v>
      </c>
      <c r="E14">
        <v>8140</v>
      </c>
      <c r="F14">
        <v>20.846153000000001</v>
      </c>
      <c r="G14">
        <v>21.307691999999999</v>
      </c>
      <c r="H14">
        <v>0.97833939999999997</v>
      </c>
      <c r="I14">
        <v>2.1660644999999999E-2</v>
      </c>
      <c r="J14">
        <v>0.50547445000000002</v>
      </c>
    </row>
    <row r="15" spans="1:10" x14ac:dyDescent="0.3">
      <c r="A15">
        <v>13</v>
      </c>
      <c r="B15">
        <v>206</v>
      </c>
      <c r="C15" t="b">
        <v>1</v>
      </c>
      <c r="D15">
        <v>8060</v>
      </c>
      <c r="E15">
        <v>8129</v>
      </c>
      <c r="F15">
        <v>20.785715</v>
      </c>
      <c r="G15">
        <v>21.142856999999999</v>
      </c>
      <c r="H15">
        <v>0.98310816000000001</v>
      </c>
      <c r="I15">
        <v>1.6891828000000001E-2</v>
      </c>
      <c r="J15">
        <v>0.50425892999999999</v>
      </c>
    </row>
    <row r="16" spans="1:10" x14ac:dyDescent="0.3">
      <c r="A16">
        <v>14</v>
      </c>
      <c r="B16">
        <v>222</v>
      </c>
      <c r="C16" t="b">
        <v>1</v>
      </c>
      <c r="D16">
        <v>8060</v>
      </c>
      <c r="E16">
        <v>8129</v>
      </c>
      <c r="F16">
        <v>20.733333999999999</v>
      </c>
      <c r="G16">
        <v>21</v>
      </c>
      <c r="H16">
        <v>0.9873016</v>
      </c>
      <c r="I16">
        <v>1.2698401E-2</v>
      </c>
      <c r="J16">
        <v>0.50319486999999996</v>
      </c>
    </row>
    <row r="17" spans="1:10" x14ac:dyDescent="0.3">
      <c r="A17">
        <v>15</v>
      </c>
      <c r="B17">
        <v>238</v>
      </c>
      <c r="C17" t="b">
        <v>1</v>
      </c>
      <c r="D17">
        <v>8060</v>
      </c>
      <c r="E17">
        <v>8134</v>
      </c>
      <c r="F17">
        <v>20.733333999999999</v>
      </c>
      <c r="G17">
        <v>21</v>
      </c>
      <c r="H17">
        <v>0.9873016</v>
      </c>
      <c r="I17">
        <v>1.2698401E-2</v>
      </c>
      <c r="J17">
        <v>0.50319486999999996</v>
      </c>
    </row>
    <row r="18" spans="1:10" x14ac:dyDescent="0.3">
      <c r="A18">
        <v>16</v>
      </c>
      <c r="B18">
        <v>254</v>
      </c>
      <c r="C18" t="b">
        <v>1</v>
      </c>
      <c r="D18">
        <v>8060</v>
      </c>
      <c r="E18">
        <v>8134</v>
      </c>
      <c r="F18">
        <v>20</v>
      </c>
      <c r="G18">
        <v>20.6</v>
      </c>
      <c r="H18">
        <v>0.97087380000000001</v>
      </c>
      <c r="I18">
        <v>2.9126231999999998E-2</v>
      </c>
      <c r="J18">
        <v>0.50738919999999998</v>
      </c>
    </row>
    <row r="19" spans="1:10" x14ac:dyDescent="0.3">
      <c r="A19">
        <v>17</v>
      </c>
      <c r="B19">
        <v>270</v>
      </c>
      <c r="C19" t="b">
        <v>1</v>
      </c>
      <c r="D19">
        <v>8054</v>
      </c>
      <c r="E19">
        <v>8134</v>
      </c>
      <c r="F19">
        <v>20</v>
      </c>
      <c r="G19">
        <v>20.6</v>
      </c>
      <c r="H19">
        <v>0.97087380000000001</v>
      </c>
      <c r="I19">
        <v>2.9126231999999998E-2</v>
      </c>
      <c r="J19">
        <v>0.50738919999999998</v>
      </c>
    </row>
    <row r="20" spans="1:10" x14ac:dyDescent="0.3">
      <c r="A20">
        <v>18</v>
      </c>
      <c r="B20">
        <v>286</v>
      </c>
      <c r="C20" t="b">
        <v>1</v>
      </c>
      <c r="D20">
        <v>8054</v>
      </c>
      <c r="E20">
        <v>8129</v>
      </c>
      <c r="F20">
        <v>20</v>
      </c>
      <c r="G20">
        <v>20.6</v>
      </c>
      <c r="H20">
        <v>0.97087380000000001</v>
      </c>
      <c r="I20">
        <v>2.9126231999999998E-2</v>
      </c>
      <c r="J20">
        <v>0.50738919999999998</v>
      </c>
    </row>
    <row r="21" spans="1:10" x14ac:dyDescent="0.3">
      <c r="A21">
        <v>19</v>
      </c>
      <c r="B21">
        <v>302</v>
      </c>
      <c r="C21" t="b">
        <v>1</v>
      </c>
      <c r="D21">
        <v>8065</v>
      </c>
      <c r="E21">
        <v>8140</v>
      </c>
      <c r="F21">
        <v>20</v>
      </c>
      <c r="G21">
        <v>20.6</v>
      </c>
      <c r="H21">
        <v>0.97087380000000001</v>
      </c>
      <c r="I21">
        <v>2.9126231999999998E-2</v>
      </c>
      <c r="J21">
        <v>0.50738919999999998</v>
      </c>
    </row>
    <row r="22" spans="1:10" x14ac:dyDescent="0.3">
      <c r="A22">
        <v>20</v>
      </c>
      <c r="B22">
        <v>318</v>
      </c>
      <c r="C22" t="b">
        <v>1</v>
      </c>
      <c r="D22">
        <v>8060</v>
      </c>
      <c r="E22">
        <v>8140</v>
      </c>
      <c r="F22">
        <v>20</v>
      </c>
      <c r="G22">
        <v>20.2</v>
      </c>
      <c r="H22">
        <v>0.99009895000000003</v>
      </c>
      <c r="I22">
        <v>9.9010269999999997E-3</v>
      </c>
      <c r="J22">
        <v>0.50248760000000003</v>
      </c>
    </row>
    <row r="23" spans="1:10" x14ac:dyDescent="0.3">
      <c r="A23">
        <v>21</v>
      </c>
      <c r="B23">
        <v>334</v>
      </c>
      <c r="C23" t="b">
        <v>1</v>
      </c>
      <c r="D23">
        <v>8060</v>
      </c>
      <c r="E23">
        <v>8134</v>
      </c>
      <c r="F23">
        <v>20</v>
      </c>
      <c r="G23">
        <v>20.2</v>
      </c>
      <c r="H23">
        <v>0.99009895000000003</v>
      </c>
      <c r="I23">
        <v>9.9010269999999997E-3</v>
      </c>
      <c r="J23">
        <v>0.50248760000000003</v>
      </c>
    </row>
    <row r="24" spans="1:10" x14ac:dyDescent="0.3">
      <c r="A24">
        <v>22</v>
      </c>
      <c r="B24">
        <v>350</v>
      </c>
      <c r="C24" t="b">
        <v>1</v>
      </c>
      <c r="D24">
        <v>8054</v>
      </c>
      <c r="E24">
        <v>8134</v>
      </c>
      <c r="F24">
        <v>20</v>
      </c>
      <c r="G24">
        <v>19.8</v>
      </c>
      <c r="H24">
        <v>1.0101011</v>
      </c>
      <c r="I24">
        <v>-1.0101049000000001E-2</v>
      </c>
      <c r="J24">
        <v>0.49748743000000001</v>
      </c>
    </row>
    <row r="25" spans="1:10" x14ac:dyDescent="0.3">
      <c r="A25">
        <v>23</v>
      </c>
      <c r="B25">
        <v>365</v>
      </c>
      <c r="C25" t="b">
        <v>1</v>
      </c>
      <c r="D25">
        <v>8060</v>
      </c>
      <c r="E25">
        <v>8129</v>
      </c>
      <c r="F25">
        <v>20</v>
      </c>
      <c r="G25">
        <v>19.399999999999999</v>
      </c>
      <c r="H25">
        <v>1.0309279</v>
      </c>
      <c r="I25">
        <v>-3.0927856E-2</v>
      </c>
      <c r="J25">
        <v>0.49238575000000001</v>
      </c>
    </row>
    <row r="26" spans="1:10" x14ac:dyDescent="0.3">
      <c r="A26">
        <v>24</v>
      </c>
      <c r="B26">
        <v>381</v>
      </c>
      <c r="C26" t="b">
        <v>1</v>
      </c>
      <c r="D26">
        <v>8065</v>
      </c>
      <c r="E26">
        <v>8129</v>
      </c>
      <c r="F26">
        <v>20</v>
      </c>
      <c r="G26">
        <v>19</v>
      </c>
      <c r="H26">
        <v>1.0526316</v>
      </c>
      <c r="I26">
        <v>-5.2631579999999997E-2</v>
      </c>
      <c r="J26">
        <v>0.48717949999999999</v>
      </c>
    </row>
    <row r="27" spans="1:10" x14ac:dyDescent="0.3">
      <c r="A27">
        <v>25</v>
      </c>
      <c r="B27">
        <v>397</v>
      </c>
      <c r="C27" t="b">
        <v>1</v>
      </c>
      <c r="D27">
        <v>8065</v>
      </c>
      <c r="E27">
        <v>8134</v>
      </c>
      <c r="F27">
        <v>20</v>
      </c>
      <c r="G27">
        <v>19</v>
      </c>
      <c r="H27">
        <v>1.0526316</v>
      </c>
      <c r="I27">
        <v>-5.2631579999999997E-2</v>
      </c>
      <c r="J27">
        <v>0.48717949999999999</v>
      </c>
    </row>
    <row r="28" spans="1:10" x14ac:dyDescent="0.3">
      <c r="A28">
        <v>26</v>
      </c>
      <c r="B28">
        <v>413</v>
      </c>
      <c r="C28" t="b">
        <v>1</v>
      </c>
      <c r="D28">
        <v>8065</v>
      </c>
      <c r="E28">
        <v>8129</v>
      </c>
      <c r="F28">
        <v>20.333334000000001</v>
      </c>
      <c r="G28">
        <v>18.666665999999999</v>
      </c>
      <c r="H28">
        <v>1.0892857</v>
      </c>
      <c r="I28">
        <v>-8.9285779999999995E-2</v>
      </c>
      <c r="J28">
        <v>0.47863244999999999</v>
      </c>
    </row>
    <row r="29" spans="1:10" x14ac:dyDescent="0.3">
      <c r="A29">
        <v>27</v>
      </c>
      <c r="B29">
        <v>429</v>
      </c>
      <c r="C29" t="b">
        <v>1</v>
      </c>
      <c r="D29">
        <v>8060</v>
      </c>
      <c r="E29">
        <v>8129</v>
      </c>
      <c r="F29">
        <v>20.666665999999999</v>
      </c>
      <c r="G29">
        <v>18.333334000000001</v>
      </c>
      <c r="H29">
        <v>1.1272726</v>
      </c>
      <c r="I29">
        <v>-0.12727264999999999</v>
      </c>
      <c r="J29">
        <v>0.47008547000000001</v>
      </c>
    </row>
    <row r="30" spans="1:10" x14ac:dyDescent="0.3">
      <c r="A30">
        <v>28</v>
      </c>
      <c r="B30">
        <v>445</v>
      </c>
      <c r="C30" t="b">
        <v>1</v>
      </c>
      <c r="D30">
        <v>8060</v>
      </c>
      <c r="E30">
        <v>8129</v>
      </c>
      <c r="F30">
        <v>21</v>
      </c>
      <c r="G30">
        <v>18</v>
      </c>
      <c r="H30">
        <v>1.1666666000000001</v>
      </c>
      <c r="I30">
        <v>-0.16666666999999999</v>
      </c>
      <c r="J30">
        <v>0.46153845999999998</v>
      </c>
    </row>
    <row r="31" spans="1:10" x14ac:dyDescent="0.3">
      <c r="A31">
        <v>29</v>
      </c>
      <c r="B31">
        <v>461</v>
      </c>
      <c r="C31" t="b">
        <v>1</v>
      </c>
      <c r="D31">
        <v>8065</v>
      </c>
      <c r="E31">
        <v>8129</v>
      </c>
      <c r="F31">
        <v>21.333334000000001</v>
      </c>
      <c r="G31">
        <v>17.666665999999999</v>
      </c>
      <c r="H31">
        <v>1.2075473000000001</v>
      </c>
      <c r="I31">
        <v>-0.20754724999999999</v>
      </c>
      <c r="J31">
        <v>0.45299142999999997</v>
      </c>
    </row>
    <row r="32" spans="1:10" x14ac:dyDescent="0.3">
      <c r="A32">
        <v>30</v>
      </c>
      <c r="B32">
        <v>477</v>
      </c>
      <c r="C32" t="b">
        <v>1</v>
      </c>
      <c r="D32">
        <v>8065</v>
      </c>
      <c r="E32">
        <v>8129</v>
      </c>
      <c r="F32">
        <v>21.666665999999999</v>
      </c>
      <c r="G32">
        <v>17.333334000000001</v>
      </c>
      <c r="H32">
        <v>1.2499998999999999</v>
      </c>
      <c r="I32">
        <v>-0.24999990999999999</v>
      </c>
      <c r="J32">
        <v>0.44444444999999999</v>
      </c>
    </row>
    <row r="33" spans="1:10" x14ac:dyDescent="0.3">
      <c r="A33">
        <v>31</v>
      </c>
      <c r="B33">
        <v>493</v>
      </c>
      <c r="C33" t="b">
        <v>1</v>
      </c>
      <c r="D33">
        <v>8060</v>
      </c>
      <c r="E33">
        <v>8129</v>
      </c>
      <c r="F33">
        <v>21.666665999999999</v>
      </c>
      <c r="G33">
        <v>17</v>
      </c>
      <c r="H33">
        <v>1.2745097999999999</v>
      </c>
      <c r="I33">
        <v>-0.27450975999999999</v>
      </c>
      <c r="J33">
        <v>0.43965520000000002</v>
      </c>
    </row>
    <row r="34" spans="1:10" x14ac:dyDescent="0.3">
      <c r="A34">
        <v>32</v>
      </c>
      <c r="B34">
        <v>509</v>
      </c>
      <c r="C34" t="b">
        <v>1</v>
      </c>
      <c r="D34">
        <v>8060</v>
      </c>
      <c r="E34">
        <v>8134</v>
      </c>
      <c r="F34">
        <v>21.666665999999999</v>
      </c>
      <c r="G34">
        <v>16.666665999999999</v>
      </c>
      <c r="H34">
        <v>1.3</v>
      </c>
      <c r="I34">
        <v>-0.3</v>
      </c>
      <c r="J34">
        <v>0.43478260000000002</v>
      </c>
    </row>
    <row r="35" spans="1:10" x14ac:dyDescent="0.3">
      <c r="A35">
        <v>33</v>
      </c>
      <c r="B35">
        <v>524</v>
      </c>
      <c r="C35" t="b">
        <v>1</v>
      </c>
      <c r="D35">
        <v>8060</v>
      </c>
      <c r="E35">
        <v>8129</v>
      </c>
      <c r="F35">
        <v>21.666665999999999</v>
      </c>
      <c r="G35">
        <v>16.333334000000001</v>
      </c>
      <c r="H35">
        <v>1.3265305999999999</v>
      </c>
      <c r="I35">
        <v>-0.32653051999999999</v>
      </c>
      <c r="J35">
        <v>0.4298246</v>
      </c>
    </row>
    <row r="36" spans="1:10" x14ac:dyDescent="0.3">
      <c r="A36">
        <v>34</v>
      </c>
      <c r="B36">
        <v>540</v>
      </c>
      <c r="C36" t="b">
        <v>1</v>
      </c>
      <c r="D36">
        <v>8060</v>
      </c>
      <c r="E36">
        <v>8134</v>
      </c>
      <c r="F36">
        <v>21.666665999999999</v>
      </c>
      <c r="G36">
        <v>16</v>
      </c>
      <c r="H36">
        <v>1.3541666000000001</v>
      </c>
      <c r="I36">
        <v>-0.35416662999999998</v>
      </c>
      <c r="J36">
        <v>0.42477880000000001</v>
      </c>
    </row>
    <row r="37" spans="1:10" x14ac:dyDescent="0.3">
      <c r="A37">
        <v>35</v>
      </c>
      <c r="B37">
        <v>556</v>
      </c>
      <c r="C37" t="b">
        <v>1</v>
      </c>
      <c r="D37">
        <v>8054</v>
      </c>
      <c r="E37">
        <v>8129</v>
      </c>
      <c r="F37">
        <v>21.666665999999999</v>
      </c>
      <c r="G37">
        <v>15.666667</v>
      </c>
      <c r="H37">
        <v>1.3829787</v>
      </c>
      <c r="I37">
        <v>-0.38297864999999998</v>
      </c>
      <c r="J37">
        <v>0.41964287</v>
      </c>
    </row>
    <row r="38" spans="1:10" x14ac:dyDescent="0.3">
      <c r="A38">
        <v>36</v>
      </c>
      <c r="B38">
        <v>572</v>
      </c>
      <c r="C38" t="b">
        <v>1</v>
      </c>
      <c r="D38">
        <v>8065</v>
      </c>
      <c r="E38">
        <v>8134</v>
      </c>
      <c r="F38">
        <v>21.666665999999999</v>
      </c>
      <c r="G38">
        <v>15.666667</v>
      </c>
      <c r="H38">
        <v>1.3829787</v>
      </c>
      <c r="I38">
        <v>-0.38297864999999998</v>
      </c>
      <c r="J38">
        <v>0.41964287</v>
      </c>
    </row>
    <row r="39" spans="1:10" x14ac:dyDescent="0.3">
      <c r="A39">
        <v>37</v>
      </c>
      <c r="B39">
        <v>588</v>
      </c>
      <c r="C39" t="b">
        <v>1</v>
      </c>
      <c r="D39">
        <v>8060</v>
      </c>
      <c r="E39">
        <v>8140</v>
      </c>
      <c r="F39">
        <v>21.666665999999999</v>
      </c>
      <c r="G39">
        <v>15.666667</v>
      </c>
      <c r="H39">
        <v>1.3829787</v>
      </c>
      <c r="I39">
        <v>-0.38297864999999998</v>
      </c>
      <c r="J39">
        <v>0.41964287</v>
      </c>
    </row>
    <row r="40" spans="1:10" x14ac:dyDescent="0.3">
      <c r="A40">
        <v>38</v>
      </c>
      <c r="B40">
        <v>604</v>
      </c>
      <c r="C40" t="b">
        <v>1</v>
      </c>
      <c r="D40">
        <v>8060</v>
      </c>
      <c r="E40">
        <v>8134</v>
      </c>
      <c r="F40">
        <v>21.666665999999999</v>
      </c>
      <c r="G40">
        <v>15.666667</v>
      </c>
      <c r="H40">
        <v>1.3829787</v>
      </c>
      <c r="I40">
        <v>-0.38297864999999998</v>
      </c>
      <c r="J40">
        <v>0.41964287</v>
      </c>
    </row>
    <row r="41" spans="1:10" x14ac:dyDescent="0.3">
      <c r="A41">
        <v>39</v>
      </c>
      <c r="B41">
        <v>620</v>
      </c>
      <c r="C41" t="b">
        <v>1</v>
      </c>
      <c r="D41">
        <v>8060</v>
      </c>
      <c r="E41">
        <v>8134</v>
      </c>
      <c r="F41">
        <v>21.666665999999999</v>
      </c>
      <c r="G41">
        <v>15.666667</v>
      </c>
      <c r="H41">
        <v>1.3829787</v>
      </c>
      <c r="I41">
        <v>-0.38297864999999998</v>
      </c>
      <c r="J41">
        <v>0.41964287</v>
      </c>
    </row>
    <row r="42" spans="1:10" x14ac:dyDescent="0.3">
      <c r="A42">
        <v>40</v>
      </c>
      <c r="B42">
        <v>635</v>
      </c>
      <c r="C42" t="b">
        <v>1</v>
      </c>
      <c r="D42">
        <v>8060</v>
      </c>
      <c r="E42">
        <v>8134</v>
      </c>
      <c r="F42">
        <v>21.666665999999999</v>
      </c>
      <c r="G42">
        <v>15.666667</v>
      </c>
      <c r="H42">
        <v>1.3829787</v>
      </c>
      <c r="I42">
        <v>-0.38297864999999998</v>
      </c>
      <c r="J42">
        <v>0.41964287</v>
      </c>
    </row>
    <row r="43" spans="1:10" x14ac:dyDescent="0.3">
      <c r="A43">
        <v>41</v>
      </c>
      <c r="B43">
        <v>651</v>
      </c>
      <c r="C43" t="b">
        <v>1</v>
      </c>
      <c r="D43">
        <v>8065</v>
      </c>
      <c r="E43">
        <v>8134</v>
      </c>
      <c r="F43">
        <v>21.333334000000001</v>
      </c>
      <c r="G43">
        <v>16</v>
      </c>
      <c r="H43">
        <v>1.3333333999999999</v>
      </c>
      <c r="I43">
        <v>-0.33333337000000002</v>
      </c>
      <c r="J43">
        <v>0.42857139999999999</v>
      </c>
    </row>
    <row r="44" spans="1:10" x14ac:dyDescent="0.3">
      <c r="A44">
        <v>42</v>
      </c>
      <c r="B44">
        <v>667</v>
      </c>
      <c r="C44" t="b">
        <v>1</v>
      </c>
      <c r="D44">
        <v>8060</v>
      </c>
      <c r="E44">
        <v>8146</v>
      </c>
      <c r="F44">
        <v>21</v>
      </c>
      <c r="G44">
        <v>16.333334000000001</v>
      </c>
      <c r="H44">
        <v>1.2857143</v>
      </c>
      <c r="I44">
        <v>-0.28571424000000001</v>
      </c>
      <c r="J44">
        <v>0.4375</v>
      </c>
    </row>
    <row r="45" spans="1:10" x14ac:dyDescent="0.3">
      <c r="A45">
        <v>43</v>
      </c>
      <c r="B45">
        <v>683</v>
      </c>
      <c r="C45" t="b">
        <v>1</v>
      </c>
      <c r="D45">
        <v>8060</v>
      </c>
      <c r="E45">
        <v>8134</v>
      </c>
      <c r="F45">
        <v>20.666665999999999</v>
      </c>
      <c r="G45">
        <v>16.666665999999999</v>
      </c>
      <c r="H45">
        <v>1.24</v>
      </c>
      <c r="I45">
        <v>-0.24000001000000001</v>
      </c>
      <c r="J45">
        <v>0.44642857000000002</v>
      </c>
    </row>
    <row r="46" spans="1:10" x14ac:dyDescent="0.3">
      <c r="A46">
        <v>44</v>
      </c>
      <c r="B46">
        <v>699</v>
      </c>
      <c r="C46" t="b">
        <v>1</v>
      </c>
      <c r="D46">
        <v>8060</v>
      </c>
      <c r="E46">
        <v>8134</v>
      </c>
      <c r="F46">
        <v>20.333334000000001</v>
      </c>
      <c r="G46">
        <v>17</v>
      </c>
      <c r="H46">
        <v>1.1960784</v>
      </c>
      <c r="I46">
        <v>-0.19607846000000001</v>
      </c>
      <c r="J46">
        <v>0.45535710000000001</v>
      </c>
    </row>
    <row r="47" spans="1:10" x14ac:dyDescent="0.3">
      <c r="A47">
        <v>45</v>
      </c>
      <c r="B47">
        <v>715</v>
      </c>
      <c r="C47" t="b">
        <v>1</v>
      </c>
      <c r="D47">
        <v>8060</v>
      </c>
      <c r="E47">
        <v>8134</v>
      </c>
      <c r="F47">
        <v>20</v>
      </c>
      <c r="G47">
        <v>17.333334000000001</v>
      </c>
      <c r="H47">
        <v>1.1538461</v>
      </c>
      <c r="I47">
        <v>-0.15384611000000001</v>
      </c>
      <c r="J47">
        <v>0.46428570000000002</v>
      </c>
    </row>
    <row r="48" spans="1:10" x14ac:dyDescent="0.3">
      <c r="A48">
        <v>46</v>
      </c>
      <c r="B48">
        <v>731</v>
      </c>
      <c r="C48" t="b">
        <v>1</v>
      </c>
      <c r="D48">
        <v>8060</v>
      </c>
      <c r="E48">
        <v>8140</v>
      </c>
      <c r="F48">
        <v>20</v>
      </c>
      <c r="G48">
        <v>17.666665999999999</v>
      </c>
      <c r="H48">
        <v>1.1320755</v>
      </c>
      <c r="I48">
        <v>-0.13207552</v>
      </c>
      <c r="J48">
        <v>0.46902656999999998</v>
      </c>
    </row>
    <row r="49" spans="1:10" x14ac:dyDescent="0.3">
      <c r="A49">
        <v>47</v>
      </c>
      <c r="B49">
        <v>747</v>
      </c>
      <c r="C49" t="b">
        <v>1</v>
      </c>
      <c r="D49">
        <v>8060</v>
      </c>
      <c r="E49">
        <v>8134</v>
      </c>
      <c r="F49">
        <v>20</v>
      </c>
      <c r="G49">
        <v>18</v>
      </c>
      <c r="H49">
        <v>1.1111112000000001</v>
      </c>
      <c r="I49">
        <v>-0.11111111</v>
      </c>
      <c r="J49">
        <v>0.47368421999999999</v>
      </c>
    </row>
    <row r="50" spans="1:10" x14ac:dyDescent="0.3">
      <c r="A50">
        <v>48</v>
      </c>
      <c r="B50">
        <v>763</v>
      </c>
      <c r="C50" t="b">
        <v>1</v>
      </c>
      <c r="D50">
        <v>8060</v>
      </c>
      <c r="E50">
        <v>8123</v>
      </c>
      <c r="F50">
        <v>20</v>
      </c>
      <c r="G50">
        <v>18.333334000000001</v>
      </c>
      <c r="H50">
        <v>1.0909089999999999</v>
      </c>
      <c r="I50">
        <v>-9.090906E-2</v>
      </c>
      <c r="J50">
        <v>0.47826084000000002</v>
      </c>
    </row>
    <row r="51" spans="1:10" x14ac:dyDescent="0.3">
      <c r="A51">
        <v>49</v>
      </c>
      <c r="B51">
        <v>779</v>
      </c>
      <c r="C51" t="b">
        <v>1</v>
      </c>
      <c r="D51">
        <v>8071</v>
      </c>
      <c r="E51">
        <v>8129</v>
      </c>
      <c r="F51">
        <v>20</v>
      </c>
      <c r="G51">
        <v>18.666665999999999</v>
      </c>
      <c r="H51">
        <v>1.0714287</v>
      </c>
      <c r="I51">
        <v>-7.1428604000000007E-2</v>
      </c>
      <c r="J51">
        <v>0.48275864000000002</v>
      </c>
    </row>
    <row r="52" spans="1:10" x14ac:dyDescent="0.3">
      <c r="A52">
        <v>50</v>
      </c>
      <c r="B52">
        <v>795</v>
      </c>
      <c r="C52" t="b">
        <v>1</v>
      </c>
      <c r="D52">
        <v>8065</v>
      </c>
      <c r="E52">
        <v>8129</v>
      </c>
      <c r="F52">
        <v>20</v>
      </c>
      <c r="G52">
        <v>18.666665999999999</v>
      </c>
      <c r="H52">
        <v>1.0714287</v>
      </c>
      <c r="I52">
        <v>-7.1428604000000007E-2</v>
      </c>
      <c r="J52">
        <v>0.48275864000000002</v>
      </c>
    </row>
    <row r="53" spans="1:10" x14ac:dyDescent="0.3">
      <c r="A53">
        <v>51</v>
      </c>
      <c r="B53">
        <v>810</v>
      </c>
      <c r="C53" t="b">
        <v>1</v>
      </c>
      <c r="D53">
        <v>8071</v>
      </c>
      <c r="E53">
        <v>8134</v>
      </c>
      <c r="F53">
        <v>20.333334000000001</v>
      </c>
      <c r="G53">
        <v>18.333334000000001</v>
      </c>
      <c r="H53">
        <v>1.1090909</v>
      </c>
      <c r="I53">
        <v>-0.1090909</v>
      </c>
      <c r="J53">
        <v>0.47413792999999999</v>
      </c>
    </row>
    <row r="54" spans="1:10" x14ac:dyDescent="0.3">
      <c r="A54">
        <v>52</v>
      </c>
      <c r="B54">
        <v>826</v>
      </c>
      <c r="C54" t="b">
        <v>1</v>
      </c>
      <c r="D54">
        <v>8065</v>
      </c>
      <c r="E54">
        <v>8129</v>
      </c>
      <c r="F54">
        <v>20.666665999999999</v>
      </c>
      <c r="G54">
        <v>18</v>
      </c>
      <c r="H54">
        <v>1.1481481</v>
      </c>
      <c r="I54">
        <v>-0.14814811999999999</v>
      </c>
      <c r="J54">
        <v>0.46551727999999998</v>
      </c>
    </row>
    <row r="55" spans="1:10" x14ac:dyDescent="0.3">
      <c r="A55">
        <v>53</v>
      </c>
      <c r="B55">
        <v>841</v>
      </c>
      <c r="C55" t="b">
        <v>1</v>
      </c>
      <c r="D55">
        <v>8065</v>
      </c>
      <c r="E55">
        <v>8129</v>
      </c>
      <c r="F55">
        <v>21</v>
      </c>
      <c r="G55">
        <v>17.666665999999999</v>
      </c>
      <c r="H55">
        <v>1.1886793</v>
      </c>
      <c r="I55">
        <v>-0.18867929999999999</v>
      </c>
      <c r="J55">
        <v>0.45689657</v>
      </c>
    </row>
    <row r="56" spans="1:10" x14ac:dyDescent="0.3">
      <c r="A56">
        <v>54</v>
      </c>
      <c r="B56">
        <v>857</v>
      </c>
      <c r="C56" t="b">
        <v>1</v>
      </c>
      <c r="D56">
        <v>8071</v>
      </c>
      <c r="E56">
        <v>8129</v>
      </c>
      <c r="F56">
        <v>21.333334000000001</v>
      </c>
      <c r="G56">
        <v>17.333334000000001</v>
      </c>
      <c r="H56">
        <v>1.2307693</v>
      </c>
      <c r="I56">
        <v>-0.23076922</v>
      </c>
      <c r="J56">
        <v>0.44827586000000003</v>
      </c>
    </row>
    <row r="57" spans="1:10" x14ac:dyDescent="0.3">
      <c r="A57">
        <v>55</v>
      </c>
      <c r="B57">
        <v>873</v>
      </c>
      <c r="C57" t="b">
        <v>1</v>
      </c>
      <c r="D57">
        <v>8054</v>
      </c>
      <c r="E57">
        <v>8134</v>
      </c>
      <c r="F57">
        <v>21.666665999999999</v>
      </c>
      <c r="G57">
        <v>17</v>
      </c>
      <c r="H57">
        <v>1.2745097999999999</v>
      </c>
      <c r="I57">
        <v>-0.27450975999999999</v>
      </c>
      <c r="J57">
        <v>0.43965520000000002</v>
      </c>
    </row>
    <row r="58" spans="1:10" x14ac:dyDescent="0.3">
      <c r="A58">
        <v>56</v>
      </c>
      <c r="B58">
        <v>889</v>
      </c>
      <c r="C58" t="b">
        <v>1</v>
      </c>
      <c r="D58">
        <v>8060</v>
      </c>
      <c r="E58">
        <v>8134</v>
      </c>
      <c r="F58">
        <v>22</v>
      </c>
      <c r="G58">
        <v>16.666665999999999</v>
      </c>
      <c r="H58">
        <v>1.32</v>
      </c>
      <c r="I58">
        <v>-0.32000004999999998</v>
      </c>
      <c r="J58">
        <v>0.43103449999999999</v>
      </c>
    </row>
    <row r="59" spans="1:10" x14ac:dyDescent="0.3">
      <c r="A59">
        <v>57</v>
      </c>
      <c r="B59">
        <v>905</v>
      </c>
      <c r="C59" t="b">
        <v>1</v>
      </c>
      <c r="D59">
        <v>8065</v>
      </c>
      <c r="E59">
        <v>8134</v>
      </c>
      <c r="F59">
        <v>22.333334000000001</v>
      </c>
      <c r="G59">
        <v>16.666665999999999</v>
      </c>
      <c r="H59">
        <v>1.34</v>
      </c>
      <c r="I59">
        <v>-0.34000010000000003</v>
      </c>
      <c r="J59">
        <v>0.42735040000000002</v>
      </c>
    </row>
    <row r="60" spans="1:10" x14ac:dyDescent="0.3">
      <c r="A60">
        <v>58</v>
      </c>
      <c r="B60">
        <v>921</v>
      </c>
      <c r="C60" t="b">
        <v>1</v>
      </c>
      <c r="D60">
        <v>8054</v>
      </c>
      <c r="E60">
        <v>8134</v>
      </c>
      <c r="F60">
        <v>22.333334000000001</v>
      </c>
      <c r="G60">
        <v>16.666665999999999</v>
      </c>
      <c r="H60">
        <v>1.34</v>
      </c>
      <c r="I60">
        <v>-0.34000010000000003</v>
      </c>
      <c r="J60">
        <v>0.42735040000000002</v>
      </c>
    </row>
    <row r="61" spans="1:10" x14ac:dyDescent="0.3">
      <c r="A61">
        <v>59</v>
      </c>
      <c r="B61">
        <v>937</v>
      </c>
      <c r="C61" t="b">
        <v>1</v>
      </c>
      <c r="D61">
        <v>8054</v>
      </c>
      <c r="E61">
        <v>8134</v>
      </c>
      <c r="F61">
        <v>21.933332</v>
      </c>
      <c r="G61">
        <v>16.666665999999999</v>
      </c>
      <c r="H61">
        <v>1.3160000000000001</v>
      </c>
      <c r="I61">
        <v>-0.31599998000000001</v>
      </c>
      <c r="J61">
        <v>0.43177894</v>
      </c>
    </row>
    <row r="62" spans="1:10" x14ac:dyDescent="0.3">
      <c r="A62">
        <v>60</v>
      </c>
      <c r="B62">
        <v>953</v>
      </c>
      <c r="C62" t="b">
        <v>1</v>
      </c>
      <c r="D62">
        <v>8060</v>
      </c>
      <c r="E62">
        <v>8140</v>
      </c>
      <c r="F62">
        <v>21.933332</v>
      </c>
      <c r="G62">
        <v>16.666665999999999</v>
      </c>
      <c r="H62">
        <v>1.3160000000000001</v>
      </c>
      <c r="I62">
        <v>-0.31599998000000001</v>
      </c>
      <c r="J62">
        <v>0.43177894</v>
      </c>
    </row>
    <row r="63" spans="1:10" x14ac:dyDescent="0.3">
      <c r="A63">
        <v>61</v>
      </c>
      <c r="B63">
        <v>969</v>
      </c>
      <c r="C63" t="b">
        <v>1</v>
      </c>
      <c r="D63">
        <v>8065</v>
      </c>
      <c r="E63">
        <v>8134</v>
      </c>
      <c r="F63">
        <v>21.933332</v>
      </c>
      <c r="G63">
        <v>16.666665999999999</v>
      </c>
      <c r="H63">
        <v>1.3160000000000001</v>
      </c>
      <c r="I63">
        <v>-0.31599998000000001</v>
      </c>
      <c r="J63">
        <v>0.43177894</v>
      </c>
    </row>
    <row r="64" spans="1:10" x14ac:dyDescent="0.3">
      <c r="A64">
        <v>62</v>
      </c>
      <c r="B64">
        <v>984</v>
      </c>
      <c r="C64" t="b">
        <v>1</v>
      </c>
      <c r="D64">
        <v>8060</v>
      </c>
      <c r="E64">
        <v>8140</v>
      </c>
      <c r="F64">
        <v>21.933332</v>
      </c>
      <c r="G64">
        <v>16.666665999999999</v>
      </c>
      <c r="H64">
        <v>1.3160000000000001</v>
      </c>
      <c r="I64">
        <v>-0.31599998000000001</v>
      </c>
      <c r="J64">
        <v>0.43177894</v>
      </c>
    </row>
    <row r="65" spans="1:10" x14ac:dyDescent="0.3">
      <c r="A65">
        <v>63</v>
      </c>
      <c r="B65">
        <v>1000</v>
      </c>
      <c r="C65" t="b">
        <v>1</v>
      </c>
      <c r="D65">
        <v>8060</v>
      </c>
      <c r="E65">
        <v>8129</v>
      </c>
      <c r="F65">
        <v>21.933332</v>
      </c>
      <c r="G65">
        <v>16.666665999999999</v>
      </c>
      <c r="H65">
        <v>1.3160000000000001</v>
      </c>
      <c r="I65">
        <v>-0.31599998000000001</v>
      </c>
      <c r="J65">
        <v>0.43177894</v>
      </c>
    </row>
    <row r="66" spans="1:10" x14ac:dyDescent="0.3">
      <c r="A66">
        <v>64</v>
      </c>
      <c r="B66">
        <v>1016</v>
      </c>
      <c r="C66" t="b">
        <v>1</v>
      </c>
      <c r="D66">
        <v>8060</v>
      </c>
      <c r="E66">
        <v>8140</v>
      </c>
      <c r="F66">
        <v>21.933332</v>
      </c>
      <c r="G66">
        <v>17.066668</v>
      </c>
      <c r="H66">
        <v>1.2851561</v>
      </c>
      <c r="I66">
        <v>-0.28515613000000001</v>
      </c>
      <c r="J66">
        <v>0.43760686999999998</v>
      </c>
    </row>
    <row r="67" spans="1:10" x14ac:dyDescent="0.3">
      <c r="A67">
        <v>65</v>
      </c>
      <c r="B67">
        <v>1032</v>
      </c>
      <c r="C67" t="b">
        <v>1</v>
      </c>
      <c r="D67">
        <v>8054</v>
      </c>
      <c r="E67">
        <v>8134</v>
      </c>
      <c r="F67">
        <v>21.933332</v>
      </c>
      <c r="G67">
        <v>17.399999999999999</v>
      </c>
      <c r="H67">
        <v>1.2605363999999999</v>
      </c>
      <c r="I67">
        <v>-0.26053637000000002</v>
      </c>
      <c r="J67">
        <v>0.44237290000000001</v>
      </c>
    </row>
    <row r="68" spans="1:10" x14ac:dyDescent="0.3">
      <c r="A68">
        <v>66</v>
      </c>
      <c r="B68">
        <v>1048</v>
      </c>
      <c r="C68" t="b">
        <v>1</v>
      </c>
      <c r="D68">
        <v>8060</v>
      </c>
      <c r="E68">
        <v>8140</v>
      </c>
      <c r="F68">
        <v>21.6</v>
      </c>
      <c r="G68">
        <v>18.133333</v>
      </c>
      <c r="H68">
        <v>1.1911765000000001</v>
      </c>
      <c r="I68">
        <v>-0.1911765</v>
      </c>
      <c r="J68">
        <v>0.45637583999999998</v>
      </c>
    </row>
    <row r="69" spans="1:10" x14ac:dyDescent="0.3">
      <c r="A69">
        <v>67</v>
      </c>
      <c r="B69">
        <v>1064</v>
      </c>
      <c r="C69" t="b">
        <v>1</v>
      </c>
      <c r="D69">
        <v>8065</v>
      </c>
      <c r="E69">
        <v>8134</v>
      </c>
      <c r="F69">
        <v>21.266666000000001</v>
      </c>
      <c r="G69">
        <v>18.466667000000001</v>
      </c>
      <c r="H69">
        <v>1.1516246000000001</v>
      </c>
      <c r="I69">
        <v>-0.1516245</v>
      </c>
      <c r="J69">
        <v>0.46476509999999999</v>
      </c>
    </row>
    <row r="70" spans="1:10" x14ac:dyDescent="0.3">
      <c r="A70">
        <v>68</v>
      </c>
      <c r="B70">
        <v>1079</v>
      </c>
      <c r="C70" t="b">
        <v>1</v>
      </c>
      <c r="D70">
        <v>8065</v>
      </c>
      <c r="E70">
        <v>8140</v>
      </c>
      <c r="F70">
        <v>20.933332</v>
      </c>
      <c r="G70">
        <v>19.2</v>
      </c>
      <c r="H70">
        <v>1.0902776999999999</v>
      </c>
      <c r="I70">
        <v>-9.0277689999999994E-2</v>
      </c>
      <c r="J70">
        <v>0.47840536</v>
      </c>
    </row>
    <row r="71" spans="1:10" x14ac:dyDescent="0.3">
      <c r="A71">
        <v>69</v>
      </c>
      <c r="B71">
        <v>1095</v>
      </c>
      <c r="C71" t="b">
        <v>1</v>
      </c>
      <c r="D71">
        <v>8060</v>
      </c>
      <c r="E71">
        <v>8134</v>
      </c>
      <c r="F71">
        <v>20.6</v>
      </c>
      <c r="G71">
        <v>19.533332999999999</v>
      </c>
      <c r="H71">
        <v>1.0546074999999999</v>
      </c>
      <c r="I71">
        <v>-5.4607555000000002E-2</v>
      </c>
      <c r="J71">
        <v>0.48671097000000002</v>
      </c>
    </row>
    <row r="72" spans="1:10" x14ac:dyDescent="0.3">
      <c r="A72">
        <v>70</v>
      </c>
      <c r="B72">
        <v>1111</v>
      </c>
      <c r="C72" t="b">
        <v>1</v>
      </c>
      <c r="D72">
        <v>8071</v>
      </c>
      <c r="E72">
        <v>8134</v>
      </c>
      <c r="F72">
        <v>20.6</v>
      </c>
      <c r="G72">
        <v>19.866667</v>
      </c>
      <c r="H72">
        <v>1.0369128000000001</v>
      </c>
      <c r="I72">
        <v>-3.6912765E-2</v>
      </c>
      <c r="J72">
        <v>0.49093904999999999</v>
      </c>
    </row>
    <row r="73" spans="1:10" x14ac:dyDescent="0.3">
      <c r="A73">
        <v>71</v>
      </c>
      <c r="B73">
        <v>1127</v>
      </c>
      <c r="C73" t="b">
        <v>1</v>
      </c>
      <c r="D73">
        <v>8060</v>
      </c>
      <c r="E73">
        <v>8134</v>
      </c>
      <c r="F73">
        <v>20.6</v>
      </c>
      <c r="G73">
        <v>20.2</v>
      </c>
      <c r="H73">
        <v>1.0198020000000001</v>
      </c>
      <c r="I73">
        <v>-1.9801961E-2</v>
      </c>
      <c r="J73">
        <v>0.49509802000000003</v>
      </c>
    </row>
    <row r="74" spans="1:10" x14ac:dyDescent="0.3">
      <c r="A74">
        <v>72</v>
      </c>
      <c r="B74">
        <v>1143</v>
      </c>
      <c r="C74" t="b">
        <v>1</v>
      </c>
      <c r="D74">
        <v>8060</v>
      </c>
      <c r="E74">
        <v>8140</v>
      </c>
      <c r="F74">
        <v>20.266666000000001</v>
      </c>
      <c r="G74">
        <v>20.2</v>
      </c>
      <c r="H74">
        <v>1.0033003</v>
      </c>
      <c r="I74">
        <v>-3.3002795999999999E-3</v>
      </c>
      <c r="J74">
        <v>0.49917630000000002</v>
      </c>
    </row>
    <row r="75" spans="1:10" x14ac:dyDescent="0.3">
      <c r="A75">
        <v>73</v>
      </c>
      <c r="B75">
        <v>1158</v>
      </c>
      <c r="C75" t="b">
        <v>1</v>
      </c>
      <c r="D75">
        <v>8065</v>
      </c>
      <c r="E75">
        <v>8129</v>
      </c>
      <c r="F75">
        <v>20.266666000000001</v>
      </c>
      <c r="G75">
        <v>20.2</v>
      </c>
      <c r="H75">
        <v>1.0033003</v>
      </c>
      <c r="I75">
        <v>-3.3002795999999999E-3</v>
      </c>
      <c r="J75">
        <v>0.49917630000000002</v>
      </c>
    </row>
    <row r="76" spans="1:10" x14ac:dyDescent="0.3">
      <c r="A76">
        <v>74</v>
      </c>
      <c r="B76">
        <v>1174</v>
      </c>
      <c r="C76" t="b">
        <v>1</v>
      </c>
      <c r="D76">
        <v>8060</v>
      </c>
      <c r="E76">
        <v>8129</v>
      </c>
      <c r="F76">
        <v>20.666665999999999</v>
      </c>
      <c r="G76">
        <v>20.2</v>
      </c>
      <c r="H76">
        <v>1.0231022999999999</v>
      </c>
      <c r="I76">
        <v>-2.310224E-2</v>
      </c>
      <c r="J76">
        <v>0.49429037999999997</v>
      </c>
    </row>
    <row r="77" spans="1:10" x14ac:dyDescent="0.3">
      <c r="A77">
        <v>75</v>
      </c>
      <c r="B77">
        <v>1190</v>
      </c>
      <c r="C77" t="b">
        <v>1</v>
      </c>
      <c r="D77">
        <v>8060</v>
      </c>
      <c r="E77">
        <v>8129</v>
      </c>
      <c r="F77">
        <v>20.666665999999999</v>
      </c>
      <c r="G77">
        <v>19.866667</v>
      </c>
      <c r="H77">
        <v>1.0402684</v>
      </c>
      <c r="I77">
        <v>-4.0268417000000001E-2</v>
      </c>
      <c r="J77">
        <v>0.4901316</v>
      </c>
    </row>
    <row r="78" spans="1:10" x14ac:dyDescent="0.3">
      <c r="A78">
        <v>76</v>
      </c>
      <c r="B78">
        <v>1206</v>
      </c>
      <c r="C78" t="b">
        <v>1</v>
      </c>
      <c r="D78">
        <v>8054</v>
      </c>
      <c r="E78">
        <v>8129</v>
      </c>
      <c r="F78">
        <v>20.666665999999999</v>
      </c>
      <c r="G78">
        <v>19.533332999999999</v>
      </c>
      <c r="H78">
        <v>1.0580205</v>
      </c>
      <c r="I78">
        <v>-5.8020473000000003E-2</v>
      </c>
      <c r="J78">
        <v>0.48590382999999998</v>
      </c>
    </row>
    <row r="79" spans="1:10" x14ac:dyDescent="0.3">
      <c r="A79">
        <v>77</v>
      </c>
      <c r="B79">
        <v>1222</v>
      </c>
      <c r="C79" t="b">
        <v>1</v>
      </c>
      <c r="D79">
        <v>8048</v>
      </c>
      <c r="E79">
        <v>8129</v>
      </c>
      <c r="F79">
        <v>20.666665999999999</v>
      </c>
      <c r="G79">
        <v>19.2</v>
      </c>
      <c r="H79">
        <v>1.0763887999999999</v>
      </c>
      <c r="I79">
        <v>-7.6388810000000001E-2</v>
      </c>
      <c r="J79">
        <v>0.48160534999999999</v>
      </c>
    </row>
    <row r="80" spans="1:10" x14ac:dyDescent="0.3">
      <c r="A80">
        <v>78</v>
      </c>
      <c r="B80">
        <v>1237</v>
      </c>
      <c r="C80" t="b">
        <v>1</v>
      </c>
      <c r="D80">
        <v>8060</v>
      </c>
      <c r="E80">
        <v>8123</v>
      </c>
      <c r="F80">
        <v>20.666665999999999</v>
      </c>
      <c r="G80">
        <v>18.866667</v>
      </c>
      <c r="H80">
        <v>1.0954063000000001</v>
      </c>
      <c r="I80">
        <v>-9.5406316000000005E-2</v>
      </c>
      <c r="J80">
        <v>0.47723441999999999</v>
      </c>
    </row>
    <row r="81" spans="1:10" x14ac:dyDescent="0.3">
      <c r="A81">
        <v>79</v>
      </c>
      <c r="B81">
        <v>1253</v>
      </c>
      <c r="C81" t="b">
        <v>1</v>
      </c>
      <c r="D81">
        <v>8060</v>
      </c>
      <c r="E81">
        <v>8129</v>
      </c>
      <c r="F81">
        <v>20.666665999999999</v>
      </c>
      <c r="G81">
        <v>18.133333</v>
      </c>
      <c r="H81">
        <v>1.1397059</v>
      </c>
      <c r="I81">
        <v>-0.13970584999999999</v>
      </c>
      <c r="J81">
        <v>0.46735397000000001</v>
      </c>
    </row>
    <row r="82" spans="1:10" x14ac:dyDescent="0.3">
      <c r="A82">
        <v>80</v>
      </c>
      <c r="B82">
        <v>1269</v>
      </c>
      <c r="C82" t="b">
        <v>1</v>
      </c>
      <c r="D82">
        <v>8065</v>
      </c>
      <c r="E82">
        <v>8129</v>
      </c>
      <c r="F82">
        <v>20.666665999999999</v>
      </c>
      <c r="G82">
        <v>17.8</v>
      </c>
      <c r="H82">
        <v>1.1610487</v>
      </c>
      <c r="I82">
        <v>-0.16104871000000001</v>
      </c>
      <c r="J82">
        <v>0.46273828</v>
      </c>
    </row>
    <row r="83" spans="1:10" x14ac:dyDescent="0.3">
      <c r="A83">
        <v>81</v>
      </c>
      <c r="B83">
        <v>1284</v>
      </c>
      <c r="C83" t="b">
        <v>1</v>
      </c>
      <c r="D83">
        <v>8065</v>
      </c>
      <c r="E83">
        <v>8134</v>
      </c>
      <c r="F83">
        <v>20.666665999999999</v>
      </c>
      <c r="G83">
        <v>17.066668</v>
      </c>
      <c r="H83">
        <v>1.2109373999999999</v>
      </c>
      <c r="I83">
        <v>-0.2109374</v>
      </c>
      <c r="J83">
        <v>0.45229684999999997</v>
      </c>
    </row>
    <row r="84" spans="1:10" x14ac:dyDescent="0.3">
      <c r="A84">
        <v>82</v>
      </c>
      <c r="B84">
        <v>1301</v>
      </c>
      <c r="C84" t="b">
        <v>1</v>
      </c>
      <c r="D84">
        <v>8060</v>
      </c>
      <c r="E84">
        <v>8134</v>
      </c>
      <c r="F84">
        <v>20.666665999999999</v>
      </c>
      <c r="G84">
        <v>16.733333999999999</v>
      </c>
      <c r="H84">
        <v>1.2350597000000001</v>
      </c>
      <c r="I84">
        <v>-0.23505971000000001</v>
      </c>
      <c r="J84">
        <v>0.44741532000000001</v>
      </c>
    </row>
    <row r="85" spans="1:10" x14ac:dyDescent="0.3">
      <c r="A85">
        <v>83</v>
      </c>
      <c r="B85">
        <v>1316</v>
      </c>
      <c r="C85" t="b">
        <v>1</v>
      </c>
      <c r="D85">
        <v>8054</v>
      </c>
      <c r="E85">
        <v>8129</v>
      </c>
      <c r="F85">
        <v>20.666665999999999</v>
      </c>
      <c r="G85">
        <v>16</v>
      </c>
      <c r="H85">
        <v>1.2916666000000001</v>
      </c>
      <c r="I85">
        <v>-0.29166662999999998</v>
      </c>
      <c r="J85">
        <v>0.43636366999999998</v>
      </c>
    </row>
    <row r="86" spans="1:10" x14ac:dyDescent="0.3">
      <c r="A86">
        <v>84</v>
      </c>
      <c r="B86">
        <v>1332</v>
      </c>
      <c r="C86" t="b">
        <v>1</v>
      </c>
      <c r="D86">
        <v>8065</v>
      </c>
      <c r="E86">
        <v>8123</v>
      </c>
      <c r="F86">
        <v>21</v>
      </c>
      <c r="G86">
        <v>15.666667</v>
      </c>
      <c r="H86">
        <v>1.3404255</v>
      </c>
      <c r="I86">
        <v>-0.34042549999999999</v>
      </c>
      <c r="J86">
        <v>0.42727270000000001</v>
      </c>
    </row>
    <row r="87" spans="1:10" x14ac:dyDescent="0.3">
      <c r="A87">
        <v>85</v>
      </c>
      <c r="B87">
        <v>1349</v>
      </c>
      <c r="C87" t="b">
        <v>1</v>
      </c>
      <c r="D87">
        <v>8065</v>
      </c>
      <c r="E87">
        <v>8129</v>
      </c>
      <c r="F87">
        <v>21</v>
      </c>
      <c r="G87">
        <v>15.333333</v>
      </c>
      <c r="H87">
        <v>1.3695652</v>
      </c>
      <c r="I87">
        <v>-0.36956525000000001</v>
      </c>
      <c r="J87">
        <v>0.42201834999999999</v>
      </c>
    </row>
    <row r="88" spans="1:10" x14ac:dyDescent="0.3">
      <c r="A88">
        <v>86</v>
      </c>
      <c r="B88">
        <v>1365</v>
      </c>
      <c r="C88" t="b">
        <v>1</v>
      </c>
      <c r="D88">
        <v>8060</v>
      </c>
      <c r="E88">
        <v>8134</v>
      </c>
      <c r="F88">
        <v>20.666665999999999</v>
      </c>
      <c r="G88">
        <v>15</v>
      </c>
      <c r="H88">
        <v>1.3777777</v>
      </c>
      <c r="I88">
        <v>-0.37777772999999998</v>
      </c>
      <c r="J88">
        <v>0.42056078000000002</v>
      </c>
    </row>
    <row r="89" spans="1:10" x14ac:dyDescent="0.3">
      <c r="A89">
        <v>87</v>
      </c>
      <c r="B89">
        <v>1380</v>
      </c>
      <c r="C89" t="b">
        <v>1</v>
      </c>
      <c r="D89">
        <v>8054</v>
      </c>
      <c r="E89">
        <v>8134</v>
      </c>
      <c r="F89">
        <v>20.666665999999999</v>
      </c>
      <c r="G89">
        <v>14.666667</v>
      </c>
      <c r="H89">
        <v>1.4090909</v>
      </c>
      <c r="I89">
        <v>-0.40909085000000001</v>
      </c>
      <c r="J89">
        <v>0.41509437999999999</v>
      </c>
    </row>
    <row r="90" spans="1:10" x14ac:dyDescent="0.3">
      <c r="A90">
        <v>88</v>
      </c>
      <c r="B90">
        <v>1397</v>
      </c>
      <c r="C90" t="b">
        <v>1</v>
      </c>
      <c r="D90">
        <v>8054</v>
      </c>
      <c r="E90">
        <v>8129</v>
      </c>
      <c r="F90">
        <v>20.666665999999999</v>
      </c>
      <c r="G90">
        <v>14.333333</v>
      </c>
      <c r="H90">
        <v>1.4418603999999999</v>
      </c>
      <c r="I90">
        <v>-0.44186047000000001</v>
      </c>
      <c r="J90">
        <v>0.40952380999999999</v>
      </c>
    </row>
    <row r="91" spans="1:10" x14ac:dyDescent="0.3">
      <c r="A91">
        <v>89</v>
      </c>
      <c r="B91">
        <v>1412</v>
      </c>
      <c r="C91" t="b">
        <v>1</v>
      </c>
      <c r="D91">
        <v>8065</v>
      </c>
      <c r="E91">
        <v>8134</v>
      </c>
      <c r="F91">
        <v>20.666665999999999</v>
      </c>
      <c r="G91">
        <v>14.333333</v>
      </c>
      <c r="H91">
        <v>1.4418603999999999</v>
      </c>
      <c r="I91">
        <v>-0.44186047000000001</v>
      </c>
      <c r="J91">
        <v>0.40952380999999999</v>
      </c>
    </row>
    <row r="92" spans="1:10" x14ac:dyDescent="0.3">
      <c r="A92">
        <v>90</v>
      </c>
      <c r="B92">
        <v>1428</v>
      </c>
      <c r="C92" t="b">
        <v>1</v>
      </c>
      <c r="D92">
        <v>8060</v>
      </c>
      <c r="E92">
        <v>8134</v>
      </c>
      <c r="F92">
        <v>20.666665999999999</v>
      </c>
      <c r="G92">
        <v>14.666667</v>
      </c>
      <c r="H92">
        <v>1.4090909</v>
      </c>
      <c r="I92">
        <v>-0.40909085000000001</v>
      </c>
      <c r="J92">
        <v>0.41509437999999999</v>
      </c>
    </row>
    <row r="93" spans="1:10" x14ac:dyDescent="0.3">
      <c r="A93">
        <v>91</v>
      </c>
      <c r="B93">
        <v>1444</v>
      </c>
      <c r="C93" t="b">
        <v>1</v>
      </c>
      <c r="D93">
        <v>8060</v>
      </c>
      <c r="E93">
        <v>8134</v>
      </c>
      <c r="F93">
        <v>20.666665999999999</v>
      </c>
      <c r="G93">
        <v>15</v>
      </c>
      <c r="H93">
        <v>1.3777777</v>
      </c>
      <c r="I93">
        <v>-0.37777772999999998</v>
      </c>
      <c r="J93">
        <v>0.42056078000000002</v>
      </c>
    </row>
    <row r="94" spans="1:10" x14ac:dyDescent="0.3">
      <c r="A94">
        <v>92</v>
      </c>
      <c r="B94">
        <v>1460</v>
      </c>
      <c r="C94" t="b">
        <v>1</v>
      </c>
      <c r="D94">
        <v>8060</v>
      </c>
      <c r="E94">
        <v>8134</v>
      </c>
      <c r="F94">
        <v>20.666665999999999</v>
      </c>
      <c r="G94">
        <v>15.333333</v>
      </c>
      <c r="H94">
        <v>1.3478261</v>
      </c>
      <c r="I94">
        <v>-0.34782605999999999</v>
      </c>
      <c r="J94">
        <v>0.42592590000000002</v>
      </c>
    </row>
    <row r="95" spans="1:10" x14ac:dyDescent="0.3">
      <c r="A95">
        <v>93</v>
      </c>
      <c r="B95">
        <v>1475</v>
      </c>
      <c r="C95" t="b">
        <v>1</v>
      </c>
      <c r="D95">
        <v>8060</v>
      </c>
      <c r="E95">
        <v>8134</v>
      </c>
      <c r="F95">
        <v>20.666665999999999</v>
      </c>
      <c r="G95">
        <v>15.666667</v>
      </c>
      <c r="H95">
        <v>1.3191489000000001</v>
      </c>
      <c r="I95">
        <v>-0.31914886999999997</v>
      </c>
      <c r="J95">
        <v>0.43119269999999998</v>
      </c>
    </row>
    <row r="96" spans="1:10" x14ac:dyDescent="0.3">
      <c r="A96">
        <v>94</v>
      </c>
      <c r="B96">
        <v>1491</v>
      </c>
      <c r="C96" t="b">
        <v>1</v>
      </c>
      <c r="D96">
        <v>8060</v>
      </c>
      <c r="E96">
        <v>8140</v>
      </c>
      <c r="F96">
        <v>20.666665999999999</v>
      </c>
      <c r="G96">
        <v>16</v>
      </c>
      <c r="H96">
        <v>1.2916666000000001</v>
      </c>
      <c r="I96">
        <v>-0.29166662999999998</v>
      </c>
      <c r="J96">
        <v>0.43636366999999998</v>
      </c>
    </row>
    <row r="97" spans="1:10" x14ac:dyDescent="0.3">
      <c r="A97">
        <v>95</v>
      </c>
      <c r="B97">
        <v>1507</v>
      </c>
      <c r="C97" t="b">
        <v>1</v>
      </c>
      <c r="D97">
        <v>8060</v>
      </c>
      <c r="E97">
        <v>8134</v>
      </c>
      <c r="F97">
        <v>20.666665999999999</v>
      </c>
      <c r="G97">
        <v>16.333334000000001</v>
      </c>
      <c r="H97">
        <v>1.265306</v>
      </c>
      <c r="I97">
        <v>-0.26530603000000003</v>
      </c>
      <c r="J97">
        <v>0.44144145000000001</v>
      </c>
    </row>
    <row r="98" spans="1:10" x14ac:dyDescent="0.3">
      <c r="A98">
        <v>96</v>
      </c>
      <c r="B98">
        <v>1523</v>
      </c>
      <c r="C98" t="b">
        <v>1</v>
      </c>
      <c r="D98">
        <v>8060</v>
      </c>
      <c r="E98">
        <v>8134</v>
      </c>
      <c r="F98">
        <v>20.666665999999999</v>
      </c>
      <c r="G98">
        <v>16.666665999999999</v>
      </c>
      <c r="H98">
        <v>1.24</v>
      </c>
      <c r="I98">
        <v>-0.24000001000000001</v>
      </c>
      <c r="J98">
        <v>0.44642857000000002</v>
      </c>
    </row>
    <row r="99" spans="1:10" x14ac:dyDescent="0.3">
      <c r="A99">
        <v>97</v>
      </c>
      <c r="B99">
        <v>1539</v>
      </c>
      <c r="C99" t="b">
        <v>1</v>
      </c>
      <c r="D99">
        <v>8060</v>
      </c>
      <c r="E99">
        <v>8134</v>
      </c>
      <c r="F99">
        <v>20.666665999999999</v>
      </c>
      <c r="G99">
        <v>17</v>
      </c>
      <c r="H99">
        <v>1.2156861999999999</v>
      </c>
      <c r="I99">
        <v>-0.21568623000000001</v>
      </c>
      <c r="J99">
        <v>0.45132747000000001</v>
      </c>
    </row>
    <row r="100" spans="1:10" x14ac:dyDescent="0.3">
      <c r="A100">
        <v>98</v>
      </c>
      <c r="B100">
        <v>1555</v>
      </c>
      <c r="C100" t="b">
        <v>1</v>
      </c>
      <c r="D100">
        <v>8054</v>
      </c>
      <c r="E100">
        <v>8140</v>
      </c>
      <c r="F100">
        <v>20.666665999999999</v>
      </c>
      <c r="G100">
        <v>17.333334000000001</v>
      </c>
      <c r="H100">
        <v>1.1923075999999999</v>
      </c>
      <c r="I100">
        <v>-0.1923076</v>
      </c>
      <c r="J100">
        <v>0.45614037000000002</v>
      </c>
    </row>
    <row r="101" spans="1:10" x14ac:dyDescent="0.3">
      <c r="A101">
        <v>99</v>
      </c>
      <c r="B101">
        <v>1570</v>
      </c>
      <c r="C101" t="b">
        <v>1</v>
      </c>
      <c r="D101">
        <v>8054</v>
      </c>
      <c r="E101">
        <v>8146</v>
      </c>
      <c r="F101">
        <v>20.333334000000001</v>
      </c>
      <c r="G101">
        <v>17.666665999999999</v>
      </c>
      <c r="H101">
        <v>1.1509434999999999</v>
      </c>
      <c r="I101">
        <v>-0.15094347</v>
      </c>
      <c r="J101">
        <v>0.46491227000000002</v>
      </c>
    </row>
    <row r="102" spans="1:10" x14ac:dyDescent="0.3">
      <c r="A102">
        <v>100</v>
      </c>
      <c r="B102">
        <v>1587</v>
      </c>
      <c r="C102" t="b">
        <v>1</v>
      </c>
      <c r="D102">
        <v>8060</v>
      </c>
      <c r="E102">
        <v>8140</v>
      </c>
      <c r="F102">
        <v>20</v>
      </c>
      <c r="G102">
        <v>18.399999999999999</v>
      </c>
      <c r="H102">
        <v>1.0869565000000001</v>
      </c>
      <c r="I102">
        <v>-8.6956545999999996E-2</v>
      </c>
      <c r="J102">
        <v>0.47916662999999998</v>
      </c>
    </row>
    <row r="103" spans="1:10" x14ac:dyDescent="0.3">
      <c r="A103">
        <v>101</v>
      </c>
      <c r="B103">
        <v>1602</v>
      </c>
      <c r="C103" t="b">
        <v>1</v>
      </c>
      <c r="D103">
        <v>8065</v>
      </c>
      <c r="E103">
        <v>8140</v>
      </c>
      <c r="F103">
        <v>20</v>
      </c>
      <c r="G103">
        <v>19.133333</v>
      </c>
      <c r="H103">
        <v>1.0452961999999999</v>
      </c>
      <c r="I103">
        <v>-4.5296174000000002E-2</v>
      </c>
      <c r="J103">
        <v>0.48892677000000001</v>
      </c>
    </row>
    <row r="104" spans="1:10" x14ac:dyDescent="0.3">
      <c r="A104">
        <v>102</v>
      </c>
      <c r="B104">
        <v>1618</v>
      </c>
      <c r="C104" t="b">
        <v>1</v>
      </c>
      <c r="D104">
        <v>8060</v>
      </c>
      <c r="E104">
        <v>8140</v>
      </c>
      <c r="F104">
        <v>20</v>
      </c>
      <c r="G104">
        <v>19.866667</v>
      </c>
      <c r="H104">
        <v>1.0067113999999999</v>
      </c>
      <c r="I104">
        <v>-6.7114030000000003E-3</v>
      </c>
      <c r="J104">
        <v>0.49832773000000002</v>
      </c>
    </row>
    <row r="105" spans="1:10" x14ac:dyDescent="0.3">
      <c r="A105">
        <v>103</v>
      </c>
      <c r="B105">
        <v>1634</v>
      </c>
      <c r="C105" t="b">
        <v>1</v>
      </c>
      <c r="D105">
        <v>8060</v>
      </c>
      <c r="E105">
        <v>8146</v>
      </c>
      <c r="F105">
        <v>20</v>
      </c>
      <c r="G105">
        <v>20.6</v>
      </c>
      <c r="H105">
        <v>0.97087380000000001</v>
      </c>
      <c r="I105">
        <v>2.9126231999999998E-2</v>
      </c>
      <c r="J105">
        <v>0.50738919999999998</v>
      </c>
    </row>
    <row r="106" spans="1:10" x14ac:dyDescent="0.3">
      <c r="A106">
        <v>104</v>
      </c>
      <c r="B106">
        <v>1650</v>
      </c>
      <c r="C106" t="b">
        <v>1</v>
      </c>
      <c r="D106">
        <v>8054</v>
      </c>
      <c r="E106">
        <v>8134</v>
      </c>
      <c r="F106">
        <v>20</v>
      </c>
      <c r="G106">
        <v>21</v>
      </c>
      <c r="H106">
        <v>0.95238096000000005</v>
      </c>
      <c r="I106">
        <v>4.7619050000000003E-2</v>
      </c>
      <c r="J106">
        <v>0.51219510000000001</v>
      </c>
    </row>
    <row r="107" spans="1:10" x14ac:dyDescent="0.3">
      <c r="A107">
        <v>105</v>
      </c>
      <c r="B107">
        <v>1666</v>
      </c>
      <c r="C107" t="b">
        <v>1</v>
      </c>
      <c r="D107">
        <v>8065</v>
      </c>
      <c r="E107">
        <v>8134</v>
      </c>
      <c r="F107">
        <v>20</v>
      </c>
      <c r="G107">
        <v>21.4</v>
      </c>
      <c r="H107">
        <v>0.93457942999999999</v>
      </c>
      <c r="I107">
        <v>6.5420545999999996E-2</v>
      </c>
      <c r="J107">
        <v>0.51690817</v>
      </c>
    </row>
    <row r="108" spans="1:10" x14ac:dyDescent="0.3">
      <c r="A108">
        <v>106</v>
      </c>
      <c r="B108">
        <v>1682</v>
      </c>
      <c r="C108" t="b">
        <v>1</v>
      </c>
      <c r="D108">
        <v>8065</v>
      </c>
      <c r="E108">
        <v>8134</v>
      </c>
      <c r="F108">
        <v>20</v>
      </c>
      <c r="G108">
        <v>21.4</v>
      </c>
      <c r="H108">
        <v>0.93457942999999999</v>
      </c>
      <c r="I108">
        <v>6.5420545999999996E-2</v>
      </c>
      <c r="J108">
        <v>0.51690817</v>
      </c>
    </row>
    <row r="109" spans="1:10" x14ac:dyDescent="0.3">
      <c r="A109">
        <v>107</v>
      </c>
      <c r="B109">
        <v>1698</v>
      </c>
      <c r="C109" t="b">
        <v>1</v>
      </c>
      <c r="D109">
        <v>8060</v>
      </c>
      <c r="E109">
        <v>8140</v>
      </c>
      <c r="F109">
        <v>20</v>
      </c>
      <c r="G109">
        <v>21.4</v>
      </c>
      <c r="H109">
        <v>0.93457942999999999</v>
      </c>
      <c r="I109">
        <v>6.5420545999999996E-2</v>
      </c>
      <c r="J109">
        <v>0.51690817</v>
      </c>
    </row>
    <row r="110" spans="1:10" x14ac:dyDescent="0.3">
      <c r="A110">
        <v>108</v>
      </c>
      <c r="B110">
        <v>1713</v>
      </c>
      <c r="C110" t="b">
        <v>1</v>
      </c>
      <c r="D110">
        <v>8060</v>
      </c>
      <c r="E110">
        <v>8134</v>
      </c>
      <c r="F110">
        <v>20</v>
      </c>
      <c r="G110">
        <v>21.4</v>
      </c>
      <c r="H110">
        <v>0.93457942999999999</v>
      </c>
      <c r="I110">
        <v>6.5420545999999996E-2</v>
      </c>
      <c r="J110">
        <v>0.51690817</v>
      </c>
    </row>
    <row r="111" spans="1:10" x14ac:dyDescent="0.3">
      <c r="A111">
        <v>109</v>
      </c>
      <c r="B111">
        <v>1729</v>
      </c>
      <c r="C111" t="b">
        <v>1</v>
      </c>
      <c r="D111">
        <v>8054</v>
      </c>
      <c r="E111">
        <v>8134</v>
      </c>
      <c r="F111">
        <v>20</v>
      </c>
      <c r="G111">
        <v>21.4</v>
      </c>
      <c r="H111">
        <v>0.93457942999999999</v>
      </c>
      <c r="I111">
        <v>6.5420545999999996E-2</v>
      </c>
      <c r="J111">
        <v>0.51690817</v>
      </c>
    </row>
    <row r="112" spans="1:10" x14ac:dyDescent="0.3">
      <c r="A112">
        <v>110</v>
      </c>
      <c r="B112">
        <v>1744</v>
      </c>
      <c r="C112" t="b">
        <v>1</v>
      </c>
      <c r="D112">
        <v>8060</v>
      </c>
      <c r="E112">
        <v>8129</v>
      </c>
      <c r="F112">
        <v>20</v>
      </c>
      <c r="G112">
        <v>21.4</v>
      </c>
      <c r="H112">
        <v>0.93457942999999999</v>
      </c>
      <c r="I112">
        <v>6.5420545999999996E-2</v>
      </c>
      <c r="J112">
        <v>0.51690817</v>
      </c>
    </row>
    <row r="113" spans="1:10" x14ac:dyDescent="0.3">
      <c r="A113">
        <v>111</v>
      </c>
      <c r="B113">
        <v>1760</v>
      </c>
      <c r="C113" t="b">
        <v>1</v>
      </c>
      <c r="D113">
        <v>8054</v>
      </c>
      <c r="E113">
        <v>8129</v>
      </c>
      <c r="F113">
        <v>20</v>
      </c>
      <c r="G113">
        <v>21.4</v>
      </c>
      <c r="H113">
        <v>0.93457942999999999</v>
      </c>
      <c r="I113">
        <v>6.5420545999999996E-2</v>
      </c>
      <c r="J113">
        <v>0.51690817</v>
      </c>
    </row>
    <row r="114" spans="1:10" x14ac:dyDescent="0.3">
      <c r="A114">
        <v>112</v>
      </c>
      <c r="B114">
        <v>1775</v>
      </c>
      <c r="C114" t="b">
        <v>1</v>
      </c>
      <c r="D114">
        <v>8065</v>
      </c>
      <c r="E114">
        <v>8129</v>
      </c>
      <c r="F114">
        <v>20</v>
      </c>
      <c r="G114">
        <v>21.066668</v>
      </c>
      <c r="H114">
        <v>0.94936704999999999</v>
      </c>
      <c r="I114">
        <v>5.0632950000000003E-2</v>
      </c>
      <c r="J114">
        <v>0.51298699999999997</v>
      </c>
    </row>
    <row r="115" spans="1:10" x14ac:dyDescent="0.3">
      <c r="A115">
        <v>113</v>
      </c>
      <c r="B115">
        <v>1791</v>
      </c>
      <c r="C115" t="b">
        <v>1</v>
      </c>
      <c r="D115">
        <v>8065</v>
      </c>
      <c r="E115">
        <v>8134</v>
      </c>
      <c r="F115">
        <v>20</v>
      </c>
      <c r="G115">
        <v>20.733333999999999</v>
      </c>
      <c r="H115">
        <v>0.96463019999999999</v>
      </c>
      <c r="I115">
        <v>3.5369787E-2</v>
      </c>
      <c r="J115">
        <v>0.50900160000000005</v>
      </c>
    </row>
    <row r="116" spans="1:10" x14ac:dyDescent="0.3">
      <c r="A116">
        <v>114</v>
      </c>
      <c r="B116">
        <v>1809</v>
      </c>
      <c r="C116" t="b">
        <v>1</v>
      </c>
      <c r="D116">
        <v>8060</v>
      </c>
      <c r="E116">
        <v>8129</v>
      </c>
      <c r="F116">
        <v>20</v>
      </c>
      <c r="G116">
        <v>20.399999999999999</v>
      </c>
      <c r="H116">
        <v>0.98039215999999996</v>
      </c>
      <c r="I116">
        <v>1.9607824999999999E-2</v>
      </c>
      <c r="J116">
        <v>0.50495045999999999</v>
      </c>
    </row>
    <row r="117" spans="1:10" x14ac:dyDescent="0.3">
      <c r="A117">
        <v>115</v>
      </c>
      <c r="B117">
        <v>1825</v>
      </c>
      <c r="C117" t="b">
        <v>1</v>
      </c>
      <c r="D117">
        <v>8065</v>
      </c>
      <c r="E117">
        <v>8134</v>
      </c>
      <c r="F117">
        <v>20.333334000000001</v>
      </c>
      <c r="G117">
        <v>19.666665999999999</v>
      </c>
      <c r="H117">
        <v>1.0338984</v>
      </c>
      <c r="I117">
        <v>-3.3898372000000003E-2</v>
      </c>
      <c r="J117">
        <v>0.49166663999999999</v>
      </c>
    </row>
    <row r="118" spans="1:10" x14ac:dyDescent="0.3">
      <c r="A118">
        <v>116</v>
      </c>
      <c r="B118">
        <v>1840</v>
      </c>
      <c r="C118" t="b">
        <v>1</v>
      </c>
      <c r="D118">
        <v>8060</v>
      </c>
      <c r="E118">
        <v>8134</v>
      </c>
      <c r="F118">
        <v>20.666665999999999</v>
      </c>
      <c r="G118">
        <v>19.266666000000001</v>
      </c>
      <c r="H118">
        <v>1.0726644000000001</v>
      </c>
      <c r="I118">
        <v>-7.2664339999999994E-2</v>
      </c>
      <c r="J118">
        <v>0.48247077999999999</v>
      </c>
    </row>
    <row r="119" spans="1:10" x14ac:dyDescent="0.3">
      <c r="A119">
        <v>117</v>
      </c>
      <c r="B119">
        <v>1856</v>
      </c>
      <c r="C119" t="b">
        <v>1</v>
      </c>
      <c r="D119">
        <v>8060</v>
      </c>
      <c r="E119">
        <v>8134</v>
      </c>
      <c r="F119">
        <v>20.666665999999999</v>
      </c>
      <c r="G119">
        <v>18.866667</v>
      </c>
      <c r="H119">
        <v>1.0954063000000001</v>
      </c>
      <c r="I119">
        <v>-9.5406316000000005E-2</v>
      </c>
      <c r="J119">
        <v>0.47723441999999999</v>
      </c>
    </row>
    <row r="120" spans="1:10" x14ac:dyDescent="0.3">
      <c r="A120">
        <v>118</v>
      </c>
      <c r="B120">
        <v>1872</v>
      </c>
      <c r="C120" t="b">
        <v>1</v>
      </c>
      <c r="D120">
        <v>8060</v>
      </c>
      <c r="E120">
        <v>8140</v>
      </c>
      <c r="F120">
        <v>20.666665999999999</v>
      </c>
      <c r="G120">
        <v>18.466667000000001</v>
      </c>
      <c r="H120">
        <v>1.1191335</v>
      </c>
      <c r="I120">
        <v>-0.11913351</v>
      </c>
      <c r="J120">
        <v>0.47189101999999999</v>
      </c>
    </row>
    <row r="121" spans="1:10" x14ac:dyDescent="0.3">
      <c r="A121">
        <v>119</v>
      </c>
      <c r="B121">
        <v>1888</v>
      </c>
      <c r="C121" t="b">
        <v>1</v>
      </c>
      <c r="D121">
        <v>8065</v>
      </c>
      <c r="E121">
        <v>8140</v>
      </c>
      <c r="F121">
        <v>20.666665999999999</v>
      </c>
      <c r="G121">
        <v>18.066668</v>
      </c>
      <c r="H121">
        <v>1.1439113999999999</v>
      </c>
      <c r="I121">
        <v>-0.14391134999999999</v>
      </c>
      <c r="J121">
        <v>0.4664372</v>
      </c>
    </row>
    <row r="122" spans="1:10" x14ac:dyDescent="0.3">
      <c r="A122">
        <v>120</v>
      </c>
      <c r="B122">
        <v>1903</v>
      </c>
      <c r="C122" t="b">
        <v>1</v>
      </c>
      <c r="D122">
        <v>8060</v>
      </c>
      <c r="E122">
        <v>8134</v>
      </c>
      <c r="F122">
        <v>20.666665999999999</v>
      </c>
      <c r="G122">
        <v>17.666665999999999</v>
      </c>
      <c r="H122">
        <v>1.1698113999999999</v>
      </c>
      <c r="I122">
        <v>-0.16981131999999999</v>
      </c>
      <c r="J122">
        <v>0.46086955000000002</v>
      </c>
    </row>
    <row r="123" spans="1:10" x14ac:dyDescent="0.3">
      <c r="A123">
        <v>121</v>
      </c>
      <c r="B123">
        <v>1919</v>
      </c>
      <c r="C123" t="b">
        <v>1</v>
      </c>
      <c r="D123">
        <v>8060</v>
      </c>
      <c r="E123">
        <v>8134</v>
      </c>
      <c r="F123">
        <v>20.666665999999999</v>
      </c>
      <c r="G123">
        <v>17.666665999999999</v>
      </c>
      <c r="H123">
        <v>1.1698113999999999</v>
      </c>
      <c r="I123">
        <v>-0.16981131999999999</v>
      </c>
      <c r="J123">
        <v>0.46086955000000002</v>
      </c>
    </row>
    <row r="124" spans="1:10" x14ac:dyDescent="0.3">
      <c r="A124">
        <v>122</v>
      </c>
      <c r="B124">
        <v>1935</v>
      </c>
      <c r="C124" t="b">
        <v>1</v>
      </c>
      <c r="D124">
        <v>8060</v>
      </c>
      <c r="E124">
        <v>8134</v>
      </c>
      <c r="F124">
        <v>20.666665999999999</v>
      </c>
      <c r="G124">
        <v>17.666665999999999</v>
      </c>
      <c r="H124">
        <v>1.1698113999999999</v>
      </c>
      <c r="I124">
        <v>-0.16981131999999999</v>
      </c>
      <c r="J124">
        <v>0.46086955000000002</v>
      </c>
    </row>
    <row r="125" spans="1:10" x14ac:dyDescent="0.3">
      <c r="A125">
        <v>123</v>
      </c>
      <c r="B125">
        <v>1951</v>
      </c>
      <c r="C125" t="b">
        <v>1</v>
      </c>
      <c r="D125">
        <v>8060</v>
      </c>
      <c r="E125">
        <v>8134</v>
      </c>
      <c r="F125">
        <v>20.666665999999999</v>
      </c>
      <c r="G125">
        <v>17.666665999999999</v>
      </c>
      <c r="H125">
        <v>1.1698113999999999</v>
      </c>
      <c r="I125">
        <v>-0.16981131999999999</v>
      </c>
      <c r="J125">
        <v>0.46086955000000002</v>
      </c>
    </row>
    <row r="126" spans="1:10" x14ac:dyDescent="0.3">
      <c r="A126">
        <v>124</v>
      </c>
      <c r="B126">
        <v>1967</v>
      </c>
      <c r="C126" t="b">
        <v>1</v>
      </c>
      <c r="D126">
        <v>8060</v>
      </c>
      <c r="E126">
        <v>8129</v>
      </c>
      <c r="F126">
        <v>20.666665999999999</v>
      </c>
      <c r="G126">
        <v>17.666665999999999</v>
      </c>
      <c r="H126">
        <v>1.1698113999999999</v>
      </c>
      <c r="I126">
        <v>-0.16981131999999999</v>
      </c>
      <c r="J126">
        <v>0.46086955000000002</v>
      </c>
    </row>
    <row r="127" spans="1:10" x14ac:dyDescent="0.3">
      <c r="A127">
        <v>125</v>
      </c>
      <c r="B127">
        <v>1983</v>
      </c>
      <c r="C127" t="b">
        <v>1</v>
      </c>
      <c r="D127">
        <v>8060</v>
      </c>
      <c r="E127">
        <v>8129</v>
      </c>
      <c r="F127">
        <v>20.666665999999999</v>
      </c>
      <c r="G127">
        <v>17.666665999999999</v>
      </c>
      <c r="H127">
        <v>1.1698113999999999</v>
      </c>
      <c r="I127">
        <v>-0.16981131999999999</v>
      </c>
      <c r="J127">
        <v>0.46086955000000002</v>
      </c>
    </row>
    <row r="128" spans="1:10" x14ac:dyDescent="0.3">
      <c r="A128">
        <v>126</v>
      </c>
      <c r="B128">
        <v>1999</v>
      </c>
      <c r="C128" t="b">
        <v>1</v>
      </c>
      <c r="D128">
        <v>8060</v>
      </c>
      <c r="E128">
        <v>8129</v>
      </c>
      <c r="F128">
        <v>20.666665999999999</v>
      </c>
      <c r="G128">
        <v>17.333334000000001</v>
      </c>
      <c r="H128">
        <v>1.1923075999999999</v>
      </c>
      <c r="I128">
        <v>-0.1923076</v>
      </c>
      <c r="J128">
        <v>0.45614037000000002</v>
      </c>
    </row>
    <row r="129" spans="1:10" x14ac:dyDescent="0.3">
      <c r="A129">
        <v>127</v>
      </c>
      <c r="B129">
        <v>2015</v>
      </c>
      <c r="C129" t="b">
        <v>1</v>
      </c>
      <c r="D129">
        <v>8060</v>
      </c>
      <c r="E129">
        <v>8129</v>
      </c>
      <c r="F129">
        <v>20.666665999999999</v>
      </c>
      <c r="G129">
        <v>17.333334000000001</v>
      </c>
      <c r="H129">
        <v>1.1923075999999999</v>
      </c>
      <c r="I129">
        <v>-0.1923076</v>
      </c>
      <c r="J129">
        <v>0.45614037000000002</v>
      </c>
    </row>
    <row r="130" spans="1:10" x14ac:dyDescent="0.3">
      <c r="A130">
        <v>128</v>
      </c>
      <c r="B130">
        <v>2031</v>
      </c>
      <c r="C130" t="b">
        <v>1</v>
      </c>
      <c r="D130">
        <v>8065</v>
      </c>
      <c r="E130">
        <v>8134</v>
      </c>
      <c r="F130">
        <v>20.666665999999999</v>
      </c>
      <c r="G130">
        <v>17.333334000000001</v>
      </c>
      <c r="H130">
        <v>1.1923075999999999</v>
      </c>
      <c r="I130">
        <v>-0.1923076</v>
      </c>
      <c r="J130">
        <v>0.45614037000000002</v>
      </c>
    </row>
    <row r="131" spans="1:10" x14ac:dyDescent="0.3">
      <c r="A131">
        <v>129</v>
      </c>
      <c r="B131">
        <v>2046</v>
      </c>
      <c r="C131" t="b">
        <v>1</v>
      </c>
      <c r="D131">
        <v>8054</v>
      </c>
      <c r="E131">
        <v>8134</v>
      </c>
      <c r="F131">
        <v>20.666665999999999</v>
      </c>
      <c r="G131">
        <v>17.333334000000001</v>
      </c>
      <c r="H131">
        <v>1.1923075999999999</v>
      </c>
      <c r="I131">
        <v>-0.1923076</v>
      </c>
      <c r="J131">
        <v>0.45614037000000002</v>
      </c>
    </row>
    <row r="132" spans="1:10" x14ac:dyDescent="0.3">
      <c r="A132">
        <v>130</v>
      </c>
      <c r="B132">
        <v>2062</v>
      </c>
      <c r="C132" t="b">
        <v>1</v>
      </c>
      <c r="D132">
        <v>8060</v>
      </c>
      <c r="E132">
        <v>8134</v>
      </c>
      <c r="F132">
        <v>20.333334000000001</v>
      </c>
      <c r="G132">
        <v>17.666665999999999</v>
      </c>
      <c r="H132">
        <v>1.1509434999999999</v>
      </c>
      <c r="I132">
        <v>-0.15094347</v>
      </c>
      <c r="J132">
        <v>0.46491227000000002</v>
      </c>
    </row>
    <row r="133" spans="1:10" x14ac:dyDescent="0.3">
      <c r="A133">
        <v>131</v>
      </c>
      <c r="B133">
        <v>2078</v>
      </c>
      <c r="C133" t="b">
        <v>1</v>
      </c>
      <c r="D133">
        <v>8060</v>
      </c>
      <c r="E133">
        <v>8134</v>
      </c>
      <c r="F133">
        <v>20</v>
      </c>
      <c r="G133">
        <v>17.666665999999999</v>
      </c>
      <c r="H133">
        <v>1.1320755</v>
      </c>
      <c r="I133">
        <v>-0.13207552</v>
      </c>
      <c r="J133">
        <v>0.46902656999999998</v>
      </c>
    </row>
    <row r="134" spans="1:10" x14ac:dyDescent="0.3">
      <c r="A134">
        <v>132</v>
      </c>
      <c r="B134">
        <v>2094</v>
      </c>
      <c r="C134" t="b">
        <v>1</v>
      </c>
      <c r="D134">
        <v>8065</v>
      </c>
      <c r="E134">
        <v>8140</v>
      </c>
      <c r="F134">
        <v>20</v>
      </c>
      <c r="G134">
        <v>17.666665999999999</v>
      </c>
      <c r="H134">
        <v>1.1320755</v>
      </c>
      <c r="I134">
        <v>-0.13207552</v>
      </c>
      <c r="J134">
        <v>0.46902656999999998</v>
      </c>
    </row>
    <row r="135" spans="1:10" x14ac:dyDescent="0.3">
      <c r="A135">
        <v>133</v>
      </c>
      <c r="B135">
        <v>2110</v>
      </c>
      <c r="C135" t="b">
        <v>1</v>
      </c>
      <c r="D135">
        <v>8065</v>
      </c>
      <c r="E135">
        <v>8140</v>
      </c>
      <c r="F135">
        <v>20</v>
      </c>
      <c r="G135">
        <v>17.666665999999999</v>
      </c>
      <c r="H135">
        <v>1.1320755</v>
      </c>
      <c r="I135">
        <v>-0.13207552</v>
      </c>
      <c r="J135">
        <v>0.46902656999999998</v>
      </c>
    </row>
    <row r="136" spans="1:10" x14ac:dyDescent="0.3">
      <c r="A136">
        <v>134</v>
      </c>
      <c r="B136">
        <v>2126</v>
      </c>
      <c r="C136" t="b">
        <v>1</v>
      </c>
      <c r="D136">
        <v>8060</v>
      </c>
      <c r="E136">
        <v>8140</v>
      </c>
      <c r="F136">
        <v>20</v>
      </c>
      <c r="G136">
        <v>18.066668</v>
      </c>
      <c r="H136">
        <v>1.107011</v>
      </c>
      <c r="I136">
        <v>-0.10701101</v>
      </c>
      <c r="J136">
        <v>0.47460597999999998</v>
      </c>
    </row>
    <row r="137" spans="1:10" x14ac:dyDescent="0.3">
      <c r="A137">
        <v>135</v>
      </c>
      <c r="B137">
        <v>2142</v>
      </c>
      <c r="C137" t="b">
        <v>1</v>
      </c>
      <c r="D137">
        <v>8060</v>
      </c>
      <c r="E137">
        <v>8134</v>
      </c>
      <c r="F137">
        <v>20</v>
      </c>
      <c r="G137">
        <v>18.466667000000001</v>
      </c>
      <c r="H137">
        <v>1.0830325000000001</v>
      </c>
      <c r="I137">
        <v>-8.3032460000000002E-2</v>
      </c>
      <c r="J137">
        <v>0.48006934000000001</v>
      </c>
    </row>
    <row r="138" spans="1:10" x14ac:dyDescent="0.3">
      <c r="A138">
        <v>136</v>
      </c>
      <c r="B138">
        <v>2158</v>
      </c>
      <c r="C138" t="b">
        <v>1</v>
      </c>
      <c r="D138">
        <v>8060</v>
      </c>
      <c r="E138">
        <v>8129</v>
      </c>
      <c r="F138">
        <v>20</v>
      </c>
      <c r="G138">
        <v>18.866667</v>
      </c>
      <c r="H138">
        <v>1.0600706</v>
      </c>
      <c r="I138">
        <v>-6.0070664000000003E-2</v>
      </c>
      <c r="J138">
        <v>0.48542023000000001</v>
      </c>
    </row>
    <row r="139" spans="1:10" x14ac:dyDescent="0.3">
      <c r="A139">
        <v>137</v>
      </c>
      <c r="B139">
        <v>2174</v>
      </c>
      <c r="C139" t="b">
        <v>1</v>
      </c>
      <c r="D139">
        <v>8065</v>
      </c>
      <c r="E139">
        <v>8134</v>
      </c>
      <c r="F139">
        <v>20</v>
      </c>
      <c r="G139">
        <v>18.866667</v>
      </c>
      <c r="H139">
        <v>1.0600706</v>
      </c>
      <c r="I139">
        <v>-6.0070664000000003E-2</v>
      </c>
      <c r="J139">
        <v>0.48542023000000001</v>
      </c>
    </row>
    <row r="140" spans="1:10" x14ac:dyDescent="0.3">
      <c r="A140">
        <v>138</v>
      </c>
      <c r="B140">
        <v>2190</v>
      </c>
      <c r="C140" t="b">
        <v>1</v>
      </c>
      <c r="D140">
        <v>8060</v>
      </c>
      <c r="E140">
        <v>8134</v>
      </c>
      <c r="F140">
        <v>20</v>
      </c>
      <c r="G140">
        <v>18.866667</v>
      </c>
      <c r="H140">
        <v>1.0600706</v>
      </c>
      <c r="I140">
        <v>-6.0070664000000003E-2</v>
      </c>
      <c r="J140">
        <v>0.48542023000000001</v>
      </c>
    </row>
    <row r="141" spans="1:10" x14ac:dyDescent="0.3">
      <c r="A141">
        <v>139</v>
      </c>
      <c r="B141">
        <v>2206</v>
      </c>
      <c r="C141" t="b">
        <v>1</v>
      </c>
      <c r="D141">
        <v>8054</v>
      </c>
      <c r="E141">
        <v>8134</v>
      </c>
      <c r="F141">
        <v>20</v>
      </c>
      <c r="G141">
        <v>18.866667</v>
      </c>
      <c r="H141">
        <v>1.0600706</v>
      </c>
      <c r="I141">
        <v>-6.0070664000000003E-2</v>
      </c>
      <c r="J141">
        <v>0.48542023000000001</v>
      </c>
    </row>
    <row r="142" spans="1:10" x14ac:dyDescent="0.3">
      <c r="A142">
        <v>140</v>
      </c>
      <c r="B142">
        <v>2222</v>
      </c>
      <c r="C142" t="b">
        <v>1</v>
      </c>
      <c r="D142">
        <v>8054</v>
      </c>
      <c r="E142">
        <v>8134</v>
      </c>
      <c r="F142">
        <v>20</v>
      </c>
      <c r="G142">
        <v>18.866667</v>
      </c>
      <c r="H142">
        <v>1.0600706</v>
      </c>
      <c r="I142">
        <v>-6.0070664000000003E-2</v>
      </c>
      <c r="J142">
        <v>0.48542023000000001</v>
      </c>
    </row>
    <row r="143" spans="1:10" x14ac:dyDescent="0.3">
      <c r="A143">
        <v>141</v>
      </c>
      <c r="B143">
        <v>2238</v>
      </c>
      <c r="C143" t="b">
        <v>1</v>
      </c>
      <c r="D143">
        <v>8060</v>
      </c>
      <c r="E143">
        <v>8129</v>
      </c>
      <c r="F143">
        <v>20</v>
      </c>
      <c r="G143">
        <v>19.2</v>
      </c>
      <c r="H143">
        <v>1.0416666000000001</v>
      </c>
      <c r="I143">
        <v>-4.1666626999999998E-2</v>
      </c>
      <c r="J143">
        <v>0.48979592</v>
      </c>
    </row>
    <row r="144" spans="1:10" x14ac:dyDescent="0.3">
      <c r="A144">
        <v>142</v>
      </c>
      <c r="B144">
        <v>2254</v>
      </c>
      <c r="C144" t="b">
        <v>1</v>
      </c>
      <c r="D144">
        <v>8060</v>
      </c>
      <c r="E144">
        <v>8129</v>
      </c>
      <c r="F144">
        <v>20</v>
      </c>
      <c r="G144">
        <v>19.533332999999999</v>
      </c>
      <c r="H144">
        <v>1.0238909</v>
      </c>
      <c r="I144">
        <v>-2.3890812000000001E-2</v>
      </c>
      <c r="J144">
        <v>0.49409779999999998</v>
      </c>
    </row>
    <row r="145" spans="1:10" x14ac:dyDescent="0.3">
      <c r="A145">
        <v>143</v>
      </c>
      <c r="B145">
        <v>2270</v>
      </c>
      <c r="C145" t="b">
        <v>1</v>
      </c>
      <c r="D145">
        <v>8060</v>
      </c>
      <c r="E145">
        <v>8134</v>
      </c>
      <c r="F145">
        <v>20</v>
      </c>
      <c r="G145">
        <v>19.866667</v>
      </c>
      <c r="H145">
        <v>1.0067113999999999</v>
      </c>
      <c r="I145">
        <v>-6.7114030000000003E-3</v>
      </c>
      <c r="J145">
        <v>0.49832773000000002</v>
      </c>
    </row>
    <row r="146" spans="1:10" x14ac:dyDescent="0.3">
      <c r="A146">
        <v>144</v>
      </c>
      <c r="B146">
        <v>2286</v>
      </c>
      <c r="C146" t="b">
        <v>1</v>
      </c>
      <c r="D146">
        <v>8060</v>
      </c>
      <c r="E146">
        <v>8129</v>
      </c>
      <c r="F146">
        <v>20</v>
      </c>
      <c r="G146">
        <v>19.866667</v>
      </c>
      <c r="H146">
        <v>1.0067113999999999</v>
      </c>
      <c r="I146">
        <v>-6.7114030000000003E-3</v>
      </c>
      <c r="J146">
        <v>0.49832773000000002</v>
      </c>
    </row>
    <row r="147" spans="1:10" x14ac:dyDescent="0.3">
      <c r="A147">
        <v>145</v>
      </c>
      <c r="B147">
        <v>2302</v>
      </c>
      <c r="C147" t="b">
        <v>1</v>
      </c>
      <c r="D147">
        <v>8065</v>
      </c>
      <c r="E147">
        <v>8134</v>
      </c>
      <c r="F147">
        <v>20</v>
      </c>
      <c r="G147">
        <v>19.533332999999999</v>
      </c>
      <c r="H147">
        <v>1.0238909</v>
      </c>
      <c r="I147">
        <v>-2.3890812000000001E-2</v>
      </c>
      <c r="J147">
        <v>0.49409779999999998</v>
      </c>
    </row>
    <row r="148" spans="1:10" x14ac:dyDescent="0.3">
      <c r="A148">
        <v>146</v>
      </c>
      <c r="B148">
        <v>2318</v>
      </c>
      <c r="C148" t="b">
        <v>1</v>
      </c>
      <c r="D148">
        <v>8060</v>
      </c>
      <c r="E148">
        <v>8129</v>
      </c>
      <c r="F148">
        <v>20</v>
      </c>
      <c r="G148">
        <v>19.2</v>
      </c>
      <c r="H148">
        <v>1.0416666000000001</v>
      </c>
      <c r="I148">
        <v>-4.1666626999999998E-2</v>
      </c>
      <c r="J148">
        <v>0.48979592</v>
      </c>
    </row>
    <row r="149" spans="1:10" x14ac:dyDescent="0.3">
      <c r="A149">
        <v>147</v>
      </c>
      <c r="B149">
        <v>2334</v>
      </c>
      <c r="C149" t="b">
        <v>1</v>
      </c>
      <c r="D149">
        <v>8060</v>
      </c>
      <c r="E149">
        <v>8134</v>
      </c>
      <c r="F149">
        <v>20</v>
      </c>
      <c r="G149">
        <v>19.2</v>
      </c>
      <c r="H149">
        <v>1.0416666000000001</v>
      </c>
      <c r="I149">
        <v>-4.1666626999999998E-2</v>
      </c>
      <c r="J149">
        <v>0.48979592</v>
      </c>
    </row>
    <row r="150" spans="1:10" x14ac:dyDescent="0.3">
      <c r="A150">
        <v>148</v>
      </c>
      <c r="B150">
        <v>2350</v>
      </c>
      <c r="C150" t="b">
        <v>1</v>
      </c>
      <c r="D150">
        <v>8065</v>
      </c>
      <c r="E150">
        <v>8134</v>
      </c>
      <c r="F150">
        <v>20</v>
      </c>
      <c r="G150">
        <v>19.2</v>
      </c>
      <c r="H150">
        <v>1.0416666000000001</v>
      </c>
      <c r="I150">
        <v>-4.1666626999999998E-2</v>
      </c>
      <c r="J150">
        <v>0.48979592</v>
      </c>
    </row>
    <row r="151" spans="1:10" x14ac:dyDescent="0.3">
      <c r="A151">
        <v>149</v>
      </c>
      <c r="B151">
        <v>2365</v>
      </c>
      <c r="C151" t="b">
        <v>1</v>
      </c>
      <c r="D151">
        <v>8060</v>
      </c>
      <c r="E151">
        <v>8134</v>
      </c>
      <c r="F151">
        <v>20</v>
      </c>
      <c r="G151">
        <v>18.8</v>
      </c>
      <c r="H151">
        <v>1.0638297999999999</v>
      </c>
      <c r="I151">
        <v>-6.3829830000000004E-2</v>
      </c>
      <c r="J151">
        <v>0.48453607999999998</v>
      </c>
    </row>
    <row r="152" spans="1:10" x14ac:dyDescent="0.3">
      <c r="A152">
        <v>150</v>
      </c>
      <c r="B152">
        <v>2381</v>
      </c>
      <c r="C152" t="b">
        <v>1</v>
      </c>
      <c r="D152">
        <v>8060</v>
      </c>
      <c r="E152">
        <v>8140</v>
      </c>
      <c r="F152">
        <v>20</v>
      </c>
      <c r="G152">
        <v>18.399999999999999</v>
      </c>
      <c r="H152">
        <v>1.0869565000000001</v>
      </c>
      <c r="I152">
        <v>-8.6956545999999996E-2</v>
      </c>
      <c r="J152">
        <v>0.47916662999999998</v>
      </c>
    </row>
    <row r="153" spans="1:10" x14ac:dyDescent="0.3">
      <c r="A153">
        <v>151</v>
      </c>
      <c r="B153">
        <v>2397</v>
      </c>
      <c r="C153" t="b">
        <v>1</v>
      </c>
      <c r="D153">
        <v>8060</v>
      </c>
      <c r="E153">
        <v>8134</v>
      </c>
      <c r="F153">
        <v>20</v>
      </c>
      <c r="G153">
        <v>18</v>
      </c>
      <c r="H153">
        <v>1.1111112000000001</v>
      </c>
      <c r="I153">
        <v>-0.11111111</v>
      </c>
      <c r="J153">
        <v>0.47368421999999999</v>
      </c>
    </row>
    <row r="154" spans="1:10" x14ac:dyDescent="0.3">
      <c r="A154">
        <v>152</v>
      </c>
      <c r="B154">
        <v>2413</v>
      </c>
      <c r="C154" t="b">
        <v>1</v>
      </c>
      <c r="D154">
        <v>8060</v>
      </c>
      <c r="E154">
        <v>8134</v>
      </c>
      <c r="F154">
        <v>20</v>
      </c>
      <c r="G154">
        <v>18</v>
      </c>
      <c r="H154">
        <v>1.1111112000000001</v>
      </c>
      <c r="I154">
        <v>-0.11111111</v>
      </c>
      <c r="J154">
        <v>0.47368421999999999</v>
      </c>
    </row>
    <row r="155" spans="1:10" x14ac:dyDescent="0.3">
      <c r="A155">
        <v>153</v>
      </c>
      <c r="B155">
        <v>2429</v>
      </c>
      <c r="C155" t="b">
        <v>1</v>
      </c>
      <c r="D155">
        <v>8054</v>
      </c>
      <c r="E155">
        <v>8134</v>
      </c>
      <c r="F155">
        <v>20</v>
      </c>
      <c r="G155">
        <v>18</v>
      </c>
      <c r="H155">
        <v>1.1111112000000001</v>
      </c>
      <c r="I155">
        <v>-0.11111111</v>
      </c>
      <c r="J155">
        <v>0.47368421999999999</v>
      </c>
    </row>
    <row r="156" spans="1:10" x14ac:dyDescent="0.3">
      <c r="A156">
        <v>154</v>
      </c>
      <c r="B156">
        <v>2445</v>
      </c>
      <c r="C156" t="b">
        <v>1</v>
      </c>
      <c r="D156">
        <v>8060</v>
      </c>
      <c r="E156">
        <v>8134</v>
      </c>
      <c r="F156">
        <v>20</v>
      </c>
      <c r="G156">
        <v>18</v>
      </c>
      <c r="H156">
        <v>1.1111112000000001</v>
      </c>
      <c r="I156">
        <v>-0.11111111</v>
      </c>
      <c r="J156">
        <v>0.47368421999999999</v>
      </c>
    </row>
    <row r="157" spans="1:10" x14ac:dyDescent="0.3">
      <c r="A157">
        <v>155</v>
      </c>
      <c r="B157">
        <v>2461</v>
      </c>
      <c r="C157" t="b">
        <v>1</v>
      </c>
      <c r="D157">
        <v>8060</v>
      </c>
      <c r="E157">
        <v>8140</v>
      </c>
      <c r="F157">
        <v>20</v>
      </c>
      <c r="G157">
        <v>18</v>
      </c>
      <c r="H157">
        <v>1.1111112000000001</v>
      </c>
      <c r="I157">
        <v>-0.11111111</v>
      </c>
      <c r="J157">
        <v>0.47368421999999999</v>
      </c>
    </row>
    <row r="158" spans="1:10" x14ac:dyDescent="0.3">
      <c r="A158">
        <v>156</v>
      </c>
      <c r="B158">
        <v>2477</v>
      </c>
      <c r="C158" t="b">
        <v>1</v>
      </c>
      <c r="D158">
        <v>8054</v>
      </c>
      <c r="E158">
        <v>8134</v>
      </c>
      <c r="F158">
        <v>20</v>
      </c>
      <c r="G158">
        <v>18</v>
      </c>
      <c r="H158">
        <v>1.1111112000000001</v>
      </c>
      <c r="I158">
        <v>-0.11111111</v>
      </c>
      <c r="J158">
        <v>0.47368421999999999</v>
      </c>
    </row>
    <row r="159" spans="1:10" x14ac:dyDescent="0.3">
      <c r="A159">
        <v>157</v>
      </c>
      <c r="B159">
        <v>2493</v>
      </c>
      <c r="C159" t="b">
        <v>1</v>
      </c>
      <c r="D159">
        <v>8060</v>
      </c>
      <c r="E159">
        <v>8140</v>
      </c>
      <c r="F159">
        <v>20</v>
      </c>
      <c r="G159">
        <v>18</v>
      </c>
      <c r="H159">
        <v>1.1111112000000001</v>
      </c>
      <c r="I159">
        <v>-0.11111111</v>
      </c>
      <c r="J159">
        <v>0.47368421999999999</v>
      </c>
    </row>
    <row r="160" spans="1:10" x14ac:dyDescent="0.3">
      <c r="A160">
        <v>158</v>
      </c>
      <c r="B160">
        <v>2508</v>
      </c>
      <c r="C160" t="b">
        <v>1</v>
      </c>
      <c r="D160">
        <v>8060</v>
      </c>
      <c r="E160">
        <v>8140</v>
      </c>
      <c r="F160">
        <v>20</v>
      </c>
      <c r="G160">
        <v>18.399999999999999</v>
      </c>
      <c r="H160">
        <v>1.0869565000000001</v>
      </c>
      <c r="I160">
        <v>-8.6956545999999996E-2</v>
      </c>
      <c r="J160">
        <v>0.47916662999999998</v>
      </c>
    </row>
    <row r="161" spans="1:10" x14ac:dyDescent="0.3">
      <c r="A161">
        <v>159</v>
      </c>
      <c r="B161">
        <v>2525</v>
      </c>
      <c r="C161" t="b">
        <v>1</v>
      </c>
      <c r="D161">
        <v>8065</v>
      </c>
      <c r="E161">
        <v>8140</v>
      </c>
      <c r="F161">
        <v>20</v>
      </c>
      <c r="G161">
        <v>19.133333</v>
      </c>
      <c r="H161">
        <v>1.0452961999999999</v>
      </c>
      <c r="I161">
        <v>-4.5296174000000002E-2</v>
      </c>
      <c r="J161">
        <v>0.48892677000000001</v>
      </c>
    </row>
    <row r="162" spans="1:10" x14ac:dyDescent="0.3">
      <c r="A162">
        <v>160</v>
      </c>
      <c r="B162">
        <v>2540</v>
      </c>
      <c r="C162" t="b">
        <v>1</v>
      </c>
      <c r="D162">
        <v>8065</v>
      </c>
      <c r="E162">
        <v>8134</v>
      </c>
      <c r="F162">
        <v>20</v>
      </c>
      <c r="G162">
        <v>19.866667</v>
      </c>
      <c r="H162">
        <v>1.0067113999999999</v>
      </c>
      <c r="I162">
        <v>-6.7114030000000003E-3</v>
      </c>
      <c r="J162">
        <v>0.49832773000000002</v>
      </c>
    </row>
    <row r="163" spans="1:10" x14ac:dyDescent="0.3">
      <c r="A163">
        <v>161</v>
      </c>
      <c r="B163">
        <v>2556</v>
      </c>
      <c r="C163" t="b">
        <v>1</v>
      </c>
      <c r="D163">
        <v>8060</v>
      </c>
      <c r="E163">
        <v>8129</v>
      </c>
      <c r="F163">
        <v>20</v>
      </c>
      <c r="G163">
        <v>20.6</v>
      </c>
      <c r="H163">
        <v>0.97087380000000001</v>
      </c>
      <c r="I163">
        <v>2.9126231999999998E-2</v>
      </c>
      <c r="J163">
        <v>0.50738919999999998</v>
      </c>
    </row>
    <row r="164" spans="1:10" x14ac:dyDescent="0.3">
      <c r="A164">
        <v>162</v>
      </c>
      <c r="B164">
        <v>2572</v>
      </c>
      <c r="C164" t="b">
        <v>1</v>
      </c>
      <c r="D164">
        <v>8060</v>
      </c>
      <c r="E164">
        <v>8123</v>
      </c>
      <c r="F164">
        <v>20</v>
      </c>
      <c r="G164">
        <v>20.6</v>
      </c>
      <c r="H164">
        <v>0.97087380000000001</v>
      </c>
      <c r="I164">
        <v>2.9126231999999998E-2</v>
      </c>
      <c r="J164">
        <v>0.50738919999999998</v>
      </c>
    </row>
    <row r="165" spans="1:10" x14ac:dyDescent="0.3">
      <c r="A165">
        <v>163</v>
      </c>
      <c r="B165">
        <v>2588</v>
      </c>
      <c r="C165" t="b">
        <v>1</v>
      </c>
      <c r="D165">
        <v>8065</v>
      </c>
      <c r="E165">
        <v>8129</v>
      </c>
      <c r="F165">
        <v>20.333334000000001</v>
      </c>
      <c r="G165">
        <v>20.266666000000001</v>
      </c>
      <c r="H165">
        <v>1.0032894999999999</v>
      </c>
      <c r="I165">
        <v>-3.2895176999999999E-3</v>
      </c>
      <c r="J165">
        <v>0.49917899999999998</v>
      </c>
    </row>
    <row r="166" spans="1:10" x14ac:dyDescent="0.3">
      <c r="A166">
        <v>164</v>
      </c>
      <c r="B166">
        <v>2604</v>
      </c>
      <c r="C166" t="b">
        <v>1</v>
      </c>
      <c r="D166">
        <v>8065</v>
      </c>
      <c r="E166">
        <v>8134</v>
      </c>
      <c r="F166">
        <v>20.666665999999999</v>
      </c>
      <c r="G166">
        <v>19.933332</v>
      </c>
      <c r="H166">
        <v>1.0367892999999999</v>
      </c>
      <c r="I166">
        <v>-3.6789312999999997E-2</v>
      </c>
      <c r="J166">
        <v>0.49096879999999998</v>
      </c>
    </row>
    <row r="167" spans="1:10" x14ac:dyDescent="0.3">
      <c r="A167">
        <v>165</v>
      </c>
      <c r="B167">
        <v>2620</v>
      </c>
      <c r="C167" t="b">
        <v>1</v>
      </c>
      <c r="D167">
        <v>8065</v>
      </c>
      <c r="E167">
        <v>8129</v>
      </c>
      <c r="F167">
        <v>21</v>
      </c>
      <c r="G167">
        <v>19.600000000000001</v>
      </c>
      <c r="H167">
        <v>1.0714284999999999</v>
      </c>
      <c r="I167">
        <v>-7.1428549999999993E-2</v>
      </c>
      <c r="J167">
        <v>0.48275864000000002</v>
      </c>
    </row>
    <row r="168" spans="1:10" x14ac:dyDescent="0.3">
      <c r="A168">
        <v>166</v>
      </c>
      <c r="B168">
        <v>2636</v>
      </c>
      <c r="C168" t="b">
        <v>1</v>
      </c>
      <c r="D168">
        <v>8065</v>
      </c>
      <c r="E168">
        <v>8134</v>
      </c>
      <c r="F168">
        <v>21.333334000000001</v>
      </c>
      <c r="G168">
        <v>19.266666000000001</v>
      </c>
      <c r="H168">
        <v>1.1072664000000001</v>
      </c>
      <c r="I168">
        <v>-0.10726648599999999</v>
      </c>
      <c r="J168">
        <v>0.47454846000000001</v>
      </c>
    </row>
    <row r="169" spans="1:10" x14ac:dyDescent="0.3">
      <c r="A169">
        <v>167</v>
      </c>
      <c r="B169">
        <v>2652</v>
      </c>
      <c r="C169" t="b">
        <v>1</v>
      </c>
      <c r="D169">
        <v>8065</v>
      </c>
      <c r="E169">
        <v>8134</v>
      </c>
      <c r="F169">
        <v>21.666665999999999</v>
      </c>
      <c r="G169">
        <v>19.266666000000001</v>
      </c>
      <c r="H169">
        <v>1.1245674999999999</v>
      </c>
      <c r="I169">
        <v>-0.12456746</v>
      </c>
      <c r="J169">
        <v>0.47068401999999998</v>
      </c>
    </row>
    <row r="170" spans="1:10" x14ac:dyDescent="0.3">
      <c r="A170">
        <v>168</v>
      </c>
      <c r="B170">
        <v>2668</v>
      </c>
      <c r="C170" t="b">
        <v>1</v>
      </c>
      <c r="D170">
        <v>8071</v>
      </c>
      <c r="E170">
        <v>8134</v>
      </c>
      <c r="F170">
        <v>22</v>
      </c>
      <c r="G170">
        <v>19.266666000000001</v>
      </c>
      <c r="H170">
        <v>1.1418685</v>
      </c>
      <c r="I170">
        <v>-0.14186852999999999</v>
      </c>
      <c r="J170">
        <v>0.46688204999999999</v>
      </c>
    </row>
    <row r="171" spans="1:10" x14ac:dyDescent="0.3">
      <c r="A171">
        <v>169</v>
      </c>
      <c r="B171">
        <v>2683</v>
      </c>
      <c r="C171" t="b">
        <v>1</v>
      </c>
      <c r="D171">
        <v>8060</v>
      </c>
      <c r="E171">
        <v>8140</v>
      </c>
      <c r="F171">
        <v>22.333334000000001</v>
      </c>
      <c r="G171">
        <v>19.266666000000001</v>
      </c>
      <c r="H171">
        <v>1.1591696</v>
      </c>
      <c r="I171">
        <v>-0.15916959999999999</v>
      </c>
      <c r="J171">
        <v>0.46314102000000001</v>
      </c>
    </row>
    <row r="172" spans="1:10" x14ac:dyDescent="0.3">
      <c r="A172">
        <v>170</v>
      </c>
      <c r="B172">
        <v>2699</v>
      </c>
      <c r="C172" t="b">
        <v>1</v>
      </c>
      <c r="D172">
        <v>8060</v>
      </c>
      <c r="E172">
        <v>8134</v>
      </c>
      <c r="F172">
        <v>22.666665999999999</v>
      </c>
      <c r="G172">
        <v>19.266666000000001</v>
      </c>
      <c r="H172">
        <v>1.1764705</v>
      </c>
      <c r="I172">
        <v>-0.17647057999999999</v>
      </c>
      <c r="J172">
        <v>0.45945944999999999</v>
      </c>
    </row>
    <row r="173" spans="1:10" x14ac:dyDescent="0.3">
      <c r="A173">
        <v>171</v>
      </c>
      <c r="B173">
        <v>2715</v>
      </c>
      <c r="C173" t="b">
        <v>1</v>
      </c>
      <c r="D173">
        <v>8060</v>
      </c>
      <c r="E173">
        <v>8129</v>
      </c>
      <c r="F173">
        <v>22.666665999999999</v>
      </c>
      <c r="G173">
        <v>19.266666000000001</v>
      </c>
      <c r="H173">
        <v>1.1764705</v>
      </c>
      <c r="I173">
        <v>-0.17647057999999999</v>
      </c>
      <c r="J173">
        <v>0.45945944999999999</v>
      </c>
    </row>
    <row r="174" spans="1:10" x14ac:dyDescent="0.3">
      <c r="A174">
        <v>172</v>
      </c>
      <c r="B174">
        <v>2731</v>
      </c>
      <c r="C174" t="b">
        <v>1</v>
      </c>
      <c r="D174">
        <v>8060</v>
      </c>
      <c r="E174">
        <v>8134</v>
      </c>
      <c r="F174">
        <v>22.666665999999999</v>
      </c>
      <c r="G174">
        <v>19.266666000000001</v>
      </c>
      <c r="H174">
        <v>1.1764705</v>
      </c>
      <c r="I174">
        <v>-0.17647057999999999</v>
      </c>
      <c r="J174">
        <v>0.45945944999999999</v>
      </c>
    </row>
    <row r="175" spans="1:10" x14ac:dyDescent="0.3">
      <c r="A175">
        <v>173</v>
      </c>
      <c r="B175">
        <v>2747</v>
      </c>
      <c r="C175" t="b">
        <v>1</v>
      </c>
      <c r="D175">
        <v>8054</v>
      </c>
      <c r="E175">
        <v>8134</v>
      </c>
      <c r="F175">
        <v>22.666665999999999</v>
      </c>
      <c r="G175">
        <v>18.866667</v>
      </c>
      <c r="H175">
        <v>1.2014134000000001</v>
      </c>
      <c r="I175">
        <v>-0.20141339999999999</v>
      </c>
      <c r="J175">
        <v>0.45425359999999998</v>
      </c>
    </row>
    <row r="176" spans="1:10" x14ac:dyDescent="0.3">
      <c r="A176">
        <v>174</v>
      </c>
      <c r="B176">
        <v>2763</v>
      </c>
      <c r="C176" t="b">
        <v>1</v>
      </c>
      <c r="D176">
        <v>8060</v>
      </c>
      <c r="E176">
        <v>8140</v>
      </c>
      <c r="F176">
        <v>22.666665999999999</v>
      </c>
      <c r="G176">
        <v>18.466667000000001</v>
      </c>
      <c r="H176">
        <v>1.2274368</v>
      </c>
      <c r="I176">
        <v>-0.22743674999999999</v>
      </c>
      <c r="J176">
        <v>0.44894654000000001</v>
      </c>
    </row>
    <row r="177" spans="1:10" x14ac:dyDescent="0.3">
      <c r="A177">
        <v>175</v>
      </c>
      <c r="B177">
        <v>2779</v>
      </c>
      <c r="C177" t="b">
        <v>1</v>
      </c>
      <c r="D177">
        <v>8060</v>
      </c>
      <c r="E177">
        <v>8134</v>
      </c>
      <c r="F177">
        <v>22.666665999999999</v>
      </c>
      <c r="G177">
        <v>18.066668</v>
      </c>
      <c r="H177">
        <v>1.2546124000000001</v>
      </c>
      <c r="I177">
        <v>-0.25461244999999999</v>
      </c>
      <c r="J177">
        <v>0.44353520000000002</v>
      </c>
    </row>
    <row r="178" spans="1:10" x14ac:dyDescent="0.3">
      <c r="A178">
        <v>176</v>
      </c>
      <c r="B178">
        <v>2795</v>
      </c>
      <c r="C178" t="b">
        <v>1</v>
      </c>
      <c r="D178">
        <v>8060</v>
      </c>
      <c r="E178">
        <v>8140</v>
      </c>
      <c r="F178">
        <v>22.666665999999999</v>
      </c>
      <c r="G178">
        <v>17.666665999999999</v>
      </c>
      <c r="H178">
        <v>1.2830188</v>
      </c>
      <c r="I178">
        <v>-0.28301890000000002</v>
      </c>
      <c r="J178">
        <v>0.43801653000000002</v>
      </c>
    </row>
    <row r="179" spans="1:10" x14ac:dyDescent="0.3">
      <c r="A179">
        <v>177</v>
      </c>
      <c r="B179">
        <v>2810</v>
      </c>
      <c r="C179" t="b">
        <v>1</v>
      </c>
      <c r="D179">
        <v>8060</v>
      </c>
      <c r="E179">
        <v>8140</v>
      </c>
      <c r="F179">
        <v>22.666665999999999</v>
      </c>
      <c r="G179">
        <v>18.066668</v>
      </c>
      <c r="H179">
        <v>1.2546124000000001</v>
      </c>
      <c r="I179">
        <v>-0.25461244999999999</v>
      </c>
      <c r="J179">
        <v>0.44353520000000002</v>
      </c>
    </row>
    <row r="180" spans="1:10" x14ac:dyDescent="0.3">
      <c r="A180">
        <v>178</v>
      </c>
      <c r="B180">
        <v>2827</v>
      </c>
      <c r="C180" t="b">
        <v>1</v>
      </c>
      <c r="D180">
        <v>8071</v>
      </c>
      <c r="E180">
        <v>8140</v>
      </c>
      <c r="F180">
        <v>22.333334000000001</v>
      </c>
      <c r="G180">
        <v>18.8</v>
      </c>
      <c r="H180">
        <v>1.1879432999999999</v>
      </c>
      <c r="I180">
        <v>-0.18794333999999999</v>
      </c>
      <c r="J180">
        <v>0.45705023</v>
      </c>
    </row>
    <row r="181" spans="1:10" x14ac:dyDescent="0.3">
      <c r="A181">
        <v>179</v>
      </c>
      <c r="B181">
        <v>2842</v>
      </c>
      <c r="C181" t="b">
        <v>1</v>
      </c>
      <c r="D181">
        <v>8065</v>
      </c>
      <c r="E181">
        <v>8134</v>
      </c>
      <c r="F181">
        <v>22</v>
      </c>
      <c r="G181">
        <v>19.533332999999999</v>
      </c>
      <c r="H181">
        <v>1.1262799999999999</v>
      </c>
      <c r="I181">
        <v>-0.12627989000000001</v>
      </c>
      <c r="J181">
        <v>0.47030496999999999</v>
      </c>
    </row>
    <row r="182" spans="1:10" x14ac:dyDescent="0.3">
      <c r="A182">
        <v>180</v>
      </c>
      <c r="B182">
        <v>2858</v>
      </c>
      <c r="C182" t="b">
        <v>1</v>
      </c>
      <c r="D182">
        <v>8065</v>
      </c>
      <c r="E182">
        <v>8140</v>
      </c>
      <c r="F182">
        <v>22</v>
      </c>
      <c r="G182">
        <v>20.266666000000001</v>
      </c>
      <c r="H182">
        <v>1.0855262999999999</v>
      </c>
      <c r="I182">
        <v>-8.5526329999999998E-2</v>
      </c>
      <c r="J182">
        <v>0.47949525999999998</v>
      </c>
    </row>
    <row r="183" spans="1:10" x14ac:dyDescent="0.3">
      <c r="A183">
        <v>181</v>
      </c>
      <c r="B183">
        <v>2874</v>
      </c>
      <c r="C183" t="b">
        <v>1</v>
      </c>
      <c r="D183">
        <v>8060</v>
      </c>
      <c r="E183">
        <v>8134</v>
      </c>
      <c r="F183">
        <v>22</v>
      </c>
      <c r="G183">
        <v>21</v>
      </c>
      <c r="H183">
        <v>1.0476190999999999</v>
      </c>
      <c r="I183">
        <v>-4.7619050000000003E-2</v>
      </c>
      <c r="J183">
        <v>0.48837209999999998</v>
      </c>
    </row>
    <row r="184" spans="1:10" x14ac:dyDescent="0.3">
      <c r="A184">
        <v>182</v>
      </c>
      <c r="B184">
        <v>2906</v>
      </c>
      <c r="C184" t="b">
        <v>1</v>
      </c>
      <c r="D184">
        <v>8054</v>
      </c>
      <c r="E184">
        <v>8134</v>
      </c>
      <c r="F184">
        <v>22</v>
      </c>
      <c r="G184">
        <v>21</v>
      </c>
      <c r="H184">
        <v>1.0476190999999999</v>
      </c>
      <c r="I184">
        <v>-4.7619050000000003E-2</v>
      </c>
      <c r="J184">
        <v>0.48837209999999998</v>
      </c>
    </row>
    <row r="185" spans="1:10" x14ac:dyDescent="0.3">
      <c r="A185">
        <v>183</v>
      </c>
      <c r="B185">
        <v>2922</v>
      </c>
      <c r="C185" t="b">
        <v>1</v>
      </c>
      <c r="D185">
        <v>8060</v>
      </c>
      <c r="E185">
        <v>8140</v>
      </c>
      <c r="F185">
        <v>21.666665999999999</v>
      </c>
      <c r="G185">
        <v>21</v>
      </c>
      <c r="H185">
        <v>1.0317460000000001</v>
      </c>
      <c r="I185">
        <v>-3.1746000000000003E-2</v>
      </c>
      <c r="J185">
        <v>0.49218752999999998</v>
      </c>
    </row>
    <row r="186" spans="1:10" x14ac:dyDescent="0.3">
      <c r="A186">
        <v>184</v>
      </c>
      <c r="B186">
        <v>2938</v>
      </c>
      <c r="C186" t="b">
        <v>1</v>
      </c>
      <c r="D186">
        <v>8054</v>
      </c>
      <c r="E186">
        <v>8134</v>
      </c>
      <c r="F186">
        <v>21.333334000000001</v>
      </c>
      <c r="G186">
        <v>21</v>
      </c>
      <c r="H186">
        <v>1.0158731000000001</v>
      </c>
      <c r="I186">
        <v>-1.5873047000000001E-2</v>
      </c>
      <c r="J186">
        <v>0.49606296</v>
      </c>
    </row>
    <row r="187" spans="1:10" x14ac:dyDescent="0.3">
      <c r="A187">
        <v>185</v>
      </c>
      <c r="B187">
        <v>2954</v>
      </c>
      <c r="C187" t="b">
        <v>1</v>
      </c>
      <c r="D187">
        <v>8048</v>
      </c>
      <c r="E187">
        <v>8134</v>
      </c>
      <c r="F187">
        <v>20.6</v>
      </c>
      <c r="G187">
        <v>21</v>
      </c>
      <c r="H187">
        <v>0.98095239999999995</v>
      </c>
      <c r="I187">
        <v>1.9047601000000001E-2</v>
      </c>
      <c r="J187">
        <v>0.50480769999999997</v>
      </c>
    </row>
    <row r="188" spans="1:10" x14ac:dyDescent="0.3">
      <c r="A188">
        <v>186</v>
      </c>
      <c r="B188">
        <v>2970</v>
      </c>
      <c r="C188" t="b">
        <v>1</v>
      </c>
      <c r="D188">
        <v>8054</v>
      </c>
      <c r="E188">
        <v>8129</v>
      </c>
      <c r="F188">
        <v>20.2</v>
      </c>
      <c r="G188">
        <v>21</v>
      </c>
      <c r="H188">
        <v>0.9619048</v>
      </c>
      <c r="I188">
        <v>3.8095202000000002E-2</v>
      </c>
      <c r="J188">
        <v>0.50970870000000001</v>
      </c>
    </row>
    <row r="189" spans="1:10" x14ac:dyDescent="0.3">
      <c r="A189">
        <v>187</v>
      </c>
      <c r="B189">
        <v>2986</v>
      </c>
      <c r="C189" t="b">
        <v>1</v>
      </c>
      <c r="D189">
        <v>8060</v>
      </c>
      <c r="E189">
        <v>8134</v>
      </c>
      <c r="F189">
        <v>19.8</v>
      </c>
      <c r="G189">
        <v>21</v>
      </c>
      <c r="H189">
        <v>0.9428571</v>
      </c>
      <c r="I189">
        <v>5.7142894999999999E-2</v>
      </c>
      <c r="J189">
        <v>0.51470590000000005</v>
      </c>
    </row>
    <row r="190" spans="1:10" x14ac:dyDescent="0.3">
      <c r="A190">
        <v>188</v>
      </c>
      <c r="B190">
        <v>3002</v>
      </c>
      <c r="C190" t="b">
        <v>1</v>
      </c>
      <c r="D190">
        <v>8065</v>
      </c>
      <c r="E190">
        <v>8140</v>
      </c>
      <c r="F190">
        <v>19.399999999999999</v>
      </c>
      <c r="G190">
        <v>21</v>
      </c>
      <c r="H190">
        <v>0.92380949999999995</v>
      </c>
      <c r="I190">
        <v>7.6190493999999997E-2</v>
      </c>
      <c r="J190">
        <v>0.51980199999999999</v>
      </c>
    </row>
    <row r="191" spans="1:10" x14ac:dyDescent="0.3">
      <c r="A191">
        <v>189</v>
      </c>
      <c r="B191">
        <v>3018</v>
      </c>
      <c r="C191" t="b">
        <v>1</v>
      </c>
      <c r="D191">
        <v>8060</v>
      </c>
      <c r="E191">
        <v>8140</v>
      </c>
      <c r="F191">
        <v>19.399999999999999</v>
      </c>
      <c r="G191">
        <v>21</v>
      </c>
      <c r="H191">
        <v>0.92380949999999995</v>
      </c>
      <c r="I191">
        <v>7.6190493999999997E-2</v>
      </c>
      <c r="J191">
        <v>0.51980199999999999</v>
      </c>
    </row>
    <row r="192" spans="1:10" x14ac:dyDescent="0.3">
      <c r="A192">
        <v>190</v>
      </c>
      <c r="B192">
        <v>3034</v>
      </c>
      <c r="C192" t="b">
        <v>1</v>
      </c>
      <c r="D192">
        <v>8060</v>
      </c>
      <c r="E192">
        <v>8140</v>
      </c>
      <c r="F192">
        <v>19.399999999999999</v>
      </c>
      <c r="G192">
        <v>21.4</v>
      </c>
      <c r="H192">
        <v>0.90654206000000004</v>
      </c>
      <c r="I192">
        <v>9.3457945000000001E-2</v>
      </c>
      <c r="J192">
        <v>0.52450980000000003</v>
      </c>
    </row>
    <row r="193" spans="1:10" x14ac:dyDescent="0.3">
      <c r="A193">
        <v>191</v>
      </c>
      <c r="B193">
        <v>3050</v>
      </c>
      <c r="C193" t="b">
        <v>1</v>
      </c>
      <c r="D193">
        <v>8060</v>
      </c>
      <c r="E193">
        <v>8134</v>
      </c>
      <c r="F193">
        <v>19.399999999999999</v>
      </c>
      <c r="G193">
        <v>21.8</v>
      </c>
      <c r="H193">
        <v>0.88990824999999996</v>
      </c>
      <c r="I193">
        <v>0.11009173</v>
      </c>
      <c r="J193">
        <v>0.52912619999999999</v>
      </c>
    </row>
    <row r="194" spans="1:10" x14ac:dyDescent="0.3">
      <c r="A194">
        <v>192</v>
      </c>
      <c r="B194">
        <v>3066</v>
      </c>
      <c r="C194" t="b">
        <v>1</v>
      </c>
      <c r="D194">
        <v>8060</v>
      </c>
      <c r="E194">
        <v>8134</v>
      </c>
      <c r="F194">
        <v>19.399999999999999</v>
      </c>
      <c r="G194">
        <v>21.8</v>
      </c>
      <c r="H194">
        <v>0.88990824999999996</v>
      </c>
      <c r="I194">
        <v>0.11009173</v>
      </c>
      <c r="J194">
        <v>0.52912619999999999</v>
      </c>
    </row>
    <row r="195" spans="1:10" x14ac:dyDescent="0.3">
      <c r="A195">
        <v>193</v>
      </c>
      <c r="B195">
        <v>3082</v>
      </c>
      <c r="C195" t="b">
        <v>1</v>
      </c>
      <c r="D195">
        <v>8065</v>
      </c>
      <c r="E195">
        <v>8129</v>
      </c>
      <c r="F195">
        <v>19.399999999999999</v>
      </c>
      <c r="G195">
        <v>21.4</v>
      </c>
      <c r="H195">
        <v>0.90654206000000004</v>
      </c>
      <c r="I195">
        <v>9.3457945000000001E-2</v>
      </c>
      <c r="J195">
        <v>0.52450980000000003</v>
      </c>
    </row>
    <row r="196" spans="1:10" x14ac:dyDescent="0.3">
      <c r="A196">
        <v>194</v>
      </c>
      <c r="B196">
        <v>3098</v>
      </c>
      <c r="C196" t="b">
        <v>1</v>
      </c>
      <c r="D196">
        <v>8060</v>
      </c>
      <c r="E196">
        <v>8134</v>
      </c>
      <c r="F196">
        <v>19.399999999999999</v>
      </c>
      <c r="G196">
        <v>21</v>
      </c>
      <c r="H196">
        <v>0.92380949999999995</v>
      </c>
      <c r="I196">
        <v>7.6190493999999997E-2</v>
      </c>
      <c r="J196">
        <v>0.51980199999999999</v>
      </c>
    </row>
    <row r="197" spans="1:10" x14ac:dyDescent="0.3">
      <c r="A197">
        <v>195</v>
      </c>
      <c r="B197">
        <v>3114</v>
      </c>
      <c r="C197" t="b">
        <v>1</v>
      </c>
      <c r="D197">
        <v>8060</v>
      </c>
      <c r="E197">
        <v>8134</v>
      </c>
      <c r="F197">
        <v>19.066668</v>
      </c>
      <c r="G197">
        <v>20.6</v>
      </c>
      <c r="H197">
        <v>0.92556640000000001</v>
      </c>
      <c r="I197">
        <v>7.4433630000000001E-2</v>
      </c>
      <c r="J197">
        <v>0.51932769999999995</v>
      </c>
    </row>
    <row r="198" spans="1:10" x14ac:dyDescent="0.3">
      <c r="A198">
        <v>196</v>
      </c>
      <c r="B198">
        <v>3130</v>
      </c>
      <c r="C198" t="b">
        <v>1</v>
      </c>
      <c r="D198">
        <v>8065</v>
      </c>
      <c r="E198">
        <v>8134</v>
      </c>
      <c r="F198">
        <v>18.733333999999999</v>
      </c>
      <c r="G198">
        <v>20.2</v>
      </c>
      <c r="H198">
        <v>0.92739269999999996</v>
      </c>
      <c r="I198">
        <v>7.2607285999999993E-2</v>
      </c>
      <c r="J198">
        <v>0.51883559999999995</v>
      </c>
    </row>
    <row r="199" spans="1:10" x14ac:dyDescent="0.3">
      <c r="A199">
        <v>197</v>
      </c>
      <c r="B199">
        <v>3146</v>
      </c>
      <c r="C199" t="b">
        <v>1</v>
      </c>
      <c r="D199">
        <v>8071</v>
      </c>
      <c r="E199">
        <v>8134</v>
      </c>
      <c r="F199">
        <v>18.733333999999999</v>
      </c>
      <c r="G199">
        <v>20.2</v>
      </c>
      <c r="H199">
        <v>0.92739269999999996</v>
      </c>
      <c r="I199">
        <v>7.2607285999999993E-2</v>
      </c>
      <c r="J199">
        <v>0.51883559999999995</v>
      </c>
    </row>
    <row r="200" spans="1:10" x14ac:dyDescent="0.3">
      <c r="A200">
        <v>198</v>
      </c>
      <c r="B200">
        <v>3161</v>
      </c>
      <c r="C200" t="b">
        <v>1</v>
      </c>
      <c r="D200">
        <v>8060</v>
      </c>
      <c r="E200">
        <v>8140</v>
      </c>
      <c r="F200">
        <v>18.733333999999999</v>
      </c>
      <c r="G200">
        <v>20.2</v>
      </c>
      <c r="H200">
        <v>0.92739269999999996</v>
      </c>
      <c r="I200">
        <v>7.2607285999999993E-2</v>
      </c>
      <c r="J200">
        <v>0.51883559999999995</v>
      </c>
    </row>
    <row r="201" spans="1:10" x14ac:dyDescent="0.3">
      <c r="A201">
        <v>199</v>
      </c>
      <c r="B201">
        <v>3177</v>
      </c>
      <c r="C201" t="b">
        <v>1</v>
      </c>
      <c r="D201">
        <v>8060</v>
      </c>
      <c r="E201">
        <v>8134</v>
      </c>
      <c r="F201">
        <v>18.733333999999999</v>
      </c>
      <c r="G201">
        <v>20.2</v>
      </c>
      <c r="H201">
        <v>0.92739269999999996</v>
      </c>
      <c r="I201">
        <v>7.2607285999999993E-2</v>
      </c>
      <c r="J201">
        <v>0.51883559999999995</v>
      </c>
    </row>
    <row r="202" spans="1:10" x14ac:dyDescent="0.3">
      <c r="A202">
        <v>200</v>
      </c>
      <c r="B202">
        <v>3193</v>
      </c>
      <c r="C202" t="b">
        <v>1</v>
      </c>
      <c r="D202">
        <v>8054</v>
      </c>
      <c r="E202">
        <v>8134</v>
      </c>
      <c r="F202">
        <v>19.133333</v>
      </c>
      <c r="G202">
        <v>20.2</v>
      </c>
      <c r="H202">
        <v>0.94719469999999995</v>
      </c>
      <c r="I202">
        <v>5.2805323000000001E-2</v>
      </c>
      <c r="J202">
        <v>0.51355930000000005</v>
      </c>
    </row>
    <row r="203" spans="1:10" x14ac:dyDescent="0.3">
      <c r="A203">
        <v>201</v>
      </c>
      <c r="B203">
        <v>3209</v>
      </c>
      <c r="C203" t="b">
        <v>1</v>
      </c>
      <c r="D203">
        <v>8048</v>
      </c>
      <c r="E203">
        <v>8140</v>
      </c>
      <c r="F203">
        <v>19.533332999999999</v>
      </c>
      <c r="G203">
        <v>20.2</v>
      </c>
      <c r="H203">
        <v>0.96699659999999998</v>
      </c>
      <c r="I203">
        <v>3.3003364E-2</v>
      </c>
      <c r="J203">
        <v>0.50838930000000004</v>
      </c>
    </row>
    <row r="204" spans="1:10" x14ac:dyDescent="0.3">
      <c r="A204">
        <v>202</v>
      </c>
      <c r="B204">
        <v>3225</v>
      </c>
      <c r="C204" t="b">
        <v>1</v>
      </c>
      <c r="D204">
        <v>8048</v>
      </c>
      <c r="E204">
        <v>8134</v>
      </c>
      <c r="F204">
        <v>19.533332999999999</v>
      </c>
      <c r="G204">
        <v>20.2</v>
      </c>
      <c r="H204">
        <v>0.96699659999999998</v>
      </c>
      <c r="I204">
        <v>3.3003364E-2</v>
      </c>
      <c r="J204">
        <v>0.50838930000000004</v>
      </c>
    </row>
    <row r="205" spans="1:10" x14ac:dyDescent="0.3">
      <c r="A205">
        <v>203</v>
      </c>
      <c r="B205">
        <v>3241</v>
      </c>
      <c r="C205" t="b">
        <v>1</v>
      </c>
      <c r="D205">
        <v>8054</v>
      </c>
      <c r="E205">
        <v>8134</v>
      </c>
      <c r="F205">
        <v>19.533332999999999</v>
      </c>
      <c r="G205">
        <v>20.2</v>
      </c>
      <c r="H205">
        <v>0.96699659999999998</v>
      </c>
      <c r="I205">
        <v>3.3003364E-2</v>
      </c>
      <c r="J205">
        <v>0.50838930000000004</v>
      </c>
    </row>
    <row r="206" spans="1:10" x14ac:dyDescent="0.3">
      <c r="A206">
        <v>204</v>
      </c>
      <c r="B206">
        <v>3257</v>
      </c>
      <c r="C206" t="b">
        <v>1</v>
      </c>
      <c r="D206">
        <v>8054</v>
      </c>
      <c r="E206">
        <v>8129</v>
      </c>
      <c r="F206">
        <v>19.133333</v>
      </c>
      <c r="G206">
        <v>20.2</v>
      </c>
      <c r="H206">
        <v>0.94719469999999995</v>
      </c>
      <c r="I206">
        <v>5.2805323000000001E-2</v>
      </c>
      <c r="J206">
        <v>0.51355930000000005</v>
      </c>
    </row>
    <row r="207" spans="1:10" x14ac:dyDescent="0.3">
      <c r="A207">
        <v>205</v>
      </c>
      <c r="B207">
        <v>3273</v>
      </c>
      <c r="C207" t="b">
        <v>1</v>
      </c>
      <c r="D207">
        <v>8054</v>
      </c>
      <c r="E207">
        <v>8134</v>
      </c>
      <c r="F207">
        <v>18.733333999999999</v>
      </c>
      <c r="G207">
        <v>19.8</v>
      </c>
      <c r="H207">
        <v>0.94612799999999997</v>
      </c>
      <c r="I207">
        <v>5.3872004000000001E-2</v>
      </c>
      <c r="J207">
        <v>0.51384079999999999</v>
      </c>
    </row>
    <row r="208" spans="1:10" x14ac:dyDescent="0.3">
      <c r="A208">
        <v>206</v>
      </c>
      <c r="B208">
        <v>3289</v>
      </c>
      <c r="C208" t="b">
        <v>1</v>
      </c>
      <c r="D208">
        <v>8054</v>
      </c>
      <c r="E208">
        <v>8140</v>
      </c>
      <c r="F208">
        <v>18.333334000000001</v>
      </c>
      <c r="G208">
        <v>19.399999999999999</v>
      </c>
      <c r="H208">
        <v>0.9450172</v>
      </c>
      <c r="I208">
        <v>5.4982767000000002E-2</v>
      </c>
      <c r="J208">
        <v>0.51413430000000004</v>
      </c>
    </row>
    <row r="209" spans="1:10" x14ac:dyDescent="0.3">
      <c r="A209">
        <v>207</v>
      </c>
      <c r="B209">
        <v>3305</v>
      </c>
      <c r="C209" t="b">
        <v>1</v>
      </c>
      <c r="D209">
        <v>8071</v>
      </c>
      <c r="E209">
        <v>8134</v>
      </c>
      <c r="F209">
        <v>17.933332</v>
      </c>
      <c r="G209">
        <v>19</v>
      </c>
      <c r="H209">
        <v>0.94385960000000002</v>
      </c>
      <c r="I209">
        <v>5.6140397000000002E-2</v>
      </c>
      <c r="J209">
        <v>0.51444040000000002</v>
      </c>
    </row>
    <row r="210" spans="1:10" x14ac:dyDescent="0.3">
      <c r="A210">
        <v>208</v>
      </c>
      <c r="B210">
        <v>3321</v>
      </c>
      <c r="C210" t="b">
        <v>1</v>
      </c>
      <c r="D210">
        <v>8065</v>
      </c>
      <c r="E210">
        <v>8134</v>
      </c>
      <c r="F210">
        <v>17.533332999999999</v>
      </c>
      <c r="G210">
        <v>19</v>
      </c>
      <c r="H210">
        <v>0.92280700000000004</v>
      </c>
      <c r="I210">
        <v>7.7193010000000006E-2</v>
      </c>
      <c r="J210">
        <v>0.52007300000000001</v>
      </c>
    </row>
    <row r="211" spans="1:10" x14ac:dyDescent="0.3">
      <c r="A211">
        <v>209</v>
      </c>
      <c r="B211">
        <v>3337</v>
      </c>
      <c r="C211" t="b">
        <v>1</v>
      </c>
      <c r="D211">
        <v>8065</v>
      </c>
      <c r="E211">
        <v>8140</v>
      </c>
      <c r="F211">
        <v>17.866667</v>
      </c>
      <c r="G211">
        <v>19</v>
      </c>
      <c r="H211">
        <v>0.94035089999999999</v>
      </c>
      <c r="I211">
        <v>5.9649117000000001E-2</v>
      </c>
      <c r="J211">
        <v>0.51537067000000003</v>
      </c>
    </row>
    <row r="212" spans="1:10" x14ac:dyDescent="0.3">
      <c r="A212">
        <v>210</v>
      </c>
      <c r="B212">
        <v>3353</v>
      </c>
      <c r="C212" t="b">
        <v>1</v>
      </c>
      <c r="D212">
        <v>8071</v>
      </c>
      <c r="E212">
        <v>8134</v>
      </c>
      <c r="F212">
        <v>18.2</v>
      </c>
      <c r="G212">
        <v>19</v>
      </c>
      <c r="H212">
        <v>0.95789480000000005</v>
      </c>
      <c r="I212">
        <v>4.2105223999999997E-2</v>
      </c>
      <c r="J212">
        <v>0.51075269999999995</v>
      </c>
    </row>
    <row r="213" spans="1:10" x14ac:dyDescent="0.3">
      <c r="A213">
        <v>211</v>
      </c>
      <c r="B213">
        <v>3368</v>
      </c>
      <c r="C213" t="b">
        <v>1</v>
      </c>
      <c r="D213">
        <v>8065</v>
      </c>
      <c r="E213">
        <v>8134</v>
      </c>
      <c r="F213">
        <v>18.533332999999999</v>
      </c>
      <c r="G213">
        <v>19</v>
      </c>
      <c r="H213">
        <v>0.97543860000000004</v>
      </c>
      <c r="I213">
        <v>2.4561429999999999E-2</v>
      </c>
      <c r="J213">
        <v>0.50621669999999996</v>
      </c>
    </row>
    <row r="214" spans="1:10" x14ac:dyDescent="0.3">
      <c r="A214">
        <v>212</v>
      </c>
      <c r="B214">
        <v>3384</v>
      </c>
      <c r="C214" t="b">
        <v>1</v>
      </c>
      <c r="D214">
        <v>8071</v>
      </c>
      <c r="E214">
        <v>8140</v>
      </c>
      <c r="F214">
        <v>18.533332999999999</v>
      </c>
      <c r="G214">
        <v>19</v>
      </c>
      <c r="H214">
        <v>0.97543860000000004</v>
      </c>
      <c r="I214">
        <v>2.4561429999999999E-2</v>
      </c>
      <c r="J214">
        <v>0.50621669999999996</v>
      </c>
    </row>
    <row r="215" spans="1:10" x14ac:dyDescent="0.3">
      <c r="A215">
        <v>213</v>
      </c>
      <c r="B215">
        <v>3400</v>
      </c>
      <c r="C215" t="b">
        <v>1</v>
      </c>
      <c r="D215">
        <v>8065</v>
      </c>
      <c r="E215">
        <v>8140</v>
      </c>
      <c r="F215">
        <v>18.866667</v>
      </c>
      <c r="G215">
        <v>19.399999999999999</v>
      </c>
      <c r="H215">
        <v>0.97250859999999995</v>
      </c>
      <c r="I215">
        <v>2.7491383000000001E-2</v>
      </c>
      <c r="J215">
        <v>0.50696859999999999</v>
      </c>
    </row>
    <row r="216" spans="1:10" x14ac:dyDescent="0.3">
      <c r="A216">
        <v>214</v>
      </c>
      <c r="B216">
        <v>3416</v>
      </c>
      <c r="C216" t="b">
        <v>1</v>
      </c>
      <c r="D216">
        <v>8060</v>
      </c>
      <c r="E216">
        <v>8129</v>
      </c>
      <c r="F216">
        <v>19.2</v>
      </c>
      <c r="G216">
        <v>19.399999999999999</v>
      </c>
      <c r="H216">
        <v>0.98969079999999998</v>
      </c>
      <c r="I216">
        <v>1.0309219E-2</v>
      </c>
      <c r="J216">
        <v>0.50259065999999997</v>
      </c>
    </row>
    <row r="217" spans="1:10" x14ac:dyDescent="0.3">
      <c r="A217">
        <v>215</v>
      </c>
      <c r="B217">
        <v>3432</v>
      </c>
      <c r="C217" t="b">
        <v>1</v>
      </c>
      <c r="D217">
        <v>8060</v>
      </c>
      <c r="E217">
        <v>8134</v>
      </c>
      <c r="F217">
        <v>19.533332999999999</v>
      </c>
      <c r="G217">
        <v>19.399999999999999</v>
      </c>
      <c r="H217">
        <v>1.0068729000000001</v>
      </c>
      <c r="I217">
        <v>-6.8728460000000002E-3</v>
      </c>
      <c r="J217">
        <v>0.49828765000000003</v>
      </c>
    </row>
    <row r="218" spans="1:10" x14ac:dyDescent="0.3">
      <c r="A218">
        <v>216</v>
      </c>
      <c r="B218">
        <v>3447</v>
      </c>
      <c r="C218" t="b">
        <v>1</v>
      </c>
      <c r="D218">
        <v>8060</v>
      </c>
      <c r="E218">
        <v>8134</v>
      </c>
      <c r="F218">
        <v>19.533332999999999</v>
      </c>
      <c r="G218">
        <v>19.399999999999999</v>
      </c>
      <c r="H218">
        <v>1.0068729000000001</v>
      </c>
      <c r="I218">
        <v>-6.8728460000000002E-3</v>
      </c>
      <c r="J218">
        <v>0.49828765000000003</v>
      </c>
    </row>
    <row r="219" spans="1:10" x14ac:dyDescent="0.3">
      <c r="A219">
        <v>217</v>
      </c>
      <c r="B219">
        <v>3463</v>
      </c>
      <c r="C219" t="b">
        <v>1</v>
      </c>
      <c r="D219">
        <v>8065</v>
      </c>
      <c r="E219">
        <v>8134</v>
      </c>
      <c r="F219">
        <v>19.933332</v>
      </c>
      <c r="G219">
        <v>19.399999999999999</v>
      </c>
      <c r="H219">
        <v>1.0274913000000001</v>
      </c>
      <c r="I219">
        <v>-2.7491383000000001E-2</v>
      </c>
      <c r="J219">
        <v>0.49322036000000002</v>
      </c>
    </row>
    <row r="220" spans="1:10" x14ac:dyDescent="0.3">
      <c r="A220">
        <v>218</v>
      </c>
      <c r="B220">
        <v>3479</v>
      </c>
      <c r="C220" t="b">
        <v>1</v>
      </c>
      <c r="D220">
        <v>8060</v>
      </c>
      <c r="E220">
        <v>8140</v>
      </c>
      <c r="F220">
        <v>20.333334000000001</v>
      </c>
      <c r="G220">
        <v>19.399999999999999</v>
      </c>
      <c r="H220">
        <v>1.0481100000000001</v>
      </c>
      <c r="I220">
        <v>-4.8110020000000003E-2</v>
      </c>
      <c r="J220">
        <v>0.48825501999999998</v>
      </c>
    </row>
    <row r="221" spans="1:10" x14ac:dyDescent="0.3">
      <c r="A221">
        <v>219</v>
      </c>
      <c r="B221">
        <v>3495</v>
      </c>
      <c r="C221" t="b">
        <v>1</v>
      </c>
      <c r="D221">
        <v>8065</v>
      </c>
      <c r="E221">
        <v>8129</v>
      </c>
      <c r="F221">
        <v>20.733333999999999</v>
      </c>
      <c r="G221">
        <v>19.399999999999999</v>
      </c>
      <c r="H221">
        <v>1.0687286</v>
      </c>
      <c r="I221">
        <v>-6.8728559999999994E-2</v>
      </c>
      <c r="J221">
        <v>0.48338871999999999</v>
      </c>
    </row>
    <row r="222" spans="1:10" x14ac:dyDescent="0.3">
      <c r="A222">
        <v>220</v>
      </c>
      <c r="B222">
        <v>3511</v>
      </c>
      <c r="C222" t="b">
        <v>1</v>
      </c>
      <c r="D222">
        <v>8060</v>
      </c>
      <c r="E222">
        <v>8134</v>
      </c>
      <c r="F222">
        <v>21.133333</v>
      </c>
      <c r="G222">
        <v>19.399999999999999</v>
      </c>
      <c r="H222">
        <v>1.0893470999999999</v>
      </c>
      <c r="I222">
        <v>-8.9347094000000002E-2</v>
      </c>
      <c r="J222">
        <v>0.4786184</v>
      </c>
    </row>
    <row r="223" spans="1:10" x14ac:dyDescent="0.3">
      <c r="A223">
        <v>221</v>
      </c>
      <c r="B223">
        <v>3527</v>
      </c>
      <c r="C223" t="b">
        <v>1</v>
      </c>
      <c r="D223">
        <v>8060</v>
      </c>
      <c r="E223">
        <v>8134</v>
      </c>
      <c r="F223">
        <v>21.533332999999999</v>
      </c>
      <c r="G223">
        <v>19.399999999999999</v>
      </c>
      <c r="H223">
        <v>1.1099657000000001</v>
      </c>
      <c r="I223">
        <v>-0.10996562999999999</v>
      </c>
      <c r="J223">
        <v>0.47394135999999998</v>
      </c>
    </row>
    <row r="224" spans="1:10" x14ac:dyDescent="0.3">
      <c r="A224">
        <v>222</v>
      </c>
      <c r="B224">
        <v>3543</v>
      </c>
      <c r="C224" t="b">
        <v>1</v>
      </c>
      <c r="D224">
        <v>8060</v>
      </c>
      <c r="E224">
        <v>8134</v>
      </c>
      <c r="F224">
        <v>21.933332</v>
      </c>
      <c r="G224">
        <v>19.399999999999999</v>
      </c>
      <c r="H224">
        <v>1.1305841000000001</v>
      </c>
      <c r="I224">
        <v>-0.13058417</v>
      </c>
      <c r="J224">
        <v>0.46935484</v>
      </c>
    </row>
    <row r="225" spans="1:10" x14ac:dyDescent="0.3">
      <c r="A225">
        <v>223</v>
      </c>
      <c r="B225">
        <v>3558</v>
      </c>
      <c r="C225" t="b">
        <v>1</v>
      </c>
      <c r="D225">
        <v>8060</v>
      </c>
      <c r="E225">
        <v>8140</v>
      </c>
      <c r="F225">
        <v>22.333334000000001</v>
      </c>
      <c r="G225">
        <v>19.399999999999999</v>
      </c>
      <c r="H225">
        <v>1.1512028000000001</v>
      </c>
      <c r="I225">
        <v>-0.1512028</v>
      </c>
      <c r="J225">
        <v>0.4648562</v>
      </c>
    </row>
    <row r="226" spans="1:10" x14ac:dyDescent="0.3">
      <c r="A226">
        <v>224</v>
      </c>
      <c r="B226">
        <v>3574</v>
      </c>
      <c r="C226" t="b">
        <v>1</v>
      </c>
      <c r="D226">
        <v>8060</v>
      </c>
      <c r="E226">
        <v>8134</v>
      </c>
      <c r="F226">
        <v>22</v>
      </c>
      <c r="G226">
        <v>19.399999999999999</v>
      </c>
      <c r="H226">
        <v>1.1340207</v>
      </c>
      <c r="I226">
        <v>-0.13402064</v>
      </c>
      <c r="J226">
        <v>0.46859901999999998</v>
      </c>
    </row>
    <row r="227" spans="1:10" x14ac:dyDescent="0.3">
      <c r="A227">
        <v>225</v>
      </c>
      <c r="B227">
        <v>3590</v>
      </c>
      <c r="C227" t="b">
        <v>1</v>
      </c>
      <c r="D227">
        <v>8060</v>
      </c>
      <c r="E227">
        <v>8134</v>
      </c>
      <c r="F227">
        <v>21.666665999999999</v>
      </c>
      <c r="G227">
        <v>19.399999999999999</v>
      </c>
      <c r="H227">
        <v>1.1168385000000001</v>
      </c>
      <c r="I227">
        <v>-0.11683847999999999</v>
      </c>
      <c r="J227">
        <v>0.47240260000000001</v>
      </c>
    </row>
    <row r="228" spans="1:10" x14ac:dyDescent="0.3">
      <c r="A228">
        <v>226</v>
      </c>
      <c r="B228">
        <v>3606</v>
      </c>
      <c r="C228" t="b">
        <v>1</v>
      </c>
      <c r="D228">
        <v>8060</v>
      </c>
      <c r="E228">
        <v>8140</v>
      </c>
      <c r="F228">
        <v>21.333334000000001</v>
      </c>
      <c r="G228">
        <v>19.399999999999999</v>
      </c>
      <c r="H228">
        <v>1.0996565</v>
      </c>
      <c r="I228">
        <v>-9.9656410000000001E-2</v>
      </c>
      <c r="J228">
        <v>0.47626839999999998</v>
      </c>
    </row>
    <row r="229" spans="1:10" x14ac:dyDescent="0.3">
      <c r="A229">
        <v>227</v>
      </c>
      <c r="B229">
        <v>3622</v>
      </c>
      <c r="C229" t="b">
        <v>1</v>
      </c>
      <c r="D229">
        <v>8060</v>
      </c>
      <c r="E229">
        <v>8134</v>
      </c>
      <c r="F229">
        <v>21</v>
      </c>
      <c r="G229">
        <v>19.399999999999999</v>
      </c>
      <c r="H229">
        <v>1.0824742000000001</v>
      </c>
      <c r="I229">
        <v>-8.2474249999999999E-2</v>
      </c>
      <c r="J229">
        <v>0.48019800000000001</v>
      </c>
    </row>
    <row r="230" spans="1:10" x14ac:dyDescent="0.3">
      <c r="A230">
        <v>228</v>
      </c>
      <c r="B230">
        <v>3654</v>
      </c>
      <c r="C230" t="b">
        <v>1</v>
      </c>
      <c r="D230">
        <v>8060</v>
      </c>
      <c r="E230">
        <v>8134</v>
      </c>
      <c r="F230">
        <v>20.666665999999999</v>
      </c>
      <c r="G230">
        <v>19</v>
      </c>
      <c r="H230">
        <v>1.0877193000000001</v>
      </c>
      <c r="I230">
        <v>-8.7719259999999993E-2</v>
      </c>
      <c r="J230">
        <v>0.47899163</v>
      </c>
    </row>
    <row r="231" spans="1:10" x14ac:dyDescent="0.3">
      <c r="A231">
        <v>229</v>
      </c>
      <c r="B231">
        <v>3669</v>
      </c>
      <c r="C231" t="b">
        <v>1</v>
      </c>
      <c r="D231">
        <v>8060</v>
      </c>
      <c r="E231">
        <v>8134</v>
      </c>
      <c r="F231">
        <v>20.333334000000001</v>
      </c>
      <c r="G231">
        <v>19</v>
      </c>
      <c r="H231">
        <v>1.0701754999999999</v>
      </c>
      <c r="I231">
        <v>-7.0175470000000004E-2</v>
      </c>
      <c r="J231">
        <v>0.48305081999999999</v>
      </c>
    </row>
    <row r="232" spans="1:10" x14ac:dyDescent="0.3">
      <c r="A232">
        <v>230</v>
      </c>
      <c r="B232">
        <v>3685</v>
      </c>
      <c r="C232" t="b">
        <v>1</v>
      </c>
      <c r="D232">
        <v>8065</v>
      </c>
      <c r="E232">
        <v>8134</v>
      </c>
      <c r="F232">
        <v>20</v>
      </c>
      <c r="G232">
        <v>19</v>
      </c>
      <c r="H232">
        <v>1.0526316</v>
      </c>
      <c r="I232">
        <v>-5.2631579999999997E-2</v>
      </c>
      <c r="J232">
        <v>0.48717949999999999</v>
      </c>
    </row>
    <row r="233" spans="1:10" x14ac:dyDescent="0.3">
      <c r="A233">
        <v>231</v>
      </c>
      <c r="B233">
        <v>3701</v>
      </c>
      <c r="C233" t="b">
        <v>1</v>
      </c>
      <c r="D233">
        <v>8060</v>
      </c>
      <c r="E233">
        <v>8134</v>
      </c>
      <c r="F233">
        <v>20</v>
      </c>
      <c r="G233">
        <v>19</v>
      </c>
      <c r="H233">
        <v>1.0526316</v>
      </c>
      <c r="I233">
        <v>-5.2631579999999997E-2</v>
      </c>
      <c r="J233">
        <v>0.48717949999999999</v>
      </c>
    </row>
    <row r="234" spans="1:10" x14ac:dyDescent="0.3">
      <c r="A234">
        <v>232</v>
      </c>
      <c r="B234">
        <v>3717</v>
      </c>
      <c r="C234" t="b">
        <v>1</v>
      </c>
      <c r="D234">
        <v>8060</v>
      </c>
      <c r="E234">
        <v>8134</v>
      </c>
      <c r="F234">
        <v>20</v>
      </c>
      <c r="G234">
        <v>19</v>
      </c>
      <c r="H234">
        <v>1.0526316</v>
      </c>
      <c r="I234">
        <v>-5.2631579999999997E-2</v>
      </c>
      <c r="J234">
        <v>0.48717949999999999</v>
      </c>
    </row>
    <row r="235" spans="1:10" x14ac:dyDescent="0.3">
      <c r="A235">
        <v>233</v>
      </c>
      <c r="B235">
        <v>3733</v>
      </c>
      <c r="C235" t="b">
        <v>1</v>
      </c>
      <c r="D235">
        <v>8065</v>
      </c>
      <c r="E235">
        <v>8140</v>
      </c>
      <c r="F235">
        <v>20</v>
      </c>
      <c r="G235">
        <v>19</v>
      </c>
      <c r="H235">
        <v>1.0526316</v>
      </c>
      <c r="I235">
        <v>-5.2631579999999997E-2</v>
      </c>
      <c r="J235">
        <v>0.48717949999999999</v>
      </c>
    </row>
    <row r="236" spans="1:10" x14ac:dyDescent="0.3">
      <c r="A236">
        <v>234</v>
      </c>
      <c r="B236">
        <v>3749</v>
      </c>
      <c r="C236" t="b">
        <v>1</v>
      </c>
      <c r="D236">
        <v>8060</v>
      </c>
      <c r="E236">
        <v>8140</v>
      </c>
      <c r="F236">
        <v>20</v>
      </c>
      <c r="G236">
        <v>19</v>
      </c>
      <c r="H236">
        <v>1.0526316</v>
      </c>
      <c r="I236">
        <v>-5.2631579999999997E-2</v>
      </c>
      <c r="J236">
        <v>0.48717949999999999</v>
      </c>
    </row>
    <row r="237" spans="1:10" x14ac:dyDescent="0.3">
      <c r="A237">
        <v>235</v>
      </c>
      <c r="B237">
        <v>3765</v>
      </c>
      <c r="C237" t="b">
        <v>1</v>
      </c>
      <c r="D237">
        <v>8071</v>
      </c>
      <c r="E237">
        <v>8134</v>
      </c>
      <c r="F237">
        <v>20</v>
      </c>
      <c r="G237">
        <v>19</v>
      </c>
      <c r="H237">
        <v>1.0526316</v>
      </c>
      <c r="I237">
        <v>-5.2631579999999997E-2</v>
      </c>
      <c r="J237">
        <v>0.48717949999999999</v>
      </c>
    </row>
    <row r="238" spans="1:10" x14ac:dyDescent="0.3">
      <c r="A238">
        <v>236</v>
      </c>
      <c r="B238">
        <v>3780</v>
      </c>
      <c r="C238" t="b">
        <v>1</v>
      </c>
      <c r="D238">
        <v>8065</v>
      </c>
      <c r="E238">
        <v>8140</v>
      </c>
      <c r="F238">
        <v>20.333334000000001</v>
      </c>
      <c r="G238">
        <v>19.399999999999999</v>
      </c>
      <c r="H238">
        <v>1.0481100000000001</v>
      </c>
      <c r="I238">
        <v>-4.8110020000000003E-2</v>
      </c>
      <c r="J238">
        <v>0.48825501999999998</v>
      </c>
    </row>
    <row r="239" spans="1:10" x14ac:dyDescent="0.3">
      <c r="A239">
        <v>237</v>
      </c>
      <c r="B239">
        <v>3796</v>
      </c>
      <c r="C239" t="b">
        <v>1</v>
      </c>
      <c r="D239">
        <v>8060</v>
      </c>
      <c r="E239">
        <v>8140</v>
      </c>
      <c r="F239">
        <v>20.666665999999999</v>
      </c>
      <c r="G239">
        <v>19.8</v>
      </c>
      <c r="H239">
        <v>1.043771</v>
      </c>
      <c r="I239">
        <v>-4.3771049999999999E-2</v>
      </c>
      <c r="J239">
        <v>0.48929158</v>
      </c>
    </row>
    <row r="240" spans="1:10" x14ac:dyDescent="0.3">
      <c r="A240">
        <v>238</v>
      </c>
      <c r="B240">
        <v>3812</v>
      </c>
      <c r="C240" t="b">
        <v>1</v>
      </c>
      <c r="D240">
        <v>8060</v>
      </c>
      <c r="E240">
        <v>8140</v>
      </c>
      <c r="F240">
        <v>20.666665999999999</v>
      </c>
      <c r="G240">
        <v>20.2</v>
      </c>
      <c r="H240">
        <v>1.0231022999999999</v>
      </c>
      <c r="I240">
        <v>-2.310224E-2</v>
      </c>
      <c r="J240">
        <v>0.49429037999999997</v>
      </c>
    </row>
    <row r="241" spans="1:10" x14ac:dyDescent="0.3">
      <c r="A241">
        <v>239</v>
      </c>
      <c r="B241">
        <v>3827</v>
      </c>
      <c r="C241" t="b">
        <v>1</v>
      </c>
      <c r="D241">
        <v>8065</v>
      </c>
      <c r="E241">
        <v>8134</v>
      </c>
      <c r="F241">
        <v>21</v>
      </c>
      <c r="G241">
        <v>20.6</v>
      </c>
      <c r="H241">
        <v>1.0194174</v>
      </c>
      <c r="I241">
        <v>-1.9417456999999999E-2</v>
      </c>
      <c r="J241">
        <v>0.49519235</v>
      </c>
    </row>
    <row r="242" spans="1:10" x14ac:dyDescent="0.3">
      <c r="A242">
        <v>240</v>
      </c>
      <c r="B242">
        <v>3843</v>
      </c>
      <c r="C242" t="b">
        <v>1</v>
      </c>
      <c r="D242">
        <v>8060</v>
      </c>
      <c r="E242">
        <v>8134</v>
      </c>
      <c r="F242">
        <v>21</v>
      </c>
      <c r="G242">
        <v>21</v>
      </c>
      <c r="H242">
        <v>1</v>
      </c>
      <c r="I242">
        <v>0</v>
      </c>
      <c r="J242">
        <v>0.5</v>
      </c>
    </row>
    <row r="243" spans="1:10" x14ac:dyDescent="0.3">
      <c r="A243">
        <v>241</v>
      </c>
      <c r="B243">
        <v>3859</v>
      </c>
      <c r="C243" t="b">
        <v>1</v>
      </c>
      <c r="D243">
        <v>8065</v>
      </c>
      <c r="E243">
        <v>8134</v>
      </c>
      <c r="F243">
        <v>21</v>
      </c>
      <c r="G243">
        <v>21</v>
      </c>
      <c r="H243">
        <v>1</v>
      </c>
      <c r="I243">
        <v>0</v>
      </c>
      <c r="J243">
        <v>0.5</v>
      </c>
    </row>
    <row r="244" spans="1:10" x14ac:dyDescent="0.3">
      <c r="A244">
        <v>242</v>
      </c>
      <c r="B244">
        <v>3875</v>
      </c>
      <c r="C244" t="b">
        <v>1</v>
      </c>
      <c r="D244">
        <v>8060</v>
      </c>
      <c r="E244">
        <v>8134</v>
      </c>
      <c r="F244">
        <v>21</v>
      </c>
      <c r="G244">
        <v>21</v>
      </c>
      <c r="H244">
        <v>1</v>
      </c>
      <c r="I244">
        <v>0</v>
      </c>
      <c r="J244">
        <v>0.5</v>
      </c>
    </row>
    <row r="245" spans="1:10" x14ac:dyDescent="0.3">
      <c r="A245">
        <v>243</v>
      </c>
      <c r="B245">
        <v>3891</v>
      </c>
      <c r="C245" t="b">
        <v>1</v>
      </c>
      <c r="D245">
        <v>8065</v>
      </c>
      <c r="E245">
        <v>8140</v>
      </c>
      <c r="F245">
        <v>21.333334000000001</v>
      </c>
      <c r="G245">
        <v>21</v>
      </c>
      <c r="H245">
        <v>1.0158731000000001</v>
      </c>
      <c r="I245">
        <v>-1.5873047000000001E-2</v>
      </c>
      <c r="J245">
        <v>0.49606296</v>
      </c>
    </row>
    <row r="246" spans="1:10" x14ac:dyDescent="0.3">
      <c r="A246">
        <v>244</v>
      </c>
      <c r="B246">
        <v>3907</v>
      </c>
      <c r="C246" t="b">
        <v>1</v>
      </c>
      <c r="D246">
        <v>8060</v>
      </c>
      <c r="E246">
        <v>8134</v>
      </c>
      <c r="F246">
        <v>21.333334000000001</v>
      </c>
      <c r="G246">
        <v>21</v>
      </c>
      <c r="H246">
        <v>1.0158731000000001</v>
      </c>
      <c r="I246">
        <v>-1.5873047000000001E-2</v>
      </c>
      <c r="J246">
        <v>0.49606296</v>
      </c>
    </row>
    <row r="247" spans="1:10" x14ac:dyDescent="0.3">
      <c r="A247">
        <v>245</v>
      </c>
      <c r="B247">
        <v>3923</v>
      </c>
      <c r="C247" t="b">
        <v>1</v>
      </c>
      <c r="D247">
        <v>8060</v>
      </c>
      <c r="E247">
        <v>8134</v>
      </c>
      <c r="F247">
        <v>21.333334000000001</v>
      </c>
      <c r="G247">
        <v>21</v>
      </c>
      <c r="H247">
        <v>1.0158731000000001</v>
      </c>
      <c r="I247">
        <v>-1.5873047000000001E-2</v>
      </c>
      <c r="J247">
        <v>0.49606296</v>
      </c>
    </row>
    <row r="248" spans="1:10" x14ac:dyDescent="0.3">
      <c r="A248">
        <v>246</v>
      </c>
      <c r="B248">
        <v>3939</v>
      </c>
      <c r="C248" t="b">
        <v>1</v>
      </c>
      <c r="D248">
        <v>8060</v>
      </c>
      <c r="E248">
        <v>8140</v>
      </c>
      <c r="F248">
        <v>21.333334000000001</v>
      </c>
      <c r="G248">
        <v>21</v>
      </c>
      <c r="H248">
        <v>1.0158731000000001</v>
      </c>
      <c r="I248">
        <v>-1.5873047000000001E-2</v>
      </c>
      <c r="J248">
        <v>0.49606296</v>
      </c>
    </row>
    <row r="249" spans="1:10" x14ac:dyDescent="0.3">
      <c r="A249">
        <v>247</v>
      </c>
      <c r="B249">
        <v>3955</v>
      </c>
      <c r="C249" t="b">
        <v>1</v>
      </c>
      <c r="D249">
        <v>8060</v>
      </c>
      <c r="E249">
        <v>8134</v>
      </c>
      <c r="F249">
        <v>21.333334000000001</v>
      </c>
      <c r="G249">
        <v>21</v>
      </c>
      <c r="H249">
        <v>1.0158731000000001</v>
      </c>
      <c r="I249">
        <v>-1.5873047000000001E-2</v>
      </c>
      <c r="J249">
        <v>0.49606296</v>
      </c>
    </row>
    <row r="250" spans="1:10" x14ac:dyDescent="0.3">
      <c r="A250">
        <v>248</v>
      </c>
      <c r="B250">
        <v>3971</v>
      </c>
      <c r="C250" t="b">
        <v>1</v>
      </c>
      <c r="D250">
        <v>8060</v>
      </c>
      <c r="E250">
        <v>8140</v>
      </c>
      <c r="F250">
        <v>21.333334000000001</v>
      </c>
      <c r="G250">
        <v>21</v>
      </c>
      <c r="H250">
        <v>1.0158731000000001</v>
      </c>
      <c r="I250">
        <v>-1.5873047000000001E-2</v>
      </c>
      <c r="J250">
        <v>0.49606296</v>
      </c>
    </row>
    <row r="251" spans="1:10" x14ac:dyDescent="0.3">
      <c r="A251">
        <v>249</v>
      </c>
      <c r="B251">
        <v>3986</v>
      </c>
      <c r="C251" t="b">
        <v>1</v>
      </c>
      <c r="D251">
        <v>8060</v>
      </c>
      <c r="E251">
        <v>8140</v>
      </c>
      <c r="F251">
        <v>21.333334000000001</v>
      </c>
      <c r="G251">
        <v>21.4</v>
      </c>
      <c r="H251">
        <v>0.99688476000000004</v>
      </c>
      <c r="I251">
        <v>3.1152174000000001E-3</v>
      </c>
      <c r="J251">
        <v>0.50078005000000003</v>
      </c>
    </row>
    <row r="252" spans="1:10" x14ac:dyDescent="0.3">
      <c r="A252">
        <v>250</v>
      </c>
      <c r="B252">
        <v>4002</v>
      </c>
      <c r="C252" t="b">
        <v>1</v>
      </c>
      <c r="D252">
        <v>8060</v>
      </c>
      <c r="E252">
        <v>8140</v>
      </c>
      <c r="F252">
        <v>21.333334000000001</v>
      </c>
      <c r="G252">
        <v>21.8</v>
      </c>
      <c r="H252">
        <v>0.97859335000000003</v>
      </c>
      <c r="I252">
        <v>2.1406663999999999E-2</v>
      </c>
      <c r="J252">
        <v>0.50540960000000001</v>
      </c>
    </row>
    <row r="253" spans="1:10" x14ac:dyDescent="0.3">
      <c r="A253">
        <v>251</v>
      </c>
      <c r="B253">
        <v>4018</v>
      </c>
      <c r="C253" t="b">
        <v>1</v>
      </c>
      <c r="D253">
        <v>8065</v>
      </c>
      <c r="E253">
        <v>8129</v>
      </c>
      <c r="F253">
        <v>21</v>
      </c>
      <c r="G253">
        <v>21.8</v>
      </c>
      <c r="H253">
        <v>0.96330280000000001</v>
      </c>
      <c r="I253">
        <v>3.6697212999999999E-2</v>
      </c>
      <c r="J253">
        <v>0.50934577000000003</v>
      </c>
    </row>
    <row r="254" spans="1:10" x14ac:dyDescent="0.3">
      <c r="A254">
        <v>252</v>
      </c>
      <c r="B254">
        <v>4034</v>
      </c>
      <c r="C254" t="b">
        <v>1</v>
      </c>
      <c r="D254">
        <v>8065</v>
      </c>
      <c r="E254">
        <v>8134</v>
      </c>
      <c r="F254">
        <v>20.666665999999999</v>
      </c>
      <c r="G254">
        <v>21.8</v>
      </c>
      <c r="H254">
        <v>0.94801223000000001</v>
      </c>
      <c r="I254">
        <v>5.1987762999999999E-2</v>
      </c>
      <c r="J254">
        <v>0.51334374999999999</v>
      </c>
    </row>
    <row r="255" spans="1:10" x14ac:dyDescent="0.3">
      <c r="A255">
        <v>253</v>
      </c>
      <c r="B255">
        <v>4049</v>
      </c>
      <c r="C255" t="b">
        <v>1</v>
      </c>
      <c r="D255">
        <v>8065</v>
      </c>
      <c r="E255">
        <v>8123</v>
      </c>
      <c r="F255">
        <v>21</v>
      </c>
      <c r="G255">
        <v>21.4</v>
      </c>
      <c r="H255">
        <v>0.98130839999999997</v>
      </c>
      <c r="I255">
        <v>1.8691571000000001E-2</v>
      </c>
      <c r="J255">
        <v>0.50471692999999995</v>
      </c>
    </row>
    <row r="256" spans="1:10" x14ac:dyDescent="0.3">
      <c r="A256">
        <v>254</v>
      </c>
      <c r="B256">
        <v>4065</v>
      </c>
      <c r="C256" t="b">
        <v>1</v>
      </c>
      <c r="D256">
        <v>8060</v>
      </c>
      <c r="E256">
        <v>8129</v>
      </c>
      <c r="F256">
        <v>21</v>
      </c>
      <c r="G256">
        <v>20.666665999999999</v>
      </c>
      <c r="H256">
        <v>1.0161290000000001</v>
      </c>
      <c r="I256">
        <v>-1.6129062999999999E-2</v>
      </c>
      <c r="J256">
        <v>0.49600001999999999</v>
      </c>
    </row>
    <row r="257" spans="1:10" x14ac:dyDescent="0.3">
      <c r="A257">
        <v>255</v>
      </c>
      <c r="B257">
        <v>4081</v>
      </c>
      <c r="C257" t="b">
        <v>1</v>
      </c>
      <c r="D257">
        <v>8065</v>
      </c>
      <c r="E257">
        <v>8129</v>
      </c>
      <c r="F257">
        <v>21.333334000000001</v>
      </c>
      <c r="G257">
        <v>19.933332</v>
      </c>
      <c r="H257">
        <v>1.0702342</v>
      </c>
      <c r="I257">
        <v>-7.0234194E-2</v>
      </c>
      <c r="J257">
        <v>0.48303713999999998</v>
      </c>
    </row>
    <row r="258" spans="1:10" x14ac:dyDescent="0.3">
      <c r="A258">
        <v>256</v>
      </c>
      <c r="B258">
        <v>4097</v>
      </c>
      <c r="C258" t="b">
        <v>1</v>
      </c>
      <c r="D258">
        <v>8060</v>
      </c>
      <c r="E258">
        <v>8129</v>
      </c>
      <c r="F258">
        <v>21.666665999999999</v>
      </c>
      <c r="G258">
        <v>19.600000000000001</v>
      </c>
      <c r="H258">
        <v>1.1054421999999999</v>
      </c>
      <c r="I258">
        <v>-0.10544212</v>
      </c>
      <c r="J258">
        <v>0.47495959999999998</v>
      </c>
    </row>
    <row r="259" spans="1:10" x14ac:dyDescent="0.3">
      <c r="A259">
        <v>257</v>
      </c>
      <c r="B259">
        <v>4113</v>
      </c>
      <c r="C259" t="b">
        <v>1</v>
      </c>
      <c r="D259">
        <v>8065</v>
      </c>
      <c r="E259">
        <v>8134</v>
      </c>
      <c r="F259">
        <v>22</v>
      </c>
      <c r="G259">
        <v>19.266666000000001</v>
      </c>
      <c r="H259">
        <v>1.1418685</v>
      </c>
      <c r="I259">
        <v>-0.14186852999999999</v>
      </c>
      <c r="J259">
        <v>0.46688204999999999</v>
      </c>
    </row>
    <row r="260" spans="1:10" x14ac:dyDescent="0.3">
      <c r="A260">
        <v>258</v>
      </c>
      <c r="B260">
        <v>4128</v>
      </c>
      <c r="C260" t="b">
        <v>1</v>
      </c>
      <c r="D260">
        <v>8065</v>
      </c>
      <c r="E260">
        <v>8134</v>
      </c>
      <c r="F260">
        <v>22</v>
      </c>
      <c r="G260">
        <v>18.933332</v>
      </c>
      <c r="H260">
        <v>1.1619718999999999</v>
      </c>
      <c r="I260">
        <v>-0.16197188000000001</v>
      </c>
      <c r="J260">
        <v>0.46254070000000003</v>
      </c>
    </row>
    <row r="261" spans="1:10" x14ac:dyDescent="0.3">
      <c r="A261">
        <v>259</v>
      </c>
      <c r="B261">
        <v>4144</v>
      </c>
      <c r="C261" t="b">
        <v>1</v>
      </c>
      <c r="D261">
        <v>8071</v>
      </c>
      <c r="E261">
        <v>8140</v>
      </c>
      <c r="F261">
        <v>22.333334000000001</v>
      </c>
      <c r="G261">
        <v>18.933332</v>
      </c>
      <c r="H261">
        <v>1.1795776</v>
      </c>
      <c r="I261">
        <v>-0.17957756</v>
      </c>
      <c r="J261">
        <v>0.45880451999999999</v>
      </c>
    </row>
    <row r="262" spans="1:10" x14ac:dyDescent="0.3">
      <c r="A262">
        <v>260</v>
      </c>
      <c r="B262">
        <v>4160</v>
      </c>
      <c r="C262" t="b">
        <v>1</v>
      </c>
      <c r="D262">
        <v>8065</v>
      </c>
      <c r="E262">
        <v>8140</v>
      </c>
      <c r="F262">
        <v>22.666665999999999</v>
      </c>
      <c r="G262">
        <v>18.933332</v>
      </c>
      <c r="H262">
        <v>1.1971830999999999</v>
      </c>
      <c r="I262">
        <v>-0.19718311999999999</v>
      </c>
      <c r="J262">
        <v>0.45512819999999998</v>
      </c>
    </row>
    <row r="263" spans="1:10" x14ac:dyDescent="0.3">
      <c r="A263">
        <v>261</v>
      </c>
      <c r="B263">
        <v>4176</v>
      </c>
      <c r="C263" t="b">
        <v>1</v>
      </c>
      <c r="D263">
        <v>8060</v>
      </c>
      <c r="E263">
        <v>8140</v>
      </c>
      <c r="F263">
        <v>23</v>
      </c>
      <c r="G263">
        <v>19.333334000000001</v>
      </c>
      <c r="H263">
        <v>1.1896552</v>
      </c>
      <c r="I263">
        <v>-0.18965514</v>
      </c>
      <c r="J263">
        <v>0.45669290000000001</v>
      </c>
    </row>
    <row r="264" spans="1:10" x14ac:dyDescent="0.3">
      <c r="A264">
        <v>262</v>
      </c>
      <c r="B264">
        <v>4192</v>
      </c>
      <c r="C264" t="b">
        <v>1</v>
      </c>
      <c r="D264">
        <v>8054</v>
      </c>
      <c r="E264">
        <v>8134</v>
      </c>
      <c r="F264">
        <v>23.333334000000001</v>
      </c>
      <c r="G264">
        <v>19.733333999999999</v>
      </c>
      <c r="H264">
        <v>1.1824323999999999</v>
      </c>
      <c r="I264">
        <v>-0.18243244</v>
      </c>
      <c r="J264">
        <v>0.45820435999999998</v>
      </c>
    </row>
    <row r="265" spans="1:10" x14ac:dyDescent="0.3">
      <c r="A265">
        <v>263</v>
      </c>
      <c r="B265">
        <v>4208</v>
      </c>
      <c r="C265" t="b">
        <v>1</v>
      </c>
      <c r="D265">
        <v>8054</v>
      </c>
      <c r="E265">
        <v>8134</v>
      </c>
      <c r="F265">
        <v>23.333334000000001</v>
      </c>
      <c r="G265">
        <v>20.133333</v>
      </c>
      <c r="H265">
        <v>1.1589404000000001</v>
      </c>
      <c r="I265">
        <v>-0.15894042999999999</v>
      </c>
      <c r="J265">
        <v>0.46319017000000001</v>
      </c>
    </row>
    <row r="266" spans="1:10" x14ac:dyDescent="0.3">
      <c r="A266">
        <v>264</v>
      </c>
      <c r="B266">
        <v>4224</v>
      </c>
      <c r="C266" t="b">
        <v>1</v>
      </c>
      <c r="D266">
        <v>8060</v>
      </c>
      <c r="E266">
        <v>8134</v>
      </c>
      <c r="F266">
        <v>23.333334000000001</v>
      </c>
      <c r="G266">
        <v>19.733333999999999</v>
      </c>
      <c r="H266">
        <v>1.1824323999999999</v>
      </c>
      <c r="I266">
        <v>-0.18243244</v>
      </c>
      <c r="J266">
        <v>0.45820435999999998</v>
      </c>
    </row>
    <row r="267" spans="1:10" x14ac:dyDescent="0.3">
      <c r="A267">
        <v>265</v>
      </c>
      <c r="B267">
        <v>4240</v>
      </c>
      <c r="C267" t="b">
        <v>1</v>
      </c>
      <c r="D267">
        <v>8060</v>
      </c>
      <c r="E267">
        <v>8134</v>
      </c>
      <c r="F267">
        <v>23.333334000000001</v>
      </c>
      <c r="G267">
        <v>19.333334000000001</v>
      </c>
      <c r="H267">
        <v>1.2068965</v>
      </c>
      <c r="I267">
        <v>-0.20689653999999999</v>
      </c>
      <c r="J267">
        <v>0.453125</v>
      </c>
    </row>
    <row r="268" spans="1:10" x14ac:dyDescent="0.3">
      <c r="A268">
        <v>266</v>
      </c>
      <c r="B268">
        <v>4255</v>
      </c>
      <c r="C268" t="b">
        <v>1</v>
      </c>
      <c r="D268">
        <v>8065</v>
      </c>
      <c r="E268">
        <v>8134</v>
      </c>
      <c r="F268">
        <v>23.333334000000001</v>
      </c>
      <c r="G268">
        <v>18.933332</v>
      </c>
      <c r="H268">
        <v>1.2323945000000001</v>
      </c>
      <c r="I268">
        <v>-0.23239446</v>
      </c>
      <c r="J268">
        <v>0.4479495</v>
      </c>
    </row>
    <row r="269" spans="1:10" x14ac:dyDescent="0.3">
      <c r="A269">
        <v>267</v>
      </c>
      <c r="B269">
        <v>4271</v>
      </c>
      <c r="C269" t="b">
        <v>1</v>
      </c>
      <c r="D269">
        <v>8054</v>
      </c>
      <c r="E269">
        <v>8140</v>
      </c>
      <c r="F269">
        <v>23.333334000000001</v>
      </c>
      <c r="G269">
        <v>18.533332999999999</v>
      </c>
      <c r="H269">
        <v>1.2589929</v>
      </c>
      <c r="I269">
        <v>-0.25899287999999998</v>
      </c>
      <c r="J269">
        <v>0.44267509999999999</v>
      </c>
    </row>
    <row r="270" spans="1:10" x14ac:dyDescent="0.3">
      <c r="A270">
        <v>268</v>
      </c>
      <c r="B270">
        <v>4288</v>
      </c>
      <c r="C270" t="b">
        <v>1</v>
      </c>
      <c r="D270">
        <v>8060</v>
      </c>
      <c r="E270">
        <v>8140</v>
      </c>
      <c r="F270">
        <v>23</v>
      </c>
      <c r="G270">
        <v>18.533332999999999</v>
      </c>
      <c r="H270">
        <v>1.2410072000000001</v>
      </c>
      <c r="I270">
        <v>-0.24100721999999999</v>
      </c>
      <c r="J270">
        <v>0.44622790000000001</v>
      </c>
    </row>
    <row r="271" spans="1:10" x14ac:dyDescent="0.3">
      <c r="A271">
        <v>269</v>
      </c>
      <c r="B271">
        <v>4304</v>
      </c>
      <c r="C271" t="b">
        <v>1</v>
      </c>
      <c r="D271">
        <v>8060</v>
      </c>
      <c r="E271">
        <v>8140</v>
      </c>
      <c r="F271">
        <v>22.666665999999999</v>
      </c>
      <c r="G271">
        <v>19.266666000000001</v>
      </c>
      <c r="H271">
        <v>1.1764705</v>
      </c>
      <c r="I271">
        <v>-0.17647057999999999</v>
      </c>
      <c r="J271">
        <v>0.45945944999999999</v>
      </c>
    </row>
    <row r="272" spans="1:10" x14ac:dyDescent="0.3">
      <c r="A272">
        <v>270</v>
      </c>
      <c r="B272">
        <v>4319</v>
      </c>
      <c r="C272" t="b">
        <v>1</v>
      </c>
      <c r="D272">
        <v>8060</v>
      </c>
      <c r="E272">
        <v>8123</v>
      </c>
      <c r="F272">
        <v>22.333334000000001</v>
      </c>
      <c r="G272">
        <v>20</v>
      </c>
      <c r="H272">
        <v>1.1166666999999999</v>
      </c>
      <c r="I272">
        <v>-0.1166667</v>
      </c>
      <c r="J272">
        <v>0.47244092999999998</v>
      </c>
    </row>
    <row r="273" spans="1:10" x14ac:dyDescent="0.3">
      <c r="A273">
        <v>271</v>
      </c>
      <c r="B273">
        <v>4335</v>
      </c>
      <c r="C273" t="b">
        <v>1</v>
      </c>
      <c r="D273">
        <v>8065</v>
      </c>
      <c r="E273">
        <v>8129</v>
      </c>
      <c r="F273">
        <v>22</v>
      </c>
      <c r="G273">
        <v>20.733333999999999</v>
      </c>
      <c r="H273">
        <v>1.0610932</v>
      </c>
      <c r="I273">
        <v>-6.1093234000000003E-2</v>
      </c>
      <c r="J273">
        <v>0.48517941999999997</v>
      </c>
    </row>
    <row r="274" spans="1:10" x14ac:dyDescent="0.3">
      <c r="A274">
        <v>272</v>
      </c>
      <c r="B274">
        <v>4351</v>
      </c>
      <c r="C274" t="b">
        <v>1</v>
      </c>
      <c r="D274">
        <v>8065</v>
      </c>
      <c r="E274">
        <v>8134</v>
      </c>
      <c r="F274">
        <v>21.666665999999999</v>
      </c>
      <c r="G274">
        <v>21.066668</v>
      </c>
      <c r="H274">
        <v>1.0284808999999999</v>
      </c>
      <c r="I274">
        <v>-2.848094E-2</v>
      </c>
      <c r="J274">
        <v>0.49297974</v>
      </c>
    </row>
    <row r="275" spans="1:10" x14ac:dyDescent="0.3">
      <c r="A275">
        <v>273</v>
      </c>
      <c r="B275">
        <v>4367</v>
      </c>
      <c r="C275" t="b">
        <v>1</v>
      </c>
      <c r="D275">
        <v>8060</v>
      </c>
      <c r="E275">
        <v>8129</v>
      </c>
      <c r="F275">
        <v>21.333334000000001</v>
      </c>
      <c r="G275">
        <v>21.066668</v>
      </c>
      <c r="H275">
        <v>1.0126582</v>
      </c>
      <c r="I275">
        <v>-1.2658215E-2</v>
      </c>
      <c r="J275">
        <v>0.49685534999999997</v>
      </c>
    </row>
    <row r="276" spans="1:10" x14ac:dyDescent="0.3">
      <c r="A276">
        <v>274</v>
      </c>
      <c r="B276">
        <v>4382</v>
      </c>
      <c r="C276" t="b">
        <v>1</v>
      </c>
      <c r="D276">
        <v>8060</v>
      </c>
      <c r="E276">
        <v>8129</v>
      </c>
      <c r="F276">
        <v>21</v>
      </c>
      <c r="G276">
        <v>20.733333999999999</v>
      </c>
      <c r="H276">
        <v>1.0128617</v>
      </c>
      <c r="I276">
        <v>-1.2861724E-2</v>
      </c>
      <c r="J276">
        <v>0.4968051</v>
      </c>
    </row>
    <row r="277" spans="1:10" x14ac:dyDescent="0.3">
      <c r="A277">
        <v>275</v>
      </c>
      <c r="B277">
        <v>4398</v>
      </c>
      <c r="C277" t="b">
        <v>1</v>
      </c>
      <c r="D277">
        <v>8060</v>
      </c>
      <c r="E277">
        <v>8134</v>
      </c>
      <c r="F277">
        <v>20.666665999999999</v>
      </c>
      <c r="G277">
        <v>20.399999999999999</v>
      </c>
      <c r="H277">
        <v>1.0130718999999999</v>
      </c>
      <c r="I277">
        <v>-1.3071883499999999E-2</v>
      </c>
      <c r="J277">
        <v>0.49675324999999998</v>
      </c>
    </row>
    <row r="278" spans="1:10" x14ac:dyDescent="0.3">
      <c r="A278">
        <v>276</v>
      </c>
      <c r="B278">
        <v>4414</v>
      </c>
      <c r="C278" t="b">
        <v>1</v>
      </c>
      <c r="D278">
        <v>8060</v>
      </c>
      <c r="E278">
        <v>8134</v>
      </c>
      <c r="F278">
        <v>20.333334000000001</v>
      </c>
      <c r="G278">
        <v>20</v>
      </c>
      <c r="H278">
        <v>1.0166667</v>
      </c>
      <c r="I278">
        <v>-1.66667E-2</v>
      </c>
      <c r="J278">
        <v>0.49586773000000001</v>
      </c>
    </row>
    <row r="279" spans="1:10" x14ac:dyDescent="0.3">
      <c r="A279">
        <v>277</v>
      </c>
      <c r="B279">
        <v>4430</v>
      </c>
      <c r="C279" t="b">
        <v>1</v>
      </c>
      <c r="D279">
        <v>8060</v>
      </c>
      <c r="E279">
        <v>8140</v>
      </c>
      <c r="F279">
        <v>20</v>
      </c>
      <c r="G279">
        <v>19.600000000000001</v>
      </c>
      <c r="H279">
        <v>1.0204082000000001</v>
      </c>
      <c r="I279">
        <v>-2.0408144E-2</v>
      </c>
      <c r="J279">
        <v>0.49494951999999998</v>
      </c>
    </row>
    <row r="280" spans="1:10" x14ac:dyDescent="0.3">
      <c r="A280">
        <v>278</v>
      </c>
      <c r="B280">
        <v>4446</v>
      </c>
      <c r="C280" t="b">
        <v>1</v>
      </c>
      <c r="D280">
        <v>8060</v>
      </c>
      <c r="E280">
        <v>8134</v>
      </c>
      <c r="F280">
        <v>20</v>
      </c>
      <c r="G280">
        <v>19.2</v>
      </c>
      <c r="H280">
        <v>1.0416666000000001</v>
      </c>
      <c r="I280">
        <v>-4.1666626999999998E-2</v>
      </c>
      <c r="J280">
        <v>0.48979592</v>
      </c>
    </row>
    <row r="281" spans="1:10" x14ac:dyDescent="0.3">
      <c r="A281">
        <v>279</v>
      </c>
      <c r="B281">
        <v>4462</v>
      </c>
      <c r="C281" t="b">
        <v>1</v>
      </c>
      <c r="D281">
        <v>8065</v>
      </c>
      <c r="E281">
        <v>8134</v>
      </c>
      <c r="F281">
        <v>20</v>
      </c>
      <c r="G281">
        <v>19.2</v>
      </c>
      <c r="H281">
        <v>1.0416666000000001</v>
      </c>
      <c r="I281">
        <v>-4.1666626999999998E-2</v>
      </c>
      <c r="J281">
        <v>0.48979592</v>
      </c>
    </row>
    <row r="282" spans="1:10" x14ac:dyDescent="0.3">
      <c r="A282">
        <v>280</v>
      </c>
      <c r="B282">
        <v>4477</v>
      </c>
      <c r="C282" t="b">
        <v>1</v>
      </c>
      <c r="D282">
        <v>8065</v>
      </c>
      <c r="E282">
        <v>8134</v>
      </c>
      <c r="F282">
        <v>20</v>
      </c>
      <c r="G282">
        <v>19.2</v>
      </c>
      <c r="H282">
        <v>1.0416666000000001</v>
      </c>
      <c r="I282">
        <v>-4.1666626999999998E-2</v>
      </c>
      <c r="J282">
        <v>0.48979592</v>
      </c>
    </row>
    <row r="283" spans="1:10" x14ac:dyDescent="0.3">
      <c r="A283">
        <v>281</v>
      </c>
      <c r="B283">
        <v>4493</v>
      </c>
      <c r="C283" t="b">
        <v>1</v>
      </c>
      <c r="D283">
        <v>8065</v>
      </c>
      <c r="E283">
        <v>8134</v>
      </c>
      <c r="F283">
        <v>20.333334000000001</v>
      </c>
      <c r="G283">
        <v>19.2</v>
      </c>
      <c r="H283">
        <v>1.0590278</v>
      </c>
      <c r="I283">
        <v>-5.902777E-2</v>
      </c>
      <c r="J283">
        <v>0.48566612999999997</v>
      </c>
    </row>
    <row r="284" spans="1:10" x14ac:dyDescent="0.3">
      <c r="A284">
        <v>282</v>
      </c>
      <c r="B284">
        <v>4509</v>
      </c>
      <c r="C284" t="b">
        <v>1</v>
      </c>
      <c r="D284">
        <v>8065</v>
      </c>
      <c r="E284">
        <v>8129</v>
      </c>
      <c r="F284">
        <v>20.666665999999999</v>
      </c>
      <c r="G284">
        <v>19.2</v>
      </c>
      <c r="H284">
        <v>1.0763887999999999</v>
      </c>
      <c r="I284">
        <v>-7.6388810000000001E-2</v>
      </c>
      <c r="J284">
        <v>0.48160534999999999</v>
      </c>
    </row>
    <row r="285" spans="1:10" x14ac:dyDescent="0.3">
      <c r="A285">
        <v>283</v>
      </c>
      <c r="B285">
        <v>4525</v>
      </c>
      <c r="C285" t="b">
        <v>1</v>
      </c>
      <c r="D285">
        <v>8060</v>
      </c>
      <c r="E285">
        <v>8140</v>
      </c>
      <c r="F285">
        <v>21</v>
      </c>
      <c r="G285">
        <v>19.2</v>
      </c>
      <c r="H285">
        <v>1.09375</v>
      </c>
      <c r="I285">
        <v>-9.3749954999999996E-2</v>
      </c>
      <c r="J285">
        <v>0.47761196</v>
      </c>
    </row>
    <row r="286" spans="1:10" x14ac:dyDescent="0.3">
      <c r="A286">
        <v>284</v>
      </c>
      <c r="B286">
        <v>4541</v>
      </c>
      <c r="C286" t="b">
        <v>1</v>
      </c>
      <c r="D286">
        <v>8060</v>
      </c>
      <c r="E286">
        <v>8140</v>
      </c>
      <c r="F286">
        <v>21.333334000000001</v>
      </c>
      <c r="G286">
        <v>18.8</v>
      </c>
      <c r="H286">
        <v>1.1347518000000001</v>
      </c>
      <c r="I286">
        <v>-0.13475186</v>
      </c>
      <c r="J286">
        <v>0.46843854000000001</v>
      </c>
    </row>
    <row r="287" spans="1:10" x14ac:dyDescent="0.3">
      <c r="A287">
        <v>285</v>
      </c>
      <c r="B287">
        <v>4557</v>
      </c>
      <c r="C287" t="b">
        <v>1</v>
      </c>
      <c r="D287">
        <v>8060</v>
      </c>
      <c r="E287">
        <v>8140</v>
      </c>
      <c r="F287">
        <v>21.333334000000001</v>
      </c>
      <c r="G287">
        <v>18.8</v>
      </c>
      <c r="H287">
        <v>1.1347518000000001</v>
      </c>
      <c r="I287">
        <v>-0.13475186</v>
      </c>
      <c r="J287">
        <v>0.46843854000000001</v>
      </c>
    </row>
    <row r="288" spans="1:10" x14ac:dyDescent="0.3">
      <c r="A288">
        <v>286</v>
      </c>
      <c r="B288">
        <v>4573</v>
      </c>
      <c r="C288" t="b">
        <v>1</v>
      </c>
      <c r="D288">
        <v>8065</v>
      </c>
      <c r="E288">
        <v>8140</v>
      </c>
      <c r="F288">
        <v>21.333334000000001</v>
      </c>
      <c r="G288">
        <v>18.8</v>
      </c>
      <c r="H288">
        <v>1.1347518000000001</v>
      </c>
      <c r="I288">
        <v>-0.13475186</v>
      </c>
      <c r="J288">
        <v>0.46843854000000001</v>
      </c>
    </row>
    <row r="289" spans="1:10" x14ac:dyDescent="0.3">
      <c r="A289">
        <v>287</v>
      </c>
      <c r="B289">
        <v>4589</v>
      </c>
      <c r="C289" t="b">
        <v>1</v>
      </c>
      <c r="D289">
        <v>8060</v>
      </c>
      <c r="E289">
        <v>8140</v>
      </c>
      <c r="F289">
        <v>21.333334000000001</v>
      </c>
      <c r="G289">
        <v>19.2</v>
      </c>
      <c r="H289">
        <v>1.111111</v>
      </c>
      <c r="I289">
        <v>-0.1111111</v>
      </c>
      <c r="J289">
        <v>0.47368421999999999</v>
      </c>
    </row>
    <row r="290" spans="1:10" x14ac:dyDescent="0.3">
      <c r="A290">
        <v>288</v>
      </c>
      <c r="B290">
        <v>4605</v>
      </c>
      <c r="C290" t="b">
        <v>1</v>
      </c>
      <c r="D290">
        <v>8054</v>
      </c>
      <c r="E290">
        <v>8140</v>
      </c>
      <c r="F290">
        <v>21.333334000000001</v>
      </c>
      <c r="G290">
        <v>19.933332</v>
      </c>
      <c r="H290">
        <v>1.0702342</v>
      </c>
      <c r="I290">
        <v>-7.0234194E-2</v>
      </c>
      <c r="J290">
        <v>0.48303713999999998</v>
      </c>
    </row>
    <row r="291" spans="1:10" x14ac:dyDescent="0.3">
      <c r="A291">
        <v>289</v>
      </c>
      <c r="B291">
        <v>4621</v>
      </c>
      <c r="C291" t="b">
        <v>1</v>
      </c>
      <c r="D291">
        <v>8054</v>
      </c>
      <c r="E291">
        <v>8129</v>
      </c>
      <c r="F291">
        <v>21.333334000000001</v>
      </c>
      <c r="G291">
        <v>20.666665999999999</v>
      </c>
      <c r="H291">
        <v>1.0322582</v>
      </c>
      <c r="I291">
        <v>-3.2258126999999998E-2</v>
      </c>
      <c r="J291">
        <v>0.49206346000000001</v>
      </c>
    </row>
    <row r="292" spans="1:10" x14ac:dyDescent="0.3">
      <c r="A292">
        <v>290</v>
      </c>
      <c r="B292">
        <v>4637</v>
      </c>
      <c r="C292" t="b">
        <v>1</v>
      </c>
      <c r="D292">
        <v>8048</v>
      </c>
      <c r="E292">
        <v>8134</v>
      </c>
      <c r="F292">
        <v>20.933332</v>
      </c>
      <c r="G292">
        <v>21.4</v>
      </c>
      <c r="H292">
        <v>0.97819310000000004</v>
      </c>
      <c r="I292">
        <v>2.1806876999999999E-2</v>
      </c>
      <c r="J292">
        <v>0.50551179999999996</v>
      </c>
    </row>
    <row r="293" spans="1:10" x14ac:dyDescent="0.3">
      <c r="A293">
        <v>291</v>
      </c>
      <c r="B293">
        <v>4653</v>
      </c>
      <c r="C293" t="b">
        <v>1</v>
      </c>
      <c r="D293">
        <v>8054</v>
      </c>
      <c r="E293">
        <v>8140</v>
      </c>
      <c r="F293">
        <v>20.533332999999999</v>
      </c>
      <c r="G293">
        <v>21.8</v>
      </c>
      <c r="H293">
        <v>0.94189599999999996</v>
      </c>
      <c r="I293">
        <v>5.8103966999999999E-2</v>
      </c>
      <c r="J293">
        <v>0.51496065000000002</v>
      </c>
    </row>
    <row r="294" spans="1:10" x14ac:dyDescent="0.3">
      <c r="A294">
        <v>292</v>
      </c>
      <c r="B294">
        <v>4669</v>
      </c>
      <c r="C294" t="b">
        <v>1</v>
      </c>
      <c r="D294">
        <v>8054</v>
      </c>
      <c r="E294">
        <v>8140</v>
      </c>
      <c r="F294">
        <v>20.133333</v>
      </c>
      <c r="G294">
        <v>22.2</v>
      </c>
      <c r="H294">
        <v>0.90690683999999999</v>
      </c>
      <c r="I294">
        <v>9.3093129999999996E-2</v>
      </c>
      <c r="J294">
        <v>0.52440940000000003</v>
      </c>
    </row>
    <row r="295" spans="1:10" x14ac:dyDescent="0.3">
      <c r="A295">
        <v>293</v>
      </c>
      <c r="B295">
        <v>4685</v>
      </c>
      <c r="C295" t="b">
        <v>1</v>
      </c>
      <c r="D295">
        <v>8054</v>
      </c>
      <c r="E295">
        <v>8140</v>
      </c>
      <c r="F295">
        <v>19.733333999999999</v>
      </c>
      <c r="G295">
        <v>22.6</v>
      </c>
      <c r="H295">
        <v>0.8731563</v>
      </c>
      <c r="I295">
        <v>0.12684366</v>
      </c>
      <c r="J295">
        <v>0.53385824000000004</v>
      </c>
    </row>
    <row r="296" spans="1:10" x14ac:dyDescent="0.3">
      <c r="A296">
        <v>294</v>
      </c>
      <c r="B296">
        <v>4700</v>
      </c>
      <c r="C296" t="b">
        <v>1</v>
      </c>
      <c r="D296">
        <v>8054</v>
      </c>
      <c r="E296">
        <v>8129</v>
      </c>
      <c r="F296">
        <v>19.333334000000001</v>
      </c>
      <c r="G296">
        <v>23</v>
      </c>
      <c r="H296">
        <v>0.84057974999999996</v>
      </c>
      <c r="I296">
        <v>0.15942027</v>
      </c>
      <c r="J296">
        <v>0.54330707</v>
      </c>
    </row>
    <row r="297" spans="1:10" x14ac:dyDescent="0.3">
      <c r="A297">
        <v>295</v>
      </c>
      <c r="B297">
        <v>4716</v>
      </c>
      <c r="C297" t="b">
        <v>1</v>
      </c>
      <c r="D297">
        <v>8060</v>
      </c>
      <c r="E297">
        <v>8134</v>
      </c>
      <c r="F297">
        <v>18.933332</v>
      </c>
      <c r="G297">
        <v>23.4</v>
      </c>
      <c r="H297">
        <v>0.80911679999999997</v>
      </c>
      <c r="I297">
        <v>0.19088321999999999</v>
      </c>
      <c r="J297">
        <v>0.55275589999999997</v>
      </c>
    </row>
    <row r="298" spans="1:10" x14ac:dyDescent="0.3">
      <c r="A298">
        <v>296</v>
      </c>
      <c r="B298">
        <v>4732</v>
      </c>
      <c r="C298" t="b">
        <v>1</v>
      </c>
      <c r="D298">
        <v>8060</v>
      </c>
      <c r="E298">
        <v>8129</v>
      </c>
      <c r="F298">
        <v>18.2</v>
      </c>
      <c r="G298">
        <v>23.4</v>
      </c>
      <c r="H298">
        <v>0.77777784999999999</v>
      </c>
      <c r="I298">
        <v>0.22222217999999999</v>
      </c>
      <c r="J298">
        <v>0.5625</v>
      </c>
    </row>
    <row r="299" spans="1:10" x14ac:dyDescent="0.3">
      <c r="A299">
        <v>297</v>
      </c>
      <c r="B299">
        <v>4748</v>
      </c>
      <c r="C299" t="b">
        <v>1</v>
      </c>
      <c r="D299">
        <v>8060</v>
      </c>
      <c r="E299">
        <v>8134</v>
      </c>
      <c r="F299">
        <v>17.866667</v>
      </c>
      <c r="G299">
        <v>23.4</v>
      </c>
      <c r="H299">
        <v>0.76353276000000003</v>
      </c>
      <c r="I299">
        <v>0.23646721000000001</v>
      </c>
      <c r="J299">
        <v>0.56704359999999998</v>
      </c>
    </row>
    <row r="300" spans="1:10" x14ac:dyDescent="0.3">
      <c r="A300">
        <v>298</v>
      </c>
      <c r="B300">
        <v>4764</v>
      </c>
      <c r="C300" t="b">
        <v>1</v>
      </c>
      <c r="D300">
        <v>8060</v>
      </c>
      <c r="E300">
        <v>8129</v>
      </c>
      <c r="F300">
        <v>17.533332999999999</v>
      </c>
      <c r="G300">
        <v>23.066668</v>
      </c>
      <c r="H300">
        <v>0.76011556000000002</v>
      </c>
      <c r="I300">
        <v>0.23988445</v>
      </c>
      <c r="J300">
        <v>0.56814456000000002</v>
      </c>
    </row>
    <row r="301" spans="1:10" x14ac:dyDescent="0.3">
      <c r="A301">
        <v>299</v>
      </c>
      <c r="B301">
        <v>4780</v>
      </c>
      <c r="C301" t="b">
        <v>1</v>
      </c>
      <c r="D301">
        <v>8060</v>
      </c>
      <c r="E301">
        <v>8129</v>
      </c>
      <c r="F301">
        <v>17.2</v>
      </c>
      <c r="G301">
        <v>22.733333999999999</v>
      </c>
      <c r="H301">
        <v>0.75659829999999995</v>
      </c>
      <c r="I301">
        <v>0.24340174000000001</v>
      </c>
      <c r="J301">
        <v>0.56928210000000001</v>
      </c>
    </row>
    <row r="302" spans="1:10" x14ac:dyDescent="0.3">
      <c r="A302">
        <v>300</v>
      </c>
      <c r="B302">
        <v>4796</v>
      </c>
      <c r="C302" t="b">
        <v>1</v>
      </c>
      <c r="D302">
        <v>8060</v>
      </c>
      <c r="E302">
        <v>8129</v>
      </c>
      <c r="F302">
        <v>17.2</v>
      </c>
      <c r="G302">
        <v>22</v>
      </c>
      <c r="H302">
        <v>0.78181820000000002</v>
      </c>
      <c r="I302">
        <v>0.21818178999999999</v>
      </c>
      <c r="J302">
        <v>0.56122446000000004</v>
      </c>
    </row>
    <row r="303" spans="1:10" x14ac:dyDescent="0.3">
      <c r="A303">
        <v>301</v>
      </c>
      <c r="B303">
        <v>4812</v>
      </c>
      <c r="C303" t="b">
        <v>1</v>
      </c>
      <c r="D303">
        <v>8060</v>
      </c>
      <c r="E303">
        <v>8129</v>
      </c>
      <c r="F303">
        <v>17.2</v>
      </c>
      <c r="G303">
        <v>21.266666000000001</v>
      </c>
      <c r="H303">
        <v>0.80877745000000001</v>
      </c>
      <c r="I303">
        <v>0.19122252000000001</v>
      </c>
      <c r="J303">
        <v>0.55285960000000001</v>
      </c>
    </row>
    <row r="304" spans="1:10" x14ac:dyDescent="0.3">
      <c r="A304">
        <v>302</v>
      </c>
      <c r="B304">
        <v>4827</v>
      </c>
      <c r="C304" t="b">
        <v>1</v>
      </c>
      <c r="D304">
        <v>8060</v>
      </c>
      <c r="E304">
        <v>8129</v>
      </c>
      <c r="F304">
        <v>17.2</v>
      </c>
      <c r="G304">
        <v>20.533332999999999</v>
      </c>
      <c r="H304">
        <v>0.83766240000000003</v>
      </c>
      <c r="I304">
        <v>0.1623376</v>
      </c>
      <c r="J304">
        <v>0.54416960000000003</v>
      </c>
    </row>
    <row r="305" spans="1:10" x14ac:dyDescent="0.3">
      <c r="A305">
        <v>303</v>
      </c>
      <c r="B305">
        <v>4844</v>
      </c>
      <c r="C305" t="b">
        <v>1</v>
      </c>
      <c r="D305">
        <v>8065</v>
      </c>
      <c r="E305">
        <v>8129</v>
      </c>
      <c r="F305">
        <v>17.2</v>
      </c>
      <c r="G305">
        <v>19.8</v>
      </c>
      <c r="H305">
        <v>0.86868690000000004</v>
      </c>
      <c r="I305">
        <v>0.13131306000000001</v>
      </c>
      <c r="J305">
        <v>0.53513509999999997</v>
      </c>
    </row>
    <row r="306" spans="1:10" x14ac:dyDescent="0.3">
      <c r="A306">
        <v>304</v>
      </c>
      <c r="B306">
        <v>4859</v>
      </c>
      <c r="C306" t="b">
        <v>1</v>
      </c>
      <c r="D306">
        <v>8060</v>
      </c>
      <c r="E306">
        <v>8134</v>
      </c>
      <c r="F306">
        <v>17.2</v>
      </c>
      <c r="G306">
        <v>19.066668</v>
      </c>
      <c r="H306">
        <v>0.90209790000000001</v>
      </c>
      <c r="I306">
        <v>9.7902100000000006E-2</v>
      </c>
      <c r="J306">
        <v>0.52573526000000004</v>
      </c>
    </row>
    <row r="307" spans="1:10" x14ac:dyDescent="0.3">
      <c r="A307">
        <v>305</v>
      </c>
      <c r="B307">
        <v>4875</v>
      </c>
      <c r="C307" t="b">
        <v>1</v>
      </c>
      <c r="D307">
        <v>8060</v>
      </c>
      <c r="E307">
        <v>8129</v>
      </c>
      <c r="F307">
        <v>17.600000000000001</v>
      </c>
      <c r="G307">
        <v>18.333334000000001</v>
      </c>
      <c r="H307">
        <v>0.96</v>
      </c>
      <c r="I307">
        <v>4.0000014E-2</v>
      </c>
      <c r="J307">
        <v>0.51020410000000005</v>
      </c>
    </row>
    <row r="308" spans="1:10" x14ac:dyDescent="0.3">
      <c r="A308">
        <v>306</v>
      </c>
      <c r="B308">
        <v>4891</v>
      </c>
      <c r="C308" t="b">
        <v>1</v>
      </c>
      <c r="D308">
        <v>8060</v>
      </c>
      <c r="E308">
        <v>8123</v>
      </c>
      <c r="F308">
        <v>18</v>
      </c>
      <c r="G308">
        <v>17.600000000000001</v>
      </c>
      <c r="H308">
        <v>1.0227272999999999</v>
      </c>
      <c r="I308">
        <v>-2.2727251E-2</v>
      </c>
      <c r="J308">
        <v>0.49438205000000002</v>
      </c>
    </row>
    <row r="309" spans="1:10" x14ac:dyDescent="0.3">
      <c r="A309">
        <v>307</v>
      </c>
      <c r="B309">
        <v>4907</v>
      </c>
      <c r="C309" t="b">
        <v>1</v>
      </c>
      <c r="D309">
        <v>8054</v>
      </c>
      <c r="E309">
        <v>8134</v>
      </c>
      <c r="F309">
        <v>18.399999999999999</v>
      </c>
      <c r="G309">
        <v>16.866667</v>
      </c>
      <c r="H309">
        <v>1.0909089999999999</v>
      </c>
      <c r="I309">
        <v>-9.090906E-2</v>
      </c>
      <c r="J309">
        <v>0.47826087</v>
      </c>
    </row>
    <row r="310" spans="1:10" x14ac:dyDescent="0.3">
      <c r="A310">
        <v>308</v>
      </c>
      <c r="B310">
        <v>4923</v>
      </c>
      <c r="C310" t="b">
        <v>1</v>
      </c>
      <c r="D310">
        <v>8060</v>
      </c>
      <c r="E310">
        <v>8134</v>
      </c>
      <c r="F310">
        <v>18.8</v>
      </c>
      <c r="G310">
        <v>16.466667000000001</v>
      </c>
      <c r="H310">
        <v>1.1417002999999999</v>
      </c>
      <c r="I310">
        <v>-0.14170033000000001</v>
      </c>
      <c r="J310">
        <v>0.46691874</v>
      </c>
    </row>
    <row r="311" spans="1:10" x14ac:dyDescent="0.3">
      <c r="A311">
        <v>309</v>
      </c>
      <c r="B311">
        <v>4938</v>
      </c>
      <c r="C311" t="b">
        <v>1</v>
      </c>
      <c r="D311">
        <v>8060</v>
      </c>
      <c r="E311">
        <v>8140</v>
      </c>
      <c r="F311">
        <v>19.2</v>
      </c>
      <c r="G311">
        <v>16.066668</v>
      </c>
      <c r="H311">
        <v>1.1950206999999999</v>
      </c>
      <c r="I311">
        <v>-0.19502074</v>
      </c>
      <c r="J311">
        <v>0.45557653999999997</v>
      </c>
    </row>
    <row r="312" spans="1:10" x14ac:dyDescent="0.3">
      <c r="A312">
        <v>310</v>
      </c>
      <c r="B312">
        <v>4954</v>
      </c>
      <c r="C312" t="b">
        <v>1</v>
      </c>
      <c r="D312">
        <v>8060</v>
      </c>
      <c r="E312">
        <v>8134</v>
      </c>
      <c r="F312">
        <v>19.600000000000001</v>
      </c>
      <c r="G312">
        <v>15.666667</v>
      </c>
      <c r="H312">
        <v>1.2510638000000001</v>
      </c>
      <c r="I312">
        <v>-0.25106381999999999</v>
      </c>
      <c r="J312">
        <v>0.44423443000000001</v>
      </c>
    </row>
    <row r="313" spans="1:10" x14ac:dyDescent="0.3">
      <c r="A313">
        <v>311</v>
      </c>
      <c r="B313">
        <v>4970</v>
      </c>
      <c r="C313" t="b">
        <v>1</v>
      </c>
      <c r="D313">
        <v>8065</v>
      </c>
      <c r="E313">
        <v>8134</v>
      </c>
      <c r="F313">
        <v>20</v>
      </c>
      <c r="G313">
        <v>15.666667</v>
      </c>
      <c r="H313">
        <v>1.2765957000000001</v>
      </c>
      <c r="I313">
        <v>-0.2765957</v>
      </c>
      <c r="J313">
        <v>0.43925231999999997</v>
      </c>
    </row>
    <row r="314" spans="1:10" x14ac:dyDescent="0.3">
      <c r="A314">
        <v>312</v>
      </c>
      <c r="B314">
        <v>4986</v>
      </c>
      <c r="C314" t="b">
        <v>1</v>
      </c>
      <c r="D314">
        <v>8054</v>
      </c>
      <c r="E314">
        <v>8140</v>
      </c>
      <c r="F314">
        <v>20</v>
      </c>
      <c r="G314">
        <v>15.666667</v>
      </c>
      <c r="H314">
        <v>1.2765957000000001</v>
      </c>
      <c r="I314">
        <v>-0.2765957</v>
      </c>
      <c r="J314">
        <v>0.43925231999999997</v>
      </c>
    </row>
    <row r="315" spans="1:10" x14ac:dyDescent="0.3">
      <c r="A315">
        <v>313</v>
      </c>
      <c r="B315">
        <v>5002</v>
      </c>
      <c r="C315" t="b">
        <v>1</v>
      </c>
      <c r="D315">
        <v>8060</v>
      </c>
      <c r="E315">
        <v>8134</v>
      </c>
      <c r="F315">
        <v>20</v>
      </c>
      <c r="G315">
        <v>16</v>
      </c>
      <c r="H315">
        <v>1.25</v>
      </c>
      <c r="I315">
        <v>-0.25</v>
      </c>
      <c r="J315">
        <v>0.44444444999999999</v>
      </c>
    </row>
    <row r="316" spans="1:10" x14ac:dyDescent="0.3">
      <c r="A316">
        <v>314</v>
      </c>
      <c r="B316">
        <v>5017</v>
      </c>
      <c r="C316" t="b">
        <v>1</v>
      </c>
      <c r="D316">
        <v>8060</v>
      </c>
      <c r="E316">
        <v>8134</v>
      </c>
      <c r="F316">
        <v>20</v>
      </c>
      <c r="G316">
        <v>16.333334000000001</v>
      </c>
      <c r="H316">
        <v>1.2244896999999999</v>
      </c>
      <c r="I316">
        <v>-0.22448974999999999</v>
      </c>
      <c r="J316">
        <v>0.44954126999999999</v>
      </c>
    </row>
    <row r="317" spans="1:10" x14ac:dyDescent="0.3">
      <c r="A317">
        <v>315</v>
      </c>
      <c r="B317">
        <v>5033</v>
      </c>
      <c r="C317" t="b">
        <v>1</v>
      </c>
      <c r="D317">
        <v>8060</v>
      </c>
      <c r="E317">
        <v>8140</v>
      </c>
      <c r="F317">
        <v>20</v>
      </c>
      <c r="G317">
        <v>16.666665999999999</v>
      </c>
      <c r="H317">
        <v>1.2</v>
      </c>
      <c r="I317">
        <v>-0.20000005000000001</v>
      </c>
      <c r="J317">
        <v>0.45454547000000001</v>
      </c>
    </row>
    <row r="318" spans="1:10" x14ac:dyDescent="0.3">
      <c r="A318">
        <v>316</v>
      </c>
      <c r="B318">
        <v>5049</v>
      </c>
      <c r="C318" t="b">
        <v>1</v>
      </c>
      <c r="D318">
        <v>8060</v>
      </c>
      <c r="E318">
        <v>8140</v>
      </c>
      <c r="F318">
        <v>20</v>
      </c>
      <c r="G318">
        <v>17.399999999999999</v>
      </c>
      <c r="H318">
        <v>1.1494253000000001</v>
      </c>
      <c r="I318">
        <v>-0.14942531000000001</v>
      </c>
      <c r="J318">
        <v>0.4652406</v>
      </c>
    </row>
    <row r="319" spans="1:10" x14ac:dyDescent="0.3">
      <c r="A319">
        <v>317</v>
      </c>
      <c r="B319">
        <v>5065</v>
      </c>
      <c r="C319" t="b">
        <v>1</v>
      </c>
      <c r="D319">
        <v>8054</v>
      </c>
      <c r="E319">
        <v>8129</v>
      </c>
      <c r="F319">
        <v>20</v>
      </c>
      <c r="G319">
        <v>17.733333999999999</v>
      </c>
      <c r="H319">
        <v>1.1278195</v>
      </c>
      <c r="I319">
        <v>-0.12781954000000001</v>
      </c>
      <c r="J319">
        <v>0.46996464999999998</v>
      </c>
    </row>
    <row r="320" spans="1:10" x14ac:dyDescent="0.3">
      <c r="A320">
        <v>318</v>
      </c>
      <c r="B320">
        <v>5081</v>
      </c>
      <c r="C320" t="b">
        <v>1</v>
      </c>
      <c r="D320">
        <v>8060</v>
      </c>
      <c r="E320">
        <v>8134</v>
      </c>
      <c r="F320">
        <v>20</v>
      </c>
      <c r="G320">
        <v>18.066668</v>
      </c>
      <c r="H320">
        <v>1.107011</v>
      </c>
      <c r="I320">
        <v>-0.10701101</v>
      </c>
      <c r="J320">
        <v>0.47460597999999998</v>
      </c>
    </row>
    <row r="321" spans="1:10" x14ac:dyDescent="0.3">
      <c r="A321">
        <v>319</v>
      </c>
      <c r="B321">
        <v>5097</v>
      </c>
      <c r="C321" t="b">
        <v>1</v>
      </c>
      <c r="D321">
        <v>8060</v>
      </c>
      <c r="E321">
        <v>8140</v>
      </c>
      <c r="F321">
        <v>20</v>
      </c>
      <c r="G321">
        <v>18.8</v>
      </c>
      <c r="H321">
        <v>1.0638297999999999</v>
      </c>
      <c r="I321">
        <v>-6.3829830000000004E-2</v>
      </c>
      <c r="J321">
        <v>0.48453607999999998</v>
      </c>
    </row>
    <row r="322" spans="1:10" x14ac:dyDescent="0.3">
      <c r="A322">
        <v>320</v>
      </c>
      <c r="B322">
        <v>5113</v>
      </c>
      <c r="C322" t="b">
        <v>1</v>
      </c>
      <c r="D322">
        <v>8060</v>
      </c>
      <c r="E322">
        <v>8140</v>
      </c>
      <c r="F322">
        <v>20</v>
      </c>
      <c r="G322">
        <v>19.533332999999999</v>
      </c>
      <c r="H322">
        <v>1.0238909</v>
      </c>
      <c r="I322">
        <v>-2.3890812000000001E-2</v>
      </c>
      <c r="J322">
        <v>0.49409779999999998</v>
      </c>
    </row>
    <row r="323" spans="1:10" x14ac:dyDescent="0.3">
      <c r="A323">
        <v>321</v>
      </c>
      <c r="B323">
        <v>5129</v>
      </c>
      <c r="C323" t="b">
        <v>1</v>
      </c>
      <c r="D323">
        <v>8060</v>
      </c>
      <c r="E323">
        <v>8134</v>
      </c>
      <c r="F323">
        <v>20</v>
      </c>
      <c r="G323">
        <v>19.866667</v>
      </c>
      <c r="H323">
        <v>1.0067113999999999</v>
      </c>
      <c r="I323">
        <v>-6.7114030000000003E-3</v>
      </c>
      <c r="J323">
        <v>0.49832773000000002</v>
      </c>
    </row>
    <row r="324" spans="1:10" x14ac:dyDescent="0.3">
      <c r="A324">
        <v>322</v>
      </c>
      <c r="B324">
        <v>5144</v>
      </c>
      <c r="C324" t="b">
        <v>1</v>
      </c>
      <c r="D324">
        <v>8060</v>
      </c>
      <c r="E324">
        <v>8129</v>
      </c>
      <c r="F324">
        <v>20</v>
      </c>
      <c r="G324">
        <v>20.2</v>
      </c>
      <c r="H324">
        <v>0.99009895000000003</v>
      </c>
      <c r="I324">
        <v>9.9010269999999997E-3</v>
      </c>
      <c r="J324">
        <v>0.50248760000000003</v>
      </c>
    </row>
    <row r="325" spans="1:10" x14ac:dyDescent="0.3">
      <c r="A325">
        <v>323</v>
      </c>
      <c r="B325">
        <v>5160</v>
      </c>
      <c r="C325" t="b">
        <v>1</v>
      </c>
      <c r="D325">
        <v>8065</v>
      </c>
      <c r="E325">
        <v>8129</v>
      </c>
      <c r="F325">
        <v>20</v>
      </c>
      <c r="G325">
        <v>20.2</v>
      </c>
      <c r="H325">
        <v>0.99009895000000003</v>
      </c>
      <c r="I325">
        <v>9.9010269999999997E-3</v>
      </c>
      <c r="J325">
        <v>0.50248760000000003</v>
      </c>
    </row>
    <row r="326" spans="1:10" x14ac:dyDescent="0.3">
      <c r="A326">
        <v>324</v>
      </c>
      <c r="B326">
        <v>5176</v>
      </c>
      <c r="C326" t="b">
        <v>1</v>
      </c>
      <c r="D326">
        <v>8065</v>
      </c>
      <c r="E326">
        <v>8140</v>
      </c>
      <c r="F326">
        <v>20</v>
      </c>
      <c r="G326">
        <v>20.2</v>
      </c>
      <c r="H326">
        <v>0.99009895000000003</v>
      </c>
      <c r="I326">
        <v>9.9010269999999997E-3</v>
      </c>
      <c r="J326">
        <v>0.50248760000000003</v>
      </c>
    </row>
    <row r="327" spans="1:10" x14ac:dyDescent="0.3">
      <c r="A327">
        <v>325</v>
      </c>
      <c r="B327">
        <v>5192</v>
      </c>
      <c r="C327" t="b">
        <v>1</v>
      </c>
      <c r="D327">
        <v>8065</v>
      </c>
      <c r="E327">
        <v>8134</v>
      </c>
      <c r="F327">
        <v>20.333334000000001</v>
      </c>
      <c r="G327">
        <v>20.2</v>
      </c>
      <c r="H327">
        <v>1.0066006000000001</v>
      </c>
      <c r="I327">
        <v>-6.6006538E-3</v>
      </c>
      <c r="J327">
        <v>0.4983553</v>
      </c>
    </row>
    <row r="328" spans="1:10" x14ac:dyDescent="0.3">
      <c r="A328">
        <v>326</v>
      </c>
      <c r="B328">
        <v>5208</v>
      </c>
      <c r="C328" t="b">
        <v>1</v>
      </c>
      <c r="D328">
        <v>8060</v>
      </c>
      <c r="E328">
        <v>8134</v>
      </c>
      <c r="F328">
        <v>20.666665999999999</v>
      </c>
      <c r="G328">
        <v>20.2</v>
      </c>
      <c r="H328">
        <v>1.0231022999999999</v>
      </c>
      <c r="I328">
        <v>-2.310224E-2</v>
      </c>
      <c r="J328">
        <v>0.49429037999999997</v>
      </c>
    </row>
    <row r="329" spans="1:10" x14ac:dyDescent="0.3">
      <c r="A329">
        <v>327</v>
      </c>
      <c r="B329">
        <v>5224</v>
      </c>
      <c r="C329" t="b">
        <v>1</v>
      </c>
      <c r="D329">
        <v>8060</v>
      </c>
      <c r="E329">
        <v>8134</v>
      </c>
      <c r="F329">
        <v>21</v>
      </c>
      <c r="G329">
        <v>20.2</v>
      </c>
      <c r="H329">
        <v>1.039604</v>
      </c>
      <c r="I329">
        <v>-3.9603922999999999E-2</v>
      </c>
      <c r="J329">
        <v>0.49029127</v>
      </c>
    </row>
    <row r="330" spans="1:10" x14ac:dyDescent="0.3">
      <c r="A330">
        <v>328</v>
      </c>
      <c r="B330">
        <v>5240</v>
      </c>
      <c r="C330" t="b">
        <v>1</v>
      </c>
      <c r="D330">
        <v>8060</v>
      </c>
      <c r="E330">
        <v>8129</v>
      </c>
      <c r="F330">
        <v>21</v>
      </c>
      <c r="G330">
        <v>20.2</v>
      </c>
      <c r="H330">
        <v>1.039604</v>
      </c>
      <c r="I330">
        <v>-3.9603922999999999E-2</v>
      </c>
      <c r="J330">
        <v>0.49029127</v>
      </c>
    </row>
    <row r="331" spans="1:10" x14ac:dyDescent="0.3">
      <c r="A331">
        <v>329</v>
      </c>
      <c r="B331">
        <v>5255</v>
      </c>
      <c r="C331" t="b">
        <v>1</v>
      </c>
      <c r="D331">
        <v>8060</v>
      </c>
      <c r="E331">
        <v>8134</v>
      </c>
      <c r="F331">
        <v>21</v>
      </c>
      <c r="G331">
        <v>20.2</v>
      </c>
      <c r="H331">
        <v>1.039604</v>
      </c>
      <c r="I331">
        <v>-3.9603922999999999E-2</v>
      </c>
      <c r="J331">
        <v>0.49029127</v>
      </c>
    </row>
    <row r="332" spans="1:10" x14ac:dyDescent="0.3">
      <c r="A332">
        <v>330</v>
      </c>
      <c r="B332">
        <v>5271</v>
      </c>
      <c r="C332" t="b">
        <v>1</v>
      </c>
      <c r="D332">
        <v>8065</v>
      </c>
      <c r="E332">
        <v>8134</v>
      </c>
      <c r="F332">
        <v>21</v>
      </c>
      <c r="G332">
        <v>20.2</v>
      </c>
      <c r="H332">
        <v>1.039604</v>
      </c>
      <c r="I332">
        <v>-3.9603922999999999E-2</v>
      </c>
      <c r="J332">
        <v>0.49029127</v>
      </c>
    </row>
    <row r="333" spans="1:10" x14ac:dyDescent="0.3">
      <c r="A333">
        <v>331</v>
      </c>
      <c r="B333">
        <v>5287</v>
      </c>
      <c r="C333" t="b">
        <v>1</v>
      </c>
      <c r="D333">
        <v>8060</v>
      </c>
      <c r="E333">
        <v>8134</v>
      </c>
      <c r="F333">
        <v>21</v>
      </c>
      <c r="G333">
        <v>19.8</v>
      </c>
      <c r="H333">
        <v>1.0606061</v>
      </c>
      <c r="I333">
        <v>-6.0606100000000003E-2</v>
      </c>
      <c r="J333">
        <v>0.48529410000000001</v>
      </c>
    </row>
    <row r="334" spans="1:10" x14ac:dyDescent="0.3">
      <c r="A334">
        <v>332</v>
      </c>
      <c r="B334">
        <v>5303</v>
      </c>
      <c r="C334" t="b">
        <v>1</v>
      </c>
      <c r="D334">
        <v>8065</v>
      </c>
      <c r="E334">
        <v>8134</v>
      </c>
      <c r="F334">
        <v>21</v>
      </c>
      <c r="G334">
        <v>19.8</v>
      </c>
      <c r="H334">
        <v>1.0606061</v>
      </c>
      <c r="I334">
        <v>-6.0606100000000003E-2</v>
      </c>
      <c r="J334">
        <v>0.48529410000000001</v>
      </c>
    </row>
    <row r="335" spans="1:10" x14ac:dyDescent="0.3">
      <c r="A335">
        <v>333</v>
      </c>
      <c r="B335">
        <v>5319</v>
      </c>
      <c r="C335" t="b">
        <v>1</v>
      </c>
      <c r="D335">
        <v>8065</v>
      </c>
      <c r="E335">
        <v>8140</v>
      </c>
      <c r="F335">
        <v>21.333334000000001</v>
      </c>
      <c r="G335">
        <v>19.8</v>
      </c>
      <c r="H335">
        <v>1.0774410999999999</v>
      </c>
      <c r="I335">
        <v>-7.744115E-2</v>
      </c>
      <c r="J335">
        <v>0.48136141999999998</v>
      </c>
    </row>
    <row r="336" spans="1:10" x14ac:dyDescent="0.3">
      <c r="A336">
        <v>334</v>
      </c>
      <c r="B336">
        <v>5334</v>
      </c>
      <c r="C336" t="b">
        <v>1</v>
      </c>
      <c r="D336">
        <v>8060</v>
      </c>
      <c r="E336">
        <v>8140</v>
      </c>
      <c r="F336">
        <v>21.666665999999999</v>
      </c>
      <c r="G336">
        <v>19.399999999999999</v>
      </c>
      <c r="H336">
        <v>1.1168385000000001</v>
      </c>
      <c r="I336">
        <v>-0.11683847999999999</v>
      </c>
      <c r="J336">
        <v>0.47240260000000001</v>
      </c>
    </row>
    <row r="337" spans="1:10" x14ac:dyDescent="0.3">
      <c r="A337">
        <v>335</v>
      </c>
      <c r="B337">
        <v>5350</v>
      </c>
      <c r="C337" t="b">
        <v>1</v>
      </c>
      <c r="D337">
        <v>8060</v>
      </c>
      <c r="E337">
        <v>8140</v>
      </c>
      <c r="F337">
        <v>21.666665999999999</v>
      </c>
      <c r="G337">
        <v>19.399999999999999</v>
      </c>
      <c r="H337">
        <v>1.1168385000000001</v>
      </c>
      <c r="I337">
        <v>-0.11683847999999999</v>
      </c>
      <c r="J337">
        <v>0.47240260000000001</v>
      </c>
    </row>
    <row r="338" spans="1:10" x14ac:dyDescent="0.3">
      <c r="A338">
        <v>336</v>
      </c>
      <c r="B338">
        <v>5366</v>
      </c>
      <c r="C338" t="b">
        <v>1</v>
      </c>
      <c r="D338">
        <v>8060</v>
      </c>
      <c r="E338">
        <v>8140</v>
      </c>
      <c r="F338">
        <v>21.666665999999999</v>
      </c>
      <c r="G338">
        <v>19.8</v>
      </c>
      <c r="H338">
        <v>1.0942761000000001</v>
      </c>
      <c r="I338">
        <v>-9.4276109999999996E-2</v>
      </c>
      <c r="J338">
        <v>0.47749195</v>
      </c>
    </row>
    <row r="339" spans="1:10" x14ac:dyDescent="0.3">
      <c r="A339">
        <v>337</v>
      </c>
      <c r="B339">
        <v>5382</v>
      </c>
      <c r="C339" t="b">
        <v>1</v>
      </c>
      <c r="D339">
        <v>8060</v>
      </c>
      <c r="E339">
        <v>8140</v>
      </c>
      <c r="F339">
        <v>21.666665999999999</v>
      </c>
      <c r="G339">
        <v>20.2</v>
      </c>
      <c r="H339">
        <v>1.0726072</v>
      </c>
      <c r="I339">
        <v>-7.2607190000000002E-2</v>
      </c>
      <c r="J339">
        <v>0.48248406999999999</v>
      </c>
    </row>
    <row r="340" spans="1:10" x14ac:dyDescent="0.3">
      <c r="A340">
        <v>338</v>
      </c>
      <c r="B340">
        <v>5398</v>
      </c>
      <c r="C340" t="b">
        <v>1</v>
      </c>
      <c r="D340">
        <v>8060</v>
      </c>
      <c r="E340">
        <v>8134</v>
      </c>
      <c r="F340">
        <v>21.666665999999999</v>
      </c>
      <c r="G340">
        <v>20.6</v>
      </c>
      <c r="H340">
        <v>1.0517799000000001</v>
      </c>
      <c r="I340">
        <v>-5.1779884999999998E-2</v>
      </c>
      <c r="J340">
        <v>0.48738173000000001</v>
      </c>
    </row>
    <row r="341" spans="1:10" x14ac:dyDescent="0.3">
      <c r="A341">
        <v>339</v>
      </c>
      <c r="B341">
        <v>5414</v>
      </c>
      <c r="C341" t="b">
        <v>1</v>
      </c>
      <c r="D341">
        <v>8060</v>
      </c>
      <c r="E341">
        <v>8129</v>
      </c>
      <c r="F341">
        <v>21.666665999999999</v>
      </c>
      <c r="G341">
        <v>21</v>
      </c>
      <c r="H341">
        <v>1.0317460000000001</v>
      </c>
      <c r="I341">
        <v>-3.1746000000000003E-2</v>
      </c>
      <c r="J341">
        <v>0.49218752999999998</v>
      </c>
    </row>
    <row r="342" spans="1:10" x14ac:dyDescent="0.3">
      <c r="A342">
        <v>340</v>
      </c>
      <c r="B342">
        <v>5430</v>
      </c>
      <c r="C342" t="b">
        <v>1</v>
      </c>
      <c r="D342">
        <v>8054</v>
      </c>
      <c r="E342">
        <v>8129</v>
      </c>
      <c r="F342">
        <v>21.333334000000001</v>
      </c>
      <c r="G342">
        <v>21</v>
      </c>
      <c r="H342">
        <v>1.0158731000000001</v>
      </c>
      <c r="I342">
        <v>-1.5873047000000001E-2</v>
      </c>
      <c r="J342">
        <v>0.49606296</v>
      </c>
    </row>
    <row r="343" spans="1:10" x14ac:dyDescent="0.3">
      <c r="A343">
        <v>341</v>
      </c>
      <c r="B343">
        <v>5446</v>
      </c>
      <c r="C343" t="b">
        <v>1</v>
      </c>
      <c r="D343">
        <v>8060</v>
      </c>
      <c r="E343">
        <v>8134</v>
      </c>
      <c r="F343">
        <v>21</v>
      </c>
      <c r="G343">
        <v>21</v>
      </c>
      <c r="H343">
        <v>1</v>
      </c>
      <c r="I343">
        <v>0</v>
      </c>
      <c r="J343">
        <v>0.5</v>
      </c>
    </row>
    <row r="344" spans="1:10" x14ac:dyDescent="0.3">
      <c r="A344">
        <v>342</v>
      </c>
      <c r="B344">
        <v>5462</v>
      </c>
      <c r="C344" t="b">
        <v>1</v>
      </c>
      <c r="D344">
        <v>8060</v>
      </c>
      <c r="E344">
        <v>8129</v>
      </c>
      <c r="F344">
        <v>20.666665999999999</v>
      </c>
      <c r="G344">
        <v>20.666665999999999</v>
      </c>
      <c r="H344">
        <v>1</v>
      </c>
      <c r="I344">
        <v>0</v>
      </c>
      <c r="J344">
        <v>0.5</v>
      </c>
    </row>
    <row r="345" spans="1:10" x14ac:dyDescent="0.3">
      <c r="A345">
        <v>343</v>
      </c>
      <c r="B345">
        <v>5478</v>
      </c>
      <c r="C345" t="b">
        <v>1</v>
      </c>
      <c r="D345">
        <v>8060</v>
      </c>
      <c r="E345">
        <v>8129</v>
      </c>
      <c r="F345">
        <v>20.666665999999999</v>
      </c>
      <c r="G345">
        <v>20.333334000000001</v>
      </c>
      <c r="H345">
        <v>1.0163933999999999</v>
      </c>
      <c r="I345">
        <v>-1.6393379999999999E-2</v>
      </c>
      <c r="J345">
        <v>0.49593495999999998</v>
      </c>
    </row>
    <row r="346" spans="1:10" x14ac:dyDescent="0.3">
      <c r="A346">
        <v>344</v>
      </c>
      <c r="B346">
        <v>5493</v>
      </c>
      <c r="C346" t="b">
        <v>1</v>
      </c>
      <c r="D346">
        <v>8060</v>
      </c>
      <c r="E346">
        <v>8140</v>
      </c>
      <c r="F346">
        <v>20.666665999999999</v>
      </c>
      <c r="G346">
        <v>20</v>
      </c>
      <c r="H346">
        <v>1.0333333</v>
      </c>
      <c r="I346">
        <v>-3.3333300000000003E-2</v>
      </c>
      <c r="J346">
        <v>0.49180331999999999</v>
      </c>
    </row>
    <row r="347" spans="1:10" x14ac:dyDescent="0.3">
      <c r="A347">
        <v>345</v>
      </c>
      <c r="B347">
        <v>5509</v>
      </c>
      <c r="C347" t="b">
        <v>1</v>
      </c>
      <c r="D347">
        <v>8065</v>
      </c>
      <c r="E347">
        <v>8140</v>
      </c>
      <c r="F347">
        <v>20.666665999999999</v>
      </c>
      <c r="G347">
        <v>20</v>
      </c>
      <c r="H347">
        <v>1.0333333</v>
      </c>
      <c r="I347">
        <v>-3.3333300000000003E-2</v>
      </c>
      <c r="J347">
        <v>0.49180331999999999</v>
      </c>
    </row>
    <row r="348" spans="1:10" x14ac:dyDescent="0.3">
      <c r="A348">
        <v>346</v>
      </c>
      <c r="B348">
        <v>5525</v>
      </c>
      <c r="C348" t="b">
        <v>1</v>
      </c>
      <c r="D348">
        <v>8060</v>
      </c>
      <c r="E348">
        <v>8134</v>
      </c>
      <c r="F348">
        <v>20.666665999999999</v>
      </c>
      <c r="G348">
        <v>20</v>
      </c>
      <c r="H348">
        <v>1.0333333</v>
      </c>
      <c r="I348">
        <v>-3.3333300000000003E-2</v>
      </c>
      <c r="J348">
        <v>0.49180331999999999</v>
      </c>
    </row>
    <row r="349" spans="1:10" x14ac:dyDescent="0.3">
      <c r="A349">
        <v>347</v>
      </c>
      <c r="B349">
        <v>5541</v>
      </c>
      <c r="C349" t="b">
        <v>1</v>
      </c>
      <c r="D349">
        <v>8060</v>
      </c>
      <c r="E349">
        <v>8140</v>
      </c>
      <c r="F349">
        <v>20.666665999999999</v>
      </c>
      <c r="G349">
        <v>20.399999999999999</v>
      </c>
      <c r="H349">
        <v>1.0130718999999999</v>
      </c>
      <c r="I349">
        <v>-1.3071883499999999E-2</v>
      </c>
      <c r="J349">
        <v>0.49675324999999998</v>
      </c>
    </row>
    <row r="350" spans="1:10" x14ac:dyDescent="0.3">
      <c r="A350">
        <v>348</v>
      </c>
      <c r="B350">
        <v>5557</v>
      </c>
      <c r="C350" t="b">
        <v>1</v>
      </c>
      <c r="D350">
        <v>8054</v>
      </c>
      <c r="E350">
        <v>8134</v>
      </c>
      <c r="F350">
        <v>20.333334000000001</v>
      </c>
      <c r="G350">
        <v>20.8</v>
      </c>
      <c r="H350">
        <v>0.97756416000000002</v>
      </c>
      <c r="I350">
        <v>2.243583E-2</v>
      </c>
      <c r="J350">
        <v>0.50567262999999996</v>
      </c>
    </row>
    <row r="351" spans="1:10" x14ac:dyDescent="0.3">
      <c r="A351">
        <v>349</v>
      </c>
      <c r="B351">
        <v>5573</v>
      </c>
      <c r="C351" t="b">
        <v>1</v>
      </c>
      <c r="D351">
        <v>8060</v>
      </c>
      <c r="E351">
        <v>8140</v>
      </c>
      <c r="F351">
        <v>20</v>
      </c>
      <c r="G351">
        <v>21.2</v>
      </c>
      <c r="H351">
        <v>0.94339620000000002</v>
      </c>
      <c r="I351">
        <v>5.6603807999999999E-2</v>
      </c>
      <c r="J351">
        <v>0.51456314000000003</v>
      </c>
    </row>
    <row r="352" spans="1:10" x14ac:dyDescent="0.3">
      <c r="A352">
        <v>350</v>
      </c>
      <c r="B352">
        <v>5589</v>
      </c>
      <c r="C352" t="b">
        <v>1</v>
      </c>
      <c r="D352">
        <v>8060</v>
      </c>
      <c r="E352">
        <v>8134</v>
      </c>
      <c r="F352">
        <v>20</v>
      </c>
      <c r="G352">
        <v>20.8</v>
      </c>
      <c r="H352">
        <v>0.96153849999999996</v>
      </c>
      <c r="I352">
        <v>3.8461503000000001E-2</v>
      </c>
      <c r="J352">
        <v>0.50980389999999998</v>
      </c>
    </row>
    <row r="353" spans="1:10" x14ac:dyDescent="0.3">
      <c r="A353">
        <v>351</v>
      </c>
      <c r="B353">
        <v>5605</v>
      </c>
      <c r="C353" t="b">
        <v>1</v>
      </c>
      <c r="D353">
        <v>8065</v>
      </c>
      <c r="E353">
        <v>8134</v>
      </c>
      <c r="F353">
        <v>20</v>
      </c>
      <c r="G353">
        <v>20.399999999999999</v>
      </c>
      <c r="H353">
        <v>0.98039215999999996</v>
      </c>
      <c r="I353">
        <v>1.9607824999999999E-2</v>
      </c>
      <c r="J353">
        <v>0.50495045999999999</v>
      </c>
    </row>
    <row r="354" spans="1:10" x14ac:dyDescent="0.3">
      <c r="A354">
        <v>352</v>
      </c>
      <c r="B354">
        <v>5620</v>
      </c>
      <c r="C354" t="b">
        <v>1</v>
      </c>
      <c r="D354">
        <v>8060</v>
      </c>
      <c r="E354">
        <v>8134</v>
      </c>
      <c r="F354">
        <v>20</v>
      </c>
      <c r="G354">
        <v>20</v>
      </c>
      <c r="H354">
        <v>1</v>
      </c>
      <c r="I354">
        <v>0</v>
      </c>
      <c r="J354">
        <v>0.5</v>
      </c>
    </row>
    <row r="355" spans="1:10" x14ac:dyDescent="0.3">
      <c r="A355">
        <v>353</v>
      </c>
      <c r="B355">
        <v>5636</v>
      </c>
      <c r="C355" t="b">
        <v>1</v>
      </c>
      <c r="D355">
        <v>8065</v>
      </c>
      <c r="E355">
        <v>8134</v>
      </c>
      <c r="F355">
        <v>20</v>
      </c>
      <c r="G355">
        <v>19.600000000000001</v>
      </c>
      <c r="H355">
        <v>1.0204082000000001</v>
      </c>
      <c r="I355">
        <v>-2.0408144E-2</v>
      </c>
      <c r="J355">
        <v>0.49494951999999998</v>
      </c>
    </row>
    <row r="356" spans="1:10" x14ac:dyDescent="0.3">
      <c r="A356">
        <v>354</v>
      </c>
      <c r="B356">
        <v>5652</v>
      </c>
      <c r="C356" t="b">
        <v>1</v>
      </c>
      <c r="D356">
        <v>8065</v>
      </c>
      <c r="E356">
        <v>8134</v>
      </c>
      <c r="F356">
        <v>20.333334000000001</v>
      </c>
      <c r="G356">
        <v>19.2</v>
      </c>
      <c r="H356">
        <v>1.0590278</v>
      </c>
      <c r="I356">
        <v>-5.902777E-2</v>
      </c>
      <c r="J356">
        <v>0.48566612999999997</v>
      </c>
    </row>
    <row r="357" spans="1:10" x14ac:dyDescent="0.3">
      <c r="A357">
        <v>355</v>
      </c>
      <c r="B357">
        <v>5668</v>
      </c>
      <c r="C357" t="b">
        <v>1</v>
      </c>
      <c r="D357">
        <v>8065</v>
      </c>
      <c r="E357">
        <v>8134</v>
      </c>
      <c r="F357">
        <v>20.666665999999999</v>
      </c>
      <c r="G357">
        <v>19.2</v>
      </c>
      <c r="H357">
        <v>1.0763887999999999</v>
      </c>
      <c r="I357">
        <v>-7.6388810000000001E-2</v>
      </c>
      <c r="J357">
        <v>0.48160534999999999</v>
      </c>
    </row>
    <row r="358" spans="1:10" x14ac:dyDescent="0.3">
      <c r="A358">
        <v>356</v>
      </c>
      <c r="B358">
        <v>5684</v>
      </c>
      <c r="C358" t="b">
        <v>1</v>
      </c>
      <c r="D358">
        <v>8065</v>
      </c>
      <c r="E358">
        <v>8134</v>
      </c>
      <c r="F358">
        <v>21</v>
      </c>
      <c r="G358">
        <v>19.2</v>
      </c>
      <c r="H358">
        <v>1.09375</v>
      </c>
      <c r="I358">
        <v>-9.3749954999999996E-2</v>
      </c>
      <c r="J358">
        <v>0.47761196</v>
      </c>
    </row>
    <row r="359" spans="1:10" x14ac:dyDescent="0.3">
      <c r="A359">
        <v>357</v>
      </c>
      <c r="B359">
        <v>5699</v>
      </c>
      <c r="C359" t="b">
        <v>1</v>
      </c>
      <c r="D359">
        <v>8060</v>
      </c>
      <c r="E359">
        <v>8129</v>
      </c>
      <c r="F359">
        <v>21.333334000000001</v>
      </c>
      <c r="G359">
        <v>19.533332999999999</v>
      </c>
      <c r="H359">
        <v>1.0921502000000001</v>
      </c>
      <c r="I359">
        <v>-9.215023E-2</v>
      </c>
      <c r="J359">
        <v>0.47797712999999997</v>
      </c>
    </row>
    <row r="360" spans="1:10" x14ac:dyDescent="0.3">
      <c r="A360">
        <v>358</v>
      </c>
      <c r="B360">
        <v>5715</v>
      </c>
      <c r="C360" t="b">
        <v>1</v>
      </c>
      <c r="D360">
        <v>8054</v>
      </c>
      <c r="E360">
        <v>8129</v>
      </c>
      <c r="F360">
        <v>21.666665999999999</v>
      </c>
      <c r="G360">
        <v>19.866667</v>
      </c>
      <c r="H360">
        <v>1.0906039999999999</v>
      </c>
      <c r="I360">
        <v>-9.0603984999999998E-2</v>
      </c>
      <c r="J360">
        <v>0.47833067000000001</v>
      </c>
    </row>
    <row r="361" spans="1:10" x14ac:dyDescent="0.3">
      <c r="A361">
        <v>359</v>
      </c>
      <c r="B361">
        <v>5731</v>
      </c>
      <c r="C361" t="b">
        <v>1</v>
      </c>
      <c r="D361">
        <v>8060</v>
      </c>
      <c r="E361">
        <v>8134</v>
      </c>
      <c r="F361">
        <v>21.666665999999999</v>
      </c>
      <c r="G361">
        <v>20.2</v>
      </c>
      <c r="H361">
        <v>1.0726072</v>
      </c>
      <c r="I361">
        <v>-7.2607190000000002E-2</v>
      </c>
      <c r="J361">
        <v>0.48248406999999999</v>
      </c>
    </row>
    <row r="362" spans="1:10" x14ac:dyDescent="0.3">
      <c r="A362">
        <v>360</v>
      </c>
      <c r="B362">
        <v>5747</v>
      </c>
      <c r="C362" t="b">
        <v>1</v>
      </c>
      <c r="D362">
        <v>8060</v>
      </c>
      <c r="E362">
        <v>8129</v>
      </c>
      <c r="F362">
        <v>21.666665999999999</v>
      </c>
      <c r="G362">
        <v>19.866667</v>
      </c>
      <c r="H362">
        <v>1.0906039999999999</v>
      </c>
      <c r="I362">
        <v>-9.0603984999999998E-2</v>
      </c>
      <c r="J362">
        <v>0.47833067000000001</v>
      </c>
    </row>
    <row r="363" spans="1:10" x14ac:dyDescent="0.3">
      <c r="A363">
        <v>361</v>
      </c>
      <c r="B363">
        <v>5763</v>
      </c>
      <c r="C363" t="b">
        <v>1</v>
      </c>
      <c r="D363">
        <v>8060</v>
      </c>
      <c r="E363">
        <v>8134</v>
      </c>
      <c r="F363">
        <v>21.666665999999999</v>
      </c>
      <c r="G363">
        <v>19.533332999999999</v>
      </c>
      <c r="H363">
        <v>1.1092150000000001</v>
      </c>
      <c r="I363">
        <v>-0.10921501</v>
      </c>
      <c r="J363">
        <v>0.47411006999999999</v>
      </c>
    </row>
    <row r="364" spans="1:10" x14ac:dyDescent="0.3">
      <c r="A364">
        <v>362</v>
      </c>
      <c r="B364">
        <v>5779</v>
      </c>
      <c r="C364" t="b">
        <v>1</v>
      </c>
      <c r="D364">
        <v>8065</v>
      </c>
      <c r="E364">
        <v>8129</v>
      </c>
      <c r="F364">
        <v>21.666665999999999</v>
      </c>
      <c r="G364">
        <v>18.8</v>
      </c>
      <c r="H364">
        <v>1.1524823</v>
      </c>
      <c r="I364">
        <v>-0.15248228999999999</v>
      </c>
      <c r="J364">
        <v>0.46457988</v>
      </c>
    </row>
    <row r="365" spans="1:10" x14ac:dyDescent="0.3">
      <c r="A365">
        <v>363</v>
      </c>
      <c r="B365">
        <v>5795</v>
      </c>
      <c r="C365" t="b">
        <v>1</v>
      </c>
      <c r="D365">
        <v>8060</v>
      </c>
      <c r="E365">
        <v>8134</v>
      </c>
      <c r="F365">
        <v>21.666665999999999</v>
      </c>
      <c r="G365">
        <v>18.399999999999999</v>
      </c>
      <c r="H365">
        <v>1.1775362</v>
      </c>
      <c r="I365">
        <v>-0.17753621999999999</v>
      </c>
      <c r="J365">
        <v>0.45923462999999998</v>
      </c>
    </row>
    <row r="366" spans="1:10" x14ac:dyDescent="0.3">
      <c r="A366">
        <v>364</v>
      </c>
      <c r="B366">
        <v>5810</v>
      </c>
      <c r="C366" t="b">
        <v>1</v>
      </c>
      <c r="D366">
        <v>8060</v>
      </c>
      <c r="E366">
        <v>8134</v>
      </c>
      <c r="F366">
        <v>21.666665999999999</v>
      </c>
      <c r="G366">
        <v>18</v>
      </c>
      <c r="H366">
        <v>1.2037036000000001</v>
      </c>
      <c r="I366">
        <v>-0.20370367</v>
      </c>
      <c r="J366">
        <v>0.45378154999999998</v>
      </c>
    </row>
    <row r="367" spans="1:10" x14ac:dyDescent="0.3">
      <c r="A367">
        <v>365</v>
      </c>
      <c r="B367">
        <v>5826</v>
      </c>
      <c r="C367" t="b">
        <v>1</v>
      </c>
      <c r="D367">
        <v>8060</v>
      </c>
      <c r="E367">
        <v>8134</v>
      </c>
      <c r="F367">
        <v>21.666665999999999</v>
      </c>
      <c r="G367">
        <v>18</v>
      </c>
      <c r="H367">
        <v>1.2037036000000001</v>
      </c>
      <c r="I367">
        <v>-0.20370367</v>
      </c>
      <c r="J367">
        <v>0.45378154999999998</v>
      </c>
    </row>
    <row r="368" spans="1:10" x14ac:dyDescent="0.3">
      <c r="A368">
        <v>366</v>
      </c>
      <c r="B368">
        <v>5842</v>
      </c>
      <c r="C368" t="b">
        <v>1</v>
      </c>
      <c r="D368">
        <v>8065</v>
      </c>
      <c r="E368">
        <v>8129</v>
      </c>
      <c r="F368">
        <v>21.666665999999999</v>
      </c>
      <c r="G368">
        <v>18</v>
      </c>
      <c r="H368">
        <v>1.2037036000000001</v>
      </c>
      <c r="I368">
        <v>-0.20370367</v>
      </c>
      <c r="J368">
        <v>0.45378154999999998</v>
      </c>
    </row>
    <row r="369" spans="1:10" x14ac:dyDescent="0.3">
      <c r="A369">
        <v>367</v>
      </c>
      <c r="B369">
        <v>5858</v>
      </c>
      <c r="C369" t="b">
        <v>1</v>
      </c>
      <c r="D369">
        <v>8060</v>
      </c>
      <c r="E369">
        <v>8134</v>
      </c>
      <c r="F369">
        <v>21.666665999999999</v>
      </c>
      <c r="G369">
        <v>18</v>
      </c>
      <c r="H369">
        <v>1.2037036000000001</v>
      </c>
      <c r="I369">
        <v>-0.20370367</v>
      </c>
      <c r="J369">
        <v>0.45378154999999998</v>
      </c>
    </row>
    <row r="370" spans="1:10" x14ac:dyDescent="0.3">
      <c r="A370">
        <v>368</v>
      </c>
      <c r="B370">
        <v>5874</v>
      </c>
      <c r="C370" t="b">
        <v>1</v>
      </c>
      <c r="D370">
        <v>8054</v>
      </c>
      <c r="E370">
        <v>8134</v>
      </c>
      <c r="F370">
        <v>21.666665999999999</v>
      </c>
      <c r="G370">
        <v>18</v>
      </c>
      <c r="H370">
        <v>1.2037036000000001</v>
      </c>
      <c r="I370">
        <v>-0.20370367</v>
      </c>
      <c r="J370">
        <v>0.45378154999999998</v>
      </c>
    </row>
    <row r="371" spans="1:10" x14ac:dyDescent="0.3">
      <c r="A371">
        <v>369</v>
      </c>
      <c r="B371">
        <v>5890</v>
      </c>
      <c r="C371" t="b">
        <v>1</v>
      </c>
      <c r="D371">
        <v>8060</v>
      </c>
      <c r="E371">
        <v>8134</v>
      </c>
      <c r="F371">
        <v>21.333334000000001</v>
      </c>
      <c r="G371">
        <v>18</v>
      </c>
      <c r="H371">
        <v>1.1851852</v>
      </c>
      <c r="I371">
        <v>-0.18518522000000001</v>
      </c>
      <c r="J371">
        <v>0.45762710000000001</v>
      </c>
    </row>
    <row r="372" spans="1:10" x14ac:dyDescent="0.3">
      <c r="A372">
        <v>370</v>
      </c>
      <c r="B372">
        <v>5906</v>
      </c>
      <c r="C372" t="b">
        <v>1</v>
      </c>
      <c r="D372">
        <v>8065</v>
      </c>
      <c r="E372">
        <v>8134</v>
      </c>
      <c r="F372">
        <v>21</v>
      </c>
      <c r="G372">
        <v>18</v>
      </c>
      <c r="H372">
        <v>1.1666666000000001</v>
      </c>
      <c r="I372">
        <v>-0.16666666999999999</v>
      </c>
      <c r="J372">
        <v>0.46153845999999998</v>
      </c>
    </row>
    <row r="373" spans="1:10" x14ac:dyDescent="0.3">
      <c r="A373">
        <v>371</v>
      </c>
      <c r="B373">
        <v>5922</v>
      </c>
      <c r="C373" t="b">
        <v>1</v>
      </c>
      <c r="D373">
        <v>8065</v>
      </c>
      <c r="E373">
        <v>8134</v>
      </c>
      <c r="F373">
        <v>20.666665999999999</v>
      </c>
      <c r="G373">
        <v>18</v>
      </c>
      <c r="H373">
        <v>1.1481481</v>
      </c>
      <c r="I373">
        <v>-0.14814811999999999</v>
      </c>
      <c r="J373">
        <v>0.46551727999999998</v>
      </c>
    </row>
    <row r="374" spans="1:10" x14ac:dyDescent="0.3">
      <c r="A374">
        <v>372</v>
      </c>
      <c r="B374">
        <v>5937</v>
      </c>
      <c r="C374" t="b">
        <v>1</v>
      </c>
      <c r="D374">
        <v>8060</v>
      </c>
      <c r="E374">
        <v>8129</v>
      </c>
      <c r="F374">
        <v>20.333334000000001</v>
      </c>
      <c r="G374">
        <v>18</v>
      </c>
      <c r="H374">
        <v>1.1296295999999999</v>
      </c>
      <c r="I374">
        <v>-0.12962967</v>
      </c>
      <c r="J374">
        <v>0.46956518000000003</v>
      </c>
    </row>
    <row r="375" spans="1:10" x14ac:dyDescent="0.3">
      <c r="A375">
        <v>373</v>
      </c>
      <c r="B375">
        <v>5953</v>
      </c>
      <c r="C375" t="b">
        <v>1</v>
      </c>
      <c r="D375">
        <v>8065</v>
      </c>
      <c r="E375">
        <v>8134</v>
      </c>
      <c r="F375">
        <v>20.333334000000001</v>
      </c>
      <c r="G375">
        <v>18</v>
      </c>
      <c r="H375">
        <v>1.1296295999999999</v>
      </c>
      <c r="I375">
        <v>-0.12962967</v>
      </c>
      <c r="J375">
        <v>0.46956518000000003</v>
      </c>
    </row>
    <row r="376" spans="1:10" x14ac:dyDescent="0.3">
      <c r="A376">
        <v>374</v>
      </c>
      <c r="B376">
        <v>5968</v>
      </c>
      <c r="C376" t="b">
        <v>1</v>
      </c>
      <c r="D376">
        <v>8060</v>
      </c>
      <c r="E376">
        <v>8129</v>
      </c>
      <c r="F376">
        <v>20.666665999999999</v>
      </c>
      <c r="G376">
        <v>18</v>
      </c>
      <c r="H376">
        <v>1.1481481</v>
      </c>
      <c r="I376">
        <v>-0.14814811999999999</v>
      </c>
      <c r="J376">
        <v>0.46551727999999998</v>
      </c>
    </row>
    <row r="377" spans="1:10" x14ac:dyDescent="0.3">
      <c r="A377">
        <v>375</v>
      </c>
      <c r="B377">
        <v>5984</v>
      </c>
      <c r="C377" t="b">
        <v>1</v>
      </c>
      <c r="D377">
        <v>8065</v>
      </c>
      <c r="E377">
        <v>8134</v>
      </c>
      <c r="F377">
        <v>21</v>
      </c>
      <c r="G377">
        <v>18.333334000000001</v>
      </c>
      <c r="H377">
        <v>1.1454545</v>
      </c>
      <c r="I377">
        <v>-0.14545451000000001</v>
      </c>
      <c r="J377">
        <v>0.46610168000000002</v>
      </c>
    </row>
    <row r="378" spans="1:10" x14ac:dyDescent="0.3">
      <c r="A378">
        <v>376</v>
      </c>
      <c r="B378">
        <v>6000</v>
      </c>
      <c r="C378" t="b">
        <v>1</v>
      </c>
      <c r="D378">
        <v>8060</v>
      </c>
      <c r="E378">
        <v>8140</v>
      </c>
      <c r="F378">
        <v>21</v>
      </c>
      <c r="G378">
        <v>18.666665999999999</v>
      </c>
      <c r="H378">
        <v>1.125</v>
      </c>
      <c r="I378">
        <v>-0.12500004000000001</v>
      </c>
      <c r="J378">
        <v>0.47058823999999999</v>
      </c>
    </row>
    <row r="379" spans="1:10" x14ac:dyDescent="0.3">
      <c r="A379">
        <v>377</v>
      </c>
      <c r="B379">
        <v>6016</v>
      </c>
      <c r="C379" t="b">
        <v>1</v>
      </c>
      <c r="D379">
        <v>8065</v>
      </c>
      <c r="E379">
        <v>8134</v>
      </c>
      <c r="F379">
        <v>21.333334000000001</v>
      </c>
      <c r="G379">
        <v>19</v>
      </c>
      <c r="H379">
        <v>1.1228070000000001</v>
      </c>
      <c r="I379">
        <v>-0.12280705</v>
      </c>
      <c r="J379">
        <v>0.47107433999999998</v>
      </c>
    </row>
    <row r="380" spans="1:10" x14ac:dyDescent="0.3">
      <c r="A380">
        <v>378</v>
      </c>
      <c r="B380">
        <v>6032</v>
      </c>
      <c r="C380" t="b">
        <v>1</v>
      </c>
      <c r="D380">
        <v>8065</v>
      </c>
      <c r="E380">
        <v>8134</v>
      </c>
      <c r="F380">
        <v>21.666665999999999</v>
      </c>
      <c r="G380">
        <v>19</v>
      </c>
      <c r="H380">
        <v>1.1403508</v>
      </c>
      <c r="I380">
        <v>-0.14035085</v>
      </c>
      <c r="J380">
        <v>0.46721315000000002</v>
      </c>
    </row>
    <row r="381" spans="1:10" x14ac:dyDescent="0.3">
      <c r="A381">
        <v>379</v>
      </c>
      <c r="B381">
        <v>6048</v>
      </c>
      <c r="C381" t="b">
        <v>1</v>
      </c>
      <c r="D381">
        <v>8054</v>
      </c>
      <c r="E381">
        <v>8134</v>
      </c>
      <c r="F381">
        <v>22</v>
      </c>
      <c r="G381">
        <v>19</v>
      </c>
      <c r="H381">
        <v>1.1578946999999999</v>
      </c>
      <c r="I381">
        <v>-0.15789473000000001</v>
      </c>
      <c r="J381">
        <v>0.46341463999999999</v>
      </c>
    </row>
    <row r="382" spans="1:10" x14ac:dyDescent="0.3">
      <c r="A382">
        <v>380</v>
      </c>
      <c r="B382">
        <v>6064</v>
      </c>
      <c r="C382" t="b">
        <v>1</v>
      </c>
      <c r="D382">
        <v>8054</v>
      </c>
      <c r="E382">
        <v>8140</v>
      </c>
      <c r="F382">
        <v>22</v>
      </c>
      <c r="G382">
        <v>19</v>
      </c>
      <c r="H382">
        <v>1.1578946999999999</v>
      </c>
      <c r="I382">
        <v>-0.15789473000000001</v>
      </c>
      <c r="J382">
        <v>0.46341463999999999</v>
      </c>
    </row>
    <row r="383" spans="1:10" x14ac:dyDescent="0.3">
      <c r="A383">
        <v>381</v>
      </c>
      <c r="B383">
        <v>6079</v>
      </c>
      <c r="C383" t="b">
        <v>1</v>
      </c>
      <c r="D383">
        <v>8065</v>
      </c>
      <c r="E383">
        <v>8134</v>
      </c>
      <c r="F383">
        <v>22.333334000000001</v>
      </c>
      <c r="G383">
        <v>19</v>
      </c>
      <c r="H383">
        <v>1.1754385999999999</v>
      </c>
      <c r="I383">
        <v>-0.17543863000000001</v>
      </c>
      <c r="J383">
        <v>0.45967740000000001</v>
      </c>
    </row>
    <row r="384" spans="1:10" x14ac:dyDescent="0.3">
      <c r="A384">
        <v>382</v>
      </c>
      <c r="B384">
        <v>6095</v>
      </c>
      <c r="C384" t="b">
        <v>1</v>
      </c>
      <c r="D384">
        <v>8065</v>
      </c>
      <c r="E384">
        <v>8134</v>
      </c>
      <c r="F384">
        <v>22.666665999999999</v>
      </c>
      <c r="G384">
        <v>19</v>
      </c>
      <c r="H384">
        <v>1.1929824</v>
      </c>
      <c r="I384">
        <v>-0.19298241999999999</v>
      </c>
      <c r="J384">
        <v>0.45600003</v>
      </c>
    </row>
    <row r="385" spans="1:10" x14ac:dyDescent="0.3">
      <c r="A385">
        <v>383</v>
      </c>
      <c r="B385">
        <v>6111</v>
      </c>
      <c r="C385" t="b">
        <v>1</v>
      </c>
      <c r="D385">
        <v>8060</v>
      </c>
      <c r="E385">
        <v>8134</v>
      </c>
      <c r="F385">
        <v>22.666665999999999</v>
      </c>
      <c r="G385">
        <v>19</v>
      </c>
      <c r="H385">
        <v>1.1929824</v>
      </c>
      <c r="I385">
        <v>-0.19298241999999999</v>
      </c>
      <c r="J385">
        <v>0.45600003</v>
      </c>
    </row>
    <row r="386" spans="1:10" x14ac:dyDescent="0.3">
      <c r="A386">
        <v>384</v>
      </c>
      <c r="B386">
        <v>6127</v>
      </c>
      <c r="C386" t="b">
        <v>1</v>
      </c>
      <c r="D386">
        <v>8060</v>
      </c>
      <c r="E386">
        <v>8134</v>
      </c>
      <c r="F386">
        <v>22.666665999999999</v>
      </c>
      <c r="G386">
        <v>19</v>
      </c>
      <c r="H386">
        <v>1.1929824</v>
      </c>
      <c r="I386">
        <v>-0.19298241999999999</v>
      </c>
      <c r="J386">
        <v>0.45600003</v>
      </c>
    </row>
    <row r="387" spans="1:10" x14ac:dyDescent="0.3">
      <c r="A387">
        <v>385</v>
      </c>
      <c r="B387">
        <v>6143</v>
      </c>
      <c r="C387" t="b">
        <v>1</v>
      </c>
      <c r="D387">
        <v>8065</v>
      </c>
      <c r="E387">
        <v>8134</v>
      </c>
      <c r="F387">
        <v>23</v>
      </c>
      <c r="G387">
        <v>19</v>
      </c>
      <c r="H387">
        <v>1.2105262999999999</v>
      </c>
      <c r="I387">
        <v>-0.21052631999999999</v>
      </c>
      <c r="J387">
        <v>0.45238096</v>
      </c>
    </row>
    <row r="388" spans="1:10" x14ac:dyDescent="0.3">
      <c r="A388">
        <v>386</v>
      </c>
      <c r="B388">
        <v>6158</v>
      </c>
      <c r="C388" t="b">
        <v>1</v>
      </c>
      <c r="D388">
        <v>8060</v>
      </c>
      <c r="E388">
        <v>8129</v>
      </c>
      <c r="F388">
        <v>23</v>
      </c>
      <c r="G388">
        <v>19</v>
      </c>
      <c r="H388">
        <v>1.2105262999999999</v>
      </c>
      <c r="I388">
        <v>-0.21052631999999999</v>
      </c>
      <c r="J388">
        <v>0.45238096</v>
      </c>
    </row>
    <row r="389" spans="1:10" x14ac:dyDescent="0.3">
      <c r="A389">
        <v>387</v>
      </c>
      <c r="B389">
        <v>6175</v>
      </c>
      <c r="C389" t="b">
        <v>1</v>
      </c>
      <c r="D389">
        <v>8065</v>
      </c>
      <c r="E389">
        <v>8134</v>
      </c>
      <c r="F389">
        <v>23</v>
      </c>
      <c r="G389">
        <v>19</v>
      </c>
      <c r="H389">
        <v>1.2105262999999999</v>
      </c>
      <c r="I389">
        <v>-0.21052631999999999</v>
      </c>
      <c r="J389">
        <v>0.45238096</v>
      </c>
    </row>
    <row r="390" spans="1:10" x14ac:dyDescent="0.3">
      <c r="A390">
        <v>388</v>
      </c>
      <c r="B390">
        <v>6190</v>
      </c>
      <c r="C390" t="b">
        <v>1</v>
      </c>
      <c r="D390">
        <v>8065</v>
      </c>
      <c r="E390">
        <v>8134</v>
      </c>
      <c r="F390">
        <v>23</v>
      </c>
      <c r="G390">
        <v>19</v>
      </c>
      <c r="H390">
        <v>1.2105262999999999</v>
      </c>
      <c r="I390">
        <v>-0.21052631999999999</v>
      </c>
      <c r="J390">
        <v>0.45238096</v>
      </c>
    </row>
    <row r="391" spans="1:10" x14ac:dyDescent="0.3">
      <c r="A391">
        <v>389</v>
      </c>
      <c r="B391">
        <v>6206</v>
      </c>
      <c r="C391" t="b">
        <v>1</v>
      </c>
      <c r="D391">
        <v>8065</v>
      </c>
      <c r="E391">
        <v>8134</v>
      </c>
      <c r="F391">
        <v>23</v>
      </c>
      <c r="G391">
        <v>19</v>
      </c>
      <c r="H391">
        <v>1.2105262999999999</v>
      </c>
      <c r="I391">
        <v>-0.21052631999999999</v>
      </c>
      <c r="J391">
        <v>0.45238096</v>
      </c>
    </row>
    <row r="392" spans="1:10" x14ac:dyDescent="0.3">
      <c r="A392">
        <v>390</v>
      </c>
      <c r="B392">
        <v>6222</v>
      </c>
      <c r="C392" t="b">
        <v>1</v>
      </c>
      <c r="D392">
        <v>8065</v>
      </c>
      <c r="E392">
        <v>8140</v>
      </c>
      <c r="F392">
        <v>23</v>
      </c>
      <c r="G392">
        <v>19</v>
      </c>
      <c r="H392">
        <v>1.2105262999999999</v>
      </c>
      <c r="I392">
        <v>-0.21052631999999999</v>
      </c>
      <c r="J392">
        <v>0.45238096</v>
      </c>
    </row>
    <row r="393" spans="1:10" x14ac:dyDescent="0.3">
      <c r="A393">
        <v>391</v>
      </c>
      <c r="B393">
        <v>6238</v>
      </c>
      <c r="C393" t="b">
        <v>1</v>
      </c>
      <c r="D393">
        <v>8065</v>
      </c>
      <c r="E393">
        <v>8129</v>
      </c>
      <c r="F393">
        <v>23.333334000000001</v>
      </c>
      <c r="G393">
        <v>19</v>
      </c>
      <c r="H393">
        <v>1.2280702999999999</v>
      </c>
      <c r="I393">
        <v>-0.22807021</v>
      </c>
      <c r="J393">
        <v>0.44881885999999999</v>
      </c>
    </row>
    <row r="394" spans="1:10" x14ac:dyDescent="0.3">
      <c r="A394">
        <v>392</v>
      </c>
      <c r="B394">
        <v>6254</v>
      </c>
      <c r="C394" t="b">
        <v>1</v>
      </c>
      <c r="D394">
        <v>8054</v>
      </c>
      <c r="E394">
        <v>8140</v>
      </c>
      <c r="F394">
        <v>23.333334000000001</v>
      </c>
      <c r="G394">
        <v>19</v>
      </c>
      <c r="H394">
        <v>1.2280702999999999</v>
      </c>
      <c r="I394">
        <v>-0.22807021</v>
      </c>
      <c r="J394">
        <v>0.44881885999999999</v>
      </c>
    </row>
    <row r="395" spans="1:10" x14ac:dyDescent="0.3">
      <c r="A395">
        <v>393</v>
      </c>
      <c r="B395">
        <v>6269</v>
      </c>
      <c r="C395" t="b">
        <v>1</v>
      </c>
      <c r="D395">
        <v>8054</v>
      </c>
      <c r="E395">
        <v>8134</v>
      </c>
      <c r="F395">
        <v>23.333334000000001</v>
      </c>
      <c r="G395">
        <v>19</v>
      </c>
      <c r="H395">
        <v>1.2280702999999999</v>
      </c>
      <c r="I395">
        <v>-0.22807021</v>
      </c>
      <c r="J395">
        <v>0.44881885999999999</v>
      </c>
    </row>
    <row r="396" spans="1:10" x14ac:dyDescent="0.3">
      <c r="A396">
        <v>394</v>
      </c>
      <c r="B396">
        <v>6285</v>
      </c>
      <c r="C396" t="b">
        <v>1</v>
      </c>
      <c r="D396">
        <v>8054</v>
      </c>
      <c r="E396">
        <v>8134</v>
      </c>
      <c r="F396">
        <v>22.6</v>
      </c>
      <c r="G396">
        <v>19</v>
      </c>
      <c r="H396">
        <v>1.1894737</v>
      </c>
      <c r="I396">
        <v>-0.18947369999999999</v>
      </c>
      <c r="J396">
        <v>0.45673078</v>
      </c>
    </row>
    <row r="397" spans="1:10" x14ac:dyDescent="0.3">
      <c r="A397">
        <v>395</v>
      </c>
      <c r="B397">
        <v>6301</v>
      </c>
      <c r="C397" t="b">
        <v>1</v>
      </c>
      <c r="D397">
        <v>8060</v>
      </c>
      <c r="E397">
        <v>8129</v>
      </c>
      <c r="F397">
        <v>22.2</v>
      </c>
      <c r="G397">
        <v>19</v>
      </c>
      <c r="H397">
        <v>1.1684211</v>
      </c>
      <c r="I397">
        <v>-0.16842109</v>
      </c>
      <c r="J397">
        <v>0.46116504000000003</v>
      </c>
    </row>
    <row r="398" spans="1:10" x14ac:dyDescent="0.3">
      <c r="A398">
        <v>396</v>
      </c>
      <c r="B398">
        <v>6317</v>
      </c>
      <c r="C398" t="b">
        <v>1</v>
      </c>
      <c r="D398">
        <v>8054</v>
      </c>
      <c r="E398">
        <v>8134</v>
      </c>
      <c r="F398">
        <v>21.466667000000001</v>
      </c>
      <c r="G398">
        <v>19</v>
      </c>
      <c r="H398">
        <v>1.1298246000000001</v>
      </c>
      <c r="I398">
        <v>-0.12982460000000001</v>
      </c>
      <c r="J398">
        <v>0.46952223999999998</v>
      </c>
    </row>
    <row r="399" spans="1:10" x14ac:dyDescent="0.3">
      <c r="A399">
        <v>397</v>
      </c>
      <c r="B399">
        <v>6333</v>
      </c>
      <c r="C399" t="b">
        <v>1</v>
      </c>
      <c r="D399">
        <v>8060</v>
      </c>
      <c r="E399">
        <v>8134</v>
      </c>
      <c r="F399">
        <v>20.733333999999999</v>
      </c>
      <c r="G399">
        <v>19</v>
      </c>
      <c r="H399">
        <v>1.0912280999999999</v>
      </c>
      <c r="I399">
        <v>-9.1228080000000003E-2</v>
      </c>
      <c r="J399">
        <v>0.47818791999999999</v>
      </c>
    </row>
    <row r="400" spans="1:10" x14ac:dyDescent="0.3">
      <c r="A400">
        <v>398</v>
      </c>
      <c r="B400">
        <v>6349</v>
      </c>
      <c r="C400" t="b">
        <v>1</v>
      </c>
      <c r="D400">
        <v>8060</v>
      </c>
      <c r="E400">
        <v>8140</v>
      </c>
      <c r="F400">
        <v>20.733333999999999</v>
      </c>
      <c r="G400">
        <v>19</v>
      </c>
      <c r="H400">
        <v>1.0912280999999999</v>
      </c>
      <c r="I400">
        <v>-9.1228080000000003E-2</v>
      </c>
      <c r="J400">
        <v>0.47818791999999999</v>
      </c>
    </row>
    <row r="401" spans="1:10" x14ac:dyDescent="0.3">
      <c r="A401">
        <v>399</v>
      </c>
      <c r="B401">
        <v>6365</v>
      </c>
      <c r="C401" t="b">
        <v>1</v>
      </c>
      <c r="D401">
        <v>8060</v>
      </c>
      <c r="E401">
        <v>8134</v>
      </c>
      <c r="F401">
        <v>20.733333999999999</v>
      </c>
      <c r="G401">
        <v>19</v>
      </c>
      <c r="H401">
        <v>1.0912280999999999</v>
      </c>
      <c r="I401">
        <v>-9.1228080000000003E-2</v>
      </c>
      <c r="J401">
        <v>0.47818791999999999</v>
      </c>
    </row>
    <row r="402" spans="1:10" x14ac:dyDescent="0.3">
      <c r="A402">
        <v>400</v>
      </c>
      <c r="B402">
        <v>6381</v>
      </c>
      <c r="C402" t="b">
        <v>1</v>
      </c>
      <c r="D402">
        <v>8065</v>
      </c>
      <c r="E402">
        <v>8123</v>
      </c>
      <c r="F402">
        <v>20.399999999999999</v>
      </c>
      <c r="G402">
        <v>19</v>
      </c>
      <c r="H402">
        <v>1.0736842</v>
      </c>
      <c r="I402">
        <v>-7.3684189999999997E-2</v>
      </c>
      <c r="J402">
        <v>0.48223349999999998</v>
      </c>
    </row>
    <row r="403" spans="1:10" x14ac:dyDescent="0.3">
      <c r="A403">
        <v>401</v>
      </c>
      <c r="B403">
        <v>6397</v>
      </c>
      <c r="C403" t="b">
        <v>1</v>
      </c>
      <c r="D403">
        <v>8065</v>
      </c>
      <c r="E403">
        <v>8129</v>
      </c>
      <c r="F403">
        <v>20.399999999999999</v>
      </c>
      <c r="G403">
        <v>19</v>
      </c>
      <c r="H403">
        <v>1.0736842</v>
      </c>
      <c r="I403">
        <v>-7.3684189999999997E-2</v>
      </c>
      <c r="J403">
        <v>0.48223349999999998</v>
      </c>
    </row>
    <row r="404" spans="1:10" x14ac:dyDescent="0.3">
      <c r="A404">
        <v>402</v>
      </c>
      <c r="B404">
        <v>6413</v>
      </c>
      <c r="C404" t="b">
        <v>1</v>
      </c>
      <c r="D404">
        <v>8060</v>
      </c>
      <c r="E404">
        <v>8129</v>
      </c>
      <c r="F404">
        <v>20.399999999999999</v>
      </c>
      <c r="G404">
        <v>18.666665999999999</v>
      </c>
      <c r="H404">
        <v>1.0928571</v>
      </c>
      <c r="I404">
        <v>-9.2857159999999994E-2</v>
      </c>
      <c r="J404">
        <v>0.47781570000000001</v>
      </c>
    </row>
    <row r="405" spans="1:10" x14ac:dyDescent="0.3">
      <c r="A405">
        <v>403</v>
      </c>
      <c r="B405">
        <v>6429</v>
      </c>
      <c r="C405" t="b">
        <v>1</v>
      </c>
      <c r="D405">
        <v>8054</v>
      </c>
      <c r="E405">
        <v>8129</v>
      </c>
      <c r="F405">
        <v>20.066668</v>
      </c>
      <c r="G405">
        <v>18.333334000000001</v>
      </c>
      <c r="H405">
        <v>1.0945454999999999</v>
      </c>
      <c r="I405">
        <v>-9.4545470000000006E-2</v>
      </c>
      <c r="J405">
        <v>0.47743055000000001</v>
      </c>
    </row>
    <row r="406" spans="1:10" x14ac:dyDescent="0.3">
      <c r="A406">
        <v>404</v>
      </c>
      <c r="B406">
        <v>6444</v>
      </c>
      <c r="C406" t="b">
        <v>1</v>
      </c>
      <c r="D406">
        <v>8054</v>
      </c>
      <c r="E406">
        <v>8129</v>
      </c>
      <c r="F406">
        <v>19.733333999999999</v>
      </c>
      <c r="G406">
        <v>18</v>
      </c>
      <c r="H406">
        <v>1.0962962999999999</v>
      </c>
      <c r="I406">
        <v>-9.6296309999999996E-2</v>
      </c>
      <c r="J406">
        <v>0.47703180000000001</v>
      </c>
    </row>
    <row r="407" spans="1:10" x14ac:dyDescent="0.3">
      <c r="A407">
        <v>405</v>
      </c>
      <c r="B407">
        <v>6460</v>
      </c>
      <c r="C407" t="b">
        <v>1</v>
      </c>
      <c r="D407">
        <v>8054</v>
      </c>
      <c r="E407">
        <v>8129</v>
      </c>
      <c r="F407">
        <v>19</v>
      </c>
      <c r="G407">
        <v>17.666665999999999</v>
      </c>
      <c r="H407">
        <v>1.0754718000000001</v>
      </c>
      <c r="I407">
        <v>-7.5471739999999995E-2</v>
      </c>
      <c r="J407">
        <v>0.48181819999999997</v>
      </c>
    </row>
    <row r="408" spans="1:10" x14ac:dyDescent="0.3">
      <c r="A408">
        <v>406</v>
      </c>
      <c r="B408">
        <v>6476</v>
      </c>
      <c r="C408" t="b">
        <v>1</v>
      </c>
      <c r="D408">
        <v>8060</v>
      </c>
      <c r="E408">
        <v>8140</v>
      </c>
      <c r="F408">
        <v>18.266666000000001</v>
      </c>
      <c r="G408">
        <v>17.333334000000001</v>
      </c>
      <c r="H408">
        <v>1.0538460999999999</v>
      </c>
      <c r="I408">
        <v>-5.3846102E-2</v>
      </c>
      <c r="J408">
        <v>0.48689142000000002</v>
      </c>
    </row>
    <row r="409" spans="1:10" x14ac:dyDescent="0.3">
      <c r="A409">
        <v>407</v>
      </c>
      <c r="B409">
        <v>6495</v>
      </c>
      <c r="C409" t="b">
        <v>1</v>
      </c>
      <c r="D409">
        <v>8060</v>
      </c>
      <c r="E409">
        <v>8134</v>
      </c>
      <c r="F409">
        <v>17.533332999999999</v>
      </c>
      <c r="G409">
        <v>17</v>
      </c>
      <c r="H409">
        <v>1.0313725</v>
      </c>
      <c r="I409">
        <v>-3.1372517000000003E-2</v>
      </c>
      <c r="J409">
        <v>0.49227799999999999</v>
      </c>
    </row>
    <row r="410" spans="1:10" x14ac:dyDescent="0.3">
      <c r="A410">
        <v>408</v>
      </c>
      <c r="B410">
        <v>6511</v>
      </c>
      <c r="C410" t="b">
        <v>1</v>
      </c>
      <c r="D410">
        <v>8054</v>
      </c>
      <c r="E410">
        <v>8134</v>
      </c>
      <c r="F410">
        <v>16.8</v>
      </c>
      <c r="G410">
        <v>17</v>
      </c>
      <c r="H410">
        <v>0.98823523999999996</v>
      </c>
      <c r="I410">
        <v>1.1764751E-2</v>
      </c>
      <c r="J410">
        <v>0.50295860000000003</v>
      </c>
    </row>
    <row r="411" spans="1:10" x14ac:dyDescent="0.3">
      <c r="A411">
        <v>409</v>
      </c>
      <c r="B411">
        <v>6527</v>
      </c>
      <c r="C411" t="b">
        <v>1</v>
      </c>
      <c r="D411">
        <v>8060</v>
      </c>
      <c r="E411">
        <v>8134</v>
      </c>
      <c r="F411">
        <v>17.2</v>
      </c>
      <c r="G411">
        <v>17</v>
      </c>
      <c r="H411">
        <v>1.0117647999999999</v>
      </c>
      <c r="I411">
        <v>-1.1764751E-2</v>
      </c>
      <c r="J411">
        <v>0.49707600000000002</v>
      </c>
    </row>
    <row r="412" spans="1:10" x14ac:dyDescent="0.3">
      <c r="A412">
        <v>410</v>
      </c>
      <c r="B412">
        <v>6543</v>
      </c>
      <c r="C412" t="b">
        <v>1</v>
      </c>
      <c r="D412">
        <v>8060</v>
      </c>
      <c r="E412">
        <v>8134</v>
      </c>
      <c r="F412">
        <v>17.600000000000001</v>
      </c>
      <c r="G412">
        <v>17</v>
      </c>
      <c r="H412">
        <v>1.0352942000000001</v>
      </c>
      <c r="I412">
        <v>-3.5294140000000002E-2</v>
      </c>
      <c r="J412">
        <v>0.49132949999999997</v>
      </c>
    </row>
    <row r="413" spans="1:10" x14ac:dyDescent="0.3">
      <c r="A413">
        <v>411</v>
      </c>
      <c r="B413">
        <v>6558</v>
      </c>
      <c r="C413" t="b">
        <v>1</v>
      </c>
      <c r="D413">
        <v>8065</v>
      </c>
      <c r="E413">
        <v>8134</v>
      </c>
      <c r="F413">
        <v>18</v>
      </c>
      <c r="G413">
        <v>17</v>
      </c>
      <c r="H413">
        <v>1.0588236</v>
      </c>
      <c r="I413">
        <v>-5.8823529999999999E-2</v>
      </c>
      <c r="J413">
        <v>0.48571429999999999</v>
      </c>
    </row>
    <row r="414" spans="1:10" x14ac:dyDescent="0.3">
      <c r="A414">
        <v>412</v>
      </c>
      <c r="B414">
        <v>6574</v>
      </c>
      <c r="C414" t="b">
        <v>1</v>
      </c>
      <c r="D414">
        <v>8065</v>
      </c>
      <c r="E414">
        <v>8140</v>
      </c>
      <c r="F414">
        <v>18.399999999999999</v>
      </c>
      <c r="G414">
        <v>17</v>
      </c>
      <c r="H414">
        <v>1.0823529000000001</v>
      </c>
      <c r="I414">
        <v>-8.2352919999999996E-2</v>
      </c>
      <c r="J414">
        <v>0.48022598</v>
      </c>
    </row>
    <row r="415" spans="1:10" x14ac:dyDescent="0.3">
      <c r="A415">
        <v>413</v>
      </c>
      <c r="B415">
        <v>6590</v>
      </c>
      <c r="C415" t="b">
        <v>1</v>
      </c>
      <c r="D415">
        <v>8060</v>
      </c>
      <c r="E415">
        <v>8134</v>
      </c>
      <c r="F415">
        <v>18.399999999999999</v>
      </c>
      <c r="G415">
        <v>17</v>
      </c>
      <c r="H415">
        <v>1.0823529000000001</v>
      </c>
      <c r="I415">
        <v>-8.2352919999999996E-2</v>
      </c>
      <c r="J415">
        <v>0.48022598</v>
      </c>
    </row>
    <row r="416" spans="1:10" x14ac:dyDescent="0.3">
      <c r="A416">
        <v>414</v>
      </c>
      <c r="B416">
        <v>6606</v>
      </c>
      <c r="C416" t="b">
        <v>1</v>
      </c>
      <c r="D416">
        <v>8060</v>
      </c>
      <c r="E416">
        <v>8134</v>
      </c>
      <c r="F416">
        <v>18.399999999999999</v>
      </c>
      <c r="G416">
        <v>17</v>
      </c>
      <c r="H416">
        <v>1.0823529000000001</v>
      </c>
      <c r="I416">
        <v>-8.2352919999999996E-2</v>
      </c>
      <c r="J416">
        <v>0.48022598</v>
      </c>
    </row>
    <row r="417" spans="1:10" x14ac:dyDescent="0.3">
      <c r="A417">
        <v>415</v>
      </c>
      <c r="B417">
        <v>6622</v>
      </c>
      <c r="C417" t="b">
        <v>1</v>
      </c>
      <c r="D417">
        <v>8060</v>
      </c>
      <c r="E417">
        <v>8134</v>
      </c>
      <c r="F417">
        <v>18.399999999999999</v>
      </c>
      <c r="G417">
        <v>17</v>
      </c>
      <c r="H417">
        <v>1.0823529000000001</v>
      </c>
      <c r="I417">
        <v>-8.2352919999999996E-2</v>
      </c>
      <c r="J417">
        <v>0.48022598</v>
      </c>
    </row>
    <row r="418" spans="1:10" x14ac:dyDescent="0.3">
      <c r="A418">
        <v>416</v>
      </c>
      <c r="B418">
        <v>6637</v>
      </c>
      <c r="C418" t="b">
        <v>1</v>
      </c>
      <c r="D418">
        <v>8060</v>
      </c>
      <c r="E418">
        <v>8134</v>
      </c>
      <c r="F418">
        <v>18.399999999999999</v>
      </c>
      <c r="G418">
        <v>17</v>
      </c>
      <c r="H418">
        <v>1.0823529000000001</v>
      </c>
      <c r="I418">
        <v>-8.2352919999999996E-2</v>
      </c>
      <c r="J418">
        <v>0.48022598</v>
      </c>
    </row>
    <row r="419" spans="1:10" x14ac:dyDescent="0.3">
      <c r="A419">
        <v>417</v>
      </c>
      <c r="B419">
        <v>6653</v>
      </c>
      <c r="C419" t="b">
        <v>1</v>
      </c>
      <c r="D419">
        <v>8060</v>
      </c>
      <c r="E419">
        <v>8140</v>
      </c>
      <c r="F419">
        <v>18.399999999999999</v>
      </c>
      <c r="G419">
        <v>17.333334000000001</v>
      </c>
      <c r="H419">
        <v>1.0615384999999999</v>
      </c>
      <c r="I419">
        <v>-6.1538401999999999E-2</v>
      </c>
      <c r="J419">
        <v>0.48507464</v>
      </c>
    </row>
    <row r="420" spans="1:10" x14ac:dyDescent="0.3">
      <c r="A420">
        <v>418</v>
      </c>
      <c r="B420">
        <v>6669</v>
      </c>
      <c r="C420" t="b">
        <v>1</v>
      </c>
      <c r="D420">
        <v>8065</v>
      </c>
      <c r="E420">
        <v>8134</v>
      </c>
      <c r="F420">
        <v>18.399999999999999</v>
      </c>
      <c r="G420">
        <v>17.666665999999999</v>
      </c>
      <c r="H420">
        <v>1.0415095000000001</v>
      </c>
      <c r="I420">
        <v>-4.1509450000000003E-2</v>
      </c>
      <c r="J420">
        <v>0.48983362000000003</v>
      </c>
    </row>
    <row r="421" spans="1:10" x14ac:dyDescent="0.3">
      <c r="A421">
        <v>419</v>
      </c>
      <c r="B421">
        <v>6685</v>
      </c>
      <c r="C421" t="b">
        <v>1</v>
      </c>
      <c r="D421">
        <v>8060</v>
      </c>
      <c r="E421">
        <v>8134</v>
      </c>
      <c r="F421">
        <v>18.399999999999999</v>
      </c>
      <c r="G421">
        <v>18</v>
      </c>
      <c r="H421">
        <v>1.0222222000000001</v>
      </c>
      <c r="I421">
        <v>-2.2222200000000001E-2</v>
      </c>
      <c r="J421">
        <v>0.49450547</v>
      </c>
    </row>
    <row r="422" spans="1:10" x14ac:dyDescent="0.3">
      <c r="A422">
        <v>420</v>
      </c>
      <c r="B422">
        <v>6700</v>
      </c>
      <c r="C422" t="b">
        <v>1</v>
      </c>
      <c r="D422">
        <v>8060</v>
      </c>
      <c r="E422">
        <v>8129</v>
      </c>
      <c r="F422">
        <v>18.8</v>
      </c>
      <c r="G422">
        <v>18.333334000000001</v>
      </c>
      <c r="H422">
        <v>1.0254544999999999</v>
      </c>
      <c r="I422">
        <v>-2.5454469E-2</v>
      </c>
      <c r="J422">
        <v>0.4937164</v>
      </c>
    </row>
    <row r="423" spans="1:10" x14ac:dyDescent="0.3">
      <c r="A423">
        <v>421</v>
      </c>
      <c r="B423">
        <v>6717</v>
      </c>
      <c r="C423" t="b">
        <v>1</v>
      </c>
      <c r="D423">
        <v>8065</v>
      </c>
      <c r="E423">
        <v>8129</v>
      </c>
      <c r="F423">
        <v>19.2</v>
      </c>
      <c r="G423">
        <v>18.666665999999999</v>
      </c>
      <c r="H423">
        <v>1.0285715</v>
      </c>
      <c r="I423">
        <v>-2.8571505000000001E-2</v>
      </c>
      <c r="J423">
        <v>0.4929577</v>
      </c>
    </row>
    <row r="424" spans="1:10" x14ac:dyDescent="0.3">
      <c r="A424">
        <v>422</v>
      </c>
      <c r="B424">
        <v>6733</v>
      </c>
      <c r="C424" t="b">
        <v>1</v>
      </c>
      <c r="D424">
        <v>8060</v>
      </c>
      <c r="E424">
        <v>8129</v>
      </c>
      <c r="F424">
        <v>19.600000000000001</v>
      </c>
      <c r="G424">
        <v>18.666665999999999</v>
      </c>
      <c r="H424">
        <v>1.0500001000000001</v>
      </c>
      <c r="I424">
        <v>-5.0000057000000001E-2</v>
      </c>
      <c r="J424">
        <v>0.48780486000000001</v>
      </c>
    </row>
    <row r="425" spans="1:10" x14ac:dyDescent="0.3">
      <c r="A425">
        <v>423</v>
      </c>
      <c r="B425">
        <v>6748</v>
      </c>
      <c r="C425" t="b">
        <v>1</v>
      </c>
      <c r="D425">
        <v>8060</v>
      </c>
      <c r="E425">
        <v>8129</v>
      </c>
      <c r="F425">
        <v>20</v>
      </c>
      <c r="G425">
        <v>18.333334000000001</v>
      </c>
      <c r="H425">
        <v>1.0909089999999999</v>
      </c>
      <c r="I425">
        <v>-9.090906E-2</v>
      </c>
      <c r="J425">
        <v>0.47826084000000002</v>
      </c>
    </row>
    <row r="426" spans="1:10" x14ac:dyDescent="0.3">
      <c r="A426">
        <v>424</v>
      </c>
      <c r="B426">
        <v>6764</v>
      </c>
      <c r="C426" t="b">
        <v>1</v>
      </c>
      <c r="D426">
        <v>8060</v>
      </c>
      <c r="E426">
        <v>8123</v>
      </c>
      <c r="F426">
        <v>20</v>
      </c>
      <c r="G426">
        <v>18</v>
      </c>
      <c r="H426">
        <v>1.1111112000000001</v>
      </c>
      <c r="I426">
        <v>-0.11111111</v>
      </c>
      <c r="J426">
        <v>0.47368421999999999</v>
      </c>
    </row>
    <row r="427" spans="1:10" x14ac:dyDescent="0.3">
      <c r="A427">
        <v>425</v>
      </c>
      <c r="B427">
        <v>6780</v>
      </c>
      <c r="C427" t="b">
        <v>1</v>
      </c>
      <c r="D427">
        <v>8060</v>
      </c>
      <c r="E427">
        <v>8140</v>
      </c>
      <c r="F427">
        <v>20</v>
      </c>
      <c r="G427">
        <v>17.666665999999999</v>
      </c>
      <c r="H427">
        <v>1.1320755</v>
      </c>
      <c r="I427">
        <v>-0.13207552</v>
      </c>
      <c r="J427">
        <v>0.46902656999999998</v>
      </c>
    </row>
    <row r="428" spans="1:10" x14ac:dyDescent="0.3">
      <c r="A428">
        <v>426</v>
      </c>
      <c r="B428">
        <v>6796</v>
      </c>
      <c r="C428" t="b">
        <v>1</v>
      </c>
      <c r="D428">
        <v>8060</v>
      </c>
      <c r="E428">
        <v>8140</v>
      </c>
      <c r="F428">
        <v>20</v>
      </c>
      <c r="G428">
        <v>17.333334000000001</v>
      </c>
      <c r="H428">
        <v>1.1538461</v>
      </c>
      <c r="I428">
        <v>-0.15384611000000001</v>
      </c>
      <c r="J428">
        <v>0.46428570000000002</v>
      </c>
    </row>
    <row r="429" spans="1:10" x14ac:dyDescent="0.3">
      <c r="A429">
        <v>427</v>
      </c>
      <c r="B429">
        <v>6812</v>
      </c>
      <c r="C429" t="b">
        <v>1</v>
      </c>
      <c r="D429">
        <v>8060</v>
      </c>
      <c r="E429">
        <v>8140</v>
      </c>
      <c r="F429">
        <v>20</v>
      </c>
      <c r="G429">
        <v>17.733333999999999</v>
      </c>
      <c r="H429">
        <v>1.1278195</v>
      </c>
      <c r="I429">
        <v>-0.12781954000000001</v>
      </c>
      <c r="J429">
        <v>0.46996464999999998</v>
      </c>
    </row>
    <row r="430" spans="1:10" x14ac:dyDescent="0.3">
      <c r="A430">
        <v>428</v>
      </c>
      <c r="B430">
        <v>6828</v>
      </c>
      <c r="C430" t="b">
        <v>1</v>
      </c>
      <c r="D430">
        <v>8054</v>
      </c>
      <c r="E430">
        <v>8129</v>
      </c>
      <c r="F430">
        <v>20</v>
      </c>
      <c r="G430">
        <v>18.133333</v>
      </c>
      <c r="H430">
        <v>1.1029412000000001</v>
      </c>
      <c r="I430">
        <v>-0.102941185</v>
      </c>
      <c r="J430">
        <v>0.47552450000000002</v>
      </c>
    </row>
    <row r="431" spans="1:10" x14ac:dyDescent="0.3">
      <c r="A431">
        <v>429</v>
      </c>
      <c r="B431">
        <v>6844</v>
      </c>
      <c r="C431" t="b">
        <v>1</v>
      </c>
      <c r="D431">
        <v>8060</v>
      </c>
      <c r="E431">
        <v>8134</v>
      </c>
      <c r="F431">
        <v>20</v>
      </c>
      <c r="G431">
        <v>18.533332999999999</v>
      </c>
      <c r="H431">
        <v>1.0791367000000001</v>
      </c>
      <c r="I431">
        <v>-7.9136719999999994E-2</v>
      </c>
      <c r="J431">
        <v>0.48096886</v>
      </c>
    </row>
    <row r="432" spans="1:10" x14ac:dyDescent="0.3">
      <c r="A432">
        <v>430</v>
      </c>
      <c r="B432">
        <v>6860</v>
      </c>
      <c r="C432" t="b">
        <v>1</v>
      </c>
      <c r="D432">
        <v>8065</v>
      </c>
      <c r="E432">
        <v>8134</v>
      </c>
      <c r="F432">
        <v>20</v>
      </c>
      <c r="G432">
        <v>18.533332999999999</v>
      </c>
      <c r="H432">
        <v>1.0791367000000001</v>
      </c>
      <c r="I432">
        <v>-7.9136719999999994E-2</v>
      </c>
      <c r="J432">
        <v>0.48096886</v>
      </c>
    </row>
    <row r="433" spans="1:10" x14ac:dyDescent="0.3">
      <c r="A433">
        <v>431</v>
      </c>
      <c r="B433">
        <v>6876</v>
      </c>
      <c r="C433" t="b">
        <v>1</v>
      </c>
      <c r="D433">
        <v>8065</v>
      </c>
      <c r="E433">
        <v>8134</v>
      </c>
      <c r="F433">
        <v>20</v>
      </c>
      <c r="G433">
        <v>18.533332999999999</v>
      </c>
      <c r="H433">
        <v>1.0791367000000001</v>
      </c>
      <c r="I433">
        <v>-7.9136719999999994E-2</v>
      </c>
      <c r="J433">
        <v>0.48096886</v>
      </c>
    </row>
    <row r="434" spans="1:10" x14ac:dyDescent="0.3">
      <c r="A434">
        <v>432</v>
      </c>
      <c r="B434">
        <v>6892</v>
      </c>
      <c r="C434" t="b">
        <v>1</v>
      </c>
      <c r="D434">
        <v>8060</v>
      </c>
      <c r="E434">
        <v>8140</v>
      </c>
      <c r="F434">
        <v>20</v>
      </c>
      <c r="G434">
        <v>18.533332999999999</v>
      </c>
      <c r="H434">
        <v>1.0791367000000001</v>
      </c>
      <c r="I434">
        <v>-7.9136719999999994E-2</v>
      </c>
      <c r="J434">
        <v>0.48096886</v>
      </c>
    </row>
    <row r="435" spans="1:10" x14ac:dyDescent="0.3">
      <c r="A435">
        <v>433</v>
      </c>
      <c r="B435">
        <v>6908</v>
      </c>
      <c r="C435" t="b">
        <v>1</v>
      </c>
      <c r="D435">
        <v>8060</v>
      </c>
      <c r="E435">
        <v>8134</v>
      </c>
      <c r="F435">
        <v>20</v>
      </c>
      <c r="G435">
        <v>18.533332999999999</v>
      </c>
      <c r="H435">
        <v>1.0791367000000001</v>
      </c>
      <c r="I435">
        <v>-7.9136719999999994E-2</v>
      </c>
      <c r="J435">
        <v>0.48096886</v>
      </c>
    </row>
    <row r="436" spans="1:10" x14ac:dyDescent="0.3">
      <c r="A436">
        <v>434</v>
      </c>
      <c r="B436">
        <v>6924</v>
      </c>
      <c r="C436" t="b">
        <v>1</v>
      </c>
      <c r="D436">
        <v>8065</v>
      </c>
      <c r="E436">
        <v>8140</v>
      </c>
      <c r="F436">
        <v>20.333334000000001</v>
      </c>
      <c r="G436">
        <v>18.533332999999999</v>
      </c>
      <c r="H436">
        <v>1.0971223000000001</v>
      </c>
      <c r="I436">
        <v>-9.7122364000000003E-2</v>
      </c>
      <c r="J436">
        <v>0.47684386000000001</v>
      </c>
    </row>
    <row r="437" spans="1:10" x14ac:dyDescent="0.3">
      <c r="A437">
        <v>435</v>
      </c>
      <c r="B437">
        <v>6940</v>
      </c>
      <c r="C437" t="b">
        <v>1</v>
      </c>
      <c r="D437">
        <v>8065</v>
      </c>
      <c r="E437">
        <v>8134</v>
      </c>
      <c r="F437">
        <v>20.666665999999999</v>
      </c>
      <c r="G437">
        <v>18.533332999999999</v>
      </c>
      <c r="H437">
        <v>1.1151078999999999</v>
      </c>
      <c r="I437">
        <v>-0.11510790999999999</v>
      </c>
      <c r="J437">
        <v>0.47278914</v>
      </c>
    </row>
    <row r="438" spans="1:10" x14ac:dyDescent="0.3">
      <c r="A438">
        <v>436</v>
      </c>
      <c r="B438">
        <v>6956</v>
      </c>
      <c r="C438" t="b">
        <v>1</v>
      </c>
      <c r="D438">
        <v>8060</v>
      </c>
      <c r="E438">
        <v>8134</v>
      </c>
      <c r="F438">
        <v>20.666665999999999</v>
      </c>
      <c r="G438">
        <v>18.533332999999999</v>
      </c>
      <c r="H438">
        <v>1.1151078999999999</v>
      </c>
      <c r="I438">
        <v>-0.11510790999999999</v>
      </c>
      <c r="J438">
        <v>0.47278914</v>
      </c>
    </row>
    <row r="439" spans="1:10" x14ac:dyDescent="0.3">
      <c r="A439">
        <v>437</v>
      </c>
      <c r="B439">
        <v>6972</v>
      </c>
      <c r="C439" t="b">
        <v>1</v>
      </c>
      <c r="D439">
        <v>8065</v>
      </c>
      <c r="E439">
        <v>8140</v>
      </c>
      <c r="F439">
        <v>21</v>
      </c>
      <c r="G439">
        <v>18.866667</v>
      </c>
      <c r="H439">
        <v>1.1130742</v>
      </c>
      <c r="I439">
        <v>-0.1130742</v>
      </c>
      <c r="J439">
        <v>0.47324412999999999</v>
      </c>
    </row>
    <row r="440" spans="1:10" x14ac:dyDescent="0.3">
      <c r="A440">
        <v>438</v>
      </c>
      <c r="B440">
        <v>6988</v>
      </c>
      <c r="C440" t="b">
        <v>1</v>
      </c>
      <c r="D440">
        <v>8065</v>
      </c>
      <c r="E440">
        <v>8134</v>
      </c>
      <c r="F440">
        <v>21.333334000000001</v>
      </c>
      <c r="G440">
        <v>19.2</v>
      </c>
      <c r="H440">
        <v>1.111111</v>
      </c>
      <c r="I440">
        <v>-0.1111111</v>
      </c>
      <c r="J440">
        <v>0.47368421999999999</v>
      </c>
    </row>
    <row r="441" spans="1:10" x14ac:dyDescent="0.3">
      <c r="A441">
        <v>439</v>
      </c>
      <c r="B441">
        <v>7004</v>
      </c>
      <c r="C441" t="b">
        <v>1</v>
      </c>
      <c r="D441">
        <v>8065</v>
      </c>
      <c r="E441">
        <v>8140</v>
      </c>
      <c r="F441">
        <v>21.666665999999999</v>
      </c>
      <c r="G441">
        <v>19.533332999999999</v>
      </c>
      <c r="H441">
        <v>1.1092150000000001</v>
      </c>
      <c r="I441">
        <v>-0.10921501</v>
      </c>
      <c r="J441">
        <v>0.47411006999999999</v>
      </c>
    </row>
    <row r="442" spans="1:10" x14ac:dyDescent="0.3">
      <c r="A442">
        <v>440</v>
      </c>
      <c r="B442">
        <v>7020</v>
      </c>
      <c r="C442" t="b">
        <v>1</v>
      </c>
      <c r="D442">
        <v>8060</v>
      </c>
      <c r="E442">
        <v>8134</v>
      </c>
      <c r="F442">
        <v>22</v>
      </c>
      <c r="G442">
        <v>19.866667</v>
      </c>
      <c r="H442">
        <v>1.1073824999999999</v>
      </c>
      <c r="I442">
        <v>-0.10738254</v>
      </c>
      <c r="J442">
        <v>0.47452225999999997</v>
      </c>
    </row>
    <row r="443" spans="1:10" x14ac:dyDescent="0.3">
      <c r="A443">
        <v>441</v>
      </c>
      <c r="B443">
        <v>7036</v>
      </c>
      <c r="C443" t="b">
        <v>1</v>
      </c>
      <c r="D443">
        <v>8060</v>
      </c>
      <c r="E443">
        <v>8134</v>
      </c>
      <c r="F443">
        <v>22.333334000000001</v>
      </c>
      <c r="G443">
        <v>20.2</v>
      </c>
      <c r="H443">
        <v>1.1056106000000001</v>
      </c>
      <c r="I443">
        <v>-0.10561055</v>
      </c>
      <c r="J443">
        <v>0.47492163999999998</v>
      </c>
    </row>
    <row r="444" spans="1:10" x14ac:dyDescent="0.3">
      <c r="A444">
        <v>442</v>
      </c>
      <c r="B444">
        <v>7052</v>
      </c>
      <c r="C444" t="b">
        <v>1</v>
      </c>
      <c r="D444">
        <v>8060</v>
      </c>
      <c r="E444">
        <v>8134</v>
      </c>
      <c r="F444">
        <v>22.333334000000001</v>
      </c>
      <c r="G444">
        <v>19.8</v>
      </c>
      <c r="H444">
        <v>1.1279463000000001</v>
      </c>
      <c r="I444">
        <v>-0.12794620000000001</v>
      </c>
      <c r="J444">
        <v>0.46993669999999998</v>
      </c>
    </row>
    <row r="445" spans="1:10" x14ac:dyDescent="0.3">
      <c r="A445">
        <v>443</v>
      </c>
      <c r="B445">
        <v>7068</v>
      </c>
      <c r="C445" t="b">
        <v>1</v>
      </c>
      <c r="D445">
        <v>8065</v>
      </c>
      <c r="E445">
        <v>8129</v>
      </c>
      <c r="F445">
        <v>22.333334000000001</v>
      </c>
      <c r="G445">
        <v>19.399999999999999</v>
      </c>
      <c r="H445">
        <v>1.1512028000000001</v>
      </c>
      <c r="I445">
        <v>-0.1512028</v>
      </c>
      <c r="J445">
        <v>0.4648562</v>
      </c>
    </row>
    <row r="446" spans="1:10" x14ac:dyDescent="0.3">
      <c r="A446">
        <v>444</v>
      </c>
      <c r="B446">
        <v>7084</v>
      </c>
      <c r="C446" t="b">
        <v>1</v>
      </c>
      <c r="D446">
        <v>8065</v>
      </c>
      <c r="E446">
        <v>8134</v>
      </c>
      <c r="F446">
        <v>22.333334000000001</v>
      </c>
      <c r="G446">
        <v>19</v>
      </c>
      <c r="H446">
        <v>1.1754385999999999</v>
      </c>
      <c r="I446">
        <v>-0.17543863000000001</v>
      </c>
      <c r="J446">
        <v>0.45967740000000001</v>
      </c>
    </row>
    <row r="447" spans="1:10" x14ac:dyDescent="0.3">
      <c r="A447">
        <v>445</v>
      </c>
      <c r="B447">
        <v>7100</v>
      </c>
      <c r="C447" t="b">
        <v>1</v>
      </c>
      <c r="D447">
        <v>8060</v>
      </c>
      <c r="E447">
        <v>8134</v>
      </c>
      <c r="F447">
        <v>22.333334000000001</v>
      </c>
      <c r="G447">
        <v>19</v>
      </c>
      <c r="H447">
        <v>1.1754385999999999</v>
      </c>
      <c r="I447">
        <v>-0.17543863000000001</v>
      </c>
      <c r="J447">
        <v>0.45967740000000001</v>
      </c>
    </row>
    <row r="448" spans="1:10" x14ac:dyDescent="0.3">
      <c r="A448">
        <v>446</v>
      </c>
      <c r="B448">
        <v>7116</v>
      </c>
      <c r="C448" t="b">
        <v>1</v>
      </c>
      <c r="D448">
        <v>8060</v>
      </c>
      <c r="E448">
        <v>8134</v>
      </c>
      <c r="F448">
        <v>22.333334000000001</v>
      </c>
      <c r="G448">
        <v>19</v>
      </c>
      <c r="H448">
        <v>1.1754385999999999</v>
      </c>
      <c r="I448">
        <v>-0.17543863000000001</v>
      </c>
      <c r="J448">
        <v>0.45967740000000001</v>
      </c>
    </row>
    <row r="449" spans="1:10" x14ac:dyDescent="0.3">
      <c r="A449">
        <v>447</v>
      </c>
      <c r="B449">
        <v>7131</v>
      </c>
      <c r="C449" t="b">
        <v>1</v>
      </c>
      <c r="D449">
        <v>8065</v>
      </c>
      <c r="E449">
        <v>8129</v>
      </c>
      <c r="F449">
        <v>22.666665999999999</v>
      </c>
      <c r="G449">
        <v>19</v>
      </c>
      <c r="H449">
        <v>1.1929824</v>
      </c>
      <c r="I449">
        <v>-0.19298241999999999</v>
      </c>
      <c r="J449">
        <v>0.45600003</v>
      </c>
    </row>
    <row r="450" spans="1:10" x14ac:dyDescent="0.3">
      <c r="A450">
        <v>448</v>
      </c>
      <c r="B450">
        <v>7147</v>
      </c>
      <c r="C450" t="b">
        <v>1</v>
      </c>
      <c r="D450">
        <v>8065</v>
      </c>
      <c r="E450">
        <v>8129</v>
      </c>
      <c r="F450">
        <v>23</v>
      </c>
      <c r="G450">
        <v>19</v>
      </c>
      <c r="H450">
        <v>1.2105262999999999</v>
      </c>
      <c r="I450">
        <v>-0.21052631999999999</v>
      </c>
      <c r="J450">
        <v>0.45238096</v>
      </c>
    </row>
    <row r="451" spans="1:10" x14ac:dyDescent="0.3">
      <c r="A451">
        <v>449</v>
      </c>
      <c r="B451">
        <v>7163</v>
      </c>
      <c r="C451" t="b">
        <v>1</v>
      </c>
      <c r="D451">
        <v>8065</v>
      </c>
      <c r="E451">
        <v>8134</v>
      </c>
      <c r="F451">
        <v>23</v>
      </c>
      <c r="G451">
        <v>19</v>
      </c>
      <c r="H451">
        <v>1.2105262999999999</v>
      </c>
      <c r="I451">
        <v>-0.21052631999999999</v>
      </c>
      <c r="J451">
        <v>0.45238096</v>
      </c>
    </row>
    <row r="452" spans="1:10" x14ac:dyDescent="0.3">
      <c r="A452">
        <v>450</v>
      </c>
      <c r="B452">
        <v>7179</v>
      </c>
      <c r="C452" t="b">
        <v>1</v>
      </c>
      <c r="D452">
        <v>8060</v>
      </c>
      <c r="E452">
        <v>8129</v>
      </c>
      <c r="F452">
        <v>23</v>
      </c>
      <c r="G452">
        <v>18.666665999999999</v>
      </c>
      <c r="H452">
        <v>1.2321428999999999</v>
      </c>
      <c r="I452">
        <v>-0.23214290000000001</v>
      </c>
      <c r="J452">
        <v>0.44800000000000001</v>
      </c>
    </row>
    <row r="453" spans="1:10" x14ac:dyDescent="0.3">
      <c r="A453">
        <v>451</v>
      </c>
      <c r="B453">
        <v>7195</v>
      </c>
      <c r="C453" t="b">
        <v>1</v>
      </c>
      <c r="D453">
        <v>8065</v>
      </c>
      <c r="E453">
        <v>8129</v>
      </c>
      <c r="F453">
        <v>23.333334000000001</v>
      </c>
      <c r="G453">
        <v>18.333334000000001</v>
      </c>
      <c r="H453">
        <v>1.2727272999999999</v>
      </c>
      <c r="I453">
        <v>-0.27272724999999998</v>
      </c>
      <c r="J453">
        <v>0.44</v>
      </c>
    </row>
    <row r="454" spans="1:10" x14ac:dyDescent="0.3">
      <c r="A454">
        <v>452</v>
      </c>
      <c r="B454">
        <v>7211</v>
      </c>
      <c r="C454" t="b">
        <v>1</v>
      </c>
      <c r="D454">
        <v>8065</v>
      </c>
      <c r="E454">
        <v>8123</v>
      </c>
      <c r="F454">
        <v>23.333334000000001</v>
      </c>
      <c r="G454">
        <v>18</v>
      </c>
      <c r="H454">
        <v>1.2962963999999999</v>
      </c>
      <c r="I454">
        <v>-0.29629633</v>
      </c>
      <c r="J454">
        <v>0.43548384000000001</v>
      </c>
    </row>
    <row r="455" spans="1:10" x14ac:dyDescent="0.3">
      <c r="A455">
        <v>453</v>
      </c>
      <c r="B455">
        <v>7227</v>
      </c>
      <c r="C455" t="b">
        <v>1</v>
      </c>
      <c r="D455">
        <v>8065</v>
      </c>
      <c r="E455">
        <v>8129</v>
      </c>
      <c r="F455">
        <v>23.333334000000001</v>
      </c>
      <c r="G455">
        <v>17.666665999999999</v>
      </c>
      <c r="H455">
        <v>1.3207548</v>
      </c>
      <c r="I455">
        <v>-0.32075480000000001</v>
      </c>
      <c r="J455">
        <v>0.43089430000000001</v>
      </c>
    </row>
    <row r="456" spans="1:10" x14ac:dyDescent="0.3">
      <c r="A456">
        <v>454</v>
      </c>
      <c r="B456">
        <v>7243</v>
      </c>
      <c r="C456" t="b">
        <v>1</v>
      </c>
      <c r="D456">
        <v>8065</v>
      </c>
      <c r="E456">
        <v>8134</v>
      </c>
      <c r="F456">
        <v>23.333334000000001</v>
      </c>
      <c r="G456">
        <v>17.333334000000001</v>
      </c>
      <c r="H456">
        <v>1.3461539</v>
      </c>
      <c r="I456">
        <v>-0.34615383</v>
      </c>
      <c r="J456">
        <v>0.42622949999999998</v>
      </c>
    </row>
    <row r="457" spans="1:10" x14ac:dyDescent="0.3">
      <c r="A457">
        <v>455</v>
      </c>
      <c r="B457">
        <v>7259</v>
      </c>
      <c r="C457" t="b">
        <v>1</v>
      </c>
      <c r="D457">
        <v>8065</v>
      </c>
      <c r="E457">
        <v>8134</v>
      </c>
      <c r="F457">
        <v>23.333334000000001</v>
      </c>
      <c r="G457">
        <v>17</v>
      </c>
      <c r="H457">
        <v>1.372549</v>
      </c>
      <c r="I457">
        <v>-0.37254905999999999</v>
      </c>
      <c r="J457">
        <v>0.42148756999999998</v>
      </c>
    </row>
    <row r="458" spans="1:10" x14ac:dyDescent="0.3">
      <c r="A458">
        <v>456</v>
      </c>
      <c r="B458">
        <v>7275</v>
      </c>
      <c r="C458" t="b">
        <v>1</v>
      </c>
      <c r="D458">
        <v>8054</v>
      </c>
      <c r="E458">
        <v>8140</v>
      </c>
      <c r="F458">
        <v>23.333334000000001</v>
      </c>
      <c r="G458">
        <v>17</v>
      </c>
      <c r="H458">
        <v>1.372549</v>
      </c>
      <c r="I458">
        <v>-0.37254905999999999</v>
      </c>
      <c r="J458">
        <v>0.42148756999999998</v>
      </c>
    </row>
    <row r="459" spans="1:10" x14ac:dyDescent="0.3">
      <c r="A459">
        <v>457</v>
      </c>
      <c r="B459">
        <v>7291</v>
      </c>
      <c r="C459" t="b">
        <v>1</v>
      </c>
      <c r="D459">
        <v>8065</v>
      </c>
      <c r="E459">
        <v>8140</v>
      </c>
      <c r="F459">
        <v>23.666665999999999</v>
      </c>
      <c r="G459">
        <v>17</v>
      </c>
      <c r="H459">
        <v>1.3921568</v>
      </c>
      <c r="I459">
        <v>-0.39215684000000001</v>
      </c>
      <c r="J459">
        <v>0.41803282000000003</v>
      </c>
    </row>
    <row r="460" spans="1:10" x14ac:dyDescent="0.3">
      <c r="A460">
        <v>458</v>
      </c>
      <c r="B460">
        <v>7306</v>
      </c>
      <c r="C460" t="b">
        <v>1</v>
      </c>
      <c r="D460">
        <v>8060</v>
      </c>
      <c r="E460">
        <v>8140</v>
      </c>
      <c r="F460">
        <v>24</v>
      </c>
      <c r="G460">
        <v>17.399999999999999</v>
      </c>
      <c r="H460">
        <v>1.3793104</v>
      </c>
      <c r="I460">
        <v>-0.37931037000000001</v>
      </c>
      <c r="J460">
        <v>0.42028984000000003</v>
      </c>
    </row>
    <row r="461" spans="1:10" x14ac:dyDescent="0.3">
      <c r="A461">
        <v>459</v>
      </c>
      <c r="B461">
        <v>7322</v>
      </c>
      <c r="C461" t="b">
        <v>1</v>
      </c>
      <c r="D461">
        <v>8060</v>
      </c>
      <c r="E461">
        <v>8134</v>
      </c>
      <c r="F461">
        <v>24</v>
      </c>
      <c r="G461">
        <v>17.8</v>
      </c>
      <c r="H461">
        <v>1.3483145999999999</v>
      </c>
      <c r="I461">
        <v>-0.34831466999999999</v>
      </c>
      <c r="J461">
        <v>0.42583729999999997</v>
      </c>
    </row>
    <row r="462" spans="1:10" x14ac:dyDescent="0.3">
      <c r="A462">
        <v>460</v>
      </c>
      <c r="B462">
        <v>7338</v>
      </c>
      <c r="C462" t="b">
        <v>1</v>
      </c>
      <c r="D462">
        <v>8060</v>
      </c>
      <c r="E462">
        <v>8140</v>
      </c>
      <c r="F462">
        <v>24</v>
      </c>
      <c r="G462">
        <v>18.2</v>
      </c>
      <c r="H462">
        <v>1.3186812000000001</v>
      </c>
      <c r="I462">
        <v>-0.31868127000000002</v>
      </c>
      <c r="J462">
        <v>0.43127963000000002</v>
      </c>
    </row>
    <row r="463" spans="1:10" x14ac:dyDescent="0.3">
      <c r="A463">
        <v>461</v>
      </c>
      <c r="B463">
        <v>7355</v>
      </c>
      <c r="C463" t="b">
        <v>1</v>
      </c>
      <c r="D463">
        <v>8054</v>
      </c>
      <c r="E463">
        <v>8140</v>
      </c>
      <c r="F463">
        <v>24</v>
      </c>
      <c r="G463">
        <v>18.600000000000001</v>
      </c>
      <c r="H463">
        <v>1.2903225</v>
      </c>
      <c r="I463">
        <v>-0.29032254000000002</v>
      </c>
      <c r="J463">
        <v>0.43661972999999998</v>
      </c>
    </row>
    <row r="464" spans="1:10" x14ac:dyDescent="0.3">
      <c r="A464">
        <v>462</v>
      </c>
      <c r="B464">
        <v>7370</v>
      </c>
      <c r="C464" t="b">
        <v>1</v>
      </c>
      <c r="D464">
        <v>8060</v>
      </c>
      <c r="E464">
        <v>8140</v>
      </c>
      <c r="F464">
        <v>23.666665999999999</v>
      </c>
      <c r="G464">
        <v>19</v>
      </c>
      <c r="H464">
        <v>1.245614</v>
      </c>
      <c r="I464">
        <v>-0.245614</v>
      </c>
      <c r="J464">
        <v>0.44531252999999998</v>
      </c>
    </row>
    <row r="465" spans="1:10" x14ac:dyDescent="0.3">
      <c r="A465">
        <v>463</v>
      </c>
      <c r="B465">
        <v>7386</v>
      </c>
      <c r="C465" t="b">
        <v>1</v>
      </c>
      <c r="D465">
        <v>8060</v>
      </c>
      <c r="E465">
        <v>8129</v>
      </c>
      <c r="F465">
        <v>23.333334000000001</v>
      </c>
      <c r="G465">
        <v>19.399999999999999</v>
      </c>
      <c r="H465">
        <v>1.2027493</v>
      </c>
      <c r="I465">
        <v>-0.20274919999999999</v>
      </c>
      <c r="J465">
        <v>0.45397815000000002</v>
      </c>
    </row>
    <row r="466" spans="1:10" x14ac:dyDescent="0.3">
      <c r="A466">
        <v>464</v>
      </c>
      <c r="B466">
        <v>7402</v>
      </c>
      <c r="C466" t="b">
        <v>1</v>
      </c>
      <c r="D466">
        <v>8060</v>
      </c>
      <c r="E466">
        <v>8134</v>
      </c>
      <c r="F466">
        <v>23</v>
      </c>
      <c r="G466">
        <v>19.8</v>
      </c>
      <c r="H466">
        <v>1.1616162000000001</v>
      </c>
      <c r="I466">
        <v>-0.16161619999999999</v>
      </c>
      <c r="J466">
        <v>0.46261679999999999</v>
      </c>
    </row>
    <row r="467" spans="1:10" x14ac:dyDescent="0.3">
      <c r="A467">
        <v>465</v>
      </c>
      <c r="B467">
        <v>7418</v>
      </c>
      <c r="C467" t="b">
        <v>1</v>
      </c>
      <c r="D467">
        <v>8060</v>
      </c>
      <c r="E467">
        <v>8140</v>
      </c>
      <c r="F467">
        <v>22.666665999999999</v>
      </c>
      <c r="G467">
        <v>20.533332999999999</v>
      </c>
      <c r="H467">
        <v>1.1038961</v>
      </c>
      <c r="I467">
        <v>-0.103896104</v>
      </c>
      <c r="J467">
        <v>0.47530865999999999</v>
      </c>
    </row>
    <row r="468" spans="1:10" x14ac:dyDescent="0.3">
      <c r="A468">
        <v>466</v>
      </c>
      <c r="B468">
        <v>7434</v>
      </c>
      <c r="C468" t="b">
        <v>1</v>
      </c>
      <c r="D468">
        <v>8048</v>
      </c>
      <c r="E468">
        <v>8134</v>
      </c>
      <c r="F468">
        <v>22.333334000000001</v>
      </c>
      <c r="G468">
        <v>20.866667</v>
      </c>
      <c r="H468">
        <v>1.0702875999999999</v>
      </c>
      <c r="I468">
        <v>-7.0287559999999999E-2</v>
      </c>
      <c r="J468">
        <v>0.48302469999999997</v>
      </c>
    </row>
    <row r="469" spans="1:10" x14ac:dyDescent="0.3">
      <c r="A469">
        <v>467</v>
      </c>
      <c r="B469">
        <v>7450</v>
      </c>
      <c r="C469" t="b">
        <v>1</v>
      </c>
      <c r="D469">
        <v>8060</v>
      </c>
      <c r="E469">
        <v>8134</v>
      </c>
      <c r="F469">
        <v>22</v>
      </c>
      <c r="G469">
        <v>21.2</v>
      </c>
      <c r="H469">
        <v>1.0377358000000001</v>
      </c>
      <c r="I469">
        <v>-3.7735812000000001E-2</v>
      </c>
      <c r="J469">
        <v>0.49074075</v>
      </c>
    </row>
    <row r="470" spans="1:10" x14ac:dyDescent="0.3">
      <c r="A470">
        <v>468</v>
      </c>
      <c r="B470">
        <v>7466</v>
      </c>
      <c r="C470" t="b">
        <v>1</v>
      </c>
      <c r="D470">
        <v>8060</v>
      </c>
      <c r="E470">
        <v>8129</v>
      </c>
      <c r="F470">
        <v>21.666665999999999</v>
      </c>
      <c r="G470">
        <v>21.533332999999999</v>
      </c>
      <c r="H470">
        <v>1.006192</v>
      </c>
      <c r="I470">
        <v>-6.1919447000000002E-3</v>
      </c>
      <c r="J470">
        <v>0.49845679999999998</v>
      </c>
    </row>
    <row r="471" spans="1:10" x14ac:dyDescent="0.3">
      <c r="A471">
        <v>469</v>
      </c>
      <c r="B471">
        <v>7482</v>
      </c>
      <c r="C471" t="b">
        <v>1</v>
      </c>
      <c r="D471">
        <v>8060</v>
      </c>
      <c r="E471">
        <v>8129</v>
      </c>
      <c r="F471">
        <v>21.333334000000001</v>
      </c>
      <c r="G471">
        <v>21.866667</v>
      </c>
      <c r="H471">
        <v>0.97560979999999997</v>
      </c>
      <c r="I471">
        <v>2.4390220000000001E-2</v>
      </c>
      <c r="J471">
        <v>0.50617283999999996</v>
      </c>
    </row>
    <row r="472" spans="1:10" x14ac:dyDescent="0.3">
      <c r="A472">
        <v>470</v>
      </c>
      <c r="B472">
        <v>7498</v>
      </c>
      <c r="C472" t="b">
        <v>1</v>
      </c>
      <c r="D472">
        <v>8065</v>
      </c>
      <c r="E472">
        <v>8123</v>
      </c>
      <c r="F472">
        <v>21</v>
      </c>
      <c r="G472">
        <v>21.866667</v>
      </c>
      <c r="H472">
        <v>0.96036582999999998</v>
      </c>
      <c r="I472">
        <v>3.9634152999999998E-2</v>
      </c>
      <c r="J472">
        <v>0.51010880000000003</v>
      </c>
    </row>
    <row r="473" spans="1:10" x14ac:dyDescent="0.3">
      <c r="A473">
        <v>471</v>
      </c>
      <c r="B473">
        <v>7513</v>
      </c>
      <c r="C473" t="b">
        <v>1</v>
      </c>
      <c r="D473">
        <v>8060</v>
      </c>
      <c r="E473">
        <v>8129</v>
      </c>
      <c r="F473">
        <v>20.666665999999999</v>
      </c>
      <c r="G473">
        <v>21.533332999999999</v>
      </c>
      <c r="H473">
        <v>0.9597523</v>
      </c>
      <c r="I473">
        <v>4.0247685999999998E-2</v>
      </c>
      <c r="J473">
        <v>0.51026857000000003</v>
      </c>
    </row>
    <row r="474" spans="1:10" x14ac:dyDescent="0.3">
      <c r="A474">
        <v>472</v>
      </c>
      <c r="B474">
        <v>7529</v>
      </c>
      <c r="C474" t="b">
        <v>1</v>
      </c>
      <c r="D474">
        <v>8065</v>
      </c>
      <c r="E474">
        <v>8129</v>
      </c>
      <c r="F474">
        <v>20.333334000000001</v>
      </c>
      <c r="G474">
        <v>21.2</v>
      </c>
      <c r="H474">
        <v>0.95911950000000001</v>
      </c>
      <c r="I474">
        <v>4.0880510000000002E-2</v>
      </c>
      <c r="J474">
        <v>0.51043344000000002</v>
      </c>
    </row>
    <row r="475" spans="1:10" x14ac:dyDescent="0.3">
      <c r="A475">
        <v>473</v>
      </c>
      <c r="B475">
        <v>7545</v>
      </c>
      <c r="C475" t="b">
        <v>1</v>
      </c>
      <c r="D475">
        <v>8060</v>
      </c>
      <c r="E475">
        <v>8123</v>
      </c>
      <c r="F475">
        <v>20</v>
      </c>
      <c r="G475">
        <v>20.466667000000001</v>
      </c>
      <c r="H475">
        <v>0.97719866</v>
      </c>
      <c r="I475">
        <v>2.2801327E-2</v>
      </c>
      <c r="J475">
        <v>0.5057661</v>
      </c>
    </row>
    <row r="476" spans="1:10" x14ac:dyDescent="0.3">
      <c r="A476">
        <v>474</v>
      </c>
      <c r="B476">
        <v>7561</v>
      </c>
      <c r="C476" t="b">
        <v>1</v>
      </c>
      <c r="D476">
        <v>8060</v>
      </c>
      <c r="E476">
        <v>8140</v>
      </c>
      <c r="F476">
        <v>20</v>
      </c>
      <c r="G476">
        <v>19.733333999999999</v>
      </c>
      <c r="H476">
        <v>1.0135133999999999</v>
      </c>
      <c r="I476">
        <v>-1.3513501000000001E-2</v>
      </c>
      <c r="J476">
        <v>0.49664429999999998</v>
      </c>
    </row>
    <row r="477" spans="1:10" x14ac:dyDescent="0.3">
      <c r="A477">
        <v>475</v>
      </c>
      <c r="B477">
        <v>7577</v>
      </c>
      <c r="C477" t="b">
        <v>1</v>
      </c>
      <c r="D477">
        <v>8060</v>
      </c>
      <c r="E477">
        <v>8134</v>
      </c>
      <c r="F477">
        <v>20</v>
      </c>
      <c r="G477">
        <v>19</v>
      </c>
      <c r="H477">
        <v>1.0526316</v>
      </c>
      <c r="I477">
        <v>-5.2631579999999997E-2</v>
      </c>
      <c r="J477">
        <v>0.48717949999999999</v>
      </c>
    </row>
    <row r="478" spans="1:10" x14ac:dyDescent="0.3">
      <c r="A478">
        <v>476</v>
      </c>
      <c r="B478">
        <v>7593</v>
      </c>
      <c r="C478" t="b">
        <v>1</v>
      </c>
      <c r="D478">
        <v>8060</v>
      </c>
      <c r="E478">
        <v>8140</v>
      </c>
      <c r="F478">
        <v>20</v>
      </c>
      <c r="G478">
        <v>18.600000000000001</v>
      </c>
      <c r="H478">
        <v>1.0752687000000001</v>
      </c>
      <c r="I478">
        <v>-7.5268799999999997E-2</v>
      </c>
      <c r="J478">
        <v>0.48186531999999999</v>
      </c>
    </row>
    <row r="479" spans="1:10" x14ac:dyDescent="0.3">
      <c r="A479">
        <v>477</v>
      </c>
      <c r="B479">
        <v>7609</v>
      </c>
      <c r="C479" t="b">
        <v>1</v>
      </c>
      <c r="D479">
        <v>8060</v>
      </c>
      <c r="E479">
        <v>8134</v>
      </c>
      <c r="F479">
        <v>20</v>
      </c>
      <c r="G479">
        <v>18.2</v>
      </c>
      <c r="H479">
        <v>1.0989009999999999</v>
      </c>
      <c r="I479">
        <v>-9.8901056000000001E-2</v>
      </c>
      <c r="J479">
        <v>0.47643980000000002</v>
      </c>
    </row>
    <row r="480" spans="1:10" x14ac:dyDescent="0.3">
      <c r="A480">
        <v>478</v>
      </c>
      <c r="B480">
        <v>7625</v>
      </c>
      <c r="C480" t="b">
        <v>1</v>
      </c>
      <c r="D480">
        <v>8065</v>
      </c>
      <c r="E480">
        <v>8134</v>
      </c>
      <c r="F480">
        <v>20</v>
      </c>
      <c r="G480">
        <v>17.8</v>
      </c>
      <c r="H480">
        <v>1.1235956</v>
      </c>
      <c r="I480">
        <v>-0.12359555</v>
      </c>
      <c r="J480">
        <v>0.47089945999999999</v>
      </c>
    </row>
    <row r="481" spans="1:10" x14ac:dyDescent="0.3">
      <c r="A481">
        <v>479</v>
      </c>
      <c r="B481">
        <v>7640</v>
      </c>
      <c r="C481" t="b">
        <v>1</v>
      </c>
      <c r="D481">
        <v>8065</v>
      </c>
      <c r="E481">
        <v>8134</v>
      </c>
      <c r="F481">
        <v>20</v>
      </c>
      <c r="G481">
        <v>17.399999999999999</v>
      </c>
      <c r="H481">
        <v>1.1494253000000001</v>
      </c>
      <c r="I481">
        <v>-0.14942531000000001</v>
      </c>
      <c r="J481">
        <v>0.4652406</v>
      </c>
    </row>
    <row r="482" spans="1:10" x14ac:dyDescent="0.3">
      <c r="A482">
        <v>480</v>
      </c>
      <c r="B482">
        <v>7656</v>
      </c>
      <c r="C482" t="b">
        <v>1</v>
      </c>
      <c r="D482">
        <v>8060</v>
      </c>
      <c r="E482">
        <v>8140</v>
      </c>
      <c r="F482">
        <v>20</v>
      </c>
      <c r="G482">
        <v>17</v>
      </c>
      <c r="H482">
        <v>1.1764706</v>
      </c>
      <c r="I482">
        <v>-0.17647060000000001</v>
      </c>
      <c r="J482">
        <v>0.45945944999999999</v>
      </c>
    </row>
    <row r="483" spans="1:10" x14ac:dyDescent="0.3">
      <c r="A483">
        <v>481</v>
      </c>
      <c r="B483">
        <v>7672</v>
      </c>
      <c r="C483" t="b">
        <v>1</v>
      </c>
      <c r="D483">
        <v>8060</v>
      </c>
      <c r="E483">
        <v>8140</v>
      </c>
      <c r="F483">
        <v>20</v>
      </c>
      <c r="G483">
        <v>17</v>
      </c>
      <c r="H483">
        <v>1.1764706</v>
      </c>
      <c r="I483">
        <v>-0.17647060000000001</v>
      </c>
      <c r="J483">
        <v>0.45945944999999999</v>
      </c>
    </row>
    <row r="484" spans="1:10" x14ac:dyDescent="0.3">
      <c r="A484">
        <v>482</v>
      </c>
      <c r="B484">
        <v>7688</v>
      </c>
      <c r="C484" t="b">
        <v>1</v>
      </c>
      <c r="D484">
        <v>8054</v>
      </c>
      <c r="E484">
        <v>8140</v>
      </c>
      <c r="F484">
        <v>20</v>
      </c>
      <c r="G484">
        <v>17.399999999999999</v>
      </c>
      <c r="H484">
        <v>1.1494253000000001</v>
      </c>
      <c r="I484">
        <v>-0.14942531000000001</v>
      </c>
      <c r="J484">
        <v>0.4652406</v>
      </c>
    </row>
    <row r="485" spans="1:10" x14ac:dyDescent="0.3">
      <c r="A485">
        <v>483</v>
      </c>
      <c r="B485">
        <v>7704</v>
      </c>
      <c r="C485" t="b">
        <v>1</v>
      </c>
      <c r="D485">
        <v>8054</v>
      </c>
      <c r="E485">
        <v>8134</v>
      </c>
      <c r="F485">
        <v>20</v>
      </c>
      <c r="G485">
        <v>17.8</v>
      </c>
      <c r="H485">
        <v>1.1235956</v>
      </c>
      <c r="I485">
        <v>-0.12359555</v>
      </c>
      <c r="J485">
        <v>0.47089945999999999</v>
      </c>
    </row>
    <row r="486" spans="1:10" x14ac:dyDescent="0.3">
      <c r="A486">
        <v>484</v>
      </c>
      <c r="B486">
        <v>7720</v>
      </c>
      <c r="C486" t="b">
        <v>1</v>
      </c>
      <c r="D486">
        <v>8054</v>
      </c>
      <c r="E486">
        <v>8129</v>
      </c>
      <c r="F486">
        <v>19.600000000000001</v>
      </c>
      <c r="G486">
        <v>18.2</v>
      </c>
      <c r="H486">
        <v>1.0769230000000001</v>
      </c>
      <c r="I486">
        <v>-7.6923050000000007E-2</v>
      </c>
      <c r="J486">
        <v>0.48148146000000003</v>
      </c>
    </row>
    <row r="487" spans="1:10" x14ac:dyDescent="0.3">
      <c r="A487">
        <v>485</v>
      </c>
      <c r="B487">
        <v>7736</v>
      </c>
      <c r="C487" t="b">
        <v>1</v>
      </c>
      <c r="D487">
        <v>8054</v>
      </c>
      <c r="E487">
        <v>8140</v>
      </c>
      <c r="F487">
        <v>19.2</v>
      </c>
      <c r="G487">
        <v>18.933332</v>
      </c>
      <c r="H487">
        <v>1.0140845999999999</v>
      </c>
      <c r="I487">
        <v>-1.4084595E-2</v>
      </c>
      <c r="J487">
        <v>0.49650349999999999</v>
      </c>
    </row>
    <row r="488" spans="1:10" x14ac:dyDescent="0.3">
      <c r="A488">
        <v>486</v>
      </c>
      <c r="B488">
        <v>7752</v>
      </c>
      <c r="C488" t="b">
        <v>1</v>
      </c>
      <c r="D488">
        <v>8065</v>
      </c>
      <c r="E488">
        <v>8134</v>
      </c>
      <c r="F488">
        <v>18.8</v>
      </c>
      <c r="G488">
        <v>19.266666000000001</v>
      </c>
      <c r="H488">
        <v>0.97577849999999999</v>
      </c>
      <c r="I488">
        <v>2.422148E-2</v>
      </c>
      <c r="J488">
        <v>0.50612959999999996</v>
      </c>
    </row>
    <row r="489" spans="1:10" x14ac:dyDescent="0.3">
      <c r="A489">
        <v>487</v>
      </c>
      <c r="B489">
        <v>7768</v>
      </c>
      <c r="C489" t="b">
        <v>1</v>
      </c>
      <c r="D489">
        <v>8065</v>
      </c>
      <c r="E489">
        <v>8134</v>
      </c>
      <c r="F489">
        <v>18.399999999999999</v>
      </c>
      <c r="G489">
        <v>19.600000000000001</v>
      </c>
      <c r="H489">
        <v>0.93877549999999998</v>
      </c>
      <c r="I489">
        <v>6.1224528E-2</v>
      </c>
      <c r="J489">
        <v>0.51578950000000001</v>
      </c>
    </row>
    <row r="490" spans="1:10" x14ac:dyDescent="0.3">
      <c r="A490">
        <v>488</v>
      </c>
      <c r="B490">
        <v>7783</v>
      </c>
      <c r="C490" t="b">
        <v>1</v>
      </c>
      <c r="D490">
        <v>8060</v>
      </c>
      <c r="E490">
        <v>8134</v>
      </c>
      <c r="F490">
        <v>18.399999999999999</v>
      </c>
      <c r="G490">
        <v>19.933332</v>
      </c>
      <c r="H490">
        <v>0.92307689999999998</v>
      </c>
      <c r="I490">
        <v>7.6923060000000001E-2</v>
      </c>
      <c r="J490">
        <v>0.52</v>
      </c>
    </row>
    <row r="491" spans="1:10" x14ac:dyDescent="0.3">
      <c r="A491">
        <v>489</v>
      </c>
      <c r="B491">
        <v>7799</v>
      </c>
      <c r="C491" t="b">
        <v>1</v>
      </c>
      <c r="D491">
        <v>8060</v>
      </c>
      <c r="E491">
        <v>8140</v>
      </c>
      <c r="F491">
        <v>18.399999999999999</v>
      </c>
      <c r="G491">
        <v>20.266666000000001</v>
      </c>
      <c r="H491">
        <v>0.90789472999999998</v>
      </c>
      <c r="I491">
        <v>9.2105270000000003E-2</v>
      </c>
      <c r="J491">
        <v>0.52413799999999999</v>
      </c>
    </row>
    <row r="492" spans="1:10" x14ac:dyDescent="0.3">
      <c r="A492">
        <v>490</v>
      </c>
      <c r="B492">
        <v>7815</v>
      </c>
      <c r="C492" t="b">
        <v>1</v>
      </c>
      <c r="D492">
        <v>8060</v>
      </c>
      <c r="E492">
        <v>8134</v>
      </c>
      <c r="F492">
        <v>18.399999999999999</v>
      </c>
      <c r="G492">
        <v>20.6</v>
      </c>
      <c r="H492">
        <v>0.89320385000000002</v>
      </c>
      <c r="I492">
        <v>0.10679615000000001</v>
      </c>
      <c r="J492">
        <v>0.52820515999999995</v>
      </c>
    </row>
    <row r="493" spans="1:10" x14ac:dyDescent="0.3">
      <c r="A493">
        <v>491</v>
      </c>
      <c r="B493">
        <v>7831</v>
      </c>
      <c r="C493" t="b">
        <v>1</v>
      </c>
      <c r="D493">
        <v>8054</v>
      </c>
      <c r="E493">
        <v>8140</v>
      </c>
      <c r="F493">
        <v>18.399999999999999</v>
      </c>
      <c r="G493">
        <v>20.6</v>
      </c>
      <c r="H493">
        <v>0.89320385000000002</v>
      </c>
      <c r="I493">
        <v>0.10679615000000001</v>
      </c>
      <c r="J493">
        <v>0.52820515999999995</v>
      </c>
    </row>
    <row r="494" spans="1:10" x14ac:dyDescent="0.3">
      <c r="A494">
        <v>492</v>
      </c>
      <c r="B494">
        <v>7847</v>
      </c>
      <c r="C494" t="b">
        <v>1</v>
      </c>
      <c r="D494">
        <v>8060</v>
      </c>
      <c r="E494">
        <v>8140</v>
      </c>
      <c r="F494">
        <v>18.399999999999999</v>
      </c>
      <c r="G494">
        <v>21</v>
      </c>
      <c r="H494">
        <v>0.87619049999999998</v>
      </c>
      <c r="I494">
        <v>0.12380954</v>
      </c>
      <c r="J494">
        <v>0.53299490000000005</v>
      </c>
    </row>
    <row r="495" spans="1:10" x14ac:dyDescent="0.3">
      <c r="A495">
        <v>493</v>
      </c>
      <c r="B495">
        <v>7863</v>
      </c>
      <c r="C495" t="b">
        <v>1</v>
      </c>
      <c r="D495">
        <v>8065</v>
      </c>
      <c r="E495">
        <v>8134</v>
      </c>
      <c r="F495">
        <v>18.399999999999999</v>
      </c>
      <c r="G495">
        <v>21.4</v>
      </c>
      <c r="H495">
        <v>0.8598131</v>
      </c>
      <c r="I495">
        <v>0.14018691999999999</v>
      </c>
      <c r="J495">
        <v>0.53768842999999999</v>
      </c>
    </row>
    <row r="496" spans="1:10" x14ac:dyDescent="0.3">
      <c r="A496">
        <v>494</v>
      </c>
      <c r="B496">
        <v>7879</v>
      </c>
      <c r="C496" t="b">
        <v>1</v>
      </c>
      <c r="D496">
        <v>8065</v>
      </c>
      <c r="E496">
        <v>8140</v>
      </c>
      <c r="F496">
        <v>18.399999999999999</v>
      </c>
      <c r="G496">
        <v>21.8</v>
      </c>
      <c r="H496">
        <v>0.84403669999999997</v>
      </c>
      <c r="I496">
        <v>0.15596329</v>
      </c>
      <c r="J496">
        <v>0.54228860000000001</v>
      </c>
    </row>
    <row r="497" spans="1:10" x14ac:dyDescent="0.3">
      <c r="A497">
        <v>495</v>
      </c>
      <c r="B497">
        <v>7895</v>
      </c>
      <c r="C497" t="b">
        <v>1</v>
      </c>
      <c r="D497">
        <v>8060</v>
      </c>
      <c r="E497">
        <v>8134</v>
      </c>
      <c r="F497">
        <v>18.399999999999999</v>
      </c>
      <c r="G497">
        <v>22.2</v>
      </c>
      <c r="H497">
        <v>0.82882880000000003</v>
      </c>
      <c r="I497">
        <v>0.17117122000000001</v>
      </c>
      <c r="J497">
        <v>0.54679805000000004</v>
      </c>
    </row>
    <row r="498" spans="1:10" x14ac:dyDescent="0.3">
      <c r="A498">
        <v>496</v>
      </c>
      <c r="B498">
        <v>7911</v>
      </c>
      <c r="C498" t="b">
        <v>1</v>
      </c>
      <c r="D498">
        <v>8065</v>
      </c>
      <c r="E498">
        <v>8140</v>
      </c>
      <c r="F498">
        <v>18.733333999999999</v>
      </c>
      <c r="G498">
        <v>22.6</v>
      </c>
      <c r="H498">
        <v>0.82890856000000002</v>
      </c>
      <c r="I498">
        <v>0.17109145000000001</v>
      </c>
      <c r="J498">
        <v>0.54677414999999996</v>
      </c>
    </row>
    <row r="499" spans="1:10" x14ac:dyDescent="0.3">
      <c r="A499">
        <v>497</v>
      </c>
      <c r="B499">
        <v>7926</v>
      </c>
      <c r="C499" t="b">
        <v>1</v>
      </c>
      <c r="D499">
        <v>8065</v>
      </c>
      <c r="E499">
        <v>8134</v>
      </c>
      <c r="F499">
        <v>19.066668</v>
      </c>
      <c r="G499">
        <v>22.2</v>
      </c>
      <c r="H499">
        <v>0.85885889999999998</v>
      </c>
      <c r="I499">
        <v>0.14114113</v>
      </c>
      <c r="J499">
        <v>0.53796440000000001</v>
      </c>
    </row>
    <row r="500" spans="1:10" x14ac:dyDescent="0.3">
      <c r="A500">
        <v>498</v>
      </c>
      <c r="B500">
        <v>7942</v>
      </c>
      <c r="C500" t="b">
        <v>1</v>
      </c>
      <c r="D500">
        <v>8065</v>
      </c>
      <c r="E500">
        <v>8134</v>
      </c>
      <c r="F500">
        <v>19.399999999999999</v>
      </c>
      <c r="G500">
        <v>21.8</v>
      </c>
      <c r="H500">
        <v>0.88990824999999996</v>
      </c>
      <c r="I500">
        <v>0.11009173</v>
      </c>
      <c r="J500">
        <v>0.52912619999999999</v>
      </c>
    </row>
    <row r="501" spans="1:10" x14ac:dyDescent="0.3">
      <c r="A501">
        <v>499</v>
      </c>
      <c r="B501">
        <v>7958</v>
      </c>
      <c r="C501" t="b">
        <v>1</v>
      </c>
      <c r="D501">
        <v>8060</v>
      </c>
      <c r="E501">
        <v>8140</v>
      </c>
      <c r="F501">
        <v>20.133333</v>
      </c>
      <c r="G501">
        <v>21.4</v>
      </c>
      <c r="H501">
        <v>0.94080997</v>
      </c>
      <c r="I501">
        <v>5.9190020000000003E-2</v>
      </c>
      <c r="J501">
        <v>0.51524879999999995</v>
      </c>
    </row>
    <row r="502" spans="1:10" x14ac:dyDescent="0.3">
      <c r="A502">
        <v>500</v>
      </c>
      <c r="B502">
        <v>7974</v>
      </c>
      <c r="C502" t="b">
        <v>1</v>
      </c>
      <c r="D502">
        <v>8060</v>
      </c>
      <c r="E502">
        <v>8140</v>
      </c>
      <c r="F502">
        <v>20.866667</v>
      </c>
      <c r="G502">
        <v>21.4</v>
      </c>
      <c r="H502">
        <v>0.97507790000000005</v>
      </c>
      <c r="I502">
        <v>2.4922094999999998E-2</v>
      </c>
      <c r="J502">
        <v>0.50630914999999999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ACE4-45E5-4342-B3D2-CF302266ED3C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8134</v>
      </c>
      <c r="F2">
        <v>8</v>
      </c>
      <c r="G2">
        <v>19</v>
      </c>
      <c r="H2">
        <v>0.42105262999999998</v>
      </c>
      <c r="I2">
        <v>0.57894736999999996</v>
      </c>
      <c r="J2">
        <v>0.70370370000000004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19</v>
      </c>
      <c r="H3">
        <v>0.42105262999999998</v>
      </c>
      <c r="I3">
        <v>0.57894736999999996</v>
      </c>
      <c r="J3">
        <v>0.70370370000000004</v>
      </c>
    </row>
    <row r="4" spans="1:10" x14ac:dyDescent="0.3">
      <c r="A4">
        <v>2</v>
      </c>
      <c r="B4">
        <v>55</v>
      </c>
      <c r="C4" t="b">
        <v>1</v>
      </c>
      <c r="D4">
        <v>8054</v>
      </c>
      <c r="E4">
        <v>8123</v>
      </c>
      <c r="F4">
        <v>8</v>
      </c>
      <c r="G4">
        <v>15.333333</v>
      </c>
      <c r="H4">
        <v>0.52173910000000001</v>
      </c>
      <c r="I4">
        <v>0.47826084000000002</v>
      </c>
      <c r="J4">
        <v>0.65714289999999997</v>
      </c>
    </row>
    <row r="5" spans="1:10" x14ac:dyDescent="0.3">
      <c r="A5">
        <v>3</v>
      </c>
      <c r="B5">
        <v>71</v>
      </c>
      <c r="C5" t="b">
        <v>1</v>
      </c>
      <c r="D5">
        <v>8048</v>
      </c>
      <c r="E5">
        <v>8123</v>
      </c>
      <c r="F5">
        <v>8</v>
      </c>
      <c r="G5">
        <v>13.5</v>
      </c>
      <c r="H5">
        <v>0.59259260000000002</v>
      </c>
      <c r="I5">
        <v>0.40740739999999998</v>
      </c>
      <c r="J5">
        <v>0.62790699999999999</v>
      </c>
    </row>
    <row r="6" spans="1:10" x14ac:dyDescent="0.3">
      <c r="A6">
        <v>4</v>
      </c>
      <c r="B6">
        <v>87</v>
      </c>
      <c r="C6" t="b">
        <v>1</v>
      </c>
      <c r="D6">
        <v>8048</v>
      </c>
      <c r="E6">
        <v>8123</v>
      </c>
      <c r="F6">
        <v>8</v>
      </c>
      <c r="G6">
        <v>12.4</v>
      </c>
      <c r="H6">
        <v>0.64516132999999998</v>
      </c>
      <c r="I6">
        <v>0.35483870000000001</v>
      </c>
      <c r="J6">
        <v>0.60784309999999997</v>
      </c>
    </row>
    <row r="7" spans="1:10" x14ac:dyDescent="0.3">
      <c r="A7">
        <v>5</v>
      </c>
      <c r="B7">
        <v>103</v>
      </c>
      <c r="C7" t="b">
        <v>1</v>
      </c>
      <c r="D7">
        <v>8048</v>
      </c>
      <c r="E7">
        <v>8123</v>
      </c>
      <c r="F7">
        <v>8</v>
      </c>
      <c r="G7">
        <v>11.666667</v>
      </c>
      <c r="H7">
        <v>0.68571424000000003</v>
      </c>
      <c r="I7">
        <v>0.31428572999999999</v>
      </c>
      <c r="J7">
        <v>0.59322030000000003</v>
      </c>
    </row>
    <row r="8" spans="1:10" x14ac:dyDescent="0.3">
      <c r="A8">
        <v>6</v>
      </c>
      <c r="B8">
        <v>119</v>
      </c>
      <c r="C8" t="b">
        <v>1</v>
      </c>
      <c r="D8">
        <v>8048</v>
      </c>
      <c r="E8">
        <v>8123</v>
      </c>
      <c r="F8">
        <v>8</v>
      </c>
      <c r="G8">
        <v>11.142858</v>
      </c>
      <c r="H8">
        <v>0.7179487</v>
      </c>
      <c r="I8">
        <v>0.2820513</v>
      </c>
      <c r="J8">
        <v>0.58208959999999998</v>
      </c>
    </row>
    <row r="9" spans="1:10" x14ac:dyDescent="0.3">
      <c r="A9">
        <v>7</v>
      </c>
      <c r="B9">
        <v>135</v>
      </c>
      <c r="C9" t="b">
        <v>1</v>
      </c>
      <c r="D9">
        <v>8048</v>
      </c>
      <c r="E9">
        <v>8123</v>
      </c>
      <c r="F9">
        <v>8</v>
      </c>
      <c r="G9">
        <v>10.75</v>
      </c>
      <c r="H9">
        <v>0.74418603999999999</v>
      </c>
      <c r="I9">
        <v>0.25581396000000001</v>
      </c>
      <c r="J9">
        <v>0.57333330000000005</v>
      </c>
    </row>
    <row r="10" spans="1:10" x14ac:dyDescent="0.3">
      <c r="A10">
        <v>8</v>
      </c>
      <c r="B10">
        <v>151</v>
      </c>
      <c r="C10" t="b">
        <v>1</v>
      </c>
      <c r="D10">
        <v>8042</v>
      </c>
      <c r="E10">
        <v>8129</v>
      </c>
      <c r="F10">
        <v>8</v>
      </c>
      <c r="G10">
        <v>10.444445</v>
      </c>
      <c r="H10">
        <v>0.76595740000000001</v>
      </c>
      <c r="I10">
        <v>0.23404257000000001</v>
      </c>
      <c r="J10">
        <v>0.56626505000000005</v>
      </c>
    </row>
    <row r="11" spans="1:10" x14ac:dyDescent="0.3">
      <c r="A11">
        <v>9</v>
      </c>
      <c r="B11">
        <v>167</v>
      </c>
      <c r="C11" t="b">
        <v>1</v>
      </c>
      <c r="D11">
        <v>8054</v>
      </c>
      <c r="E11">
        <v>8123</v>
      </c>
      <c r="F11">
        <v>8</v>
      </c>
      <c r="G11">
        <v>10.199999999999999</v>
      </c>
      <c r="H11">
        <v>0.78431373999999998</v>
      </c>
      <c r="I11">
        <v>0.21568625999999999</v>
      </c>
      <c r="J11">
        <v>0.56043949999999998</v>
      </c>
    </row>
    <row r="12" spans="1:10" x14ac:dyDescent="0.3">
      <c r="A12">
        <v>10</v>
      </c>
      <c r="B12">
        <v>183</v>
      </c>
      <c r="C12" t="b">
        <v>1</v>
      </c>
      <c r="D12">
        <v>8048</v>
      </c>
      <c r="E12">
        <v>8134</v>
      </c>
      <c r="F12">
        <v>8</v>
      </c>
      <c r="G12">
        <v>10</v>
      </c>
      <c r="H12">
        <v>0.8</v>
      </c>
      <c r="I12">
        <v>0.2</v>
      </c>
      <c r="J12">
        <v>0.55555560000000004</v>
      </c>
    </row>
    <row r="13" spans="1:10" x14ac:dyDescent="0.3">
      <c r="A13">
        <v>11</v>
      </c>
      <c r="B13">
        <v>199</v>
      </c>
      <c r="C13" t="b">
        <v>1</v>
      </c>
      <c r="D13">
        <v>8048</v>
      </c>
      <c r="E13">
        <v>8123</v>
      </c>
      <c r="F13">
        <v>8</v>
      </c>
      <c r="G13">
        <v>9.8333329999999997</v>
      </c>
      <c r="H13">
        <v>0.81355935000000001</v>
      </c>
      <c r="I13">
        <v>0.18644065000000001</v>
      </c>
      <c r="J13">
        <v>0.5514019</v>
      </c>
    </row>
    <row r="14" spans="1:10" x14ac:dyDescent="0.3">
      <c r="A14">
        <v>12</v>
      </c>
      <c r="B14">
        <v>215</v>
      </c>
      <c r="C14" t="b">
        <v>1</v>
      </c>
      <c r="D14">
        <v>8042</v>
      </c>
      <c r="E14">
        <v>8123</v>
      </c>
      <c r="F14">
        <v>8</v>
      </c>
      <c r="G14">
        <v>9.6923069999999996</v>
      </c>
      <c r="H14">
        <v>0.82539684000000002</v>
      </c>
      <c r="I14">
        <v>0.17460315000000001</v>
      </c>
      <c r="J14">
        <v>0.54782609999999998</v>
      </c>
    </row>
    <row r="15" spans="1:10" x14ac:dyDescent="0.3">
      <c r="A15">
        <v>13</v>
      </c>
      <c r="B15">
        <v>230</v>
      </c>
      <c r="C15" t="b">
        <v>1</v>
      </c>
      <c r="D15">
        <v>8048</v>
      </c>
      <c r="E15">
        <v>8117</v>
      </c>
      <c r="F15">
        <v>8</v>
      </c>
      <c r="G15">
        <v>9.5714279999999992</v>
      </c>
      <c r="H15">
        <v>0.83582089999999998</v>
      </c>
      <c r="I15">
        <v>0.16417909</v>
      </c>
      <c r="J15">
        <v>0.54471546000000004</v>
      </c>
    </row>
    <row r="16" spans="1:10" x14ac:dyDescent="0.3">
      <c r="A16">
        <v>14</v>
      </c>
      <c r="B16">
        <v>246</v>
      </c>
      <c r="C16" t="b">
        <v>1</v>
      </c>
      <c r="D16">
        <v>8048</v>
      </c>
      <c r="E16">
        <v>8123</v>
      </c>
      <c r="F16">
        <v>8</v>
      </c>
      <c r="G16">
        <v>9.466666</v>
      </c>
      <c r="H16">
        <v>0.84507049999999995</v>
      </c>
      <c r="I16">
        <v>0.15492953000000001</v>
      </c>
      <c r="J16">
        <v>0.54198469999999999</v>
      </c>
    </row>
    <row r="17" spans="1:10" x14ac:dyDescent="0.3">
      <c r="A17">
        <v>15</v>
      </c>
      <c r="B17">
        <v>262</v>
      </c>
      <c r="C17" t="b">
        <v>1</v>
      </c>
      <c r="D17">
        <v>8048</v>
      </c>
      <c r="E17">
        <v>8123</v>
      </c>
      <c r="F17">
        <v>8</v>
      </c>
      <c r="G17">
        <v>8.7333339999999993</v>
      </c>
      <c r="H17">
        <v>0.91603049999999997</v>
      </c>
      <c r="I17">
        <v>8.3969489999999994E-2</v>
      </c>
      <c r="J17">
        <v>0.52191233999999997</v>
      </c>
    </row>
    <row r="18" spans="1:10" x14ac:dyDescent="0.3">
      <c r="A18">
        <v>16</v>
      </c>
      <c r="B18">
        <v>278</v>
      </c>
      <c r="C18" t="b">
        <v>1</v>
      </c>
      <c r="D18">
        <v>8048</v>
      </c>
      <c r="E18">
        <v>8123</v>
      </c>
      <c r="F18">
        <v>8</v>
      </c>
      <c r="G18">
        <v>8</v>
      </c>
      <c r="H18">
        <v>1</v>
      </c>
      <c r="I18">
        <v>0</v>
      </c>
      <c r="J18">
        <v>0.5</v>
      </c>
    </row>
    <row r="19" spans="1:10" x14ac:dyDescent="0.3">
      <c r="A19">
        <v>17</v>
      </c>
      <c r="B19">
        <v>294</v>
      </c>
      <c r="C19" t="b">
        <v>1</v>
      </c>
      <c r="D19">
        <v>8048</v>
      </c>
      <c r="E19">
        <v>8123</v>
      </c>
      <c r="F19">
        <v>8</v>
      </c>
      <c r="G19">
        <v>8</v>
      </c>
      <c r="H19">
        <v>1</v>
      </c>
      <c r="I19">
        <v>0</v>
      </c>
      <c r="J19">
        <v>0.5</v>
      </c>
    </row>
    <row r="20" spans="1:10" x14ac:dyDescent="0.3">
      <c r="A20">
        <v>18</v>
      </c>
      <c r="B20">
        <v>310</v>
      </c>
      <c r="C20" t="b">
        <v>1</v>
      </c>
      <c r="D20">
        <v>8048</v>
      </c>
      <c r="E20">
        <v>8123</v>
      </c>
      <c r="F20">
        <v>8</v>
      </c>
      <c r="G20">
        <v>8</v>
      </c>
      <c r="H20">
        <v>1</v>
      </c>
      <c r="I20">
        <v>0</v>
      </c>
      <c r="J20">
        <v>0.5</v>
      </c>
    </row>
    <row r="21" spans="1:10" x14ac:dyDescent="0.3">
      <c r="A21">
        <v>19</v>
      </c>
      <c r="B21">
        <v>326</v>
      </c>
      <c r="C21" t="b">
        <v>1</v>
      </c>
      <c r="D21">
        <v>8048</v>
      </c>
      <c r="E21">
        <v>8129</v>
      </c>
      <c r="F21">
        <v>8</v>
      </c>
      <c r="G21">
        <v>8</v>
      </c>
      <c r="H21">
        <v>1</v>
      </c>
      <c r="I21">
        <v>0</v>
      </c>
      <c r="J21">
        <v>0.5</v>
      </c>
    </row>
    <row r="22" spans="1:10" x14ac:dyDescent="0.3">
      <c r="A22">
        <v>20</v>
      </c>
      <c r="B22">
        <v>341</v>
      </c>
      <c r="C22" t="b">
        <v>1</v>
      </c>
      <c r="D22">
        <v>8048</v>
      </c>
      <c r="E22">
        <v>8123</v>
      </c>
      <c r="F22">
        <v>8</v>
      </c>
      <c r="G22">
        <v>8</v>
      </c>
      <c r="H22">
        <v>1</v>
      </c>
      <c r="I22">
        <v>0</v>
      </c>
      <c r="J22">
        <v>0.5</v>
      </c>
    </row>
    <row r="23" spans="1:10" x14ac:dyDescent="0.3">
      <c r="A23">
        <v>21</v>
      </c>
      <c r="B23">
        <v>358</v>
      </c>
      <c r="C23" t="b">
        <v>1</v>
      </c>
      <c r="D23">
        <v>8048</v>
      </c>
      <c r="E23">
        <v>8123</v>
      </c>
      <c r="F23">
        <v>8</v>
      </c>
      <c r="G23">
        <v>8</v>
      </c>
      <c r="H23">
        <v>1</v>
      </c>
      <c r="I23">
        <v>0</v>
      </c>
      <c r="J23">
        <v>0.5</v>
      </c>
    </row>
    <row r="24" spans="1:10" x14ac:dyDescent="0.3">
      <c r="A24">
        <v>22</v>
      </c>
      <c r="B24">
        <v>373</v>
      </c>
      <c r="C24" t="b">
        <v>1</v>
      </c>
      <c r="D24">
        <v>8048</v>
      </c>
      <c r="E24">
        <v>8123</v>
      </c>
      <c r="F24">
        <v>8</v>
      </c>
      <c r="G24">
        <v>8</v>
      </c>
      <c r="H24">
        <v>1</v>
      </c>
      <c r="I24">
        <v>0</v>
      </c>
      <c r="J24">
        <v>0.5</v>
      </c>
    </row>
    <row r="25" spans="1:10" x14ac:dyDescent="0.3">
      <c r="A25">
        <v>23</v>
      </c>
      <c r="B25">
        <v>389</v>
      </c>
      <c r="C25" t="b">
        <v>1</v>
      </c>
      <c r="D25">
        <v>8042</v>
      </c>
      <c r="E25">
        <v>8123</v>
      </c>
      <c r="F25">
        <v>8</v>
      </c>
      <c r="G25">
        <v>8</v>
      </c>
      <c r="H25">
        <v>1</v>
      </c>
      <c r="I25">
        <v>0</v>
      </c>
      <c r="J25">
        <v>0.5</v>
      </c>
    </row>
    <row r="26" spans="1:10" x14ac:dyDescent="0.3">
      <c r="A26">
        <v>24</v>
      </c>
      <c r="B26">
        <v>405</v>
      </c>
      <c r="C26" t="b">
        <v>1</v>
      </c>
      <c r="D26">
        <v>8042</v>
      </c>
      <c r="E26">
        <v>8123</v>
      </c>
      <c r="F26">
        <v>8</v>
      </c>
      <c r="G26">
        <v>8</v>
      </c>
      <c r="H26">
        <v>1</v>
      </c>
      <c r="I26">
        <v>0</v>
      </c>
      <c r="J26">
        <v>0.5</v>
      </c>
    </row>
    <row r="27" spans="1:10" x14ac:dyDescent="0.3">
      <c r="A27">
        <v>25</v>
      </c>
      <c r="B27">
        <v>421</v>
      </c>
      <c r="C27" t="b">
        <v>1</v>
      </c>
      <c r="D27">
        <v>8042</v>
      </c>
      <c r="E27">
        <v>8123</v>
      </c>
      <c r="F27">
        <v>7.6</v>
      </c>
      <c r="G27">
        <v>8</v>
      </c>
      <c r="H27">
        <v>0.95</v>
      </c>
      <c r="I27">
        <v>5.0000012000000003E-2</v>
      </c>
      <c r="J27">
        <v>0.51282050000000001</v>
      </c>
    </row>
    <row r="28" spans="1:10" x14ac:dyDescent="0.3">
      <c r="A28">
        <v>26</v>
      </c>
      <c r="B28">
        <v>437</v>
      </c>
      <c r="C28" t="b">
        <v>1</v>
      </c>
      <c r="D28">
        <v>8042</v>
      </c>
      <c r="E28">
        <v>8123</v>
      </c>
      <c r="F28">
        <v>7.2</v>
      </c>
      <c r="G28">
        <v>8</v>
      </c>
      <c r="H28">
        <v>0.9</v>
      </c>
      <c r="I28">
        <v>0.10000002400000001</v>
      </c>
      <c r="J28">
        <v>0.5263158</v>
      </c>
    </row>
    <row r="29" spans="1:10" x14ac:dyDescent="0.3">
      <c r="A29">
        <v>27</v>
      </c>
      <c r="B29">
        <v>454</v>
      </c>
      <c r="C29" t="b">
        <v>1</v>
      </c>
      <c r="D29">
        <v>8042</v>
      </c>
      <c r="E29">
        <v>8117</v>
      </c>
      <c r="F29">
        <v>6.8</v>
      </c>
      <c r="G29">
        <v>8</v>
      </c>
      <c r="H29">
        <v>0.85</v>
      </c>
      <c r="I29">
        <v>0.14999998</v>
      </c>
      <c r="J29">
        <v>0.54054049999999998</v>
      </c>
    </row>
    <row r="30" spans="1:10" x14ac:dyDescent="0.3">
      <c r="A30">
        <v>28</v>
      </c>
      <c r="B30">
        <v>469</v>
      </c>
      <c r="C30" t="b">
        <v>1</v>
      </c>
      <c r="D30">
        <v>8042</v>
      </c>
      <c r="E30">
        <v>8123</v>
      </c>
      <c r="F30">
        <v>6.4</v>
      </c>
      <c r="G30">
        <v>8</v>
      </c>
      <c r="H30">
        <v>0.8</v>
      </c>
      <c r="I30">
        <v>0.19999998999999999</v>
      </c>
      <c r="J30">
        <v>0.55555560000000004</v>
      </c>
    </row>
    <row r="31" spans="1:10" x14ac:dyDescent="0.3">
      <c r="A31">
        <v>29</v>
      </c>
      <c r="B31">
        <v>485</v>
      </c>
      <c r="C31" t="b">
        <v>1</v>
      </c>
      <c r="D31">
        <v>8048</v>
      </c>
      <c r="E31">
        <v>8123</v>
      </c>
      <c r="F31">
        <v>6</v>
      </c>
      <c r="G31">
        <v>8</v>
      </c>
      <c r="H31">
        <v>0.75</v>
      </c>
      <c r="I31">
        <v>0.25</v>
      </c>
      <c r="J31">
        <v>0.57142859999999995</v>
      </c>
    </row>
    <row r="32" spans="1:10" x14ac:dyDescent="0.3">
      <c r="A32">
        <v>30</v>
      </c>
      <c r="B32">
        <v>501</v>
      </c>
      <c r="C32" t="b">
        <v>1</v>
      </c>
      <c r="D32">
        <v>8048</v>
      </c>
      <c r="E32">
        <v>8123</v>
      </c>
      <c r="F32">
        <v>5.6</v>
      </c>
      <c r="G32">
        <v>8</v>
      </c>
      <c r="H32">
        <v>0.7</v>
      </c>
      <c r="I32">
        <v>0.3</v>
      </c>
      <c r="J32">
        <v>0.58823526000000004</v>
      </c>
    </row>
    <row r="33" spans="1:10" x14ac:dyDescent="0.3">
      <c r="A33">
        <v>31</v>
      </c>
      <c r="B33">
        <v>517</v>
      </c>
      <c r="C33" t="b">
        <v>1</v>
      </c>
      <c r="D33">
        <v>8048</v>
      </c>
      <c r="E33">
        <v>8123</v>
      </c>
      <c r="F33">
        <v>5.6</v>
      </c>
      <c r="G33">
        <v>8</v>
      </c>
      <c r="H33">
        <v>0.7</v>
      </c>
      <c r="I33">
        <v>0.3</v>
      </c>
      <c r="J33">
        <v>0.58823526000000004</v>
      </c>
    </row>
    <row r="34" spans="1:10" x14ac:dyDescent="0.3">
      <c r="A34">
        <v>32</v>
      </c>
      <c r="B34">
        <v>532</v>
      </c>
      <c r="C34" t="b">
        <v>1</v>
      </c>
      <c r="D34">
        <v>8048</v>
      </c>
      <c r="E34">
        <v>8129</v>
      </c>
      <c r="F34">
        <v>5.6</v>
      </c>
      <c r="G34">
        <v>8</v>
      </c>
      <c r="H34">
        <v>0.7</v>
      </c>
      <c r="I34">
        <v>0.3</v>
      </c>
      <c r="J34">
        <v>0.58823526000000004</v>
      </c>
    </row>
    <row r="35" spans="1:10" x14ac:dyDescent="0.3">
      <c r="A35">
        <v>33</v>
      </c>
      <c r="B35">
        <v>548</v>
      </c>
      <c r="C35" t="b">
        <v>1</v>
      </c>
      <c r="D35">
        <v>8048</v>
      </c>
      <c r="E35">
        <v>8123</v>
      </c>
      <c r="F35">
        <v>5.6</v>
      </c>
      <c r="G35">
        <v>8</v>
      </c>
      <c r="H35">
        <v>0.7</v>
      </c>
      <c r="I35">
        <v>0.3</v>
      </c>
      <c r="J35">
        <v>0.58823526000000004</v>
      </c>
    </row>
    <row r="36" spans="1:10" x14ac:dyDescent="0.3">
      <c r="A36">
        <v>34</v>
      </c>
      <c r="B36">
        <v>564</v>
      </c>
      <c r="C36" t="b">
        <v>1</v>
      </c>
      <c r="D36">
        <v>8042</v>
      </c>
      <c r="E36">
        <v>8123</v>
      </c>
      <c r="F36">
        <v>5.6</v>
      </c>
      <c r="G36">
        <v>8</v>
      </c>
      <c r="H36">
        <v>0.7</v>
      </c>
      <c r="I36">
        <v>0.3</v>
      </c>
      <c r="J36">
        <v>0.58823526000000004</v>
      </c>
    </row>
    <row r="37" spans="1:10" x14ac:dyDescent="0.3">
      <c r="A37">
        <v>35</v>
      </c>
      <c r="B37">
        <v>580</v>
      </c>
      <c r="C37" t="b">
        <v>1</v>
      </c>
      <c r="D37">
        <v>8048</v>
      </c>
      <c r="E37">
        <v>8123</v>
      </c>
      <c r="F37">
        <v>5.6</v>
      </c>
      <c r="G37">
        <v>8</v>
      </c>
      <c r="H37">
        <v>0.7</v>
      </c>
      <c r="I37">
        <v>0.3</v>
      </c>
      <c r="J37">
        <v>0.58823526000000004</v>
      </c>
    </row>
    <row r="38" spans="1:10" x14ac:dyDescent="0.3">
      <c r="A38">
        <v>36</v>
      </c>
      <c r="B38">
        <v>596</v>
      </c>
      <c r="C38" t="b">
        <v>1</v>
      </c>
      <c r="D38">
        <v>8048</v>
      </c>
      <c r="E38">
        <v>8123</v>
      </c>
      <c r="F38">
        <v>5.6</v>
      </c>
      <c r="G38">
        <v>8</v>
      </c>
      <c r="H38">
        <v>0.7</v>
      </c>
      <c r="I38">
        <v>0.3</v>
      </c>
      <c r="J38">
        <v>0.58823526000000004</v>
      </c>
    </row>
    <row r="39" spans="1:10" x14ac:dyDescent="0.3">
      <c r="A39">
        <v>37</v>
      </c>
      <c r="B39">
        <v>611</v>
      </c>
      <c r="C39" t="b">
        <v>1</v>
      </c>
      <c r="D39">
        <v>8048</v>
      </c>
      <c r="E39">
        <v>8123</v>
      </c>
      <c r="F39">
        <v>5.6</v>
      </c>
      <c r="G39">
        <v>8</v>
      </c>
      <c r="H39">
        <v>0.7</v>
      </c>
      <c r="I39">
        <v>0.3</v>
      </c>
      <c r="J39">
        <v>0.58823526000000004</v>
      </c>
    </row>
    <row r="40" spans="1:10" x14ac:dyDescent="0.3">
      <c r="A40">
        <v>38</v>
      </c>
      <c r="B40">
        <v>628</v>
      </c>
      <c r="C40" t="b">
        <v>1</v>
      </c>
      <c r="D40">
        <v>8054</v>
      </c>
      <c r="E40">
        <v>8117</v>
      </c>
      <c r="F40">
        <v>5.6</v>
      </c>
      <c r="G40">
        <v>8</v>
      </c>
      <c r="H40">
        <v>0.7</v>
      </c>
      <c r="I40">
        <v>0.3</v>
      </c>
      <c r="J40">
        <v>0.58823526000000004</v>
      </c>
    </row>
    <row r="41" spans="1:10" x14ac:dyDescent="0.3">
      <c r="A41">
        <v>39</v>
      </c>
      <c r="B41">
        <v>644</v>
      </c>
      <c r="C41" t="b">
        <v>1</v>
      </c>
      <c r="D41">
        <v>8054</v>
      </c>
      <c r="E41">
        <v>8123</v>
      </c>
      <c r="F41">
        <v>5.6</v>
      </c>
      <c r="G41">
        <v>8</v>
      </c>
      <c r="H41">
        <v>0.7</v>
      </c>
      <c r="I41">
        <v>0.3</v>
      </c>
      <c r="J41">
        <v>0.58823526000000004</v>
      </c>
    </row>
    <row r="42" spans="1:10" x14ac:dyDescent="0.3">
      <c r="A42">
        <v>40</v>
      </c>
      <c r="B42">
        <v>660</v>
      </c>
      <c r="C42" t="b">
        <v>1</v>
      </c>
      <c r="D42">
        <v>8048</v>
      </c>
      <c r="E42">
        <v>8123</v>
      </c>
      <c r="F42">
        <v>6</v>
      </c>
      <c r="G42">
        <v>8</v>
      </c>
      <c r="H42">
        <v>0.75</v>
      </c>
      <c r="I42">
        <v>0.25</v>
      </c>
      <c r="J42">
        <v>0.57142859999999995</v>
      </c>
    </row>
    <row r="43" spans="1:10" x14ac:dyDescent="0.3">
      <c r="A43">
        <v>41</v>
      </c>
      <c r="B43">
        <v>676</v>
      </c>
      <c r="C43" t="b">
        <v>1</v>
      </c>
      <c r="D43">
        <v>8054</v>
      </c>
      <c r="E43">
        <v>8117</v>
      </c>
      <c r="F43">
        <v>6.8</v>
      </c>
      <c r="G43">
        <v>8</v>
      </c>
      <c r="H43">
        <v>0.85</v>
      </c>
      <c r="I43">
        <v>0.14999998</v>
      </c>
      <c r="J43">
        <v>0.54054049999999998</v>
      </c>
    </row>
    <row r="44" spans="1:10" x14ac:dyDescent="0.3">
      <c r="A44">
        <v>42</v>
      </c>
      <c r="B44">
        <v>692</v>
      </c>
      <c r="C44" t="b">
        <v>1</v>
      </c>
      <c r="D44">
        <v>8042</v>
      </c>
      <c r="E44">
        <v>8117</v>
      </c>
      <c r="F44">
        <v>7.6</v>
      </c>
      <c r="G44">
        <v>7.6</v>
      </c>
      <c r="H44">
        <v>1</v>
      </c>
      <c r="I44">
        <v>0</v>
      </c>
      <c r="J44">
        <v>0.5</v>
      </c>
    </row>
    <row r="45" spans="1:10" x14ac:dyDescent="0.3">
      <c r="A45">
        <v>43</v>
      </c>
      <c r="B45">
        <v>708</v>
      </c>
      <c r="C45" t="b">
        <v>1</v>
      </c>
      <c r="D45">
        <v>8042</v>
      </c>
      <c r="E45">
        <v>8117</v>
      </c>
      <c r="F45">
        <v>8</v>
      </c>
      <c r="G45">
        <v>7.2</v>
      </c>
      <c r="H45">
        <v>1.1111112000000001</v>
      </c>
      <c r="I45">
        <v>-0.11111114</v>
      </c>
      <c r="J45">
        <v>0.4736842</v>
      </c>
    </row>
    <row r="46" spans="1:10" x14ac:dyDescent="0.3">
      <c r="A46">
        <v>44</v>
      </c>
      <c r="B46">
        <v>724</v>
      </c>
      <c r="C46" t="b">
        <v>1</v>
      </c>
      <c r="D46">
        <v>8048</v>
      </c>
      <c r="E46">
        <v>8134</v>
      </c>
      <c r="F46">
        <v>8.4</v>
      </c>
      <c r="G46">
        <v>6.8</v>
      </c>
      <c r="H46">
        <v>1.2352939999999999</v>
      </c>
      <c r="I46">
        <v>-0.23529402999999999</v>
      </c>
      <c r="J46">
        <v>0.44736843999999998</v>
      </c>
    </row>
    <row r="47" spans="1:10" x14ac:dyDescent="0.3">
      <c r="A47">
        <v>45</v>
      </c>
      <c r="B47">
        <v>740</v>
      </c>
      <c r="C47" t="b">
        <v>1</v>
      </c>
      <c r="D47">
        <v>8042</v>
      </c>
      <c r="E47">
        <v>8123</v>
      </c>
      <c r="F47">
        <v>8.4</v>
      </c>
      <c r="G47">
        <v>6.4</v>
      </c>
      <c r="H47">
        <v>1.3124998999999999</v>
      </c>
      <c r="I47">
        <v>-0.3124999</v>
      </c>
      <c r="J47">
        <v>0.43243247000000001</v>
      </c>
    </row>
    <row r="48" spans="1:10" x14ac:dyDescent="0.3">
      <c r="A48">
        <v>46</v>
      </c>
      <c r="B48">
        <v>756</v>
      </c>
      <c r="C48" t="b">
        <v>1</v>
      </c>
      <c r="D48">
        <v>8042</v>
      </c>
      <c r="E48">
        <v>8123</v>
      </c>
      <c r="F48">
        <v>8</v>
      </c>
      <c r="G48">
        <v>6.4</v>
      </c>
      <c r="H48">
        <v>1.25</v>
      </c>
      <c r="I48">
        <v>-0.24999999000000001</v>
      </c>
      <c r="J48">
        <v>0.44444447999999998</v>
      </c>
    </row>
    <row r="49" spans="1:10" x14ac:dyDescent="0.3">
      <c r="A49">
        <v>47</v>
      </c>
      <c r="B49">
        <v>772</v>
      </c>
      <c r="C49" t="b">
        <v>1</v>
      </c>
      <c r="D49">
        <v>8042</v>
      </c>
      <c r="E49">
        <v>8117</v>
      </c>
      <c r="F49">
        <v>7.6</v>
      </c>
      <c r="G49">
        <v>6.4</v>
      </c>
      <c r="H49">
        <v>1.1875</v>
      </c>
      <c r="I49">
        <v>-0.18749996999999999</v>
      </c>
      <c r="J49">
        <v>0.45714285999999998</v>
      </c>
    </row>
    <row r="50" spans="1:10" x14ac:dyDescent="0.3">
      <c r="A50">
        <v>48</v>
      </c>
      <c r="B50">
        <v>788</v>
      </c>
      <c r="C50" t="b">
        <v>1</v>
      </c>
      <c r="D50">
        <v>8048</v>
      </c>
      <c r="E50">
        <v>8123</v>
      </c>
      <c r="F50">
        <v>7.2</v>
      </c>
      <c r="G50">
        <v>6.4</v>
      </c>
      <c r="H50">
        <v>1.125</v>
      </c>
      <c r="I50">
        <v>-0.124999955</v>
      </c>
      <c r="J50">
        <v>0.47058823999999999</v>
      </c>
    </row>
    <row r="51" spans="1:10" x14ac:dyDescent="0.3">
      <c r="A51">
        <v>49</v>
      </c>
      <c r="B51">
        <v>804</v>
      </c>
      <c r="C51" t="b">
        <v>1</v>
      </c>
      <c r="D51">
        <v>8048</v>
      </c>
      <c r="E51">
        <v>8123</v>
      </c>
      <c r="F51">
        <v>6.8</v>
      </c>
      <c r="G51">
        <v>6.4</v>
      </c>
      <c r="H51">
        <v>1.0625</v>
      </c>
      <c r="I51">
        <v>-6.2500015000000006E-2</v>
      </c>
      <c r="J51">
        <v>0.48484846999999998</v>
      </c>
    </row>
    <row r="52" spans="1:10" x14ac:dyDescent="0.3">
      <c r="A52">
        <v>50</v>
      </c>
      <c r="B52">
        <v>820</v>
      </c>
      <c r="C52" t="b">
        <v>1</v>
      </c>
      <c r="D52">
        <v>8048</v>
      </c>
      <c r="E52">
        <v>8129</v>
      </c>
      <c r="F52">
        <v>6.8</v>
      </c>
      <c r="G52">
        <v>6.4</v>
      </c>
      <c r="H52">
        <v>1.0625</v>
      </c>
      <c r="I52">
        <v>-6.2500015000000006E-2</v>
      </c>
      <c r="J52">
        <v>0.48484846999999998</v>
      </c>
    </row>
    <row r="53" spans="1:10" x14ac:dyDescent="0.3">
      <c r="A53">
        <v>51</v>
      </c>
      <c r="B53">
        <v>835</v>
      </c>
      <c r="C53" t="b">
        <v>1</v>
      </c>
      <c r="D53">
        <v>8048</v>
      </c>
      <c r="E53">
        <v>8123</v>
      </c>
      <c r="F53">
        <v>6.8</v>
      </c>
      <c r="G53">
        <v>6.4</v>
      </c>
      <c r="H53">
        <v>1.0625</v>
      </c>
      <c r="I53">
        <v>-6.2500015000000006E-2</v>
      </c>
      <c r="J53">
        <v>0.48484846999999998</v>
      </c>
    </row>
    <row r="54" spans="1:10" x14ac:dyDescent="0.3">
      <c r="A54">
        <v>52</v>
      </c>
      <c r="B54">
        <v>851</v>
      </c>
      <c r="C54" t="b">
        <v>1</v>
      </c>
      <c r="D54">
        <v>8054</v>
      </c>
      <c r="E54">
        <v>8123</v>
      </c>
      <c r="F54">
        <v>6.8</v>
      </c>
      <c r="G54">
        <v>6.4</v>
      </c>
      <c r="H54">
        <v>1.0625</v>
      </c>
      <c r="I54">
        <v>-6.2500015000000006E-2</v>
      </c>
      <c r="J54">
        <v>0.48484846999999998</v>
      </c>
    </row>
    <row r="55" spans="1:10" x14ac:dyDescent="0.3">
      <c r="A55">
        <v>53</v>
      </c>
      <c r="B55">
        <v>867</v>
      </c>
      <c r="C55" t="b">
        <v>1</v>
      </c>
      <c r="D55">
        <v>8048</v>
      </c>
      <c r="E55">
        <v>8123</v>
      </c>
      <c r="F55">
        <v>6.8</v>
      </c>
      <c r="G55">
        <v>6.4</v>
      </c>
      <c r="H55">
        <v>1.0625</v>
      </c>
      <c r="I55">
        <v>-6.2500015000000006E-2</v>
      </c>
      <c r="J55">
        <v>0.48484846999999998</v>
      </c>
    </row>
    <row r="56" spans="1:10" x14ac:dyDescent="0.3">
      <c r="A56">
        <v>54</v>
      </c>
      <c r="B56">
        <v>883</v>
      </c>
      <c r="C56" t="b">
        <v>1</v>
      </c>
      <c r="D56">
        <v>8054</v>
      </c>
      <c r="E56">
        <v>8123</v>
      </c>
      <c r="F56">
        <v>6.8</v>
      </c>
      <c r="G56">
        <v>6.4</v>
      </c>
      <c r="H56">
        <v>1.0625</v>
      </c>
      <c r="I56">
        <v>-6.2500015000000006E-2</v>
      </c>
      <c r="J56">
        <v>0.48484846999999998</v>
      </c>
    </row>
    <row r="57" spans="1:10" x14ac:dyDescent="0.3">
      <c r="A57">
        <v>55</v>
      </c>
      <c r="B57">
        <v>899</v>
      </c>
      <c r="C57" t="b">
        <v>1</v>
      </c>
      <c r="D57">
        <v>8048</v>
      </c>
      <c r="E57">
        <v>8123</v>
      </c>
      <c r="F57">
        <v>6.8</v>
      </c>
      <c r="G57">
        <v>6.4</v>
      </c>
      <c r="H57">
        <v>1.0625</v>
      </c>
      <c r="I57">
        <v>-6.2500015000000006E-2</v>
      </c>
      <c r="J57">
        <v>0.48484846999999998</v>
      </c>
    </row>
    <row r="58" spans="1:10" x14ac:dyDescent="0.3">
      <c r="A58">
        <v>56</v>
      </c>
      <c r="B58">
        <v>915</v>
      </c>
      <c r="C58" t="b">
        <v>1</v>
      </c>
      <c r="D58">
        <v>8042</v>
      </c>
      <c r="E58">
        <v>8123</v>
      </c>
      <c r="F58">
        <v>6.4</v>
      </c>
      <c r="G58">
        <v>6.4</v>
      </c>
      <c r="H58">
        <v>1</v>
      </c>
      <c r="I58">
        <v>0</v>
      </c>
      <c r="J58">
        <v>0.5</v>
      </c>
    </row>
    <row r="59" spans="1:10" x14ac:dyDescent="0.3">
      <c r="A59">
        <v>57</v>
      </c>
      <c r="B59">
        <v>930</v>
      </c>
      <c r="C59" t="b">
        <v>1</v>
      </c>
      <c r="D59">
        <v>8042</v>
      </c>
      <c r="E59">
        <v>8123</v>
      </c>
      <c r="F59">
        <v>6</v>
      </c>
      <c r="G59">
        <v>6.8</v>
      </c>
      <c r="H59">
        <v>0.8823529</v>
      </c>
      <c r="I59">
        <v>0.11764708</v>
      </c>
      <c r="J59">
        <v>0.53125</v>
      </c>
    </row>
    <row r="60" spans="1:10" x14ac:dyDescent="0.3">
      <c r="A60">
        <v>58</v>
      </c>
      <c r="B60">
        <v>946</v>
      </c>
      <c r="C60" t="b">
        <v>1</v>
      </c>
      <c r="D60">
        <v>8042</v>
      </c>
      <c r="E60">
        <v>8123</v>
      </c>
      <c r="F60">
        <v>5.6</v>
      </c>
      <c r="G60">
        <v>7.2</v>
      </c>
      <c r="H60">
        <v>0.77777779999999996</v>
      </c>
      <c r="I60">
        <v>0.22222221</v>
      </c>
      <c r="J60">
        <v>0.5625</v>
      </c>
    </row>
    <row r="61" spans="1:10" x14ac:dyDescent="0.3">
      <c r="A61">
        <v>59</v>
      </c>
      <c r="B61">
        <v>962</v>
      </c>
      <c r="C61" t="b">
        <v>1</v>
      </c>
      <c r="D61">
        <v>8048</v>
      </c>
      <c r="E61">
        <v>8129</v>
      </c>
      <c r="F61">
        <v>5.2</v>
      </c>
      <c r="G61">
        <v>7.6</v>
      </c>
      <c r="H61">
        <v>0.68421054000000003</v>
      </c>
      <c r="I61">
        <v>0.3157895</v>
      </c>
      <c r="J61">
        <v>0.59375</v>
      </c>
    </row>
    <row r="62" spans="1:10" x14ac:dyDescent="0.3">
      <c r="A62">
        <v>60</v>
      </c>
      <c r="B62">
        <v>978</v>
      </c>
      <c r="C62" t="b">
        <v>1</v>
      </c>
      <c r="D62">
        <v>8048</v>
      </c>
      <c r="E62">
        <v>8123</v>
      </c>
      <c r="F62">
        <v>5.2</v>
      </c>
      <c r="G62">
        <v>8</v>
      </c>
      <c r="H62">
        <v>0.65</v>
      </c>
      <c r="I62">
        <v>0.35000002000000002</v>
      </c>
      <c r="J62">
        <v>0.60606059999999995</v>
      </c>
    </row>
    <row r="63" spans="1:10" x14ac:dyDescent="0.3">
      <c r="A63">
        <v>61</v>
      </c>
      <c r="B63">
        <v>994</v>
      </c>
      <c r="C63" t="b">
        <v>1</v>
      </c>
      <c r="D63">
        <v>8048</v>
      </c>
      <c r="E63">
        <v>8123</v>
      </c>
      <c r="F63">
        <v>5.6</v>
      </c>
      <c r="G63">
        <v>8</v>
      </c>
      <c r="H63">
        <v>0.7</v>
      </c>
      <c r="I63">
        <v>0.3</v>
      </c>
      <c r="J63">
        <v>0.58823526000000004</v>
      </c>
    </row>
    <row r="64" spans="1:10" x14ac:dyDescent="0.3">
      <c r="A64">
        <v>62</v>
      </c>
      <c r="B64">
        <v>1010</v>
      </c>
      <c r="C64" t="b">
        <v>1</v>
      </c>
      <c r="D64">
        <v>8048</v>
      </c>
      <c r="E64">
        <v>8123</v>
      </c>
      <c r="F64">
        <v>6</v>
      </c>
      <c r="G64">
        <v>8</v>
      </c>
      <c r="H64">
        <v>0.75</v>
      </c>
      <c r="I64">
        <v>0.25</v>
      </c>
      <c r="J64">
        <v>0.57142859999999995</v>
      </c>
    </row>
    <row r="65" spans="1:10" x14ac:dyDescent="0.3">
      <c r="A65">
        <v>63</v>
      </c>
      <c r="B65">
        <v>1026</v>
      </c>
      <c r="C65" t="b">
        <v>1</v>
      </c>
      <c r="D65">
        <v>8054</v>
      </c>
      <c r="E65">
        <v>8123</v>
      </c>
      <c r="F65">
        <v>6.4</v>
      </c>
      <c r="G65">
        <v>8</v>
      </c>
      <c r="H65">
        <v>0.8</v>
      </c>
      <c r="I65">
        <v>0.19999998999999999</v>
      </c>
      <c r="J65">
        <v>0.55555560000000004</v>
      </c>
    </row>
    <row r="66" spans="1:10" x14ac:dyDescent="0.3">
      <c r="A66">
        <v>64</v>
      </c>
      <c r="B66">
        <v>1042</v>
      </c>
      <c r="C66" t="b">
        <v>1</v>
      </c>
      <c r="D66">
        <v>8048</v>
      </c>
      <c r="E66">
        <v>8129</v>
      </c>
      <c r="F66">
        <v>6.8</v>
      </c>
      <c r="G66">
        <v>8</v>
      </c>
      <c r="H66">
        <v>0.85</v>
      </c>
      <c r="I66">
        <v>0.14999998</v>
      </c>
      <c r="J66">
        <v>0.54054049999999998</v>
      </c>
    </row>
    <row r="67" spans="1:10" x14ac:dyDescent="0.3">
      <c r="A67">
        <v>65</v>
      </c>
      <c r="B67">
        <v>1058</v>
      </c>
      <c r="C67" t="b">
        <v>1</v>
      </c>
      <c r="D67">
        <v>8054</v>
      </c>
      <c r="E67">
        <v>8123</v>
      </c>
      <c r="F67">
        <v>6.8</v>
      </c>
      <c r="G67">
        <v>8</v>
      </c>
      <c r="H67">
        <v>0.85</v>
      </c>
      <c r="I67">
        <v>0.14999998</v>
      </c>
      <c r="J67">
        <v>0.54054049999999998</v>
      </c>
    </row>
    <row r="68" spans="1:10" x14ac:dyDescent="0.3">
      <c r="A68">
        <v>66</v>
      </c>
      <c r="B68">
        <v>1074</v>
      </c>
      <c r="C68" t="b">
        <v>1</v>
      </c>
      <c r="D68">
        <v>8048</v>
      </c>
      <c r="E68">
        <v>8123</v>
      </c>
      <c r="F68">
        <v>6.8</v>
      </c>
      <c r="G68">
        <v>8</v>
      </c>
      <c r="H68">
        <v>0.85</v>
      </c>
      <c r="I68">
        <v>0.14999998</v>
      </c>
      <c r="J68">
        <v>0.54054049999999998</v>
      </c>
    </row>
    <row r="69" spans="1:10" x14ac:dyDescent="0.3">
      <c r="A69">
        <v>67</v>
      </c>
      <c r="B69">
        <v>1090</v>
      </c>
      <c r="C69" t="b">
        <v>1</v>
      </c>
      <c r="D69">
        <v>8048</v>
      </c>
      <c r="E69">
        <v>8134</v>
      </c>
      <c r="F69">
        <v>6.8</v>
      </c>
      <c r="G69">
        <v>8</v>
      </c>
      <c r="H69">
        <v>0.85</v>
      </c>
      <c r="I69">
        <v>0.14999998</v>
      </c>
      <c r="J69">
        <v>0.54054049999999998</v>
      </c>
    </row>
    <row r="70" spans="1:10" x14ac:dyDescent="0.3">
      <c r="A70">
        <v>68</v>
      </c>
      <c r="B70">
        <v>1106</v>
      </c>
      <c r="C70" t="b">
        <v>1</v>
      </c>
      <c r="D70">
        <v>8048</v>
      </c>
      <c r="E70">
        <v>8123</v>
      </c>
      <c r="F70">
        <v>6.8</v>
      </c>
      <c r="G70">
        <v>8</v>
      </c>
      <c r="H70">
        <v>0.85</v>
      </c>
      <c r="I70">
        <v>0.14999998</v>
      </c>
      <c r="J70">
        <v>0.54054049999999998</v>
      </c>
    </row>
    <row r="71" spans="1:10" x14ac:dyDescent="0.3">
      <c r="A71">
        <v>69</v>
      </c>
      <c r="B71">
        <v>1122</v>
      </c>
      <c r="C71" t="b">
        <v>1</v>
      </c>
      <c r="D71">
        <v>8048</v>
      </c>
      <c r="E71">
        <v>8123</v>
      </c>
      <c r="F71">
        <v>6.8</v>
      </c>
      <c r="G71">
        <v>8</v>
      </c>
      <c r="H71">
        <v>0.85</v>
      </c>
      <c r="I71">
        <v>0.14999998</v>
      </c>
      <c r="J71">
        <v>0.54054049999999998</v>
      </c>
    </row>
    <row r="72" spans="1:10" x14ac:dyDescent="0.3">
      <c r="A72">
        <v>70</v>
      </c>
      <c r="B72">
        <v>1138</v>
      </c>
      <c r="C72" t="b">
        <v>1</v>
      </c>
      <c r="D72">
        <v>8048</v>
      </c>
      <c r="E72">
        <v>8123</v>
      </c>
      <c r="F72">
        <v>6.8</v>
      </c>
      <c r="G72">
        <v>8</v>
      </c>
      <c r="H72">
        <v>0.85</v>
      </c>
      <c r="I72">
        <v>0.14999998</v>
      </c>
      <c r="J72">
        <v>0.54054049999999998</v>
      </c>
    </row>
    <row r="73" spans="1:10" x14ac:dyDescent="0.3">
      <c r="A73">
        <v>71</v>
      </c>
      <c r="B73">
        <v>1154</v>
      </c>
      <c r="C73" t="b">
        <v>1</v>
      </c>
      <c r="D73">
        <v>8048</v>
      </c>
      <c r="E73">
        <v>8123</v>
      </c>
      <c r="F73">
        <v>6.8</v>
      </c>
      <c r="G73">
        <v>8</v>
      </c>
      <c r="H73">
        <v>0.85</v>
      </c>
      <c r="I73">
        <v>0.14999998</v>
      </c>
      <c r="J73">
        <v>0.54054049999999998</v>
      </c>
    </row>
    <row r="74" spans="1:10" x14ac:dyDescent="0.3">
      <c r="A74">
        <v>72</v>
      </c>
      <c r="B74">
        <v>1169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1185</v>
      </c>
      <c r="C75" t="b">
        <v>1</v>
      </c>
      <c r="D75">
        <v>8048</v>
      </c>
      <c r="E75">
        <v>8117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1201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1217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1233</v>
      </c>
      <c r="C78" t="b">
        <v>1</v>
      </c>
      <c r="D78">
        <v>8048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1248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1265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1280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1296</v>
      </c>
      <c r="C82" t="b">
        <v>1</v>
      </c>
      <c r="D82">
        <v>8048</v>
      </c>
      <c r="E82">
        <v>8129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1311</v>
      </c>
      <c r="C83" t="b">
        <v>1</v>
      </c>
      <c r="D83">
        <v>8048</v>
      </c>
      <c r="E83">
        <v>8117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1327</v>
      </c>
      <c r="C84" t="b">
        <v>1</v>
      </c>
      <c r="D84">
        <v>8048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1343</v>
      </c>
      <c r="C85" t="b">
        <v>1</v>
      </c>
      <c r="D85">
        <v>8048</v>
      </c>
      <c r="E85">
        <v>8117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1359</v>
      </c>
      <c r="C86" t="b">
        <v>1</v>
      </c>
      <c r="D86">
        <v>8048</v>
      </c>
      <c r="E86">
        <v>8117</v>
      </c>
      <c r="F86">
        <v>8</v>
      </c>
      <c r="G86">
        <v>7.6</v>
      </c>
      <c r="H86">
        <v>1.0526316</v>
      </c>
      <c r="I86">
        <v>-5.2631589999999999E-2</v>
      </c>
      <c r="J86">
        <v>0.48717946000000001</v>
      </c>
    </row>
    <row r="87" spans="1:10" x14ac:dyDescent="0.3">
      <c r="A87">
        <v>85</v>
      </c>
      <c r="B87">
        <v>1375</v>
      </c>
      <c r="C87" t="b">
        <v>1</v>
      </c>
      <c r="D87">
        <v>8048</v>
      </c>
      <c r="E87">
        <v>8117</v>
      </c>
      <c r="F87">
        <v>8</v>
      </c>
      <c r="G87">
        <v>7.2</v>
      </c>
      <c r="H87">
        <v>1.1111112000000001</v>
      </c>
      <c r="I87">
        <v>-0.11111114</v>
      </c>
      <c r="J87">
        <v>0.4736842</v>
      </c>
    </row>
    <row r="88" spans="1:10" x14ac:dyDescent="0.3">
      <c r="A88">
        <v>86</v>
      </c>
      <c r="B88">
        <v>1391</v>
      </c>
      <c r="C88" t="b">
        <v>1</v>
      </c>
      <c r="D88">
        <v>8048</v>
      </c>
      <c r="E88">
        <v>8117</v>
      </c>
      <c r="F88">
        <v>8</v>
      </c>
      <c r="G88">
        <v>6.8</v>
      </c>
      <c r="H88">
        <v>1.1764705</v>
      </c>
      <c r="I88">
        <v>-0.17647055</v>
      </c>
      <c r="J88">
        <v>0.45945944999999999</v>
      </c>
    </row>
    <row r="89" spans="1:10" x14ac:dyDescent="0.3">
      <c r="A89">
        <v>87</v>
      </c>
      <c r="B89">
        <v>1407</v>
      </c>
      <c r="C89" t="b">
        <v>1</v>
      </c>
      <c r="D89">
        <v>8054</v>
      </c>
      <c r="E89">
        <v>8134</v>
      </c>
      <c r="F89">
        <v>8</v>
      </c>
      <c r="G89">
        <v>6.4</v>
      </c>
      <c r="H89">
        <v>1.25</v>
      </c>
      <c r="I89">
        <v>-0.24999999000000001</v>
      </c>
      <c r="J89">
        <v>0.44444447999999998</v>
      </c>
    </row>
    <row r="90" spans="1:10" x14ac:dyDescent="0.3">
      <c r="A90">
        <v>88</v>
      </c>
      <c r="B90">
        <v>1423</v>
      </c>
      <c r="C90" t="b">
        <v>1</v>
      </c>
      <c r="D90">
        <v>8048</v>
      </c>
      <c r="E90">
        <v>8123</v>
      </c>
      <c r="F90">
        <v>8</v>
      </c>
      <c r="G90">
        <v>6</v>
      </c>
      <c r="H90">
        <v>1.3333333999999999</v>
      </c>
      <c r="I90">
        <v>-0.33333333999999998</v>
      </c>
      <c r="J90">
        <v>0.42857142999999998</v>
      </c>
    </row>
    <row r="91" spans="1:10" x14ac:dyDescent="0.3">
      <c r="A91">
        <v>89</v>
      </c>
      <c r="B91">
        <v>1439</v>
      </c>
      <c r="C91" t="b">
        <v>1</v>
      </c>
      <c r="D91">
        <v>8048</v>
      </c>
      <c r="E91">
        <v>8123</v>
      </c>
      <c r="F91">
        <v>8</v>
      </c>
      <c r="G91">
        <v>6</v>
      </c>
      <c r="H91">
        <v>1.3333333999999999</v>
      </c>
      <c r="I91">
        <v>-0.33333333999999998</v>
      </c>
      <c r="J91">
        <v>0.42857142999999998</v>
      </c>
    </row>
    <row r="92" spans="1:10" x14ac:dyDescent="0.3">
      <c r="A92">
        <v>90</v>
      </c>
      <c r="B92">
        <v>1455</v>
      </c>
      <c r="C92" t="b">
        <v>1</v>
      </c>
      <c r="D92">
        <v>8048</v>
      </c>
      <c r="E92">
        <v>8117</v>
      </c>
      <c r="F92">
        <v>8</v>
      </c>
      <c r="G92">
        <v>6</v>
      </c>
      <c r="H92">
        <v>1.3333333999999999</v>
      </c>
      <c r="I92">
        <v>-0.33333333999999998</v>
      </c>
      <c r="J92">
        <v>0.42857142999999998</v>
      </c>
    </row>
    <row r="93" spans="1:10" x14ac:dyDescent="0.3">
      <c r="A93">
        <v>91</v>
      </c>
      <c r="B93">
        <v>1471</v>
      </c>
      <c r="C93" t="b">
        <v>1</v>
      </c>
      <c r="D93">
        <v>8048</v>
      </c>
      <c r="E93">
        <v>8123</v>
      </c>
      <c r="F93">
        <v>8</v>
      </c>
      <c r="G93">
        <v>6</v>
      </c>
      <c r="H93">
        <v>1.3333333999999999</v>
      </c>
      <c r="I93">
        <v>-0.33333333999999998</v>
      </c>
      <c r="J93">
        <v>0.42857142999999998</v>
      </c>
    </row>
    <row r="94" spans="1:10" x14ac:dyDescent="0.3">
      <c r="A94">
        <v>92</v>
      </c>
      <c r="B94">
        <v>1487</v>
      </c>
      <c r="C94" t="b">
        <v>1</v>
      </c>
      <c r="D94">
        <v>8048</v>
      </c>
      <c r="E94">
        <v>8123</v>
      </c>
      <c r="F94">
        <v>8</v>
      </c>
      <c r="G94">
        <v>6</v>
      </c>
      <c r="H94">
        <v>1.3333333999999999</v>
      </c>
      <c r="I94">
        <v>-0.33333333999999998</v>
      </c>
      <c r="J94">
        <v>0.42857142999999998</v>
      </c>
    </row>
    <row r="95" spans="1:10" x14ac:dyDescent="0.3">
      <c r="A95">
        <v>93</v>
      </c>
      <c r="B95">
        <v>1503</v>
      </c>
      <c r="C95" t="b">
        <v>1</v>
      </c>
      <c r="D95">
        <v>8042</v>
      </c>
      <c r="E95">
        <v>8123</v>
      </c>
      <c r="F95">
        <v>8</v>
      </c>
      <c r="G95">
        <v>6</v>
      </c>
      <c r="H95">
        <v>1.3333333999999999</v>
      </c>
      <c r="I95">
        <v>-0.33333333999999998</v>
      </c>
      <c r="J95">
        <v>0.42857142999999998</v>
      </c>
    </row>
    <row r="96" spans="1:10" x14ac:dyDescent="0.3">
      <c r="A96">
        <v>94</v>
      </c>
      <c r="B96">
        <v>1519</v>
      </c>
      <c r="C96" t="b">
        <v>1</v>
      </c>
      <c r="D96">
        <v>8048</v>
      </c>
      <c r="E96">
        <v>8123</v>
      </c>
      <c r="F96">
        <v>8</v>
      </c>
      <c r="G96">
        <v>6</v>
      </c>
      <c r="H96">
        <v>1.3333333999999999</v>
      </c>
      <c r="I96">
        <v>-0.33333333999999998</v>
      </c>
      <c r="J96">
        <v>0.42857142999999998</v>
      </c>
    </row>
    <row r="97" spans="1:10" x14ac:dyDescent="0.3">
      <c r="A97">
        <v>95</v>
      </c>
      <c r="B97">
        <v>1535</v>
      </c>
      <c r="C97" t="b">
        <v>1</v>
      </c>
      <c r="D97">
        <v>8048</v>
      </c>
      <c r="E97">
        <v>8123</v>
      </c>
      <c r="F97">
        <v>8</v>
      </c>
      <c r="G97">
        <v>6</v>
      </c>
      <c r="H97">
        <v>1.3333333999999999</v>
      </c>
      <c r="I97">
        <v>-0.33333333999999998</v>
      </c>
      <c r="J97">
        <v>0.42857142999999998</v>
      </c>
    </row>
    <row r="98" spans="1:10" x14ac:dyDescent="0.3">
      <c r="A98">
        <v>96</v>
      </c>
      <c r="B98">
        <v>1550</v>
      </c>
      <c r="C98" t="b">
        <v>1</v>
      </c>
      <c r="D98">
        <v>8042</v>
      </c>
      <c r="E98">
        <v>8129</v>
      </c>
      <c r="F98">
        <v>8</v>
      </c>
      <c r="G98">
        <v>6</v>
      </c>
      <c r="H98">
        <v>1.3333333999999999</v>
      </c>
      <c r="I98">
        <v>-0.33333333999999998</v>
      </c>
      <c r="J98">
        <v>0.42857142999999998</v>
      </c>
    </row>
    <row r="99" spans="1:10" x14ac:dyDescent="0.3">
      <c r="A99">
        <v>97</v>
      </c>
      <c r="B99">
        <v>1566</v>
      </c>
      <c r="C99" t="b">
        <v>1</v>
      </c>
      <c r="D99">
        <v>8042</v>
      </c>
      <c r="E99">
        <v>8129</v>
      </c>
      <c r="F99">
        <v>7.6</v>
      </c>
      <c r="G99">
        <v>6</v>
      </c>
      <c r="H99">
        <v>1.2666667</v>
      </c>
      <c r="I99">
        <v>-0.26666665000000001</v>
      </c>
      <c r="J99">
        <v>0.44117644</v>
      </c>
    </row>
    <row r="100" spans="1:10" x14ac:dyDescent="0.3">
      <c r="A100">
        <v>98</v>
      </c>
      <c r="B100">
        <v>1582</v>
      </c>
      <c r="C100" t="b">
        <v>1</v>
      </c>
      <c r="D100">
        <v>8042</v>
      </c>
      <c r="E100">
        <v>8123</v>
      </c>
      <c r="F100">
        <v>7.2</v>
      </c>
      <c r="G100">
        <v>6</v>
      </c>
      <c r="H100">
        <v>1.1999998999999999</v>
      </c>
      <c r="I100">
        <v>-0.19999997</v>
      </c>
      <c r="J100">
        <v>0.45454547000000001</v>
      </c>
    </row>
    <row r="101" spans="1:10" x14ac:dyDescent="0.3">
      <c r="A101">
        <v>99</v>
      </c>
      <c r="B101">
        <v>1598</v>
      </c>
      <c r="C101" t="b">
        <v>1</v>
      </c>
      <c r="D101">
        <v>8048</v>
      </c>
      <c r="E101">
        <v>8123</v>
      </c>
      <c r="F101">
        <v>6.8</v>
      </c>
      <c r="G101">
        <v>6.4</v>
      </c>
      <c r="H101">
        <v>1.0625</v>
      </c>
      <c r="I101">
        <v>-6.2500015000000006E-2</v>
      </c>
      <c r="J101">
        <v>0.48484846999999998</v>
      </c>
    </row>
    <row r="102" spans="1:10" x14ac:dyDescent="0.3">
      <c r="A102">
        <v>100</v>
      </c>
      <c r="B102">
        <v>1614</v>
      </c>
      <c r="C102" t="b">
        <v>1</v>
      </c>
      <c r="D102">
        <v>8048</v>
      </c>
      <c r="E102">
        <v>8123</v>
      </c>
      <c r="F102">
        <v>6.4</v>
      </c>
      <c r="G102">
        <v>6.8</v>
      </c>
      <c r="H102">
        <v>0.94117649999999997</v>
      </c>
      <c r="I102">
        <v>5.8823540000000001E-2</v>
      </c>
      <c r="J102">
        <v>0.51515149999999998</v>
      </c>
    </row>
    <row r="103" spans="1:10" x14ac:dyDescent="0.3">
      <c r="A103">
        <v>101</v>
      </c>
      <c r="B103">
        <v>1630</v>
      </c>
      <c r="C103" t="b">
        <v>1</v>
      </c>
      <c r="D103">
        <v>8054</v>
      </c>
      <c r="E103">
        <v>8123</v>
      </c>
      <c r="F103">
        <v>6.4</v>
      </c>
      <c r="G103">
        <v>7.2</v>
      </c>
      <c r="H103">
        <v>0.88888895999999995</v>
      </c>
      <c r="I103">
        <v>0.111111075</v>
      </c>
      <c r="J103">
        <v>0.52941172999999997</v>
      </c>
    </row>
    <row r="104" spans="1:10" x14ac:dyDescent="0.3">
      <c r="A104">
        <v>102</v>
      </c>
      <c r="B104">
        <v>1646</v>
      </c>
      <c r="C104" t="b">
        <v>1</v>
      </c>
      <c r="D104">
        <v>8048</v>
      </c>
      <c r="E104">
        <v>8123</v>
      </c>
      <c r="F104">
        <v>6.4</v>
      </c>
      <c r="G104">
        <v>7.6</v>
      </c>
      <c r="H104">
        <v>0.84210527000000002</v>
      </c>
      <c r="I104">
        <v>0.15789471999999999</v>
      </c>
      <c r="J104">
        <v>0.54285709999999998</v>
      </c>
    </row>
    <row r="105" spans="1:10" x14ac:dyDescent="0.3">
      <c r="A105">
        <v>103</v>
      </c>
      <c r="B105">
        <v>1662</v>
      </c>
      <c r="C105" t="b">
        <v>1</v>
      </c>
      <c r="D105">
        <v>8048</v>
      </c>
      <c r="E105">
        <v>8123</v>
      </c>
      <c r="F105">
        <v>6.4</v>
      </c>
      <c r="G105">
        <v>8</v>
      </c>
      <c r="H105">
        <v>0.8</v>
      </c>
      <c r="I105">
        <v>0.19999998999999999</v>
      </c>
      <c r="J105">
        <v>0.55555560000000004</v>
      </c>
    </row>
    <row r="106" spans="1:10" x14ac:dyDescent="0.3">
      <c r="A106">
        <v>104</v>
      </c>
      <c r="B106">
        <v>1678</v>
      </c>
      <c r="C106" t="b">
        <v>1</v>
      </c>
      <c r="D106">
        <v>8048</v>
      </c>
      <c r="E106">
        <v>8123</v>
      </c>
      <c r="F106">
        <v>6.4</v>
      </c>
      <c r="G106">
        <v>8</v>
      </c>
      <c r="H106">
        <v>0.8</v>
      </c>
      <c r="I106">
        <v>0.19999998999999999</v>
      </c>
      <c r="J106">
        <v>0.55555560000000004</v>
      </c>
    </row>
    <row r="107" spans="1:10" x14ac:dyDescent="0.3">
      <c r="A107">
        <v>105</v>
      </c>
      <c r="B107">
        <v>1693</v>
      </c>
      <c r="C107" t="b">
        <v>1</v>
      </c>
      <c r="D107">
        <v>8048</v>
      </c>
      <c r="E107">
        <v>8123</v>
      </c>
      <c r="F107">
        <v>6.4</v>
      </c>
      <c r="G107">
        <v>8</v>
      </c>
      <c r="H107">
        <v>0.8</v>
      </c>
      <c r="I107">
        <v>0.19999998999999999</v>
      </c>
      <c r="J107">
        <v>0.55555560000000004</v>
      </c>
    </row>
    <row r="108" spans="1:10" x14ac:dyDescent="0.3">
      <c r="A108">
        <v>106</v>
      </c>
      <c r="B108">
        <v>1709</v>
      </c>
      <c r="C108" t="b">
        <v>1</v>
      </c>
      <c r="D108">
        <v>8048</v>
      </c>
      <c r="E108">
        <v>8123</v>
      </c>
      <c r="F108">
        <v>6.4</v>
      </c>
      <c r="G108">
        <v>8</v>
      </c>
      <c r="H108">
        <v>0.8</v>
      </c>
      <c r="I108">
        <v>0.19999998999999999</v>
      </c>
      <c r="J108">
        <v>0.55555560000000004</v>
      </c>
    </row>
    <row r="109" spans="1:10" x14ac:dyDescent="0.3">
      <c r="A109">
        <v>107</v>
      </c>
      <c r="B109">
        <v>1725</v>
      </c>
      <c r="C109" t="b">
        <v>1</v>
      </c>
      <c r="D109">
        <v>8048</v>
      </c>
      <c r="E109">
        <v>8129</v>
      </c>
      <c r="F109">
        <v>6.4</v>
      </c>
      <c r="G109">
        <v>8</v>
      </c>
      <c r="H109">
        <v>0.8</v>
      </c>
      <c r="I109">
        <v>0.19999998999999999</v>
      </c>
      <c r="J109">
        <v>0.55555560000000004</v>
      </c>
    </row>
    <row r="110" spans="1:10" x14ac:dyDescent="0.3">
      <c r="A110">
        <v>108</v>
      </c>
      <c r="B110">
        <v>1741</v>
      </c>
      <c r="C110" t="b">
        <v>1</v>
      </c>
      <c r="D110">
        <v>8048</v>
      </c>
      <c r="E110">
        <v>8123</v>
      </c>
      <c r="F110">
        <v>6.4</v>
      </c>
      <c r="G110">
        <v>8</v>
      </c>
      <c r="H110">
        <v>0.8</v>
      </c>
      <c r="I110">
        <v>0.19999998999999999</v>
      </c>
      <c r="J110">
        <v>0.55555560000000004</v>
      </c>
    </row>
    <row r="111" spans="1:10" x14ac:dyDescent="0.3">
      <c r="A111">
        <v>109</v>
      </c>
      <c r="B111">
        <v>1757</v>
      </c>
      <c r="C111" t="b">
        <v>1</v>
      </c>
      <c r="D111">
        <v>8048</v>
      </c>
      <c r="E111">
        <v>8123</v>
      </c>
      <c r="F111">
        <v>6.4</v>
      </c>
      <c r="G111">
        <v>8</v>
      </c>
      <c r="H111">
        <v>0.8</v>
      </c>
      <c r="I111">
        <v>0.19999998999999999</v>
      </c>
      <c r="J111">
        <v>0.55555560000000004</v>
      </c>
    </row>
    <row r="112" spans="1:10" x14ac:dyDescent="0.3">
      <c r="A112">
        <v>110</v>
      </c>
      <c r="B112">
        <v>1773</v>
      </c>
      <c r="C112" t="b">
        <v>1</v>
      </c>
      <c r="D112">
        <v>8042</v>
      </c>
      <c r="E112">
        <v>8123</v>
      </c>
      <c r="F112">
        <v>6.4</v>
      </c>
      <c r="G112">
        <v>8</v>
      </c>
      <c r="H112">
        <v>0.8</v>
      </c>
      <c r="I112">
        <v>0.19999998999999999</v>
      </c>
      <c r="J112">
        <v>0.55555560000000004</v>
      </c>
    </row>
    <row r="113" spans="1:10" x14ac:dyDescent="0.3">
      <c r="A113">
        <v>111</v>
      </c>
      <c r="B113">
        <v>1789</v>
      </c>
      <c r="C113" t="b">
        <v>1</v>
      </c>
      <c r="D113">
        <v>8048</v>
      </c>
      <c r="E113">
        <v>8123</v>
      </c>
      <c r="F113">
        <v>6.4</v>
      </c>
      <c r="G113">
        <v>8</v>
      </c>
      <c r="H113">
        <v>0.8</v>
      </c>
      <c r="I113">
        <v>0.19999998999999999</v>
      </c>
      <c r="J113">
        <v>0.55555560000000004</v>
      </c>
    </row>
    <row r="114" spans="1:10" x14ac:dyDescent="0.3">
      <c r="A114">
        <v>112</v>
      </c>
      <c r="B114">
        <v>1805</v>
      </c>
      <c r="C114" t="b">
        <v>1</v>
      </c>
      <c r="D114">
        <v>8048</v>
      </c>
      <c r="E114">
        <v>8123</v>
      </c>
      <c r="F114">
        <v>6.8</v>
      </c>
      <c r="G114">
        <v>8</v>
      </c>
      <c r="H114">
        <v>0.85</v>
      </c>
      <c r="I114">
        <v>0.14999998</v>
      </c>
      <c r="J114">
        <v>0.54054049999999998</v>
      </c>
    </row>
    <row r="115" spans="1:10" x14ac:dyDescent="0.3">
      <c r="A115">
        <v>113</v>
      </c>
      <c r="B115">
        <v>1820</v>
      </c>
      <c r="C115" t="b">
        <v>1</v>
      </c>
      <c r="D115">
        <v>8048</v>
      </c>
      <c r="E115">
        <v>8123</v>
      </c>
      <c r="F115">
        <v>7.2</v>
      </c>
      <c r="G115">
        <v>8</v>
      </c>
      <c r="H115">
        <v>0.9</v>
      </c>
      <c r="I115">
        <v>0.10000002400000001</v>
      </c>
      <c r="J115">
        <v>0.5263158</v>
      </c>
    </row>
    <row r="116" spans="1:10" x14ac:dyDescent="0.3">
      <c r="A116">
        <v>114</v>
      </c>
      <c r="B116">
        <v>1836</v>
      </c>
      <c r="C116" t="b">
        <v>1</v>
      </c>
      <c r="D116">
        <v>8048</v>
      </c>
      <c r="E116">
        <v>8123</v>
      </c>
      <c r="F116">
        <v>7.6</v>
      </c>
      <c r="G116">
        <v>8</v>
      </c>
      <c r="H116">
        <v>0.95</v>
      </c>
      <c r="I116">
        <v>5.0000012000000003E-2</v>
      </c>
      <c r="J116">
        <v>0.51282050000000001</v>
      </c>
    </row>
    <row r="117" spans="1:10" x14ac:dyDescent="0.3">
      <c r="A117">
        <v>115</v>
      </c>
      <c r="B117">
        <v>1852</v>
      </c>
      <c r="C117" t="b">
        <v>1</v>
      </c>
      <c r="D117">
        <v>8048</v>
      </c>
      <c r="E117">
        <v>8123</v>
      </c>
      <c r="F117">
        <v>8</v>
      </c>
      <c r="G117">
        <v>8</v>
      </c>
      <c r="H117">
        <v>1</v>
      </c>
      <c r="I117">
        <v>0</v>
      </c>
      <c r="J117">
        <v>0.5</v>
      </c>
    </row>
    <row r="118" spans="1:10" x14ac:dyDescent="0.3">
      <c r="A118">
        <v>116</v>
      </c>
      <c r="B118">
        <v>1868</v>
      </c>
      <c r="C118" t="b">
        <v>1</v>
      </c>
      <c r="D118">
        <v>8048</v>
      </c>
      <c r="E118">
        <v>8123</v>
      </c>
      <c r="F118">
        <v>8</v>
      </c>
      <c r="G118">
        <v>8</v>
      </c>
      <c r="H118">
        <v>1</v>
      </c>
      <c r="I118">
        <v>0</v>
      </c>
      <c r="J118">
        <v>0.5</v>
      </c>
    </row>
    <row r="119" spans="1:10" x14ac:dyDescent="0.3">
      <c r="A119">
        <v>117</v>
      </c>
      <c r="B119">
        <v>1883</v>
      </c>
      <c r="C119" t="b">
        <v>1</v>
      </c>
      <c r="D119">
        <v>8048</v>
      </c>
      <c r="E119">
        <v>8123</v>
      </c>
      <c r="F119">
        <v>8</v>
      </c>
      <c r="G119">
        <v>8</v>
      </c>
      <c r="H119">
        <v>1</v>
      </c>
      <c r="I119">
        <v>0</v>
      </c>
      <c r="J119">
        <v>0.5</v>
      </c>
    </row>
    <row r="120" spans="1:10" x14ac:dyDescent="0.3">
      <c r="A120">
        <v>118</v>
      </c>
      <c r="B120">
        <v>1899</v>
      </c>
      <c r="C120" t="b">
        <v>1</v>
      </c>
      <c r="D120">
        <v>8048</v>
      </c>
      <c r="E120">
        <v>8129</v>
      </c>
      <c r="F120">
        <v>8</v>
      </c>
      <c r="G120">
        <v>8</v>
      </c>
      <c r="H120">
        <v>1</v>
      </c>
      <c r="I120">
        <v>0</v>
      </c>
      <c r="J120">
        <v>0.5</v>
      </c>
    </row>
    <row r="121" spans="1:10" x14ac:dyDescent="0.3">
      <c r="A121">
        <v>119</v>
      </c>
      <c r="B121">
        <v>1915</v>
      </c>
      <c r="C121" t="b">
        <v>1</v>
      </c>
      <c r="D121">
        <v>8048</v>
      </c>
      <c r="E121">
        <v>8123</v>
      </c>
      <c r="F121">
        <v>8</v>
      </c>
      <c r="G121">
        <v>8</v>
      </c>
      <c r="H121">
        <v>1</v>
      </c>
      <c r="I121">
        <v>0</v>
      </c>
      <c r="J121">
        <v>0.5</v>
      </c>
    </row>
    <row r="122" spans="1:10" x14ac:dyDescent="0.3">
      <c r="A122">
        <v>120</v>
      </c>
      <c r="B122">
        <v>1931</v>
      </c>
      <c r="C122" t="b">
        <v>1</v>
      </c>
      <c r="D122">
        <v>8048</v>
      </c>
      <c r="E122">
        <v>8123</v>
      </c>
      <c r="F122">
        <v>8</v>
      </c>
      <c r="G122">
        <v>8</v>
      </c>
      <c r="H122">
        <v>1</v>
      </c>
      <c r="I122">
        <v>0</v>
      </c>
      <c r="J122">
        <v>0.5</v>
      </c>
    </row>
    <row r="123" spans="1:10" x14ac:dyDescent="0.3">
      <c r="A123">
        <v>121</v>
      </c>
      <c r="B123">
        <v>1947</v>
      </c>
      <c r="C123" t="b">
        <v>1</v>
      </c>
      <c r="D123">
        <v>8048</v>
      </c>
      <c r="E123">
        <v>8123</v>
      </c>
      <c r="F123">
        <v>8</v>
      </c>
      <c r="G123">
        <v>8</v>
      </c>
      <c r="H123">
        <v>1</v>
      </c>
      <c r="I123">
        <v>0</v>
      </c>
      <c r="J123">
        <v>0.5</v>
      </c>
    </row>
    <row r="124" spans="1:10" x14ac:dyDescent="0.3">
      <c r="A124">
        <v>122</v>
      </c>
      <c r="B124">
        <v>1963</v>
      </c>
      <c r="C124" t="b">
        <v>1</v>
      </c>
      <c r="D124">
        <v>8048</v>
      </c>
      <c r="E124">
        <v>8123</v>
      </c>
      <c r="F124">
        <v>8</v>
      </c>
      <c r="G124">
        <v>8</v>
      </c>
      <c r="H124">
        <v>1</v>
      </c>
      <c r="I124">
        <v>0</v>
      </c>
      <c r="J124">
        <v>0.5</v>
      </c>
    </row>
    <row r="125" spans="1:10" x14ac:dyDescent="0.3">
      <c r="A125">
        <v>123</v>
      </c>
      <c r="B125">
        <v>1979</v>
      </c>
      <c r="C125" t="b">
        <v>1</v>
      </c>
      <c r="D125">
        <v>8048</v>
      </c>
      <c r="E125">
        <v>8123</v>
      </c>
      <c r="F125">
        <v>8</v>
      </c>
      <c r="G125">
        <v>8</v>
      </c>
      <c r="H125">
        <v>1</v>
      </c>
      <c r="I125">
        <v>0</v>
      </c>
      <c r="J125">
        <v>0.5</v>
      </c>
    </row>
    <row r="126" spans="1:10" x14ac:dyDescent="0.3">
      <c r="A126">
        <v>124</v>
      </c>
      <c r="B126">
        <v>1995</v>
      </c>
      <c r="C126" t="b">
        <v>1</v>
      </c>
      <c r="D126">
        <v>8048</v>
      </c>
      <c r="E126">
        <v>8129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2011</v>
      </c>
      <c r="C127" t="b">
        <v>1</v>
      </c>
      <c r="D127">
        <v>8048</v>
      </c>
      <c r="E127">
        <v>8129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2043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2059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2091</v>
      </c>
      <c r="C132" t="b">
        <v>1</v>
      </c>
      <c r="D132">
        <v>8042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2106</v>
      </c>
      <c r="C133" t="b">
        <v>1</v>
      </c>
      <c r="D133">
        <v>8048</v>
      </c>
      <c r="E133">
        <v>8123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2122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2138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2154</v>
      </c>
      <c r="C136" t="b">
        <v>1</v>
      </c>
      <c r="D136">
        <v>8048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2170</v>
      </c>
      <c r="C137" t="b">
        <v>1</v>
      </c>
      <c r="D137">
        <v>8048</v>
      </c>
      <c r="E137">
        <v>8123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2186</v>
      </c>
      <c r="C138" t="b">
        <v>1</v>
      </c>
      <c r="D138">
        <v>8048</v>
      </c>
      <c r="E138">
        <v>8123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2202</v>
      </c>
      <c r="C139" t="b">
        <v>1</v>
      </c>
      <c r="D139">
        <v>8048</v>
      </c>
      <c r="E139">
        <v>8123</v>
      </c>
      <c r="F139">
        <v>8</v>
      </c>
      <c r="G139">
        <v>8</v>
      </c>
      <c r="H139">
        <v>1</v>
      </c>
      <c r="I139">
        <v>0</v>
      </c>
      <c r="J139">
        <v>0.5</v>
      </c>
    </row>
    <row r="140" spans="1:10" x14ac:dyDescent="0.3">
      <c r="A140">
        <v>138</v>
      </c>
      <c r="B140">
        <v>2218</v>
      </c>
      <c r="C140" t="b">
        <v>1</v>
      </c>
      <c r="D140">
        <v>8048</v>
      </c>
      <c r="E140">
        <v>8123</v>
      </c>
      <c r="F140">
        <v>8</v>
      </c>
      <c r="G140">
        <v>8</v>
      </c>
      <c r="H140">
        <v>1</v>
      </c>
      <c r="I140">
        <v>0</v>
      </c>
      <c r="J140">
        <v>0.5</v>
      </c>
    </row>
    <row r="141" spans="1:10" x14ac:dyDescent="0.3">
      <c r="A141">
        <v>139</v>
      </c>
      <c r="B141">
        <v>2234</v>
      </c>
      <c r="C141" t="b">
        <v>1</v>
      </c>
      <c r="D141">
        <v>8048</v>
      </c>
      <c r="E141">
        <v>8123</v>
      </c>
      <c r="F141">
        <v>8</v>
      </c>
      <c r="G141">
        <v>8</v>
      </c>
      <c r="H141">
        <v>1</v>
      </c>
      <c r="I141">
        <v>0</v>
      </c>
      <c r="J141">
        <v>0.5</v>
      </c>
    </row>
    <row r="142" spans="1:10" x14ac:dyDescent="0.3">
      <c r="A142">
        <v>140</v>
      </c>
      <c r="B142">
        <v>2250</v>
      </c>
      <c r="C142" t="b">
        <v>1</v>
      </c>
      <c r="D142">
        <v>8048</v>
      </c>
      <c r="E142">
        <v>8123</v>
      </c>
      <c r="F142">
        <v>8</v>
      </c>
      <c r="G142">
        <v>8</v>
      </c>
      <c r="H142">
        <v>1</v>
      </c>
      <c r="I142">
        <v>0</v>
      </c>
      <c r="J142">
        <v>0.5</v>
      </c>
    </row>
    <row r="143" spans="1:10" x14ac:dyDescent="0.3">
      <c r="A143">
        <v>141</v>
      </c>
      <c r="B143">
        <v>2266</v>
      </c>
      <c r="C143" t="b">
        <v>1</v>
      </c>
      <c r="D143">
        <v>8048</v>
      </c>
      <c r="E143">
        <v>8123</v>
      </c>
      <c r="F143">
        <v>8</v>
      </c>
      <c r="G143">
        <v>8</v>
      </c>
      <c r="H143">
        <v>1</v>
      </c>
      <c r="I143">
        <v>0</v>
      </c>
      <c r="J143">
        <v>0.5</v>
      </c>
    </row>
    <row r="144" spans="1:10" x14ac:dyDescent="0.3">
      <c r="A144">
        <v>142</v>
      </c>
      <c r="B144">
        <v>2281</v>
      </c>
      <c r="C144" t="b">
        <v>1</v>
      </c>
      <c r="D144">
        <v>8048</v>
      </c>
      <c r="E144">
        <v>8123</v>
      </c>
      <c r="F144">
        <v>8</v>
      </c>
      <c r="G144">
        <v>8</v>
      </c>
      <c r="H144">
        <v>1</v>
      </c>
      <c r="I144">
        <v>0</v>
      </c>
      <c r="J144">
        <v>0.5</v>
      </c>
    </row>
    <row r="145" spans="1:10" x14ac:dyDescent="0.3">
      <c r="A145">
        <v>143</v>
      </c>
      <c r="B145">
        <v>2297</v>
      </c>
      <c r="C145" t="b">
        <v>1</v>
      </c>
      <c r="D145">
        <v>8048</v>
      </c>
      <c r="E145">
        <v>8123</v>
      </c>
      <c r="F145">
        <v>8</v>
      </c>
      <c r="G145">
        <v>8</v>
      </c>
      <c r="H145">
        <v>1</v>
      </c>
      <c r="I145">
        <v>0</v>
      </c>
      <c r="J145">
        <v>0.5</v>
      </c>
    </row>
    <row r="146" spans="1:10" x14ac:dyDescent="0.3">
      <c r="A146">
        <v>144</v>
      </c>
      <c r="B146">
        <v>2313</v>
      </c>
      <c r="C146" t="b">
        <v>1</v>
      </c>
      <c r="D146">
        <v>8054</v>
      </c>
      <c r="E146">
        <v>8123</v>
      </c>
      <c r="F146">
        <v>8</v>
      </c>
      <c r="G146">
        <v>8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2329</v>
      </c>
      <c r="C147" t="b">
        <v>1</v>
      </c>
      <c r="D147">
        <v>8054</v>
      </c>
      <c r="E147">
        <v>8123</v>
      </c>
      <c r="F147">
        <v>8</v>
      </c>
      <c r="G147">
        <v>8</v>
      </c>
      <c r="H147">
        <v>1</v>
      </c>
      <c r="I147">
        <v>0</v>
      </c>
      <c r="J147">
        <v>0.5</v>
      </c>
    </row>
    <row r="148" spans="1:10" x14ac:dyDescent="0.3">
      <c r="A148">
        <v>146</v>
      </c>
      <c r="B148">
        <v>2345</v>
      </c>
      <c r="C148" t="b">
        <v>1</v>
      </c>
      <c r="D148">
        <v>8054</v>
      </c>
      <c r="E148">
        <v>8129</v>
      </c>
      <c r="F148">
        <v>8.4</v>
      </c>
      <c r="G148">
        <v>8</v>
      </c>
      <c r="H148">
        <v>1.05</v>
      </c>
      <c r="I148">
        <v>-4.9999952E-2</v>
      </c>
      <c r="J148">
        <v>0.48780489999999999</v>
      </c>
    </row>
    <row r="149" spans="1:10" x14ac:dyDescent="0.3">
      <c r="A149">
        <v>147</v>
      </c>
      <c r="B149">
        <v>2361</v>
      </c>
      <c r="C149" t="b">
        <v>1</v>
      </c>
      <c r="D149">
        <v>8054</v>
      </c>
      <c r="E149">
        <v>8129</v>
      </c>
      <c r="F149">
        <v>8.8000000000000007</v>
      </c>
      <c r="G149">
        <v>8</v>
      </c>
      <c r="H149">
        <v>1.1000000000000001</v>
      </c>
      <c r="I149">
        <v>-0.10000002400000001</v>
      </c>
      <c r="J149">
        <v>0.47619050000000002</v>
      </c>
    </row>
    <row r="150" spans="1:10" x14ac:dyDescent="0.3">
      <c r="A150">
        <v>148</v>
      </c>
      <c r="B150">
        <v>2377</v>
      </c>
      <c r="C150" t="b">
        <v>1</v>
      </c>
      <c r="D150">
        <v>8054</v>
      </c>
      <c r="E150">
        <v>8123</v>
      </c>
      <c r="F150">
        <v>9.1999999999999993</v>
      </c>
      <c r="G150">
        <v>8</v>
      </c>
      <c r="H150">
        <v>1.1499999999999999</v>
      </c>
      <c r="I150">
        <v>-0.14999998</v>
      </c>
      <c r="J150">
        <v>0.46511626</v>
      </c>
    </row>
    <row r="151" spans="1:10" x14ac:dyDescent="0.3">
      <c r="A151">
        <v>149</v>
      </c>
      <c r="B151">
        <v>2393</v>
      </c>
      <c r="C151" t="b">
        <v>1</v>
      </c>
      <c r="D151">
        <v>8060</v>
      </c>
      <c r="E151">
        <v>8123</v>
      </c>
      <c r="F151">
        <v>9.6</v>
      </c>
      <c r="G151">
        <v>8</v>
      </c>
      <c r="H151">
        <v>1.2</v>
      </c>
      <c r="I151">
        <v>-0.20000005000000001</v>
      </c>
      <c r="J151">
        <v>0.45454544000000002</v>
      </c>
    </row>
    <row r="152" spans="1:10" x14ac:dyDescent="0.3">
      <c r="A152">
        <v>150</v>
      </c>
      <c r="B152">
        <v>2409</v>
      </c>
      <c r="C152" t="b">
        <v>1</v>
      </c>
      <c r="D152">
        <v>8042</v>
      </c>
      <c r="E152">
        <v>8123</v>
      </c>
      <c r="F152">
        <v>10</v>
      </c>
      <c r="G152">
        <v>8</v>
      </c>
      <c r="H152">
        <v>1.25</v>
      </c>
      <c r="I152">
        <v>-0.25</v>
      </c>
      <c r="J152">
        <v>0.44444444999999999</v>
      </c>
    </row>
    <row r="153" spans="1:10" x14ac:dyDescent="0.3">
      <c r="A153">
        <v>151</v>
      </c>
      <c r="B153">
        <v>2426</v>
      </c>
      <c r="C153" t="b">
        <v>1</v>
      </c>
      <c r="D153">
        <v>8042</v>
      </c>
      <c r="E153">
        <v>8123</v>
      </c>
      <c r="F153">
        <v>10.4</v>
      </c>
      <c r="G153">
        <v>8</v>
      </c>
      <c r="H153">
        <v>1.3</v>
      </c>
      <c r="I153">
        <v>-0.29999995000000002</v>
      </c>
      <c r="J153">
        <v>0.43478262000000001</v>
      </c>
    </row>
    <row r="154" spans="1:10" x14ac:dyDescent="0.3">
      <c r="A154">
        <v>152</v>
      </c>
      <c r="B154">
        <v>2441</v>
      </c>
      <c r="C154" t="b">
        <v>1</v>
      </c>
      <c r="D154">
        <v>8042</v>
      </c>
      <c r="E154">
        <v>8123</v>
      </c>
      <c r="F154">
        <v>10</v>
      </c>
      <c r="G154">
        <v>8</v>
      </c>
      <c r="H154">
        <v>1.25</v>
      </c>
      <c r="I154">
        <v>-0.25</v>
      </c>
      <c r="J154">
        <v>0.44444444999999999</v>
      </c>
    </row>
    <row r="155" spans="1:10" x14ac:dyDescent="0.3">
      <c r="A155">
        <v>153</v>
      </c>
      <c r="B155">
        <v>2457</v>
      </c>
      <c r="C155" t="b">
        <v>1</v>
      </c>
      <c r="D155">
        <v>8042</v>
      </c>
      <c r="E155">
        <v>8123</v>
      </c>
      <c r="F155">
        <v>9.6</v>
      </c>
      <c r="G155">
        <v>8</v>
      </c>
      <c r="H155">
        <v>1.2</v>
      </c>
      <c r="I155">
        <v>-0.20000005000000001</v>
      </c>
      <c r="J155">
        <v>0.45454544000000002</v>
      </c>
    </row>
    <row r="156" spans="1:10" x14ac:dyDescent="0.3">
      <c r="A156">
        <v>154</v>
      </c>
      <c r="B156">
        <v>2473</v>
      </c>
      <c r="C156" t="b">
        <v>1</v>
      </c>
      <c r="D156">
        <v>8042</v>
      </c>
      <c r="E156">
        <v>8123</v>
      </c>
      <c r="F156">
        <v>9.1999999999999993</v>
      </c>
      <c r="G156">
        <v>8</v>
      </c>
      <c r="H156">
        <v>1.1499999999999999</v>
      </c>
      <c r="I156">
        <v>-0.14999998</v>
      </c>
      <c r="J156">
        <v>0.46511626</v>
      </c>
    </row>
    <row r="157" spans="1:10" x14ac:dyDescent="0.3">
      <c r="A157">
        <v>155</v>
      </c>
      <c r="B157">
        <v>2489</v>
      </c>
      <c r="C157" t="b">
        <v>1</v>
      </c>
      <c r="D157">
        <v>8042</v>
      </c>
      <c r="E157">
        <v>8123</v>
      </c>
      <c r="F157">
        <v>8.8000000000000007</v>
      </c>
      <c r="G157">
        <v>8</v>
      </c>
      <c r="H157">
        <v>1.1000000000000001</v>
      </c>
      <c r="I157">
        <v>-0.10000002400000001</v>
      </c>
      <c r="J157">
        <v>0.47619050000000002</v>
      </c>
    </row>
    <row r="158" spans="1:10" x14ac:dyDescent="0.3">
      <c r="A158">
        <v>156</v>
      </c>
      <c r="B158">
        <v>2505</v>
      </c>
      <c r="C158" t="b">
        <v>1</v>
      </c>
      <c r="D158">
        <v>8042</v>
      </c>
      <c r="E158">
        <v>8123</v>
      </c>
      <c r="F158">
        <v>8.4</v>
      </c>
      <c r="G158">
        <v>8</v>
      </c>
      <c r="H158">
        <v>1.05</v>
      </c>
      <c r="I158">
        <v>-4.9999952E-2</v>
      </c>
      <c r="J158">
        <v>0.48780489999999999</v>
      </c>
    </row>
    <row r="159" spans="1:10" x14ac:dyDescent="0.3">
      <c r="A159">
        <v>157</v>
      </c>
      <c r="B159">
        <v>2521</v>
      </c>
      <c r="C159" t="b">
        <v>1</v>
      </c>
      <c r="D159">
        <v>8048</v>
      </c>
      <c r="E159">
        <v>8129</v>
      </c>
      <c r="F159">
        <v>8</v>
      </c>
      <c r="G159">
        <v>8</v>
      </c>
      <c r="H159">
        <v>1</v>
      </c>
      <c r="I159">
        <v>0</v>
      </c>
      <c r="J159">
        <v>0.5</v>
      </c>
    </row>
    <row r="160" spans="1:10" x14ac:dyDescent="0.3">
      <c r="A160">
        <v>158</v>
      </c>
      <c r="B160">
        <v>2537</v>
      </c>
      <c r="C160" t="b">
        <v>1</v>
      </c>
      <c r="D160">
        <v>8048</v>
      </c>
      <c r="E160">
        <v>8129</v>
      </c>
      <c r="F160">
        <v>7.6</v>
      </c>
      <c r="G160">
        <v>8</v>
      </c>
      <c r="H160">
        <v>0.95</v>
      </c>
      <c r="I160">
        <v>5.0000012000000003E-2</v>
      </c>
      <c r="J160">
        <v>0.51282050000000001</v>
      </c>
    </row>
    <row r="161" spans="1:10" x14ac:dyDescent="0.3">
      <c r="A161">
        <v>159</v>
      </c>
      <c r="B161">
        <v>2552</v>
      </c>
      <c r="C161" t="b">
        <v>1</v>
      </c>
      <c r="D161">
        <v>8048</v>
      </c>
      <c r="E161">
        <v>8123</v>
      </c>
      <c r="F161">
        <v>7.6</v>
      </c>
      <c r="G161">
        <v>8</v>
      </c>
      <c r="H161">
        <v>0.95</v>
      </c>
      <c r="I161">
        <v>5.0000012000000003E-2</v>
      </c>
      <c r="J161">
        <v>0.51282050000000001</v>
      </c>
    </row>
    <row r="162" spans="1:10" x14ac:dyDescent="0.3">
      <c r="A162">
        <v>160</v>
      </c>
      <c r="B162">
        <v>2568</v>
      </c>
      <c r="C162" t="b">
        <v>1</v>
      </c>
      <c r="D162">
        <v>8048</v>
      </c>
      <c r="E162">
        <v>8123</v>
      </c>
      <c r="F162">
        <v>7.6</v>
      </c>
      <c r="G162">
        <v>8</v>
      </c>
      <c r="H162">
        <v>0.95</v>
      </c>
      <c r="I162">
        <v>5.0000012000000003E-2</v>
      </c>
      <c r="J162">
        <v>0.51282050000000001</v>
      </c>
    </row>
    <row r="163" spans="1:10" x14ac:dyDescent="0.3">
      <c r="A163">
        <v>161</v>
      </c>
      <c r="B163">
        <v>2584</v>
      </c>
      <c r="C163" t="b">
        <v>1</v>
      </c>
      <c r="D163">
        <v>8048</v>
      </c>
      <c r="E163">
        <v>8129</v>
      </c>
      <c r="F163">
        <v>7.2</v>
      </c>
      <c r="G163">
        <v>8.4</v>
      </c>
      <c r="H163">
        <v>0.85714287</v>
      </c>
      <c r="I163">
        <v>0.14285712</v>
      </c>
      <c r="J163">
        <v>0.53846150000000004</v>
      </c>
    </row>
    <row r="164" spans="1:10" x14ac:dyDescent="0.3">
      <c r="A164">
        <v>162</v>
      </c>
      <c r="B164">
        <v>2600</v>
      </c>
      <c r="C164" t="b">
        <v>1</v>
      </c>
      <c r="D164">
        <v>8048</v>
      </c>
      <c r="E164">
        <v>8123</v>
      </c>
      <c r="F164">
        <v>6.8</v>
      </c>
      <c r="G164">
        <v>8.4</v>
      </c>
      <c r="H164">
        <v>0.80952389999999996</v>
      </c>
      <c r="I164">
        <v>0.19047612999999999</v>
      </c>
      <c r="J164">
        <v>0.55263156000000002</v>
      </c>
    </row>
    <row r="165" spans="1:10" x14ac:dyDescent="0.3">
      <c r="A165">
        <v>163</v>
      </c>
      <c r="B165">
        <v>2616</v>
      </c>
      <c r="C165" t="b">
        <v>1</v>
      </c>
      <c r="D165">
        <v>8048</v>
      </c>
      <c r="E165">
        <v>8123</v>
      </c>
      <c r="F165">
        <v>6.4</v>
      </c>
      <c r="G165">
        <v>8.4</v>
      </c>
      <c r="H165">
        <v>0.76190484000000003</v>
      </c>
      <c r="I165">
        <v>0.23809520000000001</v>
      </c>
      <c r="J165">
        <v>0.56756759999999995</v>
      </c>
    </row>
    <row r="166" spans="1:10" x14ac:dyDescent="0.3">
      <c r="A166">
        <v>164</v>
      </c>
      <c r="B166">
        <v>2632</v>
      </c>
      <c r="C166" t="b">
        <v>1</v>
      </c>
      <c r="D166">
        <v>8048</v>
      </c>
      <c r="E166">
        <v>8123</v>
      </c>
      <c r="F166">
        <v>6</v>
      </c>
      <c r="G166">
        <v>8.4</v>
      </c>
      <c r="H166">
        <v>0.71428572999999995</v>
      </c>
      <c r="I166">
        <v>0.28571424000000001</v>
      </c>
      <c r="J166">
        <v>0.58333330000000005</v>
      </c>
    </row>
    <row r="167" spans="1:10" x14ac:dyDescent="0.3">
      <c r="A167">
        <v>165</v>
      </c>
      <c r="B167">
        <v>2648</v>
      </c>
      <c r="C167" t="b">
        <v>1</v>
      </c>
      <c r="D167">
        <v>8048</v>
      </c>
      <c r="E167">
        <v>8129</v>
      </c>
      <c r="F167">
        <v>5.6</v>
      </c>
      <c r="G167">
        <v>8.4</v>
      </c>
      <c r="H167">
        <v>0.66666669999999995</v>
      </c>
      <c r="I167">
        <v>0.3333333</v>
      </c>
      <c r="J167">
        <v>0.59999996</v>
      </c>
    </row>
    <row r="168" spans="1:10" x14ac:dyDescent="0.3">
      <c r="A168">
        <v>166</v>
      </c>
      <c r="B168">
        <v>2664</v>
      </c>
      <c r="C168" t="b">
        <v>1</v>
      </c>
      <c r="D168">
        <v>8048</v>
      </c>
      <c r="E168">
        <v>8123</v>
      </c>
      <c r="F168">
        <v>5.2</v>
      </c>
      <c r="G168">
        <v>8.4</v>
      </c>
      <c r="H168">
        <v>0.61904764000000001</v>
      </c>
      <c r="I168">
        <v>0.38095240000000002</v>
      </c>
      <c r="J168">
        <v>0.61764704999999998</v>
      </c>
    </row>
    <row r="169" spans="1:10" x14ac:dyDescent="0.3">
      <c r="A169">
        <v>167</v>
      </c>
      <c r="B169">
        <v>2680</v>
      </c>
      <c r="C169" t="b">
        <v>1</v>
      </c>
      <c r="D169">
        <v>8048</v>
      </c>
      <c r="E169">
        <v>8123</v>
      </c>
      <c r="F169">
        <v>5.6</v>
      </c>
      <c r="G169">
        <v>8.4</v>
      </c>
      <c r="H169">
        <v>0.66666669999999995</v>
      </c>
      <c r="I169">
        <v>0.3333333</v>
      </c>
      <c r="J169">
        <v>0.59999996</v>
      </c>
    </row>
    <row r="170" spans="1:10" x14ac:dyDescent="0.3">
      <c r="A170">
        <v>168</v>
      </c>
      <c r="B170">
        <v>2696</v>
      </c>
      <c r="C170" t="b">
        <v>1</v>
      </c>
      <c r="D170">
        <v>8048</v>
      </c>
      <c r="E170">
        <v>8123</v>
      </c>
      <c r="F170">
        <v>6</v>
      </c>
      <c r="G170">
        <v>8.4</v>
      </c>
      <c r="H170">
        <v>0.71428572999999995</v>
      </c>
      <c r="I170">
        <v>0.28571424000000001</v>
      </c>
      <c r="J170">
        <v>0.58333330000000005</v>
      </c>
    </row>
    <row r="171" spans="1:10" x14ac:dyDescent="0.3">
      <c r="A171">
        <v>169</v>
      </c>
      <c r="B171">
        <v>2712</v>
      </c>
      <c r="C171" t="b">
        <v>1</v>
      </c>
      <c r="D171">
        <v>8048</v>
      </c>
      <c r="E171">
        <v>8129</v>
      </c>
      <c r="F171">
        <v>6.4</v>
      </c>
      <c r="G171">
        <v>8.4</v>
      </c>
      <c r="H171">
        <v>0.76190484000000003</v>
      </c>
      <c r="I171">
        <v>0.23809520000000001</v>
      </c>
      <c r="J171">
        <v>0.56756759999999995</v>
      </c>
    </row>
    <row r="172" spans="1:10" x14ac:dyDescent="0.3">
      <c r="A172">
        <v>170</v>
      </c>
      <c r="B172">
        <v>2728</v>
      </c>
      <c r="C172" t="b">
        <v>1</v>
      </c>
      <c r="D172">
        <v>8048</v>
      </c>
      <c r="E172">
        <v>8129</v>
      </c>
      <c r="F172">
        <v>6.8</v>
      </c>
      <c r="G172">
        <v>8.4</v>
      </c>
      <c r="H172">
        <v>0.80952389999999996</v>
      </c>
      <c r="I172">
        <v>0.19047612999999999</v>
      </c>
      <c r="J172">
        <v>0.55263156000000002</v>
      </c>
    </row>
    <row r="173" spans="1:10" x14ac:dyDescent="0.3">
      <c r="A173">
        <v>171</v>
      </c>
      <c r="B173">
        <v>2744</v>
      </c>
      <c r="C173" t="b">
        <v>1</v>
      </c>
      <c r="D173">
        <v>8048</v>
      </c>
      <c r="E173">
        <v>8123</v>
      </c>
      <c r="F173">
        <v>7.2</v>
      </c>
      <c r="G173">
        <v>8.4</v>
      </c>
      <c r="H173">
        <v>0.85714287</v>
      </c>
      <c r="I173">
        <v>0.14285712</v>
      </c>
      <c r="J173">
        <v>0.53846150000000004</v>
      </c>
    </row>
    <row r="174" spans="1:10" x14ac:dyDescent="0.3">
      <c r="A174">
        <v>172</v>
      </c>
      <c r="B174">
        <v>2759</v>
      </c>
      <c r="C174" t="b">
        <v>1</v>
      </c>
      <c r="D174">
        <v>8048</v>
      </c>
      <c r="E174">
        <v>8123</v>
      </c>
      <c r="F174">
        <v>7.6</v>
      </c>
      <c r="G174">
        <v>8.4</v>
      </c>
      <c r="H174">
        <v>0.90476190000000001</v>
      </c>
      <c r="I174">
        <v>9.5238069999999994E-2</v>
      </c>
      <c r="J174">
        <v>0.52500000000000002</v>
      </c>
    </row>
    <row r="175" spans="1:10" x14ac:dyDescent="0.3">
      <c r="A175">
        <v>173</v>
      </c>
      <c r="B175">
        <v>2775</v>
      </c>
      <c r="C175" t="b">
        <v>1</v>
      </c>
      <c r="D175">
        <v>8048</v>
      </c>
      <c r="E175">
        <v>8123</v>
      </c>
      <c r="F175">
        <v>8</v>
      </c>
      <c r="G175">
        <v>8.4</v>
      </c>
      <c r="H175">
        <v>0.95238100000000003</v>
      </c>
      <c r="I175">
        <v>4.7619003999999999E-2</v>
      </c>
      <c r="J175">
        <v>0.51219510000000001</v>
      </c>
    </row>
    <row r="176" spans="1:10" x14ac:dyDescent="0.3">
      <c r="A176">
        <v>174</v>
      </c>
      <c r="B176">
        <v>2791</v>
      </c>
      <c r="C176" t="b">
        <v>1</v>
      </c>
      <c r="D176">
        <v>8048</v>
      </c>
      <c r="E176">
        <v>8123</v>
      </c>
      <c r="F176">
        <v>8</v>
      </c>
      <c r="G176">
        <v>8.4</v>
      </c>
      <c r="H176">
        <v>0.95238100000000003</v>
      </c>
      <c r="I176">
        <v>4.7619003999999999E-2</v>
      </c>
      <c r="J176">
        <v>0.51219510000000001</v>
      </c>
    </row>
    <row r="177" spans="1:10" x14ac:dyDescent="0.3">
      <c r="A177">
        <v>175</v>
      </c>
      <c r="B177">
        <v>2807</v>
      </c>
      <c r="C177" t="b">
        <v>1</v>
      </c>
      <c r="D177">
        <v>8048</v>
      </c>
      <c r="E177">
        <v>8123</v>
      </c>
      <c r="F177">
        <v>8</v>
      </c>
      <c r="G177">
        <v>8.4</v>
      </c>
      <c r="H177">
        <v>0.95238100000000003</v>
      </c>
      <c r="I177">
        <v>4.7619003999999999E-2</v>
      </c>
      <c r="J177">
        <v>0.51219510000000001</v>
      </c>
    </row>
    <row r="178" spans="1:10" x14ac:dyDescent="0.3">
      <c r="A178">
        <v>176</v>
      </c>
      <c r="B178">
        <v>2822</v>
      </c>
      <c r="C178" t="b">
        <v>1</v>
      </c>
      <c r="D178">
        <v>8042</v>
      </c>
      <c r="E178">
        <v>8123</v>
      </c>
      <c r="F178">
        <v>8</v>
      </c>
      <c r="G178">
        <v>8</v>
      </c>
      <c r="H178">
        <v>1</v>
      </c>
      <c r="I178">
        <v>0</v>
      </c>
      <c r="J178">
        <v>0.5</v>
      </c>
    </row>
    <row r="179" spans="1:10" x14ac:dyDescent="0.3">
      <c r="A179">
        <v>177</v>
      </c>
      <c r="B179">
        <v>2838</v>
      </c>
      <c r="C179" t="b">
        <v>1</v>
      </c>
      <c r="D179">
        <v>8042</v>
      </c>
      <c r="E179">
        <v>8123</v>
      </c>
      <c r="F179">
        <v>8</v>
      </c>
      <c r="G179">
        <v>8</v>
      </c>
      <c r="H179">
        <v>1</v>
      </c>
      <c r="I179">
        <v>0</v>
      </c>
      <c r="J179">
        <v>0.5</v>
      </c>
    </row>
    <row r="180" spans="1:10" x14ac:dyDescent="0.3">
      <c r="A180">
        <v>178</v>
      </c>
      <c r="B180">
        <v>2855</v>
      </c>
      <c r="C180" t="b">
        <v>1</v>
      </c>
      <c r="D180">
        <v>8042</v>
      </c>
      <c r="E180">
        <v>8123</v>
      </c>
      <c r="F180">
        <v>7.6</v>
      </c>
      <c r="G180">
        <v>8</v>
      </c>
      <c r="H180">
        <v>0.95</v>
      </c>
      <c r="I180">
        <v>5.0000012000000003E-2</v>
      </c>
      <c r="J180">
        <v>0.51282050000000001</v>
      </c>
    </row>
    <row r="181" spans="1:10" x14ac:dyDescent="0.3">
      <c r="A181">
        <v>179</v>
      </c>
      <c r="B181">
        <v>2871</v>
      </c>
      <c r="C181" t="b">
        <v>1</v>
      </c>
      <c r="D181">
        <v>8042</v>
      </c>
      <c r="E181">
        <v>8123</v>
      </c>
      <c r="F181">
        <v>7.2</v>
      </c>
      <c r="G181">
        <v>8</v>
      </c>
      <c r="H181">
        <v>0.9</v>
      </c>
      <c r="I181">
        <v>0.10000002400000001</v>
      </c>
      <c r="J181">
        <v>0.5263158</v>
      </c>
    </row>
    <row r="182" spans="1:10" x14ac:dyDescent="0.3">
      <c r="A182">
        <v>180</v>
      </c>
      <c r="B182">
        <v>2886</v>
      </c>
      <c r="C182" t="b">
        <v>1</v>
      </c>
      <c r="D182">
        <v>8042</v>
      </c>
      <c r="E182">
        <v>8117</v>
      </c>
      <c r="F182">
        <v>6.8</v>
      </c>
      <c r="G182">
        <v>8</v>
      </c>
      <c r="H182">
        <v>0.85</v>
      </c>
      <c r="I182">
        <v>0.14999998</v>
      </c>
      <c r="J182">
        <v>0.54054049999999998</v>
      </c>
    </row>
    <row r="183" spans="1:10" x14ac:dyDescent="0.3">
      <c r="A183">
        <v>181</v>
      </c>
      <c r="B183">
        <v>2902</v>
      </c>
      <c r="C183" t="b">
        <v>1</v>
      </c>
      <c r="D183">
        <v>8042</v>
      </c>
      <c r="E183">
        <v>8123</v>
      </c>
      <c r="F183">
        <v>6.4</v>
      </c>
      <c r="G183">
        <v>8</v>
      </c>
      <c r="H183">
        <v>0.8</v>
      </c>
      <c r="I183">
        <v>0.19999998999999999</v>
      </c>
      <c r="J183">
        <v>0.55555560000000004</v>
      </c>
    </row>
    <row r="184" spans="1:10" x14ac:dyDescent="0.3">
      <c r="A184">
        <v>182</v>
      </c>
      <c r="B184">
        <v>2918</v>
      </c>
      <c r="C184" t="b">
        <v>1</v>
      </c>
      <c r="D184">
        <v>8048</v>
      </c>
      <c r="E184">
        <v>8117</v>
      </c>
      <c r="F184">
        <v>6</v>
      </c>
      <c r="G184">
        <v>8</v>
      </c>
      <c r="H184">
        <v>0.75</v>
      </c>
      <c r="I184">
        <v>0.25</v>
      </c>
      <c r="J184">
        <v>0.57142859999999995</v>
      </c>
    </row>
    <row r="185" spans="1:10" x14ac:dyDescent="0.3">
      <c r="A185">
        <v>183</v>
      </c>
      <c r="B185">
        <v>2934</v>
      </c>
      <c r="C185" t="b">
        <v>1</v>
      </c>
      <c r="D185">
        <v>8048</v>
      </c>
      <c r="E185">
        <v>8123</v>
      </c>
      <c r="F185">
        <v>5.6</v>
      </c>
      <c r="G185">
        <v>8</v>
      </c>
      <c r="H185">
        <v>0.7</v>
      </c>
      <c r="I185">
        <v>0.3</v>
      </c>
      <c r="J185">
        <v>0.58823526000000004</v>
      </c>
    </row>
    <row r="186" spans="1:10" x14ac:dyDescent="0.3">
      <c r="A186">
        <v>184</v>
      </c>
      <c r="B186">
        <v>2949</v>
      </c>
      <c r="C186" t="b">
        <v>1</v>
      </c>
      <c r="D186">
        <v>8048</v>
      </c>
      <c r="E186">
        <v>8111</v>
      </c>
      <c r="F186">
        <v>5.6</v>
      </c>
      <c r="G186">
        <v>7.6</v>
      </c>
      <c r="H186">
        <v>0.73684210000000006</v>
      </c>
      <c r="I186">
        <v>0.2631579</v>
      </c>
      <c r="J186">
        <v>0.57575756</v>
      </c>
    </row>
    <row r="187" spans="1:10" x14ac:dyDescent="0.3">
      <c r="A187">
        <v>185</v>
      </c>
      <c r="B187">
        <v>2965</v>
      </c>
      <c r="C187" t="b">
        <v>1</v>
      </c>
      <c r="D187">
        <v>8048</v>
      </c>
      <c r="E187">
        <v>8117</v>
      </c>
      <c r="F187">
        <v>5.6</v>
      </c>
      <c r="G187">
        <v>7.2</v>
      </c>
      <c r="H187">
        <v>0.77777779999999996</v>
      </c>
      <c r="I187">
        <v>0.22222221</v>
      </c>
      <c r="J187">
        <v>0.5625</v>
      </c>
    </row>
    <row r="188" spans="1:10" x14ac:dyDescent="0.3">
      <c r="A188">
        <v>186</v>
      </c>
      <c r="B188">
        <v>2981</v>
      </c>
      <c r="C188" t="b">
        <v>1</v>
      </c>
      <c r="D188">
        <v>8048</v>
      </c>
      <c r="E188">
        <v>8117</v>
      </c>
      <c r="F188">
        <v>5.6</v>
      </c>
      <c r="G188">
        <v>6.8</v>
      </c>
      <c r="H188">
        <v>0.82352935999999999</v>
      </c>
      <c r="I188">
        <v>0.17647061999999999</v>
      </c>
      <c r="J188">
        <v>0.54838710000000002</v>
      </c>
    </row>
    <row r="189" spans="1:10" x14ac:dyDescent="0.3">
      <c r="A189">
        <v>187</v>
      </c>
      <c r="B189">
        <v>2997</v>
      </c>
      <c r="C189" t="b">
        <v>1</v>
      </c>
      <c r="D189">
        <v>8048</v>
      </c>
      <c r="E189">
        <v>8123</v>
      </c>
      <c r="F189">
        <v>5.6</v>
      </c>
      <c r="G189">
        <v>6.4</v>
      </c>
      <c r="H189">
        <v>0.875</v>
      </c>
      <c r="I189">
        <v>0.12500003000000001</v>
      </c>
      <c r="J189">
        <v>0.53333335999999998</v>
      </c>
    </row>
    <row r="190" spans="1:10" x14ac:dyDescent="0.3">
      <c r="A190">
        <v>188</v>
      </c>
      <c r="B190">
        <v>3012</v>
      </c>
      <c r="C190" t="b">
        <v>1</v>
      </c>
      <c r="D190">
        <v>8048</v>
      </c>
      <c r="E190">
        <v>8117</v>
      </c>
      <c r="F190">
        <v>5.6</v>
      </c>
      <c r="G190">
        <v>6</v>
      </c>
      <c r="H190">
        <v>0.93333334000000001</v>
      </c>
      <c r="I190">
        <v>6.6666685000000003E-2</v>
      </c>
      <c r="J190">
        <v>0.51724135999999998</v>
      </c>
    </row>
    <row r="191" spans="1:10" x14ac:dyDescent="0.3">
      <c r="A191">
        <v>189</v>
      </c>
      <c r="B191">
        <v>3028</v>
      </c>
      <c r="C191" t="b">
        <v>1</v>
      </c>
      <c r="D191">
        <v>8048</v>
      </c>
      <c r="E191">
        <v>8117</v>
      </c>
      <c r="F191">
        <v>5.6</v>
      </c>
      <c r="G191">
        <v>5.6</v>
      </c>
      <c r="H191">
        <v>1</v>
      </c>
      <c r="I191">
        <v>0</v>
      </c>
      <c r="J191">
        <v>0.5</v>
      </c>
    </row>
    <row r="192" spans="1:10" x14ac:dyDescent="0.3">
      <c r="A192">
        <v>190</v>
      </c>
      <c r="B192">
        <v>3044</v>
      </c>
      <c r="C192" t="b">
        <v>1</v>
      </c>
      <c r="D192">
        <v>8054</v>
      </c>
      <c r="E192">
        <v>8117</v>
      </c>
      <c r="F192">
        <v>5.6</v>
      </c>
      <c r="G192">
        <v>5.2</v>
      </c>
      <c r="H192">
        <v>1.0769230999999999</v>
      </c>
      <c r="I192">
        <v>-7.6923094999999997E-2</v>
      </c>
      <c r="J192">
        <v>0.48148150000000001</v>
      </c>
    </row>
    <row r="193" spans="1:10" x14ac:dyDescent="0.3">
      <c r="A193">
        <v>191</v>
      </c>
      <c r="B193">
        <v>3060</v>
      </c>
      <c r="C193" t="b">
        <v>1</v>
      </c>
      <c r="D193">
        <v>8054</v>
      </c>
      <c r="E193">
        <v>8123</v>
      </c>
      <c r="F193">
        <v>5.6</v>
      </c>
      <c r="G193">
        <v>4.8</v>
      </c>
      <c r="H193">
        <v>1.1666666000000001</v>
      </c>
      <c r="I193">
        <v>-0.1666666</v>
      </c>
      <c r="J193">
        <v>0.46153850000000002</v>
      </c>
    </row>
    <row r="194" spans="1:10" x14ac:dyDescent="0.3">
      <c r="A194">
        <v>192</v>
      </c>
      <c r="B194">
        <v>3076</v>
      </c>
      <c r="C194" t="b">
        <v>1</v>
      </c>
      <c r="D194">
        <v>8054</v>
      </c>
      <c r="E194">
        <v>8129</v>
      </c>
      <c r="F194">
        <v>6</v>
      </c>
      <c r="G194">
        <v>4.4000000000000004</v>
      </c>
      <c r="H194">
        <v>1.3636364000000001</v>
      </c>
      <c r="I194">
        <v>-0.36363634</v>
      </c>
      <c r="J194">
        <v>0.42307696</v>
      </c>
    </row>
    <row r="195" spans="1:10" x14ac:dyDescent="0.3">
      <c r="A195">
        <v>193</v>
      </c>
      <c r="B195">
        <v>3091</v>
      </c>
      <c r="C195" t="b">
        <v>1</v>
      </c>
      <c r="D195">
        <v>8054</v>
      </c>
      <c r="E195">
        <v>8123</v>
      </c>
      <c r="F195">
        <v>6.8</v>
      </c>
      <c r="G195">
        <v>4.4000000000000004</v>
      </c>
      <c r="H195">
        <v>1.5454545</v>
      </c>
      <c r="I195">
        <v>-0.54545456000000003</v>
      </c>
      <c r="J195">
        <v>0.39285713</v>
      </c>
    </row>
    <row r="196" spans="1:10" x14ac:dyDescent="0.3">
      <c r="A196">
        <v>194</v>
      </c>
      <c r="B196">
        <v>3107</v>
      </c>
      <c r="C196" t="b">
        <v>1</v>
      </c>
      <c r="D196">
        <v>8054</v>
      </c>
      <c r="E196">
        <v>8123</v>
      </c>
      <c r="F196">
        <v>7.6</v>
      </c>
      <c r="G196">
        <v>4.4000000000000004</v>
      </c>
      <c r="H196">
        <v>1.7272726</v>
      </c>
      <c r="I196">
        <v>-0.72727269999999999</v>
      </c>
      <c r="J196">
        <v>0.36666666999999997</v>
      </c>
    </row>
    <row r="197" spans="1:10" x14ac:dyDescent="0.3">
      <c r="A197">
        <v>195</v>
      </c>
      <c r="B197">
        <v>3123</v>
      </c>
      <c r="C197" t="b">
        <v>1</v>
      </c>
      <c r="D197">
        <v>8048</v>
      </c>
      <c r="E197">
        <v>8129</v>
      </c>
      <c r="F197">
        <v>8.4</v>
      </c>
      <c r="G197">
        <v>4.4000000000000004</v>
      </c>
      <c r="H197">
        <v>1.9090908</v>
      </c>
      <c r="I197">
        <v>-0.90909076</v>
      </c>
      <c r="J197">
        <v>0.34375002999999998</v>
      </c>
    </row>
    <row r="198" spans="1:10" x14ac:dyDescent="0.3">
      <c r="A198">
        <v>196</v>
      </c>
      <c r="B198">
        <v>3139</v>
      </c>
      <c r="C198" t="b">
        <v>1</v>
      </c>
      <c r="D198">
        <v>8048</v>
      </c>
      <c r="E198">
        <v>8129</v>
      </c>
      <c r="F198">
        <v>9.1999999999999993</v>
      </c>
      <c r="G198">
        <v>4.8</v>
      </c>
      <c r="H198">
        <v>1.9166665000000001</v>
      </c>
      <c r="I198">
        <v>-0.91666656999999996</v>
      </c>
      <c r="J198">
        <v>0.34285715</v>
      </c>
    </row>
    <row r="199" spans="1:10" x14ac:dyDescent="0.3">
      <c r="A199">
        <v>197</v>
      </c>
      <c r="B199">
        <v>3155</v>
      </c>
      <c r="C199" t="b">
        <v>1</v>
      </c>
      <c r="D199">
        <v>8048</v>
      </c>
      <c r="E199">
        <v>8123</v>
      </c>
      <c r="F199">
        <v>9.6</v>
      </c>
      <c r="G199">
        <v>4.8</v>
      </c>
      <c r="H199">
        <v>2</v>
      </c>
      <c r="I199">
        <v>-1</v>
      </c>
      <c r="J199">
        <v>0.33333333999999998</v>
      </c>
    </row>
    <row r="200" spans="1:10" x14ac:dyDescent="0.3">
      <c r="A200">
        <v>198</v>
      </c>
      <c r="B200">
        <v>3170</v>
      </c>
      <c r="C200" t="b">
        <v>1</v>
      </c>
      <c r="D200">
        <v>8048</v>
      </c>
      <c r="E200">
        <v>8123</v>
      </c>
      <c r="F200">
        <v>10</v>
      </c>
      <c r="G200">
        <v>4.8</v>
      </c>
      <c r="H200">
        <v>2.0833333000000001</v>
      </c>
      <c r="I200">
        <v>-1.0833333000000001</v>
      </c>
      <c r="J200">
        <v>0.32432433999999999</v>
      </c>
    </row>
    <row r="201" spans="1:10" x14ac:dyDescent="0.3">
      <c r="A201">
        <v>199</v>
      </c>
      <c r="B201">
        <v>3186</v>
      </c>
      <c r="C201" t="b">
        <v>1</v>
      </c>
      <c r="D201">
        <v>8048</v>
      </c>
      <c r="E201">
        <v>8123</v>
      </c>
      <c r="F201">
        <v>10</v>
      </c>
      <c r="G201">
        <v>5.2</v>
      </c>
      <c r="H201">
        <v>1.9230769999999999</v>
      </c>
      <c r="I201">
        <v>-0.92307700000000004</v>
      </c>
      <c r="J201">
        <v>0.34210527000000002</v>
      </c>
    </row>
    <row r="202" spans="1:10" x14ac:dyDescent="0.3">
      <c r="A202">
        <v>200</v>
      </c>
      <c r="B202">
        <v>3202</v>
      </c>
      <c r="C202" t="b">
        <v>1</v>
      </c>
      <c r="D202">
        <v>8054</v>
      </c>
      <c r="E202">
        <v>8123</v>
      </c>
      <c r="F202">
        <v>10</v>
      </c>
      <c r="G202">
        <v>5.6</v>
      </c>
      <c r="H202">
        <v>1.7857143</v>
      </c>
      <c r="I202">
        <v>-0.78571429999999998</v>
      </c>
      <c r="J202">
        <v>0.35897434</v>
      </c>
    </row>
    <row r="203" spans="1:10" x14ac:dyDescent="0.3">
      <c r="A203">
        <v>201</v>
      </c>
      <c r="B203">
        <v>3218</v>
      </c>
      <c r="C203" t="b">
        <v>1</v>
      </c>
      <c r="D203">
        <v>8048</v>
      </c>
      <c r="E203">
        <v>8123</v>
      </c>
      <c r="F203">
        <v>10</v>
      </c>
      <c r="G203">
        <v>6</v>
      </c>
      <c r="H203">
        <v>1.6666666000000001</v>
      </c>
      <c r="I203">
        <v>-0.66666669999999995</v>
      </c>
      <c r="J203">
        <v>0.375</v>
      </c>
    </row>
    <row r="204" spans="1:10" x14ac:dyDescent="0.3">
      <c r="A204">
        <v>202</v>
      </c>
      <c r="B204">
        <v>3234</v>
      </c>
      <c r="C204" t="b">
        <v>1</v>
      </c>
      <c r="D204">
        <v>8048</v>
      </c>
      <c r="E204">
        <v>8123</v>
      </c>
      <c r="F204">
        <v>10</v>
      </c>
      <c r="G204">
        <v>6.4</v>
      </c>
      <c r="H204">
        <v>1.5625</v>
      </c>
      <c r="I204">
        <v>-0.5625</v>
      </c>
      <c r="J204">
        <v>0.39024392000000002</v>
      </c>
    </row>
    <row r="205" spans="1:10" x14ac:dyDescent="0.3">
      <c r="A205">
        <v>203</v>
      </c>
      <c r="B205">
        <v>3250</v>
      </c>
      <c r="C205" t="b">
        <v>1</v>
      </c>
      <c r="D205">
        <v>8048</v>
      </c>
      <c r="E205">
        <v>8123</v>
      </c>
      <c r="F205">
        <v>10</v>
      </c>
      <c r="G205">
        <v>6.8</v>
      </c>
      <c r="H205">
        <v>1.4705881999999999</v>
      </c>
      <c r="I205">
        <v>-0.47058820000000001</v>
      </c>
      <c r="J205">
        <v>0.40476193999999999</v>
      </c>
    </row>
    <row r="206" spans="1:10" x14ac:dyDescent="0.3">
      <c r="A206">
        <v>204</v>
      </c>
      <c r="B206">
        <v>3266</v>
      </c>
      <c r="C206" t="b">
        <v>1</v>
      </c>
      <c r="D206">
        <v>8048</v>
      </c>
      <c r="E206">
        <v>8123</v>
      </c>
      <c r="F206">
        <v>10</v>
      </c>
      <c r="G206">
        <v>7.2</v>
      </c>
      <c r="H206">
        <v>1.388889</v>
      </c>
      <c r="I206">
        <v>-0.38888893000000002</v>
      </c>
      <c r="J206">
        <v>0.41860459999999999</v>
      </c>
    </row>
    <row r="207" spans="1:10" x14ac:dyDescent="0.3">
      <c r="A207">
        <v>205</v>
      </c>
      <c r="B207">
        <v>3282</v>
      </c>
      <c r="C207" t="b">
        <v>1</v>
      </c>
      <c r="D207">
        <v>8048</v>
      </c>
      <c r="E207">
        <v>8134</v>
      </c>
      <c r="F207">
        <v>10</v>
      </c>
      <c r="G207">
        <v>7.6</v>
      </c>
      <c r="H207">
        <v>1.3157894999999999</v>
      </c>
      <c r="I207">
        <v>-0.3157895</v>
      </c>
      <c r="J207">
        <v>0.43181816000000001</v>
      </c>
    </row>
    <row r="208" spans="1:10" x14ac:dyDescent="0.3">
      <c r="A208">
        <v>206</v>
      </c>
      <c r="B208">
        <v>3297</v>
      </c>
      <c r="C208" t="b">
        <v>1</v>
      </c>
      <c r="D208">
        <v>8048</v>
      </c>
      <c r="E208">
        <v>8123</v>
      </c>
      <c r="F208">
        <v>10</v>
      </c>
      <c r="G208">
        <v>8</v>
      </c>
      <c r="H208">
        <v>1.25</v>
      </c>
      <c r="I208">
        <v>-0.25</v>
      </c>
      <c r="J208">
        <v>0.44444444999999999</v>
      </c>
    </row>
    <row r="209" spans="1:10" x14ac:dyDescent="0.3">
      <c r="A209">
        <v>207</v>
      </c>
      <c r="B209">
        <v>3313</v>
      </c>
      <c r="C209" t="b">
        <v>1</v>
      </c>
      <c r="D209">
        <v>8048</v>
      </c>
      <c r="E209">
        <v>8123</v>
      </c>
      <c r="F209">
        <v>9.6</v>
      </c>
      <c r="G209">
        <v>8.4</v>
      </c>
      <c r="H209">
        <v>1.1428571999999999</v>
      </c>
      <c r="I209">
        <v>-0.14285724</v>
      </c>
      <c r="J209">
        <v>0.46666664000000002</v>
      </c>
    </row>
    <row r="210" spans="1:10" x14ac:dyDescent="0.3">
      <c r="A210">
        <v>208</v>
      </c>
      <c r="B210">
        <v>3329</v>
      </c>
      <c r="C210" t="b">
        <v>1</v>
      </c>
      <c r="D210">
        <v>8048</v>
      </c>
      <c r="E210">
        <v>8123</v>
      </c>
      <c r="F210">
        <v>9.1999999999999993</v>
      </c>
      <c r="G210">
        <v>8.4</v>
      </c>
      <c r="H210">
        <v>1.0952381</v>
      </c>
      <c r="I210">
        <v>-9.5238119999999996E-2</v>
      </c>
      <c r="J210">
        <v>0.47727275000000002</v>
      </c>
    </row>
    <row r="211" spans="1:10" x14ac:dyDescent="0.3">
      <c r="A211">
        <v>209</v>
      </c>
      <c r="B211">
        <v>3344</v>
      </c>
      <c r="C211" t="b">
        <v>1</v>
      </c>
      <c r="D211">
        <v>8048</v>
      </c>
      <c r="E211">
        <v>8123</v>
      </c>
      <c r="F211">
        <v>8.8000000000000007</v>
      </c>
      <c r="G211">
        <v>8.4</v>
      </c>
      <c r="H211">
        <v>1.0476190999999999</v>
      </c>
      <c r="I211">
        <v>-4.7619120000000001E-2</v>
      </c>
      <c r="J211">
        <v>0.48837206</v>
      </c>
    </row>
    <row r="212" spans="1:10" x14ac:dyDescent="0.3">
      <c r="A212">
        <v>210</v>
      </c>
      <c r="B212">
        <v>3360</v>
      </c>
      <c r="C212" t="b">
        <v>1</v>
      </c>
      <c r="D212">
        <v>8048</v>
      </c>
      <c r="E212">
        <v>8123</v>
      </c>
      <c r="F212">
        <v>8.4</v>
      </c>
      <c r="G212">
        <v>8.4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3376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3392</v>
      </c>
      <c r="C214" t="b">
        <v>1</v>
      </c>
      <c r="D214">
        <v>8048</v>
      </c>
      <c r="E214">
        <v>8123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3408</v>
      </c>
      <c r="C215" t="b">
        <v>1</v>
      </c>
      <c r="D215">
        <v>8048</v>
      </c>
      <c r="E215">
        <v>8123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3424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3440</v>
      </c>
      <c r="C217" t="b">
        <v>1</v>
      </c>
      <c r="D217">
        <v>8048</v>
      </c>
      <c r="E217">
        <v>8129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3456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3472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3487</v>
      </c>
      <c r="C220" t="b">
        <v>1</v>
      </c>
      <c r="D220">
        <v>8054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3504</v>
      </c>
      <c r="C221" t="b">
        <v>1</v>
      </c>
      <c r="D221">
        <v>8048</v>
      </c>
      <c r="E221">
        <v>8123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3519</v>
      </c>
      <c r="C222" t="b">
        <v>1</v>
      </c>
      <c r="D222">
        <v>8048</v>
      </c>
      <c r="E222">
        <v>8123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3535</v>
      </c>
      <c r="C223" t="b">
        <v>1</v>
      </c>
      <c r="D223">
        <v>8048</v>
      </c>
      <c r="E223">
        <v>8123</v>
      </c>
      <c r="F223">
        <v>8</v>
      </c>
      <c r="G223">
        <v>8</v>
      </c>
      <c r="H223">
        <v>1</v>
      </c>
      <c r="I223">
        <v>0</v>
      </c>
      <c r="J223">
        <v>0.5</v>
      </c>
    </row>
    <row r="224" spans="1:10" x14ac:dyDescent="0.3">
      <c r="A224">
        <v>222</v>
      </c>
      <c r="B224">
        <v>3551</v>
      </c>
      <c r="C224" t="b">
        <v>1</v>
      </c>
      <c r="D224">
        <v>8048</v>
      </c>
      <c r="E224">
        <v>8123</v>
      </c>
      <c r="F224">
        <v>8</v>
      </c>
      <c r="G224">
        <v>8</v>
      </c>
      <c r="H224">
        <v>1</v>
      </c>
      <c r="I224">
        <v>0</v>
      </c>
      <c r="J224">
        <v>0.5</v>
      </c>
    </row>
    <row r="225" spans="1:10" x14ac:dyDescent="0.3">
      <c r="A225">
        <v>223</v>
      </c>
      <c r="B225">
        <v>3567</v>
      </c>
      <c r="C225" t="b">
        <v>1</v>
      </c>
      <c r="D225">
        <v>8048</v>
      </c>
      <c r="E225">
        <v>8123</v>
      </c>
      <c r="F225">
        <v>8</v>
      </c>
      <c r="G225">
        <v>8</v>
      </c>
      <c r="H225">
        <v>1</v>
      </c>
      <c r="I225">
        <v>0</v>
      </c>
      <c r="J225">
        <v>0.5</v>
      </c>
    </row>
    <row r="226" spans="1:10" x14ac:dyDescent="0.3">
      <c r="A226">
        <v>224</v>
      </c>
      <c r="B226">
        <v>3583</v>
      </c>
      <c r="C226" t="b">
        <v>1</v>
      </c>
      <c r="D226">
        <v>8048</v>
      </c>
      <c r="E226">
        <v>8123</v>
      </c>
      <c r="F226">
        <v>8</v>
      </c>
      <c r="G226">
        <v>8</v>
      </c>
      <c r="H226">
        <v>1</v>
      </c>
      <c r="I226">
        <v>0</v>
      </c>
      <c r="J226">
        <v>0.5</v>
      </c>
    </row>
    <row r="227" spans="1:10" x14ac:dyDescent="0.3">
      <c r="A227">
        <v>225</v>
      </c>
      <c r="B227">
        <v>3599</v>
      </c>
      <c r="C227" t="b">
        <v>1</v>
      </c>
      <c r="D227">
        <v>8048</v>
      </c>
      <c r="E227">
        <v>8123</v>
      </c>
      <c r="F227">
        <v>8</v>
      </c>
      <c r="G227">
        <v>8</v>
      </c>
      <c r="H227">
        <v>1</v>
      </c>
      <c r="I227">
        <v>0</v>
      </c>
      <c r="J227">
        <v>0.5</v>
      </c>
    </row>
    <row r="228" spans="1:10" x14ac:dyDescent="0.3">
      <c r="A228">
        <v>226</v>
      </c>
      <c r="B228">
        <v>3615</v>
      </c>
      <c r="C228" t="b">
        <v>1</v>
      </c>
      <c r="D228">
        <v>8054</v>
      </c>
      <c r="E228">
        <v>8123</v>
      </c>
      <c r="F228">
        <v>8</v>
      </c>
      <c r="G228">
        <v>8</v>
      </c>
      <c r="H228">
        <v>1</v>
      </c>
      <c r="I228">
        <v>0</v>
      </c>
      <c r="J228">
        <v>0.5</v>
      </c>
    </row>
    <row r="229" spans="1:10" x14ac:dyDescent="0.3">
      <c r="A229">
        <v>227</v>
      </c>
      <c r="B229">
        <v>3631</v>
      </c>
      <c r="C229" t="b">
        <v>1</v>
      </c>
      <c r="D229">
        <v>8042</v>
      </c>
      <c r="E229">
        <v>8123</v>
      </c>
      <c r="F229">
        <v>8</v>
      </c>
      <c r="G229">
        <v>8</v>
      </c>
      <c r="H229">
        <v>1</v>
      </c>
      <c r="I229">
        <v>0</v>
      </c>
      <c r="J229">
        <v>0.5</v>
      </c>
    </row>
    <row r="230" spans="1:10" x14ac:dyDescent="0.3">
      <c r="A230">
        <v>228</v>
      </c>
      <c r="B230">
        <v>3647</v>
      </c>
      <c r="C230" t="b">
        <v>1</v>
      </c>
      <c r="D230">
        <v>8048</v>
      </c>
      <c r="E230">
        <v>8123</v>
      </c>
      <c r="F230">
        <v>8</v>
      </c>
      <c r="G230">
        <v>8</v>
      </c>
      <c r="H230">
        <v>1</v>
      </c>
      <c r="I230">
        <v>0</v>
      </c>
      <c r="J230">
        <v>0.5</v>
      </c>
    </row>
    <row r="231" spans="1:10" x14ac:dyDescent="0.3">
      <c r="A231">
        <v>229</v>
      </c>
      <c r="B231">
        <v>3663</v>
      </c>
      <c r="C231" t="b">
        <v>1</v>
      </c>
      <c r="D231">
        <v>8048</v>
      </c>
      <c r="E231">
        <v>8129</v>
      </c>
      <c r="F231">
        <v>8</v>
      </c>
      <c r="G231">
        <v>8</v>
      </c>
      <c r="H231">
        <v>1</v>
      </c>
      <c r="I231">
        <v>0</v>
      </c>
      <c r="J231">
        <v>0.5</v>
      </c>
    </row>
    <row r="232" spans="1:10" x14ac:dyDescent="0.3">
      <c r="A232">
        <v>230</v>
      </c>
      <c r="B232">
        <v>3679</v>
      </c>
      <c r="C232" t="b">
        <v>1</v>
      </c>
      <c r="D232">
        <v>8042</v>
      </c>
      <c r="E232">
        <v>8123</v>
      </c>
      <c r="F232">
        <v>8</v>
      </c>
      <c r="G232">
        <v>8</v>
      </c>
      <c r="H232">
        <v>1</v>
      </c>
      <c r="I232">
        <v>0</v>
      </c>
      <c r="J232">
        <v>0.5</v>
      </c>
    </row>
    <row r="233" spans="1:10" x14ac:dyDescent="0.3">
      <c r="A233">
        <v>231</v>
      </c>
      <c r="B233">
        <v>3694</v>
      </c>
      <c r="C233" t="b">
        <v>1</v>
      </c>
      <c r="D233">
        <v>8048</v>
      </c>
      <c r="E233">
        <v>8129</v>
      </c>
      <c r="F233">
        <v>8</v>
      </c>
      <c r="G233">
        <v>8</v>
      </c>
      <c r="H233">
        <v>1</v>
      </c>
      <c r="I233">
        <v>0</v>
      </c>
      <c r="J233">
        <v>0.5</v>
      </c>
    </row>
    <row r="234" spans="1:10" x14ac:dyDescent="0.3">
      <c r="A234">
        <v>232</v>
      </c>
      <c r="B234">
        <v>3710</v>
      </c>
      <c r="C234" t="b">
        <v>1</v>
      </c>
      <c r="D234">
        <v>8048</v>
      </c>
      <c r="E234">
        <v>8129</v>
      </c>
      <c r="F234">
        <v>8</v>
      </c>
      <c r="G234">
        <v>8.4</v>
      </c>
      <c r="H234">
        <v>0.95238100000000003</v>
      </c>
      <c r="I234">
        <v>4.7619003999999999E-2</v>
      </c>
      <c r="J234">
        <v>0.51219510000000001</v>
      </c>
    </row>
    <row r="235" spans="1:10" x14ac:dyDescent="0.3">
      <c r="A235">
        <v>233</v>
      </c>
      <c r="B235">
        <v>3726</v>
      </c>
      <c r="C235" t="b">
        <v>1</v>
      </c>
      <c r="D235">
        <v>8048</v>
      </c>
      <c r="E235">
        <v>8123</v>
      </c>
      <c r="F235">
        <v>8</v>
      </c>
      <c r="G235">
        <v>8.8000000000000007</v>
      </c>
      <c r="H235">
        <v>0.90909090000000004</v>
      </c>
      <c r="I235">
        <v>9.0909110000000001E-2</v>
      </c>
      <c r="J235">
        <v>0.52380954999999996</v>
      </c>
    </row>
    <row r="236" spans="1:10" x14ac:dyDescent="0.3">
      <c r="A236">
        <v>234</v>
      </c>
      <c r="B236">
        <v>3742</v>
      </c>
      <c r="C236" t="b">
        <v>1</v>
      </c>
      <c r="D236">
        <v>8048</v>
      </c>
      <c r="E236">
        <v>8129</v>
      </c>
      <c r="F236">
        <v>8</v>
      </c>
      <c r="G236">
        <v>9.1999999999999993</v>
      </c>
      <c r="H236">
        <v>0.86956524999999996</v>
      </c>
      <c r="I236">
        <v>0.13043477000000001</v>
      </c>
      <c r="J236">
        <v>0.53488369999999996</v>
      </c>
    </row>
    <row r="237" spans="1:10" x14ac:dyDescent="0.3">
      <c r="A237">
        <v>235</v>
      </c>
      <c r="B237">
        <v>3758</v>
      </c>
      <c r="C237" t="b">
        <v>1</v>
      </c>
      <c r="D237">
        <v>8048</v>
      </c>
      <c r="E237">
        <v>8123</v>
      </c>
      <c r="F237">
        <v>8</v>
      </c>
      <c r="G237">
        <v>9.6</v>
      </c>
      <c r="H237">
        <v>0.83333330000000005</v>
      </c>
      <c r="I237">
        <v>0.1666667</v>
      </c>
      <c r="J237">
        <v>0.54545456000000003</v>
      </c>
    </row>
    <row r="238" spans="1:10" x14ac:dyDescent="0.3">
      <c r="A238">
        <v>236</v>
      </c>
      <c r="B238">
        <v>3774</v>
      </c>
      <c r="C238" t="b">
        <v>1</v>
      </c>
      <c r="D238">
        <v>8048</v>
      </c>
      <c r="E238">
        <v>8123</v>
      </c>
      <c r="F238">
        <v>8</v>
      </c>
      <c r="G238">
        <v>9.6</v>
      </c>
      <c r="H238">
        <v>0.83333330000000005</v>
      </c>
      <c r="I238">
        <v>0.1666667</v>
      </c>
      <c r="J238">
        <v>0.54545456000000003</v>
      </c>
    </row>
    <row r="239" spans="1:10" x14ac:dyDescent="0.3">
      <c r="A239">
        <v>237</v>
      </c>
      <c r="B239">
        <v>3790</v>
      </c>
      <c r="C239" t="b">
        <v>1</v>
      </c>
      <c r="D239">
        <v>8048</v>
      </c>
      <c r="E239">
        <v>8123</v>
      </c>
      <c r="F239">
        <v>8</v>
      </c>
      <c r="G239">
        <v>9.6</v>
      </c>
      <c r="H239">
        <v>0.83333330000000005</v>
      </c>
      <c r="I239">
        <v>0.1666667</v>
      </c>
      <c r="J239">
        <v>0.54545456000000003</v>
      </c>
    </row>
    <row r="240" spans="1:10" x14ac:dyDescent="0.3">
      <c r="A240">
        <v>238</v>
      </c>
      <c r="B240">
        <v>3806</v>
      </c>
      <c r="C240" t="b">
        <v>1</v>
      </c>
      <c r="D240">
        <v>8054</v>
      </c>
      <c r="E240">
        <v>8123</v>
      </c>
      <c r="F240">
        <v>8</v>
      </c>
      <c r="G240">
        <v>9.6</v>
      </c>
      <c r="H240">
        <v>0.83333330000000005</v>
      </c>
      <c r="I240">
        <v>0.1666667</v>
      </c>
      <c r="J240">
        <v>0.54545456000000003</v>
      </c>
    </row>
    <row r="241" spans="1:10" x14ac:dyDescent="0.3">
      <c r="A241">
        <v>239</v>
      </c>
      <c r="B241">
        <v>3822</v>
      </c>
      <c r="C241" t="b">
        <v>1</v>
      </c>
      <c r="D241">
        <v>8048</v>
      </c>
      <c r="E241">
        <v>8123</v>
      </c>
      <c r="F241">
        <v>8</v>
      </c>
      <c r="G241">
        <v>9.6</v>
      </c>
      <c r="H241">
        <v>0.83333330000000005</v>
      </c>
      <c r="I241">
        <v>0.1666667</v>
      </c>
      <c r="J241">
        <v>0.54545456000000003</v>
      </c>
    </row>
    <row r="242" spans="1:10" x14ac:dyDescent="0.3">
      <c r="A242">
        <v>240</v>
      </c>
      <c r="B242">
        <v>3837</v>
      </c>
      <c r="C242" t="b">
        <v>1</v>
      </c>
      <c r="D242">
        <v>8048</v>
      </c>
      <c r="E242">
        <v>8129</v>
      </c>
      <c r="F242">
        <v>8</v>
      </c>
      <c r="G242">
        <v>9.6</v>
      </c>
      <c r="H242">
        <v>0.83333330000000005</v>
      </c>
      <c r="I242">
        <v>0.1666667</v>
      </c>
      <c r="J242">
        <v>0.54545456000000003</v>
      </c>
    </row>
    <row r="243" spans="1:10" x14ac:dyDescent="0.3">
      <c r="A243">
        <v>241</v>
      </c>
      <c r="B243">
        <v>3853</v>
      </c>
      <c r="C243" t="b">
        <v>1</v>
      </c>
      <c r="D243">
        <v>8048</v>
      </c>
      <c r="E243">
        <v>8123</v>
      </c>
      <c r="F243">
        <v>8</v>
      </c>
      <c r="G243">
        <v>9.6</v>
      </c>
      <c r="H243">
        <v>0.83333330000000005</v>
      </c>
      <c r="I243">
        <v>0.1666667</v>
      </c>
      <c r="J243">
        <v>0.54545456000000003</v>
      </c>
    </row>
    <row r="244" spans="1:10" x14ac:dyDescent="0.3">
      <c r="A244">
        <v>242</v>
      </c>
      <c r="B244">
        <v>3869</v>
      </c>
      <c r="C244" t="b">
        <v>1</v>
      </c>
      <c r="D244">
        <v>8048</v>
      </c>
      <c r="E244">
        <v>8117</v>
      </c>
      <c r="F244">
        <v>8</v>
      </c>
      <c r="G244">
        <v>9.6</v>
      </c>
      <c r="H244">
        <v>0.83333330000000005</v>
      </c>
      <c r="I244">
        <v>0.1666667</v>
      </c>
      <c r="J244">
        <v>0.54545456000000003</v>
      </c>
    </row>
    <row r="245" spans="1:10" x14ac:dyDescent="0.3">
      <c r="A245">
        <v>243</v>
      </c>
      <c r="B245">
        <v>3885</v>
      </c>
      <c r="C245" t="b">
        <v>1</v>
      </c>
      <c r="D245">
        <v>8048</v>
      </c>
      <c r="E245">
        <v>8123</v>
      </c>
      <c r="F245">
        <v>8</v>
      </c>
      <c r="G245">
        <v>9.6</v>
      </c>
      <c r="H245">
        <v>0.83333330000000005</v>
      </c>
      <c r="I245">
        <v>0.1666667</v>
      </c>
      <c r="J245">
        <v>0.54545456000000003</v>
      </c>
    </row>
    <row r="246" spans="1:10" x14ac:dyDescent="0.3">
      <c r="A246">
        <v>244</v>
      </c>
      <c r="B246">
        <v>3900</v>
      </c>
      <c r="C246" t="b">
        <v>1</v>
      </c>
      <c r="D246">
        <v>8048</v>
      </c>
      <c r="E246">
        <v>8117</v>
      </c>
      <c r="F246">
        <v>8</v>
      </c>
      <c r="G246">
        <v>9.6</v>
      </c>
      <c r="H246">
        <v>0.83333330000000005</v>
      </c>
      <c r="I246">
        <v>0.1666667</v>
      </c>
      <c r="J246">
        <v>0.54545456000000003</v>
      </c>
    </row>
    <row r="247" spans="1:10" x14ac:dyDescent="0.3">
      <c r="A247">
        <v>245</v>
      </c>
      <c r="B247">
        <v>3916</v>
      </c>
      <c r="C247" t="b">
        <v>1</v>
      </c>
      <c r="D247">
        <v>8048</v>
      </c>
      <c r="E247">
        <v>8117</v>
      </c>
      <c r="F247">
        <v>8</v>
      </c>
      <c r="G247">
        <v>9.1999999999999993</v>
      </c>
      <c r="H247">
        <v>0.86956524999999996</v>
      </c>
      <c r="I247">
        <v>0.13043477000000001</v>
      </c>
      <c r="J247">
        <v>0.53488369999999996</v>
      </c>
    </row>
    <row r="248" spans="1:10" x14ac:dyDescent="0.3">
      <c r="A248">
        <v>246</v>
      </c>
      <c r="B248">
        <v>3932</v>
      </c>
      <c r="C248" t="b">
        <v>1</v>
      </c>
      <c r="D248">
        <v>8054</v>
      </c>
      <c r="E248">
        <v>8117</v>
      </c>
      <c r="F248">
        <v>8</v>
      </c>
      <c r="G248">
        <v>8.8000000000000007</v>
      </c>
      <c r="H248">
        <v>0.90909090000000004</v>
      </c>
      <c r="I248">
        <v>9.0909110000000001E-2</v>
      </c>
      <c r="J248">
        <v>0.52380954999999996</v>
      </c>
    </row>
    <row r="249" spans="1:10" x14ac:dyDescent="0.3">
      <c r="A249">
        <v>247</v>
      </c>
      <c r="B249">
        <v>3948</v>
      </c>
      <c r="C249" t="b">
        <v>1</v>
      </c>
      <c r="D249">
        <v>8054</v>
      </c>
      <c r="E249">
        <v>8117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3964</v>
      </c>
      <c r="C250" t="b">
        <v>1</v>
      </c>
      <c r="D250">
        <v>8054</v>
      </c>
      <c r="E250">
        <v>8117</v>
      </c>
      <c r="F250">
        <v>8.4</v>
      </c>
      <c r="G250">
        <v>7.2</v>
      </c>
      <c r="H250">
        <v>1.1666666000000001</v>
      </c>
      <c r="I250">
        <v>-0.16666664</v>
      </c>
      <c r="J250">
        <v>0.46153845999999998</v>
      </c>
    </row>
    <row r="251" spans="1:10" x14ac:dyDescent="0.3">
      <c r="A251">
        <v>249</v>
      </c>
      <c r="B251">
        <v>3980</v>
      </c>
      <c r="C251" t="b">
        <v>1</v>
      </c>
      <c r="D251">
        <v>8054</v>
      </c>
      <c r="E251">
        <v>8123</v>
      </c>
      <c r="F251">
        <v>8.8000000000000007</v>
      </c>
      <c r="G251">
        <v>6.4</v>
      </c>
      <c r="H251">
        <v>1.375</v>
      </c>
      <c r="I251">
        <v>-0.375</v>
      </c>
      <c r="J251">
        <v>0.4210526</v>
      </c>
    </row>
    <row r="252" spans="1:10" x14ac:dyDescent="0.3">
      <c r="A252">
        <v>250</v>
      </c>
      <c r="B252">
        <v>3996</v>
      </c>
      <c r="C252" t="b">
        <v>1</v>
      </c>
      <c r="D252">
        <v>8054</v>
      </c>
      <c r="E252">
        <v>8117</v>
      </c>
      <c r="F252">
        <v>9.1999999999999993</v>
      </c>
      <c r="G252">
        <v>5.6</v>
      </c>
      <c r="H252">
        <v>1.6428571999999999</v>
      </c>
      <c r="I252">
        <v>-0.64285713</v>
      </c>
      <c r="J252">
        <v>0.3783784</v>
      </c>
    </row>
    <row r="253" spans="1:10" x14ac:dyDescent="0.3">
      <c r="A253">
        <v>251</v>
      </c>
      <c r="B253">
        <v>4012</v>
      </c>
      <c r="C253" t="b">
        <v>1</v>
      </c>
      <c r="D253">
        <v>8054</v>
      </c>
      <c r="E253">
        <v>8123</v>
      </c>
      <c r="F253">
        <v>9.6</v>
      </c>
      <c r="G253">
        <v>5.2</v>
      </c>
      <c r="H253">
        <v>1.8461540000000001</v>
      </c>
      <c r="I253">
        <v>-0.84615399999999996</v>
      </c>
      <c r="J253">
        <v>0.35135132000000002</v>
      </c>
    </row>
    <row r="254" spans="1:10" x14ac:dyDescent="0.3">
      <c r="A254">
        <v>252</v>
      </c>
      <c r="B254">
        <v>4027</v>
      </c>
      <c r="C254" t="b">
        <v>1</v>
      </c>
      <c r="D254">
        <v>8048</v>
      </c>
      <c r="E254">
        <v>8117</v>
      </c>
      <c r="F254">
        <v>10</v>
      </c>
      <c r="G254">
        <v>4.8</v>
      </c>
      <c r="H254">
        <v>2.0833333000000001</v>
      </c>
      <c r="I254">
        <v>-1.0833333000000001</v>
      </c>
      <c r="J254">
        <v>0.32432433999999999</v>
      </c>
    </row>
    <row r="255" spans="1:10" x14ac:dyDescent="0.3">
      <c r="A255">
        <v>253</v>
      </c>
      <c r="B255">
        <v>4043</v>
      </c>
      <c r="C255" t="b">
        <v>1</v>
      </c>
      <c r="D255">
        <v>8048</v>
      </c>
      <c r="E255">
        <v>8117</v>
      </c>
      <c r="F255">
        <v>10.4</v>
      </c>
      <c r="G255">
        <v>4.4000000000000004</v>
      </c>
      <c r="H255">
        <v>2.3636363</v>
      </c>
      <c r="I255">
        <v>-1.3636363</v>
      </c>
      <c r="J255">
        <v>0.29729733000000003</v>
      </c>
    </row>
    <row r="256" spans="1:10" x14ac:dyDescent="0.3">
      <c r="A256">
        <v>254</v>
      </c>
      <c r="B256">
        <v>4059</v>
      </c>
      <c r="C256" t="b">
        <v>1</v>
      </c>
      <c r="D256">
        <v>8054</v>
      </c>
      <c r="E256">
        <v>8117</v>
      </c>
      <c r="F256">
        <v>10.8</v>
      </c>
      <c r="G256">
        <v>4</v>
      </c>
      <c r="H256">
        <v>2.7</v>
      </c>
      <c r="I256">
        <v>-1.7</v>
      </c>
      <c r="J256">
        <v>0.27027025999999998</v>
      </c>
    </row>
    <row r="257" spans="1:10" x14ac:dyDescent="0.3">
      <c r="A257">
        <v>255</v>
      </c>
      <c r="B257">
        <v>4075</v>
      </c>
      <c r="C257" t="b">
        <v>1</v>
      </c>
      <c r="D257">
        <v>8048</v>
      </c>
      <c r="E257">
        <v>8123</v>
      </c>
      <c r="F257">
        <v>10.8</v>
      </c>
      <c r="G257">
        <v>3.6</v>
      </c>
      <c r="H257">
        <v>3.0000002000000001</v>
      </c>
      <c r="I257">
        <v>-2.0000002000000001</v>
      </c>
      <c r="J257">
        <v>0.25</v>
      </c>
    </row>
    <row r="258" spans="1:10" x14ac:dyDescent="0.3">
      <c r="A258">
        <v>256</v>
      </c>
      <c r="B258">
        <v>4091</v>
      </c>
      <c r="C258" t="b">
        <v>1</v>
      </c>
      <c r="D258">
        <v>8048</v>
      </c>
      <c r="E258">
        <v>8123</v>
      </c>
      <c r="F258">
        <v>10.8</v>
      </c>
      <c r="G258">
        <v>3.2</v>
      </c>
      <c r="H258">
        <v>3.375</v>
      </c>
      <c r="I258">
        <v>-2.375</v>
      </c>
      <c r="J258">
        <v>0.22857142999999999</v>
      </c>
    </row>
    <row r="259" spans="1:10" x14ac:dyDescent="0.3">
      <c r="A259">
        <v>257</v>
      </c>
      <c r="B259">
        <v>4107</v>
      </c>
      <c r="C259" t="b">
        <v>1</v>
      </c>
      <c r="D259">
        <v>8048</v>
      </c>
      <c r="E259">
        <v>8123</v>
      </c>
      <c r="F259">
        <v>10.8</v>
      </c>
      <c r="G259">
        <v>3.2</v>
      </c>
      <c r="H259">
        <v>3.375</v>
      </c>
      <c r="I259">
        <v>-2.375</v>
      </c>
      <c r="J259">
        <v>0.22857142999999999</v>
      </c>
    </row>
    <row r="260" spans="1:10" x14ac:dyDescent="0.3">
      <c r="A260">
        <v>258</v>
      </c>
      <c r="B260">
        <v>4122</v>
      </c>
      <c r="C260" t="b">
        <v>1</v>
      </c>
      <c r="D260">
        <v>8048</v>
      </c>
      <c r="E260">
        <v>8123</v>
      </c>
      <c r="F260">
        <v>10.8</v>
      </c>
      <c r="G260">
        <v>3.2</v>
      </c>
      <c r="H260">
        <v>3.375</v>
      </c>
      <c r="I260">
        <v>-2.375</v>
      </c>
      <c r="J260">
        <v>0.22857142999999999</v>
      </c>
    </row>
    <row r="261" spans="1:10" x14ac:dyDescent="0.3">
      <c r="A261">
        <v>259</v>
      </c>
      <c r="B261">
        <v>4138</v>
      </c>
      <c r="C261" t="b">
        <v>1</v>
      </c>
      <c r="D261">
        <v>8054</v>
      </c>
      <c r="E261">
        <v>8123</v>
      </c>
      <c r="F261">
        <v>10.8</v>
      </c>
      <c r="G261">
        <v>3.2</v>
      </c>
      <c r="H261">
        <v>3.375</v>
      </c>
      <c r="I261">
        <v>-2.375</v>
      </c>
      <c r="J261">
        <v>0.22857142999999999</v>
      </c>
    </row>
    <row r="262" spans="1:10" x14ac:dyDescent="0.3">
      <c r="A262">
        <v>260</v>
      </c>
      <c r="B262">
        <v>4154</v>
      </c>
      <c r="C262" t="b">
        <v>1</v>
      </c>
      <c r="D262">
        <v>8048</v>
      </c>
      <c r="E262">
        <v>8123</v>
      </c>
      <c r="F262">
        <v>10.8</v>
      </c>
      <c r="G262">
        <v>3.6</v>
      </c>
      <c r="H262">
        <v>3.0000002000000001</v>
      </c>
      <c r="I262">
        <v>-2.0000002000000001</v>
      </c>
      <c r="J262">
        <v>0.25</v>
      </c>
    </row>
    <row r="263" spans="1:10" x14ac:dyDescent="0.3">
      <c r="A263">
        <v>261</v>
      </c>
      <c r="B263">
        <v>4170</v>
      </c>
      <c r="C263" t="b">
        <v>1</v>
      </c>
      <c r="D263">
        <v>8048</v>
      </c>
      <c r="E263">
        <v>8129</v>
      </c>
      <c r="F263">
        <v>10.8</v>
      </c>
      <c r="G263">
        <v>4</v>
      </c>
      <c r="H263">
        <v>2.7</v>
      </c>
      <c r="I263">
        <v>-1.7</v>
      </c>
      <c r="J263">
        <v>0.27027025999999998</v>
      </c>
    </row>
    <row r="264" spans="1:10" x14ac:dyDescent="0.3">
      <c r="A264">
        <v>262</v>
      </c>
      <c r="B264">
        <v>4186</v>
      </c>
      <c r="C264" t="b">
        <v>1</v>
      </c>
      <c r="D264">
        <v>8048</v>
      </c>
      <c r="E264">
        <v>8129</v>
      </c>
      <c r="F264">
        <v>10.8</v>
      </c>
      <c r="G264">
        <v>4.4000000000000004</v>
      </c>
      <c r="H264">
        <v>2.4545455</v>
      </c>
      <c r="I264">
        <v>-1.4545455</v>
      </c>
      <c r="J264">
        <v>0.28947368000000001</v>
      </c>
    </row>
    <row r="265" spans="1:10" x14ac:dyDescent="0.3">
      <c r="A265">
        <v>263</v>
      </c>
      <c r="B265">
        <v>4202</v>
      </c>
      <c r="C265" t="b">
        <v>1</v>
      </c>
      <c r="D265">
        <v>8048</v>
      </c>
      <c r="E265">
        <v>8123</v>
      </c>
      <c r="F265">
        <v>10.4</v>
      </c>
      <c r="G265">
        <v>4.8</v>
      </c>
      <c r="H265">
        <v>2.1666664999999998</v>
      </c>
      <c r="I265">
        <v>-1.1666665000000001</v>
      </c>
      <c r="J265">
        <v>0.3157895</v>
      </c>
    </row>
    <row r="266" spans="1:10" x14ac:dyDescent="0.3">
      <c r="A266">
        <v>264</v>
      </c>
      <c r="B266">
        <v>4217</v>
      </c>
      <c r="C266" t="b">
        <v>1</v>
      </c>
      <c r="D266">
        <v>8048</v>
      </c>
      <c r="E266">
        <v>8123</v>
      </c>
      <c r="F266">
        <v>10</v>
      </c>
      <c r="G266">
        <v>5.2</v>
      </c>
      <c r="H266">
        <v>1.9230769999999999</v>
      </c>
      <c r="I266">
        <v>-0.92307700000000004</v>
      </c>
      <c r="J266">
        <v>0.34210527000000002</v>
      </c>
    </row>
    <row r="267" spans="1:10" x14ac:dyDescent="0.3">
      <c r="A267">
        <v>265</v>
      </c>
      <c r="B267">
        <v>4233</v>
      </c>
      <c r="C267" t="b">
        <v>1</v>
      </c>
      <c r="D267">
        <v>8042</v>
      </c>
      <c r="E267">
        <v>8129</v>
      </c>
      <c r="F267">
        <v>9.6</v>
      </c>
      <c r="G267">
        <v>6</v>
      </c>
      <c r="H267">
        <v>1.6</v>
      </c>
      <c r="I267">
        <v>-0.60000010000000004</v>
      </c>
      <c r="J267">
        <v>0.38461536000000002</v>
      </c>
    </row>
    <row r="268" spans="1:10" x14ac:dyDescent="0.3">
      <c r="A268">
        <v>266</v>
      </c>
      <c r="B268">
        <v>4250</v>
      </c>
      <c r="C268" t="b">
        <v>1</v>
      </c>
      <c r="D268">
        <v>8048</v>
      </c>
      <c r="E268">
        <v>8123</v>
      </c>
      <c r="F268">
        <v>9.1999999999999993</v>
      </c>
      <c r="G268">
        <v>6.4</v>
      </c>
      <c r="H268">
        <v>1.4375</v>
      </c>
      <c r="I268">
        <v>-0.43749993999999998</v>
      </c>
      <c r="J268">
        <v>0.41025642000000001</v>
      </c>
    </row>
    <row r="269" spans="1:10" x14ac:dyDescent="0.3">
      <c r="A269">
        <v>267</v>
      </c>
      <c r="B269">
        <v>4265</v>
      </c>
      <c r="C269" t="b">
        <v>1</v>
      </c>
      <c r="D269">
        <v>8042</v>
      </c>
      <c r="E269">
        <v>8123</v>
      </c>
      <c r="F269">
        <v>8.8000000000000007</v>
      </c>
      <c r="G269">
        <v>6.8</v>
      </c>
      <c r="H269">
        <v>1.2941176999999999</v>
      </c>
      <c r="I269">
        <v>-0.29411763000000002</v>
      </c>
      <c r="J269">
        <v>0.43589744000000002</v>
      </c>
    </row>
    <row r="270" spans="1:10" x14ac:dyDescent="0.3">
      <c r="A270">
        <v>268</v>
      </c>
      <c r="B270">
        <v>4281</v>
      </c>
      <c r="C270" t="b">
        <v>1</v>
      </c>
      <c r="D270">
        <v>8042</v>
      </c>
      <c r="E270">
        <v>8129</v>
      </c>
      <c r="F270">
        <v>8</v>
      </c>
      <c r="G270">
        <v>7.2</v>
      </c>
      <c r="H270">
        <v>1.1111112000000001</v>
      </c>
      <c r="I270">
        <v>-0.11111114</v>
      </c>
      <c r="J270">
        <v>0.4736842</v>
      </c>
    </row>
    <row r="271" spans="1:10" x14ac:dyDescent="0.3">
      <c r="A271">
        <v>269</v>
      </c>
      <c r="B271">
        <v>4297</v>
      </c>
      <c r="C271" t="b">
        <v>1</v>
      </c>
      <c r="D271">
        <v>8042</v>
      </c>
      <c r="E271">
        <v>8123</v>
      </c>
      <c r="F271">
        <v>7.2</v>
      </c>
      <c r="G271">
        <v>7.6</v>
      </c>
      <c r="H271">
        <v>0.9473684</v>
      </c>
      <c r="I271">
        <v>5.2631589999999999E-2</v>
      </c>
      <c r="J271">
        <v>0.51351349999999996</v>
      </c>
    </row>
    <row r="272" spans="1:10" x14ac:dyDescent="0.3">
      <c r="A272">
        <v>270</v>
      </c>
      <c r="B272">
        <v>4313</v>
      </c>
      <c r="C272" t="b">
        <v>1</v>
      </c>
      <c r="D272">
        <v>8042</v>
      </c>
      <c r="E272">
        <v>8129</v>
      </c>
      <c r="F272">
        <v>6.8</v>
      </c>
      <c r="G272">
        <v>8</v>
      </c>
      <c r="H272">
        <v>0.85</v>
      </c>
      <c r="I272">
        <v>0.14999998</v>
      </c>
      <c r="J272">
        <v>0.54054049999999998</v>
      </c>
    </row>
    <row r="273" spans="1:10" x14ac:dyDescent="0.3">
      <c r="A273">
        <v>271</v>
      </c>
      <c r="B273">
        <v>4329</v>
      </c>
      <c r="C273" t="b">
        <v>1</v>
      </c>
      <c r="D273">
        <v>8042</v>
      </c>
      <c r="E273">
        <v>8123</v>
      </c>
      <c r="F273">
        <v>6.4</v>
      </c>
      <c r="G273">
        <v>8.4</v>
      </c>
      <c r="H273">
        <v>0.76190484000000003</v>
      </c>
      <c r="I273">
        <v>0.23809520000000001</v>
      </c>
      <c r="J273">
        <v>0.56756759999999995</v>
      </c>
    </row>
    <row r="274" spans="1:10" x14ac:dyDescent="0.3">
      <c r="A274">
        <v>272</v>
      </c>
      <c r="B274">
        <v>4344</v>
      </c>
      <c r="C274" t="b">
        <v>1</v>
      </c>
      <c r="D274">
        <v>8048</v>
      </c>
      <c r="E274">
        <v>8123</v>
      </c>
      <c r="F274">
        <v>6</v>
      </c>
      <c r="G274">
        <v>8.4</v>
      </c>
      <c r="H274">
        <v>0.71428572999999995</v>
      </c>
      <c r="I274">
        <v>0.28571424000000001</v>
      </c>
      <c r="J274">
        <v>0.58333330000000005</v>
      </c>
    </row>
    <row r="275" spans="1:10" x14ac:dyDescent="0.3">
      <c r="A275">
        <v>273</v>
      </c>
      <c r="B275">
        <v>4361</v>
      </c>
      <c r="C275" t="b">
        <v>1</v>
      </c>
      <c r="D275">
        <v>8048</v>
      </c>
      <c r="E275">
        <v>8123</v>
      </c>
      <c r="F275">
        <v>5.6</v>
      </c>
      <c r="G275">
        <v>8.4</v>
      </c>
      <c r="H275">
        <v>0.66666669999999995</v>
      </c>
      <c r="I275">
        <v>0.3333333</v>
      </c>
      <c r="J275">
        <v>0.59999996</v>
      </c>
    </row>
    <row r="276" spans="1:10" x14ac:dyDescent="0.3">
      <c r="A276">
        <v>274</v>
      </c>
      <c r="B276">
        <v>4376</v>
      </c>
      <c r="C276" t="b">
        <v>1</v>
      </c>
      <c r="D276">
        <v>8048</v>
      </c>
      <c r="E276">
        <v>8123</v>
      </c>
      <c r="F276">
        <v>5.6</v>
      </c>
      <c r="G276">
        <v>8.4</v>
      </c>
      <c r="H276">
        <v>0.66666669999999995</v>
      </c>
      <c r="I276">
        <v>0.3333333</v>
      </c>
      <c r="J276">
        <v>0.59999996</v>
      </c>
    </row>
    <row r="277" spans="1:10" x14ac:dyDescent="0.3">
      <c r="A277">
        <v>275</v>
      </c>
      <c r="B277">
        <v>4393</v>
      </c>
      <c r="C277" t="b">
        <v>1</v>
      </c>
      <c r="D277">
        <v>8048</v>
      </c>
      <c r="E277">
        <v>8123</v>
      </c>
      <c r="F277">
        <v>5.6</v>
      </c>
      <c r="G277">
        <v>8.4</v>
      </c>
      <c r="H277">
        <v>0.66666669999999995</v>
      </c>
      <c r="I277">
        <v>0.3333333</v>
      </c>
      <c r="J277">
        <v>0.59999996</v>
      </c>
    </row>
    <row r="278" spans="1:10" x14ac:dyDescent="0.3">
      <c r="A278">
        <v>276</v>
      </c>
      <c r="B278">
        <v>4409</v>
      </c>
      <c r="C278" t="b">
        <v>1</v>
      </c>
      <c r="D278">
        <v>8048</v>
      </c>
      <c r="E278">
        <v>8123</v>
      </c>
      <c r="F278">
        <v>5.6</v>
      </c>
      <c r="G278">
        <v>8.4</v>
      </c>
      <c r="H278">
        <v>0.66666669999999995</v>
      </c>
      <c r="I278">
        <v>0.3333333</v>
      </c>
      <c r="J278">
        <v>0.59999996</v>
      </c>
    </row>
    <row r="279" spans="1:10" x14ac:dyDescent="0.3">
      <c r="A279">
        <v>277</v>
      </c>
      <c r="B279">
        <v>4424</v>
      </c>
      <c r="C279" t="b">
        <v>1</v>
      </c>
      <c r="D279">
        <v>8054</v>
      </c>
      <c r="E279">
        <v>8123</v>
      </c>
      <c r="F279">
        <v>5.6</v>
      </c>
      <c r="G279">
        <v>8.4</v>
      </c>
      <c r="H279">
        <v>0.66666669999999995</v>
      </c>
      <c r="I279">
        <v>0.3333333</v>
      </c>
      <c r="J279">
        <v>0.59999996</v>
      </c>
    </row>
    <row r="280" spans="1:10" x14ac:dyDescent="0.3">
      <c r="A280">
        <v>278</v>
      </c>
      <c r="B280">
        <v>4440</v>
      </c>
      <c r="C280" t="b">
        <v>1</v>
      </c>
      <c r="D280">
        <v>8048</v>
      </c>
      <c r="E280">
        <v>8123</v>
      </c>
      <c r="F280">
        <v>5.6</v>
      </c>
      <c r="G280">
        <v>8.4</v>
      </c>
      <c r="H280">
        <v>0.66666669999999995</v>
      </c>
      <c r="I280">
        <v>0.3333333</v>
      </c>
      <c r="J280">
        <v>0.59999996</v>
      </c>
    </row>
    <row r="281" spans="1:10" x14ac:dyDescent="0.3">
      <c r="A281">
        <v>279</v>
      </c>
      <c r="B281">
        <v>4456</v>
      </c>
      <c r="C281" t="b">
        <v>1</v>
      </c>
      <c r="D281">
        <v>8048</v>
      </c>
      <c r="E281">
        <v>8129</v>
      </c>
      <c r="F281">
        <v>5.6</v>
      </c>
      <c r="G281">
        <v>8.4</v>
      </c>
      <c r="H281">
        <v>0.66666669999999995</v>
      </c>
      <c r="I281">
        <v>0.3333333</v>
      </c>
      <c r="J281">
        <v>0.59999996</v>
      </c>
    </row>
    <row r="282" spans="1:10" x14ac:dyDescent="0.3">
      <c r="A282">
        <v>280</v>
      </c>
      <c r="B282">
        <v>4472</v>
      </c>
      <c r="C282" t="b">
        <v>1</v>
      </c>
      <c r="D282">
        <v>8048</v>
      </c>
      <c r="E282">
        <v>8117</v>
      </c>
      <c r="F282">
        <v>5.6</v>
      </c>
      <c r="G282">
        <v>8</v>
      </c>
      <c r="H282">
        <v>0.7</v>
      </c>
      <c r="I282">
        <v>0.3</v>
      </c>
      <c r="J282">
        <v>0.58823526000000004</v>
      </c>
    </row>
    <row r="283" spans="1:10" x14ac:dyDescent="0.3">
      <c r="A283">
        <v>281</v>
      </c>
      <c r="B283">
        <v>4488</v>
      </c>
      <c r="C283" t="b">
        <v>1</v>
      </c>
      <c r="D283">
        <v>8048</v>
      </c>
      <c r="E283">
        <v>8117</v>
      </c>
      <c r="F283">
        <v>5.6</v>
      </c>
      <c r="G283">
        <v>8</v>
      </c>
      <c r="H283">
        <v>0.7</v>
      </c>
      <c r="I283">
        <v>0.3</v>
      </c>
      <c r="J283">
        <v>0.58823526000000004</v>
      </c>
    </row>
    <row r="284" spans="1:10" x14ac:dyDescent="0.3">
      <c r="A284">
        <v>282</v>
      </c>
      <c r="B284">
        <v>4504</v>
      </c>
      <c r="C284" t="b">
        <v>1</v>
      </c>
      <c r="D284">
        <v>8048</v>
      </c>
      <c r="E284">
        <v>8123</v>
      </c>
      <c r="F284">
        <v>5.6</v>
      </c>
      <c r="G284">
        <v>8</v>
      </c>
      <c r="H284">
        <v>0.7</v>
      </c>
      <c r="I284">
        <v>0.3</v>
      </c>
      <c r="J284">
        <v>0.58823526000000004</v>
      </c>
    </row>
    <row r="285" spans="1:10" x14ac:dyDescent="0.3">
      <c r="A285">
        <v>283</v>
      </c>
      <c r="B285">
        <v>4519</v>
      </c>
      <c r="C285" t="b">
        <v>1</v>
      </c>
      <c r="D285">
        <v>8048</v>
      </c>
      <c r="E285">
        <v>8123</v>
      </c>
      <c r="F285">
        <v>6</v>
      </c>
      <c r="G285">
        <v>8</v>
      </c>
      <c r="H285">
        <v>0.75</v>
      </c>
      <c r="I285">
        <v>0.25</v>
      </c>
      <c r="J285">
        <v>0.57142859999999995</v>
      </c>
    </row>
    <row r="286" spans="1:10" x14ac:dyDescent="0.3">
      <c r="A286">
        <v>284</v>
      </c>
      <c r="B286">
        <v>4535</v>
      </c>
      <c r="C286" t="b">
        <v>1</v>
      </c>
      <c r="D286">
        <v>8042</v>
      </c>
      <c r="E286">
        <v>8117</v>
      </c>
      <c r="F286">
        <v>6.4</v>
      </c>
      <c r="G286">
        <v>7.6</v>
      </c>
      <c r="H286">
        <v>0.84210527000000002</v>
      </c>
      <c r="I286">
        <v>0.15789471999999999</v>
      </c>
      <c r="J286">
        <v>0.54285709999999998</v>
      </c>
    </row>
    <row r="287" spans="1:10" x14ac:dyDescent="0.3">
      <c r="A287">
        <v>285</v>
      </c>
      <c r="B287">
        <v>4551</v>
      </c>
      <c r="C287" t="b">
        <v>1</v>
      </c>
      <c r="D287">
        <v>8048</v>
      </c>
      <c r="E287">
        <v>8123</v>
      </c>
      <c r="F287">
        <v>6.8</v>
      </c>
      <c r="G287">
        <v>7.6</v>
      </c>
      <c r="H287">
        <v>0.89473689999999995</v>
      </c>
      <c r="I287">
        <v>0.10526312</v>
      </c>
      <c r="J287">
        <v>0.52777779999999996</v>
      </c>
    </row>
    <row r="288" spans="1:10" x14ac:dyDescent="0.3">
      <c r="A288">
        <v>286</v>
      </c>
      <c r="B288">
        <v>4567</v>
      </c>
      <c r="C288" t="b">
        <v>1</v>
      </c>
      <c r="D288">
        <v>8048</v>
      </c>
      <c r="E288">
        <v>8123</v>
      </c>
      <c r="F288">
        <v>7.2</v>
      </c>
      <c r="G288">
        <v>7.6</v>
      </c>
      <c r="H288">
        <v>0.9473684</v>
      </c>
      <c r="I288">
        <v>5.2631589999999999E-2</v>
      </c>
      <c r="J288">
        <v>0.51351349999999996</v>
      </c>
    </row>
    <row r="289" spans="1:10" x14ac:dyDescent="0.3">
      <c r="A289">
        <v>287</v>
      </c>
      <c r="B289">
        <v>4583</v>
      </c>
      <c r="C289" t="b">
        <v>1</v>
      </c>
      <c r="D289">
        <v>8048</v>
      </c>
      <c r="E289">
        <v>8123</v>
      </c>
      <c r="F289">
        <v>7.6</v>
      </c>
      <c r="G289">
        <v>7.6</v>
      </c>
      <c r="H289">
        <v>1</v>
      </c>
      <c r="I289">
        <v>0</v>
      </c>
      <c r="J289">
        <v>0.5</v>
      </c>
    </row>
    <row r="290" spans="1:10" x14ac:dyDescent="0.3">
      <c r="A290">
        <v>288</v>
      </c>
      <c r="B290">
        <v>4599</v>
      </c>
      <c r="C290" t="b">
        <v>1</v>
      </c>
      <c r="D290">
        <v>8048</v>
      </c>
      <c r="E290">
        <v>8123</v>
      </c>
      <c r="F290">
        <v>8</v>
      </c>
      <c r="G290">
        <v>7.6</v>
      </c>
      <c r="H290">
        <v>1.0526316</v>
      </c>
      <c r="I290">
        <v>-5.2631589999999999E-2</v>
      </c>
      <c r="J290">
        <v>0.48717946000000001</v>
      </c>
    </row>
    <row r="291" spans="1:10" x14ac:dyDescent="0.3">
      <c r="A291">
        <v>289</v>
      </c>
      <c r="B291">
        <v>4615</v>
      </c>
      <c r="C291" t="b">
        <v>1</v>
      </c>
      <c r="D291">
        <v>8048</v>
      </c>
      <c r="E291">
        <v>8123</v>
      </c>
      <c r="F291">
        <v>8</v>
      </c>
      <c r="G291">
        <v>7.6</v>
      </c>
      <c r="H291">
        <v>1.0526316</v>
      </c>
      <c r="I291">
        <v>-5.2631589999999999E-2</v>
      </c>
      <c r="J291">
        <v>0.48717946000000001</v>
      </c>
    </row>
    <row r="292" spans="1:10" x14ac:dyDescent="0.3">
      <c r="A292">
        <v>290</v>
      </c>
      <c r="B292">
        <v>4630</v>
      </c>
      <c r="C292" t="b">
        <v>1</v>
      </c>
      <c r="D292">
        <v>8048</v>
      </c>
      <c r="E292">
        <v>8123</v>
      </c>
      <c r="F292">
        <v>8</v>
      </c>
      <c r="G292">
        <v>7.6</v>
      </c>
      <c r="H292">
        <v>1.0526316</v>
      </c>
      <c r="I292">
        <v>-5.2631589999999999E-2</v>
      </c>
      <c r="J292">
        <v>0.48717946000000001</v>
      </c>
    </row>
    <row r="293" spans="1:10" x14ac:dyDescent="0.3">
      <c r="A293">
        <v>291</v>
      </c>
      <c r="B293">
        <v>4646</v>
      </c>
      <c r="C293" t="b">
        <v>1</v>
      </c>
      <c r="D293">
        <v>8048</v>
      </c>
      <c r="E293">
        <v>8123</v>
      </c>
      <c r="F293">
        <v>8</v>
      </c>
      <c r="G293">
        <v>7.6</v>
      </c>
      <c r="H293">
        <v>1.0526316</v>
      </c>
      <c r="I293">
        <v>-5.2631589999999999E-2</v>
      </c>
      <c r="J293">
        <v>0.48717946000000001</v>
      </c>
    </row>
    <row r="294" spans="1:10" x14ac:dyDescent="0.3">
      <c r="A294">
        <v>292</v>
      </c>
      <c r="B294">
        <v>4662</v>
      </c>
      <c r="C294" t="b">
        <v>1</v>
      </c>
      <c r="D294">
        <v>8048</v>
      </c>
      <c r="E294">
        <v>8123</v>
      </c>
      <c r="F294">
        <v>8</v>
      </c>
      <c r="G294">
        <v>7.6</v>
      </c>
      <c r="H294">
        <v>1.0526316</v>
      </c>
      <c r="I294">
        <v>-5.2631589999999999E-2</v>
      </c>
      <c r="J294">
        <v>0.48717946000000001</v>
      </c>
    </row>
    <row r="295" spans="1:10" x14ac:dyDescent="0.3">
      <c r="A295">
        <v>293</v>
      </c>
      <c r="B295">
        <v>4677</v>
      </c>
      <c r="C295" t="b">
        <v>1</v>
      </c>
      <c r="D295">
        <v>8048</v>
      </c>
      <c r="E295">
        <v>8123</v>
      </c>
      <c r="F295">
        <v>8</v>
      </c>
      <c r="G295">
        <v>7.6</v>
      </c>
      <c r="H295">
        <v>1.0526316</v>
      </c>
      <c r="I295">
        <v>-5.2631589999999999E-2</v>
      </c>
      <c r="J295">
        <v>0.48717946000000001</v>
      </c>
    </row>
    <row r="296" spans="1:10" x14ac:dyDescent="0.3">
      <c r="A296">
        <v>294</v>
      </c>
      <c r="B296">
        <v>4693</v>
      </c>
      <c r="C296" t="b">
        <v>1</v>
      </c>
      <c r="D296">
        <v>8048</v>
      </c>
      <c r="E296">
        <v>8129</v>
      </c>
      <c r="F296">
        <v>8</v>
      </c>
      <c r="G296">
        <v>7.6</v>
      </c>
      <c r="H296">
        <v>1.0526316</v>
      </c>
      <c r="I296">
        <v>-5.2631589999999999E-2</v>
      </c>
      <c r="J296">
        <v>0.48717946000000001</v>
      </c>
    </row>
    <row r="297" spans="1:10" x14ac:dyDescent="0.3">
      <c r="A297">
        <v>295</v>
      </c>
      <c r="B297">
        <v>4709</v>
      </c>
      <c r="C297" t="b">
        <v>1</v>
      </c>
      <c r="D297">
        <v>8048</v>
      </c>
      <c r="E297">
        <v>8123</v>
      </c>
      <c r="F297">
        <v>8</v>
      </c>
      <c r="G297">
        <v>7.6</v>
      </c>
      <c r="H297">
        <v>1.0526316</v>
      </c>
      <c r="I297">
        <v>-5.2631589999999999E-2</v>
      </c>
      <c r="J297">
        <v>0.48717946000000001</v>
      </c>
    </row>
    <row r="298" spans="1:10" x14ac:dyDescent="0.3">
      <c r="A298">
        <v>296</v>
      </c>
      <c r="B298">
        <v>4725</v>
      </c>
      <c r="C298" t="b">
        <v>1</v>
      </c>
      <c r="D298">
        <v>8048</v>
      </c>
      <c r="E298">
        <v>8129</v>
      </c>
      <c r="F298">
        <v>8</v>
      </c>
      <c r="G298">
        <v>7.6</v>
      </c>
      <c r="H298">
        <v>1.0526316</v>
      </c>
      <c r="I298">
        <v>-5.2631589999999999E-2</v>
      </c>
      <c r="J298">
        <v>0.48717946000000001</v>
      </c>
    </row>
    <row r="299" spans="1:10" x14ac:dyDescent="0.3">
      <c r="A299">
        <v>297</v>
      </c>
      <c r="B299">
        <v>4741</v>
      </c>
      <c r="C299" t="b">
        <v>1</v>
      </c>
      <c r="D299">
        <v>8042</v>
      </c>
      <c r="E299">
        <v>8123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4757</v>
      </c>
      <c r="C300" t="b">
        <v>1</v>
      </c>
      <c r="D300">
        <v>8042</v>
      </c>
      <c r="E300">
        <v>8123</v>
      </c>
      <c r="F300">
        <v>8</v>
      </c>
      <c r="G300">
        <v>7.6</v>
      </c>
      <c r="H300">
        <v>1.0526316</v>
      </c>
      <c r="I300">
        <v>-5.2631589999999999E-2</v>
      </c>
      <c r="J300">
        <v>0.48717946000000001</v>
      </c>
    </row>
    <row r="301" spans="1:10" x14ac:dyDescent="0.3">
      <c r="A301">
        <v>299</v>
      </c>
      <c r="B301">
        <v>4773</v>
      </c>
      <c r="C301" t="b">
        <v>1</v>
      </c>
      <c r="D301">
        <v>8042</v>
      </c>
      <c r="E301">
        <v>8123</v>
      </c>
      <c r="F301">
        <v>7.6</v>
      </c>
      <c r="G301">
        <v>8</v>
      </c>
      <c r="H301">
        <v>0.95</v>
      </c>
      <c r="I301">
        <v>5.0000012000000003E-2</v>
      </c>
      <c r="J301">
        <v>0.51282050000000001</v>
      </c>
    </row>
    <row r="302" spans="1:10" x14ac:dyDescent="0.3">
      <c r="A302">
        <v>300</v>
      </c>
      <c r="B302">
        <v>4789</v>
      </c>
      <c r="C302" t="b">
        <v>1</v>
      </c>
      <c r="D302">
        <v>8042</v>
      </c>
      <c r="E302">
        <v>8117</v>
      </c>
      <c r="F302">
        <v>7.2</v>
      </c>
      <c r="G302">
        <v>8</v>
      </c>
      <c r="H302">
        <v>0.9</v>
      </c>
      <c r="I302">
        <v>0.10000002400000001</v>
      </c>
      <c r="J302">
        <v>0.5263158</v>
      </c>
    </row>
    <row r="303" spans="1:10" x14ac:dyDescent="0.3">
      <c r="A303">
        <v>301</v>
      </c>
      <c r="B303">
        <v>4805</v>
      </c>
      <c r="C303" t="b">
        <v>1</v>
      </c>
      <c r="D303">
        <v>8042</v>
      </c>
      <c r="E303">
        <v>8123</v>
      </c>
      <c r="F303">
        <v>6.8</v>
      </c>
      <c r="G303">
        <v>8</v>
      </c>
      <c r="H303">
        <v>0.85</v>
      </c>
      <c r="I303">
        <v>0.14999998</v>
      </c>
      <c r="J303">
        <v>0.54054049999999998</v>
      </c>
    </row>
    <row r="304" spans="1:10" x14ac:dyDescent="0.3">
      <c r="A304">
        <v>302</v>
      </c>
      <c r="B304">
        <v>4822</v>
      </c>
      <c r="C304" t="b">
        <v>1</v>
      </c>
      <c r="D304">
        <v>8042</v>
      </c>
      <c r="E304">
        <v>8117</v>
      </c>
      <c r="F304">
        <v>6.4</v>
      </c>
      <c r="G304">
        <v>8</v>
      </c>
      <c r="H304">
        <v>0.8</v>
      </c>
      <c r="I304">
        <v>0.19999998999999999</v>
      </c>
      <c r="J304">
        <v>0.55555560000000004</v>
      </c>
    </row>
    <row r="305" spans="1:10" x14ac:dyDescent="0.3">
      <c r="A305">
        <v>303</v>
      </c>
      <c r="B305">
        <v>4837</v>
      </c>
      <c r="C305" t="b">
        <v>1</v>
      </c>
      <c r="D305">
        <v>8048</v>
      </c>
      <c r="E305">
        <v>8129</v>
      </c>
      <c r="F305">
        <v>6</v>
      </c>
      <c r="G305">
        <v>8</v>
      </c>
      <c r="H305">
        <v>0.75</v>
      </c>
      <c r="I305">
        <v>0.25</v>
      </c>
      <c r="J305">
        <v>0.57142859999999995</v>
      </c>
    </row>
    <row r="306" spans="1:10" x14ac:dyDescent="0.3">
      <c r="A306">
        <v>304</v>
      </c>
      <c r="B306">
        <v>4868</v>
      </c>
      <c r="C306" t="b">
        <v>1</v>
      </c>
      <c r="D306">
        <v>8048</v>
      </c>
      <c r="E306">
        <v>8117</v>
      </c>
      <c r="F306">
        <v>5.6</v>
      </c>
      <c r="G306">
        <v>7.6</v>
      </c>
      <c r="H306">
        <v>0.73684210000000006</v>
      </c>
      <c r="I306">
        <v>0.2631579</v>
      </c>
      <c r="J306">
        <v>0.57575756</v>
      </c>
    </row>
    <row r="307" spans="1:10" x14ac:dyDescent="0.3">
      <c r="A307">
        <v>305</v>
      </c>
      <c r="B307">
        <v>4885</v>
      </c>
      <c r="C307" t="b">
        <v>1</v>
      </c>
      <c r="D307">
        <v>8054</v>
      </c>
      <c r="E307">
        <v>8117</v>
      </c>
      <c r="F307">
        <v>5.6</v>
      </c>
      <c r="G307">
        <v>7.2</v>
      </c>
      <c r="H307">
        <v>0.77777779999999996</v>
      </c>
      <c r="I307">
        <v>0.22222221</v>
      </c>
      <c r="J307">
        <v>0.5625</v>
      </c>
    </row>
    <row r="308" spans="1:10" x14ac:dyDescent="0.3">
      <c r="A308">
        <v>306</v>
      </c>
      <c r="B308">
        <v>4900</v>
      </c>
      <c r="C308" t="b">
        <v>1</v>
      </c>
      <c r="D308">
        <v>8048</v>
      </c>
      <c r="E308">
        <v>8117</v>
      </c>
      <c r="F308">
        <v>5.6</v>
      </c>
      <c r="G308">
        <v>6.8</v>
      </c>
      <c r="H308">
        <v>0.82352935999999999</v>
      </c>
      <c r="I308">
        <v>0.17647061999999999</v>
      </c>
      <c r="J308">
        <v>0.54838710000000002</v>
      </c>
    </row>
    <row r="309" spans="1:10" x14ac:dyDescent="0.3">
      <c r="A309">
        <v>307</v>
      </c>
      <c r="B309">
        <v>4916</v>
      </c>
      <c r="C309" t="b">
        <v>1</v>
      </c>
      <c r="D309">
        <v>8048</v>
      </c>
      <c r="E309">
        <v>8117</v>
      </c>
      <c r="F309">
        <v>5.6</v>
      </c>
      <c r="G309">
        <v>6.4</v>
      </c>
      <c r="H309">
        <v>0.875</v>
      </c>
      <c r="I309">
        <v>0.12500003000000001</v>
      </c>
      <c r="J309">
        <v>0.53333335999999998</v>
      </c>
    </row>
    <row r="310" spans="1:10" x14ac:dyDescent="0.3">
      <c r="A310">
        <v>308</v>
      </c>
      <c r="B310">
        <v>4932</v>
      </c>
      <c r="C310" t="b">
        <v>1</v>
      </c>
      <c r="D310">
        <v>8048</v>
      </c>
      <c r="E310">
        <v>8117</v>
      </c>
      <c r="F310">
        <v>5.6</v>
      </c>
      <c r="G310">
        <v>6</v>
      </c>
      <c r="H310">
        <v>0.93333334000000001</v>
      </c>
      <c r="I310">
        <v>6.6666685000000003E-2</v>
      </c>
      <c r="J310">
        <v>0.51724135999999998</v>
      </c>
    </row>
    <row r="311" spans="1:10" x14ac:dyDescent="0.3">
      <c r="A311">
        <v>309</v>
      </c>
      <c r="B311">
        <v>4948</v>
      </c>
      <c r="C311" t="b">
        <v>1</v>
      </c>
      <c r="D311">
        <v>8048</v>
      </c>
      <c r="E311">
        <v>8117</v>
      </c>
      <c r="F311">
        <v>5.6</v>
      </c>
      <c r="G311">
        <v>5.6</v>
      </c>
      <c r="H311">
        <v>1</v>
      </c>
      <c r="I311">
        <v>0</v>
      </c>
      <c r="J311">
        <v>0.5</v>
      </c>
    </row>
    <row r="312" spans="1:10" x14ac:dyDescent="0.3">
      <c r="A312">
        <v>310</v>
      </c>
      <c r="B312">
        <v>4964</v>
      </c>
      <c r="C312" t="b">
        <v>1</v>
      </c>
      <c r="D312">
        <v>8054</v>
      </c>
      <c r="E312">
        <v>8134</v>
      </c>
      <c r="F312">
        <v>5.6</v>
      </c>
      <c r="G312">
        <v>5.2</v>
      </c>
      <c r="H312">
        <v>1.0769230999999999</v>
      </c>
      <c r="I312">
        <v>-7.6923094999999997E-2</v>
      </c>
      <c r="J312">
        <v>0.48148150000000001</v>
      </c>
    </row>
    <row r="313" spans="1:10" x14ac:dyDescent="0.3">
      <c r="A313">
        <v>311</v>
      </c>
      <c r="B313">
        <v>4980</v>
      </c>
      <c r="C313" t="b">
        <v>1</v>
      </c>
      <c r="D313">
        <v>8048</v>
      </c>
      <c r="E313">
        <v>8129</v>
      </c>
      <c r="F313">
        <v>5.6</v>
      </c>
      <c r="G313">
        <v>4.8</v>
      </c>
      <c r="H313">
        <v>1.1666666000000001</v>
      </c>
      <c r="I313">
        <v>-0.1666666</v>
      </c>
      <c r="J313">
        <v>0.46153850000000002</v>
      </c>
    </row>
    <row r="314" spans="1:10" x14ac:dyDescent="0.3">
      <c r="A314">
        <v>312</v>
      </c>
      <c r="B314">
        <v>4995</v>
      </c>
      <c r="C314" t="b">
        <v>1</v>
      </c>
      <c r="D314">
        <v>8048</v>
      </c>
      <c r="E314">
        <v>8123</v>
      </c>
      <c r="F314">
        <v>5.6</v>
      </c>
      <c r="G314">
        <v>4.8</v>
      </c>
      <c r="H314">
        <v>1.1666666000000001</v>
      </c>
      <c r="I314">
        <v>-0.1666666</v>
      </c>
      <c r="J314">
        <v>0.46153850000000002</v>
      </c>
    </row>
    <row r="315" spans="1:10" x14ac:dyDescent="0.3">
      <c r="A315">
        <v>313</v>
      </c>
      <c r="B315">
        <v>5011</v>
      </c>
      <c r="C315" t="b">
        <v>1</v>
      </c>
      <c r="D315">
        <v>8042</v>
      </c>
      <c r="E315">
        <v>8134</v>
      </c>
      <c r="F315">
        <v>5.6</v>
      </c>
      <c r="G315">
        <v>5.2</v>
      </c>
      <c r="H315">
        <v>1.0769230999999999</v>
      </c>
      <c r="I315">
        <v>-7.6923094999999997E-2</v>
      </c>
      <c r="J315">
        <v>0.48148150000000001</v>
      </c>
    </row>
    <row r="316" spans="1:10" x14ac:dyDescent="0.3">
      <c r="A316">
        <v>314</v>
      </c>
      <c r="B316">
        <v>5028</v>
      </c>
      <c r="C316" t="b">
        <v>1</v>
      </c>
      <c r="D316">
        <v>8048</v>
      </c>
      <c r="E316">
        <v>8129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5044</v>
      </c>
      <c r="C317" t="b">
        <v>1</v>
      </c>
      <c r="D317">
        <v>8048</v>
      </c>
      <c r="E317">
        <v>8123</v>
      </c>
      <c r="F317">
        <v>6.4</v>
      </c>
      <c r="G317">
        <v>6</v>
      </c>
      <c r="H317">
        <v>1.0666667000000001</v>
      </c>
      <c r="I317">
        <v>-6.6666685000000003E-2</v>
      </c>
      <c r="J317">
        <v>0.48387098000000001</v>
      </c>
    </row>
    <row r="318" spans="1:10" x14ac:dyDescent="0.3">
      <c r="A318">
        <v>316</v>
      </c>
      <c r="B318">
        <v>5060</v>
      </c>
      <c r="C318" t="b">
        <v>1</v>
      </c>
      <c r="D318">
        <v>8048</v>
      </c>
      <c r="E318">
        <v>8123</v>
      </c>
      <c r="F318">
        <v>6.8</v>
      </c>
      <c r="G318">
        <v>6</v>
      </c>
      <c r="H318">
        <v>1.1333333000000001</v>
      </c>
      <c r="I318">
        <v>-0.13333337000000001</v>
      </c>
      <c r="J318">
        <v>0.46875</v>
      </c>
    </row>
    <row r="319" spans="1:10" x14ac:dyDescent="0.3">
      <c r="A319">
        <v>317</v>
      </c>
      <c r="B319">
        <v>5075</v>
      </c>
      <c r="C319" t="b">
        <v>1</v>
      </c>
      <c r="D319">
        <v>8048</v>
      </c>
      <c r="E319">
        <v>8123</v>
      </c>
      <c r="F319">
        <v>7.2</v>
      </c>
      <c r="G319">
        <v>6</v>
      </c>
      <c r="H319">
        <v>1.1999998999999999</v>
      </c>
      <c r="I319">
        <v>-0.19999997</v>
      </c>
      <c r="J319">
        <v>0.45454547000000001</v>
      </c>
    </row>
    <row r="320" spans="1:10" x14ac:dyDescent="0.3">
      <c r="A320">
        <v>318</v>
      </c>
      <c r="B320">
        <v>5092</v>
      </c>
      <c r="C320" t="b">
        <v>1</v>
      </c>
      <c r="D320">
        <v>8048</v>
      </c>
      <c r="E320">
        <v>8123</v>
      </c>
      <c r="F320">
        <v>7.6</v>
      </c>
      <c r="G320">
        <v>6</v>
      </c>
      <c r="H320">
        <v>1.2666667</v>
      </c>
      <c r="I320">
        <v>-0.26666665000000001</v>
      </c>
      <c r="J320">
        <v>0.44117644</v>
      </c>
    </row>
    <row r="321" spans="1:10" x14ac:dyDescent="0.3">
      <c r="A321">
        <v>319</v>
      </c>
      <c r="B321">
        <v>5107</v>
      </c>
      <c r="C321" t="b">
        <v>1</v>
      </c>
      <c r="D321">
        <v>8048</v>
      </c>
      <c r="E321">
        <v>8123</v>
      </c>
      <c r="F321">
        <v>8</v>
      </c>
      <c r="G321">
        <v>6.4</v>
      </c>
      <c r="H321">
        <v>1.25</v>
      </c>
      <c r="I321">
        <v>-0.24999999000000001</v>
      </c>
      <c r="J321">
        <v>0.44444447999999998</v>
      </c>
    </row>
    <row r="322" spans="1:10" x14ac:dyDescent="0.3">
      <c r="A322">
        <v>320</v>
      </c>
      <c r="B322">
        <v>5124</v>
      </c>
      <c r="C322" t="b">
        <v>1</v>
      </c>
      <c r="D322">
        <v>8048</v>
      </c>
      <c r="E322">
        <v>8123</v>
      </c>
      <c r="F322">
        <v>8</v>
      </c>
      <c r="G322">
        <v>6.8</v>
      </c>
      <c r="H322">
        <v>1.1764705</v>
      </c>
      <c r="I322">
        <v>-0.17647055</v>
      </c>
      <c r="J322">
        <v>0.45945944999999999</v>
      </c>
    </row>
    <row r="323" spans="1:10" x14ac:dyDescent="0.3">
      <c r="A323">
        <v>321</v>
      </c>
      <c r="B323">
        <v>5140</v>
      </c>
      <c r="C323" t="b">
        <v>1</v>
      </c>
      <c r="D323">
        <v>8042</v>
      </c>
      <c r="E323">
        <v>8123</v>
      </c>
      <c r="F323">
        <v>8</v>
      </c>
      <c r="G323">
        <v>7.2</v>
      </c>
      <c r="H323">
        <v>1.1111112000000001</v>
      </c>
      <c r="I323">
        <v>-0.11111114</v>
      </c>
      <c r="J323">
        <v>0.4736842</v>
      </c>
    </row>
    <row r="324" spans="1:10" x14ac:dyDescent="0.3">
      <c r="A324">
        <v>322</v>
      </c>
      <c r="B324">
        <v>5155</v>
      </c>
      <c r="C324" t="b">
        <v>1</v>
      </c>
      <c r="D324">
        <v>8048</v>
      </c>
      <c r="E324">
        <v>8123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5171</v>
      </c>
      <c r="C325" t="b">
        <v>1</v>
      </c>
      <c r="D325">
        <v>8048</v>
      </c>
      <c r="E325">
        <v>8129</v>
      </c>
      <c r="F325">
        <v>8</v>
      </c>
      <c r="G325">
        <v>8</v>
      </c>
      <c r="H325">
        <v>1</v>
      </c>
      <c r="I325">
        <v>0</v>
      </c>
      <c r="J325">
        <v>0.5</v>
      </c>
    </row>
    <row r="326" spans="1:10" x14ac:dyDescent="0.3">
      <c r="A326">
        <v>324</v>
      </c>
      <c r="B326">
        <v>5187</v>
      </c>
      <c r="C326" t="b">
        <v>1</v>
      </c>
      <c r="D326">
        <v>8048</v>
      </c>
      <c r="E326">
        <v>8117</v>
      </c>
      <c r="F326">
        <v>8</v>
      </c>
      <c r="G326">
        <v>8.4</v>
      </c>
      <c r="H326">
        <v>0.95238100000000003</v>
      </c>
      <c r="I326">
        <v>4.7619003999999999E-2</v>
      </c>
      <c r="J326">
        <v>0.51219510000000001</v>
      </c>
    </row>
    <row r="327" spans="1:10" x14ac:dyDescent="0.3">
      <c r="A327">
        <v>325</v>
      </c>
      <c r="B327">
        <v>5203</v>
      </c>
      <c r="C327" t="b">
        <v>1</v>
      </c>
      <c r="D327">
        <v>8048</v>
      </c>
      <c r="E327">
        <v>8117</v>
      </c>
      <c r="F327">
        <v>8</v>
      </c>
      <c r="G327">
        <v>8.8000000000000007</v>
      </c>
      <c r="H327">
        <v>0.90909090000000004</v>
      </c>
      <c r="I327">
        <v>9.0909110000000001E-2</v>
      </c>
      <c r="J327">
        <v>0.52380954999999996</v>
      </c>
    </row>
    <row r="328" spans="1:10" x14ac:dyDescent="0.3">
      <c r="A328">
        <v>326</v>
      </c>
      <c r="B328">
        <v>5219</v>
      </c>
      <c r="C328" t="b">
        <v>1</v>
      </c>
      <c r="D328">
        <v>8054</v>
      </c>
      <c r="E328">
        <v>8117</v>
      </c>
      <c r="F328">
        <v>8</v>
      </c>
      <c r="G328">
        <v>8.8000000000000007</v>
      </c>
      <c r="H328">
        <v>0.90909090000000004</v>
      </c>
      <c r="I328">
        <v>9.0909110000000001E-2</v>
      </c>
      <c r="J328">
        <v>0.52380954999999996</v>
      </c>
    </row>
    <row r="329" spans="1:10" x14ac:dyDescent="0.3">
      <c r="A329">
        <v>327</v>
      </c>
      <c r="B329">
        <v>5235</v>
      </c>
      <c r="C329" t="b">
        <v>1</v>
      </c>
      <c r="D329">
        <v>8048</v>
      </c>
      <c r="E329">
        <v>8123</v>
      </c>
      <c r="F329">
        <v>8</v>
      </c>
      <c r="G329">
        <v>8.4</v>
      </c>
      <c r="H329">
        <v>0.95238100000000003</v>
      </c>
      <c r="I329">
        <v>4.7619003999999999E-2</v>
      </c>
      <c r="J329">
        <v>0.51219510000000001</v>
      </c>
    </row>
    <row r="330" spans="1:10" x14ac:dyDescent="0.3">
      <c r="A330">
        <v>328</v>
      </c>
      <c r="B330">
        <v>5250</v>
      </c>
      <c r="C330" t="b">
        <v>1</v>
      </c>
      <c r="D330">
        <v>8048</v>
      </c>
      <c r="E330">
        <v>8123</v>
      </c>
      <c r="F330">
        <v>8</v>
      </c>
      <c r="G330">
        <v>7.6</v>
      </c>
      <c r="H330">
        <v>1.0526316</v>
      </c>
      <c r="I330">
        <v>-5.2631589999999999E-2</v>
      </c>
      <c r="J330">
        <v>0.48717946000000001</v>
      </c>
    </row>
    <row r="331" spans="1:10" x14ac:dyDescent="0.3">
      <c r="A331">
        <v>329</v>
      </c>
      <c r="B331">
        <v>5267</v>
      </c>
      <c r="C331" t="b">
        <v>1</v>
      </c>
      <c r="D331">
        <v>8048</v>
      </c>
      <c r="E331">
        <v>8123</v>
      </c>
      <c r="F331">
        <v>8</v>
      </c>
      <c r="G331">
        <v>7.2</v>
      </c>
      <c r="H331">
        <v>1.1111112000000001</v>
      </c>
      <c r="I331">
        <v>-0.11111114</v>
      </c>
      <c r="J331">
        <v>0.4736842</v>
      </c>
    </row>
    <row r="332" spans="1:10" x14ac:dyDescent="0.3">
      <c r="A332">
        <v>330</v>
      </c>
      <c r="B332">
        <v>5283</v>
      </c>
      <c r="C332" t="b">
        <v>1</v>
      </c>
      <c r="D332">
        <v>8048</v>
      </c>
      <c r="E332">
        <v>8123</v>
      </c>
      <c r="F332">
        <v>8</v>
      </c>
      <c r="G332">
        <v>6.8</v>
      </c>
      <c r="H332">
        <v>1.1764705</v>
      </c>
      <c r="I332">
        <v>-0.17647055</v>
      </c>
      <c r="J332">
        <v>0.45945944999999999</v>
      </c>
    </row>
    <row r="333" spans="1:10" x14ac:dyDescent="0.3">
      <c r="A333">
        <v>331</v>
      </c>
      <c r="B333">
        <v>5298</v>
      </c>
      <c r="C333" t="b">
        <v>1</v>
      </c>
      <c r="D333">
        <v>8048</v>
      </c>
      <c r="E333">
        <v>8123</v>
      </c>
      <c r="F333">
        <v>8</v>
      </c>
      <c r="G333">
        <v>6.8</v>
      </c>
      <c r="H333">
        <v>1.1764705</v>
      </c>
      <c r="I333">
        <v>-0.17647055</v>
      </c>
      <c r="J333">
        <v>0.45945944999999999</v>
      </c>
    </row>
    <row r="334" spans="1:10" x14ac:dyDescent="0.3">
      <c r="A334">
        <v>332</v>
      </c>
      <c r="B334">
        <v>5314</v>
      </c>
      <c r="C334" t="b">
        <v>1</v>
      </c>
      <c r="D334">
        <v>8048</v>
      </c>
      <c r="E334">
        <v>8123</v>
      </c>
      <c r="F334">
        <v>8</v>
      </c>
      <c r="G334">
        <v>6.8</v>
      </c>
      <c r="H334">
        <v>1.1764705</v>
      </c>
      <c r="I334">
        <v>-0.17647055</v>
      </c>
      <c r="J334">
        <v>0.45945944999999999</v>
      </c>
    </row>
    <row r="335" spans="1:10" x14ac:dyDescent="0.3">
      <c r="A335">
        <v>333</v>
      </c>
      <c r="B335">
        <v>5330</v>
      </c>
      <c r="C335" t="b">
        <v>1</v>
      </c>
      <c r="D335">
        <v>8042</v>
      </c>
      <c r="E335">
        <v>8123</v>
      </c>
      <c r="F335">
        <v>8</v>
      </c>
      <c r="G335">
        <v>6.8</v>
      </c>
      <c r="H335">
        <v>1.1764705</v>
      </c>
      <c r="I335">
        <v>-0.17647055</v>
      </c>
      <c r="J335">
        <v>0.45945944999999999</v>
      </c>
    </row>
    <row r="336" spans="1:10" x14ac:dyDescent="0.3">
      <c r="A336">
        <v>334</v>
      </c>
      <c r="B336">
        <v>5346</v>
      </c>
      <c r="C336" t="b">
        <v>1</v>
      </c>
      <c r="D336">
        <v>8054</v>
      </c>
      <c r="E336">
        <v>8129</v>
      </c>
      <c r="F336">
        <v>8</v>
      </c>
      <c r="G336">
        <v>6.8</v>
      </c>
      <c r="H336">
        <v>1.1764705</v>
      </c>
      <c r="I336">
        <v>-0.17647055</v>
      </c>
      <c r="J336">
        <v>0.45945944999999999</v>
      </c>
    </row>
    <row r="337" spans="1:10" x14ac:dyDescent="0.3">
      <c r="A337">
        <v>335</v>
      </c>
      <c r="B337">
        <v>5362</v>
      </c>
      <c r="C337" t="b">
        <v>1</v>
      </c>
      <c r="D337">
        <v>8054</v>
      </c>
      <c r="E337">
        <v>8123</v>
      </c>
      <c r="F337">
        <v>8</v>
      </c>
      <c r="G337">
        <v>6.8</v>
      </c>
      <c r="H337">
        <v>1.1764705</v>
      </c>
      <c r="I337">
        <v>-0.17647055</v>
      </c>
      <c r="J337">
        <v>0.45945944999999999</v>
      </c>
    </row>
    <row r="338" spans="1:10" x14ac:dyDescent="0.3">
      <c r="A338">
        <v>336</v>
      </c>
      <c r="B338">
        <v>5378</v>
      </c>
      <c r="C338" t="b">
        <v>1</v>
      </c>
      <c r="D338">
        <v>8060</v>
      </c>
      <c r="E338">
        <v>8134</v>
      </c>
      <c r="F338">
        <v>8.4</v>
      </c>
      <c r="G338">
        <v>6.8</v>
      </c>
      <c r="H338">
        <v>1.2352939999999999</v>
      </c>
      <c r="I338">
        <v>-0.23529402999999999</v>
      </c>
      <c r="J338">
        <v>0.44736843999999998</v>
      </c>
    </row>
    <row r="339" spans="1:10" x14ac:dyDescent="0.3">
      <c r="A339">
        <v>337</v>
      </c>
      <c r="B339">
        <v>5393</v>
      </c>
      <c r="C339" t="b">
        <v>1</v>
      </c>
      <c r="D339">
        <v>8060</v>
      </c>
      <c r="E339">
        <v>8123</v>
      </c>
      <c r="F339">
        <v>8.8000000000000007</v>
      </c>
      <c r="G339">
        <v>6.8</v>
      </c>
      <c r="H339">
        <v>1.2941176999999999</v>
      </c>
      <c r="I339">
        <v>-0.29411763000000002</v>
      </c>
      <c r="J339">
        <v>0.43589744000000002</v>
      </c>
    </row>
    <row r="340" spans="1:10" x14ac:dyDescent="0.3">
      <c r="A340">
        <v>338</v>
      </c>
      <c r="B340">
        <v>5409</v>
      </c>
      <c r="C340" t="b">
        <v>1</v>
      </c>
      <c r="D340">
        <v>8054</v>
      </c>
      <c r="E340">
        <v>8129</v>
      </c>
      <c r="F340">
        <v>9.1999999999999993</v>
      </c>
      <c r="G340">
        <v>7.2</v>
      </c>
      <c r="H340">
        <v>1.2777778</v>
      </c>
      <c r="I340">
        <v>-0.27777780000000002</v>
      </c>
      <c r="J340">
        <v>0.43902439999999998</v>
      </c>
    </row>
    <row r="341" spans="1:10" x14ac:dyDescent="0.3">
      <c r="A341">
        <v>339</v>
      </c>
      <c r="B341">
        <v>5425</v>
      </c>
      <c r="C341" t="b">
        <v>1</v>
      </c>
      <c r="D341">
        <v>8054</v>
      </c>
      <c r="E341">
        <v>8123</v>
      </c>
      <c r="F341">
        <v>9.6</v>
      </c>
      <c r="G341">
        <v>7.2</v>
      </c>
      <c r="H341">
        <v>1.3333333999999999</v>
      </c>
      <c r="I341">
        <v>-0.33333342999999999</v>
      </c>
      <c r="J341">
        <v>0.42857142999999998</v>
      </c>
    </row>
    <row r="342" spans="1:10" x14ac:dyDescent="0.3">
      <c r="A342">
        <v>340</v>
      </c>
      <c r="B342">
        <v>5441</v>
      </c>
      <c r="C342" t="b">
        <v>1</v>
      </c>
      <c r="D342">
        <v>8054</v>
      </c>
      <c r="E342">
        <v>8123</v>
      </c>
      <c r="F342">
        <v>10</v>
      </c>
      <c r="G342">
        <v>7.2</v>
      </c>
      <c r="H342">
        <v>1.388889</v>
      </c>
      <c r="I342">
        <v>-0.38888893000000002</v>
      </c>
      <c r="J342">
        <v>0.41860459999999999</v>
      </c>
    </row>
    <row r="343" spans="1:10" x14ac:dyDescent="0.3">
      <c r="A343">
        <v>341</v>
      </c>
      <c r="B343">
        <v>5457</v>
      </c>
      <c r="C343" t="b">
        <v>1</v>
      </c>
      <c r="D343">
        <v>8042</v>
      </c>
      <c r="E343">
        <v>8123</v>
      </c>
      <c r="F343">
        <v>10.4</v>
      </c>
      <c r="G343">
        <v>7.6</v>
      </c>
      <c r="H343">
        <v>1.3684210999999999</v>
      </c>
      <c r="I343">
        <v>-0.36842101999999999</v>
      </c>
      <c r="J343">
        <v>0.42222222999999998</v>
      </c>
    </row>
    <row r="344" spans="1:10" x14ac:dyDescent="0.3">
      <c r="A344">
        <v>342</v>
      </c>
      <c r="B344">
        <v>5473</v>
      </c>
      <c r="C344" t="b">
        <v>1</v>
      </c>
      <c r="D344">
        <v>8042</v>
      </c>
      <c r="E344">
        <v>8123</v>
      </c>
      <c r="F344">
        <v>10.8</v>
      </c>
      <c r="G344">
        <v>8</v>
      </c>
      <c r="H344">
        <v>1.35</v>
      </c>
      <c r="I344">
        <v>-0.35000002000000002</v>
      </c>
      <c r="J344">
        <v>0.42553192000000001</v>
      </c>
    </row>
    <row r="345" spans="1:10" x14ac:dyDescent="0.3">
      <c r="A345">
        <v>343</v>
      </c>
      <c r="B345">
        <v>5489</v>
      </c>
      <c r="C345" t="b">
        <v>1</v>
      </c>
      <c r="D345">
        <v>8042</v>
      </c>
      <c r="E345">
        <v>8123</v>
      </c>
      <c r="F345">
        <v>10.4</v>
      </c>
      <c r="G345">
        <v>8.4</v>
      </c>
      <c r="H345">
        <v>1.2380952999999999</v>
      </c>
      <c r="I345">
        <v>-0.23809525000000001</v>
      </c>
      <c r="J345">
        <v>0.44680851999999999</v>
      </c>
    </row>
    <row r="346" spans="1:10" x14ac:dyDescent="0.3">
      <c r="A346">
        <v>344</v>
      </c>
      <c r="B346">
        <v>5505</v>
      </c>
      <c r="C346" t="b">
        <v>1</v>
      </c>
      <c r="D346">
        <v>8037</v>
      </c>
      <c r="E346">
        <v>8129</v>
      </c>
      <c r="F346">
        <v>10</v>
      </c>
      <c r="G346">
        <v>8.4</v>
      </c>
      <c r="H346">
        <v>1.1904763</v>
      </c>
      <c r="I346">
        <v>-0.19047623999999999</v>
      </c>
      <c r="J346">
        <v>0.45652172000000002</v>
      </c>
    </row>
    <row r="347" spans="1:10" x14ac:dyDescent="0.3">
      <c r="A347">
        <v>345</v>
      </c>
      <c r="B347">
        <v>5521</v>
      </c>
      <c r="C347" t="b">
        <v>1</v>
      </c>
      <c r="D347">
        <v>8042</v>
      </c>
      <c r="E347">
        <v>8123</v>
      </c>
      <c r="F347">
        <v>9.6</v>
      </c>
      <c r="G347">
        <v>8.4</v>
      </c>
      <c r="H347">
        <v>1.1428571999999999</v>
      </c>
      <c r="I347">
        <v>-0.14285724</v>
      </c>
      <c r="J347">
        <v>0.46666664000000002</v>
      </c>
    </row>
    <row r="348" spans="1:10" x14ac:dyDescent="0.3">
      <c r="A348">
        <v>346</v>
      </c>
      <c r="B348">
        <v>5537</v>
      </c>
      <c r="C348" t="b">
        <v>1</v>
      </c>
      <c r="D348">
        <v>8042</v>
      </c>
      <c r="E348">
        <v>8117</v>
      </c>
      <c r="F348">
        <v>9.1999999999999993</v>
      </c>
      <c r="G348">
        <v>8.4</v>
      </c>
      <c r="H348">
        <v>1.0952381</v>
      </c>
      <c r="I348">
        <v>-9.5238119999999996E-2</v>
      </c>
      <c r="J348">
        <v>0.47727275000000002</v>
      </c>
    </row>
    <row r="349" spans="1:10" x14ac:dyDescent="0.3">
      <c r="A349">
        <v>347</v>
      </c>
      <c r="B349">
        <v>5552</v>
      </c>
      <c r="C349" t="b">
        <v>1</v>
      </c>
      <c r="D349">
        <v>8048</v>
      </c>
      <c r="E349">
        <v>8123</v>
      </c>
      <c r="F349">
        <v>8.8000000000000007</v>
      </c>
      <c r="G349">
        <v>8.4</v>
      </c>
      <c r="H349">
        <v>1.0476190999999999</v>
      </c>
      <c r="I349">
        <v>-4.7619120000000001E-2</v>
      </c>
      <c r="J349">
        <v>0.48837206</v>
      </c>
    </row>
    <row r="350" spans="1:10" x14ac:dyDescent="0.3">
      <c r="A350">
        <v>348</v>
      </c>
      <c r="B350">
        <v>5568</v>
      </c>
      <c r="C350" t="b">
        <v>1</v>
      </c>
      <c r="D350">
        <v>8048</v>
      </c>
      <c r="E350">
        <v>8123</v>
      </c>
      <c r="F350">
        <v>8.4</v>
      </c>
      <c r="G350">
        <v>8.4</v>
      </c>
      <c r="H350">
        <v>1</v>
      </c>
      <c r="I350">
        <v>0</v>
      </c>
      <c r="J350">
        <v>0.5</v>
      </c>
    </row>
    <row r="351" spans="1:10" x14ac:dyDescent="0.3">
      <c r="A351">
        <v>349</v>
      </c>
      <c r="B351">
        <v>5584</v>
      </c>
      <c r="C351" t="b">
        <v>1</v>
      </c>
      <c r="D351">
        <v>8054</v>
      </c>
      <c r="E351">
        <v>8123</v>
      </c>
      <c r="F351">
        <v>8.4</v>
      </c>
      <c r="G351">
        <v>8.4</v>
      </c>
      <c r="H351">
        <v>1</v>
      </c>
      <c r="I351">
        <v>0</v>
      </c>
      <c r="J351">
        <v>0.5</v>
      </c>
    </row>
    <row r="352" spans="1:10" x14ac:dyDescent="0.3">
      <c r="A352">
        <v>350</v>
      </c>
      <c r="B352">
        <v>5600</v>
      </c>
      <c r="C352" t="b">
        <v>1</v>
      </c>
      <c r="D352">
        <v>8048</v>
      </c>
      <c r="E352">
        <v>8123</v>
      </c>
      <c r="F352">
        <v>8.4</v>
      </c>
      <c r="G352">
        <v>8.4</v>
      </c>
      <c r="H352">
        <v>1</v>
      </c>
      <c r="I352">
        <v>0</v>
      </c>
      <c r="J352">
        <v>0.5</v>
      </c>
    </row>
    <row r="353" spans="1:10" x14ac:dyDescent="0.3">
      <c r="A353">
        <v>351</v>
      </c>
      <c r="B353">
        <v>5615</v>
      </c>
      <c r="C353" t="b">
        <v>1</v>
      </c>
      <c r="D353">
        <v>8048</v>
      </c>
      <c r="E353">
        <v>8129</v>
      </c>
      <c r="F353">
        <v>8</v>
      </c>
      <c r="G353">
        <v>8.4</v>
      </c>
      <c r="H353">
        <v>0.95238100000000003</v>
      </c>
      <c r="I353">
        <v>4.7619003999999999E-2</v>
      </c>
      <c r="J353">
        <v>0.51219510000000001</v>
      </c>
    </row>
    <row r="354" spans="1:10" x14ac:dyDescent="0.3">
      <c r="A354">
        <v>352</v>
      </c>
      <c r="B354">
        <v>5631</v>
      </c>
      <c r="C354" t="b">
        <v>1</v>
      </c>
      <c r="D354">
        <v>8048</v>
      </c>
      <c r="E354">
        <v>8129</v>
      </c>
      <c r="F354">
        <v>7.6</v>
      </c>
      <c r="G354">
        <v>8.4</v>
      </c>
      <c r="H354">
        <v>0.90476190000000001</v>
      </c>
      <c r="I354">
        <v>9.5238069999999994E-2</v>
      </c>
      <c r="J354">
        <v>0.52500000000000002</v>
      </c>
    </row>
    <row r="355" spans="1:10" x14ac:dyDescent="0.3">
      <c r="A355">
        <v>353</v>
      </c>
      <c r="B355">
        <v>5647</v>
      </c>
      <c r="C355" t="b">
        <v>1</v>
      </c>
      <c r="D355">
        <v>8048</v>
      </c>
      <c r="E355">
        <v>8123</v>
      </c>
      <c r="F355">
        <v>7.2</v>
      </c>
      <c r="G355">
        <v>8</v>
      </c>
      <c r="H355">
        <v>0.9</v>
      </c>
      <c r="I355">
        <v>0.10000002400000001</v>
      </c>
      <c r="J355">
        <v>0.5263158</v>
      </c>
    </row>
    <row r="356" spans="1:10" x14ac:dyDescent="0.3">
      <c r="A356">
        <v>354</v>
      </c>
      <c r="B356">
        <v>5663</v>
      </c>
      <c r="C356" t="b">
        <v>1</v>
      </c>
      <c r="D356">
        <v>8048</v>
      </c>
      <c r="E356">
        <v>8123</v>
      </c>
      <c r="F356">
        <v>6.8</v>
      </c>
      <c r="G356">
        <v>8</v>
      </c>
      <c r="H356">
        <v>0.85</v>
      </c>
      <c r="I356">
        <v>0.14999998</v>
      </c>
      <c r="J356">
        <v>0.54054049999999998</v>
      </c>
    </row>
    <row r="357" spans="1:10" x14ac:dyDescent="0.3">
      <c r="A357">
        <v>355</v>
      </c>
      <c r="B357">
        <v>5679</v>
      </c>
      <c r="C357" t="b">
        <v>1</v>
      </c>
      <c r="D357">
        <v>8048</v>
      </c>
      <c r="E357">
        <v>8134</v>
      </c>
      <c r="F357">
        <v>6.4</v>
      </c>
      <c r="G357">
        <v>8.4</v>
      </c>
      <c r="H357">
        <v>0.76190484000000003</v>
      </c>
      <c r="I357">
        <v>0.23809520000000001</v>
      </c>
      <c r="J357">
        <v>0.56756759999999995</v>
      </c>
    </row>
    <row r="358" spans="1:10" x14ac:dyDescent="0.3">
      <c r="A358">
        <v>356</v>
      </c>
      <c r="B358">
        <v>5695</v>
      </c>
      <c r="C358" t="b">
        <v>1</v>
      </c>
      <c r="D358">
        <v>8048</v>
      </c>
      <c r="E358">
        <v>8123</v>
      </c>
      <c r="F358">
        <v>6</v>
      </c>
      <c r="G358">
        <v>8.4</v>
      </c>
      <c r="H358">
        <v>0.71428572999999995</v>
      </c>
      <c r="I358">
        <v>0.28571424000000001</v>
      </c>
      <c r="J358">
        <v>0.58333330000000005</v>
      </c>
    </row>
    <row r="359" spans="1:10" x14ac:dyDescent="0.3">
      <c r="A359">
        <v>357</v>
      </c>
      <c r="B359">
        <v>5711</v>
      </c>
      <c r="C359" t="b">
        <v>1</v>
      </c>
      <c r="D359">
        <v>8048</v>
      </c>
      <c r="E359">
        <v>8123</v>
      </c>
      <c r="F359">
        <v>5.6</v>
      </c>
      <c r="G359">
        <v>8.4</v>
      </c>
      <c r="H359">
        <v>0.66666669999999995</v>
      </c>
      <c r="I359">
        <v>0.3333333</v>
      </c>
      <c r="J359">
        <v>0.59999996</v>
      </c>
    </row>
    <row r="360" spans="1:10" x14ac:dyDescent="0.3">
      <c r="A360">
        <v>358</v>
      </c>
      <c r="B360">
        <v>5727</v>
      </c>
      <c r="C360" t="b">
        <v>1</v>
      </c>
      <c r="D360">
        <v>8048</v>
      </c>
      <c r="E360">
        <v>8123</v>
      </c>
      <c r="F360">
        <v>6</v>
      </c>
      <c r="G360">
        <v>8.4</v>
      </c>
      <c r="H360">
        <v>0.71428572999999995</v>
      </c>
      <c r="I360">
        <v>0.28571424000000001</v>
      </c>
      <c r="J360">
        <v>0.58333330000000005</v>
      </c>
    </row>
    <row r="361" spans="1:10" x14ac:dyDescent="0.3">
      <c r="A361">
        <v>359</v>
      </c>
      <c r="B361">
        <v>5743</v>
      </c>
      <c r="C361" t="b">
        <v>1</v>
      </c>
      <c r="D361">
        <v>8048</v>
      </c>
      <c r="E361">
        <v>8129</v>
      </c>
      <c r="F361">
        <v>6.4</v>
      </c>
      <c r="G361">
        <v>8.4</v>
      </c>
      <c r="H361">
        <v>0.76190484000000003</v>
      </c>
      <c r="I361">
        <v>0.23809520000000001</v>
      </c>
      <c r="J361">
        <v>0.56756759999999995</v>
      </c>
    </row>
    <row r="362" spans="1:10" x14ac:dyDescent="0.3">
      <c r="A362">
        <v>360</v>
      </c>
      <c r="B362">
        <v>5759</v>
      </c>
      <c r="C362" t="b">
        <v>1</v>
      </c>
      <c r="D362">
        <v>8048</v>
      </c>
      <c r="E362">
        <v>8129</v>
      </c>
      <c r="F362">
        <v>6.8</v>
      </c>
      <c r="G362">
        <v>8.4</v>
      </c>
      <c r="H362">
        <v>0.80952389999999996</v>
      </c>
      <c r="I362">
        <v>0.19047612999999999</v>
      </c>
      <c r="J362">
        <v>0.55263156000000002</v>
      </c>
    </row>
    <row r="363" spans="1:10" x14ac:dyDescent="0.3">
      <c r="A363">
        <v>361</v>
      </c>
      <c r="B363">
        <v>5775</v>
      </c>
      <c r="C363" t="b">
        <v>1</v>
      </c>
      <c r="D363">
        <v>8048</v>
      </c>
      <c r="E363">
        <v>8123</v>
      </c>
      <c r="F363">
        <v>7.2</v>
      </c>
      <c r="G363">
        <v>8.4</v>
      </c>
      <c r="H363">
        <v>0.85714287</v>
      </c>
      <c r="I363">
        <v>0.14285712</v>
      </c>
      <c r="J363">
        <v>0.53846150000000004</v>
      </c>
    </row>
    <row r="364" spans="1:10" x14ac:dyDescent="0.3">
      <c r="A364">
        <v>362</v>
      </c>
      <c r="B364">
        <v>5791</v>
      </c>
      <c r="C364" t="b">
        <v>1</v>
      </c>
      <c r="D364">
        <v>8048</v>
      </c>
      <c r="E364">
        <v>8129</v>
      </c>
      <c r="F364">
        <v>7.6</v>
      </c>
      <c r="G364">
        <v>8.8000000000000007</v>
      </c>
      <c r="H364">
        <v>0.86363630000000002</v>
      </c>
      <c r="I364">
        <v>0.13636366999999999</v>
      </c>
      <c r="J364">
        <v>0.53658539999999999</v>
      </c>
    </row>
    <row r="365" spans="1:10" x14ac:dyDescent="0.3">
      <c r="A365">
        <v>363</v>
      </c>
      <c r="B365">
        <v>5806</v>
      </c>
      <c r="C365" t="b">
        <v>1</v>
      </c>
      <c r="D365">
        <v>8048</v>
      </c>
      <c r="E365">
        <v>8129</v>
      </c>
      <c r="F365">
        <v>8</v>
      </c>
      <c r="G365">
        <v>9.1999999999999993</v>
      </c>
      <c r="H365">
        <v>0.86956524999999996</v>
      </c>
      <c r="I365">
        <v>0.13043477000000001</v>
      </c>
      <c r="J365">
        <v>0.53488369999999996</v>
      </c>
    </row>
    <row r="366" spans="1:10" x14ac:dyDescent="0.3">
      <c r="A366">
        <v>364</v>
      </c>
      <c r="B366">
        <v>5821</v>
      </c>
      <c r="C366" t="b">
        <v>1</v>
      </c>
      <c r="D366">
        <v>8048</v>
      </c>
      <c r="E366">
        <v>8123</v>
      </c>
      <c r="F366">
        <v>8</v>
      </c>
      <c r="G366">
        <v>9.6</v>
      </c>
      <c r="H366">
        <v>0.83333330000000005</v>
      </c>
      <c r="I366">
        <v>0.1666667</v>
      </c>
      <c r="J366">
        <v>0.54545456000000003</v>
      </c>
    </row>
    <row r="367" spans="1:10" x14ac:dyDescent="0.3">
      <c r="A367">
        <v>365</v>
      </c>
      <c r="B367">
        <v>5837</v>
      </c>
      <c r="C367" t="b">
        <v>1</v>
      </c>
      <c r="D367">
        <v>8048</v>
      </c>
      <c r="E367">
        <v>8129</v>
      </c>
      <c r="F367">
        <v>8</v>
      </c>
      <c r="G367">
        <v>10</v>
      </c>
      <c r="H367">
        <v>0.8</v>
      </c>
      <c r="I367">
        <v>0.2</v>
      </c>
      <c r="J367">
        <v>0.55555560000000004</v>
      </c>
    </row>
    <row r="368" spans="1:10" x14ac:dyDescent="0.3">
      <c r="A368">
        <v>366</v>
      </c>
      <c r="B368">
        <v>5853</v>
      </c>
      <c r="C368" t="b">
        <v>1</v>
      </c>
      <c r="D368">
        <v>8054</v>
      </c>
      <c r="E368">
        <v>8123</v>
      </c>
      <c r="F368">
        <v>8</v>
      </c>
      <c r="G368">
        <v>10.4</v>
      </c>
      <c r="H368">
        <v>0.76923079999999999</v>
      </c>
      <c r="I368">
        <v>0.23076920000000001</v>
      </c>
      <c r="J368">
        <v>0.56521739999999998</v>
      </c>
    </row>
    <row r="369" spans="1:10" x14ac:dyDescent="0.3">
      <c r="A369">
        <v>367</v>
      </c>
      <c r="B369">
        <v>5868</v>
      </c>
      <c r="C369" t="b">
        <v>1</v>
      </c>
      <c r="D369">
        <v>8048</v>
      </c>
      <c r="E369">
        <v>8123</v>
      </c>
      <c r="F369">
        <v>8</v>
      </c>
      <c r="G369">
        <v>10.4</v>
      </c>
      <c r="H369">
        <v>0.76923079999999999</v>
      </c>
      <c r="I369">
        <v>0.23076920000000001</v>
      </c>
      <c r="J369">
        <v>0.56521739999999998</v>
      </c>
    </row>
    <row r="370" spans="1:10" x14ac:dyDescent="0.3">
      <c r="A370">
        <v>368</v>
      </c>
      <c r="B370">
        <v>5884</v>
      </c>
      <c r="C370" t="b">
        <v>1</v>
      </c>
      <c r="D370">
        <v>8048</v>
      </c>
      <c r="E370">
        <v>8123</v>
      </c>
      <c r="F370">
        <v>8</v>
      </c>
      <c r="G370">
        <v>10.4</v>
      </c>
      <c r="H370">
        <v>0.76923079999999999</v>
      </c>
      <c r="I370">
        <v>0.23076920000000001</v>
      </c>
      <c r="J370">
        <v>0.56521739999999998</v>
      </c>
    </row>
    <row r="371" spans="1:10" x14ac:dyDescent="0.3">
      <c r="A371">
        <v>369</v>
      </c>
      <c r="B371">
        <v>5901</v>
      </c>
      <c r="C371" t="b">
        <v>1</v>
      </c>
      <c r="D371">
        <v>8048</v>
      </c>
      <c r="E371">
        <v>8129</v>
      </c>
      <c r="F371">
        <v>8</v>
      </c>
      <c r="G371">
        <v>10.4</v>
      </c>
      <c r="H371">
        <v>0.76923079999999999</v>
      </c>
      <c r="I371">
        <v>0.23076920000000001</v>
      </c>
      <c r="J371">
        <v>0.56521739999999998</v>
      </c>
    </row>
    <row r="372" spans="1:10" x14ac:dyDescent="0.3">
      <c r="A372">
        <v>370</v>
      </c>
      <c r="B372">
        <v>5916</v>
      </c>
      <c r="C372" t="b">
        <v>1</v>
      </c>
      <c r="D372">
        <v>8048</v>
      </c>
      <c r="E372">
        <v>8123</v>
      </c>
      <c r="F372">
        <v>8</v>
      </c>
      <c r="G372">
        <v>10</v>
      </c>
      <c r="H372">
        <v>0.8</v>
      </c>
      <c r="I372">
        <v>0.2</v>
      </c>
      <c r="J372">
        <v>0.55555560000000004</v>
      </c>
    </row>
    <row r="373" spans="1:10" x14ac:dyDescent="0.3">
      <c r="A373">
        <v>371</v>
      </c>
      <c r="B373">
        <v>5932</v>
      </c>
      <c r="C373" t="b">
        <v>1</v>
      </c>
      <c r="D373">
        <v>8048</v>
      </c>
      <c r="E373">
        <v>8123</v>
      </c>
      <c r="F373">
        <v>8</v>
      </c>
      <c r="G373">
        <v>10</v>
      </c>
      <c r="H373">
        <v>0.8</v>
      </c>
      <c r="I373">
        <v>0.2</v>
      </c>
      <c r="J373">
        <v>0.55555560000000004</v>
      </c>
    </row>
    <row r="374" spans="1:10" x14ac:dyDescent="0.3">
      <c r="A374">
        <v>372</v>
      </c>
      <c r="B374">
        <v>5948</v>
      </c>
      <c r="C374" t="b">
        <v>1</v>
      </c>
      <c r="D374">
        <v>8048</v>
      </c>
      <c r="E374">
        <v>8123</v>
      </c>
      <c r="F374">
        <v>8</v>
      </c>
      <c r="G374">
        <v>10</v>
      </c>
      <c r="H374">
        <v>0.8</v>
      </c>
      <c r="I374">
        <v>0.2</v>
      </c>
      <c r="J374">
        <v>0.55555560000000004</v>
      </c>
    </row>
    <row r="375" spans="1:10" x14ac:dyDescent="0.3">
      <c r="A375">
        <v>373</v>
      </c>
      <c r="B375">
        <v>5963</v>
      </c>
      <c r="C375" t="b">
        <v>1</v>
      </c>
      <c r="D375">
        <v>8048</v>
      </c>
      <c r="E375">
        <v>8123</v>
      </c>
      <c r="F375">
        <v>8</v>
      </c>
      <c r="G375">
        <v>10</v>
      </c>
      <c r="H375">
        <v>0.8</v>
      </c>
      <c r="I375">
        <v>0.2</v>
      </c>
      <c r="J375">
        <v>0.55555560000000004</v>
      </c>
    </row>
    <row r="376" spans="1:10" x14ac:dyDescent="0.3">
      <c r="A376">
        <v>374</v>
      </c>
      <c r="B376">
        <v>5979</v>
      </c>
      <c r="C376" t="b">
        <v>1</v>
      </c>
      <c r="D376">
        <v>8048</v>
      </c>
      <c r="E376">
        <v>8123</v>
      </c>
      <c r="F376">
        <v>8</v>
      </c>
      <c r="G376">
        <v>10</v>
      </c>
      <c r="H376">
        <v>0.8</v>
      </c>
      <c r="I376">
        <v>0.2</v>
      </c>
      <c r="J376">
        <v>0.55555560000000004</v>
      </c>
    </row>
    <row r="377" spans="1:10" x14ac:dyDescent="0.3">
      <c r="A377">
        <v>375</v>
      </c>
      <c r="B377">
        <v>5995</v>
      </c>
      <c r="C377" t="b">
        <v>1</v>
      </c>
      <c r="D377">
        <v>8048</v>
      </c>
      <c r="E377">
        <v>8123</v>
      </c>
      <c r="F377">
        <v>8</v>
      </c>
      <c r="G377">
        <v>10</v>
      </c>
      <c r="H377">
        <v>0.8</v>
      </c>
      <c r="I377">
        <v>0.2</v>
      </c>
      <c r="J377">
        <v>0.55555560000000004</v>
      </c>
    </row>
    <row r="378" spans="1:10" x14ac:dyDescent="0.3">
      <c r="A378">
        <v>376</v>
      </c>
      <c r="B378">
        <v>6011</v>
      </c>
      <c r="C378" t="b">
        <v>1</v>
      </c>
      <c r="D378">
        <v>8048</v>
      </c>
      <c r="E378">
        <v>8123</v>
      </c>
      <c r="F378">
        <v>8</v>
      </c>
      <c r="G378">
        <v>10</v>
      </c>
      <c r="H378">
        <v>0.8</v>
      </c>
      <c r="I378">
        <v>0.2</v>
      </c>
      <c r="J378">
        <v>0.55555560000000004</v>
      </c>
    </row>
    <row r="379" spans="1:10" x14ac:dyDescent="0.3">
      <c r="A379">
        <v>377</v>
      </c>
      <c r="B379">
        <v>6027</v>
      </c>
      <c r="C379" t="b">
        <v>1</v>
      </c>
      <c r="D379">
        <v>8048</v>
      </c>
      <c r="E379">
        <v>8123</v>
      </c>
      <c r="F379">
        <v>8</v>
      </c>
      <c r="G379">
        <v>9.6</v>
      </c>
      <c r="H379">
        <v>0.83333330000000005</v>
      </c>
      <c r="I379">
        <v>0.1666667</v>
      </c>
      <c r="J379">
        <v>0.54545456000000003</v>
      </c>
    </row>
    <row r="380" spans="1:10" x14ac:dyDescent="0.3">
      <c r="A380">
        <v>378</v>
      </c>
      <c r="B380">
        <v>6043</v>
      </c>
      <c r="C380" t="b">
        <v>1</v>
      </c>
      <c r="D380">
        <v>8048</v>
      </c>
      <c r="E380">
        <v>8123</v>
      </c>
      <c r="F380">
        <v>8</v>
      </c>
      <c r="G380">
        <v>9.1999999999999993</v>
      </c>
      <c r="H380">
        <v>0.86956524999999996</v>
      </c>
      <c r="I380">
        <v>0.13043477000000001</v>
      </c>
      <c r="J380">
        <v>0.53488369999999996</v>
      </c>
    </row>
    <row r="381" spans="1:10" x14ac:dyDescent="0.3">
      <c r="A381">
        <v>379</v>
      </c>
      <c r="B381">
        <v>6059</v>
      </c>
      <c r="C381" t="b">
        <v>1</v>
      </c>
      <c r="D381">
        <v>8048</v>
      </c>
      <c r="E381">
        <v>8123</v>
      </c>
      <c r="F381">
        <v>8</v>
      </c>
      <c r="G381">
        <v>8.8000000000000007</v>
      </c>
      <c r="H381">
        <v>0.90909090000000004</v>
      </c>
      <c r="I381">
        <v>9.0909110000000001E-2</v>
      </c>
      <c r="J381">
        <v>0.52380954999999996</v>
      </c>
    </row>
    <row r="382" spans="1:10" x14ac:dyDescent="0.3">
      <c r="A382">
        <v>380</v>
      </c>
      <c r="B382">
        <v>6075</v>
      </c>
      <c r="C382" t="b">
        <v>1</v>
      </c>
      <c r="D382">
        <v>8048</v>
      </c>
      <c r="E382">
        <v>8123</v>
      </c>
      <c r="F382">
        <v>8</v>
      </c>
      <c r="G382">
        <v>8.4</v>
      </c>
      <c r="H382">
        <v>0.95238100000000003</v>
      </c>
      <c r="I382">
        <v>4.7619003999999999E-2</v>
      </c>
      <c r="J382">
        <v>0.51219510000000001</v>
      </c>
    </row>
    <row r="383" spans="1:10" x14ac:dyDescent="0.3">
      <c r="A383">
        <v>381</v>
      </c>
      <c r="B383">
        <v>6090</v>
      </c>
      <c r="C383" t="b">
        <v>1</v>
      </c>
      <c r="D383">
        <v>8048</v>
      </c>
      <c r="E383">
        <v>8123</v>
      </c>
      <c r="F383">
        <v>8</v>
      </c>
      <c r="G383">
        <v>8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6106</v>
      </c>
      <c r="C384" t="b">
        <v>1</v>
      </c>
      <c r="D384">
        <v>8048</v>
      </c>
      <c r="E384">
        <v>8123</v>
      </c>
      <c r="F384">
        <v>8</v>
      </c>
      <c r="G384">
        <v>8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6122</v>
      </c>
      <c r="C385" t="b">
        <v>1</v>
      </c>
      <c r="D385">
        <v>8048</v>
      </c>
      <c r="E385">
        <v>8123</v>
      </c>
      <c r="F385">
        <v>8</v>
      </c>
      <c r="G385">
        <v>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6138</v>
      </c>
      <c r="C386" t="b">
        <v>1</v>
      </c>
      <c r="D386">
        <v>8048</v>
      </c>
      <c r="E386">
        <v>8129</v>
      </c>
      <c r="F386">
        <v>8</v>
      </c>
      <c r="G386">
        <v>8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6154</v>
      </c>
      <c r="C387" t="b">
        <v>1</v>
      </c>
      <c r="D387">
        <v>8054</v>
      </c>
      <c r="E387">
        <v>8129</v>
      </c>
      <c r="F387">
        <v>8</v>
      </c>
      <c r="G387">
        <v>8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6169</v>
      </c>
      <c r="C388" t="b">
        <v>1</v>
      </c>
      <c r="D388">
        <v>8048</v>
      </c>
      <c r="E388">
        <v>8123</v>
      </c>
      <c r="F388">
        <v>8</v>
      </c>
      <c r="G388">
        <v>8</v>
      </c>
      <c r="H388">
        <v>1</v>
      </c>
      <c r="I388">
        <v>0</v>
      </c>
      <c r="J388">
        <v>0.5</v>
      </c>
    </row>
    <row r="389" spans="1:10" x14ac:dyDescent="0.3">
      <c r="A389">
        <v>387</v>
      </c>
      <c r="B389">
        <v>6185</v>
      </c>
      <c r="C389" t="b">
        <v>1</v>
      </c>
      <c r="D389">
        <v>8048</v>
      </c>
      <c r="E389">
        <v>8129</v>
      </c>
      <c r="F389">
        <v>8</v>
      </c>
      <c r="G389">
        <v>8.4</v>
      </c>
      <c r="H389">
        <v>0.95238100000000003</v>
      </c>
      <c r="I389">
        <v>4.7619003999999999E-2</v>
      </c>
      <c r="J389">
        <v>0.51219510000000001</v>
      </c>
    </row>
    <row r="390" spans="1:10" x14ac:dyDescent="0.3">
      <c r="A390">
        <v>388</v>
      </c>
      <c r="B390">
        <v>6201</v>
      </c>
      <c r="C390" t="b">
        <v>1</v>
      </c>
      <c r="D390">
        <v>8048</v>
      </c>
      <c r="E390">
        <v>8123</v>
      </c>
      <c r="F390">
        <v>8</v>
      </c>
      <c r="G390">
        <v>8.8000000000000007</v>
      </c>
      <c r="H390">
        <v>0.90909090000000004</v>
      </c>
      <c r="I390">
        <v>9.0909110000000001E-2</v>
      </c>
      <c r="J390">
        <v>0.52380954999999996</v>
      </c>
    </row>
    <row r="391" spans="1:10" x14ac:dyDescent="0.3">
      <c r="A391">
        <v>389</v>
      </c>
      <c r="B391">
        <v>6217</v>
      </c>
      <c r="C391" t="b">
        <v>1</v>
      </c>
      <c r="D391">
        <v>8048</v>
      </c>
      <c r="E391">
        <v>8117</v>
      </c>
      <c r="F391">
        <v>8</v>
      </c>
      <c r="G391">
        <v>8.8000000000000007</v>
      </c>
      <c r="H391">
        <v>0.90909090000000004</v>
      </c>
      <c r="I391">
        <v>9.0909110000000001E-2</v>
      </c>
      <c r="J391">
        <v>0.52380954999999996</v>
      </c>
    </row>
    <row r="392" spans="1:10" x14ac:dyDescent="0.3">
      <c r="A392">
        <v>390</v>
      </c>
      <c r="B392">
        <v>6233</v>
      </c>
      <c r="C392" t="b">
        <v>1</v>
      </c>
      <c r="D392">
        <v>8048</v>
      </c>
      <c r="E392">
        <v>8129</v>
      </c>
      <c r="F392">
        <v>8</v>
      </c>
      <c r="G392">
        <v>8.8000000000000007</v>
      </c>
      <c r="H392">
        <v>0.90909090000000004</v>
      </c>
      <c r="I392">
        <v>9.0909110000000001E-2</v>
      </c>
      <c r="J392">
        <v>0.52380954999999996</v>
      </c>
    </row>
    <row r="393" spans="1:10" x14ac:dyDescent="0.3">
      <c r="A393">
        <v>391</v>
      </c>
      <c r="B393">
        <v>6249</v>
      </c>
      <c r="C393" t="b">
        <v>1</v>
      </c>
      <c r="D393">
        <v>8048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6264</v>
      </c>
      <c r="C394" t="b">
        <v>1</v>
      </c>
      <c r="D394">
        <v>8042</v>
      </c>
      <c r="E394">
        <v>8129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6280</v>
      </c>
      <c r="C395" t="b">
        <v>1</v>
      </c>
      <c r="D395">
        <v>8048</v>
      </c>
      <c r="E395">
        <v>8123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6296</v>
      </c>
      <c r="C396" t="b">
        <v>1</v>
      </c>
      <c r="D396">
        <v>8048</v>
      </c>
      <c r="E396">
        <v>8123</v>
      </c>
      <c r="F396">
        <v>8</v>
      </c>
      <c r="G396">
        <v>8.8000000000000007</v>
      </c>
      <c r="H396">
        <v>0.90909090000000004</v>
      </c>
      <c r="I396">
        <v>9.0909110000000001E-2</v>
      </c>
      <c r="J396">
        <v>0.52380954999999996</v>
      </c>
    </row>
    <row r="397" spans="1:10" x14ac:dyDescent="0.3">
      <c r="A397">
        <v>395</v>
      </c>
      <c r="B397">
        <v>6312</v>
      </c>
      <c r="C397" t="b">
        <v>1</v>
      </c>
      <c r="D397">
        <v>8054</v>
      </c>
      <c r="E397">
        <v>8129</v>
      </c>
      <c r="F397">
        <v>8</v>
      </c>
      <c r="G397">
        <v>8.8000000000000007</v>
      </c>
      <c r="H397">
        <v>0.90909090000000004</v>
      </c>
      <c r="I397">
        <v>9.0909110000000001E-2</v>
      </c>
      <c r="J397">
        <v>0.52380954999999996</v>
      </c>
    </row>
    <row r="398" spans="1:10" x14ac:dyDescent="0.3">
      <c r="A398">
        <v>396</v>
      </c>
      <c r="B398">
        <v>6328</v>
      </c>
      <c r="C398" t="b">
        <v>1</v>
      </c>
      <c r="D398">
        <v>8048</v>
      </c>
      <c r="E398">
        <v>8117</v>
      </c>
      <c r="F398">
        <v>8</v>
      </c>
      <c r="G398">
        <v>8.8000000000000007</v>
      </c>
      <c r="H398">
        <v>0.90909090000000004</v>
      </c>
      <c r="I398">
        <v>9.0909110000000001E-2</v>
      </c>
      <c r="J398">
        <v>0.52380954999999996</v>
      </c>
    </row>
    <row r="399" spans="1:10" x14ac:dyDescent="0.3">
      <c r="A399">
        <v>397</v>
      </c>
      <c r="B399">
        <v>6344</v>
      </c>
      <c r="C399" t="b">
        <v>1</v>
      </c>
      <c r="D399">
        <v>8048</v>
      </c>
      <c r="E399">
        <v>8117</v>
      </c>
      <c r="F399">
        <v>8</v>
      </c>
      <c r="G399">
        <v>8.8000000000000007</v>
      </c>
      <c r="H399">
        <v>0.90909090000000004</v>
      </c>
      <c r="I399">
        <v>9.0909110000000001E-2</v>
      </c>
      <c r="J399">
        <v>0.52380954999999996</v>
      </c>
    </row>
    <row r="400" spans="1:10" x14ac:dyDescent="0.3">
      <c r="A400">
        <v>398</v>
      </c>
      <c r="B400">
        <v>6360</v>
      </c>
      <c r="C400" t="b">
        <v>1</v>
      </c>
      <c r="D400">
        <v>8048</v>
      </c>
      <c r="E400">
        <v>8117</v>
      </c>
      <c r="F400">
        <v>8</v>
      </c>
      <c r="G400">
        <v>8.4</v>
      </c>
      <c r="H400">
        <v>0.95238100000000003</v>
      </c>
      <c r="I400">
        <v>4.7619003999999999E-2</v>
      </c>
      <c r="J400">
        <v>0.51219510000000001</v>
      </c>
    </row>
    <row r="401" spans="1:10" x14ac:dyDescent="0.3">
      <c r="A401">
        <v>399</v>
      </c>
      <c r="B401">
        <v>6376</v>
      </c>
      <c r="C401" t="b">
        <v>1</v>
      </c>
      <c r="D401">
        <v>8048</v>
      </c>
      <c r="E401">
        <v>8111</v>
      </c>
      <c r="F401">
        <v>8</v>
      </c>
      <c r="G401">
        <v>8</v>
      </c>
      <c r="H401">
        <v>1</v>
      </c>
      <c r="I401">
        <v>0</v>
      </c>
      <c r="J401">
        <v>0.5</v>
      </c>
    </row>
    <row r="402" spans="1:10" x14ac:dyDescent="0.3">
      <c r="A402">
        <v>400</v>
      </c>
      <c r="B402">
        <v>6392</v>
      </c>
      <c r="C402" t="b">
        <v>1</v>
      </c>
      <c r="D402">
        <v>8048</v>
      </c>
      <c r="E402">
        <v>8117</v>
      </c>
      <c r="F402">
        <v>8</v>
      </c>
      <c r="G402">
        <v>7.6</v>
      </c>
      <c r="H402">
        <v>1.0526316</v>
      </c>
      <c r="I402">
        <v>-5.2631589999999999E-2</v>
      </c>
      <c r="J402">
        <v>0.48717946000000001</v>
      </c>
    </row>
    <row r="403" spans="1:10" x14ac:dyDescent="0.3">
      <c r="A403">
        <v>401</v>
      </c>
      <c r="B403">
        <v>6408</v>
      </c>
      <c r="C403" t="b">
        <v>1</v>
      </c>
      <c r="D403">
        <v>8048</v>
      </c>
      <c r="E403">
        <v>8117</v>
      </c>
      <c r="F403">
        <v>8</v>
      </c>
      <c r="G403">
        <v>7.2</v>
      </c>
      <c r="H403">
        <v>1.1111112000000001</v>
      </c>
      <c r="I403">
        <v>-0.11111114</v>
      </c>
      <c r="J403">
        <v>0.4736842</v>
      </c>
    </row>
    <row r="404" spans="1:10" x14ac:dyDescent="0.3">
      <c r="A404">
        <v>402</v>
      </c>
      <c r="B404">
        <v>6424</v>
      </c>
      <c r="C404" t="b">
        <v>1</v>
      </c>
      <c r="D404">
        <v>8048</v>
      </c>
      <c r="E404">
        <v>8111</v>
      </c>
      <c r="F404">
        <v>8</v>
      </c>
      <c r="G404">
        <v>6.4</v>
      </c>
      <c r="H404">
        <v>1.25</v>
      </c>
      <c r="I404">
        <v>-0.24999999000000001</v>
      </c>
      <c r="J404">
        <v>0.44444447999999998</v>
      </c>
    </row>
    <row r="405" spans="1:10" x14ac:dyDescent="0.3">
      <c r="A405">
        <v>403</v>
      </c>
      <c r="B405">
        <v>6440</v>
      </c>
      <c r="C405" t="b">
        <v>1</v>
      </c>
      <c r="D405">
        <v>8048</v>
      </c>
      <c r="E405">
        <v>8129</v>
      </c>
      <c r="F405">
        <v>8</v>
      </c>
      <c r="G405">
        <v>5.6</v>
      </c>
      <c r="H405">
        <v>1.4285715000000001</v>
      </c>
      <c r="I405">
        <v>-0.42857146000000002</v>
      </c>
      <c r="J405">
        <v>0.41176467999999999</v>
      </c>
    </row>
    <row r="406" spans="1:10" x14ac:dyDescent="0.3">
      <c r="A406">
        <v>404</v>
      </c>
      <c r="B406">
        <v>6456</v>
      </c>
      <c r="C406" t="b">
        <v>1</v>
      </c>
      <c r="D406">
        <v>8042</v>
      </c>
      <c r="E406">
        <v>8123</v>
      </c>
      <c r="F406">
        <v>8</v>
      </c>
      <c r="G406">
        <v>5.2</v>
      </c>
      <c r="H406">
        <v>1.5384616</v>
      </c>
      <c r="I406">
        <v>-0.53846156999999994</v>
      </c>
      <c r="J406">
        <v>0.39393938000000001</v>
      </c>
    </row>
    <row r="407" spans="1:10" x14ac:dyDescent="0.3">
      <c r="A407">
        <v>405</v>
      </c>
      <c r="B407">
        <v>6472</v>
      </c>
      <c r="C407" t="b">
        <v>1</v>
      </c>
      <c r="D407">
        <v>8048</v>
      </c>
      <c r="E407">
        <v>8123</v>
      </c>
      <c r="F407">
        <v>8</v>
      </c>
      <c r="G407">
        <v>5.2</v>
      </c>
      <c r="H407">
        <v>1.5384616</v>
      </c>
      <c r="I407">
        <v>-0.53846156999999994</v>
      </c>
      <c r="J407">
        <v>0.39393938000000001</v>
      </c>
    </row>
    <row r="408" spans="1:10" x14ac:dyDescent="0.3">
      <c r="A408">
        <v>406</v>
      </c>
      <c r="B408">
        <v>6487</v>
      </c>
      <c r="C408" t="b">
        <v>1</v>
      </c>
      <c r="D408">
        <v>8048</v>
      </c>
      <c r="E408">
        <v>8123</v>
      </c>
      <c r="F408">
        <v>8</v>
      </c>
      <c r="G408">
        <v>5.2</v>
      </c>
      <c r="H408">
        <v>1.5384616</v>
      </c>
      <c r="I408">
        <v>-0.53846156999999994</v>
      </c>
      <c r="J408">
        <v>0.39393938000000001</v>
      </c>
    </row>
    <row r="409" spans="1:10" x14ac:dyDescent="0.3">
      <c r="A409">
        <v>407</v>
      </c>
      <c r="B409">
        <v>6503</v>
      </c>
      <c r="C409" t="b">
        <v>1</v>
      </c>
      <c r="D409">
        <v>8048</v>
      </c>
      <c r="E409">
        <v>8123</v>
      </c>
      <c r="F409">
        <v>8</v>
      </c>
      <c r="G409">
        <v>5.2</v>
      </c>
      <c r="H409">
        <v>1.5384616</v>
      </c>
      <c r="I409">
        <v>-0.53846156999999994</v>
      </c>
      <c r="J409">
        <v>0.39393938000000001</v>
      </c>
    </row>
    <row r="410" spans="1:10" x14ac:dyDescent="0.3">
      <c r="A410">
        <v>408</v>
      </c>
      <c r="B410">
        <v>6519</v>
      </c>
      <c r="C410" t="b">
        <v>1</v>
      </c>
      <c r="D410">
        <v>8048</v>
      </c>
      <c r="E410">
        <v>8123</v>
      </c>
      <c r="F410">
        <v>8</v>
      </c>
      <c r="G410">
        <v>5.2</v>
      </c>
      <c r="H410">
        <v>1.5384616</v>
      </c>
      <c r="I410">
        <v>-0.53846156999999994</v>
      </c>
      <c r="J410">
        <v>0.39393938000000001</v>
      </c>
    </row>
    <row r="411" spans="1:10" x14ac:dyDescent="0.3">
      <c r="A411">
        <v>409</v>
      </c>
      <c r="B411">
        <v>6535</v>
      </c>
      <c r="C411" t="b">
        <v>1</v>
      </c>
      <c r="D411">
        <v>8048</v>
      </c>
      <c r="E411">
        <v>8123</v>
      </c>
      <c r="F411">
        <v>8</v>
      </c>
      <c r="G411">
        <v>5.2</v>
      </c>
      <c r="H411">
        <v>1.5384616</v>
      </c>
      <c r="I411">
        <v>-0.53846156999999994</v>
      </c>
      <c r="J411">
        <v>0.39393938000000001</v>
      </c>
    </row>
    <row r="412" spans="1:10" x14ac:dyDescent="0.3">
      <c r="A412">
        <v>410</v>
      </c>
      <c r="B412">
        <v>6551</v>
      </c>
      <c r="C412" t="b">
        <v>1</v>
      </c>
      <c r="D412">
        <v>8048</v>
      </c>
      <c r="E412">
        <v>8123</v>
      </c>
      <c r="F412">
        <v>8</v>
      </c>
      <c r="G412">
        <v>5.2</v>
      </c>
      <c r="H412">
        <v>1.5384616</v>
      </c>
      <c r="I412">
        <v>-0.53846156999999994</v>
      </c>
      <c r="J412">
        <v>0.39393938000000001</v>
      </c>
    </row>
    <row r="413" spans="1:10" x14ac:dyDescent="0.3">
      <c r="A413">
        <v>411</v>
      </c>
      <c r="B413">
        <v>6566</v>
      </c>
      <c r="C413" t="b">
        <v>1</v>
      </c>
      <c r="D413">
        <v>8048</v>
      </c>
      <c r="E413">
        <v>8123</v>
      </c>
      <c r="F413">
        <v>8</v>
      </c>
      <c r="G413">
        <v>5.2</v>
      </c>
      <c r="H413">
        <v>1.5384616</v>
      </c>
      <c r="I413">
        <v>-0.53846156999999994</v>
      </c>
      <c r="J413">
        <v>0.39393938000000001</v>
      </c>
    </row>
    <row r="414" spans="1:10" x14ac:dyDescent="0.3">
      <c r="A414">
        <v>412</v>
      </c>
      <c r="B414">
        <v>6582</v>
      </c>
      <c r="C414" t="b">
        <v>1</v>
      </c>
      <c r="D414">
        <v>8048</v>
      </c>
      <c r="E414">
        <v>8123</v>
      </c>
      <c r="F414">
        <v>8</v>
      </c>
      <c r="G414">
        <v>5.2</v>
      </c>
      <c r="H414">
        <v>1.5384616</v>
      </c>
      <c r="I414">
        <v>-0.53846156999999994</v>
      </c>
      <c r="J414">
        <v>0.39393938000000001</v>
      </c>
    </row>
    <row r="415" spans="1:10" x14ac:dyDescent="0.3">
      <c r="A415">
        <v>413</v>
      </c>
      <c r="B415">
        <v>6598</v>
      </c>
      <c r="C415" t="b">
        <v>1</v>
      </c>
      <c r="D415">
        <v>8048</v>
      </c>
      <c r="E415">
        <v>8123</v>
      </c>
      <c r="F415">
        <v>8</v>
      </c>
      <c r="G415">
        <v>5.6</v>
      </c>
      <c r="H415">
        <v>1.4285715000000001</v>
      </c>
      <c r="I415">
        <v>-0.42857146000000002</v>
      </c>
      <c r="J415">
        <v>0.41176467999999999</v>
      </c>
    </row>
    <row r="416" spans="1:10" x14ac:dyDescent="0.3">
      <c r="A416">
        <v>414</v>
      </c>
      <c r="B416">
        <v>6614</v>
      </c>
      <c r="C416" t="b">
        <v>1</v>
      </c>
      <c r="D416">
        <v>8048</v>
      </c>
      <c r="E416">
        <v>8123</v>
      </c>
      <c r="F416">
        <v>8</v>
      </c>
      <c r="G416">
        <v>6</v>
      </c>
      <c r="H416">
        <v>1.3333333999999999</v>
      </c>
      <c r="I416">
        <v>-0.33333333999999998</v>
      </c>
      <c r="J416">
        <v>0.42857142999999998</v>
      </c>
    </row>
    <row r="417" spans="1:10" x14ac:dyDescent="0.3">
      <c r="A417">
        <v>415</v>
      </c>
      <c r="B417">
        <v>6629</v>
      </c>
      <c r="C417" t="b">
        <v>1</v>
      </c>
      <c r="D417">
        <v>8048</v>
      </c>
      <c r="E417">
        <v>8123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6646</v>
      </c>
      <c r="C418" t="b">
        <v>1</v>
      </c>
      <c r="D418">
        <v>8048</v>
      </c>
      <c r="E418">
        <v>8123</v>
      </c>
      <c r="F418">
        <v>8</v>
      </c>
      <c r="G418">
        <v>6.8</v>
      </c>
      <c r="H418">
        <v>1.1764705</v>
      </c>
      <c r="I418">
        <v>-0.17647055</v>
      </c>
      <c r="J418">
        <v>0.45945944999999999</v>
      </c>
    </row>
    <row r="419" spans="1:10" x14ac:dyDescent="0.3">
      <c r="A419">
        <v>417</v>
      </c>
      <c r="B419">
        <v>6661</v>
      </c>
      <c r="C419" t="b">
        <v>1</v>
      </c>
      <c r="D419">
        <v>8048</v>
      </c>
      <c r="E419">
        <v>8134</v>
      </c>
      <c r="F419">
        <v>8</v>
      </c>
      <c r="G419">
        <v>7.2</v>
      </c>
      <c r="H419">
        <v>1.1111112000000001</v>
      </c>
      <c r="I419">
        <v>-0.11111114</v>
      </c>
      <c r="J419">
        <v>0.4736842</v>
      </c>
    </row>
    <row r="420" spans="1:10" x14ac:dyDescent="0.3">
      <c r="A420">
        <v>418</v>
      </c>
      <c r="B420">
        <v>6677</v>
      </c>
      <c r="C420" t="b">
        <v>1</v>
      </c>
      <c r="D420">
        <v>8048</v>
      </c>
      <c r="E420">
        <v>8123</v>
      </c>
      <c r="F420">
        <v>8</v>
      </c>
      <c r="G420">
        <v>7.6</v>
      </c>
      <c r="H420">
        <v>1.0526316</v>
      </c>
      <c r="I420">
        <v>-5.2631589999999999E-2</v>
      </c>
      <c r="J420">
        <v>0.48717946000000001</v>
      </c>
    </row>
    <row r="421" spans="1:10" x14ac:dyDescent="0.3">
      <c r="A421">
        <v>419</v>
      </c>
      <c r="B421">
        <v>6693</v>
      </c>
      <c r="C421" t="b">
        <v>1</v>
      </c>
      <c r="D421">
        <v>8048</v>
      </c>
      <c r="E421">
        <v>8123</v>
      </c>
      <c r="F421">
        <v>8</v>
      </c>
      <c r="G421">
        <v>8</v>
      </c>
      <c r="H421">
        <v>1</v>
      </c>
      <c r="I421">
        <v>0</v>
      </c>
      <c r="J421">
        <v>0.5</v>
      </c>
    </row>
    <row r="422" spans="1:10" x14ac:dyDescent="0.3">
      <c r="A422">
        <v>420</v>
      </c>
      <c r="B422">
        <v>6709</v>
      </c>
      <c r="C422" t="b">
        <v>1</v>
      </c>
      <c r="D422">
        <v>8048</v>
      </c>
      <c r="E422">
        <v>8134</v>
      </c>
      <c r="F422">
        <v>8</v>
      </c>
      <c r="G422">
        <v>8</v>
      </c>
      <c r="H422">
        <v>1</v>
      </c>
      <c r="I422">
        <v>0</v>
      </c>
      <c r="J422">
        <v>0.5</v>
      </c>
    </row>
    <row r="423" spans="1:10" x14ac:dyDescent="0.3">
      <c r="A423">
        <v>421</v>
      </c>
      <c r="B423">
        <v>6725</v>
      </c>
      <c r="C423" t="b">
        <v>1</v>
      </c>
      <c r="D423">
        <v>8048</v>
      </c>
      <c r="E423">
        <v>8123</v>
      </c>
      <c r="F423">
        <v>8</v>
      </c>
      <c r="G423">
        <v>8</v>
      </c>
      <c r="H423">
        <v>1</v>
      </c>
      <c r="I423">
        <v>0</v>
      </c>
      <c r="J423">
        <v>0.5</v>
      </c>
    </row>
    <row r="424" spans="1:10" x14ac:dyDescent="0.3">
      <c r="A424">
        <v>422</v>
      </c>
      <c r="B424">
        <v>6741</v>
      </c>
      <c r="C424" t="b">
        <v>1</v>
      </c>
      <c r="D424">
        <v>8048</v>
      </c>
      <c r="E424">
        <v>8117</v>
      </c>
      <c r="F424">
        <v>8</v>
      </c>
      <c r="G424">
        <v>8</v>
      </c>
      <c r="H424">
        <v>1</v>
      </c>
      <c r="I424">
        <v>0</v>
      </c>
      <c r="J424">
        <v>0.5</v>
      </c>
    </row>
    <row r="425" spans="1:10" x14ac:dyDescent="0.3">
      <c r="A425">
        <v>423</v>
      </c>
      <c r="B425">
        <v>6757</v>
      </c>
      <c r="C425" t="b">
        <v>1</v>
      </c>
      <c r="D425">
        <v>8048</v>
      </c>
      <c r="E425">
        <v>8117</v>
      </c>
      <c r="F425">
        <v>8</v>
      </c>
      <c r="G425">
        <v>8</v>
      </c>
      <c r="H425">
        <v>1</v>
      </c>
      <c r="I425">
        <v>0</v>
      </c>
      <c r="J425">
        <v>0.5</v>
      </c>
    </row>
    <row r="426" spans="1:10" x14ac:dyDescent="0.3">
      <c r="A426">
        <v>424</v>
      </c>
      <c r="B426">
        <v>6773</v>
      </c>
      <c r="C426" t="b">
        <v>1</v>
      </c>
      <c r="D426">
        <v>8048</v>
      </c>
      <c r="E426">
        <v>8123</v>
      </c>
      <c r="F426">
        <v>8</v>
      </c>
      <c r="G426">
        <v>8</v>
      </c>
      <c r="H426">
        <v>1</v>
      </c>
      <c r="I426">
        <v>0</v>
      </c>
      <c r="J426">
        <v>0.5</v>
      </c>
    </row>
    <row r="427" spans="1:10" x14ac:dyDescent="0.3">
      <c r="A427">
        <v>425</v>
      </c>
      <c r="B427">
        <v>6789</v>
      </c>
      <c r="C427" t="b">
        <v>1</v>
      </c>
      <c r="D427">
        <v>8048</v>
      </c>
      <c r="E427">
        <v>8117</v>
      </c>
      <c r="F427">
        <v>8</v>
      </c>
      <c r="G427">
        <v>7.6</v>
      </c>
      <c r="H427">
        <v>1.0526316</v>
      </c>
      <c r="I427">
        <v>-5.2631589999999999E-2</v>
      </c>
      <c r="J427">
        <v>0.48717946000000001</v>
      </c>
    </row>
    <row r="428" spans="1:10" x14ac:dyDescent="0.3">
      <c r="A428">
        <v>426</v>
      </c>
      <c r="B428">
        <v>6805</v>
      </c>
      <c r="C428" t="b">
        <v>1</v>
      </c>
      <c r="D428">
        <v>8048</v>
      </c>
      <c r="E428">
        <v>8117</v>
      </c>
      <c r="F428">
        <v>8</v>
      </c>
      <c r="G428">
        <v>7.2</v>
      </c>
      <c r="H428">
        <v>1.1111112000000001</v>
      </c>
      <c r="I428">
        <v>-0.11111114</v>
      </c>
      <c r="J428">
        <v>0.4736842</v>
      </c>
    </row>
    <row r="429" spans="1:10" x14ac:dyDescent="0.3">
      <c r="A429">
        <v>427</v>
      </c>
      <c r="B429">
        <v>6821</v>
      </c>
      <c r="C429" t="b">
        <v>1</v>
      </c>
      <c r="D429">
        <v>8042</v>
      </c>
      <c r="E429">
        <v>8123</v>
      </c>
      <c r="F429">
        <v>8</v>
      </c>
      <c r="G429">
        <v>6.8</v>
      </c>
      <c r="H429">
        <v>1.1764705</v>
      </c>
      <c r="I429">
        <v>-0.17647055</v>
      </c>
      <c r="J429">
        <v>0.45945944999999999</v>
      </c>
    </row>
    <row r="430" spans="1:10" x14ac:dyDescent="0.3">
      <c r="A430">
        <v>428</v>
      </c>
      <c r="B430">
        <v>6837</v>
      </c>
      <c r="C430" t="b">
        <v>1</v>
      </c>
      <c r="D430">
        <v>8042</v>
      </c>
      <c r="E430">
        <v>8123</v>
      </c>
      <c r="F430">
        <v>8</v>
      </c>
      <c r="G430">
        <v>6.8</v>
      </c>
      <c r="H430">
        <v>1.1764705</v>
      </c>
      <c r="I430">
        <v>-0.17647055</v>
      </c>
      <c r="J430">
        <v>0.45945944999999999</v>
      </c>
    </row>
    <row r="431" spans="1:10" x14ac:dyDescent="0.3">
      <c r="A431">
        <v>429</v>
      </c>
      <c r="B431">
        <v>6853</v>
      </c>
      <c r="C431" t="b">
        <v>1</v>
      </c>
      <c r="D431">
        <v>8042</v>
      </c>
      <c r="E431">
        <v>8123</v>
      </c>
      <c r="F431">
        <v>7.6</v>
      </c>
      <c r="G431">
        <v>6.8</v>
      </c>
      <c r="H431">
        <v>1.1176470000000001</v>
      </c>
      <c r="I431">
        <v>-0.11764701499999999</v>
      </c>
      <c r="J431">
        <v>0.47222224000000002</v>
      </c>
    </row>
    <row r="432" spans="1:10" x14ac:dyDescent="0.3">
      <c r="A432">
        <v>430</v>
      </c>
      <c r="B432">
        <v>6868</v>
      </c>
      <c r="C432" t="b">
        <v>1</v>
      </c>
      <c r="D432">
        <v>8042</v>
      </c>
      <c r="E432">
        <v>8123</v>
      </c>
      <c r="F432">
        <v>7.2</v>
      </c>
      <c r="G432">
        <v>6.8</v>
      </c>
      <c r="H432">
        <v>1.0588234999999999</v>
      </c>
      <c r="I432">
        <v>-5.8823470000000003E-2</v>
      </c>
      <c r="J432">
        <v>0.48571429999999999</v>
      </c>
    </row>
    <row r="433" spans="1:10" x14ac:dyDescent="0.3">
      <c r="A433">
        <v>431</v>
      </c>
      <c r="B433">
        <v>6884</v>
      </c>
      <c r="C433" t="b">
        <v>1</v>
      </c>
      <c r="D433">
        <v>8042</v>
      </c>
      <c r="E433">
        <v>8123</v>
      </c>
      <c r="F433">
        <v>6.8</v>
      </c>
      <c r="G433">
        <v>6.8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6900</v>
      </c>
      <c r="C434" t="b">
        <v>1</v>
      </c>
      <c r="D434">
        <v>8042</v>
      </c>
      <c r="E434">
        <v>8123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6916</v>
      </c>
      <c r="C435" t="b">
        <v>1</v>
      </c>
      <c r="D435">
        <v>8042</v>
      </c>
      <c r="E435">
        <v>8123</v>
      </c>
      <c r="F435">
        <v>6</v>
      </c>
      <c r="G435">
        <v>6.8</v>
      </c>
      <c r="H435">
        <v>0.8823529</v>
      </c>
      <c r="I435">
        <v>0.11764708</v>
      </c>
      <c r="J435">
        <v>0.53125</v>
      </c>
    </row>
    <row r="436" spans="1:10" x14ac:dyDescent="0.3">
      <c r="A436">
        <v>434</v>
      </c>
      <c r="B436">
        <v>6932</v>
      </c>
      <c r="C436" t="b">
        <v>1</v>
      </c>
      <c r="D436">
        <v>8037</v>
      </c>
      <c r="E436">
        <v>8123</v>
      </c>
      <c r="F436">
        <v>5.6</v>
      </c>
      <c r="G436">
        <v>6.8</v>
      </c>
      <c r="H436">
        <v>0.82352935999999999</v>
      </c>
      <c r="I436">
        <v>0.17647061999999999</v>
      </c>
      <c r="J436">
        <v>0.54838710000000002</v>
      </c>
    </row>
    <row r="437" spans="1:10" x14ac:dyDescent="0.3">
      <c r="A437">
        <v>435</v>
      </c>
      <c r="B437">
        <v>6948</v>
      </c>
      <c r="C437" t="b">
        <v>1</v>
      </c>
      <c r="D437">
        <v>8042</v>
      </c>
      <c r="E437">
        <v>8123</v>
      </c>
      <c r="F437">
        <v>5.2</v>
      </c>
      <c r="G437">
        <v>6.8</v>
      </c>
      <c r="H437">
        <v>0.76470583999999997</v>
      </c>
      <c r="I437">
        <v>0.23529416</v>
      </c>
      <c r="J437">
        <v>0.56666665999999999</v>
      </c>
    </row>
    <row r="438" spans="1:10" x14ac:dyDescent="0.3">
      <c r="A438">
        <v>436</v>
      </c>
      <c r="B438">
        <v>6963</v>
      </c>
      <c r="C438" t="b">
        <v>1</v>
      </c>
      <c r="D438">
        <v>8048</v>
      </c>
      <c r="E438">
        <v>8134</v>
      </c>
      <c r="F438">
        <v>4.8</v>
      </c>
      <c r="G438">
        <v>6.8</v>
      </c>
      <c r="H438">
        <v>0.70588240000000002</v>
      </c>
      <c r="I438">
        <v>0.29411763000000002</v>
      </c>
      <c r="J438">
        <v>0.58620689999999998</v>
      </c>
    </row>
    <row r="439" spans="1:10" x14ac:dyDescent="0.3">
      <c r="A439">
        <v>437</v>
      </c>
      <c r="B439">
        <v>6979</v>
      </c>
      <c r="C439" t="b">
        <v>1</v>
      </c>
      <c r="D439">
        <v>8048</v>
      </c>
      <c r="E439">
        <v>8123</v>
      </c>
      <c r="F439">
        <v>4.4000000000000004</v>
      </c>
      <c r="G439">
        <v>6.8</v>
      </c>
      <c r="H439">
        <v>0.64705884000000002</v>
      </c>
      <c r="I439">
        <v>0.35294120000000001</v>
      </c>
      <c r="J439">
        <v>0.60714279999999998</v>
      </c>
    </row>
    <row r="440" spans="1:10" x14ac:dyDescent="0.3">
      <c r="A440">
        <v>438</v>
      </c>
      <c r="B440">
        <v>6995</v>
      </c>
      <c r="C440" t="b">
        <v>1</v>
      </c>
      <c r="D440">
        <v>8048</v>
      </c>
      <c r="E440">
        <v>8123</v>
      </c>
      <c r="F440">
        <v>4.4000000000000004</v>
      </c>
      <c r="G440">
        <v>6.8</v>
      </c>
      <c r="H440">
        <v>0.64705884000000002</v>
      </c>
      <c r="I440">
        <v>0.35294120000000001</v>
      </c>
      <c r="J440">
        <v>0.60714279999999998</v>
      </c>
    </row>
    <row r="441" spans="1:10" x14ac:dyDescent="0.3">
      <c r="A441">
        <v>439</v>
      </c>
      <c r="B441">
        <v>7011</v>
      </c>
      <c r="C441" t="b">
        <v>1</v>
      </c>
      <c r="D441">
        <v>8048</v>
      </c>
      <c r="E441">
        <v>8123</v>
      </c>
      <c r="F441">
        <v>4.4000000000000004</v>
      </c>
      <c r="G441">
        <v>6.8</v>
      </c>
      <c r="H441">
        <v>0.64705884000000002</v>
      </c>
      <c r="I441">
        <v>0.35294120000000001</v>
      </c>
      <c r="J441">
        <v>0.60714279999999998</v>
      </c>
    </row>
    <row r="442" spans="1:10" x14ac:dyDescent="0.3">
      <c r="A442">
        <v>440</v>
      </c>
      <c r="B442">
        <v>7026</v>
      </c>
      <c r="C442" t="b">
        <v>1</v>
      </c>
      <c r="D442">
        <v>8048</v>
      </c>
      <c r="E442">
        <v>8123</v>
      </c>
      <c r="F442">
        <v>4.4000000000000004</v>
      </c>
      <c r="G442">
        <v>7.2</v>
      </c>
      <c r="H442">
        <v>0.61111115999999999</v>
      </c>
      <c r="I442">
        <v>0.38888887</v>
      </c>
      <c r="J442">
        <v>0.62068962999999999</v>
      </c>
    </row>
    <row r="443" spans="1:10" x14ac:dyDescent="0.3">
      <c r="A443">
        <v>441</v>
      </c>
      <c r="B443">
        <v>7042</v>
      </c>
      <c r="C443" t="b">
        <v>1</v>
      </c>
      <c r="D443">
        <v>8048</v>
      </c>
      <c r="E443">
        <v>8123</v>
      </c>
      <c r="F443">
        <v>4.4000000000000004</v>
      </c>
      <c r="G443">
        <v>7.6</v>
      </c>
      <c r="H443">
        <v>0.57894736999999996</v>
      </c>
      <c r="I443">
        <v>0.4210526</v>
      </c>
      <c r="J443">
        <v>0.63333329999999999</v>
      </c>
    </row>
    <row r="444" spans="1:10" x14ac:dyDescent="0.3">
      <c r="A444">
        <v>442</v>
      </c>
      <c r="B444">
        <v>7058</v>
      </c>
      <c r="C444" t="b">
        <v>1</v>
      </c>
      <c r="D444">
        <v>8048</v>
      </c>
      <c r="E444">
        <v>8123</v>
      </c>
      <c r="F444">
        <v>4.4000000000000004</v>
      </c>
      <c r="G444">
        <v>8</v>
      </c>
      <c r="H444">
        <v>0.55000000000000004</v>
      </c>
      <c r="I444">
        <v>0.45</v>
      </c>
      <c r="J444">
        <v>0.64516132999999998</v>
      </c>
    </row>
    <row r="445" spans="1:10" x14ac:dyDescent="0.3">
      <c r="A445">
        <v>443</v>
      </c>
      <c r="B445">
        <v>7074</v>
      </c>
      <c r="C445" t="b">
        <v>1</v>
      </c>
      <c r="D445">
        <v>8048</v>
      </c>
      <c r="E445">
        <v>8129</v>
      </c>
      <c r="F445">
        <v>4.4000000000000004</v>
      </c>
      <c r="G445">
        <v>8</v>
      </c>
      <c r="H445">
        <v>0.55000000000000004</v>
      </c>
      <c r="I445">
        <v>0.45</v>
      </c>
      <c r="J445">
        <v>0.64516132999999998</v>
      </c>
    </row>
    <row r="446" spans="1:10" x14ac:dyDescent="0.3">
      <c r="A446">
        <v>444</v>
      </c>
      <c r="B446">
        <v>7090</v>
      </c>
      <c r="C446" t="b">
        <v>1</v>
      </c>
      <c r="D446">
        <v>8048</v>
      </c>
      <c r="E446">
        <v>8123</v>
      </c>
      <c r="F446">
        <v>4.8</v>
      </c>
      <c r="G446">
        <v>8</v>
      </c>
      <c r="H446">
        <v>0.6</v>
      </c>
      <c r="I446">
        <v>0.39999997999999998</v>
      </c>
      <c r="J446">
        <v>0.625</v>
      </c>
    </row>
    <row r="447" spans="1:10" x14ac:dyDescent="0.3">
      <c r="A447">
        <v>445</v>
      </c>
      <c r="B447">
        <v>7106</v>
      </c>
      <c r="C447" t="b">
        <v>1</v>
      </c>
      <c r="D447">
        <v>8048</v>
      </c>
      <c r="E447">
        <v>8129</v>
      </c>
      <c r="F447">
        <v>5.2</v>
      </c>
      <c r="G447">
        <v>8</v>
      </c>
      <c r="H447">
        <v>0.65</v>
      </c>
      <c r="I447">
        <v>0.35000002000000002</v>
      </c>
      <c r="J447">
        <v>0.60606059999999995</v>
      </c>
    </row>
    <row r="448" spans="1:10" x14ac:dyDescent="0.3">
      <c r="A448">
        <v>446</v>
      </c>
      <c r="B448">
        <v>7121</v>
      </c>
      <c r="C448" t="b">
        <v>1</v>
      </c>
      <c r="D448">
        <v>8048</v>
      </c>
      <c r="E448">
        <v>8123</v>
      </c>
      <c r="F448">
        <v>5.6</v>
      </c>
      <c r="G448">
        <v>8</v>
      </c>
      <c r="H448">
        <v>0.7</v>
      </c>
      <c r="I448">
        <v>0.3</v>
      </c>
      <c r="J448">
        <v>0.58823526000000004</v>
      </c>
    </row>
    <row r="449" spans="1:10" x14ac:dyDescent="0.3">
      <c r="A449">
        <v>447</v>
      </c>
      <c r="B449">
        <v>7138</v>
      </c>
      <c r="C449" t="b">
        <v>1</v>
      </c>
      <c r="D449">
        <v>8048</v>
      </c>
      <c r="E449">
        <v>8134</v>
      </c>
      <c r="F449">
        <v>6</v>
      </c>
      <c r="G449">
        <v>8.4</v>
      </c>
      <c r="H449">
        <v>0.71428572999999995</v>
      </c>
      <c r="I449">
        <v>0.28571424000000001</v>
      </c>
      <c r="J449">
        <v>0.58333330000000005</v>
      </c>
    </row>
    <row r="450" spans="1:10" x14ac:dyDescent="0.3">
      <c r="A450">
        <v>448</v>
      </c>
      <c r="B450">
        <v>7154</v>
      </c>
      <c r="C450" t="b">
        <v>1</v>
      </c>
      <c r="D450">
        <v>8048</v>
      </c>
      <c r="E450">
        <v>8123</v>
      </c>
      <c r="F450">
        <v>6.4</v>
      </c>
      <c r="G450">
        <v>8.4</v>
      </c>
      <c r="H450">
        <v>0.76190484000000003</v>
      </c>
      <c r="I450">
        <v>0.23809520000000001</v>
      </c>
      <c r="J450">
        <v>0.56756759999999995</v>
      </c>
    </row>
    <row r="451" spans="1:10" x14ac:dyDescent="0.3">
      <c r="A451">
        <v>449</v>
      </c>
      <c r="B451">
        <v>7170</v>
      </c>
      <c r="C451" t="b">
        <v>1</v>
      </c>
      <c r="D451">
        <v>8042</v>
      </c>
      <c r="E451">
        <v>8123</v>
      </c>
      <c r="F451">
        <v>6.8</v>
      </c>
      <c r="G451">
        <v>8.4</v>
      </c>
      <c r="H451">
        <v>0.80952389999999996</v>
      </c>
      <c r="I451">
        <v>0.19047612999999999</v>
      </c>
      <c r="J451">
        <v>0.55263156000000002</v>
      </c>
    </row>
    <row r="452" spans="1:10" x14ac:dyDescent="0.3">
      <c r="A452">
        <v>450</v>
      </c>
      <c r="B452">
        <v>7186</v>
      </c>
      <c r="C452" t="b">
        <v>1</v>
      </c>
      <c r="D452">
        <v>8042</v>
      </c>
      <c r="E452">
        <v>8129</v>
      </c>
      <c r="F452">
        <v>7.2</v>
      </c>
      <c r="G452">
        <v>8.4</v>
      </c>
      <c r="H452">
        <v>0.85714287</v>
      </c>
      <c r="I452">
        <v>0.14285712</v>
      </c>
      <c r="J452">
        <v>0.53846150000000004</v>
      </c>
    </row>
    <row r="453" spans="1:10" x14ac:dyDescent="0.3">
      <c r="A453">
        <v>451</v>
      </c>
      <c r="B453">
        <v>7202</v>
      </c>
      <c r="C453" t="b">
        <v>1</v>
      </c>
      <c r="D453">
        <v>8048</v>
      </c>
      <c r="E453">
        <v>8134</v>
      </c>
      <c r="F453">
        <v>7.6</v>
      </c>
      <c r="G453">
        <v>8.8000000000000007</v>
      </c>
      <c r="H453">
        <v>0.86363630000000002</v>
      </c>
      <c r="I453">
        <v>0.13636366999999999</v>
      </c>
      <c r="J453">
        <v>0.53658539999999999</v>
      </c>
    </row>
    <row r="454" spans="1:10" x14ac:dyDescent="0.3">
      <c r="A454">
        <v>452</v>
      </c>
      <c r="B454">
        <v>7217</v>
      </c>
      <c r="C454" t="b">
        <v>1</v>
      </c>
      <c r="D454">
        <v>8042</v>
      </c>
      <c r="E454">
        <v>8123</v>
      </c>
      <c r="F454">
        <v>7.6</v>
      </c>
      <c r="G454">
        <v>8.8000000000000007</v>
      </c>
      <c r="H454">
        <v>0.86363630000000002</v>
      </c>
      <c r="I454">
        <v>0.13636366999999999</v>
      </c>
      <c r="J454">
        <v>0.53658539999999999</v>
      </c>
    </row>
    <row r="455" spans="1:10" x14ac:dyDescent="0.3">
      <c r="A455">
        <v>453</v>
      </c>
      <c r="B455">
        <v>7232</v>
      </c>
      <c r="C455" t="b">
        <v>1</v>
      </c>
      <c r="D455">
        <v>8042</v>
      </c>
      <c r="E455">
        <v>8123</v>
      </c>
      <c r="F455">
        <v>7.2</v>
      </c>
      <c r="G455">
        <v>8.8000000000000007</v>
      </c>
      <c r="H455">
        <v>0.81818175000000004</v>
      </c>
      <c r="I455">
        <v>0.18181822</v>
      </c>
      <c r="J455">
        <v>0.55000000000000004</v>
      </c>
    </row>
    <row r="456" spans="1:10" x14ac:dyDescent="0.3">
      <c r="A456">
        <v>454</v>
      </c>
      <c r="B456">
        <v>7249</v>
      </c>
      <c r="C456" t="b">
        <v>1</v>
      </c>
      <c r="D456">
        <v>8042</v>
      </c>
      <c r="E456">
        <v>8123</v>
      </c>
      <c r="F456">
        <v>6.8</v>
      </c>
      <c r="G456">
        <v>8.8000000000000007</v>
      </c>
      <c r="H456">
        <v>0.77272724999999998</v>
      </c>
      <c r="I456">
        <v>0.22727272000000001</v>
      </c>
      <c r="J456">
        <v>0.56410260000000001</v>
      </c>
    </row>
    <row r="457" spans="1:10" x14ac:dyDescent="0.3">
      <c r="A457">
        <v>455</v>
      </c>
      <c r="B457">
        <v>7265</v>
      </c>
      <c r="C457" t="b">
        <v>1</v>
      </c>
      <c r="D457">
        <v>8048</v>
      </c>
      <c r="E457">
        <v>8123</v>
      </c>
      <c r="F457">
        <v>6.4</v>
      </c>
      <c r="G457">
        <v>8.8000000000000007</v>
      </c>
      <c r="H457">
        <v>0.72727275000000002</v>
      </c>
      <c r="I457">
        <v>0.27272728000000002</v>
      </c>
      <c r="J457">
        <v>0.57894736999999996</v>
      </c>
    </row>
    <row r="458" spans="1:10" x14ac:dyDescent="0.3">
      <c r="A458">
        <v>456</v>
      </c>
      <c r="B458">
        <v>7280</v>
      </c>
      <c r="C458" t="b">
        <v>1</v>
      </c>
      <c r="D458">
        <v>8042</v>
      </c>
      <c r="E458">
        <v>8123</v>
      </c>
      <c r="F458">
        <v>6</v>
      </c>
      <c r="G458">
        <v>8.8000000000000007</v>
      </c>
      <c r="H458">
        <v>0.68181820000000004</v>
      </c>
      <c r="I458">
        <v>0.31818183999999999</v>
      </c>
      <c r="J458">
        <v>0.59459459999999997</v>
      </c>
    </row>
    <row r="459" spans="1:10" x14ac:dyDescent="0.3">
      <c r="A459">
        <v>457</v>
      </c>
      <c r="B459">
        <v>7296</v>
      </c>
      <c r="C459" t="b">
        <v>1</v>
      </c>
      <c r="D459">
        <v>8048</v>
      </c>
      <c r="E459">
        <v>8123</v>
      </c>
      <c r="F459">
        <v>5.6</v>
      </c>
      <c r="G459">
        <v>8.8000000000000007</v>
      </c>
      <c r="H459">
        <v>0.63636360000000003</v>
      </c>
      <c r="I459">
        <v>0.36363636999999999</v>
      </c>
      <c r="J459">
        <v>0.61111115999999999</v>
      </c>
    </row>
    <row r="460" spans="1:10" x14ac:dyDescent="0.3">
      <c r="A460">
        <v>458</v>
      </c>
      <c r="B460">
        <v>7312</v>
      </c>
      <c r="C460" t="b">
        <v>1</v>
      </c>
      <c r="D460">
        <v>8048</v>
      </c>
      <c r="E460">
        <v>8129</v>
      </c>
      <c r="F460">
        <v>5.6</v>
      </c>
      <c r="G460">
        <v>8.8000000000000007</v>
      </c>
      <c r="H460">
        <v>0.63636360000000003</v>
      </c>
      <c r="I460">
        <v>0.36363636999999999</v>
      </c>
      <c r="J460">
        <v>0.61111115999999999</v>
      </c>
    </row>
    <row r="461" spans="1:10" x14ac:dyDescent="0.3">
      <c r="A461">
        <v>459</v>
      </c>
      <c r="B461">
        <v>7328</v>
      </c>
      <c r="C461" t="b">
        <v>1</v>
      </c>
      <c r="D461">
        <v>8048</v>
      </c>
      <c r="E461">
        <v>8129</v>
      </c>
      <c r="F461">
        <v>5.6</v>
      </c>
      <c r="G461">
        <v>8.8000000000000007</v>
      </c>
      <c r="H461">
        <v>0.63636360000000003</v>
      </c>
      <c r="I461">
        <v>0.36363636999999999</v>
      </c>
      <c r="J461">
        <v>0.61111115999999999</v>
      </c>
    </row>
    <row r="462" spans="1:10" x14ac:dyDescent="0.3">
      <c r="A462">
        <v>460</v>
      </c>
      <c r="B462">
        <v>7344</v>
      </c>
      <c r="C462" t="b">
        <v>1</v>
      </c>
      <c r="D462">
        <v>8048</v>
      </c>
      <c r="E462">
        <v>8129</v>
      </c>
      <c r="F462">
        <v>5.6</v>
      </c>
      <c r="G462">
        <v>9.1999999999999993</v>
      </c>
      <c r="H462">
        <v>0.6086956</v>
      </c>
      <c r="I462">
        <v>0.39130433999999997</v>
      </c>
      <c r="J462">
        <v>0.62162167000000002</v>
      </c>
    </row>
    <row r="463" spans="1:10" x14ac:dyDescent="0.3">
      <c r="A463">
        <v>461</v>
      </c>
      <c r="B463">
        <v>7359</v>
      </c>
      <c r="C463" t="b">
        <v>1</v>
      </c>
      <c r="D463">
        <v>8048</v>
      </c>
      <c r="E463">
        <v>8123</v>
      </c>
      <c r="F463">
        <v>5.6</v>
      </c>
      <c r="G463">
        <v>9.6</v>
      </c>
      <c r="H463">
        <v>0.58333330000000005</v>
      </c>
      <c r="I463">
        <v>0.4166667</v>
      </c>
      <c r="J463">
        <v>0.63157890000000005</v>
      </c>
    </row>
    <row r="464" spans="1:10" x14ac:dyDescent="0.3">
      <c r="A464">
        <v>462</v>
      </c>
      <c r="B464">
        <v>7375</v>
      </c>
      <c r="C464" t="b">
        <v>1</v>
      </c>
      <c r="D464">
        <v>8048</v>
      </c>
      <c r="E464">
        <v>8123</v>
      </c>
      <c r="F464">
        <v>5.6</v>
      </c>
      <c r="G464">
        <v>9.6</v>
      </c>
      <c r="H464">
        <v>0.58333330000000005</v>
      </c>
      <c r="I464">
        <v>0.4166667</v>
      </c>
      <c r="J464">
        <v>0.63157890000000005</v>
      </c>
    </row>
    <row r="465" spans="1:10" x14ac:dyDescent="0.3">
      <c r="A465">
        <v>463</v>
      </c>
      <c r="B465">
        <v>7391</v>
      </c>
      <c r="C465" t="b">
        <v>1</v>
      </c>
      <c r="D465">
        <v>8048</v>
      </c>
      <c r="E465">
        <v>8123</v>
      </c>
      <c r="F465">
        <v>5.6</v>
      </c>
      <c r="G465">
        <v>9.6</v>
      </c>
      <c r="H465">
        <v>0.58333330000000005</v>
      </c>
      <c r="I465">
        <v>0.4166667</v>
      </c>
      <c r="J465">
        <v>0.63157890000000005</v>
      </c>
    </row>
    <row r="466" spans="1:10" x14ac:dyDescent="0.3">
      <c r="A466">
        <v>464</v>
      </c>
      <c r="B466">
        <v>7406</v>
      </c>
      <c r="C466" t="b">
        <v>1</v>
      </c>
      <c r="D466">
        <v>8048</v>
      </c>
      <c r="E466">
        <v>8129</v>
      </c>
      <c r="F466">
        <v>5.6</v>
      </c>
      <c r="G466">
        <v>9.6</v>
      </c>
      <c r="H466">
        <v>0.58333330000000005</v>
      </c>
      <c r="I466">
        <v>0.4166667</v>
      </c>
      <c r="J466">
        <v>0.63157890000000005</v>
      </c>
    </row>
    <row r="467" spans="1:10" x14ac:dyDescent="0.3">
      <c r="A467">
        <v>465</v>
      </c>
      <c r="B467">
        <v>7422</v>
      </c>
      <c r="C467" t="b">
        <v>1</v>
      </c>
      <c r="D467">
        <v>8048</v>
      </c>
      <c r="E467">
        <v>8123</v>
      </c>
      <c r="F467">
        <v>5.6</v>
      </c>
      <c r="G467">
        <v>9.6</v>
      </c>
      <c r="H467">
        <v>0.58333330000000005</v>
      </c>
      <c r="I467">
        <v>0.4166667</v>
      </c>
      <c r="J467">
        <v>0.63157890000000005</v>
      </c>
    </row>
    <row r="468" spans="1:10" x14ac:dyDescent="0.3">
      <c r="A468">
        <v>466</v>
      </c>
      <c r="B468">
        <v>7438</v>
      </c>
      <c r="C468" t="b">
        <v>1</v>
      </c>
      <c r="D468">
        <v>8048</v>
      </c>
      <c r="E468">
        <v>8129</v>
      </c>
      <c r="F468">
        <v>5.6</v>
      </c>
      <c r="G468">
        <v>9.1999999999999993</v>
      </c>
      <c r="H468">
        <v>0.6086956</v>
      </c>
      <c r="I468">
        <v>0.39130433999999997</v>
      </c>
      <c r="J468">
        <v>0.62162167000000002</v>
      </c>
    </row>
    <row r="469" spans="1:10" x14ac:dyDescent="0.3">
      <c r="A469">
        <v>467</v>
      </c>
      <c r="B469">
        <v>7454</v>
      </c>
      <c r="C469" t="b">
        <v>1</v>
      </c>
      <c r="D469">
        <v>8048</v>
      </c>
      <c r="E469">
        <v>8129</v>
      </c>
      <c r="F469">
        <v>6</v>
      </c>
      <c r="G469">
        <v>9.6</v>
      </c>
      <c r="H469">
        <v>0.625</v>
      </c>
      <c r="I469">
        <v>0.37500002999999998</v>
      </c>
      <c r="J469">
        <v>0.61538464000000004</v>
      </c>
    </row>
    <row r="470" spans="1:10" x14ac:dyDescent="0.3">
      <c r="A470">
        <v>468</v>
      </c>
      <c r="B470">
        <v>7470</v>
      </c>
      <c r="C470" t="b">
        <v>1</v>
      </c>
      <c r="D470">
        <v>8042</v>
      </c>
      <c r="E470">
        <v>8123</v>
      </c>
      <c r="F470">
        <v>6.4</v>
      </c>
      <c r="G470">
        <v>10</v>
      </c>
      <c r="H470">
        <v>0.64</v>
      </c>
      <c r="I470">
        <v>0.35999998</v>
      </c>
      <c r="J470">
        <v>0.60975610000000002</v>
      </c>
    </row>
    <row r="471" spans="1:10" x14ac:dyDescent="0.3">
      <c r="A471">
        <v>469</v>
      </c>
      <c r="B471">
        <v>7485</v>
      </c>
      <c r="C471" t="b">
        <v>1</v>
      </c>
      <c r="D471">
        <v>8048</v>
      </c>
      <c r="E471">
        <v>8123</v>
      </c>
      <c r="F471">
        <v>6.8</v>
      </c>
      <c r="G471">
        <v>10</v>
      </c>
      <c r="H471">
        <v>0.68</v>
      </c>
      <c r="I471">
        <v>0.32</v>
      </c>
      <c r="J471">
        <v>0.59523815000000002</v>
      </c>
    </row>
    <row r="472" spans="1:10" x14ac:dyDescent="0.3">
      <c r="A472">
        <v>470</v>
      </c>
      <c r="B472">
        <v>7501</v>
      </c>
      <c r="C472" t="b">
        <v>1</v>
      </c>
      <c r="D472">
        <v>8042</v>
      </c>
      <c r="E472">
        <v>8123</v>
      </c>
      <c r="F472">
        <v>7.2</v>
      </c>
      <c r="G472">
        <v>10</v>
      </c>
      <c r="H472">
        <v>0.71999997000000004</v>
      </c>
      <c r="I472">
        <v>0.28000003000000001</v>
      </c>
      <c r="J472">
        <v>0.58139529999999995</v>
      </c>
    </row>
    <row r="473" spans="1:10" x14ac:dyDescent="0.3">
      <c r="A473">
        <v>471</v>
      </c>
      <c r="B473">
        <v>7516</v>
      </c>
      <c r="C473" t="b">
        <v>1</v>
      </c>
      <c r="D473">
        <v>8042</v>
      </c>
      <c r="E473">
        <v>8123</v>
      </c>
      <c r="F473">
        <v>7.2</v>
      </c>
      <c r="G473">
        <v>10</v>
      </c>
      <c r="H473">
        <v>0.71999997000000004</v>
      </c>
      <c r="I473">
        <v>0.28000003000000001</v>
      </c>
      <c r="J473">
        <v>0.58139529999999995</v>
      </c>
    </row>
    <row r="474" spans="1:10" x14ac:dyDescent="0.3">
      <c r="A474">
        <v>472</v>
      </c>
      <c r="B474">
        <v>7532</v>
      </c>
      <c r="C474" t="b">
        <v>1</v>
      </c>
      <c r="D474">
        <v>8042</v>
      </c>
      <c r="E474">
        <v>8123</v>
      </c>
      <c r="F474">
        <v>7.2</v>
      </c>
      <c r="G474">
        <v>10</v>
      </c>
      <c r="H474">
        <v>0.71999997000000004</v>
      </c>
      <c r="I474">
        <v>0.28000003000000001</v>
      </c>
      <c r="J474">
        <v>0.58139529999999995</v>
      </c>
    </row>
    <row r="475" spans="1:10" x14ac:dyDescent="0.3">
      <c r="A475">
        <v>473</v>
      </c>
      <c r="B475">
        <v>7547</v>
      </c>
      <c r="C475" t="b">
        <v>1</v>
      </c>
      <c r="D475">
        <v>8042</v>
      </c>
      <c r="E475">
        <v>8123</v>
      </c>
      <c r="F475">
        <v>6.8</v>
      </c>
      <c r="G475">
        <v>10</v>
      </c>
      <c r="H475">
        <v>0.68</v>
      </c>
      <c r="I475">
        <v>0.32</v>
      </c>
      <c r="J475">
        <v>0.59523815000000002</v>
      </c>
    </row>
    <row r="476" spans="1:10" x14ac:dyDescent="0.3">
      <c r="A476">
        <v>474</v>
      </c>
      <c r="B476">
        <v>7563</v>
      </c>
      <c r="C476" t="b">
        <v>1</v>
      </c>
      <c r="D476">
        <v>8048</v>
      </c>
      <c r="E476">
        <v>8123</v>
      </c>
      <c r="F476">
        <v>6.4</v>
      </c>
      <c r="G476">
        <v>10</v>
      </c>
      <c r="H476">
        <v>0.64</v>
      </c>
      <c r="I476">
        <v>0.35999998</v>
      </c>
      <c r="J476">
        <v>0.60975610000000002</v>
      </c>
    </row>
    <row r="477" spans="1:10" x14ac:dyDescent="0.3">
      <c r="A477">
        <v>475</v>
      </c>
      <c r="B477">
        <v>7579</v>
      </c>
      <c r="C477" t="b">
        <v>1</v>
      </c>
      <c r="D477">
        <v>8042</v>
      </c>
      <c r="E477">
        <v>8123</v>
      </c>
      <c r="F477">
        <v>6</v>
      </c>
      <c r="G477">
        <v>9.6</v>
      </c>
      <c r="H477">
        <v>0.625</v>
      </c>
      <c r="I477">
        <v>0.37500002999999998</v>
      </c>
      <c r="J477">
        <v>0.61538464000000004</v>
      </c>
    </row>
    <row r="478" spans="1:10" x14ac:dyDescent="0.3">
      <c r="A478">
        <v>476</v>
      </c>
      <c r="B478">
        <v>7595</v>
      </c>
      <c r="C478" t="b">
        <v>1</v>
      </c>
      <c r="D478">
        <v>8048</v>
      </c>
      <c r="E478">
        <v>8123</v>
      </c>
      <c r="F478">
        <v>5.6</v>
      </c>
      <c r="G478">
        <v>9.1999999999999993</v>
      </c>
      <c r="H478">
        <v>0.6086956</v>
      </c>
      <c r="I478">
        <v>0.39130433999999997</v>
      </c>
      <c r="J478">
        <v>0.62162167000000002</v>
      </c>
    </row>
    <row r="479" spans="1:10" x14ac:dyDescent="0.3">
      <c r="A479">
        <v>477</v>
      </c>
      <c r="B479">
        <v>7610</v>
      </c>
      <c r="C479" t="b">
        <v>1</v>
      </c>
      <c r="D479">
        <v>8048</v>
      </c>
      <c r="E479">
        <v>8123</v>
      </c>
      <c r="F479">
        <v>5.6</v>
      </c>
      <c r="G479">
        <v>8.8000000000000007</v>
      </c>
      <c r="H479">
        <v>0.63636360000000003</v>
      </c>
      <c r="I479">
        <v>0.36363636999999999</v>
      </c>
      <c r="J479">
        <v>0.61111115999999999</v>
      </c>
    </row>
    <row r="480" spans="1:10" x14ac:dyDescent="0.3">
      <c r="A480">
        <v>478</v>
      </c>
      <c r="B480">
        <v>7626</v>
      </c>
      <c r="C480" t="b">
        <v>1</v>
      </c>
      <c r="D480">
        <v>8048</v>
      </c>
      <c r="E480">
        <v>8123</v>
      </c>
      <c r="F480">
        <v>5.6</v>
      </c>
      <c r="G480">
        <v>8.8000000000000007</v>
      </c>
      <c r="H480">
        <v>0.63636360000000003</v>
      </c>
      <c r="I480">
        <v>0.36363636999999999</v>
      </c>
      <c r="J480">
        <v>0.61111115999999999</v>
      </c>
    </row>
    <row r="481" spans="1:10" x14ac:dyDescent="0.3">
      <c r="A481">
        <v>479</v>
      </c>
      <c r="B481">
        <v>7642</v>
      </c>
      <c r="C481" t="b">
        <v>1</v>
      </c>
      <c r="D481">
        <v>8048</v>
      </c>
      <c r="E481">
        <v>8123</v>
      </c>
      <c r="F481">
        <v>5.6</v>
      </c>
      <c r="G481">
        <v>8.8000000000000007</v>
      </c>
      <c r="H481">
        <v>0.63636360000000003</v>
      </c>
      <c r="I481">
        <v>0.36363636999999999</v>
      </c>
      <c r="J481">
        <v>0.61111115999999999</v>
      </c>
    </row>
    <row r="482" spans="1:10" x14ac:dyDescent="0.3">
      <c r="A482">
        <v>480</v>
      </c>
      <c r="B482">
        <v>7658</v>
      </c>
      <c r="C482" t="b">
        <v>1</v>
      </c>
      <c r="D482">
        <v>8048</v>
      </c>
      <c r="E482">
        <v>8123</v>
      </c>
      <c r="F482">
        <v>5.6</v>
      </c>
      <c r="G482">
        <v>8.8000000000000007</v>
      </c>
      <c r="H482">
        <v>0.63636360000000003</v>
      </c>
      <c r="I482">
        <v>0.36363636999999999</v>
      </c>
      <c r="J482">
        <v>0.61111115999999999</v>
      </c>
    </row>
    <row r="483" spans="1:10" x14ac:dyDescent="0.3">
      <c r="A483">
        <v>481</v>
      </c>
      <c r="B483">
        <v>7673</v>
      </c>
      <c r="C483" t="b">
        <v>1</v>
      </c>
      <c r="D483">
        <v>8048</v>
      </c>
      <c r="E483">
        <v>8123</v>
      </c>
      <c r="F483">
        <v>5.6</v>
      </c>
      <c r="G483">
        <v>8.8000000000000007</v>
      </c>
      <c r="H483">
        <v>0.63636360000000003</v>
      </c>
      <c r="I483">
        <v>0.36363636999999999</v>
      </c>
      <c r="J483">
        <v>0.61111115999999999</v>
      </c>
    </row>
    <row r="484" spans="1:10" x14ac:dyDescent="0.3">
      <c r="A484">
        <v>482</v>
      </c>
      <c r="B484">
        <v>7689</v>
      </c>
      <c r="C484" t="b">
        <v>1</v>
      </c>
      <c r="D484">
        <v>8048</v>
      </c>
      <c r="E484">
        <v>8123</v>
      </c>
      <c r="F484">
        <v>5.6</v>
      </c>
      <c r="G484">
        <v>8.4</v>
      </c>
      <c r="H484">
        <v>0.66666669999999995</v>
      </c>
      <c r="I484">
        <v>0.3333333</v>
      </c>
      <c r="J484">
        <v>0.59999996</v>
      </c>
    </row>
    <row r="485" spans="1:10" x14ac:dyDescent="0.3">
      <c r="A485">
        <v>483</v>
      </c>
      <c r="B485">
        <v>7705</v>
      </c>
      <c r="C485" t="b">
        <v>1</v>
      </c>
      <c r="D485">
        <v>8048</v>
      </c>
      <c r="E485">
        <v>8123</v>
      </c>
      <c r="F485">
        <v>5.6</v>
      </c>
      <c r="G485">
        <v>8</v>
      </c>
      <c r="H485">
        <v>0.7</v>
      </c>
      <c r="I485">
        <v>0.3</v>
      </c>
      <c r="J485">
        <v>0.58823526000000004</v>
      </c>
    </row>
    <row r="486" spans="1:10" x14ac:dyDescent="0.3">
      <c r="A486">
        <v>484</v>
      </c>
      <c r="B486">
        <v>7721</v>
      </c>
      <c r="C486" t="b">
        <v>1</v>
      </c>
      <c r="D486">
        <v>8048</v>
      </c>
      <c r="E486">
        <v>8134</v>
      </c>
      <c r="F486">
        <v>5.6</v>
      </c>
      <c r="G486">
        <v>8</v>
      </c>
      <c r="H486">
        <v>0.7</v>
      </c>
      <c r="I486">
        <v>0.3</v>
      </c>
      <c r="J486">
        <v>0.58823526000000004</v>
      </c>
    </row>
    <row r="487" spans="1:10" x14ac:dyDescent="0.3">
      <c r="A487">
        <v>485</v>
      </c>
      <c r="B487">
        <v>7737</v>
      </c>
      <c r="C487" t="b">
        <v>1</v>
      </c>
      <c r="D487">
        <v>8048</v>
      </c>
      <c r="E487">
        <v>8129</v>
      </c>
      <c r="F487">
        <v>5.6</v>
      </c>
      <c r="G487">
        <v>8</v>
      </c>
      <c r="H487">
        <v>0.7</v>
      </c>
      <c r="I487">
        <v>0.3</v>
      </c>
      <c r="J487">
        <v>0.58823526000000004</v>
      </c>
    </row>
    <row r="488" spans="1:10" x14ac:dyDescent="0.3">
      <c r="A488">
        <v>486</v>
      </c>
      <c r="B488">
        <v>7753</v>
      </c>
      <c r="C488" t="b">
        <v>1</v>
      </c>
      <c r="D488">
        <v>8048</v>
      </c>
      <c r="E488">
        <v>8123</v>
      </c>
      <c r="F488">
        <v>6</v>
      </c>
      <c r="G488">
        <v>8</v>
      </c>
      <c r="H488">
        <v>0.75</v>
      </c>
      <c r="I488">
        <v>0.25</v>
      </c>
      <c r="J488">
        <v>0.57142859999999995</v>
      </c>
    </row>
    <row r="489" spans="1:10" x14ac:dyDescent="0.3">
      <c r="A489">
        <v>487</v>
      </c>
      <c r="B489">
        <v>7768</v>
      </c>
      <c r="C489" t="b">
        <v>1</v>
      </c>
      <c r="D489">
        <v>8048</v>
      </c>
      <c r="E489">
        <v>8129</v>
      </c>
      <c r="F489">
        <v>6.4</v>
      </c>
      <c r="G489">
        <v>8.4</v>
      </c>
      <c r="H489">
        <v>0.76190484000000003</v>
      </c>
      <c r="I489">
        <v>0.23809520000000001</v>
      </c>
      <c r="J489">
        <v>0.56756759999999995</v>
      </c>
    </row>
    <row r="490" spans="1:10" x14ac:dyDescent="0.3">
      <c r="A490">
        <v>488</v>
      </c>
      <c r="B490">
        <v>7784</v>
      </c>
      <c r="C490" t="b">
        <v>1</v>
      </c>
      <c r="D490">
        <v>8042</v>
      </c>
      <c r="E490">
        <v>8129</v>
      </c>
      <c r="F490">
        <v>6.8</v>
      </c>
      <c r="G490">
        <v>8.8000000000000007</v>
      </c>
      <c r="H490">
        <v>0.77272724999999998</v>
      </c>
      <c r="I490">
        <v>0.22727272000000001</v>
      </c>
      <c r="J490">
        <v>0.56410260000000001</v>
      </c>
    </row>
    <row r="491" spans="1:10" x14ac:dyDescent="0.3">
      <c r="A491">
        <v>489</v>
      </c>
      <c r="B491">
        <v>7800</v>
      </c>
      <c r="C491" t="b">
        <v>1</v>
      </c>
      <c r="D491">
        <v>8042</v>
      </c>
      <c r="E491">
        <v>8129</v>
      </c>
      <c r="F491">
        <v>7.2</v>
      </c>
      <c r="G491">
        <v>9.1999999999999993</v>
      </c>
      <c r="H491">
        <v>0.78260870000000005</v>
      </c>
      <c r="I491">
        <v>0.21739131</v>
      </c>
      <c r="J491">
        <v>0.56097560000000002</v>
      </c>
    </row>
    <row r="492" spans="1:10" x14ac:dyDescent="0.3">
      <c r="A492">
        <v>490</v>
      </c>
      <c r="B492">
        <v>7816</v>
      </c>
      <c r="C492" t="b">
        <v>1</v>
      </c>
      <c r="D492">
        <v>8048</v>
      </c>
      <c r="E492">
        <v>8117</v>
      </c>
      <c r="F492">
        <v>7.6</v>
      </c>
      <c r="G492">
        <v>9.6</v>
      </c>
      <c r="H492">
        <v>0.7916666</v>
      </c>
      <c r="I492">
        <v>0.20833336999999999</v>
      </c>
      <c r="J492">
        <v>0.55813950000000001</v>
      </c>
    </row>
    <row r="493" spans="1:10" x14ac:dyDescent="0.3">
      <c r="A493">
        <v>491</v>
      </c>
      <c r="B493">
        <v>7831</v>
      </c>
      <c r="C493" t="b">
        <v>1</v>
      </c>
      <c r="D493">
        <v>8048</v>
      </c>
      <c r="E493">
        <v>8117</v>
      </c>
      <c r="F493">
        <v>8</v>
      </c>
      <c r="G493">
        <v>10</v>
      </c>
      <c r="H493">
        <v>0.8</v>
      </c>
      <c r="I493">
        <v>0.2</v>
      </c>
      <c r="J493">
        <v>0.55555560000000004</v>
      </c>
    </row>
    <row r="494" spans="1:10" x14ac:dyDescent="0.3">
      <c r="A494">
        <v>492</v>
      </c>
      <c r="B494">
        <v>7847</v>
      </c>
      <c r="C494" t="b">
        <v>1</v>
      </c>
      <c r="D494">
        <v>8048</v>
      </c>
      <c r="E494">
        <v>8111</v>
      </c>
      <c r="F494">
        <v>8</v>
      </c>
      <c r="G494">
        <v>9.6</v>
      </c>
      <c r="H494">
        <v>0.83333330000000005</v>
      </c>
      <c r="I494">
        <v>0.1666667</v>
      </c>
      <c r="J494">
        <v>0.54545456000000003</v>
      </c>
    </row>
    <row r="495" spans="1:10" x14ac:dyDescent="0.3">
      <c r="A495">
        <v>493</v>
      </c>
      <c r="B495">
        <v>7863</v>
      </c>
      <c r="C495" t="b">
        <v>1</v>
      </c>
      <c r="D495">
        <v>8042</v>
      </c>
      <c r="E495">
        <v>8117</v>
      </c>
      <c r="F495">
        <v>8</v>
      </c>
      <c r="G495">
        <v>9.1999999999999993</v>
      </c>
      <c r="H495">
        <v>0.86956524999999996</v>
      </c>
      <c r="I495">
        <v>0.13043477000000001</v>
      </c>
      <c r="J495">
        <v>0.53488369999999996</v>
      </c>
    </row>
    <row r="496" spans="1:10" x14ac:dyDescent="0.3">
      <c r="A496">
        <v>494</v>
      </c>
      <c r="B496">
        <v>7879</v>
      </c>
      <c r="C496" t="b">
        <v>1</v>
      </c>
      <c r="D496">
        <v>8048</v>
      </c>
      <c r="E496">
        <v>8117</v>
      </c>
      <c r="F496">
        <v>8</v>
      </c>
      <c r="G496">
        <v>8.8000000000000007</v>
      </c>
      <c r="H496">
        <v>0.90909090000000004</v>
      </c>
      <c r="I496">
        <v>9.0909110000000001E-2</v>
      </c>
      <c r="J496">
        <v>0.52380954999999996</v>
      </c>
    </row>
    <row r="497" spans="1:10" x14ac:dyDescent="0.3">
      <c r="A497">
        <v>495</v>
      </c>
      <c r="B497">
        <v>7894</v>
      </c>
      <c r="C497" t="b">
        <v>1</v>
      </c>
      <c r="D497">
        <v>8054</v>
      </c>
      <c r="E497">
        <v>8117</v>
      </c>
      <c r="F497">
        <v>8</v>
      </c>
      <c r="G497">
        <v>8.4</v>
      </c>
      <c r="H497">
        <v>0.95238100000000003</v>
      </c>
      <c r="I497">
        <v>4.7619003999999999E-2</v>
      </c>
      <c r="J497">
        <v>0.51219510000000001</v>
      </c>
    </row>
    <row r="498" spans="1:10" x14ac:dyDescent="0.3">
      <c r="A498">
        <v>496</v>
      </c>
      <c r="B498">
        <v>7910</v>
      </c>
      <c r="C498" t="b">
        <v>1</v>
      </c>
      <c r="D498">
        <v>8054</v>
      </c>
      <c r="E498">
        <v>8129</v>
      </c>
      <c r="F498">
        <v>8</v>
      </c>
      <c r="G498">
        <v>8</v>
      </c>
      <c r="H498">
        <v>1</v>
      </c>
      <c r="I498">
        <v>0</v>
      </c>
      <c r="J498">
        <v>0.5</v>
      </c>
    </row>
    <row r="499" spans="1:10" x14ac:dyDescent="0.3">
      <c r="A499">
        <v>497</v>
      </c>
      <c r="B499">
        <v>7926</v>
      </c>
      <c r="C499" t="b">
        <v>1</v>
      </c>
      <c r="D499">
        <v>8048</v>
      </c>
      <c r="E499">
        <v>8123</v>
      </c>
      <c r="F499">
        <v>8</v>
      </c>
      <c r="G499">
        <v>7.6</v>
      </c>
      <c r="H499">
        <v>1.0526316</v>
      </c>
      <c r="I499">
        <v>-5.2631589999999999E-2</v>
      </c>
      <c r="J499">
        <v>0.48717946000000001</v>
      </c>
    </row>
    <row r="500" spans="1:10" x14ac:dyDescent="0.3">
      <c r="A500">
        <v>498</v>
      </c>
      <c r="B500">
        <v>7942</v>
      </c>
      <c r="C500" t="b">
        <v>1</v>
      </c>
      <c r="D500">
        <v>8048</v>
      </c>
      <c r="E500">
        <v>8123</v>
      </c>
      <c r="F500">
        <v>8</v>
      </c>
      <c r="G500">
        <v>7.6</v>
      </c>
      <c r="H500">
        <v>1.0526316</v>
      </c>
      <c r="I500">
        <v>-5.2631589999999999E-2</v>
      </c>
      <c r="J500">
        <v>0.48717946000000001</v>
      </c>
    </row>
    <row r="501" spans="1:10" x14ac:dyDescent="0.3">
      <c r="A501">
        <v>499</v>
      </c>
      <c r="B501">
        <v>7958</v>
      </c>
      <c r="C501" t="b">
        <v>1</v>
      </c>
      <c r="D501">
        <v>8042</v>
      </c>
      <c r="E501">
        <v>8123</v>
      </c>
      <c r="F501">
        <v>8</v>
      </c>
      <c r="G501">
        <v>7.6</v>
      </c>
      <c r="H501">
        <v>1.0526316</v>
      </c>
      <c r="I501">
        <v>-5.2631589999999999E-2</v>
      </c>
      <c r="J501">
        <v>0.48717946000000001</v>
      </c>
    </row>
    <row r="502" spans="1:10" x14ac:dyDescent="0.3">
      <c r="A502">
        <v>500</v>
      </c>
      <c r="B502">
        <v>7973</v>
      </c>
      <c r="C502" t="b">
        <v>1</v>
      </c>
      <c r="D502">
        <v>8048</v>
      </c>
      <c r="E502">
        <v>8134</v>
      </c>
      <c r="F502">
        <v>8</v>
      </c>
      <c r="G502">
        <v>7.6</v>
      </c>
      <c r="H502">
        <v>1.0526316</v>
      </c>
      <c r="I502">
        <v>-5.2631589999999999E-2</v>
      </c>
      <c r="J502">
        <v>0.48717946000000001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9D0E-EE3D-4568-97C4-6F0C981B1DAB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8065</v>
      </c>
      <c r="E2">
        <v>8140</v>
      </c>
      <c r="F2">
        <v>25</v>
      </c>
      <c r="G2">
        <v>25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22</v>
      </c>
      <c r="C3" t="b">
        <v>1</v>
      </c>
      <c r="D3">
        <v>8071</v>
      </c>
      <c r="E3">
        <v>8134</v>
      </c>
      <c r="F3">
        <v>28</v>
      </c>
      <c r="G3">
        <v>25</v>
      </c>
      <c r="H3">
        <v>1.1200000000000001</v>
      </c>
      <c r="I3">
        <v>-0.12</v>
      </c>
      <c r="J3">
        <v>0.47169810000000001</v>
      </c>
    </row>
    <row r="4" spans="1:10" x14ac:dyDescent="0.3">
      <c r="A4">
        <v>2</v>
      </c>
      <c r="B4">
        <v>38</v>
      </c>
      <c r="C4" t="b">
        <v>1</v>
      </c>
      <c r="D4">
        <v>8077</v>
      </c>
      <c r="E4">
        <v>8134</v>
      </c>
      <c r="F4">
        <v>29</v>
      </c>
      <c r="G4">
        <v>23</v>
      </c>
      <c r="H4">
        <v>1.2608695999999999</v>
      </c>
      <c r="I4">
        <v>-0.26086956</v>
      </c>
      <c r="J4">
        <v>0.44230767999999998</v>
      </c>
    </row>
    <row r="5" spans="1:10" x14ac:dyDescent="0.3">
      <c r="A5">
        <v>3</v>
      </c>
      <c r="B5">
        <v>53</v>
      </c>
      <c r="C5" t="b">
        <v>1</v>
      </c>
      <c r="D5">
        <v>8083</v>
      </c>
      <c r="E5">
        <v>8134</v>
      </c>
      <c r="F5">
        <v>31</v>
      </c>
      <c r="G5">
        <v>22</v>
      </c>
      <c r="H5">
        <v>1.4090909</v>
      </c>
      <c r="I5">
        <v>-0.40909089999999998</v>
      </c>
      <c r="J5">
        <v>0.41509435</v>
      </c>
    </row>
    <row r="6" spans="1:10" x14ac:dyDescent="0.3">
      <c r="A6">
        <v>4</v>
      </c>
      <c r="B6">
        <v>69</v>
      </c>
      <c r="C6" t="b">
        <v>1</v>
      </c>
      <c r="D6">
        <v>8083</v>
      </c>
      <c r="E6">
        <v>8134</v>
      </c>
      <c r="F6">
        <v>32.200000000000003</v>
      </c>
      <c r="G6">
        <v>21.4</v>
      </c>
      <c r="H6">
        <v>1.5046729999999999</v>
      </c>
      <c r="I6">
        <v>-0.50467293999999996</v>
      </c>
      <c r="J6">
        <v>0.39925372999999997</v>
      </c>
    </row>
    <row r="7" spans="1:10" x14ac:dyDescent="0.3">
      <c r="A7">
        <v>5</v>
      </c>
      <c r="B7">
        <v>85</v>
      </c>
      <c r="C7" t="b">
        <v>1</v>
      </c>
      <c r="D7">
        <v>8077</v>
      </c>
      <c r="E7">
        <v>8134</v>
      </c>
      <c r="F7">
        <v>33</v>
      </c>
      <c r="G7">
        <v>21</v>
      </c>
      <c r="H7">
        <v>1.5714284999999999</v>
      </c>
      <c r="I7">
        <v>-0.57142859999999995</v>
      </c>
      <c r="J7">
        <v>0.38888889999999998</v>
      </c>
    </row>
    <row r="8" spans="1:10" x14ac:dyDescent="0.3">
      <c r="A8">
        <v>6</v>
      </c>
      <c r="B8">
        <v>101</v>
      </c>
      <c r="C8" t="b">
        <v>1</v>
      </c>
      <c r="D8">
        <v>8071</v>
      </c>
      <c r="E8">
        <v>8134</v>
      </c>
      <c r="F8">
        <v>33.571429999999999</v>
      </c>
      <c r="G8">
        <v>20.714285</v>
      </c>
      <c r="H8">
        <v>1.6206897</v>
      </c>
      <c r="I8">
        <v>-0.62068979999999996</v>
      </c>
      <c r="J8">
        <v>0.38157894999999997</v>
      </c>
    </row>
    <row r="9" spans="1:10" x14ac:dyDescent="0.3">
      <c r="A9">
        <v>7</v>
      </c>
      <c r="B9">
        <v>117</v>
      </c>
      <c r="C9" t="b">
        <v>1</v>
      </c>
      <c r="D9">
        <v>8071</v>
      </c>
      <c r="E9">
        <v>8134</v>
      </c>
      <c r="F9">
        <v>34</v>
      </c>
      <c r="G9">
        <v>20.5</v>
      </c>
      <c r="H9">
        <v>1.6585365999999999</v>
      </c>
      <c r="I9">
        <v>-0.65853660000000003</v>
      </c>
      <c r="J9">
        <v>0.3761468</v>
      </c>
    </row>
    <row r="10" spans="1:10" x14ac:dyDescent="0.3">
      <c r="A10">
        <v>8</v>
      </c>
      <c r="B10">
        <v>132</v>
      </c>
      <c r="C10" t="b">
        <v>1</v>
      </c>
      <c r="D10">
        <v>8071</v>
      </c>
      <c r="E10">
        <v>8134</v>
      </c>
      <c r="F10">
        <v>33.666668000000001</v>
      </c>
      <c r="G10">
        <v>20.333334000000001</v>
      </c>
      <c r="H10">
        <v>1.6557378</v>
      </c>
      <c r="I10">
        <v>-0.65573769999999998</v>
      </c>
      <c r="J10">
        <v>0.37654322000000001</v>
      </c>
    </row>
    <row r="11" spans="1:10" x14ac:dyDescent="0.3">
      <c r="A11">
        <v>9</v>
      </c>
      <c r="B11">
        <v>148</v>
      </c>
      <c r="C11" t="b">
        <v>1</v>
      </c>
      <c r="D11">
        <v>8071</v>
      </c>
      <c r="E11">
        <v>8134</v>
      </c>
      <c r="F11">
        <v>33.4</v>
      </c>
      <c r="G11">
        <v>20.2</v>
      </c>
      <c r="H11">
        <v>1.6534654</v>
      </c>
      <c r="I11">
        <v>-0.65346532999999996</v>
      </c>
      <c r="J11">
        <v>0.37686565999999999</v>
      </c>
    </row>
    <row r="12" spans="1:10" x14ac:dyDescent="0.3">
      <c r="A12">
        <v>10</v>
      </c>
      <c r="B12">
        <v>164</v>
      </c>
      <c r="C12" t="b">
        <v>1</v>
      </c>
      <c r="D12">
        <v>8071</v>
      </c>
      <c r="E12">
        <v>8140</v>
      </c>
      <c r="F12">
        <v>33.181820000000002</v>
      </c>
      <c r="G12">
        <v>20.090910000000001</v>
      </c>
      <c r="H12">
        <v>1.6515837</v>
      </c>
      <c r="I12">
        <v>-0.65158373000000003</v>
      </c>
      <c r="J12">
        <v>0.37713312999999998</v>
      </c>
    </row>
    <row r="13" spans="1:10" x14ac:dyDescent="0.3">
      <c r="A13">
        <v>11</v>
      </c>
      <c r="B13">
        <v>180</v>
      </c>
      <c r="C13" t="b">
        <v>1</v>
      </c>
      <c r="D13">
        <v>8077</v>
      </c>
      <c r="E13">
        <v>8140</v>
      </c>
      <c r="F13">
        <v>33</v>
      </c>
      <c r="G13">
        <v>20</v>
      </c>
      <c r="H13">
        <v>1.65</v>
      </c>
      <c r="I13">
        <v>-0.65</v>
      </c>
      <c r="J13">
        <v>0.37735849999999999</v>
      </c>
    </row>
    <row r="14" spans="1:10" x14ac:dyDescent="0.3">
      <c r="A14">
        <v>12</v>
      </c>
      <c r="B14">
        <v>196</v>
      </c>
      <c r="C14" t="b">
        <v>1</v>
      </c>
      <c r="D14">
        <v>8077</v>
      </c>
      <c r="E14">
        <v>8140</v>
      </c>
      <c r="F14">
        <v>32.846153000000001</v>
      </c>
      <c r="G14">
        <v>20.384615</v>
      </c>
      <c r="H14">
        <v>1.6113207000000001</v>
      </c>
      <c r="I14">
        <v>-0.61132072999999998</v>
      </c>
      <c r="J14">
        <v>0.38294798000000002</v>
      </c>
    </row>
    <row r="15" spans="1:10" x14ac:dyDescent="0.3">
      <c r="A15">
        <v>13</v>
      </c>
      <c r="B15">
        <v>212</v>
      </c>
      <c r="C15" t="b">
        <v>1</v>
      </c>
      <c r="D15">
        <v>8077</v>
      </c>
      <c r="E15">
        <v>8140</v>
      </c>
      <c r="F15">
        <v>33.142856999999999</v>
      </c>
      <c r="G15">
        <v>20.714285</v>
      </c>
      <c r="H15">
        <v>1.6</v>
      </c>
      <c r="I15">
        <v>-0.6</v>
      </c>
      <c r="J15">
        <v>0.3846154</v>
      </c>
    </row>
    <row r="16" spans="1:10" x14ac:dyDescent="0.3">
      <c r="A16">
        <v>14</v>
      </c>
      <c r="B16">
        <v>228</v>
      </c>
      <c r="C16" t="b">
        <v>1</v>
      </c>
      <c r="D16">
        <v>8083</v>
      </c>
      <c r="E16">
        <v>8140</v>
      </c>
      <c r="F16">
        <v>33.4</v>
      </c>
      <c r="G16">
        <v>21</v>
      </c>
      <c r="H16">
        <v>1.5904763</v>
      </c>
      <c r="I16">
        <v>-0.59047629999999995</v>
      </c>
      <c r="J16">
        <v>0.38602940000000002</v>
      </c>
    </row>
    <row r="17" spans="1:10" x14ac:dyDescent="0.3">
      <c r="A17">
        <v>15</v>
      </c>
      <c r="B17">
        <v>244</v>
      </c>
      <c r="C17" t="b">
        <v>1</v>
      </c>
      <c r="D17">
        <v>8071</v>
      </c>
      <c r="E17">
        <v>8146</v>
      </c>
      <c r="F17">
        <v>34.200000000000003</v>
      </c>
      <c r="G17">
        <v>21</v>
      </c>
      <c r="H17">
        <v>1.6285715000000001</v>
      </c>
      <c r="I17">
        <v>-0.62857145000000003</v>
      </c>
      <c r="J17">
        <v>0.38043477999999997</v>
      </c>
    </row>
    <row r="18" spans="1:10" x14ac:dyDescent="0.3">
      <c r="A18">
        <v>16</v>
      </c>
      <c r="B18">
        <v>260</v>
      </c>
      <c r="C18" t="b">
        <v>1</v>
      </c>
      <c r="D18">
        <v>8071</v>
      </c>
      <c r="E18">
        <v>8140</v>
      </c>
      <c r="F18">
        <v>34.6</v>
      </c>
      <c r="G18">
        <v>21</v>
      </c>
      <c r="H18">
        <v>1.6476189999999999</v>
      </c>
      <c r="I18">
        <v>-0.64761895000000003</v>
      </c>
      <c r="J18">
        <v>0.37769786</v>
      </c>
    </row>
    <row r="19" spans="1:10" x14ac:dyDescent="0.3">
      <c r="A19">
        <v>17</v>
      </c>
      <c r="B19">
        <v>275</v>
      </c>
      <c r="C19" t="b">
        <v>1</v>
      </c>
      <c r="D19">
        <v>8077</v>
      </c>
      <c r="E19">
        <v>8140</v>
      </c>
      <c r="F19">
        <v>35</v>
      </c>
      <c r="G19">
        <v>21.4</v>
      </c>
      <c r="H19">
        <v>1.6355139999999999</v>
      </c>
      <c r="I19">
        <v>-0.63551400000000002</v>
      </c>
      <c r="J19">
        <v>0.37943262</v>
      </c>
    </row>
    <row r="20" spans="1:10" x14ac:dyDescent="0.3">
      <c r="A20">
        <v>18</v>
      </c>
      <c r="B20">
        <v>291</v>
      </c>
      <c r="C20" t="b">
        <v>1</v>
      </c>
      <c r="D20">
        <v>8077</v>
      </c>
      <c r="E20">
        <v>8134</v>
      </c>
      <c r="F20">
        <v>35</v>
      </c>
      <c r="G20">
        <v>21.8</v>
      </c>
      <c r="H20">
        <v>1.6055045999999999</v>
      </c>
      <c r="I20">
        <v>-0.60550462999999999</v>
      </c>
      <c r="J20">
        <v>0.3838028</v>
      </c>
    </row>
    <row r="21" spans="1:10" x14ac:dyDescent="0.3">
      <c r="A21">
        <v>19</v>
      </c>
      <c r="B21">
        <v>307</v>
      </c>
      <c r="C21" t="b">
        <v>1</v>
      </c>
      <c r="D21">
        <v>8077</v>
      </c>
      <c r="E21">
        <v>8134</v>
      </c>
      <c r="F21">
        <v>35</v>
      </c>
      <c r="G21">
        <v>22.2</v>
      </c>
      <c r="H21">
        <v>1.5765765</v>
      </c>
      <c r="I21">
        <v>-0.57657652999999998</v>
      </c>
      <c r="J21">
        <v>0.38811190000000001</v>
      </c>
    </row>
    <row r="22" spans="1:10" x14ac:dyDescent="0.3">
      <c r="A22">
        <v>20</v>
      </c>
      <c r="B22">
        <v>323</v>
      </c>
      <c r="C22" t="b">
        <v>1</v>
      </c>
      <c r="D22">
        <v>8071</v>
      </c>
      <c r="E22">
        <v>8129</v>
      </c>
      <c r="F22">
        <v>35</v>
      </c>
      <c r="G22">
        <v>22.2</v>
      </c>
      <c r="H22">
        <v>1.5765765</v>
      </c>
      <c r="I22">
        <v>-0.57657652999999998</v>
      </c>
      <c r="J22">
        <v>0.38811190000000001</v>
      </c>
    </row>
    <row r="23" spans="1:10" x14ac:dyDescent="0.3">
      <c r="A23">
        <v>21</v>
      </c>
      <c r="B23">
        <v>339</v>
      </c>
      <c r="C23" t="b">
        <v>1</v>
      </c>
      <c r="D23">
        <v>8071</v>
      </c>
      <c r="E23">
        <v>8134</v>
      </c>
      <c r="F23">
        <v>35</v>
      </c>
      <c r="G23">
        <v>22.2</v>
      </c>
      <c r="H23">
        <v>1.5765765</v>
      </c>
      <c r="I23">
        <v>-0.57657652999999998</v>
      </c>
      <c r="J23">
        <v>0.38811190000000001</v>
      </c>
    </row>
    <row r="24" spans="1:10" x14ac:dyDescent="0.3">
      <c r="A24">
        <v>22</v>
      </c>
      <c r="B24">
        <v>355</v>
      </c>
      <c r="C24" t="b">
        <v>1</v>
      </c>
      <c r="D24">
        <v>8077</v>
      </c>
      <c r="E24">
        <v>8134</v>
      </c>
      <c r="F24">
        <v>35</v>
      </c>
      <c r="G24">
        <v>22.2</v>
      </c>
      <c r="H24">
        <v>1.5765765</v>
      </c>
      <c r="I24">
        <v>-0.57657652999999998</v>
      </c>
      <c r="J24">
        <v>0.38811190000000001</v>
      </c>
    </row>
    <row r="25" spans="1:10" x14ac:dyDescent="0.3">
      <c r="A25">
        <v>23</v>
      </c>
      <c r="B25">
        <v>371</v>
      </c>
      <c r="C25" t="b">
        <v>1</v>
      </c>
      <c r="D25">
        <v>8071</v>
      </c>
      <c r="E25">
        <v>8140</v>
      </c>
      <c r="F25">
        <v>35</v>
      </c>
      <c r="G25">
        <v>22.2</v>
      </c>
      <c r="H25">
        <v>1.5765765</v>
      </c>
      <c r="I25">
        <v>-0.57657652999999998</v>
      </c>
      <c r="J25">
        <v>0.38811190000000001</v>
      </c>
    </row>
    <row r="26" spans="1:10" x14ac:dyDescent="0.3">
      <c r="A26">
        <v>24</v>
      </c>
      <c r="B26">
        <v>402</v>
      </c>
      <c r="C26" t="b">
        <v>1</v>
      </c>
      <c r="D26">
        <v>8083</v>
      </c>
      <c r="E26">
        <v>8134</v>
      </c>
      <c r="F26">
        <v>35</v>
      </c>
      <c r="G26">
        <v>22.2</v>
      </c>
      <c r="H26">
        <v>1.5765765</v>
      </c>
      <c r="I26">
        <v>-0.57657652999999998</v>
      </c>
      <c r="J26">
        <v>0.38811190000000001</v>
      </c>
    </row>
    <row r="27" spans="1:10" x14ac:dyDescent="0.3">
      <c r="A27">
        <v>25</v>
      </c>
      <c r="B27">
        <v>418</v>
      </c>
      <c r="C27" t="b">
        <v>1</v>
      </c>
      <c r="D27">
        <v>8083</v>
      </c>
      <c r="E27">
        <v>8134</v>
      </c>
      <c r="F27">
        <v>35.4</v>
      </c>
      <c r="G27">
        <v>22.2</v>
      </c>
      <c r="H27">
        <v>1.5945946</v>
      </c>
      <c r="I27">
        <v>-0.59459459999999997</v>
      </c>
      <c r="J27">
        <v>0.38541666000000002</v>
      </c>
    </row>
    <row r="28" spans="1:10" x14ac:dyDescent="0.3">
      <c r="A28">
        <v>26</v>
      </c>
      <c r="B28">
        <v>434</v>
      </c>
      <c r="C28" t="b">
        <v>1</v>
      </c>
      <c r="D28">
        <v>8083</v>
      </c>
      <c r="E28">
        <v>8134</v>
      </c>
      <c r="F28">
        <v>36.200000000000003</v>
      </c>
      <c r="G28">
        <v>22.2</v>
      </c>
      <c r="H28">
        <v>1.6306305999999999</v>
      </c>
      <c r="I28">
        <v>-0.63063060000000004</v>
      </c>
      <c r="J28">
        <v>0.380137</v>
      </c>
    </row>
    <row r="29" spans="1:10" x14ac:dyDescent="0.3">
      <c r="A29">
        <v>27</v>
      </c>
      <c r="B29">
        <v>449</v>
      </c>
      <c r="C29" t="b">
        <v>1</v>
      </c>
      <c r="D29">
        <v>8077</v>
      </c>
      <c r="E29">
        <v>8134</v>
      </c>
      <c r="F29">
        <v>37</v>
      </c>
      <c r="G29">
        <v>21.8</v>
      </c>
      <c r="H29">
        <v>1.6972476999999999</v>
      </c>
      <c r="I29">
        <v>-0.69724774</v>
      </c>
      <c r="J29">
        <v>0.37074827999999999</v>
      </c>
    </row>
    <row r="30" spans="1:10" x14ac:dyDescent="0.3">
      <c r="A30">
        <v>28</v>
      </c>
      <c r="B30">
        <v>465</v>
      </c>
      <c r="C30" t="b">
        <v>1</v>
      </c>
      <c r="D30">
        <v>8071</v>
      </c>
      <c r="E30">
        <v>8134</v>
      </c>
      <c r="F30">
        <v>37.4</v>
      </c>
      <c r="G30">
        <v>21.4</v>
      </c>
      <c r="H30">
        <v>1.7476636000000001</v>
      </c>
      <c r="I30">
        <v>-0.74766370000000004</v>
      </c>
      <c r="J30">
        <v>0.36394554000000001</v>
      </c>
    </row>
    <row r="31" spans="1:10" x14ac:dyDescent="0.3">
      <c r="A31">
        <v>29</v>
      </c>
      <c r="B31">
        <v>481</v>
      </c>
      <c r="C31" t="b">
        <v>1</v>
      </c>
      <c r="D31">
        <v>8077</v>
      </c>
      <c r="E31">
        <v>8129</v>
      </c>
      <c r="F31">
        <v>37.4</v>
      </c>
      <c r="G31">
        <v>21</v>
      </c>
      <c r="H31">
        <v>1.7809524999999999</v>
      </c>
      <c r="I31">
        <v>-0.78095245000000002</v>
      </c>
      <c r="J31">
        <v>0.35958904000000003</v>
      </c>
    </row>
    <row r="32" spans="1:10" x14ac:dyDescent="0.3">
      <c r="A32">
        <v>30</v>
      </c>
      <c r="B32">
        <v>497</v>
      </c>
      <c r="C32" t="b">
        <v>1</v>
      </c>
      <c r="D32">
        <v>8071</v>
      </c>
      <c r="E32">
        <v>8134</v>
      </c>
      <c r="F32">
        <v>37.4</v>
      </c>
      <c r="G32">
        <v>20.6</v>
      </c>
      <c r="H32">
        <v>1.815534</v>
      </c>
      <c r="I32">
        <v>-0.81553399999999998</v>
      </c>
      <c r="J32">
        <v>0.35517242999999998</v>
      </c>
    </row>
    <row r="33" spans="1:10" x14ac:dyDescent="0.3">
      <c r="A33">
        <v>31</v>
      </c>
      <c r="B33">
        <v>513</v>
      </c>
      <c r="C33" t="b">
        <v>1</v>
      </c>
      <c r="D33">
        <v>8083</v>
      </c>
      <c r="E33">
        <v>8134</v>
      </c>
      <c r="F33">
        <v>37.4</v>
      </c>
      <c r="G33">
        <v>20.2</v>
      </c>
      <c r="H33">
        <v>1.8514851000000001</v>
      </c>
      <c r="I33">
        <v>-0.85148513000000003</v>
      </c>
      <c r="J33">
        <v>0.35069444999999999</v>
      </c>
    </row>
    <row r="34" spans="1:10" x14ac:dyDescent="0.3">
      <c r="A34">
        <v>32</v>
      </c>
      <c r="B34">
        <v>529</v>
      </c>
      <c r="C34" t="b">
        <v>1</v>
      </c>
      <c r="D34">
        <v>8077</v>
      </c>
      <c r="E34">
        <v>8134</v>
      </c>
      <c r="F34">
        <v>37.4</v>
      </c>
      <c r="G34">
        <v>19.8</v>
      </c>
      <c r="H34">
        <v>1.8888891000000001</v>
      </c>
      <c r="I34">
        <v>-0.88888900000000004</v>
      </c>
      <c r="J34">
        <v>0.34615383</v>
      </c>
    </row>
    <row r="35" spans="1:10" x14ac:dyDescent="0.3">
      <c r="A35">
        <v>33</v>
      </c>
      <c r="B35">
        <v>545</v>
      </c>
      <c r="C35" t="b">
        <v>1</v>
      </c>
      <c r="D35">
        <v>8077</v>
      </c>
      <c r="E35">
        <v>8134</v>
      </c>
      <c r="F35">
        <v>37.4</v>
      </c>
      <c r="G35">
        <v>19.399999999999999</v>
      </c>
      <c r="H35">
        <v>1.9278352000000001</v>
      </c>
      <c r="I35">
        <v>-0.92783517000000004</v>
      </c>
      <c r="J35">
        <v>0.34154928000000001</v>
      </c>
    </row>
    <row r="36" spans="1:10" x14ac:dyDescent="0.3">
      <c r="A36">
        <v>34</v>
      </c>
      <c r="B36">
        <v>560</v>
      </c>
      <c r="C36" t="b">
        <v>1</v>
      </c>
      <c r="D36">
        <v>8071</v>
      </c>
      <c r="E36">
        <v>8134</v>
      </c>
      <c r="F36">
        <v>37.4</v>
      </c>
      <c r="G36">
        <v>19</v>
      </c>
      <c r="H36">
        <v>1.9684211</v>
      </c>
      <c r="I36">
        <v>-0.96842116</v>
      </c>
      <c r="J36">
        <v>0.33687942999999998</v>
      </c>
    </row>
    <row r="37" spans="1:10" x14ac:dyDescent="0.3">
      <c r="A37">
        <v>35</v>
      </c>
      <c r="B37">
        <v>577</v>
      </c>
      <c r="C37" t="b">
        <v>1</v>
      </c>
      <c r="D37">
        <v>8071</v>
      </c>
      <c r="E37">
        <v>8146</v>
      </c>
      <c r="F37">
        <v>37.4</v>
      </c>
      <c r="G37">
        <v>19</v>
      </c>
      <c r="H37">
        <v>1.9684211</v>
      </c>
      <c r="I37">
        <v>-0.96842116</v>
      </c>
      <c r="J37">
        <v>0.33687942999999998</v>
      </c>
    </row>
    <row r="38" spans="1:10" x14ac:dyDescent="0.3">
      <c r="A38">
        <v>36</v>
      </c>
      <c r="B38">
        <v>593</v>
      </c>
      <c r="C38" t="b">
        <v>1</v>
      </c>
      <c r="D38">
        <v>8071</v>
      </c>
      <c r="E38">
        <v>8140</v>
      </c>
      <c r="F38">
        <v>37</v>
      </c>
      <c r="G38">
        <v>19</v>
      </c>
      <c r="H38">
        <v>1.9473684</v>
      </c>
      <c r="I38">
        <v>-0.94736843999999998</v>
      </c>
      <c r="J38">
        <v>0.33928570000000002</v>
      </c>
    </row>
    <row r="39" spans="1:10" x14ac:dyDescent="0.3">
      <c r="A39">
        <v>37</v>
      </c>
      <c r="B39">
        <v>608</v>
      </c>
      <c r="C39" t="b">
        <v>1</v>
      </c>
      <c r="D39">
        <v>8077</v>
      </c>
      <c r="E39">
        <v>8140</v>
      </c>
      <c r="F39">
        <v>36.6</v>
      </c>
      <c r="G39">
        <v>19.399999999999999</v>
      </c>
      <c r="H39">
        <v>1.8865978999999999</v>
      </c>
      <c r="I39">
        <v>-0.88659790000000005</v>
      </c>
      <c r="J39">
        <v>0.34642856999999999</v>
      </c>
    </row>
    <row r="40" spans="1:10" x14ac:dyDescent="0.3">
      <c r="A40">
        <v>38</v>
      </c>
      <c r="B40">
        <v>624</v>
      </c>
      <c r="C40" t="b">
        <v>1</v>
      </c>
      <c r="D40">
        <v>8077</v>
      </c>
      <c r="E40">
        <v>8146</v>
      </c>
      <c r="F40">
        <v>36.6</v>
      </c>
      <c r="G40">
        <v>19.8</v>
      </c>
      <c r="H40">
        <v>1.8484849000000001</v>
      </c>
      <c r="I40">
        <v>-0.84848480000000004</v>
      </c>
      <c r="J40">
        <v>0.35106382000000003</v>
      </c>
    </row>
    <row r="41" spans="1:10" x14ac:dyDescent="0.3">
      <c r="A41">
        <v>39</v>
      </c>
      <c r="B41">
        <v>640</v>
      </c>
      <c r="C41" t="b">
        <v>1</v>
      </c>
      <c r="D41">
        <v>8071</v>
      </c>
      <c r="E41">
        <v>8140</v>
      </c>
      <c r="F41">
        <v>36.6</v>
      </c>
      <c r="G41">
        <v>20.2</v>
      </c>
      <c r="H41">
        <v>1.8118810999999999</v>
      </c>
      <c r="I41">
        <v>-0.81188106999999998</v>
      </c>
      <c r="J41">
        <v>0.35563382999999998</v>
      </c>
    </row>
    <row r="42" spans="1:10" x14ac:dyDescent="0.3">
      <c r="A42">
        <v>40</v>
      </c>
      <c r="B42">
        <v>656</v>
      </c>
      <c r="C42" t="b">
        <v>1</v>
      </c>
      <c r="D42">
        <v>8077</v>
      </c>
      <c r="E42">
        <v>8134</v>
      </c>
      <c r="F42">
        <v>36.6</v>
      </c>
      <c r="G42">
        <v>20.6</v>
      </c>
      <c r="H42">
        <v>1.776699</v>
      </c>
      <c r="I42">
        <v>-0.77669895</v>
      </c>
      <c r="J42">
        <v>0.36013988000000002</v>
      </c>
    </row>
    <row r="43" spans="1:10" x14ac:dyDescent="0.3">
      <c r="A43">
        <v>41</v>
      </c>
      <c r="B43">
        <v>672</v>
      </c>
      <c r="C43" t="b">
        <v>1</v>
      </c>
      <c r="D43">
        <v>8077</v>
      </c>
      <c r="E43">
        <v>8134</v>
      </c>
      <c r="F43">
        <v>36.200000000000003</v>
      </c>
      <c r="G43">
        <v>21</v>
      </c>
      <c r="H43">
        <v>1.7238096000000001</v>
      </c>
      <c r="I43">
        <v>-0.72380953999999997</v>
      </c>
      <c r="J43">
        <v>0.36713287</v>
      </c>
    </row>
    <row r="44" spans="1:10" x14ac:dyDescent="0.3">
      <c r="A44">
        <v>42</v>
      </c>
      <c r="B44">
        <v>688</v>
      </c>
      <c r="C44" t="b">
        <v>1</v>
      </c>
      <c r="D44">
        <v>8071</v>
      </c>
      <c r="E44">
        <v>8134</v>
      </c>
      <c r="F44">
        <v>35.799999999999997</v>
      </c>
      <c r="G44">
        <v>21</v>
      </c>
      <c r="H44">
        <v>1.7047619000000001</v>
      </c>
      <c r="I44">
        <v>-0.70476185999999996</v>
      </c>
      <c r="J44">
        <v>0.3697183</v>
      </c>
    </row>
    <row r="45" spans="1:10" x14ac:dyDescent="0.3">
      <c r="A45">
        <v>43</v>
      </c>
      <c r="B45">
        <v>704</v>
      </c>
      <c r="C45" t="b">
        <v>1</v>
      </c>
      <c r="D45">
        <v>8071</v>
      </c>
      <c r="E45">
        <v>8134</v>
      </c>
      <c r="F45">
        <v>35</v>
      </c>
      <c r="G45">
        <v>21</v>
      </c>
      <c r="H45">
        <v>1.6666666000000001</v>
      </c>
      <c r="I45">
        <v>-0.66666669999999995</v>
      </c>
      <c r="J45">
        <v>0.375</v>
      </c>
    </row>
    <row r="46" spans="1:10" x14ac:dyDescent="0.3">
      <c r="A46">
        <v>44</v>
      </c>
      <c r="B46">
        <v>720</v>
      </c>
      <c r="C46" t="b">
        <v>1</v>
      </c>
      <c r="D46">
        <v>8065</v>
      </c>
      <c r="E46">
        <v>8134</v>
      </c>
      <c r="F46">
        <v>34.6</v>
      </c>
      <c r="G46">
        <v>21</v>
      </c>
      <c r="H46">
        <v>1.6476189999999999</v>
      </c>
      <c r="I46">
        <v>-0.64761895000000003</v>
      </c>
      <c r="J46">
        <v>0.37769786</v>
      </c>
    </row>
    <row r="47" spans="1:10" x14ac:dyDescent="0.3">
      <c r="A47">
        <v>45</v>
      </c>
      <c r="B47">
        <v>736</v>
      </c>
      <c r="C47" t="b">
        <v>1</v>
      </c>
      <c r="D47">
        <v>8071</v>
      </c>
      <c r="E47">
        <v>8134</v>
      </c>
      <c r="F47">
        <v>34.200000000000003</v>
      </c>
      <c r="G47">
        <v>21</v>
      </c>
      <c r="H47">
        <v>1.6285715000000001</v>
      </c>
      <c r="I47">
        <v>-0.62857145000000003</v>
      </c>
      <c r="J47">
        <v>0.38043477999999997</v>
      </c>
    </row>
    <row r="48" spans="1:10" x14ac:dyDescent="0.3">
      <c r="A48">
        <v>46</v>
      </c>
      <c r="B48">
        <v>752</v>
      </c>
      <c r="C48" t="b">
        <v>1</v>
      </c>
      <c r="D48">
        <v>8077</v>
      </c>
      <c r="E48">
        <v>8140</v>
      </c>
      <c r="F48">
        <v>33.799999999999997</v>
      </c>
      <c r="G48">
        <v>21</v>
      </c>
      <c r="H48">
        <v>1.6095238000000001</v>
      </c>
      <c r="I48">
        <v>-0.60952379999999995</v>
      </c>
      <c r="J48">
        <v>0.38321167</v>
      </c>
    </row>
    <row r="49" spans="1:10" x14ac:dyDescent="0.3">
      <c r="A49">
        <v>47</v>
      </c>
      <c r="B49">
        <v>768</v>
      </c>
      <c r="C49" t="b">
        <v>1</v>
      </c>
      <c r="D49">
        <v>8077</v>
      </c>
      <c r="E49">
        <v>8140</v>
      </c>
      <c r="F49">
        <v>33.4</v>
      </c>
      <c r="G49">
        <v>21</v>
      </c>
      <c r="H49">
        <v>1.5904763</v>
      </c>
      <c r="I49">
        <v>-0.59047629999999995</v>
      </c>
      <c r="J49">
        <v>0.38602940000000002</v>
      </c>
    </row>
    <row r="50" spans="1:10" x14ac:dyDescent="0.3">
      <c r="A50">
        <v>48</v>
      </c>
      <c r="B50">
        <v>783</v>
      </c>
      <c r="C50" t="b">
        <v>1</v>
      </c>
      <c r="D50">
        <v>8071</v>
      </c>
      <c r="E50">
        <v>8134</v>
      </c>
      <c r="F50">
        <v>33</v>
      </c>
      <c r="G50">
        <v>21</v>
      </c>
      <c r="H50">
        <v>1.5714284999999999</v>
      </c>
      <c r="I50">
        <v>-0.57142859999999995</v>
      </c>
      <c r="J50">
        <v>0.38888889999999998</v>
      </c>
    </row>
    <row r="51" spans="1:10" x14ac:dyDescent="0.3">
      <c r="A51">
        <v>49</v>
      </c>
      <c r="B51">
        <v>799</v>
      </c>
      <c r="C51" t="b">
        <v>1</v>
      </c>
      <c r="D51">
        <v>8077</v>
      </c>
      <c r="E51">
        <v>8134</v>
      </c>
      <c r="F51">
        <v>33</v>
      </c>
      <c r="G51">
        <v>21</v>
      </c>
      <c r="H51">
        <v>1.5714284999999999</v>
      </c>
      <c r="I51">
        <v>-0.57142859999999995</v>
      </c>
      <c r="J51">
        <v>0.38888889999999998</v>
      </c>
    </row>
    <row r="52" spans="1:10" x14ac:dyDescent="0.3">
      <c r="A52">
        <v>50</v>
      </c>
      <c r="B52">
        <v>815</v>
      </c>
      <c r="C52" t="b">
        <v>1</v>
      </c>
      <c r="D52">
        <v>8071</v>
      </c>
      <c r="E52">
        <v>8129</v>
      </c>
      <c r="F52">
        <v>33</v>
      </c>
      <c r="G52">
        <v>21</v>
      </c>
      <c r="H52">
        <v>1.5714284999999999</v>
      </c>
      <c r="I52">
        <v>-0.57142859999999995</v>
      </c>
      <c r="J52">
        <v>0.38888889999999998</v>
      </c>
    </row>
    <row r="53" spans="1:10" x14ac:dyDescent="0.3">
      <c r="A53">
        <v>51</v>
      </c>
      <c r="B53">
        <v>831</v>
      </c>
      <c r="C53" t="b">
        <v>1</v>
      </c>
      <c r="D53">
        <v>8077</v>
      </c>
      <c r="E53">
        <v>8140</v>
      </c>
      <c r="F53">
        <v>33.4</v>
      </c>
      <c r="G53">
        <v>21</v>
      </c>
      <c r="H53">
        <v>1.5904763</v>
      </c>
      <c r="I53">
        <v>-0.59047629999999995</v>
      </c>
      <c r="J53">
        <v>0.38602940000000002</v>
      </c>
    </row>
    <row r="54" spans="1:10" x14ac:dyDescent="0.3">
      <c r="A54">
        <v>52</v>
      </c>
      <c r="B54">
        <v>847</v>
      </c>
      <c r="C54" t="b">
        <v>1</v>
      </c>
      <c r="D54">
        <v>8071</v>
      </c>
      <c r="E54">
        <v>8140</v>
      </c>
      <c r="F54">
        <v>33.4</v>
      </c>
      <c r="G54">
        <v>20.6</v>
      </c>
      <c r="H54">
        <v>1.6213591999999999</v>
      </c>
      <c r="I54">
        <v>-0.62135929999999995</v>
      </c>
      <c r="J54">
        <v>0.38148149999999997</v>
      </c>
    </row>
    <row r="55" spans="1:10" x14ac:dyDescent="0.3">
      <c r="A55">
        <v>53</v>
      </c>
      <c r="B55">
        <v>863</v>
      </c>
      <c r="C55" t="b">
        <v>1</v>
      </c>
      <c r="D55">
        <v>8071</v>
      </c>
      <c r="E55">
        <v>8134</v>
      </c>
      <c r="F55">
        <v>33.4</v>
      </c>
      <c r="G55">
        <v>20.2</v>
      </c>
      <c r="H55">
        <v>1.6534654</v>
      </c>
      <c r="I55">
        <v>-0.65346532999999996</v>
      </c>
      <c r="J55">
        <v>0.37686565999999999</v>
      </c>
    </row>
    <row r="56" spans="1:10" x14ac:dyDescent="0.3">
      <c r="A56">
        <v>54</v>
      </c>
      <c r="B56">
        <v>878</v>
      </c>
      <c r="C56" t="b">
        <v>1</v>
      </c>
      <c r="D56">
        <v>8077</v>
      </c>
      <c r="E56">
        <v>8134</v>
      </c>
      <c r="F56">
        <v>33.4</v>
      </c>
      <c r="G56">
        <v>19.8</v>
      </c>
      <c r="H56">
        <v>1.6868688000000001</v>
      </c>
      <c r="I56">
        <v>-0.68686884999999998</v>
      </c>
      <c r="J56">
        <v>0.37218043000000001</v>
      </c>
    </row>
    <row r="57" spans="1:10" x14ac:dyDescent="0.3">
      <c r="A57">
        <v>55</v>
      </c>
      <c r="B57">
        <v>894</v>
      </c>
      <c r="C57" t="b">
        <v>1</v>
      </c>
      <c r="D57">
        <v>8071</v>
      </c>
      <c r="E57">
        <v>8134</v>
      </c>
      <c r="F57">
        <v>33</v>
      </c>
      <c r="G57">
        <v>19.399999999999999</v>
      </c>
      <c r="H57">
        <v>1.701031</v>
      </c>
      <c r="I57">
        <v>-0.70103097000000003</v>
      </c>
      <c r="J57">
        <v>0.37022897999999999</v>
      </c>
    </row>
    <row r="58" spans="1:10" x14ac:dyDescent="0.3">
      <c r="A58">
        <v>56</v>
      </c>
      <c r="B58">
        <v>910</v>
      </c>
      <c r="C58" t="b">
        <v>1</v>
      </c>
      <c r="D58">
        <v>8071</v>
      </c>
      <c r="E58">
        <v>8129</v>
      </c>
      <c r="F58">
        <v>32.6</v>
      </c>
      <c r="G58">
        <v>19</v>
      </c>
      <c r="H58">
        <v>1.7157894</v>
      </c>
      <c r="I58">
        <v>-0.71578940000000002</v>
      </c>
      <c r="J58">
        <v>0.36821704999999999</v>
      </c>
    </row>
    <row r="59" spans="1:10" x14ac:dyDescent="0.3">
      <c r="A59">
        <v>57</v>
      </c>
      <c r="B59">
        <v>926</v>
      </c>
      <c r="C59" t="b">
        <v>1</v>
      </c>
      <c r="D59">
        <v>8071</v>
      </c>
      <c r="E59">
        <v>8134</v>
      </c>
      <c r="F59">
        <v>32.200000000000003</v>
      </c>
      <c r="G59">
        <v>19</v>
      </c>
      <c r="H59">
        <v>1.6947368</v>
      </c>
      <c r="I59">
        <v>-0.69473689999999999</v>
      </c>
      <c r="J59">
        <v>0.37109375</v>
      </c>
    </row>
    <row r="60" spans="1:10" x14ac:dyDescent="0.3">
      <c r="A60">
        <v>58</v>
      </c>
      <c r="B60">
        <v>942</v>
      </c>
      <c r="C60" t="b">
        <v>1</v>
      </c>
      <c r="D60">
        <v>8071</v>
      </c>
      <c r="E60">
        <v>8134</v>
      </c>
      <c r="F60">
        <v>32.200000000000003</v>
      </c>
      <c r="G60">
        <v>19</v>
      </c>
      <c r="H60">
        <v>1.6947368</v>
      </c>
      <c r="I60">
        <v>-0.69473689999999999</v>
      </c>
      <c r="J60">
        <v>0.37109375</v>
      </c>
    </row>
    <row r="61" spans="1:10" x14ac:dyDescent="0.3">
      <c r="A61">
        <v>59</v>
      </c>
      <c r="B61">
        <v>958</v>
      </c>
      <c r="C61" t="b">
        <v>1</v>
      </c>
      <c r="D61">
        <v>8060</v>
      </c>
      <c r="E61">
        <v>8134</v>
      </c>
      <c r="F61">
        <v>32.200000000000003</v>
      </c>
      <c r="G61">
        <v>19</v>
      </c>
      <c r="H61">
        <v>1.6947368</v>
      </c>
      <c r="I61">
        <v>-0.69473689999999999</v>
      </c>
      <c r="J61">
        <v>0.37109375</v>
      </c>
    </row>
    <row r="62" spans="1:10" x14ac:dyDescent="0.3">
      <c r="A62">
        <v>60</v>
      </c>
      <c r="B62">
        <v>974</v>
      </c>
      <c r="C62" t="b">
        <v>1</v>
      </c>
      <c r="D62">
        <v>8060</v>
      </c>
      <c r="E62">
        <v>8129</v>
      </c>
      <c r="F62">
        <v>32.200000000000003</v>
      </c>
      <c r="G62">
        <v>19</v>
      </c>
      <c r="H62">
        <v>1.6947368</v>
      </c>
      <c r="I62">
        <v>-0.69473689999999999</v>
      </c>
      <c r="J62">
        <v>0.37109375</v>
      </c>
    </row>
    <row r="63" spans="1:10" x14ac:dyDescent="0.3">
      <c r="A63">
        <v>61</v>
      </c>
      <c r="B63">
        <v>990</v>
      </c>
      <c r="C63" t="b">
        <v>1</v>
      </c>
      <c r="D63">
        <v>8071</v>
      </c>
      <c r="E63">
        <v>8134</v>
      </c>
      <c r="F63">
        <v>32.200000000000003</v>
      </c>
      <c r="G63">
        <v>19</v>
      </c>
      <c r="H63">
        <v>1.6947368</v>
      </c>
      <c r="I63">
        <v>-0.69473689999999999</v>
      </c>
      <c r="J63">
        <v>0.37109375</v>
      </c>
    </row>
    <row r="64" spans="1:10" x14ac:dyDescent="0.3">
      <c r="A64">
        <v>62</v>
      </c>
      <c r="B64">
        <v>1006</v>
      </c>
      <c r="C64" t="b">
        <v>1</v>
      </c>
      <c r="D64">
        <v>8071</v>
      </c>
      <c r="E64">
        <v>8140</v>
      </c>
      <c r="F64">
        <v>32.200000000000003</v>
      </c>
      <c r="G64">
        <v>19</v>
      </c>
      <c r="H64">
        <v>1.6947368</v>
      </c>
      <c r="I64">
        <v>-0.69473689999999999</v>
      </c>
      <c r="J64">
        <v>0.37109375</v>
      </c>
    </row>
    <row r="65" spans="1:10" x14ac:dyDescent="0.3">
      <c r="A65">
        <v>63</v>
      </c>
      <c r="B65">
        <v>1022</v>
      </c>
      <c r="C65" t="b">
        <v>1</v>
      </c>
      <c r="D65">
        <v>8065</v>
      </c>
      <c r="E65">
        <v>8140</v>
      </c>
      <c r="F65">
        <v>31.8</v>
      </c>
      <c r="G65">
        <v>19</v>
      </c>
      <c r="H65">
        <v>1.6736841</v>
      </c>
      <c r="I65">
        <v>-0.67368419999999996</v>
      </c>
      <c r="J65">
        <v>0.37401574999999998</v>
      </c>
    </row>
    <row r="66" spans="1:10" x14ac:dyDescent="0.3">
      <c r="A66">
        <v>64</v>
      </c>
      <c r="B66">
        <v>1038</v>
      </c>
      <c r="C66" t="b">
        <v>1</v>
      </c>
      <c r="D66">
        <v>8065</v>
      </c>
      <c r="E66">
        <v>8134</v>
      </c>
      <c r="F66">
        <v>31</v>
      </c>
      <c r="G66">
        <v>19</v>
      </c>
      <c r="H66">
        <v>1.6315789000000001</v>
      </c>
      <c r="I66">
        <v>-0.63157890000000005</v>
      </c>
      <c r="J66">
        <v>0.38</v>
      </c>
    </row>
    <row r="67" spans="1:10" x14ac:dyDescent="0.3">
      <c r="A67">
        <v>65</v>
      </c>
      <c r="B67">
        <v>1054</v>
      </c>
      <c r="C67" t="b">
        <v>1</v>
      </c>
      <c r="D67">
        <v>8071</v>
      </c>
      <c r="E67">
        <v>8140</v>
      </c>
      <c r="F67">
        <v>30.6</v>
      </c>
      <c r="G67">
        <v>19.399999999999999</v>
      </c>
      <c r="H67">
        <v>1.5773196</v>
      </c>
      <c r="I67">
        <v>-0.57731960000000004</v>
      </c>
      <c r="J67">
        <v>0.38799998000000002</v>
      </c>
    </row>
    <row r="68" spans="1:10" x14ac:dyDescent="0.3">
      <c r="A68">
        <v>66</v>
      </c>
      <c r="B68">
        <v>1069</v>
      </c>
      <c r="C68" t="b">
        <v>1</v>
      </c>
      <c r="D68">
        <v>8071</v>
      </c>
      <c r="E68">
        <v>8134</v>
      </c>
      <c r="F68">
        <v>30.2</v>
      </c>
      <c r="G68">
        <v>19.8</v>
      </c>
      <c r="H68">
        <v>1.5252526</v>
      </c>
      <c r="I68">
        <v>-0.52525264000000005</v>
      </c>
      <c r="J68">
        <v>0.39600000000000002</v>
      </c>
    </row>
    <row r="69" spans="1:10" x14ac:dyDescent="0.3">
      <c r="A69">
        <v>67</v>
      </c>
      <c r="B69">
        <v>1085</v>
      </c>
      <c r="C69" t="b">
        <v>1</v>
      </c>
      <c r="D69">
        <v>8077</v>
      </c>
      <c r="E69">
        <v>8134</v>
      </c>
      <c r="F69">
        <v>30.2</v>
      </c>
      <c r="G69">
        <v>19.8</v>
      </c>
      <c r="H69">
        <v>1.5252526</v>
      </c>
      <c r="I69">
        <v>-0.52525264000000005</v>
      </c>
      <c r="J69">
        <v>0.39600000000000002</v>
      </c>
    </row>
    <row r="70" spans="1:10" x14ac:dyDescent="0.3">
      <c r="A70">
        <v>68</v>
      </c>
      <c r="B70">
        <v>1101</v>
      </c>
      <c r="C70" t="b">
        <v>1</v>
      </c>
      <c r="D70">
        <v>8071</v>
      </c>
      <c r="E70">
        <v>8129</v>
      </c>
      <c r="F70">
        <v>30.2</v>
      </c>
      <c r="G70">
        <v>19.8</v>
      </c>
      <c r="H70">
        <v>1.5252526</v>
      </c>
      <c r="I70">
        <v>-0.52525264000000005</v>
      </c>
      <c r="J70">
        <v>0.39600000000000002</v>
      </c>
    </row>
    <row r="71" spans="1:10" x14ac:dyDescent="0.3">
      <c r="A71">
        <v>69</v>
      </c>
      <c r="B71">
        <v>1117</v>
      </c>
      <c r="C71" t="b">
        <v>1</v>
      </c>
      <c r="D71">
        <v>8065</v>
      </c>
      <c r="E71">
        <v>8134</v>
      </c>
      <c r="F71">
        <v>30.2</v>
      </c>
      <c r="G71">
        <v>19.8</v>
      </c>
      <c r="H71">
        <v>1.5252526</v>
      </c>
      <c r="I71">
        <v>-0.52525264000000005</v>
      </c>
      <c r="J71">
        <v>0.39600000000000002</v>
      </c>
    </row>
    <row r="72" spans="1:10" x14ac:dyDescent="0.3">
      <c r="A72">
        <v>70</v>
      </c>
      <c r="B72">
        <v>1133</v>
      </c>
      <c r="C72" t="b">
        <v>1</v>
      </c>
      <c r="D72">
        <v>8060</v>
      </c>
      <c r="E72">
        <v>8134</v>
      </c>
      <c r="F72">
        <v>30.2</v>
      </c>
      <c r="G72">
        <v>19.8</v>
      </c>
      <c r="H72">
        <v>1.5252526</v>
      </c>
      <c r="I72">
        <v>-0.52525264000000005</v>
      </c>
      <c r="J72">
        <v>0.39600000000000002</v>
      </c>
    </row>
    <row r="73" spans="1:10" x14ac:dyDescent="0.3">
      <c r="A73">
        <v>71</v>
      </c>
      <c r="B73">
        <v>1149</v>
      </c>
      <c r="C73" t="b">
        <v>1</v>
      </c>
      <c r="D73">
        <v>8065</v>
      </c>
      <c r="E73">
        <v>8134</v>
      </c>
      <c r="F73">
        <v>29.8</v>
      </c>
      <c r="G73">
        <v>19.8</v>
      </c>
      <c r="H73">
        <v>1.5050505000000001</v>
      </c>
      <c r="I73">
        <v>-0.50505054000000005</v>
      </c>
      <c r="J73">
        <v>0.39919356</v>
      </c>
    </row>
    <row r="74" spans="1:10" x14ac:dyDescent="0.3">
      <c r="A74">
        <v>72</v>
      </c>
      <c r="B74">
        <v>1165</v>
      </c>
      <c r="C74" t="b">
        <v>1</v>
      </c>
      <c r="D74">
        <v>8071</v>
      </c>
      <c r="E74">
        <v>8134</v>
      </c>
      <c r="F74">
        <v>29.4</v>
      </c>
      <c r="G74">
        <v>19.8</v>
      </c>
      <c r="H74">
        <v>1.4848485</v>
      </c>
      <c r="I74">
        <v>-0.48484853</v>
      </c>
      <c r="J74">
        <v>0.40243902999999998</v>
      </c>
    </row>
    <row r="75" spans="1:10" x14ac:dyDescent="0.3">
      <c r="A75">
        <v>73</v>
      </c>
      <c r="B75">
        <v>1181</v>
      </c>
      <c r="C75" t="b">
        <v>1</v>
      </c>
      <c r="D75">
        <v>8071</v>
      </c>
      <c r="E75">
        <v>8134</v>
      </c>
      <c r="F75">
        <v>29</v>
      </c>
      <c r="G75">
        <v>19.8</v>
      </c>
      <c r="H75">
        <v>1.4646466</v>
      </c>
      <c r="I75">
        <v>-0.46464652000000001</v>
      </c>
      <c r="J75">
        <v>0.40573769999999998</v>
      </c>
    </row>
    <row r="76" spans="1:10" x14ac:dyDescent="0.3">
      <c r="A76">
        <v>74</v>
      </c>
      <c r="B76">
        <v>1197</v>
      </c>
      <c r="C76" t="b">
        <v>1</v>
      </c>
      <c r="D76">
        <v>8071</v>
      </c>
      <c r="E76">
        <v>8134</v>
      </c>
      <c r="F76">
        <v>29</v>
      </c>
      <c r="G76">
        <v>19.8</v>
      </c>
      <c r="H76">
        <v>1.4646466</v>
      </c>
      <c r="I76">
        <v>-0.46464652000000001</v>
      </c>
      <c r="J76">
        <v>0.40573769999999998</v>
      </c>
    </row>
    <row r="77" spans="1:10" x14ac:dyDescent="0.3">
      <c r="A77">
        <v>75</v>
      </c>
      <c r="B77">
        <v>1213</v>
      </c>
      <c r="C77" t="b">
        <v>1</v>
      </c>
      <c r="D77">
        <v>8071</v>
      </c>
      <c r="E77">
        <v>8134</v>
      </c>
      <c r="F77">
        <v>29</v>
      </c>
      <c r="G77">
        <v>19.8</v>
      </c>
      <c r="H77">
        <v>1.4646466</v>
      </c>
      <c r="I77">
        <v>-0.46464652000000001</v>
      </c>
      <c r="J77">
        <v>0.40573769999999998</v>
      </c>
    </row>
    <row r="78" spans="1:10" x14ac:dyDescent="0.3">
      <c r="A78">
        <v>76</v>
      </c>
      <c r="B78">
        <v>1229</v>
      </c>
      <c r="C78" t="b">
        <v>1</v>
      </c>
      <c r="D78">
        <v>8071</v>
      </c>
      <c r="E78">
        <v>8134</v>
      </c>
      <c r="F78">
        <v>29</v>
      </c>
      <c r="G78">
        <v>19.8</v>
      </c>
      <c r="H78">
        <v>1.4646466</v>
      </c>
      <c r="I78">
        <v>-0.46464652000000001</v>
      </c>
      <c r="J78">
        <v>0.40573769999999998</v>
      </c>
    </row>
    <row r="79" spans="1:10" x14ac:dyDescent="0.3">
      <c r="A79">
        <v>77</v>
      </c>
      <c r="B79">
        <v>1244</v>
      </c>
      <c r="C79" t="b">
        <v>1</v>
      </c>
      <c r="D79">
        <v>8083</v>
      </c>
      <c r="E79">
        <v>8134</v>
      </c>
      <c r="F79">
        <v>29</v>
      </c>
      <c r="G79">
        <v>19.8</v>
      </c>
      <c r="H79">
        <v>1.4646466</v>
      </c>
      <c r="I79">
        <v>-0.46464652000000001</v>
      </c>
      <c r="J79">
        <v>0.40573769999999998</v>
      </c>
    </row>
    <row r="80" spans="1:10" x14ac:dyDescent="0.3">
      <c r="A80">
        <v>78</v>
      </c>
      <c r="B80">
        <v>1260</v>
      </c>
      <c r="C80" t="b">
        <v>1</v>
      </c>
      <c r="D80">
        <v>8071</v>
      </c>
      <c r="E80">
        <v>8134</v>
      </c>
      <c r="F80">
        <v>29.4</v>
      </c>
      <c r="G80">
        <v>19.8</v>
      </c>
      <c r="H80">
        <v>1.4848485</v>
      </c>
      <c r="I80">
        <v>-0.48484853</v>
      </c>
      <c r="J80">
        <v>0.40243902999999998</v>
      </c>
    </row>
    <row r="81" spans="1:10" x14ac:dyDescent="0.3">
      <c r="A81">
        <v>79</v>
      </c>
      <c r="B81">
        <v>1276</v>
      </c>
      <c r="C81" t="b">
        <v>1</v>
      </c>
      <c r="D81">
        <v>8077</v>
      </c>
      <c r="E81">
        <v>8134</v>
      </c>
      <c r="F81">
        <v>29.8</v>
      </c>
      <c r="G81">
        <v>19.8</v>
      </c>
      <c r="H81">
        <v>1.5050505000000001</v>
      </c>
      <c r="I81">
        <v>-0.50505054000000005</v>
      </c>
      <c r="J81">
        <v>0.39919356</v>
      </c>
    </row>
    <row r="82" spans="1:10" x14ac:dyDescent="0.3">
      <c r="A82">
        <v>80</v>
      </c>
      <c r="B82">
        <v>1292</v>
      </c>
      <c r="C82" t="b">
        <v>1</v>
      </c>
      <c r="D82">
        <v>8071</v>
      </c>
      <c r="E82">
        <v>8140</v>
      </c>
      <c r="F82">
        <v>29.8</v>
      </c>
      <c r="G82">
        <v>19.399999999999999</v>
      </c>
      <c r="H82">
        <v>1.5360825</v>
      </c>
      <c r="I82">
        <v>-0.53608244999999999</v>
      </c>
      <c r="J82">
        <v>0.39430894999999999</v>
      </c>
    </row>
    <row r="83" spans="1:10" x14ac:dyDescent="0.3">
      <c r="A83">
        <v>81</v>
      </c>
      <c r="B83">
        <v>1308</v>
      </c>
      <c r="C83" t="b">
        <v>1</v>
      </c>
      <c r="D83">
        <v>8065</v>
      </c>
      <c r="E83">
        <v>8134</v>
      </c>
      <c r="F83">
        <v>29.8</v>
      </c>
      <c r="G83">
        <v>19</v>
      </c>
      <c r="H83">
        <v>1.5684210000000001</v>
      </c>
      <c r="I83">
        <v>-0.56842099999999995</v>
      </c>
      <c r="J83">
        <v>0.38934426999999999</v>
      </c>
    </row>
    <row r="84" spans="1:10" x14ac:dyDescent="0.3">
      <c r="A84">
        <v>82</v>
      </c>
      <c r="B84">
        <v>1324</v>
      </c>
      <c r="C84" t="b">
        <v>1</v>
      </c>
      <c r="D84">
        <v>8060</v>
      </c>
      <c r="E84">
        <v>8129</v>
      </c>
      <c r="F84">
        <v>29.8</v>
      </c>
      <c r="G84">
        <v>19</v>
      </c>
      <c r="H84">
        <v>1.5684210000000001</v>
      </c>
      <c r="I84">
        <v>-0.56842099999999995</v>
      </c>
      <c r="J84">
        <v>0.38934426999999999</v>
      </c>
    </row>
    <row r="85" spans="1:10" x14ac:dyDescent="0.3">
      <c r="A85">
        <v>83</v>
      </c>
      <c r="B85">
        <v>1340</v>
      </c>
      <c r="C85" t="b">
        <v>1</v>
      </c>
      <c r="D85">
        <v>8065</v>
      </c>
      <c r="E85">
        <v>8140</v>
      </c>
      <c r="F85">
        <v>29.4</v>
      </c>
      <c r="G85">
        <v>19</v>
      </c>
      <c r="H85">
        <v>1.5473684000000001</v>
      </c>
      <c r="I85">
        <v>-0.54736839999999998</v>
      </c>
      <c r="J85">
        <v>0.39256196999999998</v>
      </c>
    </row>
    <row r="86" spans="1:10" x14ac:dyDescent="0.3">
      <c r="A86">
        <v>84</v>
      </c>
      <c r="B86">
        <v>1356</v>
      </c>
      <c r="C86" t="b">
        <v>1</v>
      </c>
      <c r="D86">
        <v>8065</v>
      </c>
      <c r="E86">
        <v>8140</v>
      </c>
      <c r="F86">
        <v>29</v>
      </c>
      <c r="G86">
        <v>19.399999999999999</v>
      </c>
      <c r="H86">
        <v>1.4948454</v>
      </c>
      <c r="I86">
        <v>-0.49484539999999999</v>
      </c>
      <c r="J86">
        <v>0.40082642000000002</v>
      </c>
    </row>
    <row r="87" spans="1:10" x14ac:dyDescent="0.3">
      <c r="A87">
        <v>85</v>
      </c>
      <c r="B87">
        <v>1371</v>
      </c>
      <c r="C87" t="b">
        <v>1</v>
      </c>
      <c r="D87">
        <v>8065</v>
      </c>
      <c r="E87">
        <v>8140</v>
      </c>
      <c r="F87">
        <v>28.6</v>
      </c>
      <c r="G87">
        <v>19.8</v>
      </c>
      <c r="H87">
        <v>1.4444444999999999</v>
      </c>
      <c r="I87">
        <v>-0.44444450000000002</v>
      </c>
      <c r="J87">
        <v>0.40909087999999999</v>
      </c>
    </row>
    <row r="88" spans="1:10" x14ac:dyDescent="0.3">
      <c r="A88">
        <v>86</v>
      </c>
      <c r="B88">
        <v>1388</v>
      </c>
      <c r="C88" t="b">
        <v>1</v>
      </c>
      <c r="D88">
        <v>8071</v>
      </c>
      <c r="E88">
        <v>8140</v>
      </c>
      <c r="F88">
        <v>28.6</v>
      </c>
      <c r="G88">
        <v>20.2</v>
      </c>
      <c r="H88">
        <v>1.4158416</v>
      </c>
      <c r="I88">
        <v>-0.41584155</v>
      </c>
      <c r="J88">
        <v>0.41393439999999998</v>
      </c>
    </row>
    <row r="89" spans="1:10" x14ac:dyDescent="0.3">
      <c r="A89">
        <v>87</v>
      </c>
      <c r="B89">
        <v>1403</v>
      </c>
      <c r="C89" t="b">
        <v>1</v>
      </c>
      <c r="D89">
        <v>8077</v>
      </c>
      <c r="E89">
        <v>8146</v>
      </c>
      <c r="F89">
        <v>28.6</v>
      </c>
      <c r="G89">
        <v>20.6</v>
      </c>
      <c r="H89">
        <v>1.3883494999999999</v>
      </c>
      <c r="I89">
        <v>-0.38834950000000001</v>
      </c>
      <c r="J89">
        <v>0.41869918</v>
      </c>
    </row>
    <row r="90" spans="1:10" x14ac:dyDescent="0.3">
      <c r="A90">
        <v>88</v>
      </c>
      <c r="B90">
        <v>1419</v>
      </c>
      <c r="C90" t="b">
        <v>1</v>
      </c>
      <c r="D90">
        <v>8071</v>
      </c>
      <c r="E90">
        <v>8140</v>
      </c>
      <c r="F90">
        <v>29</v>
      </c>
      <c r="G90">
        <v>21</v>
      </c>
      <c r="H90">
        <v>1.3809524</v>
      </c>
      <c r="I90">
        <v>-0.38095240000000002</v>
      </c>
      <c r="J90">
        <v>0.42</v>
      </c>
    </row>
    <row r="91" spans="1:10" x14ac:dyDescent="0.3">
      <c r="A91">
        <v>89</v>
      </c>
      <c r="B91">
        <v>1436</v>
      </c>
      <c r="C91" t="b">
        <v>1</v>
      </c>
      <c r="D91">
        <v>8065</v>
      </c>
      <c r="E91">
        <v>8140</v>
      </c>
      <c r="F91">
        <v>29</v>
      </c>
      <c r="G91">
        <v>21.4</v>
      </c>
      <c r="H91">
        <v>1.3551401999999999</v>
      </c>
      <c r="I91">
        <v>-0.35514020000000002</v>
      </c>
      <c r="J91">
        <v>0.42460315999999998</v>
      </c>
    </row>
    <row r="92" spans="1:10" x14ac:dyDescent="0.3">
      <c r="A92">
        <v>90</v>
      </c>
      <c r="B92">
        <v>1451</v>
      </c>
      <c r="C92" t="b">
        <v>1</v>
      </c>
      <c r="D92">
        <v>8088</v>
      </c>
      <c r="E92">
        <v>8146</v>
      </c>
      <c r="F92">
        <v>29</v>
      </c>
      <c r="G92">
        <v>21.8</v>
      </c>
      <c r="H92">
        <v>1.3302753</v>
      </c>
      <c r="I92">
        <v>-0.33027527000000001</v>
      </c>
      <c r="J92">
        <v>0.42913385999999998</v>
      </c>
    </row>
    <row r="93" spans="1:10" x14ac:dyDescent="0.3">
      <c r="A93">
        <v>91</v>
      </c>
      <c r="B93">
        <v>1467</v>
      </c>
      <c r="C93" t="b">
        <v>1</v>
      </c>
      <c r="D93">
        <v>8071</v>
      </c>
      <c r="E93">
        <v>8140</v>
      </c>
      <c r="F93">
        <v>29</v>
      </c>
      <c r="G93">
        <v>22.2</v>
      </c>
      <c r="H93">
        <v>1.3063062000000001</v>
      </c>
      <c r="I93">
        <v>-0.30630626999999999</v>
      </c>
      <c r="J93">
        <v>0.43359375</v>
      </c>
    </row>
    <row r="94" spans="1:10" x14ac:dyDescent="0.3">
      <c r="A94">
        <v>92</v>
      </c>
      <c r="B94">
        <v>1483</v>
      </c>
      <c r="C94" t="b">
        <v>1</v>
      </c>
      <c r="D94">
        <v>8065</v>
      </c>
      <c r="E94">
        <v>8140</v>
      </c>
      <c r="F94">
        <v>29</v>
      </c>
      <c r="G94">
        <v>22.6</v>
      </c>
      <c r="H94">
        <v>1.2831858</v>
      </c>
      <c r="I94">
        <v>-0.28318579999999999</v>
      </c>
      <c r="J94">
        <v>0.43798452999999998</v>
      </c>
    </row>
    <row r="95" spans="1:10" x14ac:dyDescent="0.3">
      <c r="A95">
        <v>93</v>
      </c>
      <c r="B95">
        <v>1499</v>
      </c>
      <c r="C95" t="b">
        <v>1</v>
      </c>
      <c r="D95">
        <v>8077</v>
      </c>
      <c r="E95">
        <v>8140</v>
      </c>
      <c r="F95">
        <v>29</v>
      </c>
      <c r="G95">
        <v>23</v>
      </c>
      <c r="H95">
        <v>1.2608695999999999</v>
      </c>
      <c r="I95">
        <v>-0.26086956</v>
      </c>
      <c r="J95">
        <v>0.44230767999999998</v>
      </c>
    </row>
    <row r="96" spans="1:10" x14ac:dyDescent="0.3">
      <c r="A96">
        <v>94</v>
      </c>
      <c r="B96">
        <v>1514</v>
      </c>
      <c r="C96" t="b">
        <v>1</v>
      </c>
      <c r="D96">
        <v>8071</v>
      </c>
      <c r="E96">
        <v>8140</v>
      </c>
      <c r="F96">
        <v>29</v>
      </c>
      <c r="G96">
        <v>23.4</v>
      </c>
      <c r="H96">
        <v>1.2393162</v>
      </c>
      <c r="I96">
        <v>-0.23931625000000001</v>
      </c>
      <c r="J96">
        <v>0.44656485000000001</v>
      </c>
    </row>
    <row r="97" spans="1:10" x14ac:dyDescent="0.3">
      <c r="A97">
        <v>95</v>
      </c>
      <c r="B97">
        <v>1530</v>
      </c>
      <c r="C97" t="b">
        <v>1</v>
      </c>
      <c r="D97">
        <v>8071</v>
      </c>
      <c r="E97">
        <v>8140</v>
      </c>
      <c r="F97">
        <v>29</v>
      </c>
      <c r="G97">
        <v>23.8</v>
      </c>
      <c r="H97">
        <v>1.2184874000000001</v>
      </c>
      <c r="I97">
        <v>-0.21848743000000001</v>
      </c>
      <c r="J97">
        <v>0.45075756</v>
      </c>
    </row>
    <row r="98" spans="1:10" x14ac:dyDescent="0.3">
      <c r="A98">
        <v>96</v>
      </c>
      <c r="B98">
        <v>1546</v>
      </c>
      <c r="C98" t="b">
        <v>1</v>
      </c>
      <c r="D98">
        <v>8071</v>
      </c>
      <c r="E98">
        <v>8134</v>
      </c>
      <c r="F98">
        <v>29</v>
      </c>
      <c r="G98">
        <v>24.2</v>
      </c>
      <c r="H98">
        <v>1.1983471000000001</v>
      </c>
      <c r="I98">
        <v>-0.19834708000000001</v>
      </c>
      <c r="J98">
        <v>0.45488719999999999</v>
      </c>
    </row>
    <row r="99" spans="1:10" x14ac:dyDescent="0.3">
      <c r="A99">
        <v>97</v>
      </c>
      <c r="B99">
        <v>1562</v>
      </c>
      <c r="C99" t="b">
        <v>1</v>
      </c>
      <c r="D99">
        <v>8077</v>
      </c>
      <c r="E99">
        <v>8134</v>
      </c>
      <c r="F99">
        <v>29</v>
      </c>
      <c r="G99">
        <v>24.6</v>
      </c>
      <c r="H99">
        <v>1.1788616999999999</v>
      </c>
      <c r="I99">
        <v>-0.17886177</v>
      </c>
      <c r="J99">
        <v>0.45895525999999998</v>
      </c>
    </row>
    <row r="100" spans="1:10" x14ac:dyDescent="0.3">
      <c r="A100">
        <v>98</v>
      </c>
      <c r="B100">
        <v>1578</v>
      </c>
      <c r="C100" t="b">
        <v>1</v>
      </c>
      <c r="D100">
        <v>8077</v>
      </c>
      <c r="E100">
        <v>8140</v>
      </c>
      <c r="F100">
        <v>29.4</v>
      </c>
      <c r="G100">
        <v>25</v>
      </c>
      <c r="H100">
        <v>1.1759999999999999</v>
      </c>
      <c r="I100">
        <v>-0.17599998</v>
      </c>
      <c r="J100">
        <v>0.45955879999999999</v>
      </c>
    </row>
    <row r="101" spans="1:10" x14ac:dyDescent="0.3">
      <c r="A101">
        <v>99</v>
      </c>
      <c r="B101">
        <v>1593</v>
      </c>
      <c r="C101" t="b">
        <v>1</v>
      </c>
      <c r="D101">
        <v>8077</v>
      </c>
      <c r="E101">
        <v>8134</v>
      </c>
      <c r="F101">
        <v>30.2</v>
      </c>
      <c r="G101">
        <v>24.6</v>
      </c>
      <c r="H101">
        <v>1.2276423000000001</v>
      </c>
      <c r="I101">
        <v>-0.22764228</v>
      </c>
      <c r="J101">
        <v>0.44890508000000001</v>
      </c>
    </row>
    <row r="102" spans="1:10" x14ac:dyDescent="0.3">
      <c r="A102">
        <v>100</v>
      </c>
      <c r="B102">
        <v>1609</v>
      </c>
      <c r="C102" t="b">
        <v>1</v>
      </c>
      <c r="D102">
        <v>8065</v>
      </c>
      <c r="E102">
        <v>8134</v>
      </c>
      <c r="F102">
        <v>31</v>
      </c>
      <c r="G102">
        <v>24.2</v>
      </c>
      <c r="H102">
        <v>1.2809917</v>
      </c>
      <c r="I102">
        <v>-0.28099170000000001</v>
      </c>
      <c r="J102">
        <v>0.43840580000000001</v>
      </c>
    </row>
    <row r="103" spans="1:10" x14ac:dyDescent="0.3">
      <c r="A103">
        <v>101</v>
      </c>
      <c r="B103">
        <v>1625</v>
      </c>
      <c r="C103" t="b">
        <v>1</v>
      </c>
      <c r="D103">
        <v>8077</v>
      </c>
      <c r="E103">
        <v>8134</v>
      </c>
      <c r="F103">
        <v>31.8</v>
      </c>
      <c r="G103">
        <v>23.8</v>
      </c>
      <c r="H103">
        <v>1.3361343999999999</v>
      </c>
      <c r="I103">
        <v>-0.33613446000000002</v>
      </c>
      <c r="J103">
        <v>0.42805755000000001</v>
      </c>
    </row>
    <row r="104" spans="1:10" x14ac:dyDescent="0.3">
      <c r="A104">
        <v>102</v>
      </c>
      <c r="B104">
        <v>1641</v>
      </c>
      <c r="C104" t="b">
        <v>1</v>
      </c>
      <c r="D104">
        <v>8077</v>
      </c>
      <c r="E104">
        <v>8134</v>
      </c>
      <c r="F104">
        <v>32.6</v>
      </c>
      <c r="G104">
        <v>23.4</v>
      </c>
      <c r="H104">
        <v>1.3931624</v>
      </c>
      <c r="I104">
        <v>-0.39316234</v>
      </c>
      <c r="J104">
        <v>0.41785714000000002</v>
      </c>
    </row>
    <row r="105" spans="1:10" x14ac:dyDescent="0.3">
      <c r="A105">
        <v>103</v>
      </c>
      <c r="B105">
        <v>1657</v>
      </c>
      <c r="C105" t="b">
        <v>1</v>
      </c>
      <c r="D105">
        <v>8077</v>
      </c>
      <c r="E105">
        <v>8140</v>
      </c>
      <c r="F105">
        <v>33</v>
      </c>
      <c r="G105">
        <v>23</v>
      </c>
      <c r="H105">
        <v>1.4347825999999999</v>
      </c>
      <c r="I105">
        <v>-0.43478260000000002</v>
      </c>
      <c r="J105">
        <v>0.41071429999999998</v>
      </c>
    </row>
    <row r="106" spans="1:10" x14ac:dyDescent="0.3">
      <c r="A106">
        <v>104</v>
      </c>
      <c r="B106">
        <v>1674</v>
      </c>
      <c r="C106" t="b">
        <v>1</v>
      </c>
      <c r="D106">
        <v>8071</v>
      </c>
      <c r="E106">
        <v>8134</v>
      </c>
      <c r="F106">
        <v>33.4</v>
      </c>
      <c r="G106">
        <v>22.6</v>
      </c>
      <c r="H106">
        <v>1.4778762000000001</v>
      </c>
      <c r="I106">
        <v>-0.47787615999999999</v>
      </c>
      <c r="J106">
        <v>0.40357143000000001</v>
      </c>
    </row>
    <row r="107" spans="1:10" x14ac:dyDescent="0.3">
      <c r="A107">
        <v>105</v>
      </c>
      <c r="B107">
        <v>1689</v>
      </c>
      <c r="C107" t="b">
        <v>1</v>
      </c>
      <c r="D107">
        <v>8083</v>
      </c>
      <c r="E107">
        <v>8134</v>
      </c>
      <c r="F107">
        <v>33.799999999999997</v>
      </c>
      <c r="G107">
        <v>22.2</v>
      </c>
      <c r="H107">
        <v>1.5225223999999999</v>
      </c>
      <c r="I107">
        <v>-0.52252244999999997</v>
      </c>
      <c r="J107">
        <v>0.39642859000000003</v>
      </c>
    </row>
    <row r="108" spans="1:10" x14ac:dyDescent="0.3">
      <c r="A108">
        <v>106</v>
      </c>
      <c r="B108">
        <v>1705</v>
      </c>
      <c r="C108" t="b">
        <v>1</v>
      </c>
      <c r="D108">
        <v>8065</v>
      </c>
      <c r="E108">
        <v>8140</v>
      </c>
      <c r="F108">
        <v>34.200000000000003</v>
      </c>
      <c r="G108">
        <v>21.8</v>
      </c>
      <c r="H108">
        <v>1.5688074999999999</v>
      </c>
      <c r="I108">
        <v>-0.56880739999999996</v>
      </c>
      <c r="J108">
        <v>0.38928570000000001</v>
      </c>
    </row>
    <row r="109" spans="1:10" x14ac:dyDescent="0.3">
      <c r="A109">
        <v>107</v>
      </c>
      <c r="B109">
        <v>1721</v>
      </c>
      <c r="C109" t="b">
        <v>1</v>
      </c>
      <c r="D109">
        <v>8065</v>
      </c>
      <c r="E109">
        <v>8140</v>
      </c>
      <c r="F109">
        <v>34.200000000000003</v>
      </c>
      <c r="G109">
        <v>21.8</v>
      </c>
      <c r="H109">
        <v>1.5688074999999999</v>
      </c>
      <c r="I109">
        <v>-0.56880739999999996</v>
      </c>
      <c r="J109">
        <v>0.38928570000000001</v>
      </c>
    </row>
    <row r="110" spans="1:10" x14ac:dyDescent="0.3">
      <c r="A110">
        <v>108</v>
      </c>
      <c r="B110">
        <v>1737</v>
      </c>
      <c r="C110" t="b">
        <v>1</v>
      </c>
      <c r="D110">
        <v>8071</v>
      </c>
      <c r="E110">
        <v>8129</v>
      </c>
      <c r="F110">
        <v>34.200000000000003</v>
      </c>
      <c r="G110">
        <v>21.4</v>
      </c>
      <c r="H110">
        <v>1.598131</v>
      </c>
      <c r="I110">
        <v>-0.59813090000000002</v>
      </c>
      <c r="J110">
        <v>0.38489208000000003</v>
      </c>
    </row>
    <row r="111" spans="1:10" x14ac:dyDescent="0.3">
      <c r="A111">
        <v>109</v>
      </c>
      <c r="B111">
        <v>1753</v>
      </c>
      <c r="C111" t="b">
        <v>1</v>
      </c>
      <c r="D111">
        <v>8077</v>
      </c>
      <c r="E111">
        <v>8129</v>
      </c>
      <c r="F111">
        <v>34.200000000000003</v>
      </c>
      <c r="G111">
        <v>21</v>
      </c>
      <c r="H111">
        <v>1.6285715000000001</v>
      </c>
      <c r="I111">
        <v>-0.62857145000000003</v>
      </c>
      <c r="J111">
        <v>0.38043477999999997</v>
      </c>
    </row>
    <row r="112" spans="1:10" x14ac:dyDescent="0.3">
      <c r="A112">
        <v>110</v>
      </c>
      <c r="B112">
        <v>1769</v>
      </c>
      <c r="C112" t="b">
        <v>1</v>
      </c>
      <c r="D112">
        <v>8065</v>
      </c>
      <c r="E112">
        <v>8129</v>
      </c>
      <c r="F112">
        <v>33.799999999999997</v>
      </c>
      <c r="G112">
        <v>20.266666000000001</v>
      </c>
      <c r="H112">
        <v>1.6677630999999999</v>
      </c>
      <c r="I112">
        <v>-0.66776310000000005</v>
      </c>
      <c r="J112">
        <v>0.37484585999999998</v>
      </c>
    </row>
    <row r="113" spans="1:10" x14ac:dyDescent="0.3">
      <c r="A113">
        <v>111</v>
      </c>
      <c r="B113">
        <v>1785</v>
      </c>
      <c r="C113" t="b">
        <v>1</v>
      </c>
      <c r="D113">
        <v>8071</v>
      </c>
      <c r="E113">
        <v>8134</v>
      </c>
      <c r="F113">
        <v>33.799999999999997</v>
      </c>
      <c r="G113">
        <v>19.533332999999999</v>
      </c>
      <c r="H113">
        <v>1.7303754</v>
      </c>
      <c r="I113">
        <v>-0.73037540000000001</v>
      </c>
      <c r="J113">
        <v>0.36625000000000002</v>
      </c>
    </row>
    <row r="114" spans="1:10" x14ac:dyDescent="0.3">
      <c r="A114">
        <v>112</v>
      </c>
      <c r="B114">
        <v>1801</v>
      </c>
      <c r="C114" t="b">
        <v>1</v>
      </c>
      <c r="D114">
        <v>8071</v>
      </c>
      <c r="E114">
        <v>8134</v>
      </c>
      <c r="F114">
        <v>33.799999999999997</v>
      </c>
      <c r="G114">
        <v>18.8</v>
      </c>
      <c r="H114">
        <v>1.7978723999999999</v>
      </c>
      <c r="I114">
        <v>-0.79787235999999995</v>
      </c>
      <c r="J114">
        <v>0.35741444999999999</v>
      </c>
    </row>
    <row r="115" spans="1:10" x14ac:dyDescent="0.3">
      <c r="A115">
        <v>113</v>
      </c>
      <c r="B115">
        <v>1816</v>
      </c>
      <c r="C115" t="b">
        <v>1</v>
      </c>
      <c r="D115">
        <v>8065</v>
      </c>
      <c r="E115">
        <v>8134</v>
      </c>
      <c r="F115">
        <v>33.799999999999997</v>
      </c>
      <c r="G115">
        <v>18.399999999999999</v>
      </c>
      <c r="H115">
        <v>1.8369565000000001</v>
      </c>
      <c r="I115">
        <v>-0.83695649999999999</v>
      </c>
      <c r="J115">
        <v>0.35249043000000002</v>
      </c>
    </row>
    <row r="116" spans="1:10" x14ac:dyDescent="0.3">
      <c r="A116">
        <v>114</v>
      </c>
      <c r="B116">
        <v>1832</v>
      </c>
      <c r="C116" t="b">
        <v>1</v>
      </c>
      <c r="D116">
        <v>8071</v>
      </c>
      <c r="E116">
        <v>8140</v>
      </c>
      <c r="F116">
        <v>33.4</v>
      </c>
      <c r="G116">
        <v>18.399999999999999</v>
      </c>
      <c r="H116">
        <v>1.8152174999999999</v>
      </c>
      <c r="I116">
        <v>-0.81521750000000004</v>
      </c>
      <c r="J116">
        <v>0.35521233000000002</v>
      </c>
    </row>
    <row r="117" spans="1:10" x14ac:dyDescent="0.3">
      <c r="A117">
        <v>115</v>
      </c>
      <c r="B117">
        <v>1848</v>
      </c>
      <c r="C117" t="b">
        <v>1</v>
      </c>
      <c r="D117">
        <v>8071</v>
      </c>
      <c r="E117">
        <v>8140</v>
      </c>
      <c r="F117">
        <v>33</v>
      </c>
      <c r="G117">
        <v>18.399999999999999</v>
      </c>
      <c r="H117">
        <v>1.7934783000000001</v>
      </c>
      <c r="I117">
        <v>-0.79347829999999997</v>
      </c>
      <c r="J117">
        <v>0.35797665000000001</v>
      </c>
    </row>
    <row r="118" spans="1:10" x14ac:dyDescent="0.3">
      <c r="A118">
        <v>116</v>
      </c>
      <c r="B118">
        <v>1864</v>
      </c>
      <c r="C118" t="b">
        <v>1</v>
      </c>
      <c r="D118">
        <v>8083</v>
      </c>
      <c r="E118">
        <v>8146</v>
      </c>
      <c r="F118">
        <v>32.6</v>
      </c>
      <c r="G118">
        <v>18.8</v>
      </c>
      <c r="H118">
        <v>1.7340424999999999</v>
      </c>
      <c r="I118">
        <v>-0.73404250000000004</v>
      </c>
      <c r="J118">
        <v>0.36575875000000002</v>
      </c>
    </row>
    <row r="119" spans="1:10" x14ac:dyDescent="0.3">
      <c r="A119">
        <v>117</v>
      </c>
      <c r="B119">
        <v>1880</v>
      </c>
      <c r="C119" t="b">
        <v>1</v>
      </c>
      <c r="D119">
        <v>8071</v>
      </c>
      <c r="E119">
        <v>8146</v>
      </c>
      <c r="F119">
        <v>32.200000000000003</v>
      </c>
      <c r="G119">
        <v>19.2</v>
      </c>
      <c r="H119">
        <v>1.6770833000000001</v>
      </c>
      <c r="I119">
        <v>-0.67708330000000005</v>
      </c>
      <c r="J119">
        <v>0.37354084999999998</v>
      </c>
    </row>
    <row r="120" spans="1:10" x14ac:dyDescent="0.3">
      <c r="A120">
        <v>118</v>
      </c>
      <c r="B120">
        <v>1896</v>
      </c>
      <c r="C120" t="b">
        <v>1</v>
      </c>
      <c r="D120">
        <v>8071</v>
      </c>
      <c r="E120">
        <v>8140</v>
      </c>
      <c r="F120">
        <v>31.8</v>
      </c>
      <c r="G120">
        <v>19.600000000000001</v>
      </c>
      <c r="H120">
        <v>1.6224489</v>
      </c>
      <c r="I120">
        <v>-0.62244889999999997</v>
      </c>
      <c r="J120">
        <v>0.38132294999999999</v>
      </c>
    </row>
    <row r="121" spans="1:10" x14ac:dyDescent="0.3">
      <c r="A121">
        <v>119</v>
      </c>
      <c r="B121">
        <v>1912</v>
      </c>
      <c r="C121" t="b">
        <v>1</v>
      </c>
      <c r="D121">
        <v>8071</v>
      </c>
      <c r="E121">
        <v>8146</v>
      </c>
      <c r="F121">
        <v>31.4</v>
      </c>
      <c r="G121">
        <v>20.399999999999999</v>
      </c>
      <c r="H121">
        <v>1.5392157</v>
      </c>
      <c r="I121">
        <v>-0.53921569999999996</v>
      </c>
      <c r="J121">
        <v>0.39382240000000002</v>
      </c>
    </row>
    <row r="122" spans="1:10" x14ac:dyDescent="0.3">
      <c r="A122">
        <v>120</v>
      </c>
      <c r="B122">
        <v>1928</v>
      </c>
      <c r="C122" t="b">
        <v>1</v>
      </c>
      <c r="D122">
        <v>8077</v>
      </c>
      <c r="E122">
        <v>8146</v>
      </c>
      <c r="F122">
        <v>31</v>
      </c>
      <c r="G122">
        <v>21.2</v>
      </c>
      <c r="H122">
        <v>1.4622641000000001</v>
      </c>
      <c r="I122">
        <v>-0.46226410000000001</v>
      </c>
      <c r="J122">
        <v>0.40613028000000001</v>
      </c>
    </row>
    <row r="123" spans="1:10" x14ac:dyDescent="0.3">
      <c r="A123">
        <v>121</v>
      </c>
      <c r="B123">
        <v>1944</v>
      </c>
      <c r="C123" t="b">
        <v>1</v>
      </c>
      <c r="D123">
        <v>8083</v>
      </c>
      <c r="E123">
        <v>8140</v>
      </c>
      <c r="F123">
        <v>30.6</v>
      </c>
      <c r="G123">
        <v>22</v>
      </c>
      <c r="H123">
        <v>1.3909091</v>
      </c>
      <c r="I123">
        <v>-0.39090910000000001</v>
      </c>
      <c r="J123">
        <v>0.41825095000000001</v>
      </c>
    </row>
    <row r="124" spans="1:10" x14ac:dyDescent="0.3">
      <c r="A124">
        <v>122</v>
      </c>
      <c r="B124">
        <v>1959</v>
      </c>
      <c r="C124" t="b">
        <v>1</v>
      </c>
      <c r="D124">
        <v>8071</v>
      </c>
      <c r="E124">
        <v>8140</v>
      </c>
      <c r="F124">
        <v>30.6</v>
      </c>
      <c r="G124">
        <v>22</v>
      </c>
      <c r="H124">
        <v>1.3909091</v>
      </c>
      <c r="I124">
        <v>-0.39090910000000001</v>
      </c>
      <c r="J124">
        <v>0.41825095000000001</v>
      </c>
    </row>
    <row r="125" spans="1:10" x14ac:dyDescent="0.3">
      <c r="A125">
        <v>123</v>
      </c>
      <c r="B125">
        <v>1975</v>
      </c>
      <c r="C125" t="b">
        <v>1</v>
      </c>
      <c r="D125">
        <v>8077</v>
      </c>
      <c r="E125">
        <v>8134</v>
      </c>
      <c r="F125">
        <v>31</v>
      </c>
      <c r="G125">
        <v>22.4</v>
      </c>
      <c r="H125">
        <v>1.3839284999999999</v>
      </c>
      <c r="I125">
        <v>-0.38392860000000001</v>
      </c>
      <c r="J125">
        <v>0.41947563999999998</v>
      </c>
    </row>
    <row r="126" spans="1:10" x14ac:dyDescent="0.3">
      <c r="A126">
        <v>124</v>
      </c>
      <c r="B126">
        <v>1991</v>
      </c>
      <c r="C126" t="b">
        <v>1</v>
      </c>
      <c r="D126">
        <v>8071</v>
      </c>
      <c r="E126">
        <v>8140</v>
      </c>
      <c r="F126">
        <v>31.4</v>
      </c>
      <c r="G126">
        <v>22.8</v>
      </c>
      <c r="H126">
        <v>1.3771929999999999</v>
      </c>
      <c r="I126">
        <v>-0.377193</v>
      </c>
      <c r="J126">
        <v>0.42066421999999998</v>
      </c>
    </row>
    <row r="127" spans="1:10" x14ac:dyDescent="0.3">
      <c r="A127">
        <v>125</v>
      </c>
      <c r="B127">
        <v>2007</v>
      </c>
      <c r="C127" t="b">
        <v>1</v>
      </c>
      <c r="D127">
        <v>8065</v>
      </c>
      <c r="E127">
        <v>8146</v>
      </c>
      <c r="F127">
        <v>31.8</v>
      </c>
      <c r="G127">
        <v>23.533332999999999</v>
      </c>
      <c r="H127">
        <v>1.3512747000000001</v>
      </c>
      <c r="I127">
        <v>-0.3512748</v>
      </c>
      <c r="J127">
        <v>0.42530119999999999</v>
      </c>
    </row>
    <row r="128" spans="1:10" x14ac:dyDescent="0.3">
      <c r="A128">
        <v>126</v>
      </c>
      <c r="B128">
        <v>2023</v>
      </c>
      <c r="C128" t="b">
        <v>1</v>
      </c>
      <c r="D128">
        <v>8071</v>
      </c>
      <c r="E128">
        <v>8146</v>
      </c>
      <c r="F128">
        <v>31.8</v>
      </c>
      <c r="G128">
        <v>24.266666000000001</v>
      </c>
      <c r="H128">
        <v>1.3104396</v>
      </c>
      <c r="I128">
        <v>-0.31043956</v>
      </c>
      <c r="J128">
        <v>0.43281807999999999</v>
      </c>
    </row>
    <row r="129" spans="1:10" x14ac:dyDescent="0.3">
      <c r="A129">
        <v>127</v>
      </c>
      <c r="B129">
        <v>2055</v>
      </c>
      <c r="C129" t="b">
        <v>1</v>
      </c>
      <c r="D129">
        <v>8071</v>
      </c>
      <c r="E129">
        <v>8134</v>
      </c>
      <c r="F129">
        <v>31.8</v>
      </c>
      <c r="G129">
        <v>25</v>
      </c>
      <c r="H129">
        <v>1.272</v>
      </c>
      <c r="I129">
        <v>-0.27199995999999999</v>
      </c>
      <c r="J129">
        <v>0.44014083999999998</v>
      </c>
    </row>
    <row r="130" spans="1:10" x14ac:dyDescent="0.3">
      <c r="A130">
        <v>128</v>
      </c>
      <c r="B130">
        <v>2071</v>
      </c>
      <c r="C130" t="b">
        <v>1</v>
      </c>
      <c r="D130">
        <v>8077</v>
      </c>
      <c r="E130">
        <v>8134</v>
      </c>
      <c r="F130">
        <v>31.8</v>
      </c>
      <c r="G130">
        <v>25.4</v>
      </c>
      <c r="H130">
        <v>1.2519685</v>
      </c>
      <c r="I130">
        <v>-0.25196849999999998</v>
      </c>
      <c r="J130">
        <v>0.44405597000000002</v>
      </c>
    </row>
    <row r="131" spans="1:10" x14ac:dyDescent="0.3">
      <c r="A131">
        <v>129</v>
      </c>
      <c r="B131">
        <v>2087</v>
      </c>
      <c r="C131" t="b">
        <v>1</v>
      </c>
      <c r="D131">
        <v>8071</v>
      </c>
      <c r="E131">
        <v>8129</v>
      </c>
      <c r="F131">
        <v>31.8</v>
      </c>
      <c r="G131">
        <v>25.4</v>
      </c>
      <c r="H131">
        <v>1.2519685</v>
      </c>
      <c r="I131">
        <v>-0.25196849999999998</v>
      </c>
      <c r="J131">
        <v>0.44405597000000002</v>
      </c>
    </row>
    <row r="132" spans="1:10" x14ac:dyDescent="0.3">
      <c r="A132">
        <v>130</v>
      </c>
      <c r="B132">
        <v>2103</v>
      </c>
      <c r="C132" t="b">
        <v>1</v>
      </c>
      <c r="D132">
        <v>8065</v>
      </c>
      <c r="E132">
        <v>8140</v>
      </c>
      <c r="F132">
        <v>31.8</v>
      </c>
      <c r="G132">
        <v>25.4</v>
      </c>
      <c r="H132">
        <v>1.2519685</v>
      </c>
      <c r="I132">
        <v>-0.25196849999999998</v>
      </c>
      <c r="J132">
        <v>0.44405597000000002</v>
      </c>
    </row>
    <row r="133" spans="1:10" x14ac:dyDescent="0.3">
      <c r="A133">
        <v>131</v>
      </c>
      <c r="B133">
        <v>2119</v>
      </c>
      <c r="C133" t="b">
        <v>1</v>
      </c>
      <c r="D133">
        <v>8071</v>
      </c>
      <c r="E133">
        <v>8140</v>
      </c>
      <c r="F133">
        <v>31.8</v>
      </c>
      <c r="G133">
        <v>25</v>
      </c>
      <c r="H133">
        <v>1.272</v>
      </c>
      <c r="I133">
        <v>-0.27199995999999999</v>
      </c>
      <c r="J133">
        <v>0.44014083999999998</v>
      </c>
    </row>
    <row r="134" spans="1:10" x14ac:dyDescent="0.3">
      <c r="A134">
        <v>132</v>
      </c>
      <c r="B134">
        <v>2135</v>
      </c>
      <c r="C134" t="b">
        <v>1</v>
      </c>
      <c r="D134">
        <v>8071</v>
      </c>
      <c r="E134">
        <v>8140</v>
      </c>
      <c r="F134">
        <v>31.8</v>
      </c>
      <c r="G134">
        <v>25</v>
      </c>
      <c r="H134">
        <v>1.272</v>
      </c>
      <c r="I134">
        <v>-0.27199995999999999</v>
      </c>
      <c r="J134">
        <v>0.44014083999999998</v>
      </c>
    </row>
    <row r="135" spans="1:10" x14ac:dyDescent="0.3">
      <c r="A135">
        <v>133</v>
      </c>
      <c r="B135">
        <v>2150</v>
      </c>
      <c r="C135" t="b">
        <v>1</v>
      </c>
      <c r="D135">
        <v>8071</v>
      </c>
      <c r="E135">
        <v>8140</v>
      </c>
      <c r="F135">
        <v>31.8</v>
      </c>
      <c r="G135">
        <v>25</v>
      </c>
      <c r="H135">
        <v>1.272</v>
      </c>
      <c r="I135">
        <v>-0.27199995999999999</v>
      </c>
      <c r="J135">
        <v>0.44014083999999998</v>
      </c>
    </row>
    <row r="136" spans="1:10" x14ac:dyDescent="0.3">
      <c r="A136">
        <v>134</v>
      </c>
      <c r="B136">
        <v>2166</v>
      </c>
      <c r="C136" t="b">
        <v>1</v>
      </c>
      <c r="D136">
        <v>8065</v>
      </c>
      <c r="E136">
        <v>8140</v>
      </c>
      <c r="F136">
        <v>31.8</v>
      </c>
      <c r="G136">
        <v>24.6</v>
      </c>
      <c r="H136">
        <v>1.2926829</v>
      </c>
      <c r="I136">
        <v>-0.29268290000000002</v>
      </c>
      <c r="J136">
        <v>0.43617022</v>
      </c>
    </row>
    <row r="137" spans="1:10" x14ac:dyDescent="0.3">
      <c r="A137">
        <v>135</v>
      </c>
      <c r="B137">
        <v>2182</v>
      </c>
      <c r="C137" t="b">
        <v>1</v>
      </c>
      <c r="D137">
        <v>8071</v>
      </c>
      <c r="E137">
        <v>8134</v>
      </c>
      <c r="F137">
        <v>31.8</v>
      </c>
      <c r="G137">
        <v>24.2</v>
      </c>
      <c r="H137">
        <v>1.3140495000000001</v>
      </c>
      <c r="I137">
        <v>-0.31404949999999998</v>
      </c>
      <c r="J137">
        <v>0.43214288000000001</v>
      </c>
    </row>
    <row r="138" spans="1:10" x14ac:dyDescent="0.3">
      <c r="A138">
        <v>136</v>
      </c>
      <c r="B138">
        <v>2198</v>
      </c>
      <c r="C138" t="b">
        <v>1</v>
      </c>
      <c r="D138">
        <v>8071</v>
      </c>
      <c r="E138">
        <v>8146</v>
      </c>
      <c r="F138">
        <v>31.8</v>
      </c>
      <c r="G138">
        <v>23.8</v>
      </c>
      <c r="H138">
        <v>1.3361343999999999</v>
      </c>
      <c r="I138">
        <v>-0.33613446000000002</v>
      </c>
      <c r="J138">
        <v>0.42805755000000001</v>
      </c>
    </row>
    <row r="139" spans="1:10" x14ac:dyDescent="0.3">
      <c r="A139">
        <v>137</v>
      </c>
      <c r="B139">
        <v>2214</v>
      </c>
      <c r="C139" t="b">
        <v>1</v>
      </c>
      <c r="D139">
        <v>8083</v>
      </c>
      <c r="E139">
        <v>8146</v>
      </c>
      <c r="F139">
        <v>31.8</v>
      </c>
      <c r="G139">
        <v>23.8</v>
      </c>
      <c r="H139">
        <v>1.3361343999999999</v>
      </c>
      <c r="I139">
        <v>-0.33613446000000002</v>
      </c>
      <c r="J139">
        <v>0.42805755000000001</v>
      </c>
    </row>
    <row r="140" spans="1:10" x14ac:dyDescent="0.3">
      <c r="A140">
        <v>138</v>
      </c>
      <c r="B140">
        <v>2230</v>
      </c>
      <c r="C140" t="b">
        <v>1</v>
      </c>
      <c r="D140">
        <v>8077</v>
      </c>
      <c r="E140">
        <v>8140</v>
      </c>
      <c r="F140">
        <v>31.4</v>
      </c>
      <c r="G140">
        <v>23.8</v>
      </c>
      <c r="H140">
        <v>1.3193277000000001</v>
      </c>
      <c r="I140">
        <v>-0.31932777000000001</v>
      </c>
      <c r="J140">
        <v>0.43115944</v>
      </c>
    </row>
    <row r="141" spans="1:10" x14ac:dyDescent="0.3">
      <c r="A141">
        <v>139</v>
      </c>
      <c r="B141">
        <v>2246</v>
      </c>
      <c r="C141" t="b">
        <v>1</v>
      </c>
      <c r="D141">
        <v>8077</v>
      </c>
      <c r="E141">
        <v>8134</v>
      </c>
      <c r="F141">
        <v>31.4</v>
      </c>
      <c r="G141">
        <v>23.8</v>
      </c>
      <c r="H141">
        <v>1.3193277000000001</v>
      </c>
      <c r="I141">
        <v>-0.31932777000000001</v>
      </c>
      <c r="J141">
        <v>0.43115944</v>
      </c>
    </row>
    <row r="142" spans="1:10" x14ac:dyDescent="0.3">
      <c r="A142">
        <v>140</v>
      </c>
      <c r="B142">
        <v>2262</v>
      </c>
      <c r="C142" t="b">
        <v>1</v>
      </c>
      <c r="D142">
        <v>8071</v>
      </c>
      <c r="E142">
        <v>8134</v>
      </c>
      <c r="F142">
        <v>31.8</v>
      </c>
      <c r="G142">
        <v>23.8</v>
      </c>
      <c r="H142">
        <v>1.3361343999999999</v>
      </c>
      <c r="I142">
        <v>-0.33613446000000002</v>
      </c>
      <c r="J142">
        <v>0.42805755000000001</v>
      </c>
    </row>
    <row r="143" spans="1:10" x14ac:dyDescent="0.3">
      <c r="A143">
        <v>141</v>
      </c>
      <c r="B143">
        <v>2278</v>
      </c>
      <c r="C143" t="b">
        <v>1</v>
      </c>
      <c r="D143">
        <v>8077</v>
      </c>
      <c r="E143">
        <v>8134</v>
      </c>
      <c r="F143">
        <v>32.200000000000003</v>
      </c>
      <c r="G143">
        <v>23.4</v>
      </c>
      <c r="H143">
        <v>1.3760684999999999</v>
      </c>
      <c r="I143">
        <v>-0.37606844</v>
      </c>
      <c r="J143">
        <v>0.4208633</v>
      </c>
    </row>
    <row r="144" spans="1:10" x14ac:dyDescent="0.3">
      <c r="A144">
        <v>142</v>
      </c>
      <c r="B144">
        <v>2293</v>
      </c>
      <c r="C144" t="b">
        <v>1</v>
      </c>
      <c r="D144">
        <v>8071</v>
      </c>
      <c r="E144">
        <v>8140</v>
      </c>
      <c r="F144">
        <v>32.6</v>
      </c>
      <c r="G144">
        <v>23</v>
      </c>
      <c r="H144">
        <v>1.4173912</v>
      </c>
      <c r="I144">
        <v>-0.41739124</v>
      </c>
      <c r="J144">
        <v>0.41366908000000002</v>
      </c>
    </row>
    <row r="145" spans="1:10" x14ac:dyDescent="0.3">
      <c r="A145">
        <v>143</v>
      </c>
      <c r="B145">
        <v>2309</v>
      </c>
      <c r="C145" t="b">
        <v>1</v>
      </c>
      <c r="D145">
        <v>8071</v>
      </c>
      <c r="E145">
        <v>8134</v>
      </c>
      <c r="F145">
        <v>32.6</v>
      </c>
      <c r="G145">
        <v>22.6</v>
      </c>
      <c r="H145">
        <v>1.4424778</v>
      </c>
      <c r="I145">
        <v>-0.44247779999999998</v>
      </c>
      <c r="J145">
        <v>0.40942030000000001</v>
      </c>
    </row>
    <row r="146" spans="1:10" x14ac:dyDescent="0.3">
      <c r="A146">
        <v>144</v>
      </c>
      <c r="B146">
        <v>2325</v>
      </c>
      <c r="C146" t="b">
        <v>1</v>
      </c>
      <c r="D146">
        <v>8071</v>
      </c>
      <c r="E146">
        <v>8134</v>
      </c>
      <c r="F146">
        <v>32.6</v>
      </c>
      <c r="G146">
        <v>22.6</v>
      </c>
      <c r="H146">
        <v>1.4424778</v>
      </c>
      <c r="I146">
        <v>-0.44247779999999998</v>
      </c>
      <c r="J146">
        <v>0.40942030000000001</v>
      </c>
    </row>
    <row r="147" spans="1:10" x14ac:dyDescent="0.3">
      <c r="A147">
        <v>145</v>
      </c>
      <c r="B147">
        <v>2342</v>
      </c>
      <c r="C147" t="b">
        <v>1</v>
      </c>
      <c r="D147">
        <v>8071</v>
      </c>
      <c r="E147">
        <v>8140</v>
      </c>
      <c r="F147">
        <v>32.6</v>
      </c>
      <c r="G147">
        <v>22.6</v>
      </c>
      <c r="H147">
        <v>1.4424778</v>
      </c>
      <c r="I147">
        <v>-0.44247779999999998</v>
      </c>
      <c r="J147">
        <v>0.40942030000000001</v>
      </c>
    </row>
    <row r="148" spans="1:10" x14ac:dyDescent="0.3">
      <c r="A148">
        <v>146</v>
      </c>
      <c r="B148">
        <v>2358</v>
      </c>
      <c r="C148" t="b">
        <v>1</v>
      </c>
      <c r="D148">
        <v>8071</v>
      </c>
      <c r="E148">
        <v>8134</v>
      </c>
      <c r="F148">
        <v>32.6</v>
      </c>
      <c r="G148">
        <v>22.6</v>
      </c>
      <c r="H148">
        <v>1.4424778</v>
      </c>
      <c r="I148">
        <v>-0.44247779999999998</v>
      </c>
      <c r="J148">
        <v>0.40942030000000001</v>
      </c>
    </row>
    <row r="149" spans="1:10" x14ac:dyDescent="0.3">
      <c r="A149">
        <v>147</v>
      </c>
      <c r="B149">
        <v>2373</v>
      </c>
      <c r="C149" t="b">
        <v>1</v>
      </c>
      <c r="D149">
        <v>8071</v>
      </c>
      <c r="E149">
        <v>8134</v>
      </c>
      <c r="F149">
        <v>32.6</v>
      </c>
      <c r="G149">
        <v>22.2</v>
      </c>
      <c r="H149">
        <v>1.4684683000000001</v>
      </c>
      <c r="I149">
        <v>-0.46846833999999998</v>
      </c>
      <c r="J149">
        <v>0.40510950000000001</v>
      </c>
    </row>
    <row r="150" spans="1:10" x14ac:dyDescent="0.3">
      <c r="A150">
        <v>148</v>
      </c>
      <c r="B150">
        <v>2389</v>
      </c>
      <c r="C150" t="b">
        <v>1</v>
      </c>
      <c r="D150">
        <v>8071</v>
      </c>
      <c r="E150">
        <v>8134</v>
      </c>
      <c r="F150">
        <v>32.6</v>
      </c>
      <c r="G150">
        <v>21.8</v>
      </c>
      <c r="H150">
        <v>1.4954128</v>
      </c>
      <c r="I150">
        <v>-0.49541283000000003</v>
      </c>
      <c r="J150">
        <v>0.40073530000000002</v>
      </c>
    </row>
    <row r="151" spans="1:10" x14ac:dyDescent="0.3">
      <c r="A151">
        <v>149</v>
      </c>
      <c r="B151">
        <v>2405</v>
      </c>
      <c r="C151" t="b">
        <v>1</v>
      </c>
      <c r="D151">
        <v>8077</v>
      </c>
      <c r="E151">
        <v>8140</v>
      </c>
      <c r="F151">
        <v>32.6</v>
      </c>
      <c r="G151">
        <v>21.4</v>
      </c>
      <c r="H151">
        <v>1.5233644</v>
      </c>
      <c r="I151">
        <v>-0.52336439999999995</v>
      </c>
      <c r="J151">
        <v>0.39629629999999999</v>
      </c>
    </row>
    <row r="152" spans="1:10" x14ac:dyDescent="0.3">
      <c r="A152">
        <v>150</v>
      </c>
      <c r="B152">
        <v>2421</v>
      </c>
      <c r="C152" t="b">
        <v>1</v>
      </c>
      <c r="D152">
        <v>8065</v>
      </c>
      <c r="E152">
        <v>8140</v>
      </c>
      <c r="F152">
        <v>32.6</v>
      </c>
      <c r="G152">
        <v>21</v>
      </c>
      <c r="H152">
        <v>1.5523809</v>
      </c>
      <c r="I152">
        <v>-0.55238085999999997</v>
      </c>
      <c r="J152">
        <v>0.39179104999999997</v>
      </c>
    </row>
    <row r="153" spans="1:10" x14ac:dyDescent="0.3">
      <c r="A153">
        <v>151</v>
      </c>
      <c r="B153">
        <v>2437</v>
      </c>
      <c r="C153" t="b">
        <v>1</v>
      </c>
      <c r="D153">
        <v>8077</v>
      </c>
      <c r="E153">
        <v>8140</v>
      </c>
      <c r="F153">
        <v>32.6</v>
      </c>
      <c r="G153">
        <v>21</v>
      </c>
      <c r="H153">
        <v>1.5523809</v>
      </c>
      <c r="I153">
        <v>-0.55238085999999997</v>
      </c>
      <c r="J153">
        <v>0.39179104999999997</v>
      </c>
    </row>
    <row r="154" spans="1:10" x14ac:dyDescent="0.3">
      <c r="A154">
        <v>152</v>
      </c>
      <c r="B154">
        <v>2453</v>
      </c>
      <c r="C154" t="b">
        <v>1</v>
      </c>
      <c r="D154">
        <v>8071</v>
      </c>
      <c r="E154">
        <v>8134</v>
      </c>
      <c r="F154">
        <v>32.6</v>
      </c>
      <c r="G154">
        <v>21</v>
      </c>
      <c r="H154">
        <v>1.5523809</v>
      </c>
      <c r="I154">
        <v>-0.55238085999999997</v>
      </c>
      <c r="J154">
        <v>0.39179104999999997</v>
      </c>
    </row>
    <row r="155" spans="1:10" x14ac:dyDescent="0.3">
      <c r="A155">
        <v>153</v>
      </c>
      <c r="B155">
        <v>2469</v>
      </c>
      <c r="C155" t="b">
        <v>1</v>
      </c>
      <c r="D155">
        <v>8071</v>
      </c>
      <c r="E155">
        <v>8146</v>
      </c>
      <c r="F155">
        <v>32.6</v>
      </c>
      <c r="G155">
        <v>21</v>
      </c>
      <c r="H155">
        <v>1.5523809</v>
      </c>
      <c r="I155">
        <v>-0.55238085999999997</v>
      </c>
      <c r="J155">
        <v>0.39179104999999997</v>
      </c>
    </row>
    <row r="156" spans="1:10" x14ac:dyDescent="0.3">
      <c r="A156">
        <v>154</v>
      </c>
      <c r="B156">
        <v>2485</v>
      </c>
      <c r="C156" t="b">
        <v>1</v>
      </c>
      <c r="D156">
        <v>8077</v>
      </c>
      <c r="E156">
        <v>8152</v>
      </c>
      <c r="F156">
        <v>32.200000000000003</v>
      </c>
      <c r="G156">
        <v>21</v>
      </c>
      <c r="H156">
        <v>1.5333334000000001</v>
      </c>
      <c r="I156">
        <v>-0.53333335999999998</v>
      </c>
      <c r="J156">
        <v>0.39473682999999998</v>
      </c>
    </row>
    <row r="157" spans="1:10" x14ac:dyDescent="0.3">
      <c r="A157">
        <v>155</v>
      </c>
      <c r="B157">
        <v>2501</v>
      </c>
      <c r="C157" t="b">
        <v>1</v>
      </c>
      <c r="D157">
        <v>8071</v>
      </c>
      <c r="E157">
        <v>8134</v>
      </c>
      <c r="F157">
        <v>31.8</v>
      </c>
      <c r="G157">
        <v>21</v>
      </c>
      <c r="H157">
        <v>1.5142857000000001</v>
      </c>
      <c r="I157">
        <v>-0.51428569999999996</v>
      </c>
      <c r="J157">
        <v>0.39772728000000002</v>
      </c>
    </row>
    <row r="158" spans="1:10" x14ac:dyDescent="0.3">
      <c r="A158">
        <v>156</v>
      </c>
      <c r="B158">
        <v>2517</v>
      </c>
      <c r="C158" t="b">
        <v>1</v>
      </c>
      <c r="D158">
        <v>8071</v>
      </c>
      <c r="E158">
        <v>8146</v>
      </c>
      <c r="F158">
        <v>31.4</v>
      </c>
      <c r="G158">
        <v>21.8</v>
      </c>
      <c r="H158">
        <v>1.440367</v>
      </c>
      <c r="I158">
        <v>-0.44036700000000001</v>
      </c>
      <c r="J158">
        <v>0.40977445000000001</v>
      </c>
    </row>
    <row r="159" spans="1:10" x14ac:dyDescent="0.3">
      <c r="A159">
        <v>157</v>
      </c>
      <c r="B159">
        <v>2533</v>
      </c>
      <c r="C159" t="b">
        <v>1</v>
      </c>
      <c r="D159">
        <v>8071</v>
      </c>
      <c r="E159">
        <v>8146</v>
      </c>
      <c r="F159">
        <v>31</v>
      </c>
      <c r="G159">
        <v>22.6</v>
      </c>
      <c r="H159">
        <v>1.3716815</v>
      </c>
      <c r="I159">
        <v>-0.3716814</v>
      </c>
      <c r="J159">
        <v>0.42164180000000001</v>
      </c>
    </row>
    <row r="160" spans="1:10" x14ac:dyDescent="0.3">
      <c r="A160">
        <v>158</v>
      </c>
      <c r="B160">
        <v>2549</v>
      </c>
      <c r="C160" t="b">
        <v>1</v>
      </c>
      <c r="D160">
        <v>8071</v>
      </c>
      <c r="E160">
        <v>8140</v>
      </c>
      <c r="F160">
        <v>31</v>
      </c>
      <c r="G160">
        <v>23.4</v>
      </c>
      <c r="H160">
        <v>1.3247863</v>
      </c>
      <c r="I160">
        <v>-0.32478634000000001</v>
      </c>
      <c r="J160">
        <v>0.43014704999999998</v>
      </c>
    </row>
    <row r="161" spans="1:10" x14ac:dyDescent="0.3">
      <c r="A161">
        <v>159</v>
      </c>
      <c r="B161">
        <v>2564</v>
      </c>
      <c r="C161" t="b">
        <v>1</v>
      </c>
      <c r="D161">
        <v>8065</v>
      </c>
      <c r="E161">
        <v>8140</v>
      </c>
      <c r="F161">
        <v>31</v>
      </c>
      <c r="G161">
        <v>23.8</v>
      </c>
      <c r="H161">
        <v>1.3025211000000001</v>
      </c>
      <c r="I161">
        <v>-0.30252105000000001</v>
      </c>
      <c r="J161">
        <v>0.43430656000000001</v>
      </c>
    </row>
    <row r="162" spans="1:10" x14ac:dyDescent="0.3">
      <c r="A162">
        <v>160</v>
      </c>
      <c r="B162">
        <v>2580</v>
      </c>
      <c r="C162" t="b">
        <v>1</v>
      </c>
      <c r="D162">
        <v>8071</v>
      </c>
      <c r="E162">
        <v>8140</v>
      </c>
      <c r="F162">
        <v>31</v>
      </c>
      <c r="G162">
        <v>24.2</v>
      </c>
      <c r="H162">
        <v>1.2809917</v>
      </c>
      <c r="I162">
        <v>-0.28099170000000001</v>
      </c>
      <c r="J162">
        <v>0.43840580000000001</v>
      </c>
    </row>
    <row r="163" spans="1:10" x14ac:dyDescent="0.3">
      <c r="A163">
        <v>161</v>
      </c>
      <c r="B163">
        <v>2596</v>
      </c>
      <c r="C163" t="b">
        <v>1</v>
      </c>
      <c r="D163">
        <v>8077</v>
      </c>
      <c r="E163">
        <v>8140</v>
      </c>
      <c r="F163">
        <v>31</v>
      </c>
      <c r="G163">
        <v>24.6</v>
      </c>
      <c r="H163">
        <v>1.2601625999999999</v>
      </c>
      <c r="I163">
        <v>-0.26016260000000002</v>
      </c>
      <c r="J163">
        <v>0.44244604999999998</v>
      </c>
    </row>
    <row r="164" spans="1:10" x14ac:dyDescent="0.3">
      <c r="A164">
        <v>162</v>
      </c>
      <c r="B164">
        <v>2612</v>
      </c>
      <c r="C164" t="b">
        <v>1</v>
      </c>
      <c r="D164">
        <v>8065</v>
      </c>
      <c r="E164">
        <v>8140</v>
      </c>
      <c r="F164">
        <v>31</v>
      </c>
      <c r="G164">
        <v>25</v>
      </c>
      <c r="H164">
        <v>1.24</v>
      </c>
      <c r="I164">
        <v>-0.24</v>
      </c>
      <c r="J164">
        <v>0.44642857000000002</v>
      </c>
    </row>
    <row r="165" spans="1:10" x14ac:dyDescent="0.3">
      <c r="A165">
        <v>163</v>
      </c>
      <c r="B165">
        <v>2628</v>
      </c>
      <c r="C165" t="b">
        <v>1</v>
      </c>
      <c r="D165">
        <v>8077</v>
      </c>
      <c r="E165">
        <v>8129</v>
      </c>
      <c r="F165">
        <v>31</v>
      </c>
      <c r="G165">
        <v>25.4</v>
      </c>
      <c r="H165">
        <v>1.2204725000000001</v>
      </c>
      <c r="I165">
        <v>-0.22047246000000001</v>
      </c>
      <c r="J165">
        <v>0.45035458</v>
      </c>
    </row>
    <row r="166" spans="1:10" x14ac:dyDescent="0.3">
      <c r="A166">
        <v>164</v>
      </c>
      <c r="B166">
        <v>2643</v>
      </c>
      <c r="C166" t="b">
        <v>1</v>
      </c>
      <c r="D166">
        <v>8071</v>
      </c>
      <c r="E166">
        <v>8134</v>
      </c>
      <c r="F166">
        <v>31</v>
      </c>
      <c r="G166">
        <v>25.8</v>
      </c>
      <c r="H166">
        <v>1.2015503999999999</v>
      </c>
      <c r="I166">
        <v>-0.20155042000000001</v>
      </c>
      <c r="J166">
        <v>0.45422532999999998</v>
      </c>
    </row>
    <row r="167" spans="1:10" x14ac:dyDescent="0.3">
      <c r="A167">
        <v>165</v>
      </c>
      <c r="B167">
        <v>2659</v>
      </c>
      <c r="C167" t="b">
        <v>1</v>
      </c>
      <c r="D167">
        <v>8077</v>
      </c>
      <c r="E167">
        <v>8129</v>
      </c>
      <c r="F167">
        <v>31.4</v>
      </c>
      <c r="G167">
        <v>25.8</v>
      </c>
      <c r="H167">
        <v>1.2170542</v>
      </c>
      <c r="I167">
        <v>-0.21705427999999999</v>
      </c>
      <c r="J167">
        <v>0.45104896999999999</v>
      </c>
    </row>
    <row r="168" spans="1:10" x14ac:dyDescent="0.3">
      <c r="A168">
        <v>166</v>
      </c>
      <c r="B168">
        <v>2675</v>
      </c>
      <c r="C168" t="b">
        <v>1</v>
      </c>
      <c r="D168">
        <v>8077</v>
      </c>
      <c r="E168">
        <v>8129</v>
      </c>
      <c r="F168">
        <v>31.8</v>
      </c>
      <c r="G168">
        <v>25.066668</v>
      </c>
      <c r="H168">
        <v>1.2686169</v>
      </c>
      <c r="I168">
        <v>-0.26861694000000003</v>
      </c>
      <c r="J168">
        <v>0.44079718000000001</v>
      </c>
    </row>
    <row r="169" spans="1:10" x14ac:dyDescent="0.3">
      <c r="A169">
        <v>167</v>
      </c>
      <c r="B169">
        <v>2691</v>
      </c>
      <c r="C169" t="b">
        <v>1</v>
      </c>
      <c r="D169">
        <v>8071</v>
      </c>
      <c r="E169">
        <v>8134</v>
      </c>
      <c r="F169">
        <v>32.200000000000003</v>
      </c>
      <c r="G169">
        <v>24.333334000000001</v>
      </c>
      <c r="H169">
        <v>1.3232877000000001</v>
      </c>
      <c r="I169">
        <v>-0.32328767000000003</v>
      </c>
      <c r="J169">
        <v>0.43042454000000002</v>
      </c>
    </row>
    <row r="170" spans="1:10" x14ac:dyDescent="0.3">
      <c r="A170">
        <v>168</v>
      </c>
      <c r="B170">
        <v>2707</v>
      </c>
      <c r="C170" t="b">
        <v>1</v>
      </c>
      <c r="D170">
        <v>8077</v>
      </c>
      <c r="E170">
        <v>8129</v>
      </c>
      <c r="F170">
        <v>32.6</v>
      </c>
      <c r="G170">
        <v>23.6</v>
      </c>
      <c r="H170">
        <v>1.3813559</v>
      </c>
      <c r="I170">
        <v>-0.38135585</v>
      </c>
      <c r="J170">
        <v>0.41992885000000002</v>
      </c>
    </row>
    <row r="171" spans="1:10" x14ac:dyDescent="0.3">
      <c r="A171">
        <v>169</v>
      </c>
      <c r="B171">
        <v>2723</v>
      </c>
      <c r="C171" t="b">
        <v>1</v>
      </c>
      <c r="D171">
        <v>8065</v>
      </c>
      <c r="E171">
        <v>8140</v>
      </c>
      <c r="F171">
        <v>33</v>
      </c>
      <c r="G171">
        <v>22.866667</v>
      </c>
      <c r="H171">
        <v>1.4431487000000001</v>
      </c>
      <c r="I171">
        <v>-0.44314867000000002</v>
      </c>
      <c r="J171">
        <v>0.40930787000000002</v>
      </c>
    </row>
    <row r="172" spans="1:10" x14ac:dyDescent="0.3">
      <c r="A172">
        <v>170</v>
      </c>
      <c r="B172">
        <v>2738</v>
      </c>
      <c r="C172" t="b">
        <v>1</v>
      </c>
      <c r="D172">
        <v>8065</v>
      </c>
      <c r="E172">
        <v>8140</v>
      </c>
      <c r="F172">
        <v>33</v>
      </c>
      <c r="G172">
        <v>22.466667000000001</v>
      </c>
      <c r="H172">
        <v>1.4688426999999999</v>
      </c>
      <c r="I172">
        <v>-0.4688427</v>
      </c>
      <c r="J172">
        <v>0.40504806999999998</v>
      </c>
    </row>
    <row r="173" spans="1:10" x14ac:dyDescent="0.3">
      <c r="A173">
        <v>171</v>
      </c>
      <c r="B173">
        <v>2754</v>
      </c>
      <c r="C173" t="b">
        <v>1</v>
      </c>
      <c r="D173">
        <v>8071</v>
      </c>
      <c r="E173">
        <v>8140</v>
      </c>
      <c r="F173">
        <v>33</v>
      </c>
      <c r="G173">
        <v>22.066668</v>
      </c>
      <c r="H173">
        <v>1.4954683</v>
      </c>
      <c r="I173">
        <v>-0.49546823000000001</v>
      </c>
      <c r="J173">
        <v>0.40072639999999998</v>
      </c>
    </row>
    <row r="174" spans="1:10" x14ac:dyDescent="0.3">
      <c r="A174">
        <v>172</v>
      </c>
      <c r="B174">
        <v>2770</v>
      </c>
      <c r="C174" t="b">
        <v>1</v>
      </c>
      <c r="D174">
        <v>8071</v>
      </c>
      <c r="E174">
        <v>8140</v>
      </c>
      <c r="F174">
        <v>33</v>
      </c>
      <c r="G174">
        <v>21.666665999999999</v>
      </c>
      <c r="H174">
        <v>1.523077</v>
      </c>
      <c r="I174">
        <v>-0.52307694999999998</v>
      </c>
      <c r="J174">
        <v>0.39634146999999997</v>
      </c>
    </row>
    <row r="175" spans="1:10" x14ac:dyDescent="0.3">
      <c r="A175">
        <v>173</v>
      </c>
      <c r="B175">
        <v>2786</v>
      </c>
      <c r="C175" t="b">
        <v>1</v>
      </c>
      <c r="D175">
        <v>8065</v>
      </c>
      <c r="E175">
        <v>8140</v>
      </c>
      <c r="F175">
        <v>32.6</v>
      </c>
      <c r="G175">
        <v>21.266666000000001</v>
      </c>
      <c r="H175">
        <v>1.5329154</v>
      </c>
      <c r="I175">
        <v>-0.53291529999999998</v>
      </c>
      <c r="J175">
        <v>0.39480197</v>
      </c>
    </row>
    <row r="176" spans="1:10" x14ac:dyDescent="0.3">
      <c r="A176">
        <v>174</v>
      </c>
      <c r="B176">
        <v>2802</v>
      </c>
      <c r="C176" t="b">
        <v>1</v>
      </c>
      <c r="D176">
        <v>8071</v>
      </c>
      <c r="E176">
        <v>8140</v>
      </c>
      <c r="F176">
        <v>32.6</v>
      </c>
      <c r="G176">
        <v>21.266666000000001</v>
      </c>
      <c r="H176">
        <v>1.5329154</v>
      </c>
      <c r="I176">
        <v>-0.53291529999999998</v>
      </c>
      <c r="J176">
        <v>0.39480197</v>
      </c>
    </row>
    <row r="177" spans="1:10" x14ac:dyDescent="0.3">
      <c r="A177">
        <v>175</v>
      </c>
      <c r="B177">
        <v>2817</v>
      </c>
      <c r="C177" t="b">
        <v>1</v>
      </c>
      <c r="D177">
        <v>8071</v>
      </c>
      <c r="E177">
        <v>8146</v>
      </c>
      <c r="F177">
        <v>32.6</v>
      </c>
      <c r="G177">
        <v>21.266666000000001</v>
      </c>
      <c r="H177">
        <v>1.5329154</v>
      </c>
      <c r="I177">
        <v>-0.53291529999999998</v>
      </c>
      <c r="J177">
        <v>0.39480197</v>
      </c>
    </row>
    <row r="178" spans="1:10" x14ac:dyDescent="0.3">
      <c r="A178">
        <v>176</v>
      </c>
      <c r="B178">
        <v>2833</v>
      </c>
      <c r="C178" t="b">
        <v>1</v>
      </c>
      <c r="D178">
        <v>8071</v>
      </c>
      <c r="E178">
        <v>8146</v>
      </c>
      <c r="F178">
        <v>32.6</v>
      </c>
      <c r="G178">
        <v>21.266666000000001</v>
      </c>
      <c r="H178">
        <v>1.5329154</v>
      </c>
      <c r="I178">
        <v>-0.53291529999999998</v>
      </c>
      <c r="J178">
        <v>0.39480197</v>
      </c>
    </row>
    <row r="179" spans="1:10" x14ac:dyDescent="0.3">
      <c r="A179">
        <v>177</v>
      </c>
      <c r="B179">
        <v>2849</v>
      </c>
      <c r="C179" t="b">
        <v>1</v>
      </c>
      <c r="D179">
        <v>8071</v>
      </c>
      <c r="E179">
        <v>8146</v>
      </c>
      <c r="F179">
        <v>32.6</v>
      </c>
      <c r="G179">
        <v>21.666665999999999</v>
      </c>
      <c r="H179">
        <v>1.5046153</v>
      </c>
      <c r="I179">
        <v>-0.50461537000000001</v>
      </c>
      <c r="J179">
        <v>0.39926289999999998</v>
      </c>
    </row>
    <row r="180" spans="1:10" x14ac:dyDescent="0.3">
      <c r="A180">
        <v>178</v>
      </c>
      <c r="B180">
        <v>2865</v>
      </c>
      <c r="C180" t="b">
        <v>1</v>
      </c>
      <c r="D180">
        <v>8071</v>
      </c>
      <c r="E180">
        <v>8140</v>
      </c>
      <c r="F180">
        <v>32.6</v>
      </c>
      <c r="G180">
        <v>22.066668</v>
      </c>
      <c r="H180">
        <v>1.4773413</v>
      </c>
      <c r="I180">
        <v>-0.47734125999999999</v>
      </c>
      <c r="J180">
        <v>0.40365856999999999</v>
      </c>
    </row>
    <row r="181" spans="1:10" x14ac:dyDescent="0.3">
      <c r="A181">
        <v>179</v>
      </c>
      <c r="B181">
        <v>2881</v>
      </c>
      <c r="C181" t="b">
        <v>1</v>
      </c>
      <c r="D181">
        <v>8077</v>
      </c>
      <c r="E181">
        <v>8140</v>
      </c>
      <c r="F181">
        <v>32.6</v>
      </c>
      <c r="G181">
        <v>22.466667000000001</v>
      </c>
      <c r="H181">
        <v>1.4510384999999999</v>
      </c>
      <c r="I181">
        <v>-0.45103848000000002</v>
      </c>
      <c r="J181">
        <v>0.40799034000000001</v>
      </c>
    </row>
    <row r="182" spans="1:10" x14ac:dyDescent="0.3">
      <c r="A182">
        <v>180</v>
      </c>
      <c r="B182">
        <v>2897</v>
      </c>
      <c r="C182" t="b">
        <v>1</v>
      </c>
      <c r="D182">
        <v>8071</v>
      </c>
      <c r="E182">
        <v>8140</v>
      </c>
      <c r="F182">
        <v>32.200000000000003</v>
      </c>
      <c r="G182">
        <v>22.866667</v>
      </c>
      <c r="H182">
        <v>1.4081633</v>
      </c>
      <c r="I182">
        <v>-0.40816328000000002</v>
      </c>
      <c r="J182">
        <v>0.41525424</v>
      </c>
    </row>
    <row r="183" spans="1:10" x14ac:dyDescent="0.3">
      <c r="A183">
        <v>181</v>
      </c>
      <c r="B183">
        <v>2913</v>
      </c>
      <c r="C183" t="b">
        <v>1</v>
      </c>
      <c r="D183">
        <v>8065</v>
      </c>
      <c r="E183">
        <v>8140</v>
      </c>
      <c r="F183">
        <v>31.8</v>
      </c>
      <c r="G183">
        <v>23.6</v>
      </c>
      <c r="H183">
        <v>1.3474575</v>
      </c>
      <c r="I183">
        <v>-0.34745759999999998</v>
      </c>
      <c r="J183">
        <v>0.4259928</v>
      </c>
    </row>
    <row r="184" spans="1:10" x14ac:dyDescent="0.3">
      <c r="A184">
        <v>182</v>
      </c>
      <c r="B184">
        <v>2929</v>
      </c>
      <c r="C184" t="b">
        <v>1</v>
      </c>
      <c r="D184">
        <v>8065</v>
      </c>
      <c r="E184">
        <v>8134</v>
      </c>
      <c r="F184">
        <v>31.4</v>
      </c>
      <c r="G184">
        <v>24.333334000000001</v>
      </c>
      <c r="H184">
        <v>1.2904108999999999</v>
      </c>
      <c r="I184">
        <v>-0.29041090000000003</v>
      </c>
      <c r="J184">
        <v>0.43660290000000002</v>
      </c>
    </row>
    <row r="185" spans="1:10" x14ac:dyDescent="0.3">
      <c r="A185">
        <v>183</v>
      </c>
      <c r="B185">
        <v>2945</v>
      </c>
      <c r="C185" t="b">
        <v>1</v>
      </c>
      <c r="D185">
        <v>8071</v>
      </c>
      <c r="E185">
        <v>8134</v>
      </c>
      <c r="F185">
        <v>31</v>
      </c>
      <c r="G185">
        <v>25.066668</v>
      </c>
      <c r="H185">
        <v>1.2367021</v>
      </c>
      <c r="I185">
        <v>-0.23670208000000001</v>
      </c>
      <c r="J185">
        <v>0.44708680000000001</v>
      </c>
    </row>
    <row r="186" spans="1:10" x14ac:dyDescent="0.3">
      <c r="A186">
        <v>184</v>
      </c>
      <c r="B186">
        <v>2961</v>
      </c>
      <c r="C186" t="b">
        <v>1</v>
      </c>
      <c r="D186">
        <v>8071</v>
      </c>
      <c r="E186">
        <v>8134</v>
      </c>
      <c r="F186">
        <v>30.6</v>
      </c>
      <c r="G186">
        <v>25.4</v>
      </c>
      <c r="H186">
        <v>1.2047243999999999</v>
      </c>
      <c r="I186">
        <v>-0.20472445</v>
      </c>
      <c r="J186">
        <v>0.45357140000000001</v>
      </c>
    </row>
    <row r="187" spans="1:10" x14ac:dyDescent="0.3">
      <c r="A187">
        <v>185</v>
      </c>
      <c r="B187">
        <v>2977</v>
      </c>
      <c r="C187" t="b">
        <v>1</v>
      </c>
      <c r="D187">
        <v>8077</v>
      </c>
      <c r="E187">
        <v>8140</v>
      </c>
      <c r="F187">
        <v>30.6</v>
      </c>
      <c r="G187">
        <v>25.4</v>
      </c>
      <c r="H187">
        <v>1.2047243999999999</v>
      </c>
      <c r="I187">
        <v>-0.20472445</v>
      </c>
      <c r="J187">
        <v>0.45357140000000001</v>
      </c>
    </row>
    <row r="188" spans="1:10" x14ac:dyDescent="0.3">
      <c r="A188">
        <v>186</v>
      </c>
      <c r="B188">
        <v>2993</v>
      </c>
      <c r="C188" t="b">
        <v>1</v>
      </c>
      <c r="D188">
        <v>8065</v>
      </c>
      <c r="E188">
        <v>8134</v>
      </c>
      <c r="F188">
        <v>30.6</v>
      </c>
      <c r="G188">
        <v>25</v>
      </c>
      <c r="H188">
        <v>1.224</v>
      </c>
      <c r="I188">
        <v>-0.22400001999999999</v>
      </c>
      <c r="J188">
        <v>0.44964029999999999</v>
      </c>
    </row>
    <row r="189" spans="1:10" x14ac:dyDescent="0.3">
      <c r="A189">
        <v>187</v>
      </c>
      <c r="B189">
        <v>3009</v>
      </c>
      <c r="C189" t="b">
        <v>1</v>
      </c>
      <c r="D189">
        <v>8077</v>
      </c>
      <c r="E189">
        <v>8129</v>
      </c>
      <c r="F189">
        <v>30.6</v>
      </c>
      <c r="G189">
        <v>24.6</v>
      </c>
      <c r="H189">
        <v>1.2439024000000001</v>
      </c>
      <c r="I189">
        <v>-0.24390243</v>
      </c>
      <c r="J189">
        <v>0.4456522</v>
      </c>
    </row>
    <row r="190" spans="1:10" x14ac:dyDescent="0.3">
      <c r="A190">
        <v>188</v>
      </c>
      <c r="B190">
        <v>3025</v>
      </c>
      <c r="C190" t="b">
        <v>1</v>
      </c>
      <c r="D190">
        <v>8071</v>
      </c>
      <c r="E190">
        <v>8134</v>
      </c>
      <c r="F190">
        <v>31</v>
      </c>
      <c r="G190">
        <v>24.2</v>
      </c>
      <c r="H190">
        <v>1.2809917</v>
      </c>
      <c r="I190">
        <v>-0.28099170000000001</v>
      </c>
      <c r="J190">
        <v>0.43840580000000001</v>
      </c>
    </row>
    <row r="191" spans="1:10" x14ac:dyDescent="0.3">
      <c r="A191">
        <v>189</v>
      </c>
      <c r="B191">
        <v>3041</v>
      </c>
      <c r="C191" t="b">
        <v>1</v>
      </c>
      <c r="D191">
        <v>8065</v>
      </c>
      <c r="E191">
        <v>8134</v>
      </c>
      <c r="F191">
        <v>31</v>
      </c>
      <c r="G191">
        <v>23.8</v>
      </c>
      <c r="H191">
        <v>1.3025211000000001</v>
      </c>
      <c r="I191">
        <v>-0.30252105000000001</v>
      </c>
      <c r="J191">
        <v>0.43430656000000001</v>
      </c>
    </row>
    <row r="192" spans="1:10" x14ac:dyDescent="0.3">
      <c r="A192">
        <v>190</v>
      </c>
      <c r="B192">
        <v>3056</v>
      </c>
      <c r="C192" t="b">
        <v>1</v>
      </c>
      <c r="D192">
        <v>8060</v>
      </c>
      <c r="E192">
        <v>8134</v>
      </c>
      <c r="F192">
        <v>30.6</v>
      </c>
      <c r="G192">
        <v>23.4</v>
      </c>
      <c r="H192">
        <v>1.3076923</v>
      </c>
      <c r="I192">
        <v>-0.30769235</v>
      </c>
      <c r="J192">
        <v>0.43333334000000001</v>
      </c>
    </row>
    <row r="193" spans="1:10" x14ac:dyDescent="0.3">
      <c r="A193">
        <v>191</v>
      </c>
      <c r="B193">
        <v>3073</v>
      </c>
      <c r="C193" t="b">
        <v>1</v>
      </c>
      <c r="D193">
        <v>8065</v>
      </c>
      <c r="E193">
        <v>8134</v>
      </c>
      <c r="F193">
        <v>30.2</v>
      </c>
      <c r="G193">
        <v>23</v>
      </c>
      <c r="H193">
        <v>1.3130435</v>
      </c>
      <c r="I193">
        <v>-0.31304349999999997</v>
      </c>
      <c r="J193">
        <v>0.43233082</v>
      </c>
    </row>
    <row r="194" spans="1:10" x14ac:dyDescent="0.3">
      <c r="A194">
        <v>192</v>
      </c>
      <c r="B194">
        <v>3089</v>
      </c>
      <c r="C194" t="b">
        <v>1</v>
      </c>
      <c r="D194">
        <v>8065</v>
      </c>
      <c r="E194">
        <v>8134</v>
      </c>
      <c r="F194">
        <v>29.8</v>
      </c>
      <c r="G194">
        <v>22.2</v>
      </c>
      <c r="H194">
        <v>1.3423423000000001</v>
      </c>
      <c r="I194">
        <v>-0.34234226000000001</v>
      </c>
      <c r="J194">
        <v>0.4269231</v>
      </c>
    </row>
    <row r="195" spans="1:10" x14ac:dyDescent="0.3">
      <c r="A195">
        <v>193</v>
      </c>
      <c r="B195">
        <v>3105</v>
      </c>
      <c r="C195" t="b">
        <v>1</v>
      </c>
      <c r="D195">
        <v>8065</v>
      </c>
      <c r="E195">
        <v>8134</v>
      </c>
      <c r="F195">
        <v>29.4</v>
      </c>
      <c r="G195">
        <v>21.4</v>
      </c>
      <c r="H195">
        <v>1.3738317</v>
      </c>
      <c r="I195">
        <v>-0.37383178</v>
      </c>
      <c r="J195">
        <v>0.42125984999999999</v>
      </c>
    </row>
    <row r="196" spans="1:10" x14ac:dyDescent="0.3">
      <c r="A196">
        <v>194</v>
      </c>
      <c r="B196">
        <v>3120</v>
      </c>
      <c r="C196" t="b">
        <v>1</v>
      </c>
      <c r="D196">
        <v>8065</v>
      </c>
      <c r="E196">
        <v>8134</v>
      </c>
      <c r="F196">
        <v>29</v>
      </c>
      <c r="G196">
        <v>20.6</v>
      </c>
      <c r="H196">
        <v>1.4077668999999999</v>
      </c>
      <c r="I196">
        <v>-0.40776697000000001</v>
      </c>
      <c r="J196">
        <v>0.41532259999999999</v>
      </c>
    </row>
    <row r="197" spans="1:10" x14ac:dyDescent="0.3">
      <c r="A197">
        <v>195</v>
      </c>
      <c r="B197">
        <v>3137</v>
      </c>
      <c r="C197" t="b">
        <v>1</v>
      </c>
      <c r="D197">
        <v>8077</v>
      </c>
      <c r="E197">
        <v>8134</v>
      </c>
      <c r="F197">
        <v>28.6</v>
      </c>
      <c r="G197">
        <v>20.2</v>
      </c>
      <c r="H197">
        <v>1.4158416</v>
      </c>
      <c r="I197">
        <v>-0.41584155</v>
      </c>
      <c r="J197">
        <v>0.41393439999999998</v>
      </c>
    </row>
    <row r="198" spans="1:10" x14ac:dyDescent="0.3">
      <c r="A198">
        <v>196</v>
      </c>
      <c r="B198">
        <v>3152</v>
      </c>
      <c r="C198" t="b">
        <v>1</v>
      </c>
      <c r="D198">
        <v>8077</v>
      </c>
      <c r="E198">
        <v>8134</v>
      </c>
      <c r="F198">
        <v>28.2</v>
      </c>
      <c r="G198">
        <v>19.8</v>
      </c>
      <c r="H198">
        <v>1.4242425000000001</v>
      </c>
      <c r="I198">
        <v>-0.42424253000000001</v>
      </c>
      <c r="J198">
        <v>0.41249999999999998</v>
      </c>
    </row>
    <row r="199" spans="1:10" x14ac:dyDescent="0.3">
      <c r="A199">
        <v>197</v>
      </c>
      <c r="B199">
        <v>3168</v>
      </c>
      <c r="C199" t="b">
        <v>1</v>
      </c>
      <c r="D199">
        <v>8088</v>
      </c>
      <c r="E199">
        <v>8134</v>
      </c>
      <c r="F199">
        <v>28.6</v>
      </c>
      <c r="G199">
        <v>19.399999999999999</v>
      </c>
      <c r="H199">
        <v>1.4742268000000001</v>
      </c>
      <c r="I199">
        <v>-0.47422685999999997</v>
      </c>
      <c r="J199">
        <v>0.40416667000000001</v>
      </c>
    </row>
    <row r="200" spans="1:10" x14ac:dyDescent="0.3">
      <c r="A200">
        <v>198</v>
      </c>
      <c r="B200">
        <v>3184</v>
      </c>
      <c r="C200" t="b">
        <v>1</v>
      </c>
      <c r="D200">
        <v>8088</v>
      </c>
      <c r="E200">
        <v>8134</v>
      </c>
      <c r="F200">
        <v>29</v>
      </c>
      <c r="G200">
        <v>19</v>
      </c>
      <c r="H200">
        <v>1.5263157999999999</v>
      </c>
      <c r="I200">
        <v>-0.5263158</v>
      </c>
      <c r="J200">
        <v>0.39583333999999998</v>
      </c>
    </row>
    <row r="201" spans="1:10" x14ac:dyDescent="0.3">
      <c r="A201">
        <v>199</v>
      </c>
      <c r="B201">
        <v>3200</v>
      </c>
      <c r="C201" t="b">
        <v>1</v>
      </c>
      <c r="D201">
        <v>8077</v>
      </c>
      <c r="E201">
        <v>8140</v>
      </c>
      <c r="F201">
        <v>29.4</v>
      </c>
      <c r="G201">
        <v>19</v>
      </c>
      <c r="H201">
        <v>1.5473684000000001</v>
      </c>
      <c r="I201">
        <v>-0.54736839999999998</v>
      </c>
      <c r="J201">
        <v>0.39256196999999998</v>
      </c>
    </row>
    <row r="202" spans="1:10" x14ac:dyDescent="0.3">
      <c r="A202">
        <v>200</v>
      </c>
      <c r="B202">
        <v>3216</v>
      </c>
      <c r="C202" t="b">
        <v>1</v>
      </c>
      <c r="D202">
        <v>8071</v>
      </c>
      <c r="E202">
        <v>8140</v>
      </c>
      <c r="F202">
        <v>29.8</v>
      </c>
      <c r="G202">
        <v>19</v>
      </c>
      <c r="H202">
        <v>1.5684210000000001</v>
      </c>
      <c r="I202">
        <v>-0.56842099999999995</v>
      </c>
      <c r="J202">
        <v>0.38934426999999999</v>
      </c>
    </row>
    <row r="203" spans="1:10" x14ac:dyDescent="0.3">
      <c r="A203">
        <v>201</v>
      </c>
      <c r="B203">
        <v>3232</v>
      </c>
      <c r="C203" t="b">
        <v>1</v>
      </c>
      <c r="D203">
        <v>8077</v>
      </c>
      <c r="E203">
        <v>8146</v>
      </c>
      <c r="F203">
        <v>30.2</v>
      </c>
      <c r="G203">
        <v>19.399999999999999</v>
      </c>
      <c r="H203">
        <v>1.5567010999999999</v>
      </c>
      <c r="I203">
        <v>-0.55670109999999995</v>
      </c>
      <c r="J203">
        <v>0.39112904999999998</v>
      </c>
    </row>
    <row r="204" spans="1:10" x14ac:dyDescent="0.3">
      <c r="A204">
        <v>202</v>
      </c>
      <c r="B204">
        <v>3247</v>
      </c>
      <c r="C204" t="b">
        <v>1</v>
      </c>
      <c r="D204">
        <v>8077</v>
      </c>
      <c r="E204">
        <v>8146</v>
      </c>
      <c r="F204">
        <v>30.6</v>
      </c>
      <c r="G204">
        <v>19.8</v>
      </c>
      <c r="H204">
        <v>1.5454546</v>
      </c>
      <c r="I204">
        <v>-0.54545460000000001</v>
      </c>
      <c r="J204">
        <v>0.39285710000000001</v>
      </c>
    </row>
    <row r="205" spans="1:10" x14ac:dyDescent="0.3">
      <c r="A205">
        <v>203</v>
      </c>
      <c r="B205">
        <v>3263</v>
      </c>
      <c r="C205" t="b">
        <v>1</v>
      </c>
      <c r="D205">
        <v>8077</v>
      </c>
      <c r="E205">
        <v>8146</v>
      </c>
      <c r="F205">
        <v>31</v>
      </c>
      <c r="G205">
        <v>20.6</v>
      </c>
      <c r="H205">
        <v>1.5048543000000001</v>
      </c>
      <c r="I205">
        <v>-0.50485429999999998</v>
      </c>
      <c r="J205">
        <v>0.39922481999999998</v>
      </c>
    </row>
    <row r="206" spans="1:10" x14ac:dyDescent="0.3">
      <c r="A206">
        <v>204</v>
      </c>
      <c r="B206">
        <v>3279</v>
      </c>
      <c r="C206" t="b">
        <v>1</v>
      </c>
      <c r="D206">
        <v>8071</v>
      </c>
      <c r="E206">
        <v>8140</v>
      </c>
      <c r="F206">
        <v>31.4</v>
      </c>
      <c r="G206">
        <v>21.4</v>
      </c>
      <c r="H206">
        <v>1.4672897</v>
      </c>
      <c r="I206">
        <v>-0.46728972000000002</v>
      </c>
      <c r="J206">
        <v>0.40530303000000001</v>
      </c>
    </row>
    <row r="207" spans="1:10" x14ac:dyDescent="0.3">
      <c r="A207">
        <v>205</v>
      </c>
      <c r="B207">
        <v>3295</v>
      </c>
      <c r="C207" t="b">
        <v>1</v>
      </c>
      <c r="D207">
        <v>8071</v>
      </c>
      <c r="E207">
        <v>8134</v>
      </c>
      <c r="F207">
        <v>32.200000000000003</v>
      </c>
      <c r="G207">
        <v>22.2</v>
      </c>
      <c r="H207">
        <v>1.4504504</v>
      </c>
      <c r="I207">
        <v>-0.45045042000000002</v>
      </c>
      <c r="J207">
        <v>0.40808823999999999</v>
      </c>
    </row>
    <row r="208" spans="1:10" x14ac:dyDescent="0.3">
      <c r="A208">
        <v>206</v>
      </c>
      <c r="B208">
        <v>3311</v>
      </c>
      <c r="C208" t="b">
        <v>1</v>
      </c>
      <c r="D208">
        <v>8065</v>
      </c>
      <c r="E208">
        <v>8134</v>
      </c>
      <c r="F208">
        <v>32.6</v>
      </c>
      <c r="G208">
        <v>22.6</v>
      </c>
      <c r="H208">
        <v>1.4424778</v>
      </c>
      <c r="I208">
        <v>-0.44247779999999998</v>
      </c>
      <c r="J208">
        <v>0.40942030000000001</v>
      </c>
    </row>
    <row r="209" spans="1:10" x14ac:dyDescent="0.3">
      <c r="A209">
        <v>207</v>
      </c>
      <c r="B209">
        <v>3326</v>
      </c>
      <c r="C209" t="b">
        <v>1</v>
      </c>
      <c r="D209">
        <v>8065</v>
      </c>
      <c r="E209">
        <v>8146</v>
      </c>
      <c r="F209">
        <v>33</v>
      </c>
      <c r="G209">
        <v>23</v>
      </c>
      <c r="H209">
        <v>1.4347825999999999</v>
      </c>
      <c r="I209">
        <v>-0.43478260000000002</v>
      </c>
      <c r="J209">
        <v>0.41071429999999998</v>
      </c>
    </row>
    <row r="210" spans="1:10" x14ac:dyDescent="0.3">
      <c r="A210">
        <v>208</v>
      </c>
      <c r="B210">
        <v>3342</v>
      </c>
      <c r="C210" t="b">
        <v>1</v>
      </c>
      <c r="D210">
        <v>8083</v>
      </c>
      <c r="E210">
        <v>8140</v>
      </c>
      <c r="F210">
        <v>33.4</v>
      </c>
      <c r="G210">
        <v>23.4</v>
      </c>
      <c r="H210">
        <v>1.4273505</v>
      </c>
      <c r="I210">
        <v>-0.42735052000000001</v>
      </c>
      <c r="J210">
        <v>0.4119718</v>
      </c>
    </row>
    <row r="211" spans="1:10" x14ac:dyDescent="0.3">
      <c r="A211">
        <v>209</v>
      </c>
      <c r="B211">
        <v>3359</v>
      </c>
      <c r="C211" t="b">
        <v>1</v>
      </c>
      <c r="D211">
        <v>8077</v>
      </c>
      <c r="E211">
        <v>8140</v>
      </c>
      <c r="F211">
        <v>33.799999999999997</v>
      </c>
      <c r="G211">
        <v>23.8</v>
      </c>
      <c r="H211">
        <v>1.4201680000000001</v>
      </c>
      <c r="I211">
        <v>-0.42016807</v>
      </c>
      <c r="J211">
        <v>0.41319444999999999</v>
      </c>
    </row>
    <row r="212" spans="1:10" x14ac:dyDescent="0.3">
      <c r="A212">
        <v>210</v>
      </c>
      <c r="B212">
        <v>3374</v>
      </c>
      <c r="C212" t="b">
        <v>1</v>
      </c>
      <c r="D212">
        <v>8077</v>
      </c>
      <c r="E212">
        <v>8146</v>
      </c>
      <c r="F212">
        <v>34.6</v>
      </c>
      <c r="G212">
        <v>24.2</v>
      </c>
      <c r="H212">
        <v>1.4297519999999999</v>
      </c>
      <c r="I212">
        <v>-0.42975195999999999</v>
      </c>
      <c r="J212">
        <v>0.41156464999999998</v>
      </c>
    </row>
    <row r="213" spans="1:10" x14ac:dyDescent="0.3">
      <c r="A213">
        <v>211</v>
      </c>
      <c r="B213">
        <v>3390</v>
      </c>
      <c r="C213" t="b">
        <v>1</v>
      </c>
      <c r="D213">
        <v>8077</v>
      </c>
      <c r="E213">
        <v>8146</v>
      </c>
      <c r="F213">
        <v>35.4</v>
      </c>
      <c r="G213">
        <v>25</v>
      </c>
      <c r="H213">
        <v>1.4159999999999999</v>
      </c>
      <c r="I213">
        <v>-0.41600007</v>
      </c>
      <c r="J213">
        <v>0.41390726</v>
      </c>
    </row>
    <row r="214" spans="1:10" x14ac:dyDescent="0.3">
      <c r="A214">
        <v>212</v>
      </c>
      <c r="B214">
        <v>3406</v>
      </c>
      <c r="C214" t="b">
        <v>1</v>
      </c>
      <c r="D214">
        <v>8077</v>
      </c>
      <c r="E214">
        <v>8134</v>
      </c>
      <c r="F214">
        <v>35.4</v>
      </c>
      <c r="G214">
        <v>25.4</v>
      </c>
      <c r="H214">
        <v>1.3937008</v>
      </c>
      <c r="I214">
        <v>-0.39370086999999998</v>
      </c>
      <c r="J214">
        <v>0.41776313999999998</v>
      </c>
    </row>
    <row r="215" spans="1:10" x14ac:dyDescent="0.3">
      <c r="A215">
        <v>213</v>
      </c>
      <c r="B215">
        <v>3422</v>
      </c>
      <c r="C215" t="b">
        <v>1</v>
      </c>
      <c r="D215">
        <v>8077</v>
      </c>
      <c r="E215">
        <v>8134</v>
      </c>
      <c r="F215">
        <v>35.4</v>
      </c>
      <c r="G215">
        <v>25.8</v>
      </c>
      <c r="H215">
        <v>1.3720931000000001</v>
      </c>
      <c r="I215">
        <v>-0.37209310000000001</v>
      </c>
      <c r="J215">
        <v>0.42156860000000002</v>
      </c>
    </row>
    <row r="216" spans="1:10" x14ac:dyDescent="0.3">
      <c r="A216">
        <v>214</v>
      </c>
      <c r="B216">
        <v>3438</v>
      </c>
      <c r="C216" t="b">
        <v>1</v>
      </c>
      <c r="D216">
        <v>8065</v>
      </c>
      <c r="E216">
        <v>8134</v>
      </c>
      <c r="F216">
        <v>35.4</v>
      </c>
      <c r="G216">
        <v>25.8</v>
      </c>
      <c r="H216">
        <v>1.3720931000000001</v>
      </c>
      <c r="I216">
        <v>-0.37209310000000001</v>
      </c>
      <c r="J216">
        <v>0.42156860000000002</v>
      </c>
    </row>
    <row r="217" spans="1:10" x14ac:dyDescent="0.3">
      <c r="A217">
        <v>215</v>
      </c>
      <c r="B217">
        <v>3453</v>
      </c>
      <c r="C217" t="b">
        <v>1</v>
      </c>
      <c r="D217">
        <v>8065</v>
      </c>
      <c r="E217">
        <v>8140</v>
      </c>
      <c r="F217">
        <v>35.4</v>
      </c>
      <c r="G217">
        <v>25.8</v>
      </c>
      <c r="H217">
        <v>1.3720931000000001</v>
      </c>
      <c r="I217">
        <v>-0.37209310000000001</v>
      </c>
      <c r="J217">
        <v>0.42156860000000002</v>
      </c>
    </row>
    <row r="218" spans="1:10" x14ac:dyDescent="0.3">
      <c r="A218">
        <v>216</v>
      </c>
      <c r="B218">
        <v>3469</v>
      </c>
      <c r="C218" t="b">
        <v>1</v>
      </c>
      <c r="D218">
        <v>8065</v>
      </c>
      <c r="E218">
        <v>8134</v>
      </c>
      <c r="F218">
        <v>34.6</v>
      </c>
      <c r="G218">
        <v>25.4</v>
      </c>
      <c r="H218">
        <v>1.3622046999999999</v>
      </c>
      <c r="I218">
        <v>-0.36220467000000001</v>
      </c>
      <c r="J218">
        <v>0.42333332000000001</v>
      </c>
    </row>
    <row r="219" spans="1:10" x14ac:dyDescent="0.3">
      <c r="A219">
        <v>217</v>
      </c>
      <c r="B219">
        <v>3485</v>
      </c>
      <c r="C219" t="b">
        <v>1</v>
      </c>
      <c r="D219">
        <v>8065</v>
      </c>
      <c r="E219">
        <v>8134</v>
      </c>
      <c r="F219">
        <v>33.799999999999997</v>
      </c>
      <c r="G219">
        <v>25</v>
      </c>
      <c r="H219">
        <v>1.3520000000000001</v>
      </c>
      <c r="I219">
        <v>-0.35199997</v>
      </c>
      <c r="J219">
        <v>0.42517006000000002</v>
      </c>
    </row>
    <row r="220" spans="1:10" x14ac:dyDescent="0.3">
      <c r="A220">
        <v>218</v>
      </c>
      <c r="B220">
        <v>3501</v>
      </c>
      <c r="C220" t="b">
        <v>1</v>
      </c>
      <c r="D220">
        <v>8065</v>
      </c>
      <c r="E220">
        <v>8134</v>
      </c>
      <c r="F220">
        <v>33</v>
      </c>
      <c r="G220">
        <v>24.2</v>
      </c>
      <c r="H220">
        <v>1.3636364000000001</v>
      </c>
      <c r="I220">
        <v>-0.36363630000000002</v>
      </c>
      <c r="J220">
        <v>0.42307693000000002</v>
      </c>
    </row>
    <row r="221" spans="1:10" x14ac:dyDescent="0.3">
      <c r="A221">
        <v>219</v>
      </c>
      <c r="B221">
        <v>3517</v>
      </c>
      <c r="C221" t="b">
        <v>1</v>
      </c>
      <c r="D221">
        <v>8060</v>
      </c>
      <c r="E221">
        <v>8129</v>
      </c>
      <c r="F221">
        <v>32.200000000000003</v>
      </c>
      <c r="G221">
        <v>23.4</v>
      </c>
      <c r="H221">
        <v>1.3760684999999999</v>
      </c>
      <c r="I221">
        <v>-0.37606844</v>
      </c>
      <c r="J221">
        <v>0.4208633</v>
      </c>
    </row>
    <row r="222" spans="1:10" x14ac:dyDescent="0.3">
      <c r="A222">
        <v>220</v>
      </c>
      <c r="B222">
        <v>3533</v>
      </c>
      <c r="C222" t="b">
        <v>1</v>
      </c>
      <c r="D222">
        <v>8071</v>
      </c>
      <c r="E222">
        <v>8140</v>
      </c>
      <c r="F222">
        <v>31.4</v>
      </c>
      <c r="G222">
        <v>22.6</v>
      </c>
      <c r="H222">
        <v>1.3893804999999999</v>
      </c>
      <c r="I222">
        <v>-0.38938047999999997</v>
      </c>
      <c r="J222">
        <v>0.41851850000000002</v>
      </c>
    </row>
    <row r="223" spans="1:10" x14ac:dyDescent="0.3">
      <c r="A223">
        <v>221</v>
      </c>
      <c r="B223">
        <v>3549</v>
      </c>
      <c r="C223" t="b">
        <v>1</v>
      </c>
      <c r="D223">
        <v>8077</v>
      </c>
      <c r="E223">
        <v>8134</v>
      </c>
      <c r="F223">
        <v>31</v>
      </c>
      <c r="G223">
        <v>22.2</v>
      </c>
      <c r="H223">
        <v>1.3963964</v>
      </c>
      <c r="I223">
        <v>-0.39639634000000001</v>
      </c>
      <c r="J223">
        <v>0.41729325</v>
      </c>
    </row>
    <row r="224" spans="1:10" x14ac:dyDescent="0.3">
      <c r="A224">
        <v>222</v>
      </c>
      <c r="B224">
        <v>3564</v>
      </c>
      <c r="C224" t="b">
        <v>1</v>
      </c>
      <c r="D224">
        <v>8077</v>
      </c>
      <c r="E224">
        <v>8134</v>
      </c>
      <c r="F224">
        <v>31</v>
      </c>
      <c r="G224">
        <v>21.8</v>
      </c>
      <c r="H224">
        <v>1.4220184</v>
      </c>
      <c r="I224">
        <v>-0.42201840000000002</v>
      </c>
      <c r="J224">
        <v>0.41287878</v>
      </c>
    </row>
    <row r="225" spans="1:10" x14ac:dyDescent="0.3">
      <c r="A225">
        <v>223</v>
      </c>
      <c r="B225">
        <v>3580</v>
      </c>
      <c r="C225" t="b">
        <v>1</v>
      </c>
      <c r="D225">
        <v>8077</v>
      </c>
      <c r="E225">
        <v>8134</v>
      </c>
      <c r="F225">
        <v>31.4</v>
      </c>
      <c r="G225">
        <v>21.4</v>
      </c>
      <c r="H225">
        <v>1.4672897</v>
      </c>
      <c r="I225">
        <v>-0.46728972000000002</v>
      </c>
      <c r="J225">
        <v>0.40530303000000001</v>
      </c>
    </row>
    <row r="226" spans="1:10" x14ac:dyDescent="0.3">
      <c r="A226">
        <v>224</v>
      </c>
      <c r="B226">
        <v>3596</v>
      </c>
      <c r="C226" t="b">
        <v>1</v>
      </c>
      <c r="D226">
        <v>8071</v>
      </c>
      <c r="E226">
        <v>8134</v>
      </c>
      <c r="F226">
        <v>31.8</v>
      </c>
      <c r="G226">
        <v>21</v>
      </c>
      <c r="H226">
        <v>1.5142857000000001</v>
      </c>
      <c r="I226">
        <v>-0.51428569999999996</v>
      </c>
      <c r="J226">
        <v>0.39772728000000002</v>
      </c>
    </row>
    <row r="227" spans="1:10" x14ac:dyDescent="0.3">
      <c r="A227">
        <v>225</v>
      </c>
      <c r="B227">
        <v>3612</v>
      </c>
      <c r="C227" t="b">
        <v>1</v>
      </c>
      <c r="D227">
        <v>8065</v>
      </c>
      <c r="E227">
        <v>8134</v>
      </c>
      <c r="F227">
        <v>31.8</v>
      </c>
      <c r="G227">
        <v>20.6</v>
      </c>
      <c r="H227">
        <v>1.5436893</v>
      </c>
      <c r="I227">
        <v>-0.54368925000000001</v>
      </c>
      <c r="J227">
        <v>0.39312976999999999</v>
      </c>
    </row>
    <row r="228" spans="1:10" x14ac:dyDescent="0.3">
      <c r="A228">
        <v>226</v>
      </c>
      <c r="B228">
        <v>3628</v>
      </c>
      <c r="C228" t="b">
        <v>1</v>
      </c>
      <c r="D228">
        <v>8077</v>
      </c>
      <c r="E228">
        <v>8134</v>
      </c>
      <c r="F228">
        <v>31.8</v>
      </c>
      <c r="G228">
        <v>19.8</v>
      </c>
      <c r="H228">
        <v>1.6060605999999999</v>
      </c>
      <c r="I228">
        <v>-0.60606059999999995</v>
      </c>
      <c r="J228">
        <v>0.38372093000000002</v>
      </c>
    </row>
    <row r="229" spans="1:10" x14ac:dyDescent="0.3">
      <c r="A229">
        <v>227</v>
      </c>
      <c r="B229">
        <v>3644</v>
      </c>
      <c r="C229" t="b">
        <v>1</v>
      </c>
      <c r="D229">
        <v>8071</v>
      </c>
      <c r="E229">
        <v>8134</v>
      </c>
      <c r="F229">
        <v>31.4</v>
      </c>
      <c r="G229">
        <v>19.399999999999999</v>
      </c>
      <c r="H229">
        <v>1.6185567000000001</v>
      </c>
      <c r="I229">
        <v>-0.61855674000000005</v>
      </c>
      <c r="J229">
        <v>0.38188976000000002</v>
      </c>
    </row>
    <row r="230" spans="1:10" x14ac:dyDescent="0.3">
      <c r="A230">
        <v>228</v>
      </c>
      <c r="B230">
        <v>3660</v>
      </c>
      <c r="C230" t="b">
        <v>1</v>
      </c>
      <c r="D230">
        <v>8071</v>
      </c>
      <c r="E230">
        <v>8134</v>
      </c>
      <c r="F230">
        <v>31</v>
      </c>
      <c r="G230">
        <v>19</v>
      </c>
      <c r="H230">
        <v>1.6315789000000001</v>
      </c>
      <c r="I230">
        <v>-0.63157890000000005</v>
      </c>
      <c r="J230">
        <v>0.38</v>
      </c>
    </row>
    <row r="231" spans="1:10" x14ac:dyDescent="0.3">
      <c r="A231">
        <v>229</v>
      </c>
      <c r="B231">
        <v>3676</v>
      </c>
      <c r="C231" t="b">
        <v>1</v>
      </c>
      <c r="D231">
        <v>8077</v>
      </c>
      <c r="E231">
        <v>8129</v>
      </c>
      <c r="F231">
        <v>30.6</v>
      </c>
      <c r="G231">
        <v>19</v>
      </c>
      <c r="H231">
        <v>1.6105263000000001</v>
      </c>
      <c r="I231">
        <v>-0.61052629999999997</v>
      </c>
      <c r="J231">
        <v>0.38306454000000001</v>
      </c>
    </row>
    <row r="232" spans="1:10" x14ac:dyDescent="0.3">
      <c r="A232">
        <v>230</v>
      </c>
      <c r="B232">
        <v>3691</v>
      </c>
      <c r="C232" t="b">
        <v>1</v>
      </c>
      <c r="D232">
        <v>8077</v>
      </c>
      <c r="E232">
        <v>8134</v>
      </c>
      <c r="F232">
        <v>30.6</v>
      </c>
      <c r="G232">
        <v>19</v>
      </c>
      <c r="H232">
        <v>1.6105263000000001</v>
      </c>
      <c r="I232">
        <v>-0.61052629999999997</v>
      </c>
      <c r="J232">
        <v>0.38306454000000001</v>
      </c>
    </row>
    <row r="233" spans="1:10" x14ac:dyDescent="0.3">
      <c r="A233">
        <v>231</v>
      </c>
      <c r="B233">
        <v>3707</v>
      </c>
      <c r="C233" t="b">
        <v>1</v>
      </c>
      <c r="D233">
        <v>8065</v>
      </c>
      <c r="E233">
        <v>8140</v>
      </c>
      <c r="F233">
        <v>31</v>
      </c>
      <c r="G233">
        <v>19</v>
      </c>
      <c r="H233">
        <v>1.6315789000000001</v>
      </c>
      <c r="I233">
        <v>-0.63157890000000005</v>
      </c>
      <c r="J233">
        <v>0.38</v>
      </c>
    </row>
    <row r="234" spans="1:10" x14ac:dyDescent="0.3">
      <c r="A234">
        <v>232</v>
      </c>
      <c r="B234">
        <v>3723</v>
      </c>
      <c r="C234" t="b">
        <v>1</v>
      </c>
      <c r="D234">
        <v>8065</v>
      </c>
      <c r="E234">
        <v>8134</v>
      </c>
      <c r="F234">
        <v>31.4</v>
      </c>
      <c r="G234">
        <v>19</v>
      </c>
      <c r="H234">
        <v>1.6526315</v>
      </c>
      <c r="I234">
        <v>-0.65263159999999998</v>
      </c>
      <c r="J234">
        <v>0.37698411999999998</v>
      </c>
    </row>
    <row r="235" spans="1:10" x14ac:dyDescent="0.3">
      <c r="A235">
        <v>233</v>
      </c>
      <c r="B235">
        <v>3739</v>
      </c>
      <c r="C235" t="b">
        <v>1</v>
      </c>
      <c r="D235">
        <v>8060</v>
      </c>
      <c r="E235">
        <v>8134</v>
      </c>
      <c r="F235">
        <v>31.4</v>
      </c>
      <c r="G235">
        <v>19</v>
      </c>
      <c r="H235">
        <v>1.6526315</v>
      </c>
      <c r="I235">
        <v>-0.65263159999999998</v>
      </c>
      <c r="J235">
        <v>0.37698411999999998</v>
      </c>
    </row>
    <row r="236" spans="1:10" x14ac:dyDescent="0.3">
      <c r="A236">
        <v>234</v>
      </c>
      <c r="B236">
        <v>3755</v>
      </c>
      <c r="C236" t="b">
        <v>1</v>
      </c>
      <c r="D236">
        <v>8065</v>
      </c>
      <c r="E236">
        <v>8140</v>
      </c>
      <c r="F236">
        <v>31.4</v>
      </c>
      <c r="G236">
        <v>19</v>
      </c>
      <c r="H236">
        <v>1.6526315</v>
      </c>
      <c r="I236">
        <v>-0.65263159999999998</v>
      </c>
      <c r="J236">
        <v>0.37698411999999998</v>
      </c>
    </row>
    <row r="237" spans="1:10" x14ac:dyDescent="0.3">
      <c r="A237">
        <v>235</v>
      </c>
      <c r="B237">
        <v>3771</v>
      </c>
      <c r="C237" t="b">
        <v>1</v>
      </c>
      <c r="D237">
        <v>8077</v>
      </c>
      <c r="E237">
        <v>8134</v>
      </c>
      <c r="F237">
        <v>31.4</v>
      </c>
      <c r="G237">
        <v>19</v>
      </c>
      <c r="H237">
        <v>1.6526315</v>
      </c>
      <c r="I237">
        <v>-0.65263159999999998</v>
      </c>
      <c r="J237">
        <v>0.37698411999999998</v>
      </c>
    </row>
    <row r="238" spans="1:10" x14ac:dyDescent="0.3">
      <c r="A238">
        <v>236</v>
      </c>
      <c r="B238">
        <v>3787</v>
      </c>
      <c r="C238" t="b">
        <v>1</v>
      </c>
      <c r="D238">
        <v>8077</v>
      </c>
      <c r="E238">
        <v>8140</v>
      </c>
      <c r="F238">
        <v>31.4</v>
      </c>
      <c r="G238">
        <v>19</v>
      </c>
      <c r="H238">
        <v>1.6526315</v>
      </c>
      <c r="I238">
        <v>-0.65263159999999998</v>
      </c>
      <c r="J238">
        <v>0.37698411999999998</v>
      </c>
    </row>
    <row r="239" spans="1:10" x14ac:dyDescent="0.3">
      <c r="A239">
        <v>237</v>
      </c>
      <c r="B239">
        <v>3803</v>
      </c>
      <c r="C239" t="b">
        <v>1</v>
      </c>
      <c r="D239">
        <v>8065</v>
      </c>
      <c r="E239">
        <v>8140</v>
      </c>
      <c r="F239">
        <v>31</v>
      </c>
      <c r="G239">
        <v>19.399999999999999</v>
      </c>
      <c r="H239">
        <v>1.5979382</v>
      </c>
      <c r="I239">
        <v>-0.59793819999999998</v>
      </c>
      <c r="J239">
        <v>0.38492062999999999</v>
      </c>
    </row>
    <row r="240" spans="1:10" x14ac:dyDescent="0.3">
      <c r="A240">
        <v>238</v>
      </c>
      <c r="B240">
        <v>3819</v>
      </c>
      <c r="C240" t="b">
        <v>1</v>
      </c>
      <c r="D240">
        <v>8065</v>
      </c>
      <c r="E240">
        <v>8140</v>
      </c>
      <c r="F240">
        <v>30.2</v>
      </c>
      <c r="G240">
        <v>19.8</v>
      </c>
      <c r="H240">
        <v>1.5252526</v>
      </c>
      <c r="I240">
        <v>-0.52525264000000005</v>
      </c>
      <c r="J240">
        <v>0.39600000000000002</v>
      </c>
    </row>
    <row r="241" spans="1:10" x14ac:dyDescent="0.3">
      <c r="A241">
        <v>239</v>
      </c>
      <c r="B241">
        <v>3835</v>
      </c>
      <c r="C241" t="b">
        <v>1</v>
      </c>
      <c r="D241">
        <v>8065</v>
      </c>
      <c r="E241">
        <v>8146</v>
      </c>
      <c r="F241">
        <v>29.4</v>
      </c>
      <c r="G241">
        <v>20.2</v>
      </c>
      <c r="H241">
        <v>1.4554454999999999</v>
      </c>
      <c r="I241">
        <v>-0.45544547000000002</v>
      </c>
      <c r="J241">
        <v>0.40725810000000001</v>
      </c>
    </row>
    <row r="242" spans="1:10" x14ac:dyDescent="0.3">
      <c r="A242">
        <v>240</v>
      </c>
      <c r="B242">
        <v>3850</v>
      </c>
      <c r="C242" t="b">
        <v>1</v>
      </c>
      <c r="D242">
        <v>8077</v>
      </c>
      <c r="E242">
        <v>8146</v>
      </c>
      <c r="F242">
        <v>28.6</v>
      </c>
      <c r="G242">
        <v>20.6</v>
      </c>
      <c r="H242">
        <v>1.3883494999999999</v>
      </c>
      <c r="I242">
        <v>-0.38834950000000001</v>
      </c>
      <c r="J242">
        <v>0.41869918</v>
      </c>
    </row>
    <row r="243" spans="1:10" x14ac:dyDescent="0.3">
      <c r="A243">
        <v>241</v>
      </c>
      <c r="B243">
        <v>3866</v>
      </c>
      <c r="C243" t="b">
        <v>1</v>
      </c>
      <c r="D243">
        <v>8065</v>
      </c>
      <c r="E243">
        <v>8140</v>
      </c>
      <c r="F243">
        <v>27.8</v>
      </c>
      <c r="G243">
        <v>21</v>
      </c>
      <c r="H243">
        <v>1.3238095000000001</v>
      </c>
      <c r="I243">
        <v>-0.32380946999999999</v>
      </c>
      <c r="J243">
        <v>0.43032786000000001</v>
      </c>
    </row>
    <row r="244" spans="1:10" x14ac:dyDescent="0.3">
      <c r="A244">
        <v>242</v>
      </c>
      <c r="B244">
        <v>3882</v>
      </c>
      <c r="C244" t="b">
        <v>1</v>
      </c>
      <c r="D244">
        <v>8088</v>
      </c>
      <c r="E244">
        <v>8140</v>
      </c>
      <c r="F244">
        <v>27.4</v>
      </c>
      <c r="G244">
        <v>21.4</v>
      </c>
      <c r="H244">
        <v>1.2803738</v>
      </c>
      <c r="I244">
        <v>-0.28037383999999999</v>
      </c>
      <c r="J244">
        <v>0.43852459999999999</v>
      </c>
    </row>
    <row r="245" spans="1:10" x14ac:dyDescent="0.3">
      <c r="A245">
        <v>243</v>
      </c>
      <c r="B245">
        <v>3898</v>
      </c>
      <c r="C245" t="b">
        <v>1</v>
      </c>
      <c r="D245">
        <v>8077</v>
      </c>
      <c r="E245">
        <v>8134</v>
      </c>
      <c r="F245">
        <v>27.8</v>
      </c>
      <c r="G245">
        <v>21.8</v>
      </c>
      <c r="H245">
        <v>1.2752292999999999</v>
      </c>
      <c r="I245">
        <v>-0.27522935999999998</v>
      </c>
      <c r="J245">
        <v>0.43951613</v>
      </c>
    </row>
    <row r="246" spans="1:10" x14ac:dyDescent="0.3">
      <c r="A246">
        <v>244</v>
      </c>
      <c r="B246">
        <v>3914</v>
      </c>
      <c r="C246" t="b">
        <v>1</v>
      </c>
      <c r="D246">
        <v>8071</v>
      </c>
      <c r="E246">
        <v>8134</v>
      </c>
      <c r="F246">
        <v>28.2</v>
      </c>
      <c r="G246">
        <v>22.2</v>
      </c>
      <c r="H246">
        <v>1.2702701999999999</v>
      </c>
      <c r="I246">
        <v>-0.27027025999999998</v>
      </c>
      <c r="J246">
        <v>0.44047617999999999</v>
      </c>
    </row>
    <row r="247" spans="1:10" x14ac:dyDescent="0.3">
      <c r="A247">
        <v>245</v>
      </c>
      <c r="B247">
        <v>3929</v>
      </c>
      <c r="C247" t="b">
        <v>1</v>
      </c>
      <c r="D247">
        <v>8065</v>
      </c>
      <c r="E247">
        <v>8134</v>
      </c>
      <c r="F247">
        <v>27.8</v>
      </c>
      <c r="G247">
        <v>22.2</v>
      </c>
      <c r="H247">
        <v>1.2522522</v>
      </c>
      <c r="I247">
        <v>-0.25225216</v>
      </c>
      <c r="J247">
        <v>0.44400000000000001</v>
      </c>
    </row>
    <row r="248" spans="1:10" x14ac:dyDescent="0.3">
      <c r="A248">
        <v>246</v>
      </c>
      <c r="B248">
        <v>3945</v>
      </c>
      <c r="C248" t="b">
        <v>1</v>
      </c>
      <c r="D248">
        <v>8071</v>
      </c>
      <c r="E248">
        <v>8134</v>
      </c>
      <c r="F248">
        <v>27.8</v>
      </c>
      <c r="G248">
        <v>22.2</v>
      </c>
      <c r="H248">
        <v>1.2522522</v>
      </c>
      <c r="I248">
        <v>-0.25225216</v>
      </c>
      <c r="J248">
        <v>0.44400000000000001</v>
      </c>
    </row>
    <row r="249" spans="1:10" x14ac:dyDescent="0.3">
      <c r="A249">
        <v>247</v>
      </c>
      <c r="B249">
        <v>3961</v>
      </c>
      <c r="C249" t="b">
        <v>1</v>
      </c>
      <c r="D249">
        <v>8077</v>
      </c>
      <c r="E249">
        <v>8140</v>
      </c>
      <c r="F249">
        <v>27.8</v>
      </c>
      <c r="G249">
        <v>22.2</v>
      </c>
      <c r="H249">
        <v>1.2522522</v>
      </c>
      <c r="I249">
        <v>-0.25225216</v>
      </c>
      <c r="J249">
        <v>0.44400000000000001</v>
      </c>
    </row>
    <row r="250" spans="1:10" x14ac:dyDescent="0.3">
      <c r="A250">
        <v>248</v>
      </c>
      <c r="B250">
        <v>3977</v>
      </c>
      <c r="C250" t="b">
        <v>1</v>
      </c>
      <c r="D250">
        <v>8077</v>
      </c>
      <c r="E250">
        <v>8134</v>
      </c>
      <c r="F250">
        <v>28.2</v>
      </c>
      <c r="G250">
        <v>22.2</v>
      </c>
      <c r="H250">
        <v>1.2702701999999999</v>
      </c>
      <c r="I250">
        <v>-0.27027025999999998</v>
      </c>
      <c r="J250">
        <v>0.44047617999999999</v>
      </c>
    </row>
    <row r="251" spans="1:10" x14ac:dyDescent="0.3">
      <c r="A251">
        <v>249</v>
      </c>
      <c r="B251">
        <v>3993</v>
      </c>
      <c r="C251" t="b">
        <v>1</v>
      </c>
      <c r="D251">
        <v>8083</v>
      </c>
      <c r="E251">
        <v>8140</v>
      </c>
      <c r="F251">
        <v>29</v>
      </c>
      <c r="G251">
        <v>22.2</v>
      </c>
      <c r="H251">
        <v>1.3063062000000001</v>
      </c>
      <c r="I251">
        <v>-0.30630626999999999</v>
      </c>
      <c r="J251">
        <v>0.43359375</v>
      </c>
    </row>
    <row r="252" spans="1:10" x14ac:dyDescent="0.3">
      <c r="A252">
        <v>250</v>
      </c>
      <c r="B252">
        <v>4008</v>
      </c>
      <c r="C252" t="b">
        <v>1</v>
      </c>
      <c r="D252">
        <v>8077</v>
      </c>
      <c r="E252">
        <v>8134</v>
      </c>
      <c r="F252">
        <v>29.8</v>
      </c>
      <c r="G252">
        <v>22.2</v>
      </c>
      <c r="H252">
        <v>1.3423423000000001</v>
      </c>
      <c r="I252">
        <v>-0.34234226000000001</v>
      </c>
      <c r="J252">
        <v>0.4269231</v>
      </c>
    </row>
    <row r="253" spans="1:10" x14ac:dyDescent="0.3">
      <c r="A253">
        <v>251</v>
      </c>
      <c r="B253">
        <v>4024</v>
      </c>
      <c r="C253" t="b">
        <v>1</v>
      </c>
      <c r="D253">
        <v>8071</v>
      </c>
      <c r="E253">
        <v>8134</v>
      </c>
      <c r="F253">
        <v>30.6</v>
      </c>
      <c r="G253">
        <v>22.2</v>
      </c>
      <c r="H253">
        <v>1.3783783999999999</v>
      </c>
      <c r="I253">
        <v>-0.37837836000000002</v>
      </c>
      <c r="J253">
        <v>0.42045452999999999</v>
      </c>
    </row>
    <row r="254" spans="1:10" x14ac:dyDescent="0.3">
      <c r="A254">
        <v>252</v>
      </c>
      <c r="B254">
        <v>4040</v>
      </c>
      <c r="C254" t="b">
        <v>1</v>
      </c>
      <c r="D254">
        <v>8071</v>
      </c>
      <c r="E254">
        <v>8134</v>
      </c>
      <c r="F254">
        <v>31.4</v>
      </c>
      <c r="G254">
        <v>21.8</v>
      </c>
      <c r="H254">
        <v>1.440367</v>
      </c>
      <c r="I254">
        <v>-0.44036700000000001</v>
      </c>
      <c r="J254">
        <v>0.40977445000000001</v>
      </c>
    </row>
    <row r="255" spans="1:10" x14ac:dyDescent="0.3">
      <c r="A255">
        <v>253</v>
      </c>
      <c r="B255">
        <v>4056</v>
      </c>
      <c r="C255" t="b">
        <v>1</v>
      </c>
      <c r="D255">
        <v>8065</v>
      </c>
      <c r="E255">
        <v>8134</v>
      </c>
      <c r="F255">
        <v>31.8</v>
      </c>
      <c r="G255">
        <v>21.4</v>
      </c>
      <c r="H255">
        <v>1.4859812999999999</v>
      </c>
      <c r="I255">
        <v>-0.4859813</v>
      </c>
      <c r="J255">
        <v>0.40225565000000002</v>
      </c>
    </row>
    <row r="256" spans="1:10" x14ac:dyDescent="0.3">
      <c r="A256">
        <v>254</v>
      </c>
      <c r="B256">
        <v>4072</v>
      </c>
      <c r="C256" t="b">
        <v>1</v>
      </c>
      <c r="D256">
        <v>8071</v>
      </c>
      <c r="E256">
        <v>8129</v>
      </c>
      <c r="F256">
        <v>32.200000000000003</v>
      </c>
      <c r="G256">
        <v>21</v>
      </c>
      <c r="H256">
        <v>1.5333334000000001</v>
      </c>
      <c r="I256">
        <v>-0.53333335999999998</v>
      </c>
      <c r="J256">
        <v>0.39473682999999998</v>
      </c>
    </row>
    <row r="257" spans="1:10" x14ac:dyDescent="0.3">
      <c r="A257">
        <v>255</v>
      </c>
      <c r="B257">
        <v>4088</v>
      </c>
      <c r="C257" t="b">
        <v>1</v>
      </c>
      <c r="D257">
        <v>8071</v>
      </c>
      <c r="E257">
        <v>8134</v>
      </c>
      <c r="F257">
        <v>32.6</v>
      </c>
      <c r="G257">
        <v>20.6</v>
      </c>
      <c r="H257">
        <v>1.5825241999999999</v>
      </c>
      <c r="I257">
        <v>-0.58252420000000005</v>
      </c>
      <c r="J257">
        <v>0.38721810000000001</v>
      </c>
    </row>
    <row r="258" spans="1:10" x14ac:dyDescent="0.3">
      <c r="A258">
        <v>256</v>
      </c>
      <c r="B258">
        <v>4104</v>
      </c>
      <c r="C258" t="b">
        <v>1</v>
      </c>
      <c r="D258">
        <v>8083</v>
      </c>
      <c r="E258">
        <v>8134</v>
      </c>
      <c r="F258">
        <v>33</v>
      </c>
      <c r="G258">
        <v>20.2</v>
      </c>
      <c r="H258">
        <v>1.6336633</v>
      </c>
      <c r="I258">
        <v>-0.63366330000000004</v>
      </c>
      <c r="J258">
        <v>0.37969925999999998</v>
      </c>
    </row>
    <row r="259" spans="1:10" x14ac:dyDescent="0.3">
      <c r="A259">
        <v>257</v>
      </c>
      <c r="B259">
        <v>4120</v>
      </c>
      <c r="C259" t="b">
        <v>1</v>
      </c>
      <c r="D259">
        <v>8077</v>
      </c>
      <c r="E259">
        <v>8140</v>
      </c>
      <c r="F259">
        <v>33.4</v>
      </c>
      <c r="G259">
        <v>19.8</v>
      </c>
      <c r="H259">
        <v>1.6868688000000001</v>
      </c>
      <c r="I259">
        <v>-0.68686884999999998</v>
      </c>
      <c r="J259">
        <v>0.37218043000000001</v>
      </c>
    </row>
    <row r="260" spans="1:10" x14ac:dyDescent="0.3">
      <c r="A260">
        <v>258</v>
      </c>
      <c r="B260">
        <v>4136</v>
      </c>
      <c r="C260" t="b">
        <v>1</v>
      </c>
      <c r="D260">
        <v>8077</v>
      </c>
      <c r="E260">
        <v>8134</v>
      </c>
      <c r="F260">
        <v>33.4</v>
      </c>
      <c r="G260">
        <v>19.399999999999999</v>
      </c>
      <c r="H260">
        <v>1.7216495999999999</v>
      </c>
      <c r="I260">
        <v>-0.7216496</v>
      </c>
      <c r="J260">
        <v>0.36742422000000002</v>
      </c>
    </row>
    <row r="261" spans="1:10" x14ac:dyDescent="0.3">
      <c r="A261">
        <v>259</v>
      </c>
      <c r="B261">
        <v>4151</v>
      </c>
      <c r="C261" t="b">
        <v>1</v>
      </c>
      <c r="D261">
        <v>8077</v>
      </c>
      <c r="E261">
        <v>8129</v>
      </c>
      <c r="F261">
        <v>33.4</v>
      </c>
      <c r="G261">
        <v>19</v>
      </c>
      <c r="H261">
        <v>1.7578948999999999</v>
      </c>
      <c r="I261">
        <v>-0.75789479999999998</v>
      </c>
      <c r="J261">
        <v>0.36259540000000001</v>
      </c>
    </row>
    <row r="262" spans="1:10" x14ac:dyDescent="0.3">
      <c r="A262">
        <v>260</v>
      </c>
      <c r="B262">
        <v>4167</v>
      </c>
      <c r="C262" t="b">
        <v>1</v>
      </c>
      <c r="D262">
        <v>8071</v>
      </c>
      <c r="E262">
        <v>8134</v>
      </c>
      <c r="F262">
        <v>33.799999999999997</v>
      </c>
      <c r="G262">
        <v>19</v>
      </c>
      <c r="H262">
        <v>1.7789474000000001</v>
      </c>
      <c r="I262">
        <v>-0.77894735000000004</v>
      </c>
      <c r="J262">
        <v>0.35984850000000002</v>
      </c>
    </row>
    <row r="263" spans="1:10" x14ac:dyDescent="0.3">
      <c r="A263">
        <v>261</v>
      </c>
      <c r="B263">
        <v>4183</v>
      </c>
      <c r="C263" t="b">
        <v>1</v>
      </c>
      <c r="D263">
        <v>8077</v>
      </c>
      <c r="E263">
        <v>8134</v>
      </c>
      <c r="F263">
        <v>34.200000000000003</v>
      </c>
      <c r="G263">
        <v>19</v>
      </c>
      <c r="H263">
        <v>1.8000001000000001</v>
      </c>
      <c r="I263">
        <v>-0.8</v>
      </c>
      <c r="J263">
        <v>0.35714287</v>
      </c>
    </row>
    <row r="264" spans="1:10" x14ac:dyDescent="0.3">
      <c r="A264">
        <v>262</v>
      </c>
      <c r="B264">
        <v>4199</v>
      </c>
      <c r="C264" t="b">
        <v>1</v>
      </c>
      <c r="D264">
        <v>8071</v>
      </c>
      <c r="E264">
        <v>8140</v>
      </c>
      <c r="F264">
        <v>34.6</v>
      </c>
      <c r="G264">
        <v>19</v>
      </c>
      <c r="H264">
        <v>1.8210526</v>
      </c>
      <c r="I264">
        <v>-0.82105254999999999</v>
      </c>
      <c r="J264">
        <v>0.3544776</v>
      </c>
    </row>
    <row r="265" spans="1:10" x14ac:dyDescent="0.3">
      <c r="A265">
        <v>263</v>
      </c>
      <c r="B265">
        <v>4215</v>
      </c>
      <c r="C265" t="b">
        <v>1</v>
      </c>
      <c r="D265">
        <v>8065</v>
      </c>
      <c r="E265">
        <v>8140</v>
      </c>
      <c r="F265">
        <v>34.6</v>
      </c>
      <c r="G265">
        <v>19</v>
      </c>
      <c r="H265">
        <v>1.8210526</v>
      </c>
      <c r="I265">
        <v>-0.82105254999999999</v>
      </c>
      <c r="J265">
        <v>0.3544776</v>
      </c>
    </row>
    <row r="266" spans="1:10" x14ac:dyDescent="0.3">
      <c r="A266">
        <v>264</v>
      </c>
      <c r="B266">
        <v>4231</v>
      </c>
      <c r="C266" t="b">
        <v>1</v>
      </c>
      <c r="D266">
        <v>8071</v>
      </c>
      <c r="E266">
        <v>8134</v>
      </c>
      <c r="F266">
        <v>34.200000000000003</v>
      </c>
      <c r="G266">
        <v>19</v>
      </c>
      <c r="H266">
        <v>1.8000001000000001</v>
      </c>
      <c r="I266">
        <v>-0.8</v>
      </c>
      <c r="J266">
        <v>0.35714287</v>
      </c>
    </row>
    <row r="267" spans="1:10" x14ac:dyDescent="0.3">
      <c r="A267">
        <v>265</v>
      </c>
      <c r="B267">
        <v>4247</v>
      </c>
      <c r="C267" t="b">
        <v>1</v>
      </c>
      <c r="D267">
        <v>8077</v>
      </c>
      <c r="E267">
        <v>8140</v>
      </c>
      <c r="F267">
        <v>33.799999999999997</v>
      </c>
      <c r="G267">
        <v>19.399999999999999</v>
      </c>
      <c r="H267">
        <v>1.7422681</v>
      </c>
      <c r="I267">
        <v>-0.74226800000000004</v>
      </c>
      <c r="J267">
        <v>0.36466166</v>
      </c>
    </row>
    <row r="268" spans="1:10" x14ac:dyDescent="0.3">
      <c r="A268">
        <v>266</v>
      </c>
      <c r="B268">
        <v>4263</v>
      </c>
      <c r="C268" t="b">
        <v>1</v>
      </c>
      <c r="D268">
        <v>8077</v>
      </c>
      <c r="E268">
        <v>8134</v>
      </c>
      <c r="F268">
        <v>33.4</v>
      </c>
      <c r="G268">
        <v>19.8</v>
      </c>
      <c r="H268">
        <v>1.6868688000000001</v>
      </c>
      <c r="I268">
        <v>-0.68686884999999998</v>
      </c>
      <c r="J268">
        <v>0.37218043000000001</v>
      </c>
    </row>
    <row r="269" spans="1:10" x14ac:dyDescent="0.3">
      <c r="A269">
        <v>267</v>
      </c>
      <c r="B269">
        <v>4279</v>
      </c>
      <c r="C269" t="b">
        <v>1</v>
      </c>
      <c r="D269">
        <v>8083</v>
      </c>
      <c r="E269">
        <v>8134</v>
      </c>
      <c r="F269">
        <v>33.4</v>
      </c>
      <c r="G269">
        <v>19.8</v>
      </c>
      <c r="H269">
        <v>1.6868688000000001</v>
      </c>
      <c r="I269">
        <v>-0.68686884999999998</v>
      </c>
      <c r="J269">
        <v>0.37218043000000001</v>
      </c>
    </row>
    <row r="270" spans="1:10" x14ac:dyDescent="0.3">
      <c r="A270">
        <v>268</v>
      </c>
      <c r="B270">
        <v>4294</v>
      </c>
      <c r="C270" t="b">
        <v>1</v>
      </c>
      <c r="D270">
        <v>8077</v>
      </c>
      <c r="E270">
        <v>8134</v>
      </c>
      <c r="F270">
        <v>33.799999999999997</v>
      </c>
      <c r="G270">
        <v>19.8</v>
      </c>
      <c r="H270">
        <v>1.7070707000000001</v>
      </c>
      <c r="I270">
        <v>-0.70707070000000005</v>
      </c>
      <c r="J270">
        <v>0.36940297</v>
      </c>
    </row>
    <row r="271" spans="1:10" x14ac:dyDescent="0.3">
      <c r="A271">
        <v>269</v>
      </c>
      <c r="B271">
        <v>4310</v>
      </c>
      <c r="C271" t="b">
        <v>1</v>
      </c>
      <c r="D271">
        <v>8065</v>
      </c>
      <c r="E271">
        <v>8134</v>
      </c>
      <c r="F271">
        <v>34.200000000000003</v>
      </c>
      <c r="G271">
        <v>19.8</v>
      </c>
      <c r="H271">
        <v>1.7272729</v>
      </c>
      <c r="I271">
        <v>-0.72727280000000005</v>
      </c>
      <c r="J271">
        <v>0.36666663999999999</v>
      </c>
    </row>
    <row r="272" spans="1:10" x14ac:dyDescent="0.3">
      <c r="A272">
        <v>270</v>
      </c>
      <c r="B272">
        <v>4326</v>
      </c>
      <c r="C272" t="b">
        <v>1</v>
      </c>
      <c r="D272">
        <v>8077</v>
      </c>
      <c r="E272">
        <v>8140</v>
      </c>
      <c r="F272">
        <v>34.6</v>
      </c>
      <c r="G272">
        <v>19.8</v>
      </c>
      <c r="H272">
        <v>1.7474748</v>
      </c>
      <c r="I272">
        <v>-0.74747472999999998</v>
      </c>
      <c r="J272">
        <v>0.36397057999999999</v>
      </c>
    </row>
    <row r="273" spans="1:10" x14ac:dyDescent="0.3">
      <c r="A273">
        <v>271</v>
      </c>
      <c r="B273">
        <v>4342</v>
      </c>
      <c r="C273" t="b">
        <v>1</v>
      </c>
      <c r="D273">
        <v>8071</v>
      </c>
      <c r="E273">
        <v>8146</v>
      </c>
      <c r="F273">
        <v>35</v>
      </c>
      <c r="G273">
        <v>19.8</v>
      </c>
      <c r="H273">
        <v>1.7676768</v>
      </c>
      <c r="I273">
        <v>-0.76767682999999998</v>
      </c>
      <c r="J273">
        <v>0.36131384999999999</v>
      </c>
    </row>
    <row r="274" spans="1:10" x14ac:dyDescent="0.3">
      <c r="A274">
        <v>272</v>
      </c>
      <c r="B274">
        <v>4358</v>
      </c>
      <c r="C274" t="b">
        <v>1</v>
      </c>
      <c r="D274">
        <v>8083</v>
      </c>
      <c r="E274">
        <v>8146</v>
      </c>
      <c r="F274">
        <v>35.4</v>
      </c>
      <c r="G274">
        <v>20.2</v>
      </c>
      <c r="H274">
        <v>1.7524753</v>
      </c>
      <c r="I274">
        <v>-0.75247525999999998</v>
      </c>
      <c r="J274">
        <v>0.36330934999999998</v>
      </c>
    </row>
    <row r="275" spans="1:10" x14ac:dyDescent="0.3">
      <c r="A275">
        <v>273</v>
      </c>
      <c r="B275">
        <v>4374</v>
      </c>
      <c r="C275" t="b">
        <v>1</v>
      </c>
      <c r="D275">
        <v>8077</v>
      </c>
      <c r="E275">
        <v>8140</v>
      </c>
      <c r="F275">
        <v>35.4</v>
      </c>
      <c r="G275">
        <v>20.6</v>
      </c>
      <c r="H275">
        <v>1.7184466</v>
      </c>
      <c r="I275">
        <v>-0.71844669999999999</v>
      </c>
      <c r="J275">
        <v>0.36785716000000002</v>
      </c>
    </row>
    <row r="276" spans="1:10" x14ac:dyDescent="0.3">
      <c r="A276">
        <v>274</v>
      </c>
      <c r="B276">
        <v>4390</v>
      </c>
      <c r="C276" t="b">
        <v>1</v>
      </c>
      <c r="D276">
        <v>8077</v>
      </c>
      <c r="E276">
        <v>8140</v>
      </c>
      <c r="F276">
        <v>35.4</v>
      </c>
      <c r="G276">
        <v>21</v>
      </c>
      <c r="H276">
        <v>1.6857143999999999</v>
      </c>
      <c r="I276">
        <v>-0.68571435999999997</v>
      </c>
      <c r="J276">
        <v>0.37234040000000002</v>
      </c>
    </row>
    <row r="277" spans="1:10" x14ac:dyDescent="0.3">
      <c r="A277">
        <v>275</v>
      </c>
      <c r="B277">
        <v>4406</v>
      </c>
      <c r="C277" t="b">
        <v>1</v>
      </c>
      <c r="D277">
        <v>8083</v>
      </c>
      <c r="E277">
        <v>8134</v>
      </c>
      <c r="F277">
        <v>35.4</v>
      </c>
      <c r="G277">
        <v>21.4</v>
      </c>
      <c r="H277">
        <v>1.6542056999999999</v>
      </c>
      <c r="I277">
        <v>-0.6542057</v>
      </c>
      <c r="J277">
        <v>0.37676053999999998</v>
      </c>
    </row>
    <row r="278" spans="1:10" x14ac:dyDescent="0.3">
      <c r="A278">
        <v>276</v>
      </c>
      <c r="B278">
        <v>4438</v>
      </c>
      <c r="C278" t="b">
        <v>1</v>
      </c>
      <c r="D278">
        <v>8071</v>
      </c>
      <c r="E278">
        <v>8134</v>
      </c>
      <c r="F278">
        <v>35.4</v>
      </c>
      <c r="G278">
        <v>21.8</v>
      </c>
      <c r="H278">
        <v>1.6238532999999999</v>
      </c>
      <c r="I278">
        <v>-0.62385330000000006</v>
      </c>
      <c r="J278">
        <v>0.38111886</v>
      </c>
    </row>
    <row r="279" spans="1:10" x14ac:dyDescent="0.3">
      <c r="A279">
        <v>277</v>
      </c>
      <c r="B279">
        <v>4453</v>
      </c>
      <c r="C279" t="b">
        <v>1</v>
      </c>
      <c r="D279">
        <v>8060</v>
      </c>
      <c r="E279">
        <v>8134</v>
      </c>
      <c r="F279">
        <v>35.4</v>
      </c>
      <c r="G279">
        <v>21.8</v>
      </c>
      <c r="H279">
        <v>1.6238532999999999</v>
      </c>
      <c r="I279">
        <v>-0.62385330000000006</v>
      </c>
      <c r="J279">
        <v>0.38111886</v>
      </c>
    </row>
    <row r="280" spans="1:10" x14ac:dyDescent="0.3">
      <c r="A280">
        <v>278</v>
      </c>
      <c r="B280">
        <v>4469</v>
      </c>
      <c r="C280" t="b">
        <v>1</v>
      </c>
      <c r="D280">
        <v>8065</v>
      </c>
      <c r="E280">
        <v>8134</v>
      </c>
      <c r="F280">
        <v>35.4</v>
      </c>
      <c r="G280">
        <v>21.8</v>
      </c>
      <c r="H280">
        <v>1.6238532999999999</v>
      </c>
      <c r="I280">
        <v>-0.62385330000000006</v>
      </c>
      <c r="J280">
        <v>0.38111886</v>
      </c>
    </row>
    <row r="281" spans="1:10" x14ac:dyDescent="0.3">
      <c r="A281">
        <v>279</v>
      </c>
      <c r="B281">
        <v>4485</v>
      </c>
      <c r="C281" t="b">
        <v>1</v>
      </c>
      <c r="D281">
        <v>8071</v>
      </c>
      <c r="E281">
        <v>8134</v>
      </c>
      <c r="F281">
        <v>35.4</v>
      </c>
      <c r="G281">
        <v>21.8</v>
      </c>
      <c r="H281">
        <v>1.6238532999999999</v>
      </c>
      <c r="I281">
        <v>-0.62385330000000006</v>
      </c>
      <c r="J281">
        <v>0.38111886</v>
      </c>
    </row>
    <row r="282" spans="1:10" x14ac:dyDescent="0.3">
      <c r="A282">
        <v>280</v>
      </c>
      <c r="B282">
        <v>4501</v>
      </c>
      <c r="C282" t="b">
        <v>1</v>
      </c>
      <c r="D282">
        <v>8065</v>
      </c>
      <c r="E282">
        <v>8134</v>
      </c>
      <c r="F282">
        <v>35</v>
      </c>
      <c r="G282">
        <v>21.4</v>
      </c>
      <c r="H282">
        <v>1.6355139999999999</v>
      </c>
      <c r="I282">
        <v>-0.63551400000000002</v>
      </c>
      <c r="J282">
        <v>0.37943262</v>
      </c>
    </row>
    <row r="283" spans="1:10" x14ac:dyDescent="0.3">
      <c r="A283">
        <v>281</v>
      </c>
      <c r="B283">
        <v>4517</v>
      </c>
      <c r="C283" t="b">
        <v>1</v>
      </c>
      <c r="D283">
        <v>8065</v>
      </c>
      <c r="E283">
        <v>8140</v>
      </c>
      <c r="F283">
        <v>34.6</v>
      </c>
      <c r="G283">
        <v>21</v>
      </c>
      <c r="H283">
        <v>1.6476189999999999</v>
      </c>
      <c r="I283">
        <v>-0.64761895000000003</v>
      </c>
      <c r="J283">
        <v>0.37769786</v>
      </c>
    </row>
    <row r="284" spans="1:10" x14ac:dyDescent="0.3">
      <c r="A284">
        <v>282</v>
      </c>
      <c r="B284">
        <v>4533</v>
      </c>
      <c r="C284" t="b">
        <v>1</v>
      </c>
      <c r="D284">
        <v>8065</v>
      </c>
      <c r="E284">
        <v>8134</v>
      </c>
      <c r="F284">
        <v>33.799999999999997</v>
      </c>
      <c r="G284">
        <v>21</v>
      </c>
      <c r="H284">
        <v>1.6095238000000001</v>
      </c>
      <c r="I284">
        <v>-0.60952379999999995</v>
      </c>
      <c r="J284">
        <v>0.38321167</v>
      </c>
    </row>
    <row r="285" spans="1:10" x14ac:dyDescent="0.3">
      <c r="A285">
        <v>283</v>
      </c>
      <c r="B285">
        <v>4548</v>
      </c>
      <c r="C285" t="b">
        <v>1</v>
      </c>
      <c r="D285">
        <v>8071</v>
      </c>
      <c r="E285">
        <v>8134</v>
      </c>
      <c r="F285">
        <v>33</v>
      </c>
      <c r="G285">
        <v>21</v>
      </c>
      <c r="H285">
        <v>1.5714284999999999</v>
      </c>
      <c r="I285">
        <v>-0.57142859999999995</v>
      </c>
      <c r="J285">
        <v>0.38888889999999998</v>
      </c>
    </row>
    <row r="286" spans="1:10" x14ac:dyDescent="0.3">
      <c r="A286">
        <v>284</v>
      </c>
      <c r="B286">
        <v>4564</v>
      </c>
      <c r="C286" t="b">
        <v>1</v>
      </c>
      <c r="D286">
        <v>8071</v>
      </c>
      <c r="E286">
        <v>8129</v>
      </c>
      <c r="F286">
        <v>32.200000000000003</v>
      </c>
      <c r="G286">
        <v>21</v>
      </c>
      <c r="H286">
        <v>1.5333334000000001</v>
      </c>
      <c r="I286">
        <v>-0.53333335999999998</v>
      </c>
      <c r="J286">
        <v>0.39473682999999998</v>
      </c>
    </row>
    <row r="287" spans="1:10" x14ac:dyDescent="0.3">
      <c r="A287">
        <v>285</v>
      </c>
      <c r="B287">
        <v>4580</v>
      </c>
      <c r="C287" t="b">
        <v>1</v>
      </c>
      <c r="D287">
        <v>8077</v>
      </c>
      <c r="E287">
        <v>8140</v>
      </c>
      <c r="F287">
        <v>31.8</v>
      </c>
      <c r="G287">
        <v>21</v>
      </c>
      <c r="H287">
        <v>1.5142857000000001</v>
      </c>
      <c r="I287">
        <v>-0.51428569999999996</v>
      </c>
      <c r="J287">
        <v>0.39772728000000002</v>
      </c>
    </row>
    <row r="288" spans="1:10" x14ac:dyDescent="0.3">
      <c r="A288">
        <v>286</v>
      </c>
      <c r="B288">
        <v>4596</v>
      </c>
      <c r="C288" t="b">
        <v>1</v>
      </c>
      <c r="D288">
        <v>8077</v>
      </c>
      <c r="E288">
        <v>8146</v>
      </c>
      <c r="F288">
        <v>31.4</v>
      </c>
      <c r="G288">
        <v>21</v>
      </c>
      <c r="H288">
        <v>1.4952380999999999</v>
      </c>
      <c r="I288">
        <v>-0.49523806999999997</v>
      </c>
      <c r="J288">
        <v>0.40076332999999997</v>
      </c>
    </row>
    <row r="289" spans="1:10" x14ac:dyDescent="0.3">
      <c r="A289">
        <v>287</v>
      </c>
      <c r="B289">
        <v>4612</v>
      </c>
      <c r="C289" t="b">
        <v>1</v>
      </c>
      <c r="D289">
        <v>8065</v>
      </c>
      <c r="E289">
        <v>8146</v>
      </c>
      <c r="F289">
        <v>31</v>
      </c>
      <c r="G289">
        <v>21</v>
      </c>
      <c r="H289">
        <v>1.4761903999999999</v>
      </c>
      <c r="I289">
        <v>-0.47619048000000003</v>
      </c>
      <c r="J289">
        <v>0.40384614000000002</v>
      </c>
    </row>
    <row r="290" spans="1:10" x14ac:dyDescent="0.3">
      <c r="A290">
        <v>288</v>
      </c>
      <c r="B290">
        <v>4628</v>
      </c>
      <c r="C290" t="b">
        <v>1</v>
      </c>
      <c r="D290">
        <v>8077</v>
      </c>
      <c r="E290">
        <v>8134</v>
      </c>
      <c r="F290">
        <v>31</v>
      </c>
      <c r="G290">
        <v>21</v>
      </c>
      <c r="H290">
        <v>1.4761903999999999</v>
      </c>
      <c r="I290">
        <v>-0.47619048000000003</v>
      </c>
      <c r="J290">
        <v>0.40384614000000002</v>
      </c>
    </row>
    <row r="291" spans="1:10" x14ac:dyDescent="0.3">
      <c r="A291">
        <v>289</v>
      </c>
      <c r="B291">
        <v>4644</v>
      </c>
      <c r="C291" t="b">
        <v>1</v>
      </c>
      <c r="D291">
        <v>8077</v>
      </c>
      <c r="E291">
        <v>8140</v>
      </c>
      <c r="F291">
        <v>31</v>
      </c>
      <c r="G291">
        <v>21</v>
      </c>
      <c r="H291">
        <v>1.4761903999999999</v>
      </c>
      <c r="I291">
        <v>-0.47619048000000003</v>
      </c>
      <c r="J291">
        <v>0.40384614000000002</v>
      </c>
    </row>
    <row r="292" spans="1:10" x14ac:dyDescent="0.3">
      <c r="A292">
        <v>290</v>
      </c>
      <c r="B292">
        <v>4660</v>
      </c>
      <c r="C292" t="b">
        <v>1</v>
      </c>
      <c r="D292">
        <v>8077</v>
      </c>
      <c r="E292">
        <v>8140</v>
      </c>
      <c r="F292">
        <v>31</v>
      </c>
      <c r="G292">
        <v>21</v>
      </c>
      <c r="H292">
        <v>1.4761903999999999</v>
      </c>
      <c r="I292">
        <v>-0.47619048000000003</v>
      </c>
      <c r="J292">
        <v>0.40384614000000002</v>
      </c>
    </row>
    <row r="293" spans="1:10" x14ac:dyDescent="0.3">
      <c r="A293">
        <v>291</v>
      </c>
      <c r="B293">
        <v>4676</v>
      </c>
      <c r="C293" t="b">
        <v>1</v>
      </c>
      <c r="D293">
        <v>8077</v>
      </c>
      <c r="E293">
        <v>8140</v>
      </c>
      <c r="F293">
        <v>31</v>
      </c>
      <c r="G293">
        <v>21</v>
      </c>
      <c r="H293">
        <v>1.4761903999999999</v>
      </c>
      <c r="I293">
        <v>-0.47619048000000003</v>
      </c>
      <c r="J293">
        <v>0.40384614000000002</v>
      </c>
    </row>
    <row r="294" spans="1:10" x14ac:dyDescent="0.3">
      <c r="A294">
        <v>292</v>
      </c>
      <c r="B294">
        <v>4692</v>
      </c>
      <c r="C294" t="b">
        <v>1</v>
      </c>
      <c r="D294">
        <v>8077</v>
      </c>
      <c r="E294">
        <v>8140</v>
      </c>
      <c r="F294">
        <v>31</v>
      </c>
      <c r="G294">
        <v>21.4</v>
      </c>
      <c r="H294">
        <v>1.4485981000000001</v>
      </c>
      <c r="I294">
        <v>-0.44859814999999997</v>
      </c>
      <c r="J294">
        <v>0.40839692999999999</v>
      </c>
    </row>
    <row r="295" spans="1:10" x14ac:dyDescent="0.3">
      <c r="A295">
        <v>293</v>
      </c>
      <c r="B295">
        <v>4708</v>
      </c>
      <c r="C295" t="b">
        <v>1</v>
      </c>
      <c r="D295">
        <v>8071</v>
      </c>
      <c r="E295">
        <v>8134</v>
      </c>
      <c r="F295">
        <v>31.4</v>
      </c>
      <c r="G295">
        <v>21.8</v>
      </c>
      <c r="H295">
        <v>1.440367</v>
      </c>
      <c r="I295">
        <v>-0.44036700000000001</v>
      </c>
      <c r="J295">
        <v>0.40977445000000001</v>
      </c>
    </row>
    <row r="296" spans="1:10" x14ac:dyDescent="0.3">
      <c r="A296">
        <v>294</v>
      </c>
      <c r="B296">
        <v>4723</v>
      </c>
      <c r="C296" t="b">
        <v>1</v>
      </c>
      <c r="D296">
        <v>8077</v>
      </c>
      <c r="E296">
        <v>8140</v>
      </c>
      <c r="F296">
        <v>31.8</v>
      </c>
      <c r="G296">
        <v>22.2</v>
      </c>
      <c r="H296">
        <v>1.4324323000000001</v>
      </c>
      <c r="I296">
        <v>-0.43243235000000002</v>
      </c>
      <c r="J296">
        <v>0.41111112</v>
      </c>
    </row>
    <row r="297" spans="1:10" x14ac:dyDescent="0.3">
      <c r="A297">
        <v>295</v>
      </c>
      <c r="B297">
        <v>4739</v>
      </c>
      <c r="C297" t="b">
        <v>1</v>
      </c>
      <c r="D297">
        <v>8077</v>
      </c>
      <c r="E297">
        <v>8140</v>
      </c>
      <c r="F297">
        <v>32.6</v>
      </c>
      <c r="G297">
        <v>22.6</v>
      </c>
      <c r="H297">
        <v>1.4424778</v>
      </c>
      <c r="I297">
        <v>-0.44247779999999998</v>
      </c>
      <c r="J297">
        <v>0.40942030000000001</v>
      </c>
    </row>
    <row r="298" spans="1:10" x14ac:dyDescent="0.3">
      <c r="A298">
        <v>296</v>
      </c>
      <c r="B298">
        <v>4755</v>
      </c>
      <c r="C298" t="b">
        <v>1</v>
      </c>
      <c r="D298">
        <v>8077</v>
      </c>
      <c r="E298">
        <v>8134</v>
      </c>
      <c r="F298">
        <v>33.4</v>
      </c>
      <c r="G298">
        <v>23</v>
      </c>
      <c r="H298">
        <v>1.4521740000000001</v>
      </c>
      <c r="I298">
        <v>-0.45217397999999998</v>
      </c>
      <c r="J298">
        <v>0.40780142000000003</v>
      </c>
    </row>
    <row r="299" spans="1:10" x14ac:dyDescent="0.3">
      <c r="A299">
        <v>297</v>
      </c>
      <c r="B299">
        <v>4771</v>
      </c>
      <c r="C299" t="b">
        <v>1</v>
      </c>
      <c r="D299">
        <v>8071</v>
      </c>
      <c r="E299">
        <v>8129</v>
      </c>
      <c r="F299">
        <v>34.200000000000003</v>
      </c>
      <c r="G299">
        <v>23</v>
      </c>
      <c r="H299">
        <v>1.4869566000000001</v>
      </c>
      <c r="I299">
        <v>-0.48695656999999998</v>
      </c>
      <c r="J299">
        <v>0.40209790000000001</v>
      </c>
    </row>
    <row r="300" spans="1:10" x14ac:dyDescent="0.3">
      <c r="A300">
        <v>298</v>
      </c>
      <c r="B300">
        <v>4787</v>
      </c>
      <c r="C300" t="b">
        <v>1</v>
      </c>
      <c r="D300">
        <v>8071</v>
      </c>
      <c r="E300">
        <v>8140</v>
      </c>
      <c r="F300">
        <v>35</v>
      </c>
      <c r="G300">
        <v>23.4</v>
      </c>
      <c r="H300">
        <v>1.4957265</v>
      </c>
      <c r="I300">
        <v>-0.49572653</v>
      </c>
      <c r="J300">
        <v>0.40068492</v>
      </c>
    </row>
    <row r="301" spans="1:10" x14ac:dyDescent="0.3">
      <c r="A301">
        <v>299</v>
      </c>
      <c r="B301">
        <v>4803</v>
      </c>
      <c r="C301" t="b">
        <v>1</v>
      </c>
      <c r="D301">
        <v>8065</v>
      </c>
      <c r="E301">
        <v>8140</v>
      </c>
      <c r="F301">
        <v>35.4</v>
      </c>
      <c r="G301">
        <v>23.8</v>
      </c>
      <c r="H301">
        <v>1.487395</v>
      </c>
      <c r="I301">
        <v>-0.48739507999999998</v>
      </c>
      <c r="J301">
        <v>0.40202700000000002</v>
      </c>
    </row>
    <row r="302" spans="1:10" x14ac:dyDescent="0.3">
      <c r="A302">
        <v>300</v>
      </c>
      <c r="B302">
        <v>4819</v>
      </c>
      <c r="C302" t="b">
        <v>1</v>
      </c>
      <c r="D302">
        <v>8071</v>
      </c>
      <c r="E302">
        <v>8140</v>
      </c>
      <c r="F302">
        <v>35.4</v>
      </c>
      <c r="G302">
        <v>24.2</v>
      </c>
      <c r="H302">
        <v>1.4628099000000001</v>
      </c>
      <c r="I302">
        <v>-0.46280991999999999</v>
      </c>
      <c r="J302">
        <v>0.40604024999999999</v>
      </c>
    </row>
    <row r="303" spans="1:10" x14ac:dyDescent="0.3">
      <c r="A303">
        <v>301</v>
      </c>
      <c r="B303">
        <v>4835</v>
      </c>
      <c r="C303" t="b">
        <v>1</v>
      </c>
      <c r="D303">
        <v>8071</v>
      </c>
      <c r="E303">
        <v>8140</v>
      </c>
      <c r="F303">
        <v>35.4</v>
      </c>
      <c r="G303">
        <v>24.6</v>
      </c>
      <c r="H303">
        <v>1.4390244000000001</v>
      </c>
      <c r="I303">
        <v>-0.43902442000000003</v>
      </c>
      <c r="J303">
        <v>0.41</v>
      </c>
    </row>
    <row r="304" spans="1:10" x14ac:dyDescent="0.3">
      <c r="A304">
        <v>302</v>
      </c>
      <c r="B304">
        <v>4850</v>
      </c>
      <c r="C304" t="b">
        <v>1</v>
      </c>
      <c r="D304">
        <v>8071</v>
      </c>
      <c r="E304">
        <v>8146</v>
      </c>
      <c r="F304">
        <v>35.4</v>
      </c>
      <c r="G304">
        <v>24.6</v>
      </c>
      <c r="H304">
        <v>1.4390244000000001</v>
      </c>
      <c r="I304">
        <v>-0.43902442000000003</v>
      </c>
      <c r="J304">
        <v>0.41</v>
      </c>
    </row>
    <row r="305" spans="1:10" x14ac:dyDescent="0.3">
      <c r="A305">
        <v>303</v>
      </c>
      <c r="B305">
        <v>4866</v>
      </c>
      <c r="C305" t="b">
        <v>1</v>
      </c>
      <c r="D305">
        <v>8071</v>
      </c>
      <c r="E305">
        <v>8146</v>
      </c>
      <c r="F305">
        <v>35</v>
      </c>
      <c r="G305">
        <v>24.6</v>
      </c>
      <c r="H305">
        <v>1.4227642</v>
      </c>
      <c r="I305">
        <v>-0.42276419999999998</v>
      </c>
      <c r="J305">
        <v>0.4127517</v>
      </c>
    </row>
    <row r="306" spans="1:10" x14ac:dyDescent="0.3">
      <c r="A306">
        <v>304</v>
      </c>
      <c r="B306">
        <v>4882</v>
      </c>
      <c r="C306" t="b">
        <v>1</v>
      </c>
      <c r="D306">
        <v>8083</v>
      </c>
      <c r="E306">
        <v>8146</v>
      </c>
      <c r="F306">
        <v>34.6</v>
      </c>
      <c r="G306">
        <v>25</v>
      </c>
      <c r="H306">
        <v>1.3839999999999999</v>
      </c>
      <c r="I306">
        <v>-0.38399993999999998</v>
      </c>
      <c r="J306">
        <v>0.41946309999999998</v>
      </c>
    </row>
    <row r="307" spans="1:10" x14ac:dyDescent="0.3">
      <c r="A307">
        <v>305</v>
      </c>
      <c r="B307">
        <v>4898</v>
      </c>
      <c r="C307" t="b">
        <v>1</v>
      </c>
      <c r="D307">
        <v>8071</v>
      </c>
      <c r="E307">
        <v>8146</v>
      </c>
      <c r="F307">
        <v>34.200000000000003</v>
      </c>
      <c r="G307">
        <v>25.4</v>
      </c>
      <c r="H307">
        <v>1.3464567999999999</v>
      </c>
      <c r="I307">
        <v>-0.34645673999999999</v>
      </c>
      <c r="J307">
        <v>0.42617450000000001</v>
      </c>
    </row>
    <row r="308" spans="1:10" x14ac:dyDescent="0.3">
      <c r="A308">
        <v>306</v>
      </c>
      <c r="B308">
        <v>4914</v>
      </c>
      <c r="C308" t="b">
        <v>1</v>
      </c>
      <c r="D308">
        <v>8065</v>
      </c>
      <c r="E308">
        <v>8140</v>
      </c>
      <c r="F308">
        <v>33.799999999999997</v>
      </c>
      <c r="G308">
        <v>25.8</v>
      </c>
      <c r="H308">
        <v>1.3100775</v>
      </c>
      <c r="I308">
        <v>-0.31007752</v>
      </c>
      <c r="J308">
        <v>0.43288591999999998</v>
      </c>
    </row>
    <row r="309" spans="1:10" x14ac:dyDescent="0.3">
      <c r="A309">
        <v>307</v>
      </c>
      <c r="B309">
        <v>4930</v>
      </c>
      <c r="C309" t="b">
        <v>1</v>
      </c>
      <c r="D309">
        <v>8065</v>
      </c>
      <c r="E309">
        <v>8134</v>
      </c>
      <c r="F309">
        <v>33.4</v>
      </c>
      <c r="G309">
        <v>26.2</v>
      </c>
      <c r="H309">
        <v>1.2748090999999999</v>
      </c>
      <c r="I309">
        <v>-0.27480917999999999</v>
      </c>
      <c r="J309">
        <v>0.43959730000000002</v>
      </c>
    </row>
    <row r="310" spans="1:10" x14ac:dyDescent="0.3">
      <c r="A310">
        <v>308</v>
      </c>
      <c r="B310">
        <v>4945</v>
      </c>
      <c r="C310" t="b">
        <v>1</v>
      </c>
      <c r="D310">
        <v>8065</v>
      </c>
      <c r="E310">
        <v>8134</v>
      </c>
      <c r="F310">
        <v>32.6</v>
      </c>
      <c r="G310">
        <v>26.2</v>
      </c>
      <c r="H310">
        <v>1.2442747000000001</v>
      </c>
      <c r="I310">
        <v>-0.24427472</v>
      </c>
      <c r="J310">
        <v>0.44557825000000001</v>
      </c>
    </row>
    <row r="311" spans="1:10" x14ac:dyDescent="0.3">
      <c r="A311">
        <v>309</v>
      </c>
      <c r="B311">
        <v>4961</v>
      </c>
      <c r="C311" t="b">
        <v>1</v>
      </c>
      <c r="D311">
        <v>8077</v>
      </c>
      <c r="E311">
        <v>8129</v>
      </c>
      <c r="F311">
        <v>31.8</v>
      </c>
      <c r="G311">
        <v>25.8</v>
      </c>
      <c r="H311">
        <v>1.2325581000000001</v>
      </c>
      <c r="I311">
        <v>-0.23255814999999999</v>
      </c>
      <c r="J311">
        <v>0.44791666000000002</v>
      </c>
    </row>
    <row r="312" spans="1:10" x14ac:dyDescent="0.3">
      <c r="A312">
        <v>310</v>
      </c>
      <c r="B312">
        <v>4977</v>
      </c>
      <c r="C312" t="b">
        <v>1</v>
      </c>
      <c r="D312">
        <v>8065</v>
      </c>
      <c r="E312">
        <v>8134</v>
      </c>
      <c r="F312">
        <v>31</v>
      </c>
      <c r="G312">
        <v>25.4</v>
      </c>
      <c r="H312">
        <v>1.2204725000000001</v>
      </c>
      <c r="I312">
        <v>-0.22047246000000001</v>
      </c>
      <c r="J312">
        <v>0.45035458</v>
      </c>
    </row>
    <row r="313" spans="1:10" x14ac:dyDescent="0.3">
      <c r="A313">
        <v>311</v>
      </c>
      <c r="B313">
        <v>4993</v>
      </c>
      <c r="C313" t="b">
        <v>1</v>
      </c>
      <c r="D313">
        <v>8071</v>
      </c>
      <c r="E313">
        <v>8134</v>
      </c>
      <c r="F313">
        <v>30.2</v>
      </c>
      <c r="G313">
        <v>25</v>
      </c>
      <c r="H313">
        <v>1.2080001</v>
      </c>
      <c r="I313">
        <v>-0.20800003</v>
      </c>
      <c r="J313">
        <v>0.45289853000000002</v>
      </c>
    </row>
    <row r="314" spans="1:10" x14ac:dyDescent="0.3">
      <c r="A314">
        <v>312</v>
      </c>
      <c r="B314">
        <v>5009</v>
      </c>
      <c r="C314" t="b">
        <v>1</v>
      </c>
      <c r="D314">
        <v>8065</v>
      </c>
      <c r="E314">
        <v>8134</v>
      </c>
      <c r="F314">
        <v>29.4</v>
      </c>
      <c r="G314">
        <v>25</v>
      </c>
      <c r="H314">
        <v>1.1759999999999999</v>
      </c>
      <c r="I314">
        <v>-0.17599998</v>
      </c>
      <c r="J314">
        <v>0.45955879999999999</v>
      </c>
    </row>
    <row r="315" spans="1:10" x14ac:dyDescent="0.3">
      <c r="A315">
        <v>313</v>
      </c>
      <c r="B315">
        <v>5025</v>
      </c>
      <c r="C315" t="b">
        <v>1</v>
      </c>
      <c r="D315">
        <v>8060</v>
      </c>
      <c r="E315">
        <v>8129</v>
      </c>
      <c r="F315">
        <v>28.6</v>
      </c>
      <c r="G315">
        <v>24.6</v>
      </c>
      <c r="H315">
        <v>1.1626015999999999</v>
      </c>
      <c r="I315">
        <v>-0.16260162</v>
      </c>
      <c r="J315">
        <v>0.46240599999999998</v>
      </c>
    </row>
    <row r="316" spans="1:10" x14ac:dyDescent="0.3">
      <c r="A316">
        <v>314</v>
      </c>
      <c r="B316">
        <v>5041</v>
      </c>
      <c r="C316" t="b">
        <v>1</v>
      </c>
      <c r="D316">
        <v>8071</v>
      </c>
      <c r="E316">
        <v>8134</v>
      </c>
      <c r="F316">
        <v>28.2</v>
      </c>
      <c r="G316">
        <v>24.2</v>
      </c>
      <c r="H316">
        <v>1.1652893</v>
      </c>
      <c r="I316">
        <v>-0.16528925</v>
      </c>
      <c r="J316">
        <v>0.46183207999999998</v>
      </c>
    </row>
    <row r="317" spans="1:10" x14ac:dyDescent="0.3">
      <c r="A317">
        <v>315</v>
      </c>
      <c r="B317">
        <v>5057</v>
      </c>
      <c r="C317" t="b">
        <v>1</v>
      </c>
      <c r="D317">
        <v>8077</v>
      </c>
      <c r="E317">
        <v>8134</v>
      </c>
      <c r="F317">
        <v>28.2</v>
      </c>
      <c r="G317">
        <v>23.8</v>
      </c>
      <c r="H317">
        <v>1.184874</v>
      </c>
      <c r="I317">
        <v>-0.18487401000000001</v>
      </c>
      <c r="J317">
        <v>0.4576923</v>
      </c>
    </row>
    <row r="318" spans="1:10" x14ac:dyDescent="0.3">
      <c r="A318">
        <v>316</v>
      </c>
      <c r="B318">
        <v>5073</v>
      </c>
      <c r="C318" t="b">
        <v>1</v>
      </c>
      <c r="D318">
        <v>8083</v>
      </c>
      <c r="E318">
        <v>8134</v>
      </c>
      <c r="F318">
        <v>28.2</v>
      </c>
      <c r="G318">
        <v>23.4</v>
      </c>
      <c r="H318">
        <v>1.2051282999999999</v>
      </c>
      <c r="I318">
        <v>-0.20512825000000001</v>
      </c>
      <c r="J318">
        <v>0.45348838000000002</v>
      </c>
    </row>
    <row r="319" spans="1:10" x14ac:dyDescent="0.3">
      <c r="A319">
        <v>317</v>
      </c>
      <c r="B319">
        <v>5089</v>
      </c>
      <c r="C319" t="b">
        <v>1</v>
      </c>
      <c r="D319">
        <v>8077</v>
      </c>
      <c r="E319">
        <v>8140</v>
      </c>
      <c r="F319">
        <v>28.6</v>
      </c>
      <c r="G319">
        <v>23</v>
      </c>
      <c r="H319">
        <v>1.2434783</v>
      </c>
      <c r="I319">
        <v>-0.24347827999999999</v>
      </c>
      <c r="J319">
        <v>0.44573644000000001</v>
      </c>
    </row>
    <row r="320" spans="1:10" x14ac:dyDescent="0.3">
      <c r="A320">
        <v>318</v>
      </c>
      <c r="B320">
        <v>5105</v>
      </c>
      <c r="C320" t="b">
        <v>1</v>
      </c>
      <c r="D320">
        <v>8077</v>
      </c>
      <c r="E320">
        <v>8140</v>
      </c>
      <c r="F320">
        <v>29</v>
      </c>
      <c r="G320">
        <v>22.6</v>
      </c>
      <c r="H320">
        <v>1.2831858</v>
      </c>
      <c r="I320">
        <v>-0.28318579999999999</v>
      </c>
      <c r="J320">
        <v>0.43798452999999998</v>
      </c>
    </row>
    <row r="321" spans="1:10" x14ac:dyDescent="0.3">
      <c r="A321">
        <v>319</v>
      </c>
      <c r="B321">
        <v>5121</v>
      </c>
      <c r="C321" t="b">
        <v>1</v>
      </c>
      <c r="D321">
        <v>8065</v>
      </c>
      <c r="E321">
        <v>8140</v>
      </c>
      <c r="F321">
        <v>29.4</v>
      </c>
      <c r="G321">
        <v>22.2</v>
      </c>
      <c r="H321">
        <v>1.3243243</v>
      </c>
      <c r="I321">
        <v>-0.32432424999999998</v>
      </c>
      <c r="J321">
        <v>0.43023257999999998</v>
      </c>
    </row>
    <row r="322" spans="1:10" x14ac:dyDescent="0.3">
      <c r="A322">
        <v>320</v>
      </c>
      <c r="B322">
        <v>5137</v>
      </c>
      <c r="C322" t="b">
        <v>1</v>
      </c>
      <c r="D322">
        <v>8071</v>
      </c>
      <c r="E322">
        <v>8134</v>
      </c>
      <c r="F322">
        <v>29.8</v>
      </c>
      <c r="G322">
        <v>21.8</v>
      </c>
      <c r="H322">
        <v>1.3669724000000001</v>
      </c>
      <c r="I322">
        <v>-0.36697247999999999</v>
      </c>
      <c r="J322">
        <v>0.42248059999999998</v>
      </c>
    </row>
    <row r="323" spans="1:10" x14ac:dyDescent="0.3">
      <c r="A323">
        <v>321</v>
      </c>
      <c r="B323">
        <v>5153</v>
      </c>
      <c r="C323" t="b">
        <v>1</v>
      </c>
      <c r="D323">
        <v>8077</v>
      </c>
      <c r="E323">
        <v>8140</v>
      </c>
      <c r="F323">
        <v>30.2</v>
      </c>
      <c r="G323">
        <v>21.4</v>
      </c>
      <c r="H323">
        <v>1.4112150999999999</v>
      </c>
      <c r="I323">
        <v>-0.411215</v>
      </c>
      <c r="J323">
        <v>0.41472870000000001</v>
      </c>
    </row>
    <row r="324" spans="1:10" x14ac:dyDescent="0.3">
      <c r="A324">
        <v>322</v>
      </c>
      <c r="B324">
        <v>5169</v>
      </c>
      <c r="C324" t="b">
        <v>1</v>
      </c>
      <c r="D324">
        <v>8083</v>
      </c>
      <c r="E324">
        <v>8129</v>
      </c>
      <c r="F324">
        <v>30.6</v>
      </c>
      <c r="G324">
        <v>21</v>
      </c>
      <c r="H324">
        <v>1.4571428</v>
      </c>
      <c r="I324">
        <v>-0.45714290000000002</v>
      </c>
      <c r="J324">
        <v>0.40697675999999999</v>
      </c>
    </row>
    <row r="325" spans="1:10" x14ac:dyDescent="0.3">
      <c r="A325">
        <v>323</v>
      </c>
      <c r="B325">
        <v>5185</v>
      </c>
      <c r="C325" t="b">
        <v>1</v>
      </c>
      <c r="D325">
        <v>8083</v>
      </c>
      <c r="E325">
        <v>8140</v>
      </c>
      <c r="F325">
        <v>31.4</v>
      </c>
      <c r="G325">
        <v>21</v>
      </c>
      <c r="H325">
        <v>1.4952380999999999</v>
      </c>
      <c r="I325">
        <v>-0.49523806999999997</v>
      </c>
      <c r="J325">
        <v>0.40076332999999997</v>
      </c>
    </row>
    <row r="326" spans="1:10" x14ac:dyDescent="0.3">
      <c r="A326">
        <v>324</v>
      </c>
      <c r="B326">
        <v>5200</v>
      </c>
      <c r="C326" t="b">
        <v>1</v>
      </c>
      <c r="D326">
        <v>8077</v>
      </c>
      <c r="E326">
        <v>8140</v>
      </c>
      <c r="F326">
        <v>32.200000000000003</v>
      </c>
      <c r="G326">
        <v>21.4</v>
      </c>
      <c r="H326">
        <v>1.5046729999999999</v>
      </c>
      <c r="I326">
        <v>-0.50467293999999996</v>
      </c>
      <c r="J326">
        <v>0.39925372999999997</v>
      </c>
    </row>
    <row r="327" spans="1:10" x14ac:dyDescent="0.3">
      <c r="A327">
        <v>325</v>
      </c>
      <c r="B327">
        <v>5216</v>
      </c>
      <c r="C327" t="b">
        <v>1</v>
      </c>
      <c r="D327">
        <v>8077</v>
      </c>
      <c r="E327">
        <v>8140</v>
      </c>
      <c r="F327">
        <v>33</v>
      </c>
      <c r="G327">
        <v>21.8</v>
      </c>
      <c r="H327">
        <v>1.5137615</v>
      </c>
      <c r="I327">
        <v>-0.51376149999999998</v>
      </c>
      <c r="J327">
        <v>0.39781021999999999</v>
      </c>
    </row>
    <row r="328" spans="1:10" x14ac:dyDescent="0.3">
      <c r="A328">
        <v>326</v>
      </c>
      <c r="B328">
        <v>5232</v>
      </c>
      <c r="C328" t="b">
        <v>1</v>
      </c>
      <c r="D328">
        <v>8071</v>
      </c>
      <c r="E328">
        <v>8134</v>
      </c>
      <c r="F328">
        <v>33.799999999999997</v>
      </c>
      <c r="G328">
        <v>22.2</v>
      </c>
      <c r="H328">
        <v>1.5225223999999999</v>
      </c>
      <c r="I328">
        <v>-0.52252244999999997</v>
      </c>
      <c r="J328">
        <v>0.39642859000000003</v>
      </c>
    </row>
    <row r="329" spans="1:10" x14ac:dyDescent="0.3">
      <c r="A329">
        <v>327</v>
      </c>
      <c r="B329">
        <v>5248</v>
      </c>
      <c r="C329" t="b">
        <v>1</v>
      </c>
      <c r="D329">
        <v>8071</v>
      </c>
      <c r="E329">
        <v>8140</v>
      </c>
      <c r="F329">
        <v>34.6</v>
      </c>
      <c r="G329">
        <v>22.6</v>
      </c>
      <c r="H329">
        <v>1.5309733000000001</v>
      </c>
      <c r="I329">
        <v>-0.53097340000000004</v>
      </c>
      <c r="J329">
        <v>0.39510490999999998</v>
      </c>
    </row>
    <row r="330" spans="1:10" x14ac:dyDescent="0.3">
      <c r="A330">
        <v>328</v>
      </c>
      <c r="B330">
        <v>5264</v>
      </c>
      <c r="C330" t="b">
        <v>1</v>
      </c>
      <c r="D330">
        <v>8083</v>
      </c>
      <c r="E330">
        <v>8140</v>
      </c>
      <c r="F330">
        <v>35.4</v>
      </c>
      <c r="G330">
        <v>23</v>
      </c>
      <c r="H330">
        <v>1.5391303999999999</v>
      </c>
      <c r="I330">
        <v>-0.53913049999999996</v>
      </c>
      <c r="J330">
        <v>0.39383560000000001</v>
      </c>
    </row>
    <row r="331" spans="1:10" x14ac:dyDescent="0.3">
      <c r="A331">
        <v>329</v>
      </c>
      <c r="B331">
        <v>5280</v>
      </c>
      <c r="C331" t="b">
        <v>1</v>
      </c>
      <c r="D331">
        <v>8065</v>
      </c>
      <c r="E331">
        <v>8140</v>
      </c>
      <c r="F331">
        <v>35.799999999999997</v>
      </c>
      <c r="G331">
        <v>23.4</v>
      </c>
      <c r="H331">
        <v>1.5299145000000001</v>
      </c>
      <c r="I331">
        <v>-0.52991449999999996</v>
      </c>
      <c r="J331">
        <v>0.39527030000000002</v>
      </c>
    </row>
    <row r="332" spans="1:10" x14ac:dyDescent="0.3">
      <c r="A332">
        <v>330</v>
      </c>
      <c r="B332">
        <v>5296</v>
      </c>
      <c r="C332" t="b">
        <v>1</v>
      </c>
      <c r="D332">
        <v>8077</v>
      </c>
      <c r="E332">
        <v>8134</v>
      </c>
      <c r="F332">
        <v>35.799999999999997</v>
      </c>
      <c r="G332">
        <v>23.8</v>
      </c>
      <c r="H332">
        <v>1.5042017000000001</v>
      </c>
      <c r="I332">
        <v>-0.50420169999999997</v>
      </c>
      <c r="J332">
        <v>0.39932886000000001</v>
      </c>
    </row>
    <row r="333" spans="1:10" x14ac:dyDescent="0.3">
      <c r="A333">
        <v>331</v>
      </c>
      <c r="B333">
        <v>5311</v>
      </c>
      <c r="C333" t="b">
        <v>1</v>
      </c>
      <c r="D333">
        <v>8077</v>
      </c>
      <c r="E333">
        <v>8140</v>
      </c>
      <c r="F333">
        <v>36.200000000000003</v>
      </c>
      <c r="G333">
        <v>24.2</v>
      </c>
      <c r="H333">
        <v>1.4958677</v>
      </c>
      <c r="I333">
        <v>-0.49586775999999999</v>
      </c>
      <c r="J333">
        <v>0.40066224</v>
      </c>
    </row>
    <row r="334" spans="1:10" x14ac:dyDescent="0.3">
      <c r="A334">
        <v>332</v>
      </c>
      <c r="B334">
        <v>5327</v>
      </c>
      <c r="C334" t="b">
        <v>1</v>
      </c>
      <c r="D334">
        <v>8071</v>
      </c>
      <c r="E334">
        <v>8134</v>
      </c>
      <c r="F334">
        <v>36.200000000000003</v>
      </c>
      <c r="G334">
        <v>24.6</v>
      </c>
      <c r="H334">
        <v>1.4715446999999999</v>
      </c>
      <c r="I334">
        <v>-0.47154469999999998</v>
      </c>
      <c r="J334">
        <v>0.40460523999999998</v>
      </c>
    </row>
    <row r="335" spans="1:10" x14ac:dyDescent="0.3">
      <c r="A335">
        <v>333</v>
      </c>
      <c r="B335">
        <v>5343</v>
      </c>
      <c r="C335" t="b">
        <v>1</v>
      </c>
      <c r="D335">
        <v>8065</v>
      </c>
      <c r="E335">
        <v>8134</v>
      </c>
      <c r="F335">
        <v>35.799999999999997</v>
      </c>
      <c r="G335">
        <v>24.6</v>
      </c>
      <c r="H335">
        <v>1.4552845000000001</v>
      </c>
      <c r="I335">
        <v>-0.45528449999999998</v>
      </c>
      <c r="J335">
        <v>0.40728477000000002</v>
      </c>
    </row>
    <row r="336" spans="1:10" x14ac:dyDescent="0.3">
      <c r="A336">
        <v>334</v>
      </c>
      <c r="B336">
        <v>5359</v>
      </c>
      <c r="C336" t="b">
        <v>1</v>
      </c>
      <c r="D336">
        <v>8065</v>
      </c>
      <c r="E336">
        <v>8129</v>
      </c>
      <c r="F336">
        <v>35.4</v>
      </c>
      <c r="G336">
        <v>24.2</v>
      </c>
      <c r="H336">
        <v>1.4628099000000001</v>
      </c>
      <c r="I336">
        <v>-0.46280991999999999</v>
      </c>
      <c r="J336">
        <v>0.40604024999999999</v>
      </c>
    </row>
    <row r="337" spans="1:10" x14ac:dyDescent="0.3">
      <c r="A337">
        <v>335</v>
      </c>
      <c r="B337">
        <v>5375</v>
      </c>
      <c r="C337" t="b">
        <v>1</v>
      </c>
      <c r="D337">
        <v>8071</v>
      </c>
      <c r="E337">
        <v>8134</v>
      </c>
      <c r="F337">
        <v>35</v>
      </c>
      <c r="G337">
        <v>23.8</v>
      </c>
      <c r="H337">
        <v>1.4705883</v>
      </c>
      <c r="I337">
        <v>-0.47058830000000001</v>
      </c>
      <c r="J337">
        <v>0.40476190000000001</v>
      </c>
    </row>
    <row r="338" spans="1:10" x14ac:dyDescent="0.3">
      <c r="A338">
        <v>336</v>
      </c>
      <c r="B338">
        <v>5391</v>
      </c>
      <c r="C338" t="b">
        <v>1</v>
      </c>
      <c r="D338">
        <v>8071</v>
      </c>
      <c r="E338">
        <v>8146</v>
      </c>
      <c r="F338">
        <v>34.6</v>
      </c>
      <c r="G338">
        <v>23.4</v>
      </c>
      <c r="H338">
        <v>1.4786325</v>
      </c>
      <c r="I338">
        <v>-0.47863244999999999</v>
      </c>
      <c r="J338">
        <v>0.40344827999999999</v>
      </c>
    </row>
    <row r="339" spans="1:10" x14ac:dyDescent="0.3">
      <c r="A339">
        <v>337</v>
      </c>
      <c r="B339">
        <v>5406</v>
      </c>
      <c r="C339" t="b">
        <v>1</v>
      </c>
      <c r="D339">
        <v>8065</v>
      </c>
      <c r="E339">
        <v>8146</v>
      </c>
      <c r="F339">
        <v>33.799999999999997</v>
      </c>
      <c r="G339">
        <v>23</v>
      </c>
      <c r="H339">
        <v>1.4695651999999999</v>
      </c>
      <c r="I339">
        <v>-0.46956518000000003</v>
      </c>
      <c r="J339">
        <v>0.40492958000000001</v>
      </c>
    </row>
    <row r="340" spans="1:10" x14ac:dyDescent="0.3">
      <c r="A340">
        <v>338</v>
      </c>
      <c r="B340">
        <v>5422</v>
      </c>
      <c r="C340" t="b">
        <v>1</v>
      </c>
      <c r="D340">
        <v>8077</v>
      </c>
      <c r="E340">
        <v>8146</v>
      </c>
      <c r="F340">
        <v>33.4</v>
      </c>
      <c r="G340">
        <v>23.4</v>
      </c>
      <c r="H340">
        <v>1.4273505</v>
      </c>
      <c r="I340">
        <v>-0.42735052000000001</v>
      </c>
      <c r="J340">
        <v>0.4119718</v>
      </c>
    </row>
    <row r="341" spans="1:10" x14ac:dyDescent="0.3">
      <c r="A341">
        <v>339</v>
      </c>
      <c r="B341">
        <v>5438</v>
      </c>
      <c r="C341" t="b">
        <v>1</v>
      </c>
      <c r="D341">
        <v>8077</v>
      </c>
      <c r="E341">
        <v>8134</v>
      </c>
      <c r="F341">
        <v>33</v>
      </c>
      <c r="G341">
        <v>23.8</v>
      </c>
      <c r="H341">
        <v>1.3865547</v>
      </c>
      <c r="I341">
        <v>-0.38655465999999999</v>
      </c>
      <c r="J341">
        <v>0.41901407000000002</v>
      </c>
    </row>
    <row r="342" spans="1:10" x14ac:dyDescent="0.3">
      <c r="A342">
        <v>340</v>
      </c>
      <c r="B342">
        <v>5454</v>
      </c>
      <c r="C342" t="b">
        <v>1</v>
      </c>
      <c r="D342">
        <v>8065</v>
      </c>
      <c r="E342">
        <v>8134</v>
      </c>
      <c r="F342">
        <v>32.6</v>
      </c>
      <c r="G342">
        <v>24.2</v>
      </c>
      <c r="H342">
        <v>1.3471073</v>
      </c>
      <c r="I342">
        <v>-0.34710732</v>
      </c>
      <c r="J342">
        <v>0.42605636000000002</v>
      </c>
    </row>
    <row r="343" spans="1:10" x14ac:dyDescent="0.3">
      <c r="A343">
        <v>341</v>
      </c>
      <c r="B343">
        <v>5470</v>
      </c>
      <c r="C343" t="b">
        <v>1</v>
      </c>
      <c r="D343">
        <v>8077</v>
      </c>
      <c r="E343">
        <v>8140</v>
      </c>
      <c r="F343">
        <v>32.6</v>
      </c>
      <c r="G343">
        <v>24.2</v>
      </c>
      <c r="H343">
        <v>1.3471073</v>
      </c>
      <c r="I343">
        <v>-0.34710732</v>
      </c>
      <c r="J343">
        <v>0.42605636000000002</v>
      </c>
    </row>
    <row r="344" spans="1:10" x14ac:dyDescent="0.3">
      <c r="A344">
        <v>342</v>
      </c>
      <c r="B344">
        <v>5486</v>
      </c>
      <c r="C344" t="b">
        <v>1</v>
      </c>
      <c r="D344">
        <v>8077</v>
      </c>
      <c r="E344">
        <v>8134</v>
      </c>
      <c r="F344">
        <v>32.6</v>
      </c>
      <c r="G344">
        <v>23.8</v>
      </c>
      <c r="H344">
        <v>1.3697478999999999</v>
      </c>
      <c r="I344">
        <v>-0.36974787999999997</v>
      </c>
      <c r="J344">
        <v>0.42198580000000002</v>
      </c>
    </row>
    <row r="345" spans="1:10" x14ac:dyDescent="0.3">
      <c r="A345">
        <v>343</v>
      </c>
      <c r="B345">
        <v>5502</v>
      </c>
      <c r="C345" t="b">
        <v>1</v>
      </c>
      <c r="D345">
        <v>8083</v>
      </c>
      <c r="E345">
        <v>8129</v>
      </c>
      <c r="F345">
        <v>32.6</v>
      </c>
      <c r="G345">
        <v>23.4</v>
      </c>
      <c r="H345">
        <v>1.3931624</v>
      </c>
      <c r="I345">
        <v>-0.39316234</v>
      </c>
      <c r="J345">
        <v>0.41785714000000002</v>
      </c>
    </row>
    <row r="346" spans="1:10" x14ac:dyDescent="0.3">
      <c r="A346">
        <v>344</v>
      </c>
      <c r="B346">
        <v>5518</v>
      </c>
      <c r="C346" t="b">
        <v>1</v>
      </c>
      <c r="D346">
        <v>8077</v>
      </c>
      <c r="E346">
        <v>8134</v>
      </c>
      <c r="F346">
        <v>33</v>
      </c>
      <c r="G346">
        <v>23</v>
      </c>
      <c r="H346">
        <v>1.4347825999999999</v>
      </c>
      <c r="I346">
        <v>-0.43478260000000002</v>
      </c>
      <c r="J346">
        <v>0.41071429999999998</v>
      </c>
    </row>
    <row r="347" spans="1:10" x14ac:dyDescent="0.3">
      <c r="A347">
        <v>345</v>
      </c>
      <c r="B347">
        <v>5534</v>
      </c>
      <c r="C347" t="b">
        <v>1</v>
      </c>
      <c r="D347">
        <v>8077</v>
      </c>
      <c r="E347">
        <v>8134</v>
      </c>
      <c r="F347">
        <v>33.4</v>
      </c>
      <c r="G347">
        <v>22.6</v>
      </c>
      <c r="H347">
        <v>1.4778762000000001</v>
      </c>
      <c r="I347">
        <v>-0.47787615999999999</v>
      </c>
      <c r="J347">
        <v>0.40357143000000001</v>
      </c>
    </row>
    <row r="348" spans="1:10" x14ac:dyDescent="0.3">
      <c r="A348">
        <v>346</v>
      </c>
      <c r="B348">
        <v>5550</v>
      </c>
      <c r="C348" t="b">
        <v>1</v>
      </c>
      <c r="D348">
        <v>8077</v>
      </c>
      <c r="E348">
        <v>8134</v>
      </c>
      <c r="F348">
        <v>33.4</v>
      </c>
      <c r="G348">
        <v>22.2</v>
      </c>
      <c r="H348">
        <v>1.5045046</v>
      </c>
      <c r="I348">
        <v>-0.50450450000000002</v>
      </c>
      <c r="J348">
        <v>0.39928058</v>
      </c>
    </row>
    <row r="349" spans="1:10" x14ac:dyDescent="0.3">
      <c r="A349">
        <v>347</v>
      </c>
      <c r="B349">
        <v>5566</v>
      </c>
      <c r="C349" t="b">
        <v>1</v>
      </c>
      <c r="D349">
        <v>8077</v>
      </c>
      <c r="E349">
        <v>8134</v>
      </c>
      <c r="F349">
        <v>33.4</v>
      </c>
      <c r="G349">
        <v>21.8</v>
      </c>
      <c r="H349">
        <v>1.5321102</v>
      </c>
      <c r="I349">
        <v>-0.53211019999999998</v>
      </c>
      <c r="J349">
        <v>0.39492753000000003</v>
      </c>
    </row>
    <row r="350" spans="1:10" x14ac:dyDescent="0.3">
      <c r="A350">
        <v>348</v>
      </c>
      <c r="B350">
        <v>5582</v>
      </c>
      <c r="C350" t="b">
        <v>1</v>
      </c>
      <c r="D350">
        <v>8083</v>
      </c>
      <c r="E350">
        <v>8134</v>
      </c>
      <c r="F350">
        <v>33.799999999999997</v>
      </c>
      <c r="G350">
        <v>21.8</v>
      </c>
      <c r="H350">
        <v>1.5504587999999999</v>
      </c>
      <c r="I350">
        <v>-0.55045869999999997</v>
      </c>
      <c r="J350">
        <v>0.39208632999999998</v>
      </c>
    </row>
    <row r="351" spans="1:10" x14ac:dyDescent="0.3">
      <c r="A351">
        <v>349</v>
      </c>
      <c r="B351">
        <v>5597</v>
      </c>
      <c r="C351" t="b">
        <v>1</v>
      </c>
      <c r="D351">
        <v>8077</v>
      </c>
      <c r="E351">
        <v>8134</v>
      </c>
      <c r="F351">
        <v>34.200000000000003</v>
      </c>
      <c r="G351">
        <v>21.8</v>
      </c>
      <c r="H351">
        <v>1.5688074999999999</v>
      </c>
      <c r="I351">
        <v>-0.56880739999999996</v>
      </c>
      <c r="J351">
        <v>0.38928570000000001</v>
      </c>
    </row>
    <row r="352" spans="1:10" x14ac:dyDescent="0.3">
      <c r="A352">
        <v>350</v>
      </c>
      <c r="B352">
        <v>5613</v>
      </c>
      <c r="C352" t="b">
        <v>1</v>
      </c>
      <c r="D352">
        <v>8077</v>
      </c>
      <c r="E352">
        <v>8134</v>
      </c>
      <c r="F352">
        <v>34.6</v>
      </c>
      <c r="G352">
        <v>21.8</v>
      </c>
      <c r="H352">
        <v>1.5871559</v>
      </c>
      <c r="I352">
        <v>-0.58715594000000004</v>
      </c>
      <c r="J352">
        <v>0.38652482999999999</v>
      </c>
    </row>
    <row r="353" spans="1:10" x14ac:dyDescent="0.3">
      <c r="A353">
        <v>351</v>
      </c>
      <c r="B353">
        <v>5629</v>
      </c>
      <c r="C353" t="b">
        <v>1</v>
      </c>
      <c r="D353">
        <v>8071</v>
      </c>
      <c r="E353">
        <v>8140</v>
      </c>
      <c r="F353">
        <v>35</v>
      </c>
      <c r="G353">
        <v>21.8</v>
      </c>
      <c r="H353">
        <v>1.6055045999999999</v>
      </c>
      <c r="I353">
        <v>-0.60550462999999999</v>
      </c>
      <c r="J353">
        <v>0.3838028</v>
      </c>
    </row>
    <row r="354" spans="1:10" x14ac:dyDescent="0.3">
      <c r="A354">
        <v>352</v>
      </c>
      <c r="B354">
        <v>5645</v>
      </c>
      <c r="C354" t="b">
        <v>1</v>
      </c>
      <c r="D354">
        <v>8071</v>
      </c>
      <c r="E354">
        <v>8134</v>
      </c>
      <c r="F354">
        <v>35.799999999999997</v>
      </c>
      <c r="G354">
        <v>21.8</v>
      </c>
      <c r="H354">
        <v>1.6422019000000001</v>
      </c>
      <c r="I354">
        <v>-0.64220184000000002</v>
      </c>
      <c r="J354">
        <v>0.37847219999999998</v>
      </c>
    </row>
    <row r="355" spans="1:10" x14ac:dyDescent="0.3">
      <c r="A355">
        <v>353</v>
      </c>
      <c r="B355">
        <v>5660</v>
      </c>
      <c r="C355" t="b">
        <v>1</v>
      </c>
      <c r="D355">
        <v>8077</v>
      </c>
      <c r="E355">
        <v>8140</v>
      </c>
      <c r="F355">
        <v>36.200000000000003</v>
      </c>
      <c r="G355">
        <v>21</v>
      </c>
      <c r="H355">
        <v>1.7238096000000001</v>
      </c>
      <c r="I355">
        <v>-0.72380953999999997</v>
      </c>
      <c r="J355">
        <v>0.36713287</v>
      </c>
    </row>
    <row r="356" spans="1:10" x14ac:dyDescent="0.3">
      <c r="A356">
        <v>354</v>
      </c>
      <c r="B356">
        <v>5676</v>
      </c>
      <c r="C356" t="b">
        <v>1</v>
      </c>
      <c r="D356">
        <v>8077</v>
      </c>
      <c r="E356">
        <v>8134</v>
      </c>
      <c r="F356">
        <v>36.6</v>
      </c>
      <c r="G356">
        <v>20.2</v>
      </c>
      <c r="H356">
        <v>1.8118810999999999</v>
      </c>
      <c r="I356">
        <v>-0.81188106999999998</v>
      </c>
      <c r="J356">
        <v>0.35563382999999998</v>
      </c>
    </row>
    <row r="357" spans="1:10" x14ac:dyDescent="0.3">
      <c r="A357">
        <v>355</v>
      </c>
      <c r="B357">
        <v>5692</v>
      </c>
      <c r="C357" t="b">
        <v>1</v>
      </c>
      <c r="D357">
        <v>8065</v>
      </c>
      <c r="E357">
        <v>8134</v>
      </c>
      <c r="F357">
        <v>36.6</v>
      </c>
      <c r="G357">
        <v>19.399999999999999</v>
      </c>
      <c r="H357">
        <v>1.8865978999999999</v>
      </c>
      <c r="I357">
        <v>-0.88659790000000005</v>
      </c>
      <c r="J357">
        <v>0.34642856999999999</v>
      </c>
    </row>
    <row r="358" spans="1:10" x14ac:dyDescent="0.3">
      <c r="A358">
        <v>356</v>
      </c>
      <c r="B358">
        <v>5708</v>
      </c>
      <c r="C358" t="b">
        <v>1</v>
      </c>
      <c r="D358">
        <v>8065</v>
      </c>
      <c r="E358">
        <v>8129</v>
      </c>
      <c r="F358">
        <v>36.200000000000003</v>
      </c>
      <c r="G358">
        <v>19</v>
      </c>
      <c r="H358">
        <v>1.9052632</v>
      </c>
      <c r="I358">
        <v>-0.90526320000000005</v>
      </c>
      <c r="J358">
        <v>0.34420289999999998</v>
      </c>
    </row>
    <row r="359" spans="1:10" x14ac:dyDescent="0.3">
      <c r="A359">
        <v>357</v>
      </c>
      <c r="B359">
        <v>5724</v>
      </c>
      <c r="C359" t="b">
        <v>1</v>
      </c>
      <c r="D359">
        <v>8071</v>
      </c>
      <c r="E359">
        <v>8134</v>
      </c>
      <c r="F359">
        <v>35.799999999999997</v>
      </c>
      <c r="G359">
        <v>19</v>
      </c>
      <c r="H359">
        <v>1.8842105</v>
      </c>
      <c r="I359">
        <v>-0.88421046999999997</v>
      </c>
      <c r="J359">
        <v>0.34671532999999999</v>
      </c>
    </row>
    <row r="360" spans="1:10" x14ac:dyDescent="0.3">
      <c r="A360">
        <v>358</v>
      </c>
      <c r="B360">
        <v>5740</v>
      </c>
      <c r="C360" t="b">
        <v>1</v>
      </c>
      <c r="D360">
        <v>8071</v>
      </c>
      <c r="E360">
        <v>8134</v>
      </c>
      <c r="F360">
        <v>35.4</v>
      </c>
      <c r="G360">
        <v>19</v>
      </c>
      <c r="H360">
        <v>1.8631580000000001</v>
      </c>
      <c r="I360">
        <v>-0.86315799999999998</v>
      </c>
      <c r="J360">
        <v>0.34926467999999999</v>
      </c>
    </row>
    <row r="361" spans="1:10" x14ac:dyDescent="0.3">
      <c r="A361">
        <v>359</v>
      </c>
      <c r="B361">
        <v>5755</v>
      </c>
      <c r="C361" t="b">
        <v>1</v>
      </c>
      <c r="D361">
        <v>8071</v>
      </c>
      <c r="E361">
        <v>8134</v>
      </c>
      <c r="F361">
        <v>35</v>
      </c>
      <c r="G361">
        <v>19</v>
      </c>
      <c r="H361">
        <v>1.8421053000000001</v>
      </c>
      <c r="I361">
        <v>-0.84210527000000002</v>
      </c>
      <c r="J361">
        <v>0.35185185000000002</v>
      </c>
    </row>
    <row r="362" spans="1:10" x14ac:dyDescent="0.3">
      <c r="A362">
        <v>360</v>
      </c>
      <c r="B362">
        <v>5771</v>
      </c>
      <c r="C362" t="b">
        <v>1</v>
      </c>
      <c r="D362">
        <v>8071</v>
      </c>
      <c r="E362">
        <v>8140</v>
      </c>
      <c r="F362">
        <v>34.6</v>
      </c>
      <c r="G362">
        <v>19</v>
      </c>
      <c r="H362">
        <v>1.8210526</v>
      </c>
      <c r="I362">
        <v>-0.82105254999999999</v>
      </c>
      <c r="J362">
        <v>0.3544776</v>
      </c>
    </row>
    <row r="363" spans="1:10" x14ac:dyDescent="0.3">
      <c r="A363">
        <v>361</v>
      </c>
      <c r="B363">
        <v>5787</v>
      </c>
      <c r="C363" t="b">
        <v>1</v>
      </c>
      <c r="D363">
        <v>8077</v>
      </c>
      <c r="E363">
        <v>8134</v>
      </c>
      <c r="F363">
        <v>34.200000000000003</v>
      </c>
      <c r="G363">
        <v>19</v>
      </c>
      <c r="H363">
        <v>1.8000001000000001</v>
      </c>
      <c r="I363">
        <v>-0.8</v>
      </c>
      <c r="J363">
        <v>0.35714287</v>
      </c>
    </row>
    <row r="364" spans="1:10" x14ac:dyDescent="0.3">
      <c r="A364">
        <v>362</v>
      </c>
      <c r="B364">
        <v>5803</v>
      </c>
      <c r="C364" t="b">
        <v>1</v>
      </c>
      <c r="D364">
        <v>8060</v>
      </c>
      <c r="E364">
        <v>8129</v>
      </c>
      <c r="F364">
        <v>33.799999999999997</v>
      </c>
      <c r="G364">
        <v>19</v>
      </c>
      <c r="H364">
        <v>1.7789474000000001</v>
      </c>
      <c r="I364">
        <v>-0.77894735000000004</v>
      </c>
      <c r="J364">
        <v>0.35984850000000002</v>
      </c>
    </row>
    <row r="365" spans="1:10" x14ac:dyDescent="0.3">
      <c r="A365">
        <v>363</v>
      </c>
      <c r="B365">
        <v>5819</v>
      </c>
      <c r="C365" t="b">
        <v>1</v>
      </c>
      <c r="D365">
        <v>8065</v>
      </c>
      <c r="E365">
        <v>8134</v>
      </c>
      <c r="F365">
        <v>33.4</v>
      </c>
      <c r="G365">
        <v>19</v>
      </c>
      <c r="H365">
        <v>1.7578948999999999</v>
      </c>
      <c r="I365">
        <v>-0.75789479999999998</v>
      </c>
      <c r="J365">
        <v>0.36259540000000001</v>
      </c>
    </row>
    <row r="366" spans="1:10" x14ac:dyDescent="0.3">
      <c r="A366">
        <v>364</v>
      </c>
      <c r="B366">
        <v>5835</v>
      </c>
      <c r="C366" t="b">
        <v>1</v>
      </c>
      <c r="D366">
        <v>8060</v>
      </c>
      <c r="E366">
        <v>8134</v>
      </c>
      <c r="F366">
        <v>32.6</v>
      </c>
      <c r="G366">
        <v>19</v>
      </c>
      <c r="H366">
        <v>1.7157894</v>
      </c>
      <c r="I366">
        <v>-0.71578940000000002</v>
      </c>
      <c r="J366">
        <v>0.36821704999999999</v>
      </c>
    </row>
    <row r="367" spans="1:10" x14ac:dyDescent="0.3">
      <c r="A367">
        <v>365</v>
      </c>
      <c r="B367">
        <v>5851</v>
      </c>
      <c r="C367" t="b">
        <v>1</v>
      </c>
      <c r="D367">
        <v>8071</v>
      </c>
      <c r="E367">
        <v>8134</v>
      </c>
      <c r="F367">
        <v>31.8</v>
      </c>
      <c r="G367">
        <v>19</v>
      </c>
      <c r="H367">
        <v>1.6736841</v>
      </c>
      <c r="I367">
        <v>-0.67368419999999996</v>
      </c>
      <c r="J367">
        <v>0.37401574999999998</v>
      </c>
    </row>
    <row r="368" spans="1:10" x14ac:dyDescent="0.3">
      <c r="A368">
        <v>366</v>
      </c>
      <c r="B368">
        <v>5866</v>
      </c>
      <c r="C368" t="b">
        <v>1</v>
      </c>
      <c r="D368">
        <v>8083</v>
      </c>
      <c r="E368">
        <v>8134</v>
      </c>
      <c r="F368">
        <v>31</v>
      </c>
      <c r="G368">
        <v>19</v>
      </c>
      <c r="H368">
        <v>1.6315789000000001</v>
      </c>
      <c r="I368">
        <v>-0.63157890000000005</v>
      </c>
      <c r="J368">
        <v>0.38</v>
      </c>
    </row>
    <row r="369" spans="1:10" x14ac:dyDescent="0.3">
      <c r="A369">
        <v>367</v>
      </c>
      <c r="B369">
        <v>5882</v>
      </c>
      <c r="C369" t="b">
        <v>1</v>
      </c>
      <c r="D369">
        <v>8077</v>
      </c>
      <c r="E369">
        <v>8134</v>
      </c>
      <c r="F369">
        <v>30.6</v>
      </c>
      <c r="G369">
        <v>19</v>
      </c>
      <c r="H369">
        <v>1.6105263000000001</v>
      </c>
      <c r="I369">
        <v>-0.61052629999999997</v>
      </c>
      <c r="J369">
        <v>0.38306454000000001</v>
      </c>
    </row>
    <row r="370" spans="1:10" x14ac:dyDescent="0.3">
      <c r="A370">
        <v>368</v>
      </c>
      <c r="B370">
        <v>5898</v>
      </c>
      <c r="C370" t="b">
        <v>1</v>
      </c>
      <c r="D370">
        <v>8071</v>
      </c>
      <c r="E370">
        <v>8134</v>
      </c>
      <c r="F370">
        <v>30.2</v>
      </c>
      <c r="G370">
        <v>19</v>
      </c>
      <c r="H370">
        <v>1.5894737000000001</v>
      </c>
      <c r="I370">
        <v>-0.58947369999999999</v>
      </c>
      <c r="J370">
        <v>0.38617885000000002</v>
      </c>
    </row>
    <row r="371" spans="1:10" x14ac:dyDescent="0.3">
      <c r="A371">
        <v>369</v>
      </c>
      <c r="B371">
        <v>5914</v>
      </c>
      <c r="C371" t="b">
        <v>1</v>
      </c>
      <c r="D371">
        <v>8071</v>
      </c>
      <c r="E371">
        <v>8123</v>
      </c>
      <c r="F371">
        <v>29.8</v>
      </c>
      <c r="G371">
        <v>19</v>
      </c>
      <c r="H371">
        <v>1.5684210000000001</v>
      </c>
      <c r="I371">
        <v>-0.56842099999999995</v>
      </c>
      <c r="J371">
        <v>0.38934426999999999</v>
      </c>
    </row>
    <row r="372" spans="1:10" x14ac:dyDescent="0.3">
      <c r="A372">
        <v>370</v>
      </c>
      <c r="B372">
        <v>5930</v>
      </c>
      <c r="C372" t="b">
        <v>1</v>
      </c>
      <c r="D372">
        <v>8077</v>
      </c>
      <c r="E372">
        <v>8129</v>
      </c>
      <c r="F372">
        <v>30.2</v>
      </c>
      <c r="G372">
        <v>19</v>
      </c>
      <c r="H372">
        <v>1.5894737000000001</v>
      </c>
      <c r="I372">
        <v>-0.58947369999999999</v>
      </c>
      <c r="J372">
        <v>0.38617885000000002</v>
      </c>
    </row>
    <row r="373" spans="1:10" x14ac:dyDescent="0.3">
      <c r="A373">
        <v>371</v>
      </c>
      <c r="B373">
        <v>5946</v>
      </c>
      <c r="C373" t="b">
        <v>1</v>
      </c>
      <c r="D373">
        <v>8077</v>
      </c>
      <c r="E373">
        <v>8129</v>
      </c>
      <c r="F373">
        <v>30.6</v>
      </c>
      <c r="G373">
        <v>18.666665999999999</v>
      </c>
      <c r="H373">
        <v>1.6392857999999999</v>
      </c>
      <c r="I373">
        <v>-0.63928580000000002</v>
      </c>
      <c r="J373">
        <v>0.37889040000000002</v>
      </c>
    </row>
    <row r="374" spans="1:10" x14ac:dyDescent="0.3">
      <c r="A374">
        <v>372</v>
      </c>
      <c r="B374">
        <v>5962</v>
      </c>
      <c r="C374" t="b">
        <v>1</v>
      </c>
      <c r="D374">
        <v>8071</v>
      </c>
      <c r="E374">
        <v>8134</v>
      </c>
      <c r="F374">
        <v>30.6</v>
      </c>
      <c r="G374">
        <v>18.333334000000001</v>
      </c>
      <c r="H374">
        <v>1.6690909</v>
      </c>
      <c r="I374">
        <v>-0.66909087</v>
      </c>
      <c r="J374">
        <v>0.37465942000000002</v>
      </c>
    </row>
    <row r="375" spans="1:10" x14ac:dyDescent="0.3">
      <c r="A375">
        <v>373</v>
      </c>
      <c r="B375">
        <v>5977</v>
      </c>
      <c r="C375" t="b">
        <v>1</v>
      </c>
      <c r="D375">
        <v>8065</v>
      </c>
      <c r="E375">
        <v>8140</v>
      </c>
      <c r="F375">
        <v>30.6</v>
      </c>
      <c r="G375">
        <v>18</v>
      </c>
      <c r="H375">
        <v>1.7</v>
      </c>
      <c r="I375">
        <v>-0.70000004999999998</v>
      </c>
      <c r="J375">
        <v>0.37037039999999999</v>
      </c>
    </row>
    <row r="376" spans="1:10" x14ac:dyDescent="0.3">
      <c r="A376">
        <v>374</v>
      </c>
      <c r="B376">
        <v>5993</v>
      </c>
      <c r="C376" t="b">
        <v>1</v>
      </c>
      <c r="D376">
        <v>8060</v>
      </c>
      <c r="E376">
        <v>8146</v>
      </c>
      <c r="F376">
        <v>30.6</v>
      </c>
      <c r="G376">
        <v>18</v>
      </c>
      <c r="H376">
        <v>1.7</v>
      </c>
      <c r="I376">
        <v>-0.70000004999999998</v>
      </c>
      <c r="J376">
        <v>0.37037039999999999</v>
      </c>
    </row>
    <row r="377" spans="1:10" x14ac:dyDescent="0.3">
      <c r="A377">
        <v>375</v>
      </c>
      <c r="B377">
        <v>6009</v>
      </c>
      <c r="C377" t="b">
        <v>1</v>
      </c>
      <c r="D377">
        <v>8077</v>
      </c>
      <c r="E377">
        <v>8140</v>
      </c>
      <c r="F377">
        <v>30.6</v>
      </c>
      <c r="G377">
        <v>18.399999999999999</v>
      </c>
      <c r="H377">
        <v>1.6630434999999999</v>
      </c>
      <c r="I377">
        <v>-0.66304355999999998</v>
      </c>
      <c r="J377">
        <v>0.37551020000000002</v>
      </c>
    </row>
    <row r="378" spans="1:10" x14ac:dyDescent="0.3">
      <c r="A378">
        <v>376</v>
      </c>
      <c r="B378">
        <v>6025</v>
      </c>
      <c r="C378" t="b">
        <v>1</v>
      </c>
      <c r="D378">
        <v>8065</v>
      </c>
      <c r="E378">
        <v>8140</v>
      </c>
      <c r="F378">
        <v>30.2</v>
      </c>
      <c r="G378">
        <v>18.8</v>
      </c>
      <c r="H378">
        <v>1.6063831</v>
      </c>
      <c r="I378">
        <v>-0.60638309999999995</v>
      </c>
      <c r="J378">
        <v>0.38367346000000002</v>
      </c>
    </row>
    <row r="379" spans="1:10" x14ac:dyDescent="0.3">
      <c r="A379">
        <v>377</v>
      </c>
      <c r="B379">
        <v>6040</v>
      </c>
      <c r="C379" t="b">
        <v>1</v>
      </c>
      <c r="D379">
        <v>8071</v>
      </c>
      <c r="E379">
        <v>8140</v>
      </c>
      <c r="F379">
        <v>29.8</v>
      </c>
      <c r="G379">
        <v>19.2</v>
      </c>
      <c r="H379">
        <v>1.5520833000000001</v>
      </c>
      <c r="I379">
        <v>-0.55208325000000003</v>
      </c>
      <c r="J379">
        <v>0.39183676000000001</v>
      </c>
    </row>
    <row r="380" spans="1:10" x14ac:dyDescent="0.3">
      <c r="A380">
        <v>378</v>
      </c>
      <c r="B380">
        <v>6056</v>
      </c>
      <c r="C380" t="b">
        <v>1</v>
      </c>
      <c r="D380">
        <v>8071</v>
      </c>
      <c r="E380">
        <v>8146</v>
      </c>
      <c r="F380">
        <v>29.8</v>
      </c>
      <c r="G380">
        <v>19.600000000000001</v>
      </c>
      <c r="H380">
        <v>1.5204082000000001</v>
      </c>
      <c r="I380">
        <v>-0.52040810000000004</v>
      </c>
      <c r="J380">
        <v>0.39676112000000002</v>
      </c>
    </row>
    <row r="381" spans="1:10" x14ac:dyDescent="0.3">
      <c r="A381">
        <v>379</v>
      </c>
      <c r="B381">
        <v>6072</v>
      </c>
      <c r="C381" t="b">
        <v>1</v>
      </c>
      <c r="D381">
        <v>8077</v>
      </c>
      <c r="E381">
        <v>8140</v>
      </c>
      <c r="F381">
        <v>30.2</v>
      </c>
      <c r="G381">
        <v>20</v>
      </c>
      <c r="H381">
        <v>1.51</v>
      </c>
      <c r="I381">
        <v>-0.51000005000000004</v>
      </c>
      <c r="J381">
        <v>0.39840636000000001</v>
      </c>
    </row>
    <row r="382" spans="1:10" x14ac:dyDescent="0.3">
      <c r="A382">
        <v>380</v>
      </c>
      <c r="B382">
        <v>6088</v>
      </c>
      <c r="C382" t="b">
        <v>1</v>
      </c>
      <c r="D382">
        <v>8077</v>
      </c>
      <c r="E382">
        <v>8140</v>
      </c>
      <c r="F382">
        <v>30.6</v>
      </c>
      <c r="G382">
        <v>20.399999999999999</v>
      </c>
      <c r="H382">
        <v>1.5</v>
      </c>
      <c r="I382">
        <v>-0.50000005999999997</v>
      </c>
      <c r="J382">
        <v>0.4</v>
      </c>
    </row>
    <row r="383" spans="1:10" x14ac:dyDescent="0.3">
      <c r="A383">
        <v>381</v>
      </c>
      <c r="B383">
        <v>6104</v>
      </c>
      <c r="C383" t="b">
        <v>1</v>
      </c>
      <c r="D383">
        <v>8088</v>
      </c>
      <c r="E383">
        <v>8140</v>
      </c>
      <c r="F383">
        <v>31.4</v>
      </c>
      <c r="G383">
        <v>20.8</v>
      </c>
      <c r="H383">
        <v>1.5096153999999999</v>
      </c>
      <c r="I383">
        <v>-0.50961540000000005</v>
      </c>
      <c r="J383">
        <v>0.39846745</v>
      </c>
    </row>
    <row r="384" spans="1:10" x14ac:dyDescent="0.3">
      <c r="A384">
        <v>382</v>
      </c>
      <c r="B384">
        <v>6120</v>
      </c>
      <c r="C384" t="b">
        <v>1</v>
      </c>
      <c r="D384">
        <v>8083</v>
      </c>
      <c r="E384">
        <v>8140</v>
      </c>
      <c r="F384">
        <v>31.8</v>
      </c>
      <c r="G384">
        <v>21.2</v>
      </c>
      <c r="H384">
        <v>1.4999998999999999</v>
      </c>
      <c r="I384">
        <v>-0.4999999</v>
      </c>
      <c r="J384">
        <v>0.4</v>
      </c>
    </row>
    <row r="385" spans="1:10" x14ac:dyDescent="0.3">
      <c r="A385">
        <v>383</v>
      </c>
      <c r="B385">
        <v>6136</v>
      </c>
      <c r="C385" t="b">
        <v>1</v>
      </c>
      <c r="D385">
        <v>8077</v>
      </c>
      <c r="E385">
        <v>8140</v>
      </c>
      <c r="F385">
        <v>32.200000000000003</v>
      </c>
      <c r="G385">
        <v>21.6</v>
      </c>
      <c r="H385">
        <v>1.4907408</v>
      </c>
      <c r="I385">
        <v>-0.49074075</v>
      </c>
      <c r="J385">
        <v>0.40148696</v>
      </c>
    </row>
    <row r="386" spans="1:10" x14ac:dyDescent="0.3">
      <c r="A386">
        <v>384</v>
      </c>
      <c r="B386">
        <v>6152</v>
      </c>
      <c r="C386" t="b">
        <v>1</v>
      </c>
      <c r="D386">
        <v>8083</v>
      </c>
      <c r="E386">
        <v>8140</v>
      </c>
      <c r="F386">
        <v>33</v>
      </c>
      <c r="G386">
        <v>22</v>
      </c>
      <c r="H386">
        <v>1.5</v>
      </c>
      <c r="I386">
        <v>-0.5</v>
      </c>
      <c r="J386">
        <v>0.4</v>
      </c>
    </row>
    <row r="387" spans="1:10" x14ac:dyDescent="0.3">
      <c r="A387">
        <v>385</v>
      </c>
      <c r="B387">
        <v>6168</v>
      </c>
      <c r="C387" t="b">
        <v>1</v>
      </c>
      <c r="D387">
        <v>8065</v>
      </c>
      <c r="E387">
        <v>8140</v>
      </c>
      <c r="F387">
        <v>33.4</v>
      </c>
      <c r="G387">
        <v>22.4</v>
      </c>
      <c r="H387">
        <v>1.4910715000000001</v>
      </c>
      <c r="I387">
        <v>-0.49107151999999998</v>
      </c>
      <c r="J387">
        <v>0.40143368000000001</v>
      </c>
    </row>
    <row r="388" spans="1:10" x14ac:dyDescent="0.3">
      <c r="A388">
        <v>386</v>
      </c>
      <c r="B388">
        <v>6184</v>
      </c>
      <c r="C388" t="b">
        <v>1</v>
      </c>
      <c r="D388">
        <v>8077</v>
      </c>
      <c r="E388">
        <v>8140</v>
      </c>
      <c r="F388">
        <v>33.4</v>
      </c>
      <c r="G388">
        <v>23.133333</v>
      </c>
      <c r="H388">
        <v>1.4438040999999999</v>
      </c>
      <c r="I388">
        <v>-0.44380412000000002</v>
      </c>
      <c r="J388">
        <v>0.40919810000000001</v>
      </c>
    </row>
    <row r="389" spans="1:10" x14ac:dyDescent="0.3">
      <c r="A389">
        <v>387</v>
      </c>
      <c r="B389">
        <v>6200</v>
      </c>
      <c r="C389" t="b">
        <v>1</v>
      </c>
      <c r="D389">
        <v>8077</v>
      </c>
      <c r="E389">
        <v>8152</v>
      </c>
      <c r="F389">
        <v>33.799999999999997</v>
      </c>
      <c r="G389">
        <v>23.866667</v>
      </c>
      <c r="H389">
        <v>1.4162011000000001</v>
      </c>
      <c r="I389">
        <v>-0.41620108</v>
      </c>
      <c r="J389">
        <v>0.41387284000000002</v>
      </c>
    </row>
    <row r="390" spans="1:10" x14ac:dyDescent="0.3">
      <c r="A390">
        <v>388</v>
      </c>
      <c r="B390">
        <v>6215</v>
      </c>
      <c r="C390" t="b">
        <v>1</v>
      </c>
      <c r="D390">
        <v>8077</v>
      </c>
      <c r="E390">
        <v>8146</v>
      </c>
      <c r="F390">
        <v>34.200000000000003</v>
      </c>
      <c r="G390">
        <v>24.6</v>
      </c>
      <c r="H390">
        <v>1.3902439</v>
      </c>
      <c r="I390">
        <v>-0.39024392000000002</v>
      </c>
      <c r="J390">
        <v>0.41836732999999998</v>
      </c>
    </row>
    <row r="391" spans="1:10" x14ac:dyDescent="0.3">
      <c r="A391">
        <v>389</v>
      </c>
      <c r="B391">
        <v>6231</v>
      </c>
      <c r="C391" t="b">
        <v>1</v>
      </c>
      <c r="D391">
        <v>8077</v>
      </c>
      <c r="E391">
        <v>8140</v>
      </c>
      <c r="F391">
        <v>34.6</v>
      </c>
      <c r="G391">
        <v>25</v>
      </c>
      <c r="H391">
        <v>1.3839999999999999</v>
      </c>
      <c r="I391">
        <v>-0.38399993999999998</v>
      </c>
      <c r="J391">
        <v>0.41946309999999998</v>
      </c>
    </row>
    <row r="392" spans="1:10" x14ac:dyDescent="0.3">
      <c r="A392">
        <v>390</v>
      </c>
      <c r="B392">
        <v>6247</v>
      </c>
      <c r="C392" t="b">
        <v>1</v>
      </c>
      <c r="D392">
        <v>8065</v>
      </c>
      <c r="E392">
        <v>8134</v>
      </c>
      <c r="F392">
        <v>35</v>
      </c>
      <c r="G392">
        <v>25</v>
      </c>
      <c r="H392">
        <v>1.4</v>
      </c>
      <c r="I392">
        <v>-0.4</v>
      </c>
      <c r="J392">
        <v>0.41666666000000002</v>
      </c>
    </row>
    <row r="393" spans="1:10" x14ac:dyDescent="0.3">
      <c r="A393">
        <v>391</v>
      </c>
      <c r="B393">
        <v>6263</v>
      </c>
      <c r="C393" t="b">
        <v>1</v>
      </c>
      <c r="D393">
        <v>8071</v>
      </c>
      <c r="E393">
        <v>8134</v>
      </c>
      <c r="F393">
        <v>35.799999999999997</v>
      </c>
      <c r="G393">
        <v>25</v>
      </c>
      <c r="H393">
        <v>1.4319999000000001</v>
      </c>
      <c r="I393">
        <v>-0.43199998000000001</v>
      </c>
      <c r="J393">
        <v>0.41118421999999999</v>
      </c>
    </row>
    <row r="394" spans="1:10" x14ac:dyDescent="0.3">
      <c r="A394">
        <v>392</v>
      </c>
      <c r="B394">
        <v>6279</v>
      </c>
      <c r="C394" t="b">
        <v>1</v>
      </c>
      <c r="D394">
        <v>8077</v>
      </c>
      <c r="E394">
        <v>8140</v>
      </c>
      <c r="F394">
        <v>36.6</v>
      </c>
      <c r="G394">
        <v>25</v>
      </c>
      <c r="H394">
        <v>1.464</v>
      </c>
      <c r="I394">
        <v>-0.46399993</v>
      </c>
      <c r="J394">
        <v>0.40584415000000001</v>
      </c>
    </row>
    <row r="395" spans="1:10" x14ac:dyDescent="0.3">
      <c r="A395">
        <v>393</v>
      </c>
      <c r="B395">
        <v>6295</v>
      </c>
      <c r="C395" t="b">
        <v>1</v>
      </c>
      <c r="D395">
        <v>8060</v>
      </c>
      <c r="E395">
        <v>8140</v>
      </c>
      <c r="F395">
        <v>36.6</v>
      </c>
      <c r="G395">
        <v>25</v>
      </c>
      <c r="H395">
        <v>1.464</v>
      </c>
      <c r="I395">
        <v>-0.46399993</v>
      </c>
      <c r="J395">
        <v>0.40584415000000001</v>
      </c>
    </row>
    <row r="396" spans="1:10" x14ac:dyDescent="0.3">
      <c r="A396">
        <v>394</v>
      </c>
      <c r="B396">
        <v>6311</v>
      </c>
      <c r="C396" t="b">
        <v>1</v>
      </c>
      <c r="D396">
        <v>8077</v>
      </c>
      <c r="E396">
        <v>8140</v>
      </c>
      <c r="F396">
        <v>36.6</v>
      </c>
      <c r="G396">
        <v>25</v>
      </c>
      <c r="H396">
        <v>1.464</v>
      </c>
      <c r="I396">
        <v>-0.46399993</v>
      </c>
      <c r="J396">
        <v>0.40584415000000001</v>
      </c>
    </row>
    <row r="397" spans="1:10" x14ac:dyDescent="0.3">
      <c r="A397">
        <v>395</v>
      </c>
      <c r="B397">
        <v>6327</v>
      </c>
      <c r="C397" t="b">
        <v>1</v>
      </c>
      <c r="D397">
        <v>8083</v>
      </c>
      <c r="E397">
        <v>8140</v>
      </c>
      <c r="F397">
        <v>37</v>
      </c>
      <c r="G397">
        <v>25</v>
      </c>
      <c r="H397">
        <v>1.48</v>
      </c>
      <c r="I397">
        <v>-0.48</v>
      </c>
      <c r="J397">
        <v>0.40322580000000002</v>
      </c>
    </row>
    <row r="398" spans="1:10" x14ac:dyDescent="0.3">
      <c r="A398">
        <v>396</v>
      </c>
      <c r="B398">
        <v>6342</v>
      </c>
      <c r="C398" t="b">
        <v>1</v>
      </c>
      <c r="D398">
        <v>8071</v>
      </c>
      <c r="E398">
        <v>8146</v>
      </c>
      <c r="F398">
        <v>37</v>
      </c>
      <c r="G398">
        <v>25</v>
      </c>
      <c r="H398">
        <v>1.48</v>
      </c>
      <c r="I398">
        <v>-0.48</v>
      </c>
      <c r="J398">
        <v>0.40322580000000002</v>
      </c>
    </row>
    <row r="399" spans="1:10" x14ac:dyDescent="0.3">
      <c r="A399">
        <v>397</v>
      </c>
      <c r="B399">
        <v>6358</v>
      </c>
      <c r="C399" t="b">
        <v>1</v>
      </c>
      <c r="D399">
        <v>8071</v>
      </c>
      <c r="E399">
        <v>8140</v>
      </c>
      <c r="F399">
        <v>36.6</v>
      </c>
      <c r="G399">
        <v>25</v>
      </c>
      <c r="H399">
        <v>1.464</v>
      </c>
      <c r="I399">
        <v>-0.46399993</v>
      </c>
      <c r="J399">
        <v>0.40584415000000001</v>
      </c>
    </row>
    <row r="400" spans="1:10" x14ac:dyDescent="0.3">
      <c r="A400">
        <v>398</v>
      </c>
      <c r="B400">
        <v>6374</v>
      </c>
      <c r="C400" t="b">
        <v>1</v>
      </c>
      <c r="D400">
        <v>8077</v>
      </c>
      <c r="E400">
        <v>8140</v>
      </c>
      <c r="F400">
        <v>36.6</v>
      </c>
      <c r="G400">
        <v>25</v>
      </c>
      <c r="H400">
        <v>1.464</v>
      </c>
      <c r="I400">
        <v>-0.46399993</v>
      </c>
      <c r="J400">
        <v>0.40584415000000001</v>
      </c>
    </row>
    <row r="401" spans="1:10" x14ac:dyDescent="0.3">
      <c r="A401">
        <v>399</v>
      </c>
      <c r="B401">
        <v>6390</v>
      </c>
      <c r="C401" t="b">
        <v>1</v>
      </c>
      <c r="D401">
        <v>8071</v>
      </c>
      <c r="E401">
        <v>8134</v>
      </c>
      <c r="F401">
        <v>35.799999999999997</v>
      </c>
      <c r="G401">
        <v>25</v>
      </c>
      <c r="H401">
        <v>1.4319999000000001</v>
      </c>
      <c r="I401">
        <v>-0.43199998000000001</v>
      </c>
      <c r="J401">
        <v>0.41118421999999999</v>
      </c>
    </row>
    <row r="402" spans="1:10" x14ac:dyDescent="0.3">
      <c r="A402">
        <v>400</v>
      </c>
      <c r="B402">
        <v>6406</v>
      </c>
      <c r="C402" t="b">
        <v>1</v>
      </c>
      <c r="D402">
        <v>8071</v>
      </c>
      <c r="E402">
        <v>8134</v>
      </c>
      <c r="F402">
        <v>35</v>
      </c>
      <c r="G402">
        <v>25</v>
      </c>
      <c r="H402">
        <v>1.4</v>
      </c>
      <c r="I402">
        <v>-0.4</v>
      </c>
      <c r="J402">
        <v>0.41666666000000002</v>
      </c>
    </row>
    <row r="403" spans="1:10" x14ac:dyDescent="0.3">
      <c r="A403">
        <v>401</v>
      </c>
      <c r="B403">
        <v>6422</v>
      </c>
      <c r="C403" t="b">
        <v>1</v>
      </c>
      <c r="D403">
        <v>8060</v>
      </c>
      <c r="E403">
        <v>8140</v>
      </c>
      <c r="F403">
        <v>34.6</v>
      </c>
      <c r="G403">
        <v>25</v>
      </c>
      <c r="H403">
        <v>1.3839999999999999</v>
      </c>
      <c r="I403">
        <v>-0.38399993999999998</v>
      </c>
      <c r="J403">
        <v>0.41946309999999998</v>
      </c>
    </row>
    <row r="404" spans="1:10" x14ac:dyDescent="0.3">
      <c r="A404">
        <v>402</v>
      </c>
      <c r="B404">
        <v>6438</v>
      </c>
      <c r="C404" t="b">
        <v>1</v>
      </c>
      <c r="D404">
        <v>8065</v>
      </c>
      <c r="E404">
        <v>8134</v>
      </c>
      <c r="F404">
        <v>34.200000000000003</v>
      </c>
      <c r="G404">
        <v>24.6</v>
      </c>
      <c r="H404">
        <v>1.3902439</v>
      </c>
      <c r="I404">
        <v>-0.39024392000000002</v>
      </c>
      <c r="J404">
        <v>0.41836732999999998</v>
      </c>
    </row>
    <row r="405" spans="1:10" x14ac:dyDescent="0.3">
      <c r="A405">
        <v>403</v>
      </c>
      <c r="B405">
        <v>6454</v>
      </c>
      <c r="C405" t="b">
        <v>1</v>
      </c>
      <c r="D405">
        <v>8071</v>
      </c>
      <c r="E405">
        <v>8140</v>
      </c>
      <c r="F405">
        <v>33.799999999999997</v>
      </c>
      <c r="G405">
        <v>24.2</v>
      </c>
      <c r="H405">
        <v>1.3966942</v>
      </c>
      <c r="I405">
        <v>-0.39669415000000002</v>
      </c>
      <c r="J405">
        <v>0.41724139999999998</v>
      </c>
    </row>
    <row r="406" spans="1:10" x14ac:dyDescent="0.3">
      <c r="A406">
        <v>404</v>
      </c>
      <c r="B406">
        <v>6469</v>
      </c>
      <c r="C406" t="b">
        <v>1</v>
      </c>
      <c r="D406">
        <v>8071</v>
      </c>
      <c r="E406">
        <v>8134</v>
      </c>
      <c r="F406">
        <v>33.4</v>
      </c>
      <c r="G406">
        <v>23.8</v>
      </c>
      <c r="H406">
        <v>1.4033614000000001</v>
      </c>
      <c r="I406">
        <v>-0.40336144000000002</v>
      </c>
      <c r="J406">
        <v>0.41608390000000001</v>
      </c>
    </row>
    <row r="407" spans="1:10" x14ac:dyDescent="0.3">
      <c r="A407">
        <v>405</v>
      </c>
      <c r="B407">
        <v>6485</v>
      </c>
      <c r="C407" t="b">
        <v>1</v>
      </c>
      <c r="D407">
        <v>8083</v>
      </c>
      <c r="E407">
        <v>8134</v>
      </c>
      <c r="F407">
        <v>33</v>
      </c>
      <c r="G407">
        <v>23.4</v>
      </c>
      <c r="H407">
        <v>1.4102564</v>
      </c>
      <c r="I407">
        <v>-0.41025644999999999</v>
      </c>
      <c r="J407">
        <v>0.41489359999999997</v>
      </c>
    </row>
    <row r="408" spans="1:10" x14ac:dyDescent="0.3">
      <c r="A408">
        <v>406</v>
      </c>
      <c r="B408">
        <v>6501</v>
      </c>
      <c r="C408" t="b">
        <v>1</v>
      </c>
      <c r="D408">
        <v>8083</v>
      </c>
      <c r="E408">
        <v>8140</v>
      </c>
      <c r="F408">
        <v>32.6</v>
      </c>
      <c r="G408">
        <v>23</v>
      </c>
      <c r="H408">
        <v>1.4173912</v>
      </c>
      <c r="I408">
        <v>-0.41739124</v>
      </c>
      <c r="J408">
        <v>0.41366908000000002</v>
      </c>
    </row>
    <row r="409" spans="1:10" x14ac:dyDescent="0.3">
      <c r="A409">
        <v>407</v>
      </c>
      <c r="B409">
        <v>6517</v>
      </c>
      <c r="C409" t="b">
        <v>1</v>
      </c>
      <c r="D409">
        <v>8083</v>
      </c>
      <c r="E409">
        <v>8134</v>
      </c>
      <c r="F409">
        <v>33</v>
      </c>
      <c r="G409">
        <v>22.6</v>
      </c>
      <c r="H409">
        <v>1.4601770000000001</v>
      </c>
      <c r="I409">
        <v>-0.46017697000000002</v>
      </c>
      <c r="J409">
        <v>0.40647483000000001</v>
      </c>
    </row>
    <row r="410" spans="1:10" x14ac:dyDescent="0.3">
      <c r="A410">
        <v>408</v>
      </c>
      <c r="B410">
        <v>6533</v>
      </c>
      <c r="C410" t="b">
        <v>1</v>
      </c>
      <c r="D410">
        <v>8077</v>
      </c>
      <c r="E410">
        <v>8134</v>
      </c>
      <c r="F410">
        <v>33.799999999999997</v>
      </c>
      <c r="G410">
        <v>22.2</v>
      </c>
      <c r="H410">
        <v>1.5225223999999999</v>
      </c>
      <c r="I410">
        <v>-0.52252244999999997</v>
      </c>
      <c r="J410">
        <v>0.39642859000000003</v>
      </c>
    </row>
    <row r="411" spans="1:10" x14ac:dyDescent="0.3">
      <c r="A411">
        <v>409</v>
      </c>
      <c r="B411">
        <v>6549</v>
      </c>
      <c r="C411" t="b">
        <v>1</v>
      </c>
      <c r="D411">
        <v>8077</v>
      </c>
      <c r="E411">
        <v>8129</v>
      </c>
      <c r="F411">
        <v>34.6</v>
      </c>
      <c r="G411">
        <v>21.8</v>
      </c>
      <c r="H411">
        <v>1.5871559</v>
      </c>
      <c r="I411">
        <v>-0.58715594000000004</v>
      </c>
      <c r="J411">
        <v>0.38652482999999999</v>
      </c>
    </row>
    <row r="412" spans="1:10" x14ac:dyDescent="0.3">
      <c r="A412">
        <v>410</v>
      </c>
      <c r="B412">
        <v>6565</v>
      </c>
      <c r="C412" t="b">
        <v>1</v>
      </c>
      <c r="D412">
        <v>8071</v>
      </c>
      <c r="E412">
        <v>8134</v>
      </c>
      <c r="F412">
        <v>34.6</v>
      </c>
      <c r="G412">
        <v>21.4</v>
      </c>
      <c r="H412">
        <v>1.6168224</v>
      </c>
      <c r="I412">
        <v>-0.61682236000000001</v>
      </c>
      <c r="J412">
        <v>0.38214283999999998</v>
      </c>
    </row>
    <row r="413" spans="1:10" x14ac:dyDescent="0.3">
      <c r="A413">
        <v>411</v>
      </c>
      <c r="B413">
        <v>6581</v>
      </c>
      <c r="C413" t="b">
        <v>1</v>
      </c>
      <c r="D413">
        <v>8071</v>
      </c>
      <c r="E413">
        <v>8140</v>
      </c>
      <c r="F413">
        <v>34.6</v>
      </c>
      <c r="G413">
        <v>21</v>
      </c>
      <c r="H413">
        <v>1.6476189999999999</v>
      </c>
      <c r="I413">
        <v>-0.64761895000000003</v>
      </c>
      <c r="J413">
        <v>0.37769786</v>
      </c>
    </row>
    <row r="414" spans="1:10" x14ac:dyDescent="0.3">
      <c r="A414">
        <v>412</v>
      </c>
      <c r="B414">
        <v>6596</v>
      </c>
      <c r="C414" t="b">
        <v>1</v>
      </c>
      <c r="D414">
        <v>8083</v>
      </c>
      <c r="E414">
        <v>8134</v>
      </c>
      <c r="F414">
        <v>35</v>
      </c>
      <c r="G414">
        <v>20.6</v>
      </c>
      <c r="H414">
        <v>1.6990291</v>
      </c>
      <c r="I414">
        <v>-0.69902909999999996</v>
      </c>
      <c r="J414">
        <v>0.37050359999999999</v>
      </c>
    </row>
    <row r="415" spans="1:10" x14ac:dyDescent="0.3">
      <c r="A415">
        <v>413</v>
      </c>
      <c r="B415">
        <v>6612</v>
      </c>
      <c r="C415" t="b">
        <v>1</v>
      </c>
      <c r="D415">
        <v>8077</v>
      </c>
      <c r="E415">
        <v>8134</v>
      </c>
      <c r="F415">
        <v>35</v>
      </c>
      <c r="G415">
        <v>20.2</v>
      </c>
      <c r="H415">
        <v>1.7326732</v>
      </c>
      <c r="I415">
        <v>-0.73267320000000002</v>
      </c>
      <c r="J415">
        <v>0.36594202999999997</v>
      </c>
    </row>
    <row r="416" spans="1:10" x14ac:dyDescent="0.3">
      <c r="A416">
        <v>414</v>
      </c>
      <c r="B416">
        <v>6628</v>
      </c>
      <c r="C416" t="b">
        <v>1</v>
      </c>
      <c r="D416">
        <v>8083</v>
      </c>
      <c r="E416">
        <v>8134</v>
      </c>
      <c r="F416">
        <v>35.4</v>
      </c>
      <c r="G416">
        <v>19.8</v>
      </c>
      <c r="H416">
        <v>1.787879</v>
      </c>
      <c r="I416">
        <v>-0.78787892999999998</v>
      </c>
      <c r="J416">
        <v>0.35869562999999999</v>
      </c>
    </row>
    <row r="417" spans="1:10" x14ac:dyDescent="0.3">
      <c r="A417">
        <v>415</v>
      </c>
      <c r="B417">
        <v>6644</v>
      </c>
      <c r="C417" t="b">
        <v>1</v>
      </c>
      <c r="D417">
        <v>8077</v>
      </c>
      <c r="E417">
        <v>8134</v>
      </c>
      <c r="F417">
        <v>35.799999999999997</v>
      </c>
      <c r="G417">
        <v>19.399999999999999</v>
      </c>
      <c r="H417">
        <v>1.8453609</v>
      </c>
      <c r="I417">
        <v>-0.84536080000000002</v>
      </c>
      <c r="J417">
        <v>0.35144927999999998</v>
      </c>
    </row>
    <row r="418" spans="1:10" x14ac:dyDescent="0.3">
      <c r="A418">
        <v>416</v>
      </c>
      <c r="B418">
        <v>6660</v>
      </c>
      <c r="C418" t="b">
        <v>1</v>
      </c>
      <c r="D418">
        <v>8071</v>
      </c>
      <c r="E418">
        <v>8140</v>
      </c>
      <c r="F418">
        <v>36.200000000000003</v>
      </c>
      <c r="G418">
        <v>19</v>
      </c>
      <c r="H418">
        <v>1.9052632</v>
      </c>
      <c r="I418">
        <v>-0.90526320000000005</v>
      </c>
      <c r="J418">
        <v>0.34420289999999998</v>
      </c>
    </row>
    <row r="419" spans="1:10" x14ac:dyDescent="0.3">
      <c r="A419">
        <v>417</v>
      </c>
      <c r="B419">
        <v>6675</v>
      </c>
      <c r="C419" t="b">
        <v>1</v>
      </c>
      <c r="D419">
        <v>8071</v>
      </c>
      <c r="E419">
        <v>8146</v>
      </c>
      <c r="F419">
        <v>36.6</v>
      </c>
      <c r="G419">
        <v>19</v>
      </c>
      <c r="H419">
        <v>1.9263157</v>
      </c>
      <c r="I419">
        <v>-0.92631569999999996</v>
      </c>
      <c r="J419">
        <v>0.34172662999999998</v>
      </c>
    </row>
    <row r="420" spans="1:10" x14ac:dyDescent="0.3">
      <c r="A420">
        <v>418</v>
      </c>
      <c r="B420">
        <v>6691</v>
      </c>
      <c r="C420" t="b">
        <v>1</v>
      </c>
      <c r="D420">
        <v>8071</v>
      </c>
      <c r="E420">
        <v>8140</v>
      </c>
      <c r="F420">
        <v>36.6</v>
      </c>
      <c r="G420">
        <v>19.399999999999999</v>
      </c>
      <c r="H420">
        <v>1.8865978999999999</v>
      </c>
      <c r="I420">
        <v>-0.88659790000000005</v>
      </c>
      <c r="J420">
        <v>0.34642856999999999</v>
      </c>
    </row>
    <row r="421" spans="1:10" x14ac:dyDescent="0.3">
      <c r="A421">
        <v>419</v>
      </c>
      <c r="B421">
        <v>6708</v>
      </c>
      <c r="C421" t="b">
        <v>1</v>
      </c>
      <c r="D421">
        <v>8083</v>
      </c>
      <c r="E421">
        <v>8134</v>
      </c>
      <c r="F421">
        <v>36.6</v>
      </c>
      <c r="G421">
        <v>19.8</v>
      </c>
      <c r="H421">
        <v>1.8484849000000001</v>
      </c>
      <c r="I421">
        <v>-0.84848480000000004</v>
      </c>
      <c r="J421">
        <v>0.35106382000000003</v>
      </c>
    </row>
    <row r="422" spans="1:10" x14ac:dyDescent="0.3">
      <c r="A422">
        <v>420</v>
      </c>
      <c r="B422">
        <v>6724</v>
      </c>
      <c r="C422" t="b">
        <v>1</v>
      </c>
      <c r="D422">
        <v>8071</v>
      </c>
      <c r="E422">
        <v>8140</v>
      </c>
      <c r="F422">
        <v>36.6</v>
      </c>
      <c r="G422">
        <v>20.2</v>
      </c>
      <c r="H422">
        <v>1.8118810999999999</v>
      </c>
      <c r="I422">
        <v>-0.81188106999999998</v>
      </c>
      <c r="J422">
        <v>0.35563382999999998</v>
      </c>
    </row>
    <row r="423" spans="1:10" x14ac:dyDescent="0.3">
      <c r="A423">
        <v>421</v>
      </c>
      <c r="B423">
        <v>6740</v>
      </c>
      <c r="C423" t="b">
        <v>1</v>
      </c>
      <c r="D423">
        <v>8071</v>
      </c>
      <c r="E423">
        <v>8134</v>
      </c>
      <c r="F423">
        <v>36.6</v>
      </c>
      <c r="G423">
        <v>20.6</v>
      </c>
      <c r="H423">
        <v>1.776699</v>
      </c>
      <c r="I423">
        <v>-0.77669895</v>
      </c>
      <c r="J423">
        <v>0.36013988000000002</v>
      </c>
    </row>
    <row r="424" spans="1:10" x14ac:dyDescent="0.3">
      <c r="A424">
        <v>422</v>
      </c>
      <c r="B424">
        <v>6756</v>
      </c>
      <c r="C424" t="b">
        <v>1</v>
      </c>
      <c r="D424">
        <v>8071</v>
      </c>
      <c r="E424">
        <v>8140</v>
      </c>
      <c r="F424">
        <v>35.799999999999997</v>
      </c>
      <c r="G424">
        <v>21</v>
      </c>
      <c r="H424">
        <v>1.7047619000000001</v>
      </c>
      <c r="I424">
        <v>-0.70476185999999996</v>
      </c>
      <c r="J424">
        <v>0.3697183</v>
      </c>
    </row>
    <row r="425" spans="1:10" x14ac:dyDescent="0.3">
      <c r="A425">
        <v>423</v>
      </c>
      <c r="B425">
        <v>6772</v>
      </c>
      <c r="C425" t="b">
        <v>1</v>
      </c>
      <c r="D425">
        <v>8071</v>
      </c>
      <c r="E425">
        <v>8140</v>
      </c>
      <c r="F425">
        <v>35</v>
      </c>
      <c r="G425">
        <v>21.4</v>
      </c>
      <c r="H425">
        <v>1.6355139999999999</v>
      </c>
      <c r="I425">
        <v>-0.63551400000000002</v>
      </c>
      <c r="J425">
        <v>0.37943262</v>
      </c>
    </row>
    <row r="426" spans="1:10" x14ac:dyDescent="0.3">
      <c r="A426">
        <v>424</v>
      </c>
      <c r="B426">
        <v>6788</v>
      </c>
      <c r="C426" t="b">
        <v>1</v>
      </c>
      <c r="D426">
        <v>8071</v>
      </c>
      <c r="E426">
        <v>8140</v>
      </c>
      <c r="F426">
        <v>34.200000000000003</v>
      </c>
      <c r="G426">
        <v>21.8</v>
      </c>
      <c r="H426">
        <v>1.5688074999999999</v>
      </c>
      <c r="I426">
        <v>-0.56880739999999996</v>
      </c>
      <c r="J426">
        <v>0.38928570000000001</v>
      </c>
    </row>
    <row r="427" spans="1:10" x14ac:dyDescent="0.3">
      <c r="A427">
        <v>425</v>
      </c>
      <c r="B427">
        <v>6804</v>
      </c>
      <c r="C427" t="b">
        <v>1</v>
      </c>
      <c r="D427">
        <v>8071</v>
      </c>
      <c r="E427">
        <v>8134</v>
      </c>
      <c r="F427">
        <v>33.799999999999997</v>
      </c>
      <c r="G427">
        <v>22.2</v>
      </c>
      <c r="H427">
        <v>1.5225223999999999</v>
      </c>
      <c r="I427">
        <v>-0.52252244999999997</v>
      </c>
      <c r="J427">
        <v>0.39642859000000003</v>
      </c>
    </row>
    <row r="428" spans="1:10" x14ac:dyDescent="0.3">
      <c r="A428">
        <v>426</v>
      </c>
      <c r="B428">
        <v>6819</v>
      </c>
      <c r="C428" t="b">
        <v>1</v>
      </c>
      <c r="D428">
        <v>8060</v>
      </c>
      <c r="E428">
        <v>8140</v>
      </c>
      <c r="F428">
        <v>33.4</v>
      </c>
      <c r="G428">
        <v>22.6</v>
      </c>
      <c r="H428">
        <v>1.4778762000000001</v>
      </c>
      <c r="I428">
        <v>-0.47787615999999999</v>
      </c>
      <c r="J428">
        <v>0.40357143000000001</v>
      </c>
    </row>
    <row r="429" spans="1:10" x14ac:dyDescent="0.3">
      <c r="A429">
        <v>427</v>
      </c>
      <c r="B429">
        <v>6835</v>
      </c>
      <c r="C429" t="b">
        <v>1</v>
      </c>
      <c r="D429">
        <v>8071</v>
      </c>
      <c r="E429">
        <v>8146</v>
      </c>
      <c r="F429">
        <v>33</v>
      </c>
      <c r="G429">
        <v>23</v>
      </c>
      <c r="H429">
        <v>1.4347825999999999</v>
      </c>
      <c r="I429">
        <v>-0.43478260000000002</v>
      </c>
      <c r="J429">
        <v>0.41071429999999998</v>
      </c>
    </row>
    <row r="430" spans="1:10" x14ac:dyDescent="0.3">
      <c r="A430">
        <v>428</v>
      </c>
      <c r="B430">
        <v>6851</v>
      </c>
      <c r="C430" t="b">
        <v>1</v>
      </c>
      <c r="D430">
        <v>8077</v>
      </c>
      <c r="E430">
        <v>8140</v>
      </c>
      <c r="F430">
        <v>32.6</v>
      </c>
      <c r="G430">
        <v>23.4</v>
      </c>
      <c r="H430">
        <v>1.3931624</v>
      </c>
      <c r="I430">
        <v>-0.39316234</v>
      </c>
      <c r="J430">
        <v>0.41785714000000002</v>
      </c>
    </row>
    <row r="431" spans="1:10" x14ac:dyDescent="0.3">
      <c r="A431">
        <v>429</v>
      </c>
      <c r="B431">
        <v>6867</v>
      </c>
      <c r="C431" t="b">
        <v>1</v>
      </c>
      <c r="D431">
        <v>8065</v>
      </c>
      <c r="E431">
        <v>8134</v>
      </c>
      <c r="F431">
        <v>32.200000000000003</v>
      </c>
      <c r="G431">
        <v>23.8</v>
      </c>
      <c r="H431">
        <v>1.3529412999999999</v>
      </c>
      <c r="I431">
        <v>-0.35294123999999999</v>
      </c>
      <c r="J431">
        <v>0.42499998</v>
      </c>
    </row>
    <row r="432" spans="1:10" x14ac:dyDescent="0.3">
      <c r="A432">
        <v>430</v>
      </c>
      <c r="B432">
        <v>6883</v>
      </c>
      <c r="C432" t="b">
        <v>1</v>
      </c>
      <c r="D432">
        <v>8077</v>
      </c>
      <c r="E432">
        <v>8134</v>
      </c>
      <c r="F432">
        <v>31.8</v>
      </c>
      <c r="G432">
        <v>24.2</v>
      </c>
      <c r="H432">
        <v>1.3140495000000001</v>
      </c>
      <c r="I432">
        <v>-0.31404949999999998</v>
      </c>
      <c r="J432">
        <v>0.43214288000000001</v>
      </c>
    </row>
    <row r="433" spans="1:10" x14ac:dyDescent="0.3">
      <c r="A433">
        <v>431</v>
      </c>
      <c r="B433">
        <v>6899</v>
      </c>
      <c r="C433" t="b">
        <v>1</v>
      </c>
      <c r="D433">
        <v>8077</v>
      </c>
      <c r="E433">
        <v>8134</v>
      </c>
      <c r="F433">
        <v>31.8</v>
      </c>
      <c r="G433">
        <v>24.2</v>
      </c>
      <c r="H433">
        <v>1.3140495000000001</v>
      </c>
      <c r="I433">
        <v>-0.31404949999999998</v>
      </c>
      <c r="J433">
        <v>0.43214288000000001</v>
      </c>
    </row>
    <row r="434" spans="1:10" x14ac:dyDescent="0.3">
      <c r="A434">
        <v>432</v>
      </c>
      <c r="B434">
        <v>6915</v>
      </c>
      <c r="C434" t="b">
        <v>1</v>
      </c>
      <c r="D434">
        <v>8077</v>
      </c>
      <c r="E434">
        <v>8134</v>
      </c>
      <c r="F434">
        <v>31.8</v>
      </c>
      <c r="G434">
        <v>24.2</v>
      </c>
      <c r="H434">
        <v>1.3140495000000001</v>
      </c>
      <c r="I434">
        <v>-0.31404949999999998</v>
      </c>
      <c r="J434">
        <v>0.43214288000000001</v>
      </c>
    </row>
    <row r="435" spans="1:10" x14ac:dyDescent="0.3">
      <c r="A435">
        <v>433</v>
      </c>
      <c r="B435">
        <v>6931</v>
      </c>
      <c r="C435" t="b">
        <v>1</v>
      </c>
      <c r="D435">
        <v>8071</v>
      </c>
      <c r="E435">
        <v>8140</v>
      </c>
      <c r="F435">
        <v>32.200000000000003</v>
      </c>
      <c r="G435">
        <v>23.8</v>
      </c>
      <c r="H435">
        <v>1.3529412999999999</v>
      </c>
      <c r="I435">
        <v>-0.35294123999999999</v>
      </c>
      <c r="J435">
        <v>0.42499998</v>
      </c>
    </row>
    <row r="436" spans="1:10" x14ac:dyDescent="0.3">
      <c r="A436">
        <v>434</v>
      </c>
      <c r="B436">
        <v>6946</v>
      </c>
      <c r="C436" t="b">
        <v>1</v>
      </c>
      <c r="D436">
        <v>8083</v>
      </c>
      <c r="E436">
        <v>8134</v>
      </c>
      <c r="F436">
        <v>32.6</v>
      </c>
      <c r="G436">
        <v>23.4</v>
      </c>
      <c r="H436">
        <v>1.3931624</v>
      </c>
      <c r="I436">
        <v>-0.39316234</v>
      </c>
      <c r="J436">
        <v>0.41785714000000002</v>
      </c>
    </row>
    <row r="437" spans="1:10" x14ac:dyDescent="0.3">
      <c r="A437">
        <v>435</v>
      </c>
      <c r="B437">
        <v>6962</v>
      </c>
      <c r="C437" t="b">
        <v>1</v>
      </c>
      <c r="D437">
        <v>8071</v>
      </c>
      <c r="E437">
        <v>8140</v>
      </c>
      <c r="F437">
        <v>33</v>
      </c>
      <c r="G437">
        <v>23</v>
      </c>
      <c r="H437">
        <v>1.4347825999999999</v>
      </c>
      <c r="I437">
        <v>-0.43478260000000002</v>
      </c>
      <c r="J437">
        <v>0.41071429999999998</v>
      </c>
    </row>
    <row r="438" spans="1:10" x14ac:dyDescent="0.3">
      <c r="A438">
        <v>436</v>
      </c>
      <c r="B438">
        <v>6978</v>
      </c>
      <c r="C438" t="b">
        <v>1</v>
      </c>
      <c r="D438">
        <v>8077</v>
      </c>
      <c r="E438">
        <v>8140</v>
      </c>
      <c r="F438">
        <v>33.4</v>
      </c>
      <c r="G438">
        <v>23</v>
      </c>
      <c r="H438">
        <v>1.4521740000000001</v>
      </c>
      <c r="I438">
        <v>-0.45217397999999998</v>
      </c>
      <c r="J438">
        <v>0.40780142000000003</v>
      </c>
    </row>
    <row r="439" spans="1:10" x14ac:dyDescent="0.3">
      <c r="A439">
        <v>437</v>
      </c>
      <c r="B439">
        <v>6994</v>
      </c>
      <c r="C439" t="b">
        <v>1</v>
      </c>
      <c r="D439">
        <v>8071</v>
      </c>
      <c r="E439">
        <v>8146</v>
      </c>
      <c r="F439">
        <v>33.4</v>
      </c>
      <c r="G439">
        <v>23</v>
      </c>
      <c r="H439">
        <v>1.4521740000000001</v>
      </c>
      <c r="I439">
        <v>-0.45217397999999998</v>
      </c>
      <c r="J439">
        <v>0.40780142000000003</v>
      </c>
    </row>
    <row r="440" spans="1:10" x14ac:dyDescent="0.3">
      <c r="A440">
        <v>438</v>
      </c>
      <c r="B440">
        <v>7010</v>
      </c>
      <c r="C440" t="b">
        <v>1</v>
      </c>
      <c r="D440">
        <v>8065</v>
      </c>
      <c r="E440">
        <v>8140</v>
      </c>
      <c r="F440">
        <v>33.4</v>
      </c>
      <c r="G440">
        <v>23</v>
      </c>
      <c r="H440">
        <v>1.4521740000000001</v>
      </c>
      <c r="I440">
        <v>-0.45217397999999998</v>
      </c>
      <c r="J440">
        <v>0.40780142000000003</v>
      </c>
    </row>
    <row r="441" spans="1:10" x14ac:dyDescent="0.3">
      <c r="A441">
        <v>439</v>
      </c>
      <c r="B441">
        <v>7026</v>
      </c>
      <c r="C441" t="b">
        <v>1</v>
      </c>
      <c r="D441">
        <v>8071</v>
      </c>
      <c r="E441">
        <v>8134</v>
      </c>
      <c r="F441">
        <v>33.4</v>
      </c>
      <c r="G441">
        <v>23</v>
      </c>
      <c r="H441">
        <v>1.4521740000000001</v>
      </c>
      <c r="I441">
        <v>-0.45217397999999998</v>
      </c>
      <c r="J441">
        <v>0.40780142000000003</v>
      </c>
    </row>
    <row r="442" spans="1:10" x14ac:dyDescent="0.3">
      <c r="A442">
        <v>440</v>
      </c>
      <c r="B442">
        <v>7042</v>
      </c>
      <c r="C442" t="b">
        <v>1</v>
      </c>
      <c r="D442">
        <v>8071</v>
      </c>
      <c r="E442">
        <v>8146</v>
      </c>
      <c r="F442">
        <v>33.4</v>
      </c>
      <c r="G442">
        <v>23</v>
      </c>
      <c r="H442">
        <v>1.4521740000000001</v>
      </c>
      <c r="I442">
        <v>-0.45217397999999998</v>
      </c>
      <c r="J442">
        <v>0.40780142000000003</v>
      </c>
    </row>
    <row r="443" spans="1:10" x14ac:dyDescent="0.3">
      <c r="A443">
        <v>441</v>
      </c>
      <c r="B443">
        <v>7058</v>
      </c>
      <c r="C443" t="b">
        <v>1</v>
      </c>
      <c r="D443">
        <v>8077</v>
      </c>
      <c r="E443">
        <v>8129</v>
      </c>
      <c r="F443">
        <v>33.4</v>
      </c>
      <c r="G443">
        <v>23</v>
      </c>
      <c r="H443">
        <v>1.4521740000000001</v>
      </c>
      <c r="I443">
        <v>-0.45217397999999998</v>
      </c>
      <c r="J443">
        <v>0.40780142000000003</v>
      </c>
    </row>
    <row r="444" spans="1:10" x14ac:dyDescent="0.3">
      <c r="A444">
        <v>442</v>
      </c>
      <c r="B444">
        <v>7074</v>
      </c>
      <c r="C444" t="b">
        <v>1</v>
      </c>
      <c r="D444">
        <v>8071</v>
      </c>
      <c r="E444">
        <v>8129</v>
      </c>
      <c r="F444">
        <v>33.4</v>
      </c>
      <c r="G444">
        <v>22.6</v>
      </c>
      <c r="H444">
        <v>1.4778762000000001</v>
      </c>
      <c r="I444">
        <v>-0.47787615999999999</v>
      </c>
      <c r="J444">
        <v>0.40357143000000001</v>
      </c>
    </row>
    <row r="445" spans="1:10" x14ac:dyDescent="0.3">
      <c r="A445">
        <v>443</v>
      </c>
      <c r="B445">
        <v>7089</v>
      </c>
      <c r="C445" t="b">
        <v>1</v>
      </c>
      <c r="D445">
        <v>8071</v>
      </c>
      <c r="E445">
        <v>8134</v>
      </c>
      <c r="F445">
        <v>33.4</v>
      </c>
      <c r="G445">
        <v>22.2</v>
      </c>
      <c r="H445">
        <v>1.5045046</v>
      </c>
      <c r="I445">
        <v>-0.50450450000000002</v>
      </c>
      <c r="J445">
        <v>0.39928058</v>
      </c>
    </row>
    <row r="446" spans="1:10" x14ac:dyDescent="0.3">
      <c r="A446">
        <v>444</v>
      </c>
      <c r="B446">
        <v>7105</v>
      </c>
      <c r="C446" t="b">
        <v>1</v>
      </c>
      <c r="D446">
        <v>8071</v>
      </c>
      <c r="E446">
        <v>8134</v>
      </c>
      <c r="F446">
        <v>33.4</v>
      </c>
      <c r="G446">
        <v>21.8</v>
      </c>
      <c r="H446">
        <v>1.5321102</v>
      </c>
      <c r="I446">
        <v>-0.53211019999999998</v>
      </c>
      <c r="J446">
        <v>0.39492753000000003</v>
      </c>
    </row>
    <row r="447" spans="1:10" x14ac:dyDescent="0.3">
      <c r="A447">
        <v>445</v>
      </c>
      <c r="B447">
        <v>7121</v>
      </c>
      <c r="C447" t="b">
        <v>1</v>
      </c>
      <c r="D447">
        <v>8071</v>
      </c>
      <c r="E447">
        <v>8134</v>
      </c>
      <c r="F447">
        <v>33.4</v>
      </c>
      <c r="G447">
        <v>21.4</v>
      </c>
      <c r="H447">
        <v>1.5607477000000001</v>
      </c>
      <c r="I447">
        <v>-0.56074774000000005</v>
      </c>
      <c r="J447">
        <v>0.39051091999999998</v>
      </c>
    </row>
    <row r="448" spans="1:10" x14ac:dyDescent="0.3">
      <c r="A448">
        <v>446</v>
      </c>
      <c r="B448">
        <v>7137</v>
      </c>
      <c r="C448" t="b">
        <v>1</v>
      </c>
      <c r="D448">
        <v>8071</v>
      </c>
      <c r="E448">
        <v>8134</v>
      </c>
      <c r="F448">
        <v>33</v>
      </c>
      <c r="G448">
        <v>21.4</v>
      </c>
      <c r="H448">
        <v>1.5420560999999999</v>
      </c>
      <c r="I448">
        <v>-0.54205610000000004</v>
      </c>
      <c r="J448">
        <v>0.39338234</v>
      </c>
    </row>
    <row r="449" spans="1:10" x14ac:dyDescent="0.3">
      <c r="A449">
        <v>447</v>
      </c>
      <c r="B449">
        <v>7153</v>
      </c>
      <c r="C449" t="b">
        <v>1</v>
      </c>
      <c r="D449">
        <v>8071</v>
      </c>
      <c r="E449">
        <v>8140</v>
      </c>
      <c r="F449">
        <v>32.6</v>
      </c>
      <c r="G449">
        <v>21.4</v>
      </c>
      <c r="H449">
        <v>1.5233644</v>
      </c>
      <c r="I449">
        <v>-0.52336439999999995</v>
      </c>
      <c r="J449">
        <v>0.39629629999999999</v>
      </c>
    </row>
    <row r="450" spans="1:10" x14ac:dyDescent="0.3">
      <c r="A450">
        <v>448</v>
      </c>
      <c r="B450">
        <v>7169</v>
      </c>
      <c r="C450" t="b">
        <v>1</v>
      </c>
      <c r="D450">
        <v>8077</v>
      </c>
      <c r="E450">
        <v>8134</v>
      </c>
      <c r="F450">
        <v>32.200000000000003</v>
      </c>
      <c r="G450">
        <v>21.4</v>
      </c>
      <c r="H450">
        <v>1.5046729999999999</v>
      </c>
      <c r="I450">
        <v>-0.50467293999999996</v>
      </c>
      <c r="J450">
        <v>0.39925372999999997</v>
      </c>
    </row>
    <row r="451" spans="1:10" x14ac:dyDescent="0.3">
      <c r="A451">
        <v>449</v>
      </c>
      <c r="B451">
        <v>7185</v>
      </c>
      <c r="C451" t="b">
        <v>1</v>
      </c>
      <c r="D451">
        <v>8065</v>
      </c>
      <c r="E451">
        <v>8140</v>
      </c>
      <c r="F451">
        <v>31.8</v>
      </c>
      <c r="G451">
        <v>21.4</v>
      </c>
      <c r="H451">
        <v>1.4859812999999999</v>
      </c>
      <c r="I451">
        <v>-0.4859813</v>
      </c>
      <c r="J451">
        <v>0.40225565000000002</v>
      </c>
    </row>
    <row r="452" spans="1:10" x14ac:dyDescent="0.3">
      <c r="A452">
        <v>450</v>
      </c>
      <c r="B452">
        <v>7201</v>
      </c>
      <c r="C452" t="b">
        <v>1</v>
      </c>
      <c r="D452">
        <v>8065</v>
      </c>
      <c r="E452">
        <v>8140</v>
      </c>
      <c r="F452">
        <v>31.4</v>
      </c>
      <c r="G452">
        <v>21.8</v>
      </c>
      <c r="H452">
        <v>1.440367</v>
      </c>
      <c r="I452">
        <v>-0.44036700000000001</v>
      </c>
      <c r="J452">
        <v>0.40977445000000001</v>
      </c>
    </row>
    <row r="453" spans="1:10" x14ac:dyDescent="0.3">
      <c r="A453">
        <v>451</v>
      </c>
      <c r="B453">
        <v>7217</v>
      </c>
      <c r="C453" t="b">
        <v>1</v>
      </c>
      <c r="D453">
        <v>8065</v>
      </c>
      <c r="E453">
        <v>8140</v>
      </c>
      <c r="F453">
        <v>30.6</v>
      </c>
      <c r="G453">
        <v>21.8</v>
      </c>
      <c r="H453">
        <v>1.4036698000000001</v>
      </c>
      <c r="I453">
        <v>-0.40366980000000002</v>
      </c>
      <c r="J453">
        <v>0.41603050000000003</v>
      </c>
    </row>
    <row r="454" spans="1:10" x14ac:dyDescent="0.3">
      <c r="A454">
        <v>452</v>
      </c>
      <c r="B454">
        <v>7233</v>
      </c>
      <c r="C454" t="b">
        <v>1</v>
      </c>
      <c r="D454">
        <v>8065</v>
      </c>
      <c r="E454">
        <v>8140</v>
      </c>
      <c r="F454">
        <v>30.2</v>
      </c>
      <c r="G454">
        <v>21.8</v>
      </c>
      <c r="H454">
        <v>1.3853211000000001</v>
      </c>
      <c r="I454">
        <v>-0.38532116999999999</v>
      </c>
      <c r="J454">
        <v>0.41923075999999998</v>
      </c>
    </row>
    <row r="455" spans="1:10" x14ac:dyDescent="0.3">
      <c r="A455">
        <v>453</v>
      </c>
      <c r="B455">
        <v>7248</v>
      </c>
      <c r="C455" t="b">
        <v>1</v>
      </c>
      <c r="D455">
        <v>8065</v>
      </c>
      <c r="E455">
        <v>8140</v>
      </c>
      <c r="F455">
        <v>29.8</v>
      </c>
      <c r="G455">
        <v>21.8</v>
      </c>
      <c r="H455">
        <v>1.3669724000000001</v>
      </c>
      <c r="I455">
        <v>-0.36697247999999999</v>
      </c>
      <c r="J455">
        <v>0.42248059999999998</v>
      </c>
    </row>
    <row r="456" spans="1:10" x14ac:dyDescent="0.3">
      <c r="A456">
        <v>454</v>
      </c>
      <c r="B456">
        <v>7265</v>
      </c>
      <c r="C456" t="b">
        <v>1</v>
      </c>
      <c r="D456">
        <v>8065</v>
      </c>
      <c r="E456">
        <v>8140</v>
      </c>
      <c r="F456">
        <v>29.4</v>
      </c>
      <c r="G456">
        <v>21.8</v>
      </c>
      <c r="H456">
        <v>1.3486239</v>
      </c>
      <c r="I456">
        <v>-0.34862387</v>
      </c>
      <c r="J456">
        <v>0.42578125</v>
      </c>
    </row>
    <row r="457" spans="1:10" x14ac:dyDescent="0.3">
      <c r="A457">
        <v>455</v>
      </c>
      <c r="B457">
        <v>7280</v>
      </c>
      <c r="C457" t="b">
        <v>1</v>
      </c>
      <c r="D457">
        <v>8071</v>
      </c>
      <c r="E457">
        <v>8140</v>
      </c>
      <c r="F457">
        <v>29</v>
      </c>
      <c r="G457">
        <v>21.8</v>
      </c>
      <c r="H457">
        <v>1.3302753</v>
      </c>
      <c r="I457">
        <v>-0.33027527000000001</v>
      </c>
      <c r="J457">
        <v>0.42913385999999998</v>
      </c>
    </row>
    <row r="458" spans="1:10" x14ac:dyDescent="0.3">
      <c r="A458">
        <v>456</v>
      </c>
      <c r="B458">
        <v>7296</v>
      </c>
      <c r="C458" t="b">
        <v>1</v>
      </c>
      <c r="D458">
        <v>8065</v>
      </c>
      <c r="E458">
        <v>8134</v>
      </c>
      <c r="F458">
        <v>28.6</v>
      </c>
      <c r="G458">
        <v>21.8</v>
      </c>
      <c r="H458">
        <v>1.3119266999999999</v>
      </c>
      <c r="I458">
        <v>-0.31192666000000002</v>
      </c>
      <c r="J458">
        <v>0.43253964</v>
      </c>
    </row>
    <row r="459" spans="1:10" x14ac:dyDescent="0.3">
      <c r="A459">
        <v>457</v>
      </c>
      <c r="B459">
        <v>7312</v>
      </c>
      <c r="C459" t="b">
        <v>1</v>
      </c>
      <c r="D459">
        <v>8077</v>
      </c>
      <c r="E459">
        <v>8134</v>
      </c>
      <c r="F459">
        <v>28.2</v>
      </c>
      <c r="G459">
        <v>22.2</v>
      </c>
      <c r="H459">
        <v>1.2702701999999999</v>
      </c>
      <c r="I459">
        <v>-0.27027025999999998</v>
      </c>
      <c r="J459">
        <v>0.44047617999999999</v>
      </c>
    </row>
    <row r="460" spans="1:10" x14ac:dyDescent="0.3">
      <c r="A460">
        <v>458</v>
      </c>
      <c r="B460">
        <v>7328</v>
      </c>
      <c r="C460" t="b">
        <v>1</v>
      </c>
      <c r="D460">
        <v>8083</v>
      </c>
      <c r="E460">
        <v>8134</v>
      </c>
      <c r="F460">
        <v>28.2</v>
      </c>
      <c r="G460">
        <v>22.2</v>
      </c>
      <c r="H460">
        <v>1.2702701999999999</v>
      </c>
      <c r="I460">
        <v>-0.27027025999999998</v>
      </c>
      <c r="J460">
        <v>0.44047617999999999</v>
      </c>
    </row>
    <row r="461" spans="1:10" x14ac:dyDescent="0.3">
      <c r="A461">
        <v>459</v>
      </c>
      <c r="B461">
        <v>7343</v>
      </c>
      <c r="C461" t="b">
        <v>1</v>
      </c>
      <c r="D461">
        <v>8077</v>
      </c>
      <c r="E461">
        <v>8140</v>
      </c>
      <c r="F461">
        <v>28.6</v>
      </c>
      <c r="G461">
        <v>22.2</v>
      </c>
      <c r="H461">
        <v>1.2882882</v>
      </c>
      <c r="I461">
        <v>-0.28828827000000001</v>
      </c>
      <c r="J461">
        <v>0.43700787000000002</v>
      </c>
    </row>
    <row r="462" spans="1:10" x14ac:dyDescent="0.3">
      <c r="A462">
        <v>460</v>
      </c>
      <c r="B462">
        <v>7359</v>
      </c>
      <c r="C462" t="b">
        <v>1</v>
      </c>
      <c r="D462">
        <v>8071</v>
      </c>
      <c r="E462">
        <v>8140</v>
      </c>
      <c r="F462">
        <v>29</v>
      </c>
      <c r="G462">
        <v>22.2</v>
      </c>
      <c r="H462">
        <v>1.3063062000000001</v>
      </c>
      <c r="I462">
        <v>-0.30630626999999999</v>
      </c>
      <c r="J462">
        <v>0.43359375</v>
      </c>
    </row>
    <row r="463" spans="1:10" x14ac:dyDescent="0.3">
      <c r="A463">
        <v>461</v>
      </c>
      <c r="B463">
        <v>7375</v>
      </c>
      <c r="C463" t="b">
        <v>1</v>
      </c>
      <c r="D463">
        <v>8065</v>
      </c>
      <c r="E463">
        <v>8140</v>
      </c>
      <c r="F463">
        <v>29.4</v>
      </c>
      <c r="G463">
        <v>22.6</v>
      </c>
      <c r="H463">
        <v>1.3008850000000001</v>
      </c>
      <c r="I463">
        <v>-0.30088490000000001</v>
      </c>
      <c r="J463">
        <v>0.43461539999999999</v>
      </c>
    </row>
    <row r="464" spans="1:10" x14ac:dyDescent="0.3">
      <c r="A464">
        <v>462</v>
      </c>
      <c r="B464">
        <v>7391</v>
      </c>
      <c r="C464" t="b">
        <v>1</v>
      </c>
      <c r="D464">
        <v>8060</v>
      </c>
      <c r="E464">
        <v>8140</v>
      </c>
      <c r="F464">
        <v>29.4</v>
      </c>
      <c r="G464">
        <v>23</v>
      </c>
      <c r="H464">
        <v>1.2782608</v>
      </c>
      <c r="I464">
        <v>-0.27826086</v>
      </c>
      <c r="J464">
        <v>0.43893130000000002</v>
      </c>
    </row>
    <row r="465" spans="1:10" x14ac:dyDescent="0.3">
      <c r="A465">
        <v>463</v>
      </c>
      <c r="B465">
        <v>7407</v>
      </c>
      <c r="C465" t="b">
        <v>1</v>
      </c>
      <c r="D465">
        <v>8065</v>
      </c>
      <c r="E465">
        <v>8134</v>
      </c>
      <c r="F465">
        <v>29</v>
      </c>
      <c r="G465">
        <v>23.4</v>
      </c>
      <c r="H465">
        <v>1.2393162</v>
      </c>
      <c r="I465">
        <v>-0.23931625000000001</v>
      </c>
      <c r="J465">
        <v>0.44656485000000001</v>
      </c>
    </row>
    <row r="466" spans="1:10" x14ac:dyDescent="0.3">
      <c r="A466">
        <v>464</v>
      </c>
      <c r="B466">
        <v>7423</v>
      </c>
      <c r="C466" t="b">
        <v>1</v>
      </c>
      <c r="D466">
        <v>8071</v>
      </c>
      <c r="E466">
        <v>8140</v>
      </c>
      <c r="F466">
        <v>28.6</v>
      </c>
      <c r="G466">
        <v>23.8</v>
      </c>
      <c r="H466">
        <v>1.2016808000000001</v>
      </c>
      <c r="I466">
        <v>-0.20168072000000001</v>
      </c>
      <c r="J466">
        <v>0.45419844999999998</v>
      </c>
    </row>
    <row r="467" spans="1:10" x14ac:dyDescent="0.3">
      <c r="A467">
        <v>465</v>
      </c>
      <c r="B467">
        <v>7439</v>
      </c>
      <c r="C467" t="b">
        <v>1</v>
      </c>
      <c r="D467">
        <v>8071</v>
      </c>
      <c r="E467">
        <v>8140</v>
      </c>
      <c r="F467">
        <v>28.2</v>
      </c>
      <c r="G467">
        <v>23.8</v>
      </c>
      <c r="H467">
        <v>1.184874</v>
      </c>
      <c r="I467">
        <v>-0.18487401000000001</v>
      </c>
      <c r="J467">
        <v>0.4576923</v>
      </c>
    </row>
    <row r="468" spans="1:10" x14ac:dyDescent="0.3">
      <c r="A468">
        <v>466</v>
      </c>
      <c r="B468">
        <v>7455</v>
      </c>
      <c r="C468" t="b">
        <v>1</v>
      </c>
      <c r="D468">
        <v>8065</v>
      </c>
      <c r="E468">
        <v>8140</v>
      </c>
      <c r="F468">
        <v>28.2</v>
      </c>
      <c r="G468">
        <v>23.8</v>
      </c>
      <c r="H468">
        <v>1.184874</v>
      </c>
      <c r="I468">
        <v>-0.18487401000000001</v>
      </c>
      <c r="J468">
        <v>0.4576923</v>
      </c>
    </row>
    <row r="469" spans="1:10" x14ac:dyDescent="0.3">
      <c r="A469">
        <v>467</v>
      </c>
      <c r="B469">
        <v>7470</v>
      </c>
      <c r="C469" t="b">
        <v>1</v>
      </c>
      <c r="D469">
        <v>8071</v>
      </c>
      <c r="E469">
        <v>8146</v>
      </c>
      <c r="F469">
        <v>28.6</v>
      </c>
      <c r="G469">
        <v>23.8</v>
      </c>
      <c r="H469">
        <v>1.2016808000000001</v>
      </c>
      <c r="I469">
        <v>-0.20168072000000001</v>
      </c>
      <c r="J469">
        <v>0.45419844999999998</v>
      </c>
    </row>
    <row r="470" spans="1:10" x14ac:dyDescent="0.3">
      <c r="A470">
        <v>468</v>
      </c>
      <c r="B470">
        <v>7486</v>
      </c>
      <c r="C470" t="b">
        <v>1</v>
      </c>
      <c r="D470">
        <v>8071</v>
      </c>
      <c r="E470">
        <v>8140</v>
      </c>
      <c r="F470">
        <v>29</v>
      </c>
      <c r="G470">
        <v>23.8</v>
      </c>
      <c r="H470">
        <v>1.2184874000000001</v>
      </c>
      <c r="I470">
        <v>-0.21848743000000001</v>
      </c>
      <c r="J470">
        <v>0.45075756</v>
      </c>
    </row>
    <row r="471" spans="1:10" x14ac:dyDescent="0.3">
      <c r="A471">
        <v>469</v>
      </c>
      <c r="B471">
        <v>7502</v>
      </c>
      <c r="C471" t="b">
        <v>1</v>
      </c>
      <c r="D471">
        <v>8071</v>
      </c>
      <c r="E471">
        <v>8146</v>
      </c>
      <c r="F471">
        <v>29.4</v>
      </c>
      <c r="G471">
        <v>23.8</v>
      </c>
      <c r="H471">
        <v>1.2352941</v>
      </c>
      <c r="I471">
        <v>-0.23529415000000001</v>
      </c>
      <c r="J471">
        <v>0.44736843999999998</v>
      </c>
    </row>
    <row r="472" spans="1:10" x14ac:dyDescent="0.3">
      <c r="A472">
        <v>470</v>
      </c>
      <c r="B472">
        <v>7518</v>
      </c>
      <c r="C472" t="b">
        <v>1</v>
      </c>
      <c r="D472">
        <v>8077</v>
      </c>
      <c r="E472">
        <v>8140</v>
      </c>
      <c r="F472">
        <v>29.8</v>
      </c>
      <c r="G472">
        <v>23.8</v>
      </c>
      <c r="H472">
        <v>1.2521008</v>
      </c>
      <c r="I472">
        <v>-0.25210085999999998</v>
      </c>
      <c r="J472">
        <v>0.44402984000000001</v>
      </c>
    </row>
    <row r="473" spans="1:10" x14ac:dyDescent="0.3">
      <c r="A473">
        <v>471</v>
      </c>
      <c r="B473">
        <v>7533</v>
      </c>
      <c r="C473" t="b">
        <v>1</v>
      </c>
      <c r="D473">
        <v>8071</v>
      </c>
      <c r="E473">
        <v>8140</v>
      </c>
      <c r="F473">
        <v>30.2</v>
      </c>
      <c r="G473">
        <v>23.8</v>
      </c>
      <c r="H473">
        <v>1.2689077</v>
      </c>
      <c r="I473">
        <v>-0.26890764</v>
      </c>
      <c r="J473">
        <v>0.44074073000000002</v>
      </c>
    </row>
    <row r="474" spans="1:10" x14ac:dyDescent="0.3">
      <c r="A474">
        <v>472</v>
      </c>
      <c r="B474">
        <v>7549</v>
      </c>
      <c r="C474" t="b">
        <v>1</v>
      </c>
      <c r="D474">
        <v>8065</v>
      </c>
      <c r="E474">
        <v>8129</v>
      </c>
      <c r="F474">
        <v>30.6</v>
      </c>
      <c r="G474">
        <v>23.8</v>
      </c>
      <c r="H474">
        <v>1.2857144</v>
      </c>
      <c r="I474">
        <v>-0.28571433000000002</v>
      </c>
      <c r="J474">
        <v>0.43749997000000002</v>
      </c>
    </row>
    <row r="475" spans="1:10" x14ac:dyDescent="0.3">
      <c r="A475">
        <v>473</v>
      </c>
      <c r="B475">
        <v>7565</v>
      </c>
      <c r="C475" t="b">
        <v>1</v>
      </c>
      <c r="D475">
        <v>8065</v>
      </c>
      <c r="E475">
        <v>8129</v>
      </c>
      <c r="F475">
        <v>30.6</v>
      </c>
      <c r="G475">
        <v>24.2</v>
      </c>
      <c r="H475">
        <v>1.2644628</v>
      </c>
      <c r="I475">
        <v>-0.2644628</v>
      </c>
      <c r="J475">
        <v>0.44160584000000003</v>
      </c>
    </row>
    <row r="476" spans="1:10" x14ac:dyDescent="0.3">
      <c r="A476">
        <v>474</v>
      </c>
      <c r="B476">
        <v>7581</v>
      </c>
      <c r="C476" t="b">
        <v>1</v>
      </c>
      <c r="D476">
        <v>8071</v>
      </c>
      <c r="E476">
        <v>8134</v>
      </c>
      <c r="F476">
        <v>30.2</v>
      </c>
      <c r="G476">
        <v>24.2</v>
      </c>
      <c r="H476">
        <v>1.2479339</v>
      </c>
      <c r="I476">
        <v>-0.24793388</v>
      </c>
      <c r="J476">
        <v>0.44485295000000002</v>
      </c>
    </row>
    <row r="477" spans="1:10" x14ac:dyDescent="0.3">
      <c r="A477">
        <v>475</v>
      </c>
      <c r="B477">
        <v>7597</v>
      </c>
      <c r="C477" t="b">
        <v>1</v>
      </c>
      <c r="D477">
        <v>8071</v>
      </c>
      <c r="E477">
        <v>8134</v>
      </c>
      <c r="F477">
        <v>29.8</v>
      </c>
      <c r="G477">
        <v>24.2</v>
      </c>
      <c r="H477">
        <v>1.2314049</v>
      </c>
      <c r="I477">
        <v>-0.23140489</v>
      </c>
      <c r="J477">
        <v>0.44814816000000002</v>
      </c>
    </row>
    <row r="478" spans="1:10" x14ac:dyDescent="0.3">
      <c r="A478">
        <v>476</v>
      </c>
      <c r="B478">
        <v>7612</v>
      </c>
      <c r="C478" t="b">
        <v>1</v>
      </c>
      <c r="D478">
        <v>8071</v>
      </c>
      <c r="E478">
        <v>8129</v>
      </c>
      <c r="F478">
        <v>29.4</v>
      </c>
      <c r="G478">
        <v>23.466667000000001</v>
      </c>
      <c r="H478">
        <v>1.2528409</v>
      </c>
      <c r="I478">
        <v>-0.25284087999999999</v>
      </c>
      <c r="J478">
        <v>0.443884</v>
      </c>
    </row>
    <row r="479" spans="1:10" x14ac:dyDescent="0.3">
      <c r="A479">
        <v>477</v>
      </c>
      <c r="B479">
        <v>7628</v>
      </c>
      <c r="C479" t="b">
        <v>1</v>
      </c>
      <c r="D479">
        <v>8077</v>
      </c>
      <c r="E479">
        <v>8134</v>
      </c>
      <c r="F479">
        <v>29.4</v>
      </c>
      <c r="G479">
        <v>23.066668</v>
      </c>
      <c r="H479">
        <v>1.2745664000000001</v>
      </c>
      <c r="I479">
        <v>-0.27456639999999999</v>
      </c>
      <c r="J479">
        <v>0.43964421999999997</v>
      </c>
    </row>
    <row r="480" spans="1:10" x14ac:dyDescent="0.3">
      <c r="A480">
        <v>478</v>
      </c>
      <c r="B480">
        <v>7644</v>
      </c>
      <c r="C480" t="b">
        <v>1</v>
      </c>
      <c r="D480">
        <v>8065</v>
      </c>
      <c r="E480">
        <v>8140</v>
      </c>
      <c r="F480">
        <v>29.8</v>
      </c>
      <c r="G480">
        <v>22.666665999999999</v>
      </c>
      <c r="H480">
        <v>1.3147058</v>
      </c>
      <c r="I480">
        <v>-0.31470587999999999</v>
      </c>
      <c r="J480">
        <v>0.43202030000000002</v>
      </c>
    </row>
    <row r="481" spans="1:10" x14ac:dyDescent="0.3">
      <c r="A481">
        <v>479</v>
      </c>
      <c r="B481">
        <v>7660</v>
      </c>
      <c r="C481" t="b">
        <v>1</v>
      </c>
      <c r="D481">
        <v>8083</v>
      </c>
      <c r="E481">
        <v>8140</v>
      </c>
      <c r="F481">
        <v>30.2</v>
      </c>
      <c r="G481">
        <v>22.266666000000001</v>
      </c>
      <c r="H481">
        <v>1.3562875000000001</v>
      </c>
      <c r="I481">
        <v>-0.35628747999999999</v>
      </c>
      <c r="J481">
        <v>0.42439642999999999</v>
      </c>
    </row>
    <row r="482" spans="1:10" x14ac:dyDescent="0.3">
      <c r="A482">
        <v>480</v>
      </c>
      <c r="B482">
        <v>7676</v>
      </c>
      <c r="C482" t="b">
        <v>1</v>
      </c>
      <c r="D482">
        <v>8083</v>
      </c>
      <c r="E482">
        <v>8140</v>
      </c>
      <c r="F482">
        <v>31</v>
      </c>
      <c r="G482">
        <v>22.266666000000001</v>
      </c>
      <c r="H482">
        <v>1.3922156000000001</v>
      </c>
      <c r="I482">
        <v>-0.39221558000000001</v>
      </c>
      <c r="J482">
        <v>0.41802250000000002</v>
      </c>
    </row>
    <row r="483" spans="1:10" x14ac:dyDescent="0.3">
      <c r="A483">
        <v>481</v>
      </c>
      <c r="B483">
        <v>7691</v>
      </c>
      <c r="C483" t="b">
        <v>1</v>
      </c>
      <c r="D483">
        <v>8065</v>
      </c>
      <c r="E483">
        <v>8140</v>
      </c>
      <c r="F483">
        <v>31.8</v>
      </c>
      <c r="G483">
        <v>22.266666000000001</v>
      </c>
      <c r="H483">
        <v>1.4281436999999999</v>
      </c>
      <c r="I483">
        <v>-0.42814368000000003</v>
      </c>
      <c r="J483">
        <v>0.41183724999999999</v>
      </c>
    </row>
    <row r="484" spans="1:10" x14ac:dyDescent="0.3">
      <c r="A484">
        <v>482</v>
      </c>
      <c r="B484">
        <v>7707</v>
      </c>
      <c r="C484" t="b">
        <v>1</v>
      </c>
      <c r="D484">
        <v>8065</v>
      </c>
      <c r="E484">
        <v>8140</v>
      </c>
      <c r="F484">
        <v>31.4</v>
      </c>
      <c r="G484">
        <v>22.266666000000001</v>
      </c>
      <c r="H484">
        <v>1.4101796</v>
      </c>
      <c r="I484">
        <v>-0.41017964000000001</v>
      </c>
      <c r="J484">
        <v>0.41490685999999999</v>
      </c>
    </row>
    <row r="485" spans="1:10" x14ac:dyDescent="0.3">
      <c r="A485">
        <v>483</v>
      </c>
      <c r="B485">
        <v>7723</v>
      </c>
      <c r="C485" t="b">
        <v>1</v>
      </c>
      <c r="D485">
        <v>8065</v>
      </c>
      <c r="E485">
        <v>8146</v>
      </c>
      <c r="F485">
        <v>31</v>
      </c>
      <c r="G485">
        <v>22.266666000000001</v>
      </c>
      <c r="H485">
        <v>1.3922156000000001</v>
      </c>
      <c r="I485">
        <v>-0.39221558000000001</v>
      </c>
      <c r="J485">
        <v>0.41802250000000002</v>
      </c>
    </row>
    <row r="486" spans="1:10" x14ac:dyDescent="0.3">
      <c r="A486">
        <v>484</v>
      </c>
      <c r="B486">
        <v>7739</v>
      </c>
      <c r="C486" t="b">
        <v>1</v>
      </c>
      <c r="D486">
        <v>8065</v>
      </c>
      <c r="E486">
        <v>8140</v>
      </c>
      <c r="F486">
        <v>30.6</v>
      </c>
      <c r="G486">
        <v>22.266666000000001</v>
      </c>
      <c r="H486">
        <v>1.3742515</v>
      </c>
      <c r="I486">
        <v>-0.37425153999999999</v>
      </c>
      <c r="J486">
        <v>0.42118534000000002</v>
      </c>
    </row>
    <row r="487" spans="1:10" x14ac:dyDescent="0.3">
      <c r="A487">
        <v>485</v>
      </c>
      <c r="B487">
        <v>7755</v>
      </c>
      <c r="C487" t="b">
        <v>1</v>
      </c>
      <c r="D487">
        <v>8065</v>
      </c>
      <c r="E487">
        <v>8140</v>
      </c>
      <c r="F487">
        <v>30.2</v>
      </c>
      <c r="G487">
        <v>22.266666000000001</v>
      </c>
      <c r="H487">
        <v>1.3562875000000001</v>
      </c>
      <c r="I487">
        <v>-0.35628747999999999</v>
      </c>
      <c r="J487">
        <v>0.42439642999999999</v>
      </c>
    </row>
    <row r="488" spans="1:10" x14ac:dyDescent="0.3">
      <c r="A488">
        <v>486</v>
      </c>
      <c r="B488">
        <v>7771</v>
      </c>
      <c r="C488" t="b">
        <v>1</v>
      </c>
      <c r="D488">
        <v>8077</v>
      </c>
      <c r="E488">
        <v>8134</v>
      </c>
      <c r="F488">
        <v>29.8</v>
      </c>
      <c r="G488">
        <v>22.266666000000001</v>
      </c>
      <c r="H488">
        <v>1.3383233999999999</v>
      </c>
      <c r="I488">
        <v>-0.33832331999999998</v>
      </c>
      <c r="J488">
        <v>0.42765686000000003</v>
      </c>
    </row>
    <row r="489" spans="1:10" x14ac:dyDescent="0.3">
      <c r="A489">
        <v>487</v>
      </c>
      <c r="B489">
        <v>7787</v>
      </c>
      <c r="C489" t="b">
        <v>1</v>
      </c>
      <c r="D489">
        <v>8077</v>
      </c>
      <c r="E489">
        <v>8140</v>
      </c>
      <c r="F489">
        <v>29.4</v>
      </c>
      <c r="G489">
        <v>22.266666000000001</v>
      </c>
      <c r="H489">
        <v>1.3203592</v>
      </c>
      <c r="I489">
        <v>-0.32035930000000001</v>
      </c>
      <c r="J489">
        <v>0.43096774999999998</v>
      </c>
    </row>
    <row r="490" spans="1:10" x14ac:dyDescent="0.3">
      <c r="A490">
        <v>488</v>
      </c>
      <c r="B490">
        <v>7803</v>
      </c>
      <c r="C490" t="b">
        <v>1</v>
      </c>
      <c r="D490">
        <v>8077</v>
      </c>
      <c r="E490">
        <v>8129</v>
      </c>
      <c r="F490">
        <v>29.8</v>
      </c>
      <c r="G490">
        <v>22.266666000000001</v>
      </c>
      <c r="H490">
        <v>1.3383233999999999</v>
      </c>
      <c r="I490">
        <v>-0.33832331999999998</v>
      </c>
      <c r="J490">
        <v>0.42765686000000003</v>
      </c>
    </row>
    <row r="491" spans="1:10" x14ac:dyDescent="0.3">
      <c r="A491">
        <v>489</v>
      </c>
      <c r="B491">
        <v>7819</v>
      </c>
      <c r="C491" t="b">
        <v>1</v>
      </c>
      <c r="D491">
        <v>8083</v>
      </c>
      <c r="E491">
        <v>8134</v>
      </c>
      <c r="F491">
        <v>30.2</v>
      </c>
      <c r="G491">
        <v>22.266666000000001</v>
      </c>
      <c r="H491">
        <v>1.3562875000000001</v>
      </c>
      <c r="I491">
        <v>-0.35628747999999999</v>
      </c>
      <c r="J491">
        <v>0.42439642999999999</v>
      </c>
    </row>
    <row r="492" spans="1:10" x14ac:dyDescent="0.3">
      <c r="A492">
        <v>490</v>
      </c>
      <c r="B492">
        <v>7835</v>
      </c>
      <c r="C492" t="b">
        <v>1</v>
      </c>
      <c r="D492">
        <v>8083</v>
      </c>
      <c r="E492">
        <v>8134</v>
      </c>
      <c r="F492">
        <v>30.6</v>
      </c>
      <c r="G492">
        <v>22.266666000000001</v>
      </c>
      <c r="H492">
        <v>1.3742515</v>
      </c>
      <c r="I492">
        <v>-0.37425153999999999</v>
      </c>
      <c r="J492">
        <v>0.42118534000000002</v>
      </c>
    </row>
    <row r="493" spans="1:10" x14ac:dyDescent="0.3">
      <c r="A493">
        <v>491</v>
      </c>
      <c r="B493">
        <v>7851</v>
      </c>
      <c r="C493" t="b">
        <v>1</v>
      </c>
      <c r="D493">
        <v>8083</v>
      </c>
      <c r="E493">
        <v>8140</v>
      </c>
      <c r="F493">
        <v>31.4</v>
      </c>
      <c r="G493">
        <v>22.6</v>
      </c>
      <c r="H493">
        <v>1.3893804999999999</v>
      </c>
      <c r="I493">
        <v>-0.38938047999999997</v>
      </c>
      <c r="J493">
        <v>0.41851850000000002</v>
      </c>
    </row>
    <row r="494" spans="1:10" x14ac:dyDescent="0.3">
      <c r="A494">
        <v>492</v>
      </c>
      <c r="B494">
        <v>7867</v>
      </c>
      <c r="C494" t="b">
        <v>1</v>
      </c>
      <c r="D494">
        <v>8071</v>
      </c>
      <c r="E494">
        <v>8146</v>
      </c>
      <c r="F494">
        <v>32.200000000000003</v>
      </c>
      <c r="G494">
        <v>22.6</v>
      </c>
      <c r="H494">
        <v>1.4247787999999999</v>
      </c>
      <c r="I494">
        <v>-0.42477875999999998</v>
      </c>
      <c r="J494">
        <v>0.41240874</v>
      </c>
    </row>
    <row r="495" spans="1:10" x14ac:dyDescent="0.3">
      <c r="A495">
        <v>493</v>
      </c>
      <c r="B495">
        <v>7882</v>
      </c>
      <c r="C495" t="b">
        <v>1</v>
      </c>
      <c r="D495">
        <v>8071</v>
      </c>
      <c r="E495">
        <v>8146</v>
      </c>
      <c r="F495">
        <v>33</v>
      </c>
      <c r="G495">
        <v>23</v>
      </c>
      <c r="H495">
        <v>1.4347825999999999</v>
      </c>
      <c r="I495">
        <v>-0.43478260000000002</v>
      </c>
      <c r="J495">
        <v>0.41071429999999998</v>
      </c>
    </row>
    <row r="496" spans="1:10" x14ac:dyDescent="0.3">
      <c r="A496">
        <v>494</v>
      </c>
      <c r="B496">
        <v>7898</v>
      </c>
      <c r="C496" t="b">
        <v>1</v>
      </c>
      <c r="D496">
        <v>8071</v>
      </c>
      <c r="E496">
        <v>8134</v>
      </c>
      <c r="F496">
        <v>33</v>
      </c>
      <c r="G496">
        <v>23.4</v>
      </c>
      <c r="H496">
        <v>1.4102564</v>
      </c>
      <c r="I496">
        <v>-0.41025644999999999</v>
      </c>
      <c r="J496">
        <v>0.41489359999999997</v>
      </c>
    </row>
    <row r="497" spans="1:10" x14ac:dyDescent="0.3">
      <c r="A497">
        <v>495</v>
      </c>
      <c r="B497">
        <v>7914</v>
      </c>
      <c r="C497" t="b">
        <v>1</v>
      </c>
      <c r="D497">
        <v>8077</v>
      </c>
      <c r="E497">
        <v>8134</v>
      </c>
      <c r="F497">
        <v>32.6</v>
      </c>
      <c r="G497">
        <v>23.4</v>
      </c>
      <c r="H497">
        <v>1.3931624</v>
      </c>
      <c r="I497">
        <v>-0.39316234</v>
      </c>
      <c r="J497">
        <v>0.41785714000000002</v>
      </c>
    </row>
    <row r="498" spans="1:10" x14ac:dyDescent="0.3">
      <c r="A498">
        <v>496</v>
      </c>
      <c r="B498">
        <v>7930</v>
      </c>
      <c r="C498" t="b">
        <v>1</v>
      </c>
      <c r="D498">
        <v>8077</v>
      </c>
      <c r="E498">
        <v>8134</v>
      </c>
      <c r="F498">
        <v>32.200000000000003</v>
      </c>
      <c r="G498">
        <v>23</v>
      </c>
      <c r="H498">
        <v>1.4</v>
      </c>
      <c r="I498">
        <v>-0.40000004</v>
      </c>
      <c r="J498">
        <v>0.41666666000000002</v>
      </c>
    </row>
    <row r="499" spans="1:10" x14ac:dyDescent="0.3">
      <c r="A499">
        <v>497</v>
      </c>
      <c r="B499">
        <v>7946</v>
      </c>
      <c r="C499" t="b">
        <v>1</v>
      </c>
      <c r="D499">
        <v>8071</v>
      </c>
      <c r="E499">
        <v>8134</v>
      </c>
      <c r="F499">
        <v>32.6</v>
      </c>
      <c r="G499">
        <v>22.6</v>
      </c>
      <c r="H499">
        <v>1.4424778</v>
      </c>
      <c r="I499">
        <v>-0.44247779999999998</v>
      </c>
      <c r="J499">
        <v>0.40942030000000001</v>
      </c>
    </row>
    <row r="500" spans="1:10" x14ac:dyDescent="0.3">
      <c r="A500">
        <v>498</v>
      </c>
      <c r="B500">
        <v>7961</v>
      </c>
      <c r="C500" t="b">
        <v>1</v>
      </c>
      <c r="D500">
        <v>8071</v>
      </c>
      <c r="E500">
        <v>8134</v>
      </c>
      <c r="F500">
        <v>33</v>
      </c>
      <c r="G500">
        <v>22.2</v>
      </c>
      <c r="H500">
        <v>1.4864864</v>
      </c>
      <c r="I500">
        <v>-0.48648643000000003</v>
      </c>
      <c r="J500">
        <v>0.40217389999999997</v>
      </c>
    </row>
    <row r="501" spans="1:10" x14ac:dyDescent="0.3">
      <c r="A501">
        <v>499</v>
      </c>
      <c r="B501">
        <v>7977</v>
      </c>
      <c r="C501" t="b">
        <v>1</v>
      </c>
      <c r="D501">
        <v>8071</v>
      </c>
      <c r="E501">
        <v>8129</v>
      </c>
      <c r="F501">
        <v>33.4</v>
      </c>
      <c r="G501">
        <v>21.8</v>
      </c>
      <c r="H501">
        <v>1.5321102</v>
      </c>
      <c r="I501">
        <v>-0.53211019999999998</v>
      </c>
      <c r="J501">
        <v>0.39492753000000003</v>
      </c>
    </row>
    <row r="502" spans="1:10" x14ac:dyDescent="0.3">
      <c r="A502">
        <v>500</v>
      </c>
      <c r="B502">
        <v>7993</v>
      </c>
      <c r="C502" t="b">
        <v>1</v>
      </c>
      <c r="D502">
        <v>8077</v>
      </c>
      <c r="E502">
        <v>8134</v>
      </c>
      <c r="F502">
        <v>33.799999999999997</v>
      </c>
      <c r="G502">
        <v>21.4</v>
      </c>
      <c r="H502">
        <v>1.5794393</v>
      </c>
      <c r="I502">
        <v>-0.57943920000000004</v>
      </c>
      <c r="J502">
        <v>0.3876812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925D-AE63-4147-A537-281072364450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24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40</v>
      </c>
      <c r="C4" t="b">
        <v>1</v>
      </c>
      <c r="D4">
        <v>8048</v>
      </c>
      <c r="E4">
        <v>8117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56</v>
      </c>
      <c r="C5" t="b">
        <v>1</v>
      </c>
      <c r="D5">
        <v>8048</v>
      </c>
      <c r="E5">
        <v>8117</v>
      </c>
      <c r="F5">
        <v>8</v>
      </c>
      <c r="G5">
        <v>8</v>
      </c>
      <c r="H5">
        <v>1</v>
      </c>
      <c r="I5">
        <v>0</v>
      </c>
      <c r="J5">
        <v>0.5</v>
      </c>
    </row>
    <row r="6" spans="1:10" x14ac:dyDescent="0.3">
      <c r="A6">
        <v>4</v>
      </c>
      <c r="B6">
        <v>72</v>
      </c>
      <c r="C6" t="b">
        <v>1</v>
      </c>
      <c r="D6">
        <v>8048</v>
      </c>
      <c r="E6">
        <v>8117</v>
      </c>
      <c r="F6">
        <v>8</v>
      </c>
      <c r="G6">
        <v>6.8</v>
      </c>
      <c r="H6">
        <v>1.1764705</v>
      </c>
      <c r="I6">
        <v>-0.17647055</v>
      </c>
      <c r="J6">
        <v>0.45945944999999999</v>
      </c>
    </row>
    <row r="7" spans="1:10" x14ac:dyDescent="0.3">
      <c r="A7">
        <v>5</v>
      </c>
      <c r="B7">
        <v>88</v>
      </c>
      <c r="C7" t="b">
        <v>1</v>
      </c>
      <c r="D7">
        <v>8048</v>
      </c>
      <c r="E7">
        <v>8117</v>
      </c>
      <c r="F7">
        <v>8</v>
      </c>
      <c r="G7">
        <v>6</v>
      </c>
      <c r="H7">
        <v>1.3333333999999999</v>
      </c>
      <c r="I7">
        <v>-0.33333333999999998</v>
      </c>
      <c r="J7">
        <v>0.42857142999999998</v>
      </c>
    </row>
    <row r="8" spans="1:10" x14ac:dyDescent="0.3">
      <c r="A8">
        <v>6</v>
      </c>
      <c r="B8">
        <v>103</v>
      </c>
      <c r="C8" t="b">
        <v>1</v>
      </c>
      <c r="D8">
        <v>8048</v>
      </c>
      <c r="E8">
        <v>8123</v>
      </c>
      <c r="F8">
        <v>8</v>
      </c>
      <c r="G8">
        <v>5.4285709999999998</v>
      </c>
      <c r="H8">
        <v>1.4736842999999999</v>
      </c>
      <c r="I8">
        <v>-0.47368424999999997</v>
      </c>
      <c r="J8">
        <v>0.40425529999999998</v>
      </c>
    </row>
    <row r="9" spans="1:10" x14ac:dyDescent="0.3">
      <c r="A9">
        <v>7</v>
      </c>
      <c r="B9">
        <v>120</v>
      </c>
      <c r="C9" t="b">
        <v>1</v>
      </c>
      <c r="D9">
        <v>8048</v>
      </c>
      <c r="E9">
        <v>8117</v>
      </c>
      <c r="F9">
        <v>8</v>
      </c>
      <c r="G9">
        <v>5</v>
      </c>
      <c r="H9">
        <v>1.6</v>
      </c>
      <c r="I9">
        <v>-0.6</v>
      </c>
      <c r="J9">
        <v>0.3846154</v>
      </c>
    </row>
    <row r="10" spans="1:10" x14ac:dyDescent="0.3">
      <c r="A10">
        <v>8</v>
      </c>
      <c r="B10">
        <v>135</v>
      </c>
      <c r="C10" t="b">
        <v>1</v>
      </c>
      <c r="D10">
        <v>8048</v>
      </c>
      <c r="E10">
        <v>8117</v>
      </c>
      <c r="F10">
        <v>8</v>
      </c>
      <c r="G10">
        <v>4.6666664999999998</v>
      </c>
      <c r="H10">
        <v>1.7142857</v>
      </c>
      <c r="I10">
        <v>-0.71428579999999997</v>
      </c>
      <c r="J10">
        <v>0.36842105000000003</v>
      </c>
    </row>
    <row r="11" spans="1:10" x14ac:dyDescent="0.3">
      <c r="A11">
        <v>9</v>
      </c>
      <c r="B11">
        <v>151</v>
      </c>
      <c r="C11" t="b">
        <v>1</v>
      </c>
      <c r="D11">
        <v>8048</v>
      </c>
      <c r="E11">
        <v>8123</v>
      </c>
      <c r="F11">
        <v>8</v>
      </c>
      <c r="G11">
        <v>4.4000000000000004</v>
      </c>
      <c r="H11">
        <v>1.8181818000000001</v>
      </c>
      <c r="I11">
        <v>-0.81818175000000004</v>
      </c>
      <c r="J11">
        <v>0.35483872999999999</v>
      </c>
    </row>
    <row r="12" spans="1:10" x14ac:dyDescent="0.3">
      <c r="A12">
        <v>10</v>
      </c>
      <c r="B12">
        <v>167</v>
      </c>
      <c r="C12" t="b">
        <v>1</v>
      </c>
      <c r="D12">
        <v>8048</v>
      </c>
      <c r="E12">
        <v>8117</v>
      </c>
      <c r="F12">
        <v>8</v>
      </c>
      <c r="G12">
        <v>4.1818179999999998</v>
      </c>
      <c r="H12">
        <v>1.9130434999999999</v>
      </c>
      <c r="I12">
        <v>-0.91304355999999998</v>
      </c>
      <c r="J12">
        <v>0.34328355999999999</v>
      </c>
    </row>
    <row r="13" spans="1:10" x14ac:dyDescent="0.3">
      <c r="A13">
        <v>11</v>
      </c>
      <c r="B13">
        <v>183</v>
      </c>
      <c r="C13" t="b">
        <v>1</v>
      </c>
      <c r="D13">
        <v>8054</v>
      </c>
      <c r="E13">
        <v>8117</v>
      </c>
      <c r="F13">
        <v>8</v>
      </c>
      <c r="G13">
        <v>4</v>
      </c>
      <c r="H13">
        <v>2</v>
      </c>
      <c r="I13">
        <v>-1</v>
      </c>
      <c r="J13">
        <v>0.33333333999999998</v>
      </c>
    </row>
    <row r="14" spans="1:10" x14ac:dyDescent="0.3">
      <c r="A14">
        <v>12</v>
      </c>
      <c r="B14">
        <v>199</v>
      </c>
      <c r="C14" t="b">
        <v>1</v>
      </c>
      <c r="D14">
        <v>8048</v>
      </c>
      <c r="E14">
        <v>8117</v>
      </c>
      <c r="F14">
        <v>8</v>
      </c>
      <c r="G14">
        <v>3.8461536999999999</v>
      </c>
      <c r="H14">
        <v>2.0800002000000002</v>
      </c>
      <c r="I14">
        <v>-1.08</v>
      </c>
      <c r="J14">
        <v>0.32467531999999999</v>
      </c>
    </row>
    <row r="15" spans="1:10" x14ac:dyDescent="0.3">
      <c r="A15">
        <v>13</v>
      </c>
      <c r="B15">
        <v>215</v>
      </c>
      <c r="C15" t="b">
        <v>1</v>
      </c>
      <c r="D15">
        <v>8048</v>
      </c>
      <c r="E15">
        <v>8117</v>
      </c>
      <c r="F15">
        <v>8</v>
      </c>
      <c r="G15">
        <v>3.7142856000000002</v>
      </c>
      <c r="H15">
        <v>2.1538463000000001</v>
      </c>
      <c r="I15">
        <v>-1.1538461</v>
      </c>
      <c r="J15">
        <v>0.31707317000000002</v>
      </c>
    </row>
    <row r="16" spans="1:10" x14ac:dyDescent="0.3">
      <c r="A16">
        <v>14</v>
      </c>
      <c r="B16">
        <v>230</v>
      </c>
      <c r="C16" t="b">
        <v>1</v>
      </c>
      <c r="D16">
        <v>8042</v>
      </c>
      <c r="E16">
        <v>8117</v>
      </c>
      <c r="F16">
        <v>8</v>
      </c>
      <c r="G16">
        <v>3.6</v>
      </c>
      <c r="H16">
        <v>2.2222222999999999</v>
      </c>
      <c r="I16">
        <v>-1.2222223000000001</v>
      </c>
      <c r="J16">
        <v>0.31034482000000002</v>
      </c>
    </row>
    <row r="17" spans="1:10" x14ac:dyDescent="0.3">
      <c r="A17">
        <v>15</v>
      </c>
      <c r="B17">
        <v>246</v>
      </c>
      <c r="C17" t="b">
        <v>1</v>
      </c>
      <c r="D17">
        <v>8048</v>
      </c>
      <c r="E17">
        <v>8123</v>
      </c>
      <c r="F17">
        <v>8</v>
      </c>
      <c r="G17">
        <v>3.2</v>
      </c>
      <c r="H17">
        <v>2.5</v>
      </c>
      <c r="I17">
        <v>-1.5</v>
      </c>
      <c r="J17">
        <v>0.28571429999999998</v>
      </c>
    </row>
    <row r="18" spans="1:10" x14ac:dyDescent="0.3">
      <c r="A18">
        <v>16</v>
      </c>
      <c r="B18">
        <v>262</v>
      </c>
      <c r="C18" t="b">
        <v>1</v>
      </c>
      <c r="D18">
        <v>8048</v>
      </c>
      <c r="E18">
        <v>8129</v>
      </c>
      <c r="F18">
        <v>8</v>
      </c>
      <c r="G18">
        <v>2.8</v>
      </c>
      <c r="H18">
        <v>2.8571430000000002</v>
      </c>
      <c r="I18">
        <v>-1.8571428000000001</v>
      </c>
      <c r="J18">
        <v>0.25925925</v>
      </c>
    </row>
    <row r="19" spans="1:10" x14ac:dyDescent="0.3">
      <c r="A19">
        <v>17</v>
      </c>
      <c r="B19">
        <v>278</v>
      </c>
      <c r="C19" t="b">
        <v>1</v>
      </c>
      <c r="D19">
        <v>8048</v>
      </c>
      <c r="E19">
        <v>8123</v>
      </c>
      <c r="F19">
        <v>8</v>
      </c>
      <c r="G19">
        <v>2.8</v>
      </c>
      <c r="H19">
        <v>2.8571430000000002</v>
      </c>
      <c r="I19">
        <v>-1.8571428000000001</v>
      </c>
      <c r="J19">
        <v>0.25925925</v>
      </c>
    </row>
    <row r="20" spans="1:10" x14ac:dyDescent="0.3">
      <c r="A20">
        <v>18</v>
      </c>
      <c r="B20">
        <v>293</v>
      </c>
      <c r="C20" t="b">
        <v>1</v>
      </c>
      <c r="D20">
        <v>8048</v>
      </c>
      <c r="E20">
        <v>8129</v>
      </c>
      <c r="F20">
        <v>8</v>
      </c>
      <c r="G20">
        <v>2.8</v>
      </c>
      <c r="H20">
        <v>2.8571430000000002</v>
      </c>
      <c r="I20">
        <v>-1.8571428000000001</v>
      </c>
      <c r="J20">
        <v>0.25925925</v>
      </c>
    </row>
    <row r="21" spans="1:10" x14ac:dyDescent="0.3">
      <c r="A21">
        <v>19</v>
      </c>
      <c r="B21">
        <v>309</v>
      </c>
      <c r="C21" t="b">
        <v>1</v>
      </c>
      <c r="D21">
        <v>8048</v>
      </c>
      <c r="E21">
        <v>8129</v>
      </c>
      <c r="F21">
        <v>8</v>
      </c>
      <c r="G21">
        <v>3.6</v>
      </c>
      <c r="H21">
        <v>2.2222222999999999</v>
      </c>
      <c r="I21">
        <v>-1.2222223000000001</v>
      </c>
      <c r="J21">
        <v>0.31034482000000002</v>
      </c>
    </row>
    <row r="22" spans="1:10" x14ac:dyDescent="0.3">
      <c r="A22">
        <v>20</v>
      </c>
      <c r="B22">
        <v>325</v>
      </c>
      <c r="C22" t="b">
        <v>1</v>
      </c>
      <c r="D22">
        <v>8048</v>
      </c>
      <c r="E22">
        <v>8123</v>
      </c>
      <c r="F22">
        <v>8</v>
      </c>
      <c r="G22">
        <v>4.4000000000000004</v>
      </c>
      <c r="H22">
        <v>1.8181818000000001</v>
      </c>
      <c r="I22">
        <v>-0.81818175000000004</v>
      </c>
      <c r="J22">
        <v>0.35483872999999999</v>
      </c>
    </row>
    <row r="23" spans="1:10" x14ac:dyDescent="0.3">
      <c r="A23">
        <v>21</v>
      </c>
      <c r="B23">
        <v>341</v>
      </c>
      <c r="C23" t="b">
        <v>1</v>
      </c>
      <c r="D23">
        <v>8048</v>
      </c>
      <c r="E23">
        <v>8123</v>
      </c>
      <c r="F23">
        <v>8</v>
      </c>
      <c r="G23">
        <v>4.8</v>
      </c>
      <c r="H23">
        <v>1.6666666000000001</v>
      </c>
      <c r="I23">
        <v>-0.6666666</v>
      </c>
      <c r="J23">
        <v>0.375</v>
      </c>
    </row>
    <row r="24" spans="1:10" x14ac:dyDescent="0.3">
      <c r="A24">
        <v>22</v>
      </c>
      <c r="B24">
        <v>356</v>
      </c>
      <c r="C24" t="b">
        <v>1</v>
      </c>
      <c r="D24">
        <v>8042</v>
      </c>
      <c r="E24">
        <v>8123</v>
      </c>
      <c r="F24">
        <v>8</v>
      </c>
      <c r="G24">
        <v>5.2</v>
      </c>
      <c r="H24">
        <v>1.5384616</v>
      </c>
      <c r="I24">
        <v>-0.53846156999999994</v>
      </c>
      <c r="J24">
        <v>0.39393938000000001</v>
      </c>
    </row>
    <row r="25" spans="1:10" x14ac:dyDescent="0.3">
      <c r="A25">
        <v>23</v>
      </c>
      <c r="B25">
        <v>372</v>
      </c>
      <c r="C25" t="b">
        <v>1</v>
      </c>
      <c r="D25">
        <v>8048</v>
      </c>
      <c r="E25">
        <v>8123</v>
      </c>
      <c r="F25">
        <v>8</v>
      </c>
      <c r="G25">
        <v>5.6</v>
      </c>
      <c r="H25">
        <v>1.4285715000000001</v>
      </c>
      <c r="I25">
        <v>-0.42857146000000002</v>
      </c>
      <c r="J25">
        <v>0.41176467999999999</v>
      </c>
    </row>
    <row r="26" spans="1:10" x14ac:dyDescent="0.3">
      <c r="A26">
        <v>24</v>
      </c>
      <c r="B26">
        <v>388</v>
      </c>
      <c r="C26" t="b">
        <v>1</v>
      </c>
      <c r="D26">
        <v>8048</v>
      </c>
      <c r="E26">
        <v>8117</v>
      </c>
      <c r="F26">
        <v>8</v>
      </c>
      <c r="G26">
        <v>6</v>
      </c>
      <c r="H26">
        <v>1.3333333999999999</v>
      </c>
      <c r="I26">
        <v>-0.33333333999999998</v>
      </c>
      <c r="J26">
        <v>0.42857142999999998</v>
      </c>
    </row>
    <row r="27" spans="1:10" x14ac:dyDescent="0.3">
      <c r="A27">
        <v>25</v>
      </c>
      <c r="B27">
        <v>404</v>
      </c>
      <c r="C27" t="b">
        <v>1</v>
      </c>
      <c r="D27">
        <v>8048</v>
      </c>
      <c r="E27">
        <v>8123</v>
      </c>
      <c r="F27">
        <v>8</v>
      </c>
      <c r="G27">
        <v>6.4</v>
      </c>
      <c r="H27">
        <v>1.25</v>
      </c>
      <c r="I27">
        <v>-0.24999999000000001</v>
      </c>
      <c r="J27">
        <v>0.44444447999999998</v>
      </c>
    </row>
    <row r="28" spans="1:10" x14ac:dyDescent="0.3">
      <c r="A28">
        <v>26</v>
      </c>
      <c r="B28">
        <v>420</v>
      </c>
      <c r="C28" t="b">
        <v>1</v>
      </c>
      <c r="D28">
        <v>8048</v>
      </c>
      <c r="E28">
        <v>8123</v>
      </c>
      <c r="F28">
        <v>8</v>
      </c>
      <c r="G28">
        <v>6.8</v>
      </c>
      <c r="H28">
        <v>1.1764705</v>
      </c>
      <c r="I28">
        <v>-0.17647055</v>
      </c>
      <c r="J28">
        <v>0.45945944999999999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8129</v>
      </c>
      <c r="F29">
        <v>8</v>
      </c>
      <c r="G29">
        <v>7.2</v>
      </c>
      <c r="H29">
        <v>1.1111112000000001</v>
      </c>
      <c r="I29">
        <v>-0.11111114</v>
      </c>
      <c r="J29">
        <v>0.4736842</v>
      </c>
    </row>
    <row r="30" spans="1:10" x14ac:dyDescent="0.3">
      <c r="A30">
        <v>28</v>
      </c>
      <c r="B30">
        <v>451</v>
      </c>
      <c r="C30" t="b">
        <v>1</v>
      </c>
      <c r="D30">
        <v>8048</v>
      </c>
      <c r="E30">
        <v>8129</v>
      </c>
      <c r="F30">
        <v>8</v>
      </c>
      <c r="G30">
        <v>7.6</v>
      </c>
      <c r="H30">
        <v>1.0526316</v>
      </c>
      <c r="I30">
        <v>-5.2631589999999999E-2</v>
      </c>
      <c r="J30">
        <v>0.48717946000000001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8123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483</v>
      </c>
      <c r="C32" t="b">
        <v>1</v>
      </c>
      <c r="D32">
        <v>8048</v>
      </c>
      <c r="E32">
        <v>8123</v>
      </c>
      <c r="F32">
        <v>8</v>
      </c>
      <c r="G32">
        <v>8.4</v>
      </c>
      <c r="H32">
        <v>0.95238100000000003</v>
      </c>
      <c r="I32">
        <v>4.7619003999999999E-2</v>
      </c>
      <c r="J32">
        <v>0.51219510000000001</v>
      </c>
    </row>
    <row r="33" spans="1:10" x14ac:dyDescent="0.3">
      <c r="A33">
        <v>31</v>
      </c>
      <c r="B33">
        <v>499</v>
      </c>
      <c r="C33" t="b">
        <v>1</v>
      </c>
      <c r="D33">
        <v>8048</v>
      </c>
      <c r="E33">
        <v>8123</v>
      </c>
      <c r="F33">
        <v>8</v>
      </c>
      <c r="G33">
        <v>8.8000000000000007</v>
      </c>
      <c r="H33">
        <v>0.90909090000000004</v>
      </c>
      <c r="I33">
        <v>9.0909110000000001E-2</v>
      </c>
      <c r="J33">
        <v>0.52380954999999996</v>
      </c>
    </row>
    <row r="34" spans="1:10" x14ac:dyDescent="0.3">
      <c r="A34">
        <v>32</v>
      </c>
      <c r="B34">
        <v>515</v>
      </c>
      <c r="C34" t="b">
        <v>1</v>
      </c>
      <c r="D34">
        <v>8048</v>
      </c>
      <c r="E34">
        <v>8123</v>
      </c>
      <c r="F34">
        <v>8</v>
      </c>
      <c r="G34">
        <v>8.8000000000000007</v>
      </c>
      <c r="H34">
        <v>0.90909090000000004</v>
      </c>
      <c r="I34">
        <v>9.0909110000000001E-2</v>
      </c>
      <c r="J34">
        <v>0.52380954999999996</v>
      </c>
    </row>
    <row r="35" spans="1:10" x14ac:dyDescent="0.3">
      <c r="A35">
        <v>33</v>
      </c>
      <c r="B35">
        <v>531</v>
      </c>
      <c r="C35" t="b">
        <v>1</v>
      </c>
      <c r="D35">
        <v>8048</v>
      </c>
      <c r="E35">
        <v>8123</v>
      </c>
      <c r="F35">
        <v>8</v>
      </c>
      <c r="G35">
        <v>8.8000000000000007</v>
      </c>
      <c r="H35">
        <v>0.90909090000000004</v>
      </c>
      <c r="I35">
        <v>9.0909110000000001E-2</v>
      </c>
      <c r="J35">
        <v>0.52380954999999996</v>
      </c>
    </row>
    <row r="36" spans="1:10" x14ac:dyDescent="0.3">
      <c r="A36">
        <v>34</v>
      </c>
      <c r="B36">
        <v>547</v>
      </c>
      <c r="C36" t="b">
        <v>1</v>
      </c>
      <c r="D36">
        <v>8042</v>
      </c>
      <c r="E36">
        <v>8123</v>
      </c>
      <c r="F36">
        <v>8</v>
      </c>
      <c r="G36">
        <v>8.4</v>
      </c>
      <c r="H36">
        <v>0.95238100000000003</v>
      </c>
      <c r="I36">
        <v>4.7619003999999999E-2</v>
      </c>
      <c r="J36">
        <v>0.51219510000000001</v>
      </c>
    </row>
    <row r="37" spans="1:10" x14ac:dyDescent="0.3">
      <c r="A37">
        <v>35</v>
      </c>
      <c r="B37">
        <v>563</v>
      </c>
      <c r="C37" t="b">
        <v>1</v>
      </c>
      <c r="D37">
        <v>8042</v>
      </c>
      <c r="E37">
        <v>8129</v>
      </c>
      <c r="F37">
        <v>8</v>
      </c>
      <c r="G37">
        <v>8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579</v>
      </c>
      <c r="C38" t="b">
        <v>1</v>
      </c>
      <c r="D38">
        <v>8048</v>
      </c>
      <c r="E38">
        <v>8123</v>
      </c>
      <c r="F38">
        <v>8</v>
      </c>
      <c r="G38">
        <v>8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595</v>
      </c>
      <c r="C39" t="b">
        <v>1</v>
      </c>
      <c r="D39">
        <v>8048</v>
      </c>
      <c r="E39">
        <v>8123</v>
      </c>
      <c r="F39">
        <v>8</v>
      </c>
      <c r="G39">
        <v>8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611</v>
      </c>
      <c r="C40" t="b">
        <v>1</v>
      </c>
      <c r="D40">
        <v>8048</v>
      </c>
      <c r="E40">
        <v>8123</v>
      </c>
      <c r="F40">
        <v>8</v>
      </c>
      <c r="G40">
        <v>8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627</v>
      </c>
      <c r="C41" t="b">
        <v>1</v>
      </c>
      <c r="D41">
        <v>8048</v>
      </c>
      <c r="E41">
        <v>8129</v>
      </c>
      <c r="F41">
        <v>8</v>
      </c>
      <c r="G41">
        <v>8</v>
      </c>
      <c r="H41">
        <v>1</v>
      </c>
      <c r="I41">
        <v>0</v>
      </c>
      <c r="J41">
        <v>0.5</v>
      </c>
    </row>
    <row r="42" spans="1:10" x14ac:dyDescent="0.3">
      <c r="A42">
        <v>40</v>
      </c>
      <c r="B42">
        <v>642</v>
      </c>
      <c r="C42" t="b">
        <v>1</v>
      </c>
      <c r="D42">
        <v>8048</v>
      </c>
      <c r="E42">
        <v>8134</v>
      </c>
      <c r="F42">
        <v>8</v>
      </c>
      <c r="G42">
        <v>8</v>
      </c>
      <c r="H42">
        <v>1</v>
      </c>
      <c r="I42">
        <v>0</v>
      </c>
      <c r="J42">
        <v>0.5</v>
      </c>
    </row>
    <row r="43" spans="1:10" x14ac:dyDescent="0.3">
      <c r="A43">
        <v>41</v>
      </c>
      <c r="B43">
        <v>658</v>
      </c>
      <c r="C43" t="b">
        <v>1</v>
      </c>
      <c r="D43">
        <v>8048</v>
      </c>
      <c r="E43">
        <v>8129</v>
      </c>
      <c r="F43">
        <v>8</v>
      </c>
      <c r="G43">
        <v>8.4</v>
      </c>
      <c r="H43">
        <v>0.95238100000000003</v>
      </c>
      <c r="I43">
        <v>4.7619003999999999E-2</v>
      </c>
      <c r="J43">
        <v>0.51219510000000001</v>
      </c>
    </row>
    <row r="44" spans="1:10" x14ac:dyDescent="0.3">
      <c r="A44">
        <v>42</v>
      </c>
      <c r="B44">
        <v>674</v>
      </c>
      <c r="C44" t="b">
        <v>1</v>
      </c>
      <c r="D44">
        <v>8048</v>
      </c>
      <c r="E44">
        <v>8129</v>
      </c>
      <c r="F44">
        <v>8</v>
      </c>
      <c r="G44">
        <v>8.8000000000000007</v>
      </c>
      <c r="H44">
        <v>0.90909090000000004</v>
      </c>
      <c r="I44">
        <v>9.0909110000000001E-2</v>
      </c>
      <c r="J44">
        <v>0.52380954999999996</v>
      </c>
    </row>
    <row r="45" spans="1:10" x14ac:dyDescent="0.3">
      <c r="A45">
        <v>43</v>
      </c>
      <c r="B45">
        <v>690</v>
      </c>
      <c r="C45" t="b">
        <v>1</v>
      </c>
      <c r="D45">
        <v>8048</v>
      </c>
      <c r="E45">
        <v>8129</v>
      </c>
      <c r="F45">
        <v>8</v>
      </c>
      <c r="G45">
        <v>9.1999999999999993</v>
      </c>
      <c r="H45">
        <v>0.86956524999999996</v>
      </c>
      <c r="I45">
        <v>0.13043477000000001</v>
      </c>
      <c r="J45">
        <v>0.53488369999999996</v>
      </c>
    </row>
    <row r="46" spans="1:10" x14ac:dyDescent="0.3">
      <c r="A46">
        <v>44</v>
      </c>
      <c r="B46">
        <v>705</v>
      </c>
      <c r="C46" t="b">
        <v>1</v>
      </c>
      <c r="D46">
        <v>8048</v>
      </c>
      <c r="E46">
        <v>8129</v>
      </c>
      <c r="F46">
        <v>8</v>
      </c>
      <c r="G46">
        <v>9.6</v>
      </c>
      <c r="H46">
        <v>0.83333330000000005</v>
      </c>
      <c r="I46">
        <v>0.1666667</v>
      </c>
      <c r="J46">
        <v>0.54545456000000003</v>
      </c>
    </row>
    <row r="47" spans="1:10" x14ac:dyDescent="0.3">
      <c r="A47">
        <v>45</v>
      </c>
      <c r="B47">
        <v>721</v>
      </c>
      <c r="C47" t="b">
        <v>1</v>
      </c>
      <c r="D47">
        <v>8048</v>
      </c>
      <c r="E47">
        <v>8129</v>
      </c>
      <c r="F47">
        <v>8</v>
      </c>
      <c r="G47">
        <v>10</v>
      </c>
      <c r="H47">
        <v>0.8</v>
      </c>
      <c r="I47">
        <v>0.2</v>
      </c>
      <c r="J47">
        <v>0.55555560000000004</v>
      </c>
    </row>
    <row r="48" spans="1:10" x14ac:dyDescent="0.3">
      <c r="A48">
        <v>46</v>
      </c>
      <c r="B48">
        <v>737</v>
      </c>
      <c r="C48" t="b">
        <v>1</v>
      </c>
      <c r="D48">
        <v>8048</v>
      </c>
      <c r="E48">
        <v>8117</v>
      </c>
      <c r="F48">
        <v>8</v>
      </c>
      <c r="G48">
        <v>10.4</v>
      </c>
      <c r="H48">
        <v>0.76923079999999999</v>
      </c>
      <c r="I48">
        <v>0.23076920000000001</v>
      </c>
      <c r="J48">
        <v>0.56521739999999998</v>
      </c>
    </row>
    <row r="49" spans="1:10" x14ac:dyDescent="0.3">
      <c r="A49">
        <v>47</v>
      </c>
      <c r="B49">
        <v>753</v>
      </c>
      <c r="C49" t="b">
        <v>1</v>
      </c>
      <c r="D49">
        <v>8048</v>
      </c>
      <c r="E49">
        <v>8129</v>
      </c>
      <c r="F49">
        <v>8</v>
      </c>
      <c r="G49">
        <v>10.8</v>
      </c>
      <c r="H49">
        <v>0.74074070000000003</v>
      </c>
      <c r="I49">
        <v>0.25925927999999998</v>
      </c>
      <c r="J49">
        <v>0.57446814000000002</v>
      </c>
    </row>
    <row r="50" spans="1:10" x14ac:dyDescent="0.3">
      <c r="A50">
        <v>48</v>
      </c>
      <c r="B50">
        <v>769</v>
      </c>
      <c r="C50" t="b">
        <v>1</v>
      </c>
      <c r="D50">
        <v>8048</v>
      </c>
      <c r="E50">
        <v>8117</v>
      </c>
      <c r="F50">
        <v>8</v>
      </c>
      <c r="G50">
        <v>11.2</v>
      </c>
      <c r="H50">
        <v>0.71428572999999995</v>
      </c>
      <c r="I50">
        <v>0.28571426999999999</v>
      </c>
      <c r="J50">
        <v>0.58333330000000005</v>
      </c>
    </row>
    <row r="51" spans="1:10" x14ac:dyDescent="0.3">
      <c r="A51">
        <v>49</v>
      </c>
      <c r="B51">
        <v>785</v>
      </c>
      <c r="C51" t="b">
        <v>1</v>
      </c>
      <c r="D51">
        <v>8042</v>
      </c>
      <c r="E51">
        <v>8123</v>
      </c>
      <c r="F51">
        <v>8</v>
      </c>
      <c r="G51">
        <v>11.2</v>
      </c>
      <c r="H51">
        <v>0.71428572999999995</v>
      </c>
      <c r="I51">
        <v>0.28571426999999999</v>
      </c>
      <c r="J51">
        <v>0.58333330000000005</v>
      </c>
    </row>
    <row r="52" spans="1:10" x14ac:dyDescent="0.3">
      <c r="A52">
        <v>50</v>
      </c>
      <c r="B52">
        <v>801</v>
      </c>
      <c r="C52" t="b">
        <v>1</v>
      </c>
      <c r="D52">
        <v>8048</v>
      </c>
      <c r="E52">
        <v>8123</v>
      </c>
      <c r="F52">
        <v>8</v>
      </c>
      <c r="G52">
        <v>11.2</v>
      </c>
      <c r="H52">
        <v>0.71428572999999995</v>
      </c>
      <c r="I52">
        <v>0.28571426999999999</v>
      </c>
      <c r="J52">
        <v>0.58333330000000005</v>
      </c>
    </row>
    <row r="53" spans="1:10" x14ac:dyDescent="0.3">
      <c r="A53">
        <v>51</v>
      </c>
      <c r="B53">
        <v>817</v>
      </c>
      <c r="C53" t="b">
        <v>1</v>
      </c>
      <c r="D53">
        <v>8048</v>
      </c>
      <c r="E53">
        <v>8123</v>
      </c>
      <c r="F53">
        <v>8</v>
      </c>
      <c r="G53">
        <v>11.2</v>
      </c>
      <c r="H53">
        <v>0.71428572999999995</v>
      </c>
      <c r="I53">
        <v>0.28571426999999999</v>
      </c>
      <c r="J53">
        <v>0.58333330000000005</v>
      </c>
    </row>
    <row r="54" spans="1:10" x14ac:dyDescent="0.3">
      <c r="A54">
        <v>52</v>
      </c>
      <c r="B54">
        <v>832</v>
      </c>
      <c r="C54" t="b">
        <v>1</v>
      </c>
      <c r="D54">
        <v>8037</v>
      </c>
      <c r="E54">
        <v>8123</v>
      </c>
      <c r="F54">
        <v>8</v>
      </c>
      <c r="G54">
        <v>11.2</v>
      </c>
      <c r="H54">
        <v>0.71428572999999995</v>
      </c>
      <c r="I54">
        <v>0.28571426999999999</v>
      </c>
      <c r="J54">
        <v>0.58333330000000005</v>
      </c>
    </row>
    <row r="55" spans="1:10" x14ac:dyDescent="0.3">
      <c r="A55">
        <v>53</v>
      </c>
      <c r="B55">
        <v>848</v>
      </c>
      <c r="C55" t="b">
        <v>1</v>
      </c>
      <c r="D55">
        <v>8037</v>
      </c>
      <c r="E55">
        <v>8123</v>
      </c>
      <c r="F55">
        <v>7.6</v>
      </c>
      <c r="G55">
        <v>11.2</v>
      </c>
      <c r="H55">
        <v>0.67857140000000005</v>
      </c>
      <c r="I55">
        <v>0.32142857000000002</v>
      </c>
      <c r="J55">
        <v>0.59574466999999998</v>
      </c>
    </row>
    <row r="56" spans="1:10" x14ac:dyDescent="0.3">
      <c r="A56">
        <v>54</v>
      </c>
      <c r="B56">
        <v>864</v>
      </c>
      <c r="C56" t="b">
        <v>1</v>
      </c>
      <c r="D56">
        <v>8048</v>
      </c>
      <c r="E56">
        <v>8123</v>
      </c>
      <c r="F56">
        <v>7.6</v>
      </c>
      <c r="G56">
        <v>11.2</v>
      </c>
      <c r="H56">
        <v>0.67857140000000005</v>
      </c>
      <c r="I56">
        <v>0.32142857000000002</v>
      </c>
      <c r="J56">
        <v>0.59574466999999998</v>
      </c>
    </row>
    <row r="57" spans="1:10" x14ac:dyDescent="0.3">
      <c r="A57">
        <v>55</v>
      </c>
      <c r="B57">
        <v>880</v>
      </c>
      <c r="C57" t="b">
        <v>1</v>
      </c>
      <c r="D57">
        <v>8042</v>
      </c>
      <c r="E57">
        <v>8123</v>
      </c>
      <c r="F57">
        <v>7.2</v>
      </c>
      <c r="G57">
        <v>11.2</v>
      </c>
      <c r="H57">
        <v>0.64285713</v>
      </c>
      <c r="I57">
        <v>0.35714287</v>
      </c>
      <c r="J57">
        <v>0.6086956</v>
      </c>
    </row>
    <row r="58" spans="1:10" x14ac:dyDescent="0.3">
      <c r="A58">
        <v>56</v>
      </c>
      <c r="B58">
        <v>896</v>
      </c>
      <c r="C58" t="b">
        <v>1</v>
      </c>
      <c r="D58">
        <v>8037</v>
      </c>
      <c r="E58">
        <v>8123</v>
      </c>
      <c r="F58">
        <v>6.4666667000000002</v>
      </c>
      <c r="G58">
        <v>10.8</v>
      </c>
      <c r="H58">
        <v>0.59876543000000004</v>
      </c>
      <c r="I58">
        <v>0.40123457000000001</v>
      </c>
      <c r="J58">
        <v>0.6254826</v>
      </c>
    </row>
    <row r="59" spans="1:10" x14ac:dyDescent="0.3">
      <c r="A59">
        <v>57</v>
      </c>
      <c r="B59">
        <v>912</v>
      </c>
      <c r="C59" t="b">
        <v>1</v>
      </c>
      <c r="D59">
        <v>8042</v>
      </c>
      <c r="E59">
        <v>8123</v>
      </c>
      <c r="F59">
        <v>6.0666665999999996</v>
      </c>
      <c r="G59">
        <v>10.4</v>
      </c>
      <c r="H59">
        <v>0.5833334</v>
      </c>
      <c r="I59">
        <v>0.41666666000000002</v>
      </c>
      <c r="J59">
        <v>0.63157890000000005</v>
      </c>
    </row>
    <row r="60" spans="1:10" x14ac:dyDescent="0.3">
      <c r="A60">
        <v>58</v>
      </c>
      <c r="B60">
        <v>928</v>
      </c>
      <c r="C60" t="b">
        <v>1</v>
      </c>
      <c r="D60">
        <v>8048</v>
      </c>
      <c r="E60">
        <v>8123</v>
      </c>
      <c r="F60">
        <v>5.6666664999999998</v>
      </c>
      <c r="G60">
        <v>10</v>
      </c>
      <c r="H60">
        <v>0.56666665999999999</v>
      </c>
      <c r="I60">
        <v>0.43333334000000001</v>
      </c>
      <c r="J60">
        <v>0.63829789999999997</v>
      </c>
    </row>
    <row r="61" spans="1:10" x14ac:dyDescent="0.3">
      <c r="A61">
        <v>59</v>
      </c>
      <c r="B61">
        <v>943</v>
      </c>
      <c r="C61" t="b">
        <v>1</v>
      </c>
      <c r="D61">
        <v>8042</v>
      </c>
      <c r="E61">
        <v>8123</v>
      </c>
      <c r="F61">
        <v>5.266667</v>
      </c>
      <c r="G61">
        <v>9.6</v>
      </c>
      <c r="H61">
        <v>0.54861110000000002</v>
      </c>
      <c r="I61">
        <v>0.45138889999999998</v>
      </c>
      <c r="J61">
        <v>0.64573990000000003</v>
      </c>
    </row>
    <row r="62" spans="1:10" x14ac:dyDescent="0.3">
      <c r="A62">
        <v>60</v>
      </c>
      <c r="B62">
        <v>959</v>
      </c>
      <c r="C62" t="b">
        <v>1</v>
      </c>
      <c r="D62">
        <v>8048</v>
      </c>
      <c r="E62">
        <v>8123</v>
      </c>
      <c r="F62">
        <v>4.8666669999999996</v>
      </c>
      <c r="G62">
        <v>9.1999999999999993</v>
      </c>
      <c r="H62">
        <v>0.52898555999999997</v>
      </c>
      <c r="I62">
        <v>0.47101447000000002</v>
      </c>
      <c r="J62">
        <v>0.65402839999999995</v>
      </c>
    </row>
    <row r="63" spans="1:10" x14ac:dyDescent="0.3">
      <c r="A63">
        <v>61</v>
      </c>
      <c r="B63">
        <v>975</v>
      </c>
      <c r="C63" t="b">
        <v>1</v>
      </c>
      <c r="D63">
        <v>8048</v>
      </c>
      <c r="E63">
        <v>8123</v>
      </c>
      <c r="F63">
        <v>4.8666669999999996</v>
      </c>
      <c r="G63">
        <v>8.8000000000000007</v>
      </c>
      <c r="H63">
        <v>0.55303029999999997</v>
      </c>
      <c r="I63">
        <v>0.44696970000000003</v>
      </c>
      <c r="J63">
        <v>0.64390239999999999</v>
      </c>
    </row>
    <row r="64" spans="1:10" x14ac:dyDescent="0.3">
      <c r="A64">
        <v>62</v>
      </c>
      <c r="B64">
        <v>991</v>
      </c>
      <c r="C64" t="b">
        <v>1</v>
      </c>
      <c r="D64">
        <v>8048</v>
      </c>
      <c r="E64">
        <v>8129</v>
      </c>
      <c r="F64">
        <v>4.8666669999999996</v>
      </c>
      <c r="G64">
        <v>8.4</v>
      </c>
      <c r="H64">
        <v>0.57936513000000001</v>
      </c>
      <c r="I64">
        <v>0.42063486999999999</v>
      </c>
      <c r="J64">
        <v>0.63316583999999998</v>
      </c>
    </row>
    <row r="65" spans="1:10" x14ac:dyDescent="0.3">
      <c r="A65">
        <v>63</v>
      </c>
      <c r="B65">
        <v>1007</v>
      </c>
      <c r="C65" t="b">
        <v>1</v>
      </c>
      <c r="D65">
        <v>8048</v>
      </c>
      <c r="E65">
        <v>8123</v>
      </c>
      <c r="F65">
        <v>4.8666669999999996</v>
      </c>
      <c r="G65">
        <v>8</v>
      </c>
      <c r="H65">
        <v>0.60833334999999999</v>
      </c>
      <c r="I65">
        <v>0.39166665000000001</v>
      </c>
      <c r="J65">
        <v>0.62176169999999997</v>
      </c>
    </row>
    <row r="66" spans="1:10" x14ac:dyDescent="0.3">
      <c r="A66">
        <v>64</v>
      </c>
      <c r="B66">
        <v>1023</v>
      </c>
      <c r="C66" t="b">
        <v>1</v>
      </c>
      <c r="D66">
        <v>8048</v>
      </c>
      <c r="E66">
        <v>8123</v>
      </c>
      <c r="F66">
        <v>4.8666669999999996</v>
      </c>
      <c r="G66">
        <v>8</v>
      </c>
      <c r="H66">
        <v>0.60833334999999999</v>
      </c>
      <c r="I66">
        <v>0.39166665000000001</v>
      </c>
      <c r="J66">
        <v>0.62176169999999997</v>
      </c>
    </row>
    <row r="67" spans="1:10" x14ac:dyDescent="0.3">
      <c r="A67">
        <v>65</v>
      </c>
      <c r="B67">
        <v>1038</v>
      </c>
      <c r="C67" t="b">
        <v>1</v>
      </c>
      <c r="D67">
        <v>8048</v>
      </c>
      <c r="E67">
        <v>8129</v>
      </c>
      <c r="F67">
        <v>4.8666669999999996</v>
      </c>
      <c r="G67">
        <v>8</v>
      </c>
      <c r="H67">
        <v>0.60833334999999999</v>
      </c>
      <c r="I67">
        <v>0.39166665000000001</v>
      </c>
      <c r="J67">
        <v>0.62176169999999997</v>
      </c>
    </row>
    <row r="68" spans="1:10" x14ac:dyDescent="0.3">
      <c r="A68">
        <v>66</v>
      </c>
      <c r="B68">
        <v>1055</v>
      </c>
      <c r="C68" t="b">
        <v>1</v>
      </c>
      <c r="D68">
        <v>8048</v>
      </c>
      <c r="E68">
        <v>8123</v>
      </c>
      <c r="F68">
        <v>4.8666669999999996</v>
      </c>
      <c r="G68">
        <v>8</v>
      </c>
      <c r="H68">
        <v>0.60833334999999999</v>
      </c>
      <c r="I68">
        <v>0.39166665000000001</v>
      </c>
      <c r="J68">
        <v>0.62176169999999997</v>
      </c>
    </row>
    <row r="69" spans="1:10" x14ac:dyDescent="0.3">
      <c r="A69">
        <v>67</v>
      </c>
      <c r="B69">
        <v>1070</v>
      </c>
      <c r="C69" t="b">
        <v>1</v>
      </c>
      <c r="D69">
        <v>8042</v>
      </c>
      <c r="E69">
        <v>8129</v>
      </c>
      <c r="F69">
        <v>4.8666669999999996</v>
      </c>
      <c r="G69">
        <v>8</v>
      </c>
      <c r="H69">
        <v>0.60833334999999999</v>
      </c>
      <c r="I69">
        <v>0.39166665000000001</v>
      </c>
      <c r="J69">
        <v>0.62176169999999997</v>
      </c>
    </row>
    <row r="70" spans="1:10" x14ac:dyDescent="0.3">
      <c r="A70">
        <v>68</v>
      </c>
      <c r="B70">
        <v>1086</v>
      </c>
      <c r="C70" t="b">
        <v>1</v>
      </c>
      <c r="D70">
        <v>8042</v>
      </c>
      <c r="E70">
        <v>8123</v>
      </c>
      <c r="F70">
        <v>5.266667</v>
      </c>
      <c r="G70">
        <v>8</v>
      </c>
      <c r="H70">
        <v>0.65833335999999998</v>
      </c>
      <c r="I70">
        <v>0.34166664000000002</v>
      </c>
      <c r="J70">
        <v>0.60301506999999999</v>
      </c>
    </row>
    <row r="71" spans="1:10" x14ac:dyDescent="0.3">
      <c r="A71">
        <v>69</v>
      </c>
      <c r="B71">
        <v>1102</v>
      </c>
      <c r="C71" t="b">
        <v>1</v>
      </c>
      <c r="D71">
        <v>8048</v>
      </c>
      <c r="E71">
        <v>8123</v>
      </c>
      <c r="F71">
        <v>5.266667</v>
      </c>
      <c r="G71">
        <v>8</v>
      </c>
      <c r="H71">
        <v>0.65833335999999998</v>
      </c>
      <c r="I71">
        <v>0.34166664000000002</v>
      </c>
      <c r="J71">
        <v>0.60301506999999999</v>
      </c>
    </row>
    <row r="72" spans="1:10" x14ac:dyDescent="0.3">
      <c r="A72">
        <v>70</v>
      </c>
      <c r="B72">
        <v>1118</v>
      </c>
      <c r="C72" t="b">
        <v>1</v>
      </c>
      <c r="D72">
        <v>8048</v>
      </c>
      <c r="E72">
        <v>8123</v>
      </c>
      <c r="F72">
        <v>5.6666664999999998</v>
      </c>
      <c r="G72">
        <v>8</v>
      </c>
      <c r="H72">
        <v>0.70833330000000005</v>
      </c>
      <c r="I72">
        <v>0.2916667</v>
      </c>
      <c r="J72">
        <v>0.58536589999999999</v>
      </c>
    </row>
    <row r="73" spans="1:10" x14ac:dyDescent="0.3">
      <c r="A73">
        <v>71</v>
      </c>
      <c r="B73">
        <v>1133</v>
      </c>
      <c r="C73" t="b">
        <v>1</v>
      </c>
      <c r="D73">
        <v>8048</v>
      </c>
      <c r="E73">
        <v>8123</v>
      </c>
      <c r="F73">
        <v>6.4</v>
      </c>
      <c r="G73">
        <v>8</v>
      </c>
      <c r="H73">
        <v>0.8</v>
      </c>
      <c r="I73">
        <v>0.19999998999999999</v>
      </c>
      <c r="J73">
        <v>0.55555560000000004</v>
      </c>
    </row>
    <row r="74" spans="1:10" x14ac:dyDescent="0.3">
      <c r="A74">
        <v>72</v>
      </c>
      <c r="B74">
        <v>1150</v>
      </c>
      <c r="C74" t="b">
        <v>1</v>
      </c>
      <c r="D74">
        <v>8048</v>
      </c>
      <c r="E74">
        <v>8123</v>
      </c>
      <c r="F74">
        <v>6.8</v>
      </c>
      <c r="G74">
        <v>8</v>
      </c>
      <c r="H74">
        <v>0.85</v>
      </c>
      <c r="I74">
        <v>0.14999998</v>
      </c>
      <c r="J74">
        <v>0.54054049999999998</v>
      </c>
    </row>
    <row r="75" spans="1:10" x14ac:dyDescent="0.3">
      <c r="A75">
        <v>73</v>
      </c>
      <c r="B75">
        <v>1166</v>
      </c>
      <c r="C75" t="b">
        <v>1</v>
      </c>
      <c r="D75">
        <v>8048</v>
      </c>
      <c r="E75">
        <v>8123</v>
      </c>
      <c r="F75">
        <v>7.2</v>
      </c>
      <c r="G75">
        <v>8</v>
      </c>
      <c r="H75">
        <v>0.9</v>
      </c>
      <c r="I75">
        <v>0.10000002400000001</v>
      </c>
      <c r="J75">
        <v>0.5263158</v>
      </c>
    </row>
    <row r="76" spans="1:10" x14ac:dyDescent="0.3">
      <c r="A76">
        <v>74</v>
      </c>
      <c r="B76">
        <v>1181</v>
      </c>
      <c r="C76" t="b">
        <v>1</v>
      </c>
      <c r="D76">
        <v>8048</v>
      </c>
      <c r="E76">
        <v>8123</v>
      </c>
      <c r="F76">
        <v>7.6</v>
      </c>
      <c r="G76">
        <v>8</v>
      </c>
      <c r="H76">
        <v>0.95</v>
      </c>
      <c r="I76">
        <v>5.0000012000000003E-2</v>
      </c>
      <c r="J76">
        <v>0.51282050000000001</v>
      </c>
    </row>
    <row r="77" spans="1:10" x14ac:dyDescent="0.3">
      <c r="A77">
        <v>75</v>
      </c>
      <c r="B77">
        <v>1197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1213</v>
      </c>
      <c r="C78" t="b">
        <v>1</v>
      </c>
      <c r="D78">
        <v>8042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1229</v>
      </c>
      <c r="C79" t="b">
        <v>1</v>
      </c>
      <c r="D79">
        <v>8048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1245</v>
      </c>
      <c r="C80" t="b">
        <v>1</v>
      </c>
      <c r="D80">
        <v>8048</v>
      </c>
      <c r="E80">
        <v>8123</v>
      </c>
      <c r="F80">
        <v>8</v>
      </c>
      <c r="G80">
        <v>8</v>
      </c>
      <c r="H80">
        <v>1</v>
      </c>
      <c r="I80">
        <v>0</v>
      </c>
      <c r="J80">
        <v>0.5</v>
      </c>
    </row>
    <row r="81" spans="1:10" x14ac:dyDescent="0.3">
      <c r="A81">
        <v>79</v>
      </c>
      <c r="B81">
        <v>1261</v>
      </c>
      <c r="C81" t="b">
        <v>1</v>
      </c>
      <c r="D81">
        <v>8048</v>
      </c>
      <c r="E81">
        <v>8123</v>
      </c>
      <c r="F81">
        <v>8</v>
      </c>
      <c r="G81">
        <v>8</v>
      </c>
      <c r="H81">
        <v>1</v>
      </c>
      <c r="I81">
        <v>0</v>
      </c>
      <c r="J81">
        <v>0.5</v>
      </c>
    </row>
    <row r="82" spans="1:10" x14ac:dyDescent="0.3">
      <c r="A82">
        <v>80</v>
      </c>
      <c r="B82">
        <v>1277</v>
      </c>
      <c r="C82" t="b">
        <v>1</v>
      </c>
      <c r="D82">
        <v>8042</v>
      </c>
      <c r="E82">
        <v>8117</v>
      </c>
      <c r="F82">
        <v>8</v>
      </c>
      <c r="G82">
        <v>8</v>
      </c>
      <c r="H82">
        <v>1</v>
      </c>
      <c r="I82">
        <v>0</v>
      </c>
      <c r="J82">
        <v>0.5</v>
      </c>
    </row>
    <row r="83" spans="1:10" x14ac:dyDescent="0.3">
      <c r="A83">
        <v>81</v>
      </c>
      <c r="B83">
        <v>1292</v>
      </c>
      <c r="C83" t="b">
        <v>1</v>
      </c>
      <c r="D83">
        <v>8048</v>
      </c>
      <c r="E83">
        <v>8123</v>
      </c>
      <c r="F83">
        <v>8</v>
      </c>
      <c r="G83">
        <v>8</v>
      </c>
      <c r="H83">
        <v>1</v>
      </c>
      <c r="I83">
        <v>0</v>
      </c>
      <c r="J83">
        <v>0.5</v>
      </c>
    </row>
    <row r="84" spans="1:10" x14ac:dyDescent="0.3">
      <c r="A84">
        <v>82</v>
      </c>
      <c r="B84">
        <v>1308</v>
      </c>
      <c r="C84" t="b">
        <v>1</v>
      </c>
      <c r="D84">
        <v>8042</v>
      </c>
      <c r="E84">
        <v>8123</v>
      </c>
      <c r="F84">
        <v>8</v>
      </c>
      <c r="G84">
        <v>8</v>
      </c>
      <c r="H84">
        <v>1</v>
      </c>
      <c r="I84">
        <v>0</v>
      </c>
      <c r="J84">
        <v>0.5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8</v>
      </c>
      <c r="G85">
        <v>8</v>
      </c>
      <c r="H85">
        <v>1</v>
      </c>
      <c r="I85">
        <v>0</v>
      </c>
      <c r="J85">
        <v>0.5</v>
      </c>
    </row>
    <row r="86" spans="1:10" x14ac:dyDescent="0.3">
      <c r="A86">
        <v>84</v>
      </c>
      <c r="B86">
        <v>1341</v>
      </c>
      <c r="C86" t="b">
        <v>1</v>
      </c>
      <c r="D86">
        <v>8054</v>
      </c>
      <c r="E86">
        <v>8123</v>
      </c>
      <c r="F86">
        <v>8</v>
      </c>
      <c r="G86">
        <v>8</v>
      </c>
      <c r="H86">
        <v>1</v>
      </c>
      <c r="I86">
        <v>0</v>
      </c>
      <c r="J86">
        <v>0.5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8117</v>
      </c>
      <c r="F87">
        <v>8</v>
      </c>
      <c r="G87">
        <v>8</v>
      </c>
      <c r="H87">
        <v>1</v>
      </c>
      <c r="I87">
        <v>0</v>
      </c>
      <c r="J87">
        <v>0.5</v>
      </c>
    </row>
    <row r="88" spans="1:10" x14ac:dyDescent="0.3">
      <c r="A88">
        <v>86</v>
      </c>
      <c r="B88">
        <v>1372</v>
      </c>
      <c r="C88" t="b">
        <v>1</v>
      </c>
      <c r="D88">
        <v>8048</v>
      </c>
      <c r="E88">
        <v>8123</v>
      </c>
      <c r="F88">
        <v>8</v>
      </c>
      <c r="G88">
        <v>8</v>
      </c>
      <c r="H88">
        <v>1</v>
      </c>
      <c r="I88">
        <v>0</v>
      </c>
      <c r="J88">
        <v>0.5</v>
      </c>
    </row>
    <row r="89" spans="1:10" x14ac:dyDescent="0.3">
      <c r="A89">
        <v>87</v>
      </c>
      <c r="B89">
        <v>1388</v>
      </c>
      <c r="C89" t="b">
        <v>1</v>
      </c>
      <c r="D89">
        <v>8048</v>
      </c>
      <c r="E89">
        <v>8123</v>
      </c>
      <c r="F89">
        <v>8</v>
      </c>
      <c r="G89">
        <v>8</v>
      </c>
      <c r="H89">
        <v>1</v>
      </c>
      <c r="I89">
        <v>0</v>
      </c>
      <c r="J89">
        <v>0.5</v>
      </c>
    </row>
    <row r="90" spans="1:10" x14ac:dyDescent="0.3">
      <c r="A90">
        <v>88</v>
      </c>
      <c r="B90">
        <v>1404</v>
      </c>
      <c r="C90" t="b">
        <v>1</v>
      </c>
      <c r="D90">
        <v>8048</v>
      </c>
      <c r="E90">
        <v>8123</v>
      </c>
      <c r="F90">
        <v>8</v>
      </c>
      <c r="G90">
        <v>8</v>
      </c>
      <c r="H90">
        <v>1</v>
      </c>
      <c r="I90">
        <v>0</v>
      </c>
      <c r="J90">
        <v>0.5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8123</v>
      </c>
      <c r="F91">
        <v>8</v>
      </c>
      <c r="G91">
        <v>8</v>
      </c>
      <c r="H91">
        <v>1</v>
      </c>
      <c r="I91">
        <v>0</v>
      </c>
      <c r="J91">
        <v>0.5</v>
      </c>
    </row>
    <row r="92" spans="1:10" x14ac:dyDescent="0.3">
      <c r="A92">
        <v>90</v>
      </c>
      <c r="B92">
        <v>1435</v>
      </c>
      <c r="C92" t="b">
        <v>1</v>
      </c>
      <c r="D92">
        <v>8048</v>
      </c>
      <c r="E92">
        <v>8111</v>
      </c>
      <c r="F92">
        <v>8</v>
      </c>
      <c r="G92">
        <v>8</v>
      </c>
      <c r="H92">
        <v>1</v>
      </c>
      <c r="I92">
        <v>0</v>
      </c>
      <c r="J92">
        <v>0.5</v>
      </c>
    </row>
    <row r="93" spans="1:10" x14ac:dyDescent="0.3">
      <c r="A93">
        <v>91</v>
      </c>
      <c r="B93">
        <v>1451</v>
      </c>
      <c r="C93" t="b">
        <v>1</v>
      </c>
      <c r="D93">
        <v>8042</v>
      </c>
      <c r="E93">
        <v>8117</v>
      </c>
      <c r="F93">
        <v>8</v>
      </c>
      <c r="G93">
        <v>8</v>
      </c>
      <c r="H93">
        <v>1</v>
      </c>
      <c r="I93">
        <v>0</v>
      </c>
      <c r="J93">
        <v>0.5</v>
      </c>
    </row>
    <row r="94" spans="1:10" x14ac:dyDescent="0.3">
      <c r="A94">
        <v>92</v>
      </c>
      <c r="B94">
        <v>1467</v>
      </c>
      <c r="C94" t="b">
        <v>1</v>
      </c>
      <c r="D94">
        <v>8048</v>
      </c>
      <c r="E94">
        <v>8123</v>
      </c>
      <c r="F94">
        <v>8</v>
      </c>
      <c r="G94">
        <v>8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1483</v>
      </c>
      <c r="C95" t="b">
        <v>1</v>
      </c>
      <c r="D95">
        <v>8042</v>
      </c>
      <c r="E95">
        <v>8117</v>
      </c>
      <c r="F95">
        <v>8</v>
      </c>
      <c r="G95">
        <v>7.6</v>
      </c>
      <c r="H95">
        <v>1.0526316</v>
      </c>
      <c r="I95">
        <v>-5.2631589999999999E-2</v>
      </c>
      <c r="J95">
        <v>0.48717946000000001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8117</v>
      </c>
      <c r="F96">
        <v>8</v>
      </c>
      <c r="G96">
        <v>7.2</v>
      </c>
      <c r="H96">
        <v>1.1111112000000001</v>
      </c>
      <c r="I96">
        <v>-0.11111114</v>
      </c>
      <c r="J96">
        <v>0.4736842</v>
      </c>
    </row>
    <row r="97" spans="1:10" x14ac:dyDescent="0.3">
      <c r="A97">
        <v>95</v>
      </c>
      <c r="B97">
        <v>1514</v>
      </c>
      <c r="C97" t="b">
        <v>1</v>
      </c>
      <c r="D97">
        <v>8042</v>
      </c>
      <c r="E97">
        <v>8123</v>
      </c>
      <c r="F97">
        <v>7.6</v>
      </c>
      <c r="G97">
        <v>6.8</v>
      </c>
      <c r="H97">
        <v>1.1176470000000001</v>
      </c>
      <c r="I97">
        <v>-0.11764701499999999</v>
      </c>
      <c r="J97">
        <v>0.47222224000000002</v>
      </c>
    </row>
    <row r="98" spans="1:10" x14ac:dyDescent="0.3">
      <c r="A98">
        <v>96</v>
      </c>
      <c r="B98">
        <v>1530</v>
      </c>
      <c r="C98" t="b">
        <v>1</v>
      </c>
      <c r="D98">
        <v>8042</v>
      </c>
      <c r="E98">
        <v>8123</v>
      </c>
      <c r="F98">
        <v>7.2</v>
      </c>
      <c r="G98">
        <v>6.8</v>
      </c>
      <c r="H98">
        <v>1.0588234999999999</v>
      </c>
      <c r="I98">
        <v>-5.8823470000000003E-2</v>
      </c>
      <c r="J98">
        <v>0.48571429999999999</v>
      </c>
    </row>
    <row r="99" spans="1:10" x14ac:dyDescent="0.3">
      <c r="A99">
        <v>97</v>
      </c>
      <c r="B99">
        <v>1546</v>
      </c>
      <c r="C99" t="b">
        <v>1</v>
      </c>
      <c r="D99">
        <v>8054</v>
      </c>
      <c r="E99">
        <v>8123</v>
      </c>
      <c r="F99">
        <v>6.8</v>
      </c>
      <c r="G99">
        <v>6.8</v>
      </c>
      <c r="H99">
        <v>1</v>
      </c>
      <c r="I99">
        <v>0</v>
      </c>
      <c r="J99">
        <v>0.5</v>
      </c>
    </row>
    <row r="100" spans="1:10" x14ac:dyDescent="0.3">
      <c r="A100">
        <v>98</v>
      </c>
      <c r="B100">
        <v>1562</v>
      </c>
      <c r="C100" t="b">
        <v>1</v>
      </c>
      <c r="D100">
        <v>8054</v>
      </c>
      <c r="E100">
        <v>8123</v>
      </c>
      <c r="F100">
        <v>6.8</v>
      </c>
      <c r="G100">
        <v>6.8</v>
      </c>
      <c r="H100">
        <v>1</v>
      </c>
      <c r="I100">
        <v>0</v>
      </c>
      <c r="J100">
        <v>0.5</v>
      </c>
    </row>
    <row r="101" spans="1:10" x14ac:dyDescent="0.3">
      <c r="A101">
        <v>99</v>
      </c>
      <c r="B101">
        <v>1578</v>
      </c>
      <c r="C101" t="b">
        <v>1</v>
      </c>
      <c r="D101">
        <v>8048</v>
      </c>
      <c r="E101">
        <v>8123</v>
      </c>
      <c r="F101">
        <v>6.8</v>
      </c>
      <c r="G101">
        <v>6.8</v>
      </c>
      <c r="H101">
        <v>1</v>
      </c>
      <c r="I101">
        <v>0</v>
      </c>
      <c r="J101">
        <v>0.5</v>
      </c>
    </row>
    <row r="102" spans="1:10" x14ac:dyDescent="0.3">
      <c r="A102">
        <v>100</v>
      </c>
      <c r="B102">
        <v>1594</v>
      </c>
      <c r="C102" t="b">
        <v>1</v>
      </c>
      <c r="D102">
        <v>8054</v>
      </c>
      <c r="E102">
        <v>8117</v>
      </c>
      <c r="F102">
        <v>7.2</v>
      </c>
      <c r="G102">
        <v>6.8</v>
      </c>
      <c r="H102">
        <v>1.0588234999999999</v>
      </c>
      <c r="I102">
        <v>-5.8823470000000003E-2</v>
      </c>
      <c r="J102">
        <v>0.48571429999999999</v>
      </c>
    </row>
    <row r="103" spans="1:10" x14ac:dyDescent="0.3">
      <c r="A103">
        <v>101</v>
      </c>
      <c r="B103">
        <v>1610</v>
      </c>
      <c r="C103" t="b">
        <v>1</v>
      </c>
      <c r="D103">
        <v>8054</v>
      </c>
      <c r="E103">
        <v>8123</v>
      </c>
      <c r="F103">
        <v>7.6</v>
      </c>
      <c r="G103">
        <v>6.8</v>
      </c>
      <c r="H103">
        <v>1.1176470000000001</v>
      </c>
      <c r="I103">
        <v>-0.11764701499999999</v>
      </c>
      <c r="J103">
        <v>0.47222224000000002</v>
      </c>
    </row>
    <row r="104" spans="1:10" x14ac:dyDescent="0.3">
      <c r="A104">
        <v>102</v>
      </c>
      <c r="B104">
        <v>1626</v>
      </c>
      <c r="C104" t="b">
        <v>1</v>
      </c>
      <c r="D104">
        <v>8054</v>
      </c>
      <c r="E104">
        <v>8129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1642</v>
      </c>
      <c r="C105" t="b">
        <v>1</v>
      </c>
      <c r="D105">
        <v>8048</v>
      </c>
      <c r="E105">
        <v>8129</v>
      </c>
      <c r="F105">
        <v>8.4</v>
      </c>
      <c r="G105">
        <v>6.8</v>
      </c>
      <c r="H105">
        <v>1.2352939999999999</v>
      </c>
      <c r="I105">
        <v>-0.23529402999999999</v>
      </c>
      <c r="J105">
        <v>0.44736843999999998</v>
      </c>
    </row>
    <row r="106" spans="1:10" x14ac:dyDescent="0.3">
      <c r="A106">
        <v>104</v>
      </c>
      <c r="B106">
        <v>1658</v>
      </c>
      <c r="C106" t="b">
        <v>1</v>
      </c>
      <c r="D106">
        <v>8048</v>
      </c>
      <c r="E106">
        <v>8134</v>
      </c>
      <c r="F106">
        <v>8.8000000000000007</v>
      </c>
      <c r="G106">
        <v>7.2</v>
      </c>
      <c r="H106">
        <v>1.2222223000000001</v>
      </c>
      <c r="I106">
        <v>-0.22222227999999999</v>
      </c>
      <c r="J106">
        <v>0.45</v>
      </c>
    </row>
    <row r="107" spans="1:10" x14ac:dyDescent="0.3">
      <c r="A107">
        <v>105</v>
      </c>
      <c r="B107">
        <v>1674</v>
      </c>
      <c r="C107" t="b">
        <v>1</v>
      </c>
      <c r="D107">
        <v>8048</v>
      </c>
      <c r="E107">
        <v>8129</v>
      </c>
      <c r="F107">
        <v>8.8000000000000007</v>
      </c>
      <c r="G107">
        <v>7.6</v>
      </c>
      <c r="H107">
        <v>1.1578946999999999</v>
      </c>
      <c r="I107">
        <v>-0.15789478000000001</v>
      </c>
      <c r="J107">
        <v>0.46341463999999999</v>
      </c>
    </row>
    <row r="108" spans="1:10" x14ac:dyDescent="0.3">
      <c r="A108">
        <v>106</v>
      </c>
      <c r="B108">
        <v>1689</v>
      </c>
      <c r="C108" t="b">
        <v>1</v>
      </c>
      <c r="D108">
        <v>8048</v>
      </c>
      <c r="E108">
        <v>8129</v>
      </c>
      <c r="F108">
        <v>8.8000000000000007</v>
      </c>
      <c r="G108">
        <v>8</v>
      </c>
      <c r="H108">
        <v>1.1000000000000001</v>
      </c>
      <c r="I108">
        <v>-0.10000002400000001</v>
      </c>
      <c r="J108">
        <v>0.47619050000000002</v>
      </c>
    </row>
    <row r="109" spans="1:10" x14ac:dyDescent="0.3">
      <c r="A109">
        <v>107</v>
      </c>
      <c r="B109">
        <v>1705</v>
      </c>
      <c r="C109" t="b">
        <v>1</v>
      </c>
      <c r="D109">
        <v>8042</v>
      </c>
      <c r="E109">
        <v>8129</v>
      </c>
      <c r="F109">
        <v>8.8000000000000007</v>
      </c>
      <c r="G109">
        <v>8.4</v>
      </c>
      <c r="H109">
        <v>1.0476190999999999</v>
      </c>
      <c r="I109">
        <v>-4.7619120000000001E-2</v>
      </c>
      <c r="J109">
        <v>0.48837206</v>
      </c>
    </row>
    <row r="110" spans="1:10" x14ac:dyDescent="0.3">
      <c r="A110">
        <v>108</v>
      </c>
      <c r="B110">
        <v>1721</v>
      </c>
      <c r="C110" t="b">
        <v>1</v>
      </c>
      <c r="D110">
        <v>8048</v>
      </c>
      <c r="E110">
        <v>8123</v>
      </c>
      <c r="F110">
        <v>8.8000000000000007</v>
      </c>
      <c r="G110">
        <v>9.1999999999999993</v>
      </c>
      <c r="H110">
        <v>0.95652179999999998</v>
      </c>
      <c r="I110">
        <v>4.3478219999999998E-2</v>
      </c>
      <c r="J110">
        <v>0.51111110000000004</v>
      </c>
    </row>
    <row r="111" spans="1:10" x14ac:dyDescent="0.3">
      <c r="A111">
        <v>109</v>
      </c>
      <c r="B111">
        <v>1737</v>
      </c>
      <c r="C111" t="b">
        <v>1</v>
      </c>
      <c r="D111">
        <v>8048</v>
      </c>
      <c r="E111">
        <v>8123</v>
      </c>
      <c r="F111">
        <v>8.8000000000000007</v>
      </c>
      <c r="G111">
        <v>10</v>
      </c>
      <c r="H111">
        <v>0.88</v>
      </c>
      <c r="I111">
        <v>0.11999998000000001</v>
      </c>
      <c r="J111">
        <v>0.53191489999999997</v>
      </c>
    </row>
    <row r="112" spans="1:10" x14ac:dyDescent="0.3">
      <c r="A112">
        <v>110</v>
      </c>
      <c r="B112">
        <v>1753</v>
      </c>
      <c r="C112" t="b">
        <v>1</v>
      </c>
      <c r="D112">
        <v>8048</v>
      </c>
      <c r="E112">
        <v>8117</v>
      </c>
      <c r="F112">
        <v>9.1999999999999993</v>
      </c>
      <c r="G112">
        <v>10.4</v>
      </c>
      <c r="H112">
        <v>0.88461540000000005</v>
      </c>
      <c r="I112">
        <v>0.1153846</v>
      </c>
      <c r="J112">
        <v>0.53061230000000004</v>
      </c>
    </row>
    <row r="113" spans="1:10" x14ac:dyDescent="0.3">
      <c r="A113">
        <v>111</v>
      </c>
      <c r="B113">
        <v>1769</v>
      </c>
      <c r="C113" t="b">
        <v>1</v>
      </c>
      <c r="D113">
        <v>8054</v>
      </c>
      <c r="E113">
        <v>8129</v>
      </c>
      <c r="F113">
        <v>9.6</v>
      </c>
      <c r="G113">
        <v>10.4</v>
      </c>
      <c r="H113">
        <v>0.92307700000000004</v>
      </c>
      <c r="I113">
        <v>7.6923005000000003E-2</v>
      </c>
      <c r="J113">
        <v>0.52</v>
      </c>
    </row>
    <row r="114" spans="1:10" x14ac:dyDescent="0.3">
      <c r="A114">
        <v>112</v>
      </c>
      <c r="B114">
        <v>1785</v>
      </c>
      <c r="C114" t="b">
        <v>1</v>
      </c>
      <c r="D114">
        <v>8048</v>
      </c>
      <c r="E114">
        <v>8123</v>
      </c>
      <c r="F114">
        <v>10</v>
      </c>
      <c r="G114">
        <v>10.4</v>
      </c>
      <c r="H114">
        <v>0.96153849999999996</v>
      </c>
      <c r="I114">
        <v>3.8461503000000001E-2</v>
      </c>
      <c r="J114">
        <v>0.50980389999999998</v>
      </c>
    </row>
    <row r="115" spans="1:10" x14ac:dyDescent="0.3">
      <c r="A115">
        <v>113</v>
      </c>
      <c r="B115">
        <v>1800</v>
      </c>
      <c r="C115" t="b">
        <v>1</v>
      </c>
      <c r="D115">
        <v>8054</v>
      </c>
      <c r="E115">
        <v>8117</v>
      </c>
      <c r="F115">
        <v>10</v>
      </c>
      <c r="G115">
        <v>10.4</v>
      </c>
      <c r="H115">
        <v>0.96153849999999996</v>
      </c>
      <c r="I115">
        <v>3.8461503000000001E-2</v>
      </c>
      <c r="J115">
        <v>0.50980389999999998</v>
      </c>
    </row>
    <row r="116" spans="1:10" x14ac:dyDescent="0.3">
      <c r="A116">
        <v>114</v>
      </c>
      <c r="B116">
        <v>1816</v>
      </c>
      <c r="C116" t="b">
        <v>1</v>
      </c>
      <c r="D116">
        <v>8042</v>
      </c>
      <c r="E116">
        <v>8123</v>
      </c>
      <c r="F116">
        <v>10</v>
      </c>
      <c r="G116">
        <v>10.4</v>
      </c>
      <c r="H116">
        <v>0.96153849999999996</v>
      </c>
      <c r="I116">
        <v>3.8461503000000001E-2</v>
      </c>
      <c r="J116">
        <v>0.50980389999999998</v>
      </c>
    </row>
    <row r="117" spans="1:10" x14ac:dyDescent="0.3">
      <c r="A117">
        <v>115</v>
      </c>
      <c r="B117">
        <v>1832</v>
      </c>
      <c r="C117" t="b">
        <v>1</v>
      </c>
      <c r="D117">
        <v>8048</v>
      </c>
      <c r="E117">
        <v>8123</v>
      </c>
      <c r="F117">
        <v>9.6</v>
      </c>
      <c r="G117">
        <v>10.4</v>
      </c>
      <c r="H117">
        <v>0.92307700000000004</v>
      </c>
      <c r="I117">
        <v>7.6923005000000003E-2</v>
      </c>
      <c r="J117">
        <v>0.52</v>
      </c>
    </row>
    <row r="118" spans="1:10" x14ac:dyDescent="0.3">
      <c r="A118">
        <v>116</v>
      </c>
      <c r="B118">
        <v>1848</v>
      </c>
      <c r="C118" t="b">
        <v>1</v>
      </c>
      <c r="D118">
        <v>8048</v>
      </c>
      <c r="E118">
        <v>8123</v>
      </c>
      <c r="F118">
        <v>9.1999999999999993</v>
      </c>
      <c r="G118">
        <v>10.4</v>
      </c>
      <c r="H118">
        <v>0.88461540000000005</v>
      </c>
      <c r="I118">
        <v>0.1153846</v>
      </c>
      <c r="J118">
        <v>0.53061230000000004</v>
      </c>
    </row>
    <row r="119" spans="1:10" x14ac:dyDescent="0.3">
      <c r="A119">
        <v>117</v>
      </c>
      <c r="B119">
        <v>1864</v>
      </c>
      <c r="C119" t="b">
        <v>1</v>
      </c>
      <c r="D119">
        <v>8048</v>
      </c>
      <c r="E119">
        <v>8123</v>
      </c>
      <c r="F119">
        <v>8.8000000000000007</v>
      </c>
      <c r="G119">
        <v>10.4</v>
      </c>
      <c r="H119">
        <v>0.84615390000000001</v>
      </c>
      <c r="I119">
        <v>0.15384610000000001</v>
      </c>
      <c r="J119">
        <v>0.5416666</v>
      </c>
    </row>
    <row r="120" spans="1:10" x14ac:dyDescent="0.3">
      <c r="A120">
        <v>118</v>
      </c>
      <c r="B120">
        <v>1880</v>
      </c>
      <c r="C120" t="b">
        <v>1</v>
      </c>
      <c r="D120">
        <v>8048</v>
      </c>
      <c r="E120">
        <v>8123</v>
      </c>
      <c r="F120">
        <v>8.4</v>
      </c>
      <c r="G120">
        <v>10.4</v>
      </c>
      <c r="H120">
        <v>0.80769230000000003</v>
      </c>
      <c r="I120">
        <v>0.1923077</v>
      </c>
      <c r="J120">
        <v>0.55319149999999995</v>
      </c>
    </row>
    <row r="121" spans="1:10" x14ac:dyDescent="0.3">
      <c r="A121">
        <v>119</v>
      </c>
      <c r="B121">
        <v>1896</v>
      </c>
      <c r="C121" t="b">
        <v>1</v>
      </c>
      <c r="D121">
        <v>8042</v>
      </c>
      <c r="E121">
        <v>8134</v>
      </c>
      <c r="F121">
        <v>8</v>
      </c>
      <c r="G121">
        <v>10</v>
      </c>
      <c r="H121">
        <v>0.8</v>
      </c>
      <c r="I121">
        <v>0.2</v>
      </c>
      <c r="J121">
        <v>0.55555560000000004</v>
      </c>
    </row>
    <row r="122" spans="1:10" x14ac:dyDescent="0.3">
      <c r="A122">
        <v>120</v>
      </c>
      <c r="B122">
        <v>1912</v>
      </c>
      <c r="C122" t="b">
        <v>1</v>
      </c>
      <c r="D122">
        <v>8048</v>
      </c>
      <c r="E122">
        <v>8123</v>
      </c>
      <c r="F122">
        <v>8</v>
      </c>
      <c r="G122">
        <v>9.6</v>
      </c>
      <c r="H122">
        <v>0.83333330000000005</v>
      </c>
      <c r="I122">
        <v>0.1666667</v>
      </c>
      <c r="J122">
        <v>0.54545456000000003</v>
      </c>
    </row>
    <row r="123" spans="1:10" x14ac:dyDescent="0.3">
      <c r="A123">
        <v>121</v>
      </c>
      <c r="B123">
        <v>1928</v>
      </c>
      <c r="C123" t="b">
        <v>1</v>
      </c>
      <c r="D123">
        <v>8042</v>
      </c>
      <c r="E123">
        <v>8123</v>
      </c>
      <c r="F123">
        <v>8</v>
      </c>
      <c r="G123">
        <v>9.1999999999999993</v>
      </c>
      <c r="H123">
        <v>0.86956524999999996</v>
      </c>
      <c r="I123">
        <v>0.13043477000000001</v>
      </c>
      <c r="J123">
        <v>0.53488369999999996</v>
      </c>
    </row>
    <row r="124" spans="1:10" x14ac:dyDescent="0.3">
      <c r="A124">
        <v>122</v>
      </c>
      <c r="B124">
        <v>1944</v>
      </c>
      <c r="C124" t="b">
        <v>1</v>
      </c>
      <c r="D124">
        <v>8048</v>
      </c>
      <c r="E124">
        <v>8123</v>
      </c>
      <c r="F124">
        <v>8</v>
      </c>
      <c r="G124">
        <v>8.8000000000000007</v>
      </c>
      <c r="H124">
        <v>0.90909090000000004</v>
      </c>
      <c r="I124">
        <v>9.0909110000000001E-2</v>
      </c>
      <c r="J124">
        <v>0.52380954999999996</v>
      </c>
    </row>
    <row r="125" spans="1:10" x14ac:dyDescent="0.3">
      <c r="A125">
        <v>123</v>
      </c>
      <c r="B125">
        <v>1959</v>
      </c>
      <c r="C125" t="b">
        <v>1</v>
      </c>
      <c r="D125">
        <v>8048</v>
      </c>
      <c r="E125">
        <v>8123</v>
      </c>
      <c r="F125">
        <v>8</v>
      </c>
      <c r="G125">
        <v>8.4</v>
      </c>
      <c r="H125">
        <v>0.95238100000000003</v>
      </c>
      <c r="I125">
        <v>4.7619003999999999E-2</v>
      </c>
      <c r="J125">
        <v>0.51219510000000001</v>
      </c>
    </row>
    <row r="126" spans="1:10" x14ac:dyDescent="0.3">
      <c r="A126">
        <v>124</v>
      </c>
      <c r="B126">
        <v>1975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1991</v>
      </c>
      <c r="C127" t="b">
        <v>1</v>
      </c>
      <c r="D127">
        <v>8042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2007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2023</v>
      </c>
      <c r="C129" t="b">
        <v>1</v>
      </c>
      <c r="D129">
        <v>8048</v>
      </c>
      <c r="E129">
        <v>8117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2039</v>
      </c>
      <c r="C130" t="b">
        <v>1</v>
      </c>
      <c r="D130">
        <v>8048</v>
      </c>
      <c r="E130">
        <v>8117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2055</v>
      </c>
      <c r="C131" t="b">
        <v>1</v>
      </c>
      <c r="D131">
        <v>8048</v>
      </c>
      <c r="E131">
        <v>8123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2070</v>
      </c>
      <c r="C132" t="b">
        <v>1</v>
      </c>
      <c r="D132">
        <v>8048</v>
      </c>
      <c r="E132">
        <v>8117</v>
      </c>
      <c r="F132">
        <v>8</v>
      </c>
      <c r="G132">
        <v>7.6</v>
      </c>
      <c r="H132">
        <v>1.0526316</v>
      </c>
      <c r="I132">
        <v>-5.2631589999999999E-2</v>
      </c>
      <c r="J132">
        <v>0.48717946000000001</v>
      </c>
    </row>
    <row r="133" spans="1:10" x14ac:dyDescent="0.3">
      <c r="A133">
        <v>131</v>
      </c>
      <c r="B133">
        <v>2086</v>
      </c>
      <c r="C133" t="b">
        <v>1</v>
      </c>
      <c r="D133">
        <v>8042</v>
      </c>
      <c r="E133">
        <v>8117</v>
      </c>
      <c r="F133">
        <v>8</v>
      </c>
      <c r="G133">
        <v>7.2</v>
      </c>
      <c r="H133">
        <v>1.1111112000000001</v>
      </c>
      <c r="I133">
        <v>-0.11111114</v>
      </c>
      <c r="J133">
        <v>0.4736842</v>
      </c>
    </row>
    <row r="134" spans="1:10" x14ac:dyDescent="0.3">
      <c r="A134">
        <v>132</v>
      </c>
      <c r="B134">
        <v>2102</v>
      </c>
      <c r="C134" t="b">
        <v>1</v>
      </c>
      <c r="D134">
        <v>8048</v>
      </c>
      <c r="E134">
        <v>8123</v>
      </c>
      <c r="F134">
        <v>8</v>
      </c>
      <c r="G134">
        <v>6.8</v>
      </c>
      <c r="H134">
        <v>1.1764705</v>
      </c>
      <c r="I134">
        <v>-0.17647055</v>
      </c>
      <c r="J134">
        <v>0.45945944999999999</v>
      </c>
    </row>
    <row r="135" spans="1:10" x14ac:dyDescent="0.3">
      <c r="A135">
        <v>133</v>
      </c>
      <c r="B135">
        <v>2118</v>
      </c>
      <c r="C135" t="b">
        <v>1</v>
      </c>
      <c r="D135">
        <v>8042</v>
      </c>
      <c r="E135">
        <v>8123</v>
      </c>
      <c r="F135">
        <v>8</v>
      </c>
      <c r="G135">
        <v>6.8</v>
      </c>
      <c r="H135">
        <v>1.1764705</v>
      </c>
      <c r="I135">
        <v>-0.17647055</v>
      </c>
      <c r="J135">
        <v>0.45945944999999999</v>
      </c>
    </row>
    <row r="136" spans="1:10" x14ac:dyDescent="0.3">
      <c r="A136">
        <v>134</v>
      </c>
      <c r="B136">
        <v>2134</v>
      </c>
      <c r="C136" t="b">
        <v>1</v>
      </c>
      <c r="D136">
        <v>8042</v>
      </c>
      <c r="E136">
        <v>8123</v>
      </c>
      <c r="F136">
        <v>7.6</v>
      </c>
      <c r="G136">
        <v>6.8</v>
      </c>
      <c r="H136">
        <v>1.1176470000000001</v>
      </c>
      <c r="I136">
        <v>-0.11764701499999999</v>
      </c>
      <c r="J136">
        <v>0.47222224000000002</v>
      </c>
    </row>
    <row r="137" spans="1:10" x14ac:dyDescent="0.3">
      <c r="A137">
        <v>135</v>
      </c>
      <c r="B137">
        <v>2150</v>
      </c>
      <c r="C137" t="b">
        <v>1</v>
      </c>
      <c r="D137">
        <v>8054</v>
      </c>
      <c r="E137">
        <v>8123</v>
      </c>
      <c r="F137">
        <v>7.2</v>
      </c>
      <c r="G137">
        <v>6.8</v>
      </c>
      <c r="H137">
        <v>1.0588234999999999</v>
      </c>
      <c r="I137">
        <v>-5.8823470000000003E-2</v>
      </c>
      <c r="J137">
        <v>0.48571429999999999</v>
      </c>
    </row>
    <row r="138" spans="1:10" x14ac:dyDescent="0.3">
      <c r="A138">
        <v>136</v>
      </c>
      <c r="B138">
        <v>2166</v>
      </c>
      <c r="C138" t="b">
        <v>1</v>
      </c>
      <c r="D138">
        <v>8054</v>
      </c>
      <c r="E138">
        <v>8123</v>
      </c>
      <c r="F138">
        <v>7.2</v>
      </c>
      <c r="G138">
        <v>6.8</v>
      </c>
      <c r="H138">
        <v>1.0588234999999999</v>
      </c>
      <c r="I138">
        <v>-5.8823470000000003E-2</v>
      </c>
      <c r="J138">
        <v>0.48571429999999999</v>
      </c>
    </row>
    <row r="139" spans="1:10" x14ac:dyDescent="0.3">
      <c r="A139">
        <v>137</v>
      </c>
      <c r="B139">
        <v>2182</v>
      </c>
      <c r="C139" t="b">
        <v>1</v>
      </c>
      <c r="D139">
        <v>8054</v>
      </c>
      <c r="E139">
        <v>8123</v>
      </c>
      <c r="F139">
        <v>7.6</v>
      </c>
      <c r="G139">
        <v>6.8</v>
      </c>
      <c r="H139">
        <v>1.1176470000000001</v>
      </c>
      <c r="I139">
        <v>-0.11764701499999999</v>
      </c>
      <c r="J139">
        <v>0.47222224000000002</v>
      </c>
    </row>
    <row r="140" spans="1:10" x14ac:dyDescent="0.3">
      <c r="A140">
        <v>138</v>
      </c>
      <c r="B140">
        <v>2198</v>
      </c>
      <c r="C140" t="b">
        <v>1</v>
      </c>
      <c r="D140">
        <v>8054</v>
      </c>
      <c r="E140">
        <v>8123</v>
      </c>
      <c r="F140">
        <v>8</v>
      </c>
      <c r="G140">
        <v>6.8</v>
      </c>
      <c r="H140">
        <v>1.1764705</v>
      </c>
      <c r="I140">
        <v>-0.17647055</v>
      </c>
      <c r="J140">
        <v>0.45945944999999999</v>
      </c>
    </row>
    <row r="141" spans="1:10" x14ac:dyDescent="0.3">
      <c r="A141">
        <v>139</v>
      </c>
      <c r="B141">
        <v>2214</v>
      </c>
      <c r="C141" t="b">
        <v>1</v>
      </c>
      <c r="D141">
        <v>8054</v>
      </c>
      <c r="E141">
        <v>8123</v>
      </c>
      <c r="F141">
        <v>8.4</v>
      </c>
      <c r="G141">
        <v>6.8</v>
      </c>
      <c r="H141">
        <v>1.2352939999999999</v>
      </c>
      <c r="I141">
        <v>-0.23529402999999999</v>
      </c>
      <c r="J141">
        <v>0.44736843999999998</v>
      </c>
    </row>
    <row r="142" spans="1:10" x14ac:dyDescent="0.3">
      <c r="A142">
        <v>140</v>
      </c>
      <c r="B142">
        <v>2230</v>
      </c>
      <c r="C142" t="b">
        <v>1</v>
      </c>
      <c r="D142">
        <v>8054</v>
      </c>
      <c r="E142">
        <v>8123</v>
      </c>
      <c r="F142">
        <v>8.8000000000000007</v>
      </c>
      <c r="G142">
        <v>6.8</v>
      </c>
      <c r="H142">
        <v>1.2941176999999999</v>
      </c>
      <c r="I142">
        <v>-0.29411763000000002</v>
      </c>
      <c r="J142">
        <v>0.43589744000000002</v>
      </c>
    </row>
    <row r="143" spans="1:10" x14ac:dyDescent="0.3">
      <c r="A143">
        <v>141</v>
      </c>
      <c r="B143">
        <v>2246</v>
      </c>
      <c r="C143" t="b">
        <v>1</v>
      </c>
      <c r="D143">
        <v>8048</v>
      </c>
      <c r="E143">
        <v>8123</v>
      </c>
      <c r="F143">
        <v>9.1999999999999993</v>
      </c>
      <c r="G143">
        <v>6.8</v>
      </c>
      <c r="H143">
        <v>1.3529412000000001</v>
      </c>
      <c r="I143">
        <v>-0.35294110000000001</v>
      </c>
      <c r="J143">
        <v>0.42499999999999999</v>
      </c>
    </row>
    <row r="144" spans="1:10" x14ac:dyDescent="0.3">
      <c r="A144">
        <v>142</v>
      </c>
      <c r="B144">
        <v>2261</v>
      </c>
      <c r="C144" t="b">
        <v>1</v>
      </c>
      <c r="D144">
        <v>8048</v>
      </c>
      <c r="E144">
        <v>8123</v>
      </c>
      <c r="F144">
        <v>9.6</v>
      </c>
      <c r="G144">
        <v>6.8</v>
      </c>
      <c r="H144">
        <v>1.4117647</v>
      </c>
      <c r="I144">
        <v>-0.41176469999999998</v>
      </c>
      <c r="J144">
        <v>0.41463410000000001</v>
      </c>
    </row>
    <row r="145" spans="1:10" x14ac:dyDescent="0.3">
      <c r="A145">
        <v>143</v>
      </c>
      <c r="B145">
        <v>2277</v>
      </c>
      <c r="C145" t="b">
        <v>1</v>
      </c>
      <c r="D145">
        <v>8048</v>
      </c>
      <c r="E145">
        <v>8123</v>
      </c>
      <c r="F145">
        <v>9.6</v>
      </c>
      <c r="G145">
        <v>6.8</v>
      </c>
      <c r="H145">
        <v>1.4117647</v>
      </c>
      <c r="I145">
        <v>-0.41176469999999998</v>
      </c>
      <c r="J145">
        <v>0.41463410000000001</v>
      </c>
    </row>
    <row r="146" spans="1:10" x14ac:dyDescent="0.3">
      <c r="A146">
        <v>144</v>
      </c>
      <c r="B146">
        <v>2293</v>
      </c>
      <c r="C146" t="b">
        <v>1</v>
      </c>
      <c r="D146">
        <v>8048</v>
      </c>
      <c r="E146">
        <v>8123</v>
      </c>
      <c r="F146">
        <v>9.6</v>
      </c>
      <c r="G146">
        <v>6.8</v>
      </c>
      <c r="H146">
        <v>1.4117647</v>
      </c>
      <c r="I146">
        <v>-0.41176469999999998</v>
      </c>
      <c r="J146">
        <v>0.41463410000000001</v>
      </c>
    </row>
    <row r="147" spans="1:10" x14ac:dyDescent="0.3">
      <c r="A147">
        <v>145</v>
      </c>
      <c r="B147">
        <v>2309</v>
      </c>
      <c r="C147" t="b">
        <v>1</v>
      </c>
      <c r="D147">
        <v>8048</v>
      </c>
      <c r="E147">
        <v>8117</v>
      </c>
      <c r="F147">
        <v>9.6</v>
      </c>
      <c r="G147">
        <v>7.2</v>
      </c>
      <c r="H147">
        <v>1.3333333999999999</v>
      </c>
      <c r="I147">
        <v>-0.33333342999999999</v>
      </c>
      <c r="J147">
        <v>0.42857142999999998</v>
      </c>
    </row>
    <row r="148" spans="1:10" x14ac:dyDescent="0.3">
      <c r="A148">
        <v>146</v>
      </c>
      <c r="B148">
        <v>2325</v>
      </c>
      <c r="C148" t="b">
        <v>1</v>
      </c>
      <c r="D148">
        <v>8048</v>
      </c>
      <c r="E148">
        <v>8123</v>
      </c>
      <c r="F148">
        <v>9.6</v>
      </c>
      <c r="G148">
        <v>7.6</v>
      </c>
      <c r="H148">
        <v>1.263158</v>
      </c>
      <c r="I148">
        <v>-0.26315796000000002</v>
      </c>
      <c r="J148">
        <v>0.44186044000000002</v>
      </c>
    </row>
    <row r="149" spans="1:10" x14ac:dyDescent="0.3">
      <c r="A149">
        <v>147</v>
      </c>
      <c r="B149">
        <v>2341</v>
      </c>
      <c r="C149" t="b">
        <v>1</v>
      </c>
      <c r="D149">
        <v>8048</v>
      </c>
      <c r="E149">
        <v>8117</v>
      </c>
      <c r="F149">
        <v>9.6</v>
      </c>
      <c r="G149">
        <v>8</v>
      </c>
      <c r="H149">
        <v>1.2</v>
      </c>
      <c r="I149">
        <v>-0.20000005000000001</v>
      </c>
      <c r="J149">
        <v>0.45454544000000002</v>
      </c>
    </row>
    <row r="150" spans="1:10" x14ac:dyDescent="0.3">
      <c r="A150">
        <v>148</v>
      </c>
      <c r="B150">
        <v>2357</v>
      </c>
      <c r="C150" t="b">
        <v>1</v>
      </c>
      <c r="D150">
        <v>8048</v>
      </c>
      <c r="E150">
        <v>8123</v>
      </c>
      <c r="F150">
        <v>9.6</v>
      </c>
      <c r="G150">
        <v>8</v>
      </c>
      <c r="H150">
        <v>1.2</v>
      </c>
      <c r="I150">
        <v>-0.20000005000000001</v>
      </c>
      <c r="J150">
        <v>0.45454544000000002</v>
      </c>
    </row>
    <row r="151" spans="1:10" x14ac:dyDescent="0.3">
      <c r="A151">
        <v>149</v>
      </c>
      <c r="B151">
        <v>2373</v>
      </c>
      <c r="C151" t="b">
        <v>1</v>
      </c>
      <c r="D151">
        <v>8042</v>
      </c>
      <c r="E151">
        <v>8117</v>
      </c>
      <c r="F151">
        <v>10</v>
      </c>
      <c r="G151">
        <v>7.6</v>
      </c>
      <c r="H151">
        <v>1.3157894999999999</v>
      </c>
      <c r="I151">
        <v>-0.3157895</v>
      </c>
      <c r="J151">
        <v>0.43181816000000001</v>
      </c>
    </row>
    <row r="152" spans="1:10" x14ac:dyDescent="0.3">
      <c r="A152">
        <v>150</v>
      </c>
      <c r="B152">
        <v>2388</v>
      </c>
      <c r="C152" t="b">
        <v>1</v>
      </c>
      <c r="D152">
        <v>8048</v>
      </c>
      <c r="E152">
        <v>8123</v>
      </c>
      <c r="F152">
        <v>10.4</v>
      </c>
      <c r="G152">
        <v>7.6</v>
      </c>
      <c r="H152">
        <v>1.3684210999999999</v>
      </c>
      <c r="I152">
        <v>-0.36842101999999999</v>
      </c>
      <c r="J152">
        <v>0.42222222999999998</v>
      </c>
    </row>
    <row r="153" spans="1:10" x14ac:dyDescent="0.3">
      <c r="A153">
        <v>151</v>
      </c>
      <c r="B153">
        <v>2404</v>
      </c>
      <c r="C153" t="b">
        <v>1</v>
      </c>
      <c r="D153">
        <v>8048</v>
      </c>
      <c r="E153">
        <v>8117</v>
      </c>
      <c r="F153">
        <v>10.4</v>
      </c>
      <c r="G153">
        <v>7.2</v>
      </c>
      <c r="H153">
        <v>1.4444444000000001</v>
      </c>
      <c r="I153">
        <v>-0.44444442000000001</v>
      </c>
      <c r="J153">
        <v>0.40909094000000001</v>
      </c>
    </row>
    <row r="154" spans="1:10" x14ac:dyDescent="0.3">
      <c r="A154">
        <v>152</v>
      </c>
      <c r="B154">
        <v>2420</v>
      </c>
      <c r="C154" t="b">
        <v>1</v>
      </c>
      <c r="D154">
        <v>8048</v>
      </c>
      <c r="E154">
        <v>8117</v>
      </c>
      <c r="F154">
        <v>10</v>
      </c>
      <c r="G154">
        <v>6.8</v>
      </c>
      <c r="H154">
        <v>1.4705881999999999</v>
      </c>
      <c r="I154">
        <v>-0.47058820000000001</v>
      </c>
      <c r="J154">
        <v>0.40476193999999999</v>
      </c>
    </row>
    <row r="155" spans="1:10" x14ac:dyDescent="0.3">
      <c r="A155">
        <v>153</v>
      </c>
      <c r="B155">
        <v>2436</v>
      </c>
      <c r="C155" t="b">
        <v>1</v>
      </c>
      <c r="D155">
        <v>8048</v>
      </c>
      <c r="E155">
        <v>8117</v>
      </c>
      <c r="F155">
        <v>9.6</v>
      </c>
      <c r="G155">
        <v>6.4</v>
      </c>
      <c r="H155">
        <v>1.5</v>
      </c>
      <c r="I155">
        <v>-0.50000005999999997</v>
      </c>
      <c r="J155">
        <v>0.4</v>
      </c>
    </row>
    <row r="156" spans="1:10" x14ac:dyDescent="0.3">
      <c r="A156">
        <v>154</v>
      </c>
      <c r="B156">
        <v>2452</v>
      </c>
      <c r="C156" t="b">
        <v>1</v>
      </c>
      <c r="D156">
        <v>8054</v>
      </c>
      <c r="E156">
        <v>8117</v>
      </c>
      <c r="F156">
        <v>9.1999999999999993</v>
      </c>
      <c r="G156">
        <v>6</v>
      </c>
      <c r="H156">
        <v>1.5333333</v>
      </c>
      <c r="I156">
        <v>-0.53333330000000001</v>
      </c>
      <c r="J156">
        <v>0.39473686000000002</v>
      </c>
    </row>
    <row r="157" spans="1:10" x14ac:dyDescent="0.3">
      <c r="A157">
        <v>155</v>
      </c>
      <c r="B157">
        <v>2468</v>
      </c>
      <c r="C157" t="b">
        <v>1</v>
      </c>
      <c r="D157">
        <v>8054</v>
      </c>
      <c r="E157">
        <v>8117</v>
      </c>
      <c r="F157">
        <v>8.8000000000000007</v>
      </c>
      <c r="G157">
        <v>5.6</v>
      </c>
      <c r="H157">
        <v>1.5714287</v>
      </c>
      <c r="I157">
        <v>-0.57142866000000003</v>
      </c>
      <c r="J157">
        <v>0.38888889999999998</v>
      </c>
    </row>
    <row r="158" spans="1:10" x14ac:dyDescent="0.3">
      <c r="A158">
        <v>156</v>
      </c>
      <c r="B158">
        <v>2483</v>
      </c>
      <c r="C158" t="b">
        <v>1</v>
      </c>
      <c r="D158">
        <v>8060</v>
      </c>
      <c r="E158">
        <v>8117</v>
      </c>
      <c r="F158">
        <v>8.8000000000000007</v>
      </c>
      <c r="G158">
        <v>5.2</v>
      </c>
      <c r="H158">
        <v>1.6923078</v>
      </c>
      <c r="I158">
        <v>-0.69230780000000003</v>
      </c>
      <c r="J158">
        <v>0.37142855000000002</v>
      </c>
    </row>
    <row r="159" spans="1:10" x14ac:dyDescent="0.3">
      <c r="A159">
        <v>157</v>
      </c>
      <c r="B159">
        <v>2499</v>
      </c>
      <c r="C159" t="b">
        <v>1</v>
      </c>
      <c r="D159">
        <v>8054</v>
      </c>
      <c r="E159">
        <v>8123</v>
      </c>
      <c r="F159">
        <v>8.8000000000000007</v>
      </c>
      <c r="G159">
        <v>4.8</v>
      </c>
      <c r="H159">
        <v>1.8333333000000001</v>
      </c>
      <c r="I159">
        <v>-0.83333330000000005</v>
      </c>
      <c r="J159">
        <v>0.35294120000000001</v>
      </c>
    </row>
    <row r="160" spans="1:10" x14ac:dyDescent="0.3">
      <c r="A160">
        <v>158</v>
      </c>
      <c r="B160">
        <v>2515</v>
      </c>
      <c r="C160" t="b">
        <v>1</v>
      </c>
      <c r="D160">
        <v>8054</v>
      </c>
      <c r="E160">
        <v>8123</v>
      </c>
      <c r="F160">
        <v>9.1999999999999993</v>
      </c>
      <c r="G160">
        <v>4.4000000000000004</v>
      </c>
      <c r="H160">
        <v>2.0909089999999999</v>
      </c>
      <c r="I160">
        <v>-1.0909089999999999</v>
      </c>
      <c r="J160">
        <v>0.32352942000000001</v>
      </c>
    </row>
    <row r="161" spans="1:10" x14ac:dyDescent="0.3">
      <c r="A161">
        <v>159</v>
      </c>
      <c r="B161">
        <v>2531</v>
      </c>
      <c r="C161" t="b">
        <v>1</v>
      </c>
      <c r="D161">
        <v>8054</v>
      </c>
      <c r="E161">
        <v>8123</v>
      </c>
      <c r="F161">
        <v>9.6</v>
      </c>
      <c r="G161">
        <v>4.4000000000000004</v>
      </c>
      <c r="H161">
        <v>2.1818181999999999</v>
      </c>
      <c r="I161">
        <v>-1.1818181999999999</v>
      </c>
      <c r="J161">
        <v>0.31428572999999999</v>
      </c>
    </row>
    <row r="162" spans="1:10" x14ac:dyDescent="0.3">
      <c r="A162">
        <v>160</v>
      </c>
      <c r="B162">
        <v>2547</v>
      </c>
      <c r="C162" t="b">
        <v>1</v>
      </c>
      <c r="D162">
        <v>8048</v>
      </c>
      <c r="E162">
        <v>8129</v>
      </c>
      <c r="F162">
        <v>10</v>
      </c>
      <c r="G162">
        <v>4.4000000000000004</v>
      </c>
      <c r="H162">
        <v>2.2727273000000001</v>
      </c>
      <c r="I162">
        <v>-1.2727272999999999</v>
      </c>
      <c r="J162">
        <v>0.30555557999999999</v>
      </c>
    </row>
    <row r="163" spans="1:10" x14ac:dyDescent="0.3">
      <c r="A163">
        <v>161</v>
      </c>
      <c r="B163">
        <v>2563</v>
      </c>
      <c r="C163" t="b">
        <v>1</v>
      </c>
      <c r="D163">
        <v>8048</v>
      </c>
      <c r="E163">
        <v>8123</v>
      </c>
      <c r="F163">
        <v>10.4</v>
      </c>
      <c r="G163">
        <v>4.4000000000000004</v>
      </c>
      <c r="H163">
        <v>2.3636363</v>
      </c>
      <c r="I163">
        <v>-1.3636363</v>
      </c>
      <c r="J163">
        <v>0.29729733000000003</v>
      </c>
    </row>
    <row r="164" spans="1:10" x14ac:dyDescent="0.3">
      <c r="A164">
        <v>162</v>
      </c>
      <c r="B164">
        <v>2579</v>
      </c>
      <c r="C164" t="b">
        <v>1</v>
      </c>
      <c r="D164">
        <v>8042</v>
      </c>
      <c r="E164">
        <v>8123</v>
      </c>
      <c r="F164">
        <v>10.4</v>
      </c>
      <c r="G164">
        <v>4.4000000000000004</v>
      </c>
      <c r="H164">
        <v>2.3636363</v>
      </c>
      <c r="I164">
        <v>-1.3636363</v>
      </c>
      <c r="J164">
        <v>0.29729733000000003</v>
      </c>
    </row>
    <row r="165" spans="1:10" x14ac:dyDescent="0.3">
      <c r="A165">
        <v>163</v>
      </c>
      <c r="B165">
        <v>2595</v>
      </c>
      <c r="C165" t="b">
        <v>1</v>
      </c>
      <c r="D165">
        <v>8042</v>
      </c>
      <c r="E165">
        <v>8123</v>
      </c>
      <c r="F165">
        <v>10.4</v>
      </c>
      <c r="G165">
        <v>4.4000000000000004</v>
      </c>
      <c r="H165">
        <v>2.3636363</v>
      </c>
      <c r="I165">
        <v>-1.3636363</v>
      </c>
      <c r="J165">
        <v>0.29729733000000003</v>
      </c>
    </row>
    <row r="166" spans="1:10" x14ac:dyDescent="0.3">
      <c r="A166">
        <v>164</v>
      </c>
      <c r="B166">
        <v>2611</v>
      </c>
      <c r="C166" t="b">
        <v>1</v>
      </c>
      <c r="D166">
        <v>8048</v>
      </c>
      <c r="E166">
        <v>8123</v>
      </c>
      <c r="F166">
        <v>10.4</v>
      </c>
      <c r="G166">
        <v>4.8</v>
      </c>
      <c r="H166">
        <v>2.1666664999999998</v>
      </c>
      <c r="I166">
        <v>-1.1666665000000001</v>
      </c>
      <c r="J166">
        <v>0.3157895</v>
      </c>
    </row>
    <row r="167" spans="1:10" x14ac:dyDescent="0.3">
      <c r="A167">
        <v>165</v>
      </c>
      <c r="B167">
        <v>2627</v>
      </c>
      <c r="C167" t="b">
        <v>1</v>
      </c>
      <c r="D167">
        <v>8042</v>
      </c>
      <c r="E167">
        <v>8123</v>
      </c>
      <c r="F167">
        <v>10</v>
      </c>
      <c r="G167">
        <v>4.8</v>
      </c>
      <c r="H167">
        <v>2.0833333000000001</v>
      </c>
      <c r="I167">
        <v>-1.0833333000000001</v>
      </c>
      <c r="J167">
        <v>0.32432433999999999</v>
      </c>
    </row>
    <row r="168" spans="1:10" x14ac:dyDescent="0.3">
      <c r="A168">
        <v>166</v>
      </c>
      <c r="B168">
        <v>2643</v>
      </c>
      <c r="C168" t="b">
        <v>1</v>
      </c>
      <c r="D168">
        <v>8048</v>
      </c>
      <c r="E168">
        <v>8129</v>
      </c>
      <c r="F168">
        <v>9.6</v>
      </c>
      <c r="G168">
        <v>5.2</v>
      </c>
      <c r="H168">
        <v>1.8461540000000001</v>
      </c>
      <c r="I168">
        <v>-0.84615399999999996</v>
      </c>
      <c r="J168">
        <v>0.35135132000000002</v>
      </c>
    </row>
    <row r="169" spans="1:10" x14ac:dyDescent="0.3">
      <c r="A169">
        <v>167</v>
      </c>
      <c r="B169">
        <v>2659</v>
      </c>
      <c r="C169" t="b">
        <v>1</v>
      </c>
      <c r="D169">
        <v>8048</v>
      </c>
      <c r="E169">
        <v>8134</v>
      </c>
      <c r="F169">
        <v>9.6</v>
      </c>
      <c r="G169">
        <v>5.6</v>
      </c>
      <c r="H169">
        <v>1.7142858999999999</v>
      </c>
      <c r="I169">
        <v>-0.71428579999999997</v>
      </c>
      <c r="J169">
        <v>0.36842101999999999</v>
      </c>
    </row>
    <row r="170" spans="1:10" x14ac:dyDescent="0.3">
      <c r="A170">
        <v>168</v>
      </c>
      <c r="B170">
        <v>2674</v>
      </c>
      <c r="C170" t="b">
        <v>1</v>
      </c>
      <c r="D170">
        <v>8048</v>
      </c>
      <c r="E170">
        <v>8129</v>
      </c>
      <c r="F170">
        <v>9.6</v>
      </c>
      <c r="G170">
        <v>6.4</v>
      </c>
      <c r="H170">
        <v>1.5</v>
      </c>
      <c r="I170">
        <v>-0.50000005999999997</v>
      </c>
      <c r="J170">
        <v>0.4</v>
      </c>
    </row>
    <row r="171" spans="1:10" x14ac:dyDescent="0.3">
      <c r="A171">
        <v>169</v>
      </c>
      <c r="B171">
        <v>2690</v>
      </c>
      <c r="C171" t="b">
        <v>1</v>
      </c>
      <c r="D171">
        <v>8048</v>
      </c>
      <c r="E171">
        <v>8129</v>
      </c>
      <c r="F171">
        <v>9.6</v>
      </c>
      <c r="G171">
        <v>7.2</v>
      </c>
      <c r="H171">
        <v>1.3333333999999999</v>
      </c>
      <c r="I171">
        <v>-0.33333342999999999</v>
      </c>
      <c r="J171">
        <v>0.42857142999999998</v>
      </c>
    </row>
    <row r="172" spans="1:10" x14ac:dyDescent="0.3">
      <c r="A172">
        <v>170</v>
      </c>
      <c r="B172">
        <v>2707</v>
      </c>
      <c r="C172" t="b">
        <v>1</v>
      </c>
      <c r="D172">
        <v>8048</v>
      </c>
      <c r="E172">
        <v>8123</v>
      </c>
      <c r="F172">
        <v>9.6</v>
      </c>
      <c r="G172">
        <v>8</v>
      </c>
      <c r="H172">
        <v>1.2</v>
      </c>
      <c r="I172">
        <v>-0.20000005000000001</v>
      </c>
      <c r="J172">
        <v>0.45454544000000002</v>
      </c>
    </row>
    <row r="173" spans="1:10" x14ac:dyDescent="0.3">
      <c r="A173">
        <v>171</v>
      </c>
      <c r="B173">
        <v>2722</v>
      </c>
      <c r="C173" t="b">
        <v>1</v>
      </c>
      <c r="D173">
        <v>8048</v>
      </c>
      <c r="E173">
        <v>8129</v>
      </c>
      <c r="F173">
        <v>9.1999999999999993</v>
      </c>
      <c r="G173">
        <v>8.8000000000000007</v>
      </c>
      <c r="H173">
        <v>1.0454545</v>
      </c>
      <c r="I173">
        <v>-4.5454502000000001E-2</v>
      </c>
      <c r="J173">
        <v>0.48888890000000002</v>
      </c>
    </row>
    <row r="174" spans="1:10" x14ac:dyDescent="0.3">
      <c r="A174">
        <v>172</v>
      </c>
      <c r="B174">
        <v>2738</v>
      </c>
      <c r="C174" t="b">
        <v>1</v>
      </c>
      <c r="D174">
        <v>8048</v>
      </c>
      <c r="E174">
        <v>8129</v>
      </c>
      <c r="F174">
        <v>8.8000000000000007</v>
      </c>
      <c r="G174">
        <v>9.6</v>
      </c>
      <c r="H174">
        <v>0.9166666</v>
      </c>
      <c r="I174">
        <v>8.333335E-2</v>
      </c>
      <c r="J174">
        <v>0.52173910000000001</v>
      </c>
    </row>
    <row r="175" spans="1:10" x14ac:dyDescent="0.3">
      <c r="A175">
        <v>173</v>
      </c>
      <c r="B175">
        <v>2754</v>
      </c>
      <c r="C175" t="b">
        <v>1</v>
      </c>
      <c r="D175">
        <v>8042</v>
      </c>
      <c r="E175">
        <v>8123</v>
      </c>
      <c r="F175">
        <v>8.4</v>
      </c>
      <c r="G175">
        <v>10.4</v>
      </c>
      <c r="H175">
        <v>0.80769230000000003</v>
      </c>
      <c r="I175">
        <v>0.1923077</v>
      </c>
      <c r="J175">
        <v>0.55319149999999995</v>
      </c>
    </row>
    <row r="176" spans="1:10" x14ac:dyDescent="0.3">
      <c r="A176">
        <v>174</v>
      </c>
      <c r="B176">
        <v>2770</v>
      </c>
      <c r="C176" t="b">
        <v>1</v>
      </c>
      <c r="D176">
        <v>8048</v>
      </c>
      <c r="E176">
        <v>8129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2786</v>
      </c>
      <c r="C177" t="b">
        <v>1</v>
      </c>
      <c r="D177">
        <v>8048</v>
      </c>
      <c r="E177">
        <v>8129</v>
      </c>
      <c r="F177">
        <v>7.6</v>
      </c>
      <c r="G177">
        <v>11.2</v>
      </c>
      <c r="H177">
        <v>0.67857140000000005</v>
      </c>
      <c r="I177">
        <v>0.32142857000000002</v>
      </c>
      <c r="J177">
        <v>0.59574466999999998</v>
      </c>
    </row>
    <row r="178" spans="1:10" x14ac:dyDescent="0.3">
      <c r="A178">
        <v>176</v>
      </c>
      <c r="B178">
        <v>2802</v>
      </c>
      <c r="C178" t="b">
        <v>1</v>
      </c>
      <c r="D178">
        <v>8048</v>
      </c>
      <c r="E178">
        <v>8129</v>
      </c>
      <c r="F178">
        <v>7.2</v>
      </c>
      <c r="G178">
        <v>11.6</v>
      </c>
      <c r="H178">
        <v>0.62068962999999999</v>
      </c>
      <c r="I178">
        <v>0.37931037000000001</v>
      </c>
      <c r="J178">
        <v>0.61702129999999999</v>
      </c>
    </row>
    <row r="179" spans="1:10" x14ac:dyDescent="0.3">
      <c r="A179">
        <v>177</v>
      </c>
      <c r="B179">
        <v>2818</v>
      </c>
      <c r="C179" t="b">
        <v>1</v>
      </c>
      <c r="D179">
        <v>8048</v>
      </c>
      <c r="E179">
        <v>8117</v>
      </c>
      <c r="F179">
        <v>7.2</v>
      </c>
      <c r="G179">
        <v>12</v>
      </c>
      <c r="H179">
        <v>0.59999996</v>
      </c>
      <c r="I179">
        <v>0.4</v>
      </c>
      <c r="J179">
        <v>0.625</v>
      </c>
    </row>
    <row r="180" spans="1:10" x14ac:dyDescent="0.3">
      <c r="A180">
        <v>178</v>
      </c>
      <c r="B180">
        <v>2834</v>
      </c>
      <c r="C180" t="b">
        <v>1</v>
      </c>
      <c r="D180">
        <v>8042</v>
      </c>
      <c r="E180">
        <v>8117</v>
      </c>
      <c r="F180">
        <v>7.2</v>
      </c>
      <c r="G180">
        <v>12.4</v>
      </c>
      <c r="H180">
        <v>0.58064514</v>
      </c>
      <c r="I180">
        <v>0.41935483000000001</v>
      </c>
      <c r="J180">
        <v>0.63265309999999997</v>
      </c>
    </row>
    <row r="181" spans="1:10" x14ac:dyDescent="0.3">
      <c r="A181">
        <v>179</v>
      </c>
      <c r="B181">
        <v>2850</v>
      </c>
      <c r="C181" t="b">
        <v>1</v>
      </c>
      <c r="D181">
        <v>8042</v>
      </c>
      <c r="E181">
        <v>8117</v>
      </c>
      <c r="F181">
        <v>7.2</v>
      </c>
      <c r="G181">
        <v>12</v>
      </c>
      <c r="H181">
        <v>0.59999996</v>
      </c>
      <c r="I181">
        <v>0.4</v>
      </c>
      <c r="J181">
        <v>0.625</v>
      </c>
    </row>
    <row r="182" spans="1:10" x14ac:dyDescent="0.3">
      <c r="A182">
        <v>180</v>
      </c>
      <c r="B182">
        <v>2866</v>
      </c>
      <c r="C182" t="b">
        <v>1</v>
      </c>
      <c r="D182">
        <v>8054</v>
      </c>
      <c r="E182">
        <v>8117</v>
      </c>
      <c r="F182">
        <v>7.6</v>
      </c>
      <c r="G182">
        <v>11.6</v>
      </c>
      <c r="H182">
        <v>0.65517239999999999</v>
      </c>
      <c r="I182">
        <v>0.34482762</v>
      </c>
      <c r="J182">
        <v>0.60416669999999995</v>
      </c>
    </row>
    <row r="183" spans="1:10" x14ac:dyDescent="0.3">
      <c r="A183">
        <v>181</v>
      </c>
      <c r="B183">
        <v>2882</v>
      </c>
      <c r="C183" t="b">
        <v>1</v>
      </c>
      <c r="D183">
        <v>8048</v>
      </c>
      <c r="E183">
        <v>8117</v>
      </c>
      <c r="F183">
        <v>8</v>
      </c>
      <c r="G183">
        <v>11.2</v>
      </c>
      <c r="H183">
        <v>0.71428572999999995</v>
      </c>
      <c r="I183">
        <v>0.28571426999999999</v>
      </c>
      <c r="J183">
        <v>0.58333330000000005</v>
      </c>
    </row>
    <row r="184" spans="1:10" x14ac:dyDescent="0.3">
      <c r="A184">
        <v>182</v>
      </c>
      <c r="B184">
        <v>2898</v>
      </c>
      <c r="C184" t="b">
        <v>1</v>
      </c>
      <c r="D184">
        <v>8048</v>
      </c>
      <c r="E184">
        <v>8129</v>
      </c>
      <c r="F184">
        <v>8</v>
      </c>
      <c r="G184">
        <v>10.8</v>
      </c>
      <c r="H184">
        <v>0.74074070000000003</v>
      </c>
      <c r="I184">
        <v>0.25925927999999998</v>
      </c>
      <c r="J184">
        <v>0.57446814000000002</v>
      </c>
    </row>
    <row r="185" spans="1:10" x14ac:dyDescent="0.3">
      <c r="A185">
        <v>183</v>
      </c>
      <c r="B185">
        <v>2914</v>
      </c>
      <c r="C185" t="b">
        <v>1</v>
      </c>
      <c r="D185">
        <v>8048</v>
      </c>
      <c r="E185">
        <v>8123</v>
      </c>
      <c r="F185">
        <v>8</v>
      </c>
      <c r="G185">
        <v>10</v>
      </c>
      <c r="H185">
        <v>0.8</v>
      </c>
      <c r="I185">
        <v>0.2</v>
      </c>
      <c r="J185">
        <v>0.55555560000000004</v>
      </c>
    </row>
    <row r="186" spans="1:10" x14ac:dyDescent="0.3">
      <c r="A186">
        <v>184</v>
      </c>
      <c r="B186">
        <v>2930</v>
      </c>
      <c r="C186" t="b">
        <v>1</v>
      </c>
      <c r="D186">
        <v>8042</v>
      </c>
      <c r="E186">
        <v>8123</v>
      </c>
      <c r="F186">
        <v>8</v>
      </c>
      <c r="G186">
        <v>9.6</v>
      </c>
      <c r="H186">
        <v>0.83333330000000005</v>
      </c>
      <c r="I186">
        <v>0.1666667</v>
      </c>
      <c r="J186">
        <v>0.54545456000000003</v>
      </c>
    </row>
    <row r="187" spans="1:10" x14ac:dyDescent="0.3">
      <c r="A187">
        <v>185</v>
      </c>
      <c r="B187">
        <v>2945</v>
      </c>
      <c r="C187" t="b">
        <v>1</v>
      </c>
      <c r="D187">
        <v>8048</v>
      </c>
      <c r="E187">
        <v>8123</v>
      </c>
      <c r="F187">
        <v>8</v>
      </c>
      <c r="G187">
        <v>9.1999999999999993</v>
      </c>
      <c r="H187">
        <v>0.86956524999999996</v>
      </c>
      <c r="I187">
        <v>0.13043477000000001</v>
      </c>
      <c r="J187">
        <v>0.53488369999999996</v>
      </c>
    </row>
    <row r="188" spans="1:10" x14ac:dyDescent="0.3">
      <c r="A188">
        <v>186</v>
      </c>
      <c r="B188">
        <v>2961</v>
      </c>
      <c r="C188" t="b">
        <v>1</v>
      </c>
      <c r="D188">
        <v>8048</v>
      </c>
      <c r="E188">
        <v>8123</v>
      </c>
      <c r="F188">
        <v>8</v>
      </c>
      <c r="G188">
        <v>8.8000000000000007</v>
      </c>
      <c r="H188">
        <v>0.90909090000000004</v>
      </c>
      <c r="I188">
        <v>9.0909110000000001E-2</v>
      </c>
      <c r="J188">
        <v>0.52380954999999996</v>
      </c>
    </row>
    <row r="189" spans="1:10" x14ac:dyDescent="0.3">
      <c r="A189">
        <v>187</v>
      </c>
      <c r="B189">
        <v>2977</v>
      </c>
      <c r="C189" t="b">
        <v>1</v>
      </c>
      <c r="D189">
        <v>8048</v>
      </c>
      <c r="E189">
        <v>8123</v>
      </c>
      <c r="F189">
        <v>8</v>
      </c>
      <c r="G189">
        <v>8.4</v>
      </c>
      <c r="H189">
        <v>0.95238100000000003</v>
      </c>
      <c r="I189">
        <v>4.7619003999999999E-2</v>
      </c>
      <c r="J189">
        <v>0.51219510000000001</v>
      </c>
    </row>
    <row r="190" spans="1:10" x14ac:dyDescent="0.3">
      <c r="A190">
        <v>188</v>
      </c>
      <c r="B190">
        <v>2993</v>
      </c>
      <c r="C190" t="b">
        <v>1</v>
      </c>
      <c r="D190">
        <v>8048</v>
      </c>
      <c r="E190">
        <v>8123</v>
      </c>
      <c r="F190">
        <v>8</v>
      </c>
      <c r="G190">
        <v>8</v>
      </c>
      <c r="H190">
        <v>1</v>
      </c>
      <c r="I190">
        <v>0</v>
      </c>
      <c r="J190">
        <v>0.5</v>
      </c>
    </row>
    <row r="191" spans="1:10" x14ac:dyDescent="0.3">
      <c r="A191">
        <v>189</v>
      </c>
      <c r="B191">
        <v>3009</v>
      </c>
      <c r="C191" t="b">
        <v>1</v>
      </c>
      <c r="D191">
        <v>8054</v>
      </c>
      <c r="E191">
        <v>8129</v>
      </c>
      <c r="F191">
        <v>8</v>
      </c>
      <c r="G191">
        <v>7.6</v>
      </c>
      <c r="H191">
        <v>1.0526316</v>
      </c>
      <c r="I191">
        <v>-5.2631589999999999E-2</v>
      </c>
      <c r="J191">
        <v>0.48717946000000001</v>
      </c>
    </row>
    <row r="192" spans="1:10" x14ac:dyDescent="0.3">
      <c r="A192">
        <v>190</v>
      </c>
      <c r="B192">
        <v>3024</v>
      </c>
      <c r="C192" t="b">
        <v>1</v>
      </c>
      <c r="D192">
        <v>8042</v>
      </c>
      <c r="E192">
        <v>8123</v>
      </c>
      <c r="F192">
        <v>8</v>
      </c>
      <c r="G192">
        <v>7.2</v>
      </c>
      <c r="H192">
        <v>1.1111112000000001</v>
      </c>
      <c r="I192">
        <v>-0.11111114</v>
      </c>
      <c r="J192">
        <v>0.4736842</v>
      </c>
    </row>
    <row r="193" spans="1:10" x14ac:dyDescent="0.3">
      <c r="A193">
        <v>191</v>
      </c>
      <c r="B193">
        <v>3041</v>
      </c>
      <c r="C193" t="b">
        <v>1</v>
      </c>
      <c r="D193">
        <v>8048</v>
      </c>
      <c r="E193">
        <v>8123</v>
      </c>
      <c r="F193">
        <v>8</v>
      </c>
      <c r="G193">
        <v>6.8</v>
      </c>
      <c r="H193">
        <v>1.1764705</v>
      </c>
      <c r="I193">
        <v>-0.17647055</v>
      </c>
      <c r="J193">
        <v>0.45945944999999999</v>
      </c>
    </row>
    <row r="194" spans="1:10" x14ac:dyDescent="0.3">
      <c r="A194">
        <v>192</v>
      </c>
      <c r="B194">
        <v>3056</v>
      </c>
      <c r="C194" t="b">
        <v>1</v>
      </c>
      <c r="D194">
        <v>8048</v>
      </c>
      <c r="E194">
        <v>8123</v>
      </c>
      <c r="F194">
        <v>8</v>
      </c>
      <c r="G194">
        <v>6.4</v>
      </c>
      <c r="H194">
        <v>1.25</v>
      </c>
      <c r="I194">
        <v>-0.24999999000000001</v>
      </c>
      <c r="J194">
        <v>0.44444447999999998</v>
      </c>
    </row>
    <row r="195" spans="1:10" x14ac:dyDescent="0.3">
      <c r="A195">
        <v>193</v>
      </c>
      <c r="B195">
        <v>3072</v>
      </c>
      <c r="C195" t="b">
        <v>1</v>
      </c>
      <c r="D195">
        <v>8048</v>
      </c>
      <c r="E195">
        <v>8123</v>
      </c>
      <c r="F195">
        <v>8</v>
      </c>
      <c r="G195">
        <v>6</v>
      </c>
      <c r="H195">
        <v>1.3333333999999999</v>
      </c>
      <c r="I195">
        <v>-0.33333333999999998</v>
      </c>
      <c r="J195">
        <v>0.42857142999999998</v>
      </c>
    </row>
    <row r="196" spans="1:10" x14ac:dyDescent="0.3">
      <c r="A196">
        <v>194</v>
      </c>
      <c r="B196">
        <v>3088</v>
      </c>
      <c r="C196" t="b">
        <v>1</v>
      </c>
      <c r="D196">
        <v>8048</v>
      </c>
      <c r="E196">
        <v>8123</v>
      </c>
      <c r="F196">
        <v>8</v>
      </c>
      <c r="G196">
        <v>6.4</v>
      </c>
      <c r="H196">
        <v>1.25</v>
      </c>
      <c r="I196">
        <v>-0.24999999000000001</v>
      </c>
      <c r="J196">
        <v>0.44444447999999998</v>
      </c>
    </row>
    <row r="197" spans="1:10" x14ac:dyDescent="0.3">
      <c r="A197">
        <v>195</v>
      </c>
      <c r="B197">
        <v>3104</v>
      </c>
      <c r="C197" t="b">
        <v>1</v>
      </c>
      <c r="D197">
        <v>8048</v>
      </c>
      <c r="E197">
        <v>8123</v>
      </c>
      <c r="F197">
        <v>8</v>
      </c>
      <c r="G197">
        <v>6.8</v>
      </c>
      <c r="H197">
        <v>1.1764705</v>
      </c>
      <c r="I197">
        <v>-0.17647055</v>
      </c>
      <c r="J197">
        <v>0.45945944999999999</v>
      </c>
    </row>
    <row r="198" spans="1:10" x14ac:dyDescent="0.3">
      <c r="A198">
        <v>196</v>
      </c>
      <c r="B198">
        <v>3119</v>
      </c>
      <c r="C198" t="b">
        <v>1</v>
      </c>
      <c r="D198">
        <v>8048</v>
      </c>
      <c r="E198">
        <v>8123</v>
      </c>
      <c r="F198">
        <v>8</v>
      </c>
      <c r="G198">
        <v>7.2</v>
      </c>
      <c r="H198">
        <v>1.1111112000000001</v>
      </c>
      <c r="I198">
        <v>-0.11111114</v>
      </c>
      <c r="J198">
        <v>0.4736842</v>
      </c>
    </row>
    <row r="199" spans="1:10" x14ac:dyDescent="0.3">
      <c r="A199">
        <v>197</v>
      </c>
      <c r="B199">
        <v>3136</v>
      </c>
      <c r="C199" t="b">
        <v>1</v>
      </c>
      <c r="D199">
        <v>8054</v>
      </c>
      <c r="E199">
        <v>8123</v>
      </c>
      <c r="F199">
        <v>8</v>
      </c>
      <c r="G199">
        <v>7.6</v>
      </c>
      <c r="H199">
        <v>1.0526316</v>
      </c>
      <c r="I199">
        <v>-5.2631589999999999E-2</v>
      </c>
      <c r="J199">
        <v>0.48717946000000001</v>
      </c>
    </row>
    <row r="200" spans="1:10" x14ac:dyDescent="0.3">
      <c r="A200">
        <v>198</v>
      </c>
      <c r="B200">
        <v>3152</v>
      </c>
      <c r="C200" t="b">
        <v>1</v>
      </c>
      <c r="D200">
        <v>8048</v>
      </c>
      <c r="E200">
        <v>8123</v>
      </c>
      <c r="F200">
        <v>8</v>
      </c>
      <c r="G200">
        <v>8</v>
      </c>
      <c r="H200">
        <v>1</v>
      </c>
      <c r="I200">
        <v>0</v>
      </c>
      <c r="J200">
        <v>0.5</v>
      </c>
    </row>
    <row r="201" spans="1:10" x14ac:dyDescent="0.3">
      <c r="A201">
        <v>199</v>
      </c>
      <c r="B201">
        <v>3167</v>
      </c>
      <c r="C201" t="b">
        <v>1</v>
      </c>
      <c r="D201">
        <v>8048</v>
      </c>
      <c r="E201">
        <v>8123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3183</v>
      </c>
      <c r="C202" t="b">
        <v>1</v>
      </c>
      <c r="D202">
        <v>8048</v>
      </c>
      <c r="E202">
        <v>8129</v>
      </c>
      <c r="F202">
        <v>8</v>
      </c>
      <c r="G202">
        <v>8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3199</v>
      </c>
      <c r="C203" t="b">
        <v>1</v>
      </c>
      <c r="D203">
        <v>8048</v>
      </c>
      <c r="E203">
        <v>8123</v>
      </c>
      <c r="F203">
        <v>8</v>
      </c>
      <c r="G203">
        <v>8</v>
      </c>
      <c r="H203">
        <v>1</v>
      </c>
      <c r="I203">
        <v>0</v>
      </c>
      <c r="J203">
        <v>0.5</v>
      </c>
    </row>
    <row r="204" spans="1:10" x14ac:dyDescent="0.3">
      <c r="A204">
        <v>202</v>
      </c>
      <c r="B204">
        <v>3215</v>
      </c>
      <c r="C204" t="b">
        <v>1</v>
      </c>
      <c r="D204">
        <v>8042</v>
      </c>
      <c r="E204">
        <v>8123</v>
      </c>
      <c r="F204">
        <v>8</v>
      </c>
      <c r="G204">
        <v>8</v>
      </c>
      <c r="H204">
        <v>1</v>
      </c>
      <c r="I204">
        <v>0</v>
      </c>
      <c r="J204">
        <v>0.5</v>
      </c>
    </row>
    <row r="205" spans="1:10" x14ac:dyDescent="0.3">
      <c r="A205">
        <v>203</v>
      </c>
      <c r="B205">
        <v>3231</v>
      </c>
      <c r="C205" t="b">
        <v>1</v>
      </c>
      <c r="D205">
        <v>8048</v>
      </c>
      <c r="E205">
        <v>8129</v>
      </c>
      <c r="F205">
        <v>8</v>
      </c>
      <c r="G205">
        <v>8</v>
      </c>
      <c r="H205">
        <v>1</v>
      </c>
      <c r="I205">
        <v>0</v>
      </c>
      <c r="J205">
        <v>0.5</v>
      </c>
    </row>
    <row r="206" spans="1:10" x14ac:dyDescent="0.3">
      <c r="A206">
        <v>204</v>
      </c>
      <c r="B206">
        <v>3247</v>
      </c>
      <c r="C206" t="b">
        <v>1</v>
      </c>
      <c r="D206">
        <v>8048</v>
      </c>
      <c r="E206">
        <v>8123</v>
      </c>
      <c r="F206">
        <v>8</v>
      </c>
      <c r="G206">
        <v>8</v>
      </c>
      <c r="H206">
        <v>1</v>
      </c>
      <c r="I206">
        <v>0</v>
      </c>
      <c r="J206">
        <v>0.5</v>
      </c>
    </row>
    <row r="207" spans="1:10" x14ac:dyDescent="0.3">
      <c r="A207">
        <v>205</v>
      </c>
      <c r="B207">
        <v>3263</v>
      </c>
      <c r="C207" t="b">
        <v>1</v>
      </c>
      <c r="D207">
        <v>8048</v>
      </c>
      <c r="E207">
        <v>8129</v>
      </c>
      <c r="F207">
        <v>8</v>
      </c>
      <c r="G207">
        <v>8</v>
      </c>
      <c r="H207">
        <v>1</v>
      </c>
      <c r="I207">
        <v>0</v>
      </c>
      <c r="J207">
        <v>0.5</v>
      </c>
    </row>
    <row r="208" spans="1:10" x14ac:dyDescent="0.3">
      <c r="A208">
        <v>206</v>
      </c>
      <c r="B208">
        <v>3279</v>
      </c>
      <c r="C208" t="b">
        <v>1</v>
      </c>
      <c r="D208">
        <v>8048</v>
      </c>
      <c r="E208">
        <v>8123</v>
      </c>
      <c r="F208">
        <v>8</v>
      </c>
      <c r="G208">
        <v>8</v>
      </c>
      <c r="H208">
        <v>1</v>
      </c>
      <c r="I208">
        <v>0</v>
      </c>
      <c r="J208">
        <v>0.5</v>
      </c>
    </row>
    <row r="209" spans="1:10" x14ac:dyDescent="0.3">
      <c r="A209">
        <v>207</v>
      </c>
      <c r="B209">
        <v>3295</v>
      </c>
      <c r="C209" t="b">
        <v>1</v>
      </c>
      <c r="D209">
        <v>8048</v>
      </c>
      <c r="E209">
        <v>8123</v>
      </c>
      <c r="F209">
        <v>8</v>
      </c>
      <c r="G209">
        <v>8</v>
      </c>
      <c r="H209">
        <v>1</v>
      </c>
      <c r="I209">
        <v>0</v>
      </c>
      <c r="J209">
        <v>0.5</v>
      </c>
    </row>
    <row r="210" spans="1:10" x14ac:dyDescent="0.3">
      <c r="A210">
        <v>208</v>
      </c>
      <c r="B210">
        <v>3311</v>
      </c>
      <c r="C210" t="b">
        <v>1</v>
      </c>
      <c r="D210">
        <v>8048</v>
      </c>
      <c r="E210">
        <v>8123</v>
      </c>
      <c r="F210">
        <v>8</v>
      </c>
      <c r="G210">
        <v>8</v>
      </c>
      <c r="H210">
        <v>1</v>
      </c>
      <c r="I210">
        <v>0</v>
      </c>
      <c r="J210">
        <v>0.5</v>
      </c>
    </row>
    <row r="211" spans="1:10" x14ac:dyDescent="0.3">
      <c r="A211">
        <v>209</v>
      </c>
      <c r="B211">
        <v>3327</v>
      </c>
      <c r="C211" t="b">
        <v>1</v>
      </c>
      <c r="D211">
        <v>8048</v>
      </c>
      <c r="E211">
        <v>8123</v>
      </c>
      <c r="F211">
        <v>8</v>
      </c>
      <c r="G211">
        <v>8</v>
      </c>
      <c r="H211">
        <v>1</v>
      </c>
      <c r="I211">
        <v>0</v>
      </c>
      <c r="J211">
        <v>0.5</v>
      </c>
    </row>
    <row r="212" spans="1:10" x14ac:dyDescent="0.3">
      <c r="A212">
        <v>210</v>
      </c>
      <c r="B212">
        <v>3343</v>
      </c>
      <c r="C212" t="b">
        <v>1</v>
      </c>
      <c r="D212">
        <v>8048</v>
      </c>
      <c r="E212">
        <v>8123</v>
      </c>
      <c r="F212">
        <v>8</v>
      </c>
      <c r="G212">
        <v>8</v>
      </c>
      <c r="H212">
        <v>1</v>
      </c>
      <c r="I212">
        <v>0</v>
      </c>
      <c r="J212">
        <v>0.5</v>
      </c>
    </row>
    <row r="213" spans="1:10" x14ac:dyDescent="0.3">
      <c r="A213">
        <v>211</v>
      </c>
      <c r="B213">
        <v>3358</v>
      </c>
      <c r="C213" t="b">
        <v>1</v>
      </c>
      <c r="D213">
        <v>8048</v>
      </c>
      <c r="E213">
        <v>8123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3374</v>
      </c>
      <c r="C214" t="b">
        <v>1</v>
      </c>
      <c r="D214">
        <v>8048</v>
      </c>
      <c r="E214">
        <v>8129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3390</v>
      </c>
      <c r="C215" t="b">
        <v>1</v>
      </c>
      <c r="D215">
        <v>8042</v>
      </c>
      <c r="E215">
        <v>8129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3406</v>
      </c>
      <c r="C216" t="b">
        <v>1</v>
      </c>
      <c r="D216">
        <v>8048</v>
      </c>
      <c r="E216">
        <v>8123</v>
      </c>
      <c r="F216">
        <v>8</v>
      </c>
      <c r="G216">
        <v>8</v>
      </c>
      <c r="H216">
        <v>1</v>
      </c>
      <c r="I216">
        <v>0</v>
      </c>
      <c r="J216">
        <v>0.5</v>
      </c>
    </row>
    <row r="217" spans="1:10" x14ac:dyDescent="0.3">
      <c r="A217">
        <v>215</v>
      </c>
      <c r="B217">
        <v>3421</v>
      </c>
      <c r="C217" t="b">
        <v>1</v>
      </c>
      <c r="D217">
        <v>8048</v>
      </c>
      <c r="E217">
        <v>8123</v>
      </c>
      <c r="F217">
        <v>8</v>
      </c>
      <c r="G217">
        <v>8</v>
      </c>
      <c r="H217">
        <v>1</v>
      </c>
      <c r="I217">
        <v>0</v>
      </c>
      <c r="J217">
        <v>0.5</v>
      </c>
    </row>
    <row r="218" spans="1:10" x14ac:dyDescent="0.3">
      <c r="A218">
        <v>216</v>
      </c>
      <c r="B218">
        <v>3437</v>
      </c>
      <c r="C218" t="b">
        <v>1</v>
      </c>
      <c r="D218">
        <v>8048</v>
      </c>
      <c r="E218">
        <v>8123</v>
      </c>
      <c r="F218">
        <v>8</v>
      </c>
      <c r="G218">
        <v>8</v>
      </c>
      <c r="H218">
        <v>1</v>
      </c>
      <c r="I218">
        <v>0</v>
      </c>
      <c r="J218">
        <v>0.5</v>
      </c>
    </row>
    <row r="219" spans="1:10" x14ac:dyDescent="0.3">
      <c r="A219">
        <v>217</v>
      </c>
      <c r="B219">
        <v>3453</v>
      </c>
      <c r="C219" t="b">
        <v>1</v>
      </c>
      <c r="D219">
        <v>8048</v>
      </c>
      <c r="E219">
        <v>8123</v>
      </c>
      <c r="F219">
        <v>8</v>
      </c>
      <c r="G219">
        <v>8</v>
      </c>
      <c r="H219">
        <v>1</v>
      </c>
      <c r="I219">
        <v>0</v>
      </c>
      <c r="J219">
        <v>0.5</v>
      </c>
    </row>
    <row r="220" spans="1:10" x14ac:dyDescent="0.3">
      <c r="A220">
        <v>218</v>
      </c>
      <c r="B220">
        <v>3469</v>
      </c>
      <c r="C220" t="b">
        <v>1</v>
      </c>
      <c r="D220">
        <v>8048</v>
      </c>
      <c r="E220">
        <v>8123</v>
      </c>
      <c r="F220">
        <v>8</v>
      </c>
      <c r="G220">
        <v>8</v>
      </c>
      <c r="H220">
        <v>1</v>
      </c>
      <c r="I220">
        <v>0</v>
      </c>
      <c r="J220">
        <v>0.5</v>
      </c>
    </row>
    <row r="221" spans="1:10" x14ac:dyDescent="0.3">
      <c r="A221">
        <v>219</v>
      </c>
      <c r="B221">
        <v>3485</v>
      </c>
      <c r="C221" t="b">
        <v>1</v>
      </c>
      <c r="D221">
        <v>8054</v>
      </c>
      <c r="E221">
        <v>8117</v>
      </c>
      <c r="F221">
        <v>8</v>
      </c>
      <c r="G221">
        <v>8</v>
      </c>
      <c r="H221">
        <v>1</v>
      </c>
      <c r="I221">
        <v>0</v>
      </c>
      <c r="J221">
        <v>0.5</v>
      </c>
    </row>
    <row r="222" spans="1:10" x14ac:dyDescent="0.3">
      <c r="A222">
        <v>220</v>
      </c>
      <c r="B222">
        <v>3501</v>
      </c>
      <c r="C222" t="b">
        <v>1</v>
      </c>
      <c r="D222">
        <v>8048</v>
      </c>
      <c r="E222">
        <v>8117</v>
      </c>
      <c r="F222">
        <v>8</v>
      </c>
      <c r="G222">
        <v>8</v>
      </c>
      <c r="H222">
        <v>1</v>
      </c>
      <c r="I222">
        <v>0</v>
      </c>
      <c r="J222">
        <v>0.5</v>
      </c>
    </row>
    <row r="223" spans="1:10" x14ac:dyDescent="0.3">
      <c r="A223">
        <v>221</v>
      </c>
      <c r="B223">
        <v>3517</v>
      </c>
      <c r="C223" t="b">
        <v>1</v>
      </c>
      <c r="D223">
        <v>8048</v>
      </c>
      <c r="E223">
        <v>8117</v>
      </c>
      <c r="F223">
        <v>8</v>
      </c>
      <c r="G223">
        <v>7.6</v>
      </c>
      <c r="H223">
        <v>1.0526316</v>
      </c>
      <c r="I223">
        <v>-5.2631589999999999E-2</v>
      </c>
      <c r="J223">
        <v>0.48717946000000001</v>
      </c>
    </row>
    <row r="224" spans="1:10" x14ac:dyDescent="0.3">
      <c r="A224">
        <v>222</v>
      </c>
      <c r="B224">
        <v>3533</v>
      </c>
      <c r="C224" t="b">
        <v>1</v>
      </c>
      <c r="D224">
        <v>8048</v>
      </c>
      <c r="E224">
        <v>8117</v>
      </c>
      <c r="F224">
        <v>8</v>
      </c>
      <c r="G224">
        <v>7.2</v>
      </c>
      <c r="H224">
        <v>1.1111112000000001</v>
      </c>
      <c r="I224">
        <v>-0.11111114</v>
      </c>
      <c r="J224">
        <v>0.4736842</v>
      </c>
    </row>
    <row r="225" spans="1:10" x14ac:dyDescent="0.3">
      <c r="A225">
        <v>223</v>
      </c>
      <c r="B225">
        <v>3549</v>
      </c>
      <c r="C225" t="b">
        <v>1</v>
      </c>
      <c r="D225">
        <v>8048</v>
      </c>
      <c r="E225">
        <v>8117</v>
      </c>
      <c r="F225">
        <v>8</v>
      </c>
      <c r="G225">
        <v>6.8</v>
      </c>
      <c r="H225">
        <v>1.1764705</v>
      </c>
      <c r="I225">
        <v>-0.17647055</v>
      </c>
      <c r="J225">
        <v>0.45945944999999999</v>
      </c>
    </row>
    <row r="226" spans="1:10" x14ac:dyDescent="0.3">
      <c r="A226">
        <v>224</v>
      </c>
      <c r="B226">
        <v>3565</v>
      </c>
      <c r="C226" t="b">
        <v>1</v>
      </c>
      <c r="D226">
        <v>8048</v>
      </c>
      <c r="E226">
        <v>8117</v>
      </c>
      <c r="F226">
        <v>8</v>
      </c>
      <c r="G226">
        <v>6.4</v>
      </c>
      <c r="H226">
        <v>1.25</v>
      </c>
      <c r="I226">
        <v>-0.24999999000000001</v>
      </c>
      <c r="J226">
        <v>0.44444447999999998</v>
      </c>
    </row>
    <row r="227" spans="1:10" x14ac:dyDescent="0.3">
      <c r="A227">
        <v>225</v>
      </c>
      <c r="B227">
        <v>3580</v>
      </c>
      <c r="C227" t="b">
        <v>1</v>
      </c>
      <c r="D227">
        <v>8042</v>
      </c>
      <c r="E227">
        <v>8117</v>
      </c>
      <c r="F227">
        <v>8</v>
      </c>
      <c r="G227">
        <v>6</v>
      </c>
      <c r="H227">
        <v>1.3333333999999999</v>
      </c>
      <c r="I227">
        <v>-0.33333333999999998</v>
      </c>
      <c r="J227">
        <v>0.42857142999999998</v>
      </c>
    </row>
    <row r="228" spans="1:10" x14ac:dyDescent="0.3">
      <c r="A228">
        <v>226</v>
      </c>
      <c r="B228">
        <v>3596</v>
      </c>
      <c r="C228" t="b">
        <v>1</v>
      </c>
      <c r="D228">
        <v>8048</v>
      </c>
      <c r="E228">
        <v>8117</v>
      </c>
      <c r="F228">
        <v>8</v>
      </c>
      <c r="G228">
        <v>5.6</v>
      </c>
      <c r="H228">
        <v>1.4285715000000001</v>
      </c>
      <c r="I228">
        <v>-0.42857146000000002</v>
      </c>
      <c r="J228">
        <v>0.41176467999999999</v>
      </c>
    </row>
    <row r="229" spans="1:10" x14ac:dyDescent="0.3">
      <c r="A229">
        <v>227</v>
      </c>
      <c r="B229">
        <v>3612</v>
      </c>
      <c r="C229" t="b">
        <v>1</v>
      </c>
      <c r="D229">
        <v>8048</v>
      </c>
      <c r="E229">
        <v>8117</v>
      </c>
      <c r="F229">
        <v>8</v>
      </c>
      <c r="G229">
        <v>5.2</v>
      </c>
      <c r="H229">
        <v>1.5384616</v>
      </c>
      <c r="I229">
        <v>-0.53846156999999994</v>
      </c>
      <c r="J229">
        <v>0.39393938000000001</v>
      </c>
    </row>
    <row r="230" spans="1:10" x14ac:dyDescent="0.3">
      <c r="A230">
        <v>228</v>
      </c>
      <c r="B230">
        <v>3628</v>
      </c>
      <c r="C230" t="b">
        <v>1</v>
      </c>
      <c r="D230">
        <v>8054</v>
      </c>
      <c r="E230">
        <v>8123</v>
      </c>
      <c r="F230">
        <v>8</v>
      </c>
      <c r="G230">
        <v>4.8</v>
      </c>
      <c r="H230">
        <v>1.6666666000000001</v>
      </c>
      <c r="I230">
        <v>-0.6666666</v>
      </c>
      <c r="J230">
        <v>0.375</v>
      </c>
    </row>
    <row r="231" spans="1:10" x14ac:dyDescent="0.3">
      <c r="A231">
        <v>229</v>
      </c>
      <c r="B231">
        <v>3644</v>
      </c>
      <c r="C231" t="b">
        <v>1</v>
      </c>
      <c r="D231">
        <v>8048</v>
      </c>
      <c r="E231">
        <v>8117</v>
      </c>
      <c r="F231">
        <v>8</v>
      </c>
      <c r="G231">
        <v>4.4000000000000004</v>
      </c>
      <c r="H231">
        <v>1.8181818000000001</v>
      </c>
      <c r="I231">
        <v>-0.81818175000000004</v>
      </c>
      <c r="J231">
        <v>0.35483872999999999</v>
      </c>
    </row>
    <row r="232" spans="1:10" x14ac:dyDescent="0.3">
      <c r="A232">
        <v>230</v>
      </c>
      <c r="B232">
        <v>3659</v>
      </c>
      <c r="C232" t="b">
        <v>1</v>
      </c>
      <c r="D232">
        <v>8054</v>
      </c>
      <c r="E232">
        <v>8123</v>
      </c>
      <c r="F232">
        <v>8</v>
      </c>
      <c r="G232">
        <v>4</v>
      </c>
      <c r="H232">
        <v>2</v>
      </c>
      <c r="I232">
        <v>-1</v>
      </c>
      <c r="J232">
        <v>0.33333333999999998</v>
      </c>
    </row>
    <row r="233" spans="1:10" x14ac:dyDescent="0.3">
      <c r="A233">
        <v>231</v>
      </c>
      <c r="B233">
        <v>3675</v>
      </c>
      <c r="C233" t="b">
        <v>1</v>
      </c>
      <c r="D233">
        <v>8048</v>
      </c>
      <c r="E233">
        <v>8117</v>
      </c>
      <c r="F233">
        <v>8</v>
      </c>
      <c r="G233">
        <v>3.6</v>
      </c>
      <c r="H233">
        <v>2.2222222999999999</v>
      </c>
      <c r="I233">
        <v>-1.2222223000000001</v>
      </c>
      <c r="J233">
        <v>0.31034482000000002</v>
      </c>
    </row>
    <row r="234" spans="1:10" x14ac:dyDescent="0.3">
      <c r="A234">
        <v>232</v>
      </c>
      <c r="B234">
        <v>3691</v>
      </c>
      <c r="C234" t="b">
        <v>1</v>
      </c>
      <c r="D234">
        <v>8048</v>
      </c>
      <c r="E234">
        <v>8123</v>
      </c>
      <c r="F234">
        <v>8</v>
      </c>
      <c r="G234">
        <v>3.6</v>
      </c>
      <c r="H234">
        <v>2.2222222999999999</v>
      </c>
      <c r="I234">
        <v>-1.2222223000000001</v>
      </c>
      <c r="J234">
        <v>0.31034482000000002</v>
      </c>
    </row>
    <row r="235" spans="1:10" x14ac:dyDescent="0.3">
      <c r="A235">
        <v>233</v>
      </c>
      <c r="B235">
        <v>3707</v>
      </c>
      <c r="C235" t="b">
        <v>1</v>
      </c>
      <c r="D235">
        <v>8048</v>
      </c>
      <c r="E235">
        <v>8123</v>
      </c>
      <c r="F235">
        <v>8</v>
      </c>
      <c r="G235">
        <v>3.6</v>
      </c>
      <c r="H235">
        <v>2.2222222999999999</v>
      </c>
      <c r="I235">
        <v>-1.2222223000000001</v>
      </c>
      <c r="J235">
        <v>0.31034482000000002</v>
      </c>
    </row>
    <row r="236" spans="1:10" x14ac:dyDescent="0.3">
      <c r="A236">
        <v>234</v>
      </c>
      <c r="B236">
        <v>3723</v>
      </c>
      <c r="C236" t="b">
        <v>1</v>
      </c>
      <c r="D236">
        <v>8048</v>
      </c>
      <c r="E236">
        <v>8123</v>
      </c>
      <c r="F236">
        <v>8</v>
      </c>
      <c r="G236">
        <v>3.6</v>
      </c>
      <c r="H236">
        <v>2.2222222999999999</v>
      </c>
      <c r="I236">
        <v>-1.2222223000000001</v>
      </c>
      <c r="J236">
        <v>0.31034482000000002</v>
      </c>
    </row>
    <row r="237" spans="1:10" x14ac:dyDescent="0.3">
      <c r="A237">
        <v>235</v>
      </c>
      <c r="B237">
        <v>3738</v>
      </c>
      <c r="C237" t="b">
        <v>1</v>
      </c>
      <c r="D237">
        <v>8054</v>
      </c>
      <c r="E237">
        <v>8123</v>
      </c>
      <c r="F237">
        <v>8</v>
      </c>
      <c r="G237">
        <v>3.6</v>
      </c>
      <c r="H237">
        <v>2.2222222999999999</v>
      </c>
      <c r="I237">
        <v>-1.2222223000000001</v>
      </c>
      <c r="J237">
        <v>0.31034482000000002</v>
      </c>
    </row>
    <row r="238" spans="1:10" x14ac:dyDescent="0.3">
      <c r="A238">
        <v>236</v>
      </c>
      <c r="B238">
        <v>3754</v>
      </c>
      <c r="C238" t="b">
        <v>1</v>
      </c>
      <c r="D238">
        <v>8048</v>
      </c>
      <c r="E238">
        <v>8123</v>
      </c>
      <c r="F238">
        <v>8</v>
      </c>
      <c r="G238">
        <v>4</v>
      </c>
      <c r="H238">
        <v>2</v>
      </c>
      <c r="I238">
        <v>-1</v>
      </c>
      <c r="J238">
        <v>0.33333333999999998</v>
      </c>
    </row>
    <row r="239" spans="1:10" x14ac:dyDescent="0.3">
      <c r="A239">
        <v>237</v>
      </c>
      <c r="B239">
        <v>3770</v>
      </c>
      <c r="C239" t="b">
        <v>1</v>
      </c>
      <c r="D239">
        <v>8048</v>
      </c>
      <c r="E239">
        <v>8123</v>
      </c>
      <c r="F239">
        <v>8</v>
      </c>
      <c r="G239">
        <v>4.4000000000000004</v>
      </c>
      <c r="H239">
        <v>1.8181818000000001</v>
      </c>
      <c r="I239">
        <v>-0.81818175000000004</v>
      </c>
      <c r="J239">
        <v>0.35483872999999999</v>
      </c>
    </row>
    <row r="240" spans="1:10" x14ac:dyDescent="0.3">
      <c r="A240">
        <v>238</v>
      </c>
      <c r="B240">
        <v>3786</v>
      </c>
      <c r="C240" t="b">
        <v>1</v>
      </c>
      <c r="D240">
        <v>8048</v>
      </c>
      <c r="E240">
        <v>8123</v>
      </c>
      <c r="F240">
        <v>8</v>
      </c>
      <c r="G240">
        <v>4.8</v>
      </c>
      <c r="H240">
        <v>1.6666666000000001</v>
      </c>
      <c r="I240">
        <v>-0.6666666</v>
      </c>
      <c r="J240">
        <v>0.375</v>
      </c>
    </row>
    <row r="241" spans="1:10" x14ac:dyDescent="0.3">
      <c r="A241">
        <v>239</v>
      </c>
      <c r="B241">
        <v>3802</v>
      </c>
      <c r="C241" t="b">
        <v>1</v>
      </c>
      <c r="D241">
        <v>8054</v>
      </c>
      <c r="E241">
        <v>8123</v>
      </c>
      <c r="F241">
        <v>8</v>
      </c>
      <c r="G241">
        <v>5.2</v>
      </c>
      <c r="H241">
        <v>1.5384616</v>
      </c>
      <c r="I241">
        <v>-0.53846156999999994</v>
      </c>
      <c r="J241">
        <v>0.39393938000000001</v>
      </c>
    </row>
    <row r="242" spans="1:10" x14ac:dyDescent="0.3">
      <c r="A242">
        <v>240</v>
      </c>
      <c r="B242">
        <v>3818</v>
      </c>
      <c r="C242" t="b">
        <v>1</v>
      </c>
      <c r="D242">
        <v>8048</v>
      </c>
      <c r="E242">
        <v>8123</v>
      </c>
      <c r="F242">
        <v>8</v>
      </c>
      <c r="G242">
        <v>5.6</v>
      </c>
      <c r="H242">
        <v>1.4285715000000001</v>
      </c>
      <c r="I242">
        <v>-0.42857146000000002</v>
      </c>
      <c r="J242">
        <v>0.41176467999999999</v>
      </c>
    </row>
    <row r="243" spans="1:10" x14ac:dyDescent="0.3">
      <c r="A243">
        <v>241</v>
      </c>
      <c r="B243">
        <v>3834</v>
      </c>
      <c r="C243" t="b">
        <v>1</v>
      </c>
      <c r="D243">
        <v>8048</v>
      </c>
      <c r="E243">
        <v>8123</v>
      </c>
      <c r="F243">
        <v>8</v>
      </c>
      <c r="G243">
        <v>6</v>
      </c>
      <c r="H243">
        <v>1.3333333999999999</v>
      </c>
      <c r="I243">
        <v>-0.33333333999999998</v>
      </c>
      <c r="J243">
        <v>0.42857142999999998</v>
      </c>
    </row>
    <row r="244" spans="1:10" x14ac:dyDescent="0.3">
      <c r="A244">
        <v>242</v>
      </c>
      <c r="B244">
        <v>3850</v>
      </c>
      <c r="C244" t="b">
        <v>1</v>
      </c>
      <c r="D244">
        <v>8048</v>
      </c>
      <c r="E244">
        <v>8123</v>
      </c>
      <c r="F244">
        <v>8</v>
      </c>
      <c r="G244">
        <v>6.4</v>
      </c>
      <c r="H244">
        <v>1.25</v>
      </c>
      <c r="I244">
        <v>-0.24999999000000001</v>
      </c>
      <c r="J244">
        <v>0.44444447999999998</v>
      </c>
    </row>
    <row r="245" spans="1:10" x14ac:dyDescent="0.3">
      <c r="A245">
        <v>243</v>
      </c>
      <c r="B245">
        <v>3866</v>
      </c>
      <c r="C245" t="b">
        <v>1</v>
      </c>
      <c r="D245">
        <v>8048</v>
      </c>
      <c r="E245">
        <v>8123</v>
      </c>
      <c r="F245">
        <v>8</v>
      </c>
      <c r="G245">
        <v>6.8</v>
      </c>
      <c r="H245">
        <v>1.1764705</v>
      </c>
      <c r="I245">
        <v>-0.17647055</v>
      </c>
      <c r="J245">
        <v>0.45945944999999999</v>
      </c>
    </row>
    <row r="246" spans="1:10" x14ac:dyDescent="0.3">
      <c r="A246">
        <v>244</v>
      </c>
      <c r="B246">
        <v>3882</v>
      </c>
      <c r="C246" t="b">
        <v>1</v>
      </c>
      <c r="D246">
        <v>8042</v>
      </c>
      <c r="E246">
        <v>8123</v>
      </c>
      <c r="F246">
        <v>8</v>
      </c>
      <c r="G246">
        <v>7.2</v>
      </c>
      <c r="H246">
        <v>1.1111112000000001</v>
      </c>
      <c r="I246">
        <v>-0.11111114</v>
      </c>
      <c r="J246">
        <v>0.4736842</v>
      </c>
    </row>
    <row r="247" spans="1:10" x14ac:dyDescent="0.3">
      <c r="A247">
        <v>245</v>
      </c>
      <c r="B247">
        <v>3897</v>
      </c>
      <c r="C247" t="b">
        <v>1</v>
      </c>
      <c r="D247">
        <v>8048</v>
      </c>
      <c r="E247">
        <v>8123</v>
      </c>
      <c r="F247">
        <v>8</v>
      </c>
      <c r="G247">
        <v>7.6</v>
      </c>
      <c r="H247">
        <v>1.0526316</v>
      </c>
      <c r="I247">
        <v>-5.2631589999999999E-2</v>
      </c>
      <c r="J247">
        <v>0.48717946000000001</v>
      </c>
    </row>
    <row r="248" spans="1:10" x14ac:dyDescent="0.3">
      <c r="A248">
        <v>246</v>
      </c>
      <c r="B248">
        <v>3913</v>
      </c>
      <c r="C248" t="b">
        <v>1</v>
      </c>
      <c r="D248">
        <v>8048</v>
      </c>
      <c r="E248">
        <v>8129</v>
      </c>
      <c r="F248">
        <v>8</v>
      </c>
      <c r="G248">
        <v>8</v>
      </c>
      <c r="H248">
        <v>1</v>
      </c>
      <c r="I248">
        <v>0</v>
      </c>
      <c r="J248">
        <v>0.5</v>
      </c>
    </row>
    <row r="249" spans="1:10" x14ac:dyDescent="0.3">
      <c r="A249">
        <v>247</v>
      </c>
      <c r="B249">
        <v>3929</v>
      </c>
      <c r="C249" t="b">
        <v>1</v>
      </c>
      <c r="D249">
        <v>8048</v>
      </c>
      <c r="E249">
        <v>8129</v>
      </c>
      <c r="F249">
        <v>8</v>
      </c>
      <c r="G249">
        <v>8</v>
      </c>
      <c r="H249">
        <v>1</v>
      </c>
      <c r="I249">
        <v>0</v>
      </c>
      <c r="J249">
        <v>0.5</v>
      </c>
    </row>
    <row r="250" spans="1:10" x14ac:dyDescent="0.3">
      <c r="A250">
        <v>248</v>
      </c>
      <c r="B250">
        <v>3945</v>
      </c>
      <c r="C250" t="b">
        <v>1</v>
      </c>
      <c r="D250">
        <v>8048</v>
      </c>
      <c r="E250">
        <v>8123</v>
      </c>
      <c r="F250">
        <v>8</v>
      </c>
      <c r="G250">
        <v>8</v>
      </c>
      <c r="H250">
        <v>1</v>
      </c>
      <c r="I250">
        <v>0</v>
      </c>
      <c r="J250">
        <v>0.5</v>
      </c>
    </row>
    <row r="251" spans="1:10" x14ac:dyDescent="0.3">
      <c r="A251">
        <v>249</v>
      </c>
      <c r="B251">
        <v>3961</v>
      </c>
      <c r="C251" t="b">
        <v>1</v>
      </c>
      <c r="D251">
        <v>8048</v>
      </c>
      <c r="E251">
        <v>8123</v>
      </c>
      <c r="F251">
        <v>8</v>
      </c>
      <c r="G251">
        <v>8</v>
      </c>
      <c r="H251">
        <v>1</v>
      </c>
      <c r="I251">
        <v>0</v>
      </c>
      <c r="J251">
        <v>0.5</v>
      </c>
    </row>
    <row r="252" spans="1:10" x14ac:dyDescent="0.3">
      <c r="A252">
        <v>250</v>
      </c>
      <c r="B252">
        <v>3977</v>
      </c>
      <c r="C252" t="b">
        <v>1</v>
      </c>
      <c r="D252">
        <v>8048</v>
      </c>
      <c r="E252">
        <v>8117</v>
      </c>
      <c r="F252">
        <v>8</v>
      </c>
      <c r="G252">
        <v>8</v>
      </c>
      <c r="H252">
        <v>1</v>
      </c>
      <c r="I252">
        <v>0</v>
      </c>
      <c r="J252">
        <v>0.5</v>
      </c>
    </row>
    <row r="253" spans="1:10" x14ac:dyDescent="0.3">
      <c r="A253">
        <v>251</v>
      </c>
      <c r="B253">
        <v>3992</v>
      </c>
      <c r="C253" t="b">
        <v>1</v>
      </c>
      <c r="D253">
        <v>8048</v>
      </c>
      <c r="E253">
        <v>8117</v>
      </c>
      <c r="F253">
        <v>8</v>
      </c>
      <c r="G253">
        <v>8</v>
      </c>
      <c r="H253">
        <v>1</v>
      </c>
      <c r="I253">
        <v>0</v>
      </c>
      <c r="J253">
        <v>0.5</v>
      </c>
    </row>
    <row r="254" spans="1:10" x14ac:dyDescent="0.3">
      <c r="A254">
        <v>252</v>
      </c>
      <c r="B254">
        <v>4008</v>
      </c>
      <c r="C254" t="b">
        <v>1</v>
      </c>
      <c r="D254">
        <v>8048</v>
      </c>
      <c r="E254">
        <v>8123</v>
      </c>
      <c r="F254">
        <v>8</v>
      </c>
      <c r="G254">
        <v>8</v>
      </c>
      <c r="H254">
        <v>1</v>
      </c>
      <c r="I254">
        <v>0</v>
      </c>
      <c r="J254">
        <v>0.5</v>
      </c>
    </row>
    <row r="255" spans="1:10" x14ac:dyDescent="0.3">
      <c r="A255">
        <v>253</v>
      </c>
      <c r="B255">
        <v>4024</v>
      </c>
      <c r="C255" t="b">
        <v>1</v>
      </c>
      <c r="D255">
        <v>8054</v>
      </c>
      <c r="E255">
        <v>8117</v>
      </c>
      <c r="F255">
        <v>8</v>
      </c>
      <c r="G255">
        <v>7.6</v>
      </c>
      <c r="H255">
        <v>1.0526316</v>
      </c>
      <c r="I255">
        <v>-5.2631589999999999E-2</v>
      </c>
      <c r="J255">
        <v>0.48717946000000001</v>
      </c>
    </row>
    <row r="256" spans="1:10" x14ac:dyDescent="0.3">
      <c r="A256">
        <v>254</v>
      </c>
      <c r="B256">
        <v>4040</v>
      </c>
      <c r="C256" t="b">
        <v>1</v>
      </c>
      <c r="D256">
        <v>8048</v>
      </c>
      <c r="E256">
        <v>8117</v>
      </c>
      <c r="F256">
        <v>8</v>
      </c>
      <c r="G256">
        <v>7.2</v>
      </c>
      <c r="H256">
        <v>1.1111112000000001</v>
      </c>
      <c r="I256">
        <v>-0.11111114</v>
      </c>
      <c r="J256">
        <v>0.4736842</v>
      </c>
    </row>
    <row r="257" spans="1:10" x14ac:dyDescent="0.3">
      <c r="A257">
        <v>255</v>
      </c>
      <c r="B257">
        <v>4056</v>
      </c>
      <c r="C257" t="b">
        <v>1</v>
      </c>
      <c r="D257">
        <v>8048</v>
      </c>
      <c r="E257">
        <v>8117</v>
      </c>
      <c r="F257">
        <v>8</v>
      </c>
      <c r="G257">
        <v>6.8</v>
      </c>
      <c r="H257">
        <v>1.1764705</v>
      </c>
      <c r="I257">
        <v>-0.17647055</v>
      </c>
      <c r="J257">
        <v>0.45945944999999999</v>
      </c>
    </row>
    <row r="258" spans="1:10" x14ac:dyDescent="0.3">
      <c r="A258">
        <v>256</v>
      </c>
      <c r="B258">
        <v>4071</v>
      </c>
      <c r="C258" t="b">
        <v>1</v>
      </c>
      <c r="D258">
        <v>8048</v>
      </c>
      <c r="E258">
        <v>8123</v>
      </c>
      <c r="F258">
        <v>8</v>
      </c>
      <c r="G258">
        <v>6.4</v>
      </c>
      <c r="H258">
        <v>1.25</v>
      </c>
      <c r="I258">
        <v>-0.24999999000000001</v>
      </c>
      <c r="J258">
        <v>0.44444447999999998</v>
      </c>
    </row>
    <row r="259" spans="1:10" x14ac:dyDescent="0.3">
      <c r="A259">
        <v>257</v>
      </c>
      <c r="B259">
        <v>4087</v>
      </c>
      <c r="C259" t="b">
        <v>1</v>
      </c>
      <c r="D259">
        <v>8042</v>
      </c>
      <c r="E259">
        <v>8123</v>
      </c>
      <c r="F259">
        <v>8</v>
      </c>
      <c r="G259">
        <v>6</v>
      </c>
      <c r="H259">
        <v>1.3333333999999999</v>
      </c>
      <c r="I259">
        <v>-0.33333333999999998</v>
      </c>
      <c r="J259">
        <v>0.42857142999999998</v>
      </c>
    </row>
    <row r="260" spans="1:10" x14ac:dyDescent="0.3">
      <c r="A260">
        <v>258</v>
      </c>
      <c r="B260">
        <v>4102</v>
      </c>
      <c r="C260" t="b">
        <v>1</v>
      </c>
      <c r="D260">
        <v>8048</v>
      </c>
      <c r="E260">
        <v>8123</v>
      </c>
      <c r="F260">
        <v>8</v>
      </c>
      <c r="G260">
        <v>6</v>
      </c>
      <c r="H260">
        <v>1.3333333999999999</v>
      </c>
      <c r="I260">
        <v>-0.33333333999999998</v>
      </c>
      <c r="J260">
        <v>0.42857142999999998</v>
      </c>
    </row>
    <row r="261" spans="1:10" x14ac:dyDescent="0.3">
      <c r="A261">
        <v>259</v>
      </c>
      <c r="B261">
        <v>4118</v>
      </c>
      <c r="C261" t="b">
        <v>1</v>
      </c>
      <c r="D261">
        <v>8048</v>
      </c>
      <c r="E261">
        <v>8129</v>
      </c>
      <c r="F261">
        <v>8</v>
      </c>
      <c r="G261">
        <v>6</v>
      </c>
      <c r="H261">
        <v>1.3333333999999999</v>
      </c>
      <c r="I261">
        <v>-0.33333333999999998</v>
      </c>
      <c r="J261">
        <v>0.42857142999999998</v>
      </c>
    </row>
    <row r="262" spans="1:10" x14ac:dyDescent="0.3">
      <c r="A262">
        <v>260</v>
      </c>
      <c r="B262">
        <v>4134</v>
      </c>
      <c r="C262" t="b">
        <v>1</v>
      </c>
      <c r="D262">
        <v>8048</v>
      </c>
      <c r="E262">
        <v>8123</v>
      </c>
      <c r="F262">
        <v>8</v>
      </c>
      <c r="G262">
        <v>6</v>
      </c>
      <c r="H262">
        <v>1.3333333999999999</v>
      </c>
      <c r="I262">
        <v>-0.33333333999999998</v>
      </c>
      <c r="J262">
        <v>0.42857142999999998</v>
      </c>
    </row>
    <row r="263" spans="1:10" x14ac:dyDescent="0.3">
      <c r="A263">
        <v>261</v>
      </c>
      <c r="B263">
        <v>4150</v>
      </c>
      <c r="C263" t="b">
        <v>1</v>
      </c>
      <c r="D263">
        <v>8054</v>
      </c>
      <c r="E263">
        <v>8123</v>
      </c>
      <c r="F263">
        <v>8</v>
      </c>
      <c r="G263">
        <v>6</v>
      </c>
      <c r="H263">
        <v>1.3333333999999999</v>
      </c>
      <c r="I263">
        <v>-0.33333333999999998</v>
      </c>
      <c r="J263">
        <v>0.42857142999999998</v>
      </c>
    </row>
    <row r="264" spans="1:10" x14ac:dyDescent="0.3">
      <c r="A264">
        <v>262</v>
      </c>
      <c r="B264">
        <v>4166</v>
      </c>
      <c r="C264" t="b">
        <v>1</v>
      </c>
      <c r="D264">
        <v>8042</v>
      </c>
      <c r="E264">
        <v>8129</v>
      </c>
      <c r="F264">
        <v>8</v>
      </c>
      <c r="G264">
        <v>6</v>
      </c>
      <c r="H264">
        <v>1.3333333999999999</v>
      </c>
      <c r="I264">
        <v>-0.33333333999999998</v>
      </c>
      <c r="J264">
        <v>0.42857142999999998</v>
      </c>
    </row>
    <row r="265" spans="1:10" x14ac:dyDescent="0.3">
      <c r="A265">
        <v>263</v>
      </c>
      <c r="B265">
        <v>4182</v>
      </c>
      <c r="C265" t="b">
        <v>1</v>
      </c>
      <c r="D265">
        <v>8042</v>
      </c>
      <c r="E265">
        <v>8117</v>
      </c>
      <c r="F265">
        <v>8</v>
      </c>
      <c r="G265">
        <v>6</v>
      </c>
      <c r="H265">
        <v>1.3333333999999999</v>
      </c>
      <c r="I265">
        <v>-0.33333333999999998</v>
      </c>
      <c r="J265">
        <v>0.42857142999999998</v>
      </c>
    </row>
    <row r="266" spans="1:10" x14ac:dyDescent="0.3">
      <c r="A266">
        <v>264</v>
      </c>
      <c r="B266">
        <v>4197</v>
      </c>
      <c r="C266" t="b">
        <v>1</v>
      </c>
      <c r="D266">
        <v>8042</v>
      </c>
      <c r="E266">
        <v>8117</v>
      </c>
      <c r="F266">
        <v>7.6</v>
      </c>
      <c r="G266">
        <v>6</v>
      </c>
      <c r="H266">
        <v>1.2666667</v>
      </c>
      <c r="I266">
        <v>-0.26666665000000001</v>
      </c>
      <c r="J266">
        <v>0.44117644</v>
      </c>
    </row>
    <row r="267" spans="1:10" x14ac:dyDescent="0.3">
      <c r="A267">
        <v>265</v>
      </c>
      <c r="B267">
        <v>4213</v>
      </c>
      <c r="C267" t="b">
        <v>1</v>
      </c>
      <c r="D267">
        <v>8048</v>
      </c>
      <c r="E267">
        <v>8117</v>
      </c>
      <c r="F267">
        <v>7.2</v>
      </c>
      <c r="G267">
        <v>5.6</v>
      </c>
      <c r="H267">
        <v>1.2857143</v>
      </c>
      <c r="I267">
        <v>-0.28571426999999999</v>
      </c>
      <c r="J267">
        <v>0.43750002999999998</v>
      </c>
    </row>
    <row r="268" spans="1:10" x14ac:dyDescent="0.3">
      <c r="A268">
        <v>266</v>
      </c>
      <c r="B268">
        <v>4229</v>
      </c>
      <c r="C268" t="b">
        <v>1</v>
      </c>
      <c r="D268">
        <v>8042</v>
      </c>
      <c r="E268">
        <v>8117</v>
      </c>
      <c r="F268">
        <v>6.8</v>
      </c>
      <c r="G268">
        <v>5.2</v>
      </c>
      <c r="H268">
        <v>1.3076924000000001</v>
      </c>
      <c r="I268">
        <v>-0.30769237999999999</v>
      </c>
      <c r="J268">
        <v>0.43333329999999998</v>
      </c>
    </row>
    <row r="269" spans="1:10" x14ac:dyDescent="0.3">
      <c r="A269">
        <v>267</v>
      </c>
      <c r="B269">
        <v>4245</v>
      </c>
      <c r="C269" t="b">
        <v>1</v>
      </c>
      <c r="D269">
        <v>8048</v>
      </c>
      <c r="E269">
        <v>8117</v>
      </c>
      <c r="F269">
        <v>6.4</v>
      </c>
      <c r="G269">
        <v>4.8</v>
      </c>
      <c r="H269">
        <v>1.3333333000000001</v>
      </c>
      <c r="I269">
        <v>-0.3333333</v>
      </c>
      <c r="J269">
        <v>0.42857139999999999</v>
      </c>
    </row>
    <row r="270" spans="1:10" x14ac:dyDescent="0.3">
      <c r="A270">
        <v>268</v>
      </c>
      <c r="B270">
        <v>4261</v>
      </c>
      <c r="C270" t="b">
        <v>1</v>
      </c>
      <c r="D270">
        <v>8048</v>
      </c>
      <c r="E270">
        <v>8117</v>
      </c>
      <c r="F270">
        <v>6.4</v>
      </c>
      <c r="G270">
        <v>4.8</v>
      </c>
      <c r="H270">
        <v>1.3333333000000001</v>
      </c>
      <c r="I270">
        <v>-0.3333333</v>
      </c>
      <c r="J270">
        <v>0.42857139999999999</v>
      </c>
    </row>
    <row r="271" spans="1:10" x14ac:dyDescent="0.3">
      <c r="A271">
        <v>269</v>
      </c>
      <c r="B271">
        <v>4277</v>
      </c>
      <c r="C271" t="b">
        <v>1</v>
      </c>
      <c r="D271">
        <v>8042</v>
      </c>
      <c r="E271">
        <v>8129</v>
      </c>
      <c r="F271">
        <v>6.4</v>
      </c>
      <c r="G271">
        <v>4.8</v>
      </c>
      <c r="H271">
        <v>1.3333333000000001</v>
      </c>
      <c r="I271">
        <v>-0.3333333</v>
      </c>
      <c r="J271">
        <v>0.42857139999999999</v>
      </c>
    </row>
    <row r="272" spans="1:10" x14ac:dyDescent="0.3">
      <c r="A272">
        <v>270</v>
      </c>
      <c r="B272">
        <v>4293</v>
      </c>
      <c r="C272" t="b">
        <v>1</v>
      </c>
      <c r="D272">
        <v>8042</v>
      </c>
      <c r="E272">
        <v>8123</v>
      </c>
      <c r="F272">
        <v>6</v>
      </c>
      <c r="G272">
        <v>4.8</v>
      </c>
      <c r="H272">
        <v>1.25</v>
      </c>
      <c r="I272">
        <v>-0.24999995999999999</v>
      </c>
      <c r="J272">
        <v>0.44444444999999999</v>
      </c>
    </row>
    <row r="273" spans="1:10" x14ac:dyDescent="0.3">
      <c r="A273">
        <v>271</v>
      </c>
      <c r="B273">
        <v>4309</v>
      </c>
      <c r="C273" t="b">
        <v>1</v>
      </c>
      <c r="D273">
        <v>8042</v>
      </c>
      <c r="E273">
        <v>8123</v>
      </c>
      <c r="F273">
        <v>5.6</v>
      </c>
      <c r="G273">
        <v>5.2</v>
      </c>
      <c r="H273">
        <v>1.0769230999999999</v>
      </c>
      <c r="I273">
        <v>-7.6923094999999997E-2</v>
      </c>
      <c r="J273">
        <v>0.48148150000000001</v>
      </c>
    </row>
    <row r="274" spans="1:10" x14ac:dyDescent="0.3">
      <c r="A274">
        <v>272</v>
      </c>
      <c r="B274">
        <v>4324</v>
      </c>
      <c r="C274" t="b">
        <v>1</v>
      </c>
      <c r="D274">
        <v>8042</v>
      </c>
      <c r="E274">
        <v>8123</v>
      </c>
      <c r="F274">
        <v>5.2</v>
      </c>
      <c r="G274">
        <v>5.6</v>
      </c>
      <c r="H274">
        <v>0.92857140000000005</v>
      </c>
      <c r="I274">
        <v>7.142859E-2</v>
      </c>
      <c r="J274">
        <v>0.51851857000000001</v>
      </c>
    </row>
    <row r="275" spans="1:10" x14ac:dyDescent="0.3">
      <c r="A275">
        <v>273</v>
      </c>
      <c r="B275">
        <v>4340</v>
      </c>
      <c r="C275" t="b">
        <v>1</v>
      </c>
      <c r="D275">
        <v>8042</v>
      </c>
      <c r="E275">
        <v>8123</v>
      </c>
      <c r="F275">
        <v>4.8</v>
      </c>
      <c r="G275">
        <v>5.6</v>
      </c>
      <c r="H275">
        <v>0.85714290000000004</v>
      </c>
      <c r="I275">
        <v>0.14285708999999999</v>
      </c>
      <c r="J275">
        <v>0.53846156999999994</v>
      </c>
    </row>
    <row r="276" spans="1:10" x14ac:dyDescent="0.3">
      <c r="A276">
        <v>274</v>
      </c>
      <c r="B276">
        <v>4356</v>
      </c>
      <c r="C276" t="b">
        <v>1</v>
      </c>
      <c r="D276">
        <v>8048</v>
      </c>
      <c r="E276">
        <v>8129</v>
      </c>
      <c r="F276">
        <v>4.4000000000000004</v>
      </c>
      <c r="G276">
        <v>5.6</v>
      </c>
      <c r="H276">
        <v>0.78571429999999998</v>
      </c>
      <c r="I276">
        <v>0.21428569</v>
      </c>
      <c r="J276">
        <v>0.56000000000000005</v>
      </c>
    </row>
    <row r="277" spans="1:10" x14ac:dyDescent="0.3">
      <c r="A277">
        <v>275</v>
      </c>
      <c r="B277">
        <v>4372</v>
      </c>
      <c r="C277" t="b">
        <v>1</v>
      </c>
      <c r="D277">
        <v>8054</v>
      </c>
      <c r="E277">
        <v>8123</v>
      </c>
      <c r="F277">
        <v>4</v>
      </c>
      <c r="G277">
        <v>5.6</v>
      </c>
      <c r="H277">
        <v>0.71428572999999995</v>
      </c>
      <c r="I277">
        <v>0.28571426999999999</v>
      </c>
      <c r="J277">
        <v>0.58333330000000005</v>
      </c>
    </row>
    <row r="278" spans="1:10" x14ac:dyDescent="0.3">
      <c r="A278">
        <v>276</v>
      </c>
      <c r="B278">
        <v>4388</v>
      </c>
      <c r="C278" t="b">
        <v>1</v>
      </c>
      <c r="D278">
        <v>8048</v>
      </c>
      <c r="E278">
        <v>8129</v>
      </c>
      <c r="F278">
        <v>4</v>
      </c>
      <c r="G278">
        <v>5.6</v>
      </c>
      <c r="H278">
        <v>0.71428572999999995</v>
      </c>
      <c r="I278">
        <v>0.28571426999999999</v>
      </c>
      <c r="J278">
        <v>0.58333330000000005</v>
      </c>
    </row>
    <row r="279" spans="1:10" x14ac:dyDescent="0.3">
      <c r="A279">
        <v>277</v>
      </c>
      <c r="B279">
        <v>4403</v>
      </c>
      <c r="C279" t="b">
        <v>1</v>
      </c>
      <c r="D279">
        <v>8048</v>
      </c>
      <c r="E279">
        <v>8123</v>
      </c>
      <c r="F279">
        <v>4</v>
      </c>
      <c r="G279">
        <v>5.6</v>
      </c>
      <c r="H279">
        <v>0.71428572999999995</v>
      </c>
      <c r="I279">
        <v>0.28571426999999999</v>
      </c>
      <c r="J279">
        <v>0.58333330000000005</v>
      </c>
    </row>
    <row r="280" spans="1:10" x14ac:dyDescent="0.3">
      <c r="A280">
        <v>278</v>
      </c>
      <c r="B280">
        <v>4419</v>
      </c>
      <c r="C280" t="b">
        <v>1</v>
      </c>
      <c r="D280">
        <v>8048</v>
      </c>
      <c r="E280">
        <v>8129</v>
      </c>
      <c r="F280">
        <v>4</v>
      </c>
      <c r="G280">
        <v>6</v>
      </c>
      <c r="H280">
        <v>0.66666669999999995</v>
      </c>
      <c r="I280">
        <v>0.33333333999999998</v>
      </c>
      <c r="J280">
        <v>0.6</v>
      </c>
    </row>
    <row r="281" spans="1:10" x14ac:dyDescent="0.3">
      <c r="A281">
        <v>279</v>
      </c>
      <c r="B281">
        <v>4435</v>
      </c>
      <c r="C281" t="b">
        <v>1</v>
      </c>
      <c r="D281">
        <v>8048</v>
      </c>
      <c r="E281">
        <v>8123</v>
      </c>
      <c r="F281">
        <v>4.4000000000000004</v>
      </c>
      <c r="G281">
        <v>6</v>
      </c>
      <c r="H281">
        <v>0.73333334999999999</v>
      </c>
      <c r="I281">
        <v>0.26666665000000001</v>
      </c>
      <c r="J281">
        <v>0.57692310000000002</v>
      </c>
    </row>
    <row r="282" spans="1:10" x14ac:dyDescent="0.3">
      <c r="A282">
        <v>280</v>
      </c>
      <c r="B282">
        <v>4451</v>
      </c>
      <c r="C282" t="b">
        <v>1</v>
      </c>
      <c r="D282">
        <v>8048</v>
      </c>
      <c r="E282">
        <v>8129</v>
      </c>
      <c r="F282">
        <v>4.8</v>
      </c>
      <c r="G282">
        <v>6.8</v>
      </c>
      <c r="H282">
        <v>0.70588240000000002</v>
      </c>
      <c r="I282">
        <v>0.29411763000000002</v>
      </c>
      <c r="J282">
        <v>0.58620689999999998</v>
      </c>
    </row>
    <row r="283" spans="1:10" x14ac:dyDescent="0.3">
      <c r="A283">
        <v>281</v>
      </c>
      <c r="B283">
        <v>4467</v>
      </c>
      <c r="C283" t="b">
        <v>1</v>
      </c>
      <c r="D283">
        <v>8048</v>
      </c>
      <c r="E283">
        <v>8123</v>
      </c>
      <c r="F283">
        <v>5.2</v>
      </c>
      <c r="G283">
        <v>7.2</v>
      </c>
      <c r="H283">
        <v>0.72222220000000004</v>
      </c>
      <c r="I283">
        <v>0.27777780000000002</v>
      </c>
      <c r="J283">
        <v>0.58064514</v>
      </c>
    </row>
    <row r="284" spans="1:10" x14ac:dyDescent="0.3">
      <c r="A284">
        <v>282</v>
      </c>
      <c r="B284">
        <v>4482</v>
      </c>
      <c r="C284" t="b">
        <v>1</v>
      </c>
      <c r="D284">
        <v>8048</v>
      </c>
      <c r="E284">
        <v>8123</v>
      </c>
      <c r="F284">
        <v>5.6</v>
      </c>
      <c r="G284">
        <v>7.6</v>
      </c>
      <c r="H284">
        <v>0.73684210000000006</v>
      </c>
      <c r="I284">
        <v>0.2631579</v>
      </c>
      <c r="J284">
        <v>0.57575756</v>
      </c>
    </row>
    <row r="285" spans="1:10" x14ac:dyDescent="0.3">
      <c r="A285">
        <v>283</v>
      </c>
      <c r="B285">
        <v>4498</v>
      </c>
      <c r="C285" t="b">
        <v>1</v>
      </c>
      <c r="D285">
        <v>8048</v>
      </c>
      <c r="E285">
        <v>8129</v>
      </c>
      <c r="F285">
        <v>5.6</v>
      </c>
      <c r="G285">
        <v>8</v>
      </c>
      <c r="H285">
        <v>0.7</v>
      </c>
      <c r="I285">
        <v>0.3</v>
      </c>
      <c r="J285">
        <v>0.58823526000000004</v>
      </c>
    </row>
    <row r="286" spans="1:10" x14ac:dyDescent="0.3">
      <c r="A286">
        <v>284</v>
      </c>
      <c r="B286">
        <v>4514</v>
      </c>
      <c r="C286" t="b">
        <v>1</v>
      </c>
      <c r="D286">
        <v>8048</v>
      </c>
      <c r="E286">
        <v>8123</v>
      </c>
      <c r="F286">
        <v>5.6</v>
      </c>
      <c r="G286">
        <v>8.4</v>
      </c>
      <c r="H286">
        <v>0.66666669999999995</v>
      </c>
      <c r="I286">
        <v>0.3333333</v>
      </c>
      <c r="J286">
        <v>0.59999996</v>
      </c>
    </row>
    <row r="287" spans="1:10" x14ac:dyDescent="0.3">
      <c r="A287">
        <v>285</v>
      </c>
      <c r="B287">
        <v>4530</v>
      </c>
      <c r="C287" t="b">
        <v>1</v>
      </c>
      <c r="D287">
        <v>8048</v>
      </c>
      <c r="E287">
        <v>8129</v>
      </c>
      <c r="F287">
        <v>6</v>
      </c>
      <c r="G287">
        <v>8.8000000000000007</v>
      </c>
      <c r="H287">
        <v>0.68181820000000004</v>
      </c>
      <c r="I287">
        <v>0.31818183999999999</v>
      </c>
      <c r="J287">
        <v>0.59459459999999997</v>
      </c>
    </row>
    <row r="288" spans="1:10" x14ac:dyDescent="0.3">
      <c r="A288">
        <v>286</v>
      </c>
      <c r="B288">
        <v>4546</v>
      </c>
      <c r="C288" t="b">
        <v>1</v>
      </c>
      <c r="D288">
        <v>8048</v>
      </c>
      <c r="E288">
        <v>8123</v>
      </c>
      <c r="F288">
        <v>6.4</v>
      </c>
      <c r="G288">
        <v>8.8000000000000007</v>
      </c>
      <c r="H288">
        <v>0.72727275000000002</v>
      </c>
      <c r="I288">
        <v>0.27272728000000002</v>
      </c>
      <c r="J288">
        <v>0.57894736999999996</v>
      </c>
    </row>
    <row r="289" spans="1:10" x14ac:dyDescent="0.3">
      <c r="A289">
        <v>287</v>
      </c>
      <c r="B289">
        <v>4562</v>
      </c>
      <c r="C289" t="b">
        <v>1</v>
      </c>
      <c r="D289">
        <v>8048</v>
      </c>
      <c r="E289">
        <v>8129</v>
      </c>
      <c r="F289">
        <v>6.8</v>
      </c>
      <c r="G289">
        <v>9.1999999999999993</v>
      </c>
      <c r="H289">
        <v>0.73913050000000002</v>
      </c>
      <c r="I289">
        <v>0.26086953000000002</v>
      </c>
      <c r="J289">
        <v>0.57499999999999996</v>
      </c>
    </row>
    <row r="290" spans="1:10" x14ac:dyDescent="0.3">
      <c r="A290">
        <v>288</v>
      </c>
      <c r="B290">
        <v>4578</v>
      </c>
      <c r="C290" t="b">
        <v>1</v>
      </c>
      <c r="D290">
        <v>8054</v>
      </c>
      <c r="E290">
        <v>8123</v>
      </c>
      <c r="F290">
        <v>7.2</v>
      </c>
      <c r="G290">
        <v>9.1999999999999993</v>
      </c>
      <c r="H290">
        <v>0.78260870000000005</v>
      </c>
      <c r="I290">
        <v>0.21739131</v>
      </c>
      <c r="J290">
        <v>0.56097560000000002</v>
      </c>
    </row>
    <row r="291" spans="1:10" x14ac:dyDescent="0.3">
      <c r="A291">
        <v>289</v>
      </c>
      <c r="B291">
        <v>4594</v>
      </c>
      <c r="C291" t="b">
        <v>1</v>
      </c>
      <c r="D291">
        <v>8048</v>
      </c>
      <c r="E291">
        <v>8123</v>
      </c>
      <c r="F291">
        <v>7.6</v>
      </c>
      <c r="G291">
        <v>9.1999999999999993</v>
      </c>
      <c r="H291">
        <v>0.82608694000000005</v>
      </c>
      <c r="I291">
        <v>0.17391303</v>
      </c>
      <c r="J291">
        <v>0.54761903999999995</v>
      </c>
    </row>
    <row r="292" spans="1:10" x14ac:dyDescent="0.3">
      <c r="A292">
        <v>290</v>
      </c>
      <c r="B292">
        <v>4610</v>
      </c>
      <c r="C292" t="b">
        <v>1</v>
      </c>
      <c r="D292">
        <v>8048</v>
      </c>
      <c r="E292">
        <v>8123</v>
      </c>
      <c r="F292">
        <v>8</v>
      </c>
      <c r="G292">
        <v>9.1999999999999993</v>
      </c>
      <c r="H292">
        <v>0.86956524999999996</v>
      </c>
      <c r="I292">
        <v>0.13043477000000001</v>
      </c>
      <c r="J292">
        <v>0.53488369999999996</v>
      </c>
    </row>
    <row r="293" spans="1:10" x14ac:dyDescent="0.3">
      <c r="A293">
        <v>291</v>
      </c>
      <c r="B293">
        <v>4625</v>
      </c>
      <c r="C293" t="b">
        <v>1</v>
      </c>
      <c r="D293">
        <v>8048</v>
      </c>
      <c r="E293">
        <v>8123</v>
      </c>
      <c r="F293">
        <v>8</v>
      </c>
      <c r="G293">
        <v>9.1999999999999993</v>
      </c>
      <c r="H293">
        <v>0.86956524999999996</v>
      </c>
      <c r="I293">
        <v>0.13043477000000001</v>
      </c>
      <c r="J293">
        <v>0.53488369999999996</v>
      </c>
    </row>
    <row r="294" spans="1:10" x14ac:dyDescent="0.3">
      <c r="A294">
        <v>292</v>
      </c>
      <c r="B294">
        <v>4641</v>
      </c>
      <c r="C294" t="b">
        <v>1</v>
      </c>
      <c r="D294">
        <v>8054</v>
      </c>
      <c r="E294">
        <v>8123</v>
      </c>
      <c r="F294">
        <v>8</v>
      </c>
      <c r="G294">
        <v>9.1999999999999993</v>
      </c>
      <c r="H294">
        <v>0.86956524999999996</v>
      </c>
      <c r="I294">
        <v>0.13043477000000001</v>
      </c>
      <c r="J294">
        <v>0.53488369999999996</v>
      </c>
    </row>
    <row r="295" spans="1:10" x14ac:dyDescent="0.3">
      <c r="A295">
        <v>293</v>
      </c>
      <c r="B295">
        <v>4657</v>
      </c>
      <c r="C295" t="b">
        <v>1</v>
      </c>
      <c r="D295">
        <v>8054</v>
      </c>
      <c r="E295">
        <v>8129</v>
      </c>
      <c r="F295">
        <v>8</v>
      </c>
      <c r="G295">
        <v>8.8000000000000007</v>
      </c>
      <c r="H295">
        <v>0.90909090000000004</v>
      </c>
      <c r="I295">
        <v>9.0909110000000001E-2</v>
      </c>
      <c r="J295">
        <v>0.52380954999999996</v>
      </c>
    </row>
    <row r="296" spans="1:10" x14ac:dyDescent="0.3">
      <c r="A296">
        <v>294</v>
      </c>
      <c r="B296">
        <v>4681</v>
      </c>
      <c r="C296" t="b">
        <v>1</v>
      </c>
      <c r="D296">
        <v>8048</v>
      </c>
      <c r="E296">
        <v>8117</v>
      </c>
      <c r="F296">
        <v>8</v>
      </c>
      <c r="G296">
        <v>8.8000000000000007</v>
      </c>
      <c r="H296">
        <v>0.90909090000000004</v>
      </c>
      <c r="I296">
        <v>9.0909110000000001E-2</v>
      </c>
      <c r="J296">
        <v>0.52380954999999996</v>
      </c>
    </row>
    <row r="297" spans="1:10" x14ac:dyDescent="0.3">
      <c r="A297">
        <v>295</v>
      </c>
      <c r="B297">
        <v>4696</v>
      </c>
      <c r="C297" t="b">
        <v>1</v>
      </c>
      <c r="D297">
        <v>8048</v>
      </c>
      <c r="E297">
        <v>8117</v>
      </c>
      <c r="F297">
        <v>8</v>
      </c>
      <c r="G297">
        <v>8.4</v>
      </c>
      <c r="H297">
        <v>0.95238100000000003</v>
      </c>
      <c r="I297">
        <v>4.7619003999999999E-2</v>
      </c>
      <c r="J297">
        <v>0.51219510000000001</v>
      </c>
    </row>
    <row r="298" spans="1:10" x14ac:dyDescent="0.3">
      <c r="A298">
        <v>296</v>
      </c>
      <c r="B298">
        <v>4712</v>
      </c>
      <c r="C298" t="b">
        <v>1</v>
      </c>
      <c r="D298">
        <v>8048</v>
      </c>
      <c r="E298">
        <v>8117</v>
      </c>
      <c r="F298">
        <v>8</v>
      </c>
      <c r="G298">
        <v>8</v>
      </c>
      <c r="H298">
        <v>1</v>
      </c>
      <c r="I298">
        <v>0</v>
      </c>
      <c r="J298">
        <v>0.5</v>
      </c>
    </row>
    <row r="299" spans="1:10" x14ac:dyDescent="0.3">
      <c r="A299">
        <v>297</v>
      </c>
      <c r="B299">
        <v>4728</v>
      </c>
      <c r="C299" t="b">
        <v>1</v>
      </c>
      <c r="D299">
        <v>8048</v>
      </c>
      <c r="E299">
        <v>8117</v>
      </c>
      <c r="F299">
        <v>8</v>
      </c>
      <c r="G299">
        <v>7.6</v>
      </c>
      <c r="H299">
        <v>1.0526316</v>
      </c>
      <c r="I299">
        <v>-5.2631589999999999E-2</v>
      </c>
      <c r="J299">
        <v>0.48717946000000001</v>
      </c>
    </row>
    <row r="300" spans="1:10" x14ac:dyDescent="0.3">
      <c r="A300">
        <v>298</v>
      </c>
      <c r="B300">
        <v>4744</v>
      </c>
      <c r="C300" t="b">
        <v>1</v>
      </c>
      <c r="D300">
        <v>8048</v>
      </c>
      <c r="E300">
        <v>8117</v>
      </c>
      <c r="F300">
        <v>8</v>
      </c>
      <c r="G300">
        <v>7.2</v>
      </c>
      <c r="H300">
        <v>1.1111112000000001</v>
      </c>
      <c r="I300">
        <v>-0.11111114</v>
      </c>
      <c r="J300">
        <v>0.4736842</v>
      </c>
    </row>
    <row r="301" spans="1:10" x14ac:dyDescent="0.3">
      <c r="A301">
        <v>299</v>
      </c>
      <c r="B301">
        <v>4760</v>
      </c>
      <c r="C301" t="b">
        <v>1</v>
      </c>
      <c r="D301">
        <v>8048</v>
      </c>
      <c r="E301">
        <v>8123</v>
      </c>
      <c r="F301">
        <v>8</v>
      </c>
      <c r="G301">
        <v>6.8</v>
      </c>
      <c r="H301">
        <v>1.1764705</v>
      </c>
      <c r="I301">
        <v>-0.17647055</v>
      </c>
      <c r="J301">
        <v>0.45945944999999999</v>
      </c>
    </row>
    <row r="302" spans="1:10" x14ac:dyDescent="0.3">
      <c r="A302">
        <v>300</v>
      </c>
      <c r="B302">
        <v>4776</v>
      </c>
      <c r="C302" t="b">
        <v>1</v>
      </c>
      <c r="D302">
        <v>8048</v>
      </c>
      <c r="E302">
        <v>8129</v>
      </c>
      <c r="F302">
        <v>8</v>
      </c>
      <c r="G302">
        <v>6.4</v>
      </c>
      <c r="H302">
        <v>1.25</v>
      </c>
      <c r="I302">
        <v>-0.24999999000000001</v>
      </c>
      <c r="J302">
        <v>0.44444447999999998</v>
      </c>
    </row>
    <row r="303" spans="1:10" x14ac:dyDescent="0.3">
      <c r="A303">
        <v>301</v>
      </c>
      <c r="B303">
        <v>4792</v>
      </c>
      <c r="C303" t="b">
        <v>1</v>
      </c>
      <c r="D303">
        <v>8048</v>
      </c>
      <c r="E303">
        <v>8129</v>
      </c>
      <c r="F303">
        <v>8</v>
      </c>
      <c r="G303">
        <v>6.4</v>
      </c>
      <c r="H303">
        <v>1.25</v>
      </c>
      <c r="I303">
        <v>-0.24999999000000001</v>
      </c>
      <c r="J303">
        <v>0.44444447999999998</v>
      </c>
    </row>
    <row r="304" spans="1:10" x14ac:dyDescent="0.3">
      <c r="A304">
        <v>302</v>
      </c>
      <c r="B304">
        <v>4807</v>
      </c>
      <c r="C304" t="b">
        <v>1</v>
      </c>
      <c r="D304">
        <v>8048</v>
      </c>
      <c r="E304">
        <v>8123</v>
      </c>
      <c r="F304">
        <v>8</v>
      </c>
      <c r="G304">
        <v>6</v>
      </c>
      <c r="H304">
        <v>1.3333333999999999</v>
      </c>
      <c r="I304">
        <v>-0.33333333999999998</v>
      </c>
      <c r="J304">
        <v>0.42857142999999998</v>
      </c>
    </row>
    <row r="305" spans="1:10" x14ac:dyDescent="0.3">
      <c r="A305">
        <v>303</v>
      </c>
      <c r="B305">
        <v>4824</v>
      </c>
      <c r="C305" t="b">
        <v>1</v>
      </c>
      <c r="D305">
        <v>8054</v>
      </c>
      <c r="E305">
        <v>8123</v>
      </c>
      <c r="F305">
        <v>8</v>
      </c>
      <c r="G305">
        <v>6</v>
      </c>
      <c r="H305">
        <v>1.3333333999999999</v>
      </c>
      <c r="I305">
        <v>-0.33333333999999998</v>
      </c>
      <c r="J305">
        <v>0.42857142999999998</v>
      </c>
    </row>
    <row r="306" spans="1:10" x14ac:dyDescent="0.3">
      <c r="A306">
        <v>304</v>
      </c>
      <c r="B306">
        <v>4839</v>
      </c>
      <c r="C306" t="b">
        <v>1</v>
      </c>
      <c r="D306">
        <v>8048</v>
      </c>
      <c r="E306">
        <v>8129</v>
      </c>
      <c r="F306">
        <v>8</v>
      </c>
      <c r="G306">
        <v>6.4</v>
      </c>
      <c r="H306">
        <v>1.25</v>
      </c>
      <c r="I306">
        <v>-0.24999999000000001</v>
      </c>
      <c r="J306">
        <v>0.44444447999999998</v>
      </c>
    </row>
    <row r="307" spans="1:10" x14ac:dyDescent="0.3">
      <c r="A307">
        <v>305</v>
      </c>
      <c r="B307">
        <v>4855</v>
      </c>
      <c r="C307" t="b">
        <v>1</v>
      </c>
      <c r="D307">
        <v>8048</v>
      </c>
      <c r="E307">
        <v>8123</v>
      </c>
      <c r="F307">
        <v>8</v>
      </c>
      <c r="G307">
        <v>6.4</v>
      </c>
      <c r="H307">
        <v>1.25</v>
      </c>
      <c r="I307">
        <v>-0.24999999000000001</v>
      </c>
      <c r="J307">
        <v>0.44444447999999998</v>
      </c>
    </row>
    <row r="308" spans="1:10" x14ac:dyDescent="0.3">
      <c r="A308">
        <v>306</v>
      </c>
      <c r="B308">
        <v>4871</v>
      </c>
      <c r="C308" t="b">
        <v>1</v>
      </c>
      <c r="D308">
        <v>8054</v>
      </c>
      <c r="E308">
        <v>8117</v>
      </c>
      <c r="F308">
        <v>8</v>
      </c>
      <c r="G308">
        <v>6.4</v>
      </c>
      <c r="H308">
        <v>1.25</v>
      </c>
      <c r="I308">
        <v>-0.24999999000000001</v>
      </c>
      <c r="J308">
        <v>0.44444447999999998</v>
      </c>
    </row>
    <row r="309" spans="1:10" x14ac:dyDescent="0.3">
      <c r="A309">
        <v>307</v>
      </c>
      <c r="B309">
        <v>4887</v>
      </c>
      <c r="C309" t="b">
        <v>1</v>
      </c>
      <c r="D309">
        <v>8042</v>
      </c>
      <c r="E309">
        <v>8117</v>
      </c>
      <c r="F309">
        <v>8</v>
      </c>
      <c r="G309">
        <v>6.4</v>
      </c>
      <c r="H309">
        <v>1.25</v>
      </c>
      <c r="I309">
        <v>-0.24999999000000001</v>
      </c>
      <c r="J309">
        <v>0.44444447999999998</v>
      </c>
    </row>
    <row r="310" spans="1:10" x14ac:dyDescent="0.3">
      <c r="A310">
        <v>308</v>
      </c>
      <c r="B310">
        <v>4903</v>
      </c>
      <c r="C310" t="b">
        <v>1</v>
      </c>
      <c r="D310">
        <v>8042</v>
      </c>
      <c r="E310">
        <v>8117</v>
      </c>
      <c r="F310">
        <v>8</v>
      </c>
      <c r="G310">
        <v>6</v>
      </c>
      <c r="H310">
        <v>1.3333333999999999</v>
      </c>
      <c r="I310">
        <v>-0.33333333999999998</v>
      </c>
      <c r="J310">
        <v>0.42857142999999998</v>
      </c>
    </row>
    <row r="311" spans="1:10" x14ac:dyDescent="0.3">
      <c r="A311">
        <v>309</v>
      </c>
      <c r="B311">
        <v>4919</v>
      </c>
      <c r="C311" t="b">
        <v>1</v>
      </c>
      <c r="D311">
        <v>8042</v>
      </c>
      <c r="E311">
        <v>8117</v>
      </c>
      <c r="F311">
        <v>7.6</v>
      </c>
      <c r="G311">
        <v>5.6</v>
      </c>
      <c r="H311">
        <v>1.3571428000000001</v>
      </c>
      <c r="I311">
        <v>-0.35714287</v>
      </c>
      <c r="J311">
        <v>0.42424244</v>
      </c>
    </row>
    <row r="312" spans="1:10" x14ac:dyDescent="0.3">
      <c r="A312">
        <v>310</v>
      </c>
      <c r="B312">
        <v>4935</v>
      </c>
      <c r="C312" t="b">
        <v>1</v>
      </c>
      <c r="D312">
        <v>8048</v>
      </c>
      <c r="E312">
        <v>8117</v>
      </c>
      <c r="F312">
        <v>7.2</v>
      </c>
      <c r="G312">
        <v>5.2</v>
      </c>
      <c r="H312">
        <v>1.3846153999999999</v>
      </c>
      <c r="I312">
        <v>-0.3846154</v>
      </c>
      <c r="J312">
        <v>0.41935483000000001</v>
      </c>
    </row>
    <row r="313" spans="1:10" x14ac:dyDescent="0.3">
      <c r="A313">
        <v>311</v>
      </c>
      <c r="B313">
        <v>4950</v>
      </c>
      <c r="C313" t="b">
        <v>1</v>
      </c>
      <c r="D313">
        <v>8042</v>
      </c>
      <c r="E313">
        <v>8117</v>
      </c>
      <c r="F313">
        <v>6.8</v>
      </c>
      <c r="G313">
        <v>5.2</v>
      </c>
      <c r="H313">
        <v>1.3076924000000001</v>
      </c>
      <c r="I313">
        <v>-0.30769237999999999</v>
      </c>
      <c r="J313">
        <v>0.43333329999999998</v>
      </c>
    </row>
    <row r="314" spans="1:10" x14ac:dyDescent="0.3">
      <c r="A314">
        <v>312</v>
      </c>
      <c r="B314">
        <v>4966</v>
      </c>
      <c r="C314" t="b">
        <v>1</v>
      </c>
      <c r="D314">
        <v>8042</v>
      </c>
      <c r="E314">
        <v>8123</v>
      </c>
      <c r="F314">
        <v>6.4</v>
      </c>
      <c r="G314">
        <v>5.2</v>
      </c>
      <c r="H314">
        <v>1.2307693</v>
      </c>
      <c r="I314">
        <v>-0.23076928999999999</v>
      </c>
      <c r="J314">
        <v>0.44827582999999999</v>
      </c>
    </row>
    <row r="315" spans="1:10" x14ac:dyDescent="0.3">
      <c r="A315">
        <v>313</v>
      </c>
      <c r="B315">
        <v>4982</v>
      </c>
      <c r="C315" t="b">
        <v>1</v>
      </c>
      <c r="D315">
        <v>8048</v>
      </c>
      <c r="E315">
        <v>8134</v>
      </c>
      <c r="F315">
        <v>6</v>
      </c>
      <c r="G315">
        <v>5.2</v>
      </c>
      <c r="H315">
        <v>1.1538461</v>
      </c>
      <c r="I315">
        <v>-0.15384618999999999</v>
      </c>
      <c r="J315">
        <v>0.46428570000000002</v>
      </c>
    </row>
    <row r="316" spans="1:10" x14ac:dyDescent="0.3">
      <c r="A316">
        <v>314</v>
      </c>
      <c r="B316">
        <v>4998</v>
      </c>
      <c r="C316" t="b">
        <v>1</v>
      </c>
      <c r="D316">
        <v>8054</v>
      </c>
      <c r="E316">
        <v>8123</v>
      </c>
      <c r="F316">
        <v>6</v>
      </c>
      <c r="G316">
        <v>5.6</v>
      </c>
      <c r="H316">
        <v>1.0714284999999999</v>
      </c>
      <c r="I316">
        <v>-7.142859E-2</v>
      </c>
      <c r="J316">
        <v>0.48275859999999998</v>
      </c>
    </row>
    <row r="317" spans="1:10" x14ac:dyDescent="0.3">
      <c r="A317">
        <v>315</v>
      </c>
      <c r="B317">
        <v>5014</v>
      </c>
      <c r="C317" t="b">
        <v>1</v>
      </c>
      <c r="D317">
        <v>8048</v>
      </c>
      <c r="E317">
        <v>8123</v>
      </c>
      <c r="F317">
        <v>6</v>
      </c>
      <c r="G317">
        <v>6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5030</v>
      </c>
      <c r="C318" t="b">
        <v>1</v>
      </c>
      <c r="D318">
        <v>8048</v>
      </c>
      <c r="E318">
        <v>8129</v>
      </c>
      <c r="F318">
        <v>6</v>
      </c>
      <c r="G318">
        <v>6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5046</v>
      </c>
      <c r="C319" t="b">
        <v>1</v>
      </c>
      <c r="D319">
        <v>8048</v>
      </c>
      <c r="E319">
        <v>8123</v>
      </c>
      <c r="F319">
        <v>6</v>
      </c>
      <c r="G319">
        <v>6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5062</v>
      </c>
      <c r="C320" t="b">
        <v>1</v>
      </c>
      <c r="D320">
        <v>8048</v>
      </c>
      <c r="E320">
        <v>8123</v>
      </c>
      <c r="F320">
        <v>6</v>
      </c>
      <c r="G320">
        <v>6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5078</v>
      </c>
      <c r="C321" t="b">
        <v>1</v>
      </c>
      <c r="D321">
        <v>8042</v>
      </c>
      <c r="E321">
        <v>8123</v>
      </c>
      <c r="F321">
        <v>6</v>
      </c>
      <c r="G321">
        <v>5.6</v>
      </c>
      <c r="H321">
        <v>1.0714284999999999</v>
      </c>
      <c r="I321">
        <v>-7.142859E-2</v>
      </c>
      <c r="J321">
        <v>0.48275859999999998</v>
      </c>
    </row>
    <row r="322" spans="1:10" x14ac:dyDescent="0.3">
      <c r="A322">
        <v>320</v>
      </c>
      <c r="B322">
        <v>5094</v>
      </c>
      <c r="C322" t="b">
        <v>1</v>
      </c>
      <c r="D322">
        <v>8048</v>
      </c>
      <c r="E322">
        <v>8123</v>
      </c>
      <c r="F322">
        <v>6</v>
      </c>
      <c r="G322">
        <v>5.6</v>
      </c>
      <c r="H322">
        <v>1.0714284999999999</v>
      </c>
      <c r="I322">
        <v>-7.142859E-2</v>
      </c>
      <c r="J322">
        <v>0.48275859999999998</v>
      </c>
    </row>
    <row r="323" spans="1:10" x14ac:dyDescent="0.3">
      <c r="A323">
        <v>321</v>
      </c>
      <c r="B323">
        <v>5110</v>
      </c>
      <c r="C323" t="b">
        <v>1</v>
      </c>
      <c r="D323">
        <v>8042</v>
      </c>
      <c r="E323">
        <v>8123</v>
      </c>
      <c r="F323">
        <v>6</v>
      </c>
      <c r="G323">
        <v>5.6</v>
      </c>
      <c r="H323">
        <v>1.0714284999999999</v>
      </c>
      <c r="I323">
        <v>-7.142859E-2</v>
      </c>
      <c r="J323">
        <v>0.48275859999999998</v>
      </c>
    </row>
    <row r="324" spans="1:10" x14ac:dyDescent="0.3">
      <c r="A324">
        <v>322</v>
      </c>
      <c r="B324">
        <v>5126</v>
      </c>
      <c r="C324" t="b">
        <v>1</v>
      </c>
      <c r="D324">
        <v>8042</v>
      </c>
      <c r="E324">
        <v>8123</v>
      </c>
      <c r="F324">
        <v>5.6</v>
      </c>
      <c r="G324">
        <v>5.6</v>
      </c>
      <c r="H324">
        <v>1</v>
      </c>
      <c r="I324">
        <v>0</v>
      </c>
      <c r="J324">
        <v>0.5</v>
      </c>
    </row>
    <row r="325" spans="1:10" x14ac:dyDescent="0.3">
      <c r="A325">
        <v>323</v>
      </c>
      <c r="B325">
        <v>5142</v>
      </c>
      <c r="C325" t="b">
        <v>1</v>
      </c>
      <c r="D325">
        <v>8042</v>
      </c>
      <c r="E325">
        <v>8129</v>
      </c>
      <c r="F325">
        <v>5.2</v>
      </c>
      <c r="G325">
        <v>6</v>
      </c>
      <c r="H325">
        <v>0.86666659999999995</v>
      </c>
      <c r="I325">
        <v>0.13333337000000001</v>
      </c>
      <c r="J325">
        <v>0.53571427000000005</v>
      </c>
    </row>
    <row r="326" spans="1:10" x14ac:dyDescent="0.3">
      <c r="A326">
        <v>324</v>
      </c>
      <c r="B326">
        <v>5158</v>
      </c>
      <c r="C326" t="b">
        <v>1</v>
      </c>
      <c r="D326">
        <v>8042</v>
      </c>
      <c r="E326">
        <v>8123</v>
      </c>
      <c r="F326">
        <v>5.2</v>
      </c>
      <c r="G326">
        <v>6.4</v>
      </c>
      <c r="H326">
        <v>0.81249994000000003</v>
      </c>
      <c r="I326">
        <v>0.18750004000000001</v>
      </c>
      <c r="J326">
        <v>0.55172414000000003</v>
      </c>
    </row>
    <row r="327" spans="1:10" x14ac:dyDescent="0.3">
      <c r="A327">
        <v>325</v>
      </c>
      <c r="B327">
        <v>5174</v>
      </c>
      <c r="C327" t="b">
        <v>1</v>
      </c>
      <c r="D327">
        <v>8037</v>
      </c>
      <c r="E327">
        <v>8129</v>
      </c>
      <c r="F327">
        <v>5.2</v>
      </c>
      <c r="G327">
        <v>6.8</v>
      </c>
      <c r="H327">
        <v>0.76470583999999997</v>
      </c>
      <c r="I327">
        <v>0.23529416</v>
      </c>
      <c r="J327">
        <v>0.56666665999999999</v>
      </c>
    </row>
    <row r="328" spans="1:10" x14ac:dyDescent="0.3">
      <c r="A328">
        <v>326</v>
      </c>
      <c r="B328">
        <v>5189</v>
      </c>
      <c r="C328" t="b">
        <v>1</v>
      </c>
      <c r="D328">
        <v>8048</v>
      </c>
      <c r="E328">
        <v>8123</v>
      </c>
      <c r="F328">
        <v>5.2</v>
      </c>
      <c r="G328">
        <v>7.2</v>
      </c>
      <c r="H328">
        <v>0.72222220000000004</v>
      </c>
      <c r="I328">
        <v>0.27777780000000002</v>
      </c>
      <c r="J328">
        <v>0.58064514</v>
      </c>
    </row>
    <row r="329" spans="1:10" x14ac:dyDescent="0.3">
      <c r="A329">
        <v>327</v>
      </c>
      <c r="B329">
        <v>5205</v>
      </c>
      <c r="C329" t="b">
        <v>1</v>
      </c>
      <c r="D329">
        <v>8048</v>
      </c>
      <c r="E329">
        <v>8123</v>
      </c>
      <c r="F329">
        <v>5.2</v>
      </c>
      <c r="G329">
        <v>7.6</v>
      </c>
      <c r="H329">
        <v>0.68421054000000003</v>
      </c>
      <c r="I329">
        <v>0.3157895</v>
      </c>
      <c r="J329">
        <v>0.59375</v>
      </c>
    </row>
    <row r="330" spans="1:10" x14ac:dyDescent="0.3">
      <c r="A330">
        <v>328</v>
      </c>
      <c r="B330">
        <v>5221</v>
      </c>
      <c r="C330" t="b">
        <v>1</v>
      </c>
      <c r="D330">
        <v>8048</v>
      </c>
      <c r="E330">
        <v>8123</v>
      </c>
      <c r="F330">
        <v>5.6</v>
      </c>
      <c r="G330">
        <v>8</v>
      </c>
      <c r="H330">
        <v>0.7</v>
      </c>
      <c r="I330">
        <v>0.3</v>
      </c>
      <c r="J330">
        <v>0.58823526000000004</v>
      </c>
    </row>
    <row r="331" spans="1:10" x14ac:dyDescent="0.3">
      <c r="A331">
        <v>329</v>
      </c>
      <c r="B331">
        <v>5237</v>
      </c>
      <c r="C331" t="b">
        <v>1</v>
      </c>
      <c r="D331">
        <v>8054</v>
      </c>
      <c r="E331">
        <v>8129</v>
      </c>
      <c r="F331">
        <v>5.6</v>
      </c>
      <c r="G331">
        <v>8</v>
      </c>
      <c r="H331">
        <v>0.7</v>
      </c>
      <c r="I331">
        <v>0.3</v>
      </c>
      <c r="J331">
        <v>0.58823526000000004</v>
      </c>
    </row>
    <row r="332" spans="1:10" x14ac:dyDescent="0.3">
      <c r="A332">
        <v>330</v>
      </c>
      <c r="B332">
        <v>5253</v>
      </c>
      <c r="C332" t="b">
        <v>1</v>
      </c>
      <c r="D332">
        <v>8054</v>
      </c>
      <c r="E332">
        <v>8117</v>
      </c>
      <c r="F332">
        <v>5.6</v>
      </c>
      <c r="G332">
        <v>8</v>
      </c>
      <c r="H332">
        <v>0.7</v>
      </c>
      <c r="I332">
        <v>0.3</v>
      </c>
      <c r="J332">
        <v>0.58823526000000004</v>
      </c>
    </row>
    <row r="333" spans="1:10" x14ac:dyDescent="0.3">
      <c r="A333">
        <v>331</v>
      </c>
      <c r="B333">
        <v>5269</v>
      </c>
      <c r="C333" t="b">
        <v>1</v>
      </c>
      <c r="D333">
        <v>8048</v>
      </c>
      <c r="E333">
        <v>8117</v>
      </c>
      <c r="F333">
        <v>5.6</v>
      </c>
      <c r="G333">
        <v>8</v>
      </c>
      <c r="H333">
        <v>0.7</v>
      </c>
      <c r="I333">
        <v>0.3</v>
      </c>
      <c r="J333">
        <v>0.58823526000000004</v>
      </c>
    </row>
    <row r="334" spans="1:10" x14ac:dyDescent="0.3">
      <c r="A334">
        <v>332</v>
      </c>
      <c r="B334">
        <v>5285</v>
      </c>
      <c r="C334" t="b">
        <v>1</v>
      </c>
      <c r="D334">
        <v>8048</v>
      </c>
      <c r="E334">
        <v>8129</v>
      </c>
      <c r="F334">
        <v>5.6</v>
      </c>
      <c r="G334">
        <v>8</v>
      </c>
      <c r="H334">
        <v>0.7</v>
      </c>
      <c r="I334">
        <v>0.3</v>
      </c>
      <c r="J334">
        <v>0.58823526000000004</v>
      </c>
    </row>
    <row r="335" spans="1:10" x14ac:dyDescent="0.3">
      <c r="A335">
        <v>333</v>
      </c>
      <c r="B335">
        <v>5301</v>
      </c>
      <c r="C335" t="b">
        <v>1</v>
      </c>
      <c r="D335">
        <v>8048</v>
      </c>
      <c r="E335">
        <v>8123</v>
      </c>
      <c r="F335">
        <v>5.6</v>
      </c>
      <c r="G335">
        <v>8</v>
      </c>
      <c r="H335">
        <v>0.7</v>
      </c>
      <c r="I335">
        <v>0.3</v>
      </c>
      <c r="J335">
        <v>0.58823526000000004</v>
      </c>
    </row>
    <row r="336" spans="1:10" x14ac:dyDescent="0.3">
      <c r="A336">
        <v>334</v>
      </c>
      <c r="B336">
        <v>5317</v>
      </c>
      <c r="C336" t="b">
        <v>1</v>
      </c>
      <c r="D336">
        <v>8048</v>
      </c>
      <c r="E336">
        <v>8123</v>
      </c>
      <c r="F336">
        <v>5.6</v>
      </c>
      <c r="G336">
        <v>8</v>
      </c>
      <c r="H336">
        <v>0.7</v>
      </c>
      <c r="I336">
        <v>0.3</v>
      </c>
      <c r="J336">
        <v>0.58823526000000004</v>
      </c>
    </row>
    <row r="337" spans="1:10" x14ac:dyDescent="0.3">
      <c r="A337">
        <v>335</v>
      </c>
      <c r="B337">
        <v>5333</v>
      </c>
      <c r="C337" t="b">
        <v>1</v>
      </c>
      <c r="D337">
        <v>8048</v>
      </c>
      <c r="E337">
        <v>8123</v>
      </c>
      <c r="F337">
        <v>5.6</v>
      </c>
      <c r="G337">
        <v>8</v>
      </c>
      <c r="H337">
        <v>0.7</v>
      </c>
      <c r="I337">
        <v>0.3</v>
      </c>
      <c r="J337">
        <v>0.58823526000000004</v>
      </c>
    </row>
    <row r="338" spans="1:10" x14ac:dyDescent="0.3">
      <c r="A338">
        <v>336</v>
      </c>
      <c r="B338">
        <v>5349</v>
      </c>
      <c r="C338" t="b">
        <v>1</v>
      </c>
      <c r="D338">
        <v>8048</v>
      </c>
      <c r="E338">
        <v>8117</v>
      </c>
      <c r="F338">
        <v>5.6</v>
      </c>
      <c r="G338">
        <v>8</v>
      </c>
      <c r="H338">
        <v>0.7</v>
      </c>
      <c r="I338">
        <v>0.3</v>
      </c>
      <c r="J338">
        <v>0.58823526000000004</v>
      </c>
    </row>
    <row r="339" spans="1:10" x14ac:dyDescent="0.3">
      <c r="A339">
        <v>337</v>
      </c>
      <c r="B339">
        <v>5364</v>
      </c>
      <c r="C339" t="b">
        <v>1</v>
      </c>
      <c r="D339">
        <v>8048</v>
      </c>
      <c r="E339">
        <v>8123</v>
      </c>
      <c r="F339">
        <v>6</v>
      </c>
      <c r="G339">
        <v>8</v>
      </c>
      <c r="H339">
        <v>0.75</v>
      </c>
      <c r="I339">
        <v>0.25</v>
      </c>
      <c r="J339">
        <v>0.57142859999999995</v>
      </c>
    </row>
    <row r="340" spans="1:10" x14ac:dyDescent="0.3">
      <c r="A340">
        <v>338</v>
      </c>
      <c r="B340">
        <v>5381</v>
      </c>
      <c r="C340" t="b">
        <v>1</v>
      </c>
      <c r="D340">
        <v>8048</v>
      </c>
      <c r="E340">
        <v>8123</v>
      </c>
      <c r="F340">
        <v>6.4</v>
      </c>
      <c r="G340">
        <v>8</v>
      </c>
      <c r="H340">
        <v>0.8</v>
      </c>
      <c r="I340">
        <v>0.19999998999999999</v>
      </c>
      <c r="J340">
        <v>0.55555560000000004</v>
      </c>
    </row>
    <row r="341" spans="1:10" x14ac:dyDescent="0.3">
      <c r="A341">
        <v>339</v>
      </c>
      <c r="B341">
        <v>5396</v>
      </c>
      <c r="C341" t="b">
        <v>1</v>
      </c>
      <c r="D341">
        <v>8048</v>
      </c>
      <c r="E341">
        <v>8129</v>
      </c>
      <c r="F341">
        <v>6.8</v>
      </c>
      <c r="G341">
        <v>8</v>
      </c>
      <c r="H341">
        <v>0.85</v>
      </c>
      <c r="I341">
        <v>0.14999998</v>
      </c>
      <c r="J341">
        <v>0.54054049999999998</v>
      </c>
    </row>
    <row r="342" spans="1:10" x14ac:dyDescent="0.3">
      <c r="A342">
        <v>340</v>
      </c>
      <c r="B342">
        <v>5412</v>
      </c>
      <c r="C342" t="b">
        <v>1</v>
      </c>
      <c r="D342">
        <v>8054</v>
      </c>
      <c r="E342">
        <v>8129</v>
      </c>
      <c r="F342">
        <v>7.2</v>
      </c>
      <c r="G342">
        <v>8</v>
      </c>
      <c r="H342">
        <v>0.9</v>
      </c>
      <c r="I342">
        <v>0.10000002400000001</v>
      </c>
      <c r="J342">
        <v>0.5263158</v>
      </c>
    </row>
    <row r="343" spans="1:10" x14ac:dyDescent="0.3">
      <c r="A343">
        <v>341</v>
      </c>
      <c r="B343">
        <v>5428</v>
      </c>
      <c r="C343" t="b">
        <v>1</v>
      </c>
      <c r="D343">
        <v>8048</v>
      </c>
      <c r="E343">
        <v>8123</v>
      </c>
      <c r="F343">
        <v>7.6</v>
      </c>
      <c r="G343">
        <v>8</v>
      </c>
      <c r="H343">
        <v>0.95</v>
      </c>
      <c r="I343">
        <v>5.0000012000000003E-2</v>
      </c>
      <c r="J343">
        <v>0.51282050000000001</v>
      </c>
    </row>
    <row r="344" spans="1:10" x14ac:dyDescent="0.3">
      <c r="A344">
        <v>342</v>
      </c>
      <c r="B344">
        <v>5444</v>
      </c>
      <c r="C344" t="b">
        <v>1</v>
      </c>
      <c r="D344">
        <v>8048</v>
      </c>
      <c r="E344">
        <v>8123</v>
      </c>
      <c r="F344">
        <v>8</v>
      </c>
      <c r="G344">
        <v>8</v>
      </c>
      <c r="H344">
        <v>1</v>
      </c>
      <c r="I344">
        <v>0</v>
      </c>
      <c r="J344">
        <v>0.5</v>
      </c>
    </row>
    <row r="345" spans="1:10" x14ac:dyDescent="0.3">
      <c r="A345">
        <v>343</v>
      </c>
      <c r="B345">
        <v>5460</v>
      </c>
      <c r="C345" t="b">
        <v>1</v>
      </c>
      <c r="D345">
        <v>8048</v>
      </c>
      <c r="E345">
        <v>8123</v>
      </c>
      <c r="F345">
        <v>8</v>
      </c>
      <c r="G345">
        <v>8</v>
      </c>
      <c r="H345">
        <v>1</v>
      </c>
      <c r="I345">
        <v>0</v>
      </c>
      <c r="J345">
        <v>0.5</v>
      </c>
    </row>
    <row r="346" spans="1:10" x14ac:dyDescent="0.3">
      <c r="A346">
        <v>344</v>
      </c>
      <c r="B346">
        <v>5475</v>
      </c>
      <c r="C346" t="b">
        <v>1</v>
      </c>
      <c r="D346">
        <v>8048</v>
      </c>
      <c r="E346">
        <v>8123</v>
      </c>
      <c r="F346">
        <v>8</v>
      </c>
      <c r="G346">
        <v>8</v>
      </c>
      <c r="H346">
        <v>1</v>
      </c>
      <c r="I346">
        <v>0</v>
      </c>
      <c r="J346">
        <v>0.5</v>
      </c>
    </row>
    <row r="347" spans="1:10" x14ac:dyDescent="0.3">
      <c r="A347">
        <v>345</v>
      </c>
      <c r="B347">
        <v>5491</v>
      </c>
      <c r="C347" t="b">
        <v>1</v>
      </c>
      <c r="D347">
        <v>8048</v>
      </c>
      <c r="E347">
        <v>8129</v>
      </c>
      <c r="F347">
        <v>8</v>
      </c>
      <c r="G347">
        <v>8</v>
      </c>
      <c r="H347">
        <v>1</v>
      </c>
      <c r="I347">
        <v>0</v>
      </c>
      <c r="J347">
        <v>0.5</v>
      </c>
    </row>
    <row r="348" spans="1:10" x14ac:dyDescent="0.3">
      <c r="A348">
        <v>346</v>
      </c>
      <c r="B348">
        <v>5507</v>
      </c>
      <c r="C348" t="b">
        <v>1</v>
      </c>
      <c r="D348">
        <v>8048</v>
      </c>
      <c r="E348">
        <v>8129</v>
      </c>
      <c r="F348">
        <v>8</v>
      </c>
      <c r="G348">
        <v>8</v>
      </c>
      <c r="H348">
        <v>1</v>
      </c>
      <c r="I348">
        <v>0</v>
      </c>
      <c r="J348">
        <v>0.5</v>
      </c>
    </row>
    <row r="349" spans="1:10" x14ac:dyDescent="0.3">
      <c r="A349">
        <v>347</v>
      </c>
      <c r="B349">
        <v>5523</v>
      </c>
      <c r="C349" t="b">
        <v>1</v>
      </c>
      <c r="D349">
        <v>8048</v>
      </c>
      <c r="E349">
        <v>8129</v>
      </c>
      <c r="F349">
        <v>8</v>
      </c>
      <c r="G349">
        <v>8.4</v>
      </c>
      <c r="H349">
        <v>0.95238100000000003</v>
      </c>
      <c r="I349">
        <v>4.7619003999999999E-2</v>
      </c>
      <c r="J349">
        <v>0.51219510000000001</v>
      </c>
    </row>
    <row r="350" spans="1:10" x14ac:dyDescent="0.3">
      <c r="A350">
        <v>348</v>
      </c>
      <c r="B350">
        <v>5539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5555</v>
      </c>
      <c r="C351" t="b">
        <v>1</v>
      </c>
      <c r="D351">
        <v>8048</v>
      </c>
      <c r="E351">
        <v>8129</v>
      </c>
      <c r="F351">
        <v>8</v>
      </c>
      <c r="G351">
        <v>9.1999999999999993</v>
      </c>
      <c r="H351">
        <v>0.86956524999999996</v>
      </c>
      <c r="I351">
        <v>0.13043477000000001</v>
      </c>
      <c r="J351">
        <v>0.53488369999999996</v>
      </c>
    </row>
    <row r="352" spans="1:10" x14ac:dyDescent="0.3">
      <c r="A352">
        <v>350</v>
      </c>
      <c r="B352">
        <v>5571</v>
      </c>
      <c r="C352" t="b">
        <v>1</v>
      </c>
      <c r="D352">
        <v>8048</v>
      </c>
      <c r="E352">
        <v>8129</v>
      </c>
      <c r="F352">
        <v>8</v>
      </c>
      <c r="G352">
        <v>9.6</v>
      </c>
      <c r="H352">
        <v>0.83333330000000005</v>
      </c>
      <c r="I352">
        <v>0.1666667</v>
      </c>
      <c r="J352">
        <v>0.54545456000000003</v>
      </c>
    </row>
    <row r="353" spans="1:10" x14ac:dyDescent="0.3">
      <c r="A353">
        <v>351</v>
      </c>
      <c r="B353">
        <v>5586</v>
      </c>
      <c r="C353" t="b">
        <v>1</v>
      </c>
      <c r="D353">
        <v>8048</v>
      </c>
      <c r="E353">
        <v>8129</v>
      </c>
      <c r="F353">
        <v>8</v>
      </c>
      <c r="G353">
        <v>10</v>
      </c>
      <c r="H353">
        <v>0.8</v>
      </c>
      <c r="I353">
        <v>0.2</v>
      </c>
      <c r="J353">
        <v>0.55555560000000004</v>
      </c>
    </row>
    <row r="354" spans="1:10" x14ac:dyDescent="0.3">
      <c r="A354">
        <v>352</v>
      </c>
      <c r="B354">
        <v>5602</v>
      </c>
      <c r="C354" t="b">
        <v>1</v>
      </c>
      <c r="D354">
        <v>8042</v>
      </c>
      <c r="E354">
        <v>8134</v>
      </c>
      <c r="F354">
        <v>8</v>
      </c>
      <c r="G354">
        <v>10.4</v>
      </c>
      <c r="H354">
        <v>0.76923079999999999</v>
      </c>
      <c r="I354">
        <v>0.23076920000000001</v>
      </c>
      <c r="J354">
        <v>0.56521739999999998</v>
      </c>
    </row>
    <row r="355" spans="1:10" x14ac:dyDescent="0.3">
      <c r="A355">
        <v>353</v>
      </c>
      <c r="B355">
        <v>5618</v>
      </c>
      <c r="C355" t="b">
        <v>1</v>
      </c>
      <c r="D355">
        <v>8048</v>
      </c>
      <c r="E355">
        <v>8129</v>
      </c>
      <c r="F355">
        <v>8</v>
      </c>
      <c r="G355">
        <v>10.8</v>
      </c>
      <c r="H355">
        <v>0.74074070000000003</v>
      </c>
      <c r="I355">
        <v>0.25925927999999998</v>
      </c>
      <c r="J355">
        <v>0.57446814000000002</v>
      </c>
    </row>
    <row r="356" spans="1:10" x14ac:dyDescent="0.3">
      <c r="A356">
        <v>354</v>
      </c>
      <c r="B356">
        <v>5635</v>
      </c>
      <c r="C356" t="b">
        <v>1</v>
      </c>
      <c r="D356">
        <v>8048</v>
      </c>
      <c r="E356">
        <v>8123</v>
      </c>
      <c r="F356">
        <v>8</v>
      </c>
      <c r="G356">
        <v>11.2</v>
      </c>
      <c r="H356">
        <v>0.71428572999999995</v>
      </c>
      <c r="I356">
        <v>0.28571426999999999</v>
      </c>
      <c r="J356">
        <v>0.58333330000000005</v>
      </c>
    </row>
    <row r="357" spans="1:10" x14ac:dyDescent="0.3">
      <c r="A357">
        <v>355</v>
      </c>
      <c r="B357">
        <v>5651</v>
      </c>
      <c r="C357" t="b">
        <v>1</v>
      </c>
      <c r="D357">
        <v>8048</v>
      </c>
      <c r="E357">
        <v>8117</v>
      </c>
      <c r="F357">
        <v>8</v>
      </c>
      <c r="G357">
        <v>11.6</v>
      </c>
      <c r="H357">
        <v>0.68965509999999997</v>
      </c>
      <c r="I357">
        <v>0.31034485000000001</v>
      </c>
      <c r="J357">
        <v>0.59183675000000002</v>
      </c>
    </row>
    <row r="358" spans="1:10" x14ac:dyDescent="0.3">
      <c r="A358">
        <v>356</v>
      </c>
      <c r="B358">
        <v>5666</v>
      </c>
      <c r="C358" t="b">
        <v>1</v>
      </c>
      <c r="D358">
        <v>8048</v>
      </c>
      <c r="E358">
        <v>8123</v>
      </c>
      <c r="F358">
        <v>8</v>
      </c>
      <c r="G358">
        <v>11.6</v>
      </c>
      <c r="H358">
        <v>0.68965509999999997</v>
      </c>
      <c r="I358">
        <v>0.31034485000000001</v>
      </c>
      <c r="J358">
        <v>0.59183675000000002</v>
      </c>
    </row>
    <row r="359" spans="1:10" x14ac:dyDescent="0.3">
      <c r="A359">
        <v>357</v>
      </c>
      <c r="B359">
        <v>5683</v>
      </c>
      <c r="C359" t="b">
        <v>1</v>
      </c>
      <c r="D359">
        <v>8048</v>
      </c>
      <c r="E359">
        <v>8123</v>
      </c>
      <c r="F359">
        <v>8</v>
      </c>
      <c r="G359">
        <v>11.6</v>
      </c>
      <c r="H359">
        <v>0.68965509999999997</v>
      </c>
      <c r="I359">
        <v>0.31034485000000001</v>
      </c>
      <c r="J359">
        <v>0.59183675000000002</v>
      </c>
    </row>
    <row r="360" spans="1:10" x14ac:dyDescent="0.3">
      <c r="A360">
        <v>358</v>
      </c>
      <c r="B360">
        <v>5698</v>
      </c>
      <c r="C360" t="b">
        <v>1</v>
      </c>
      <c r="D360">
        <v>8048</v>
      </c>
      <c r="E360">
        <v>8123</v>
      </c>
      <c r="F360">
        <v>8</v>
      </c>
      <c r="G360">
        <v>11.6</v>
      </c>
      <c r="H360">
        <v>0.68965509999999997</v>
      </c>
      <c r="I360">
        <v>0.31034485000000001</v>
      </c>
      <c r="J360">
        <v>0.59183675000000002</v>
      </c>
    </row>
    <row r="361" spans="1:10" x14ac:dyDescent="0.3">
      <c r="A361">
        <v>359</v>
      </c>
      <c r="B361">
        <v>5714</v>
      </c>
      <c r="C361" t="b">
        <v>1</v>
      </c>
      <c r="D361">
        <v>8048</v>
      </c>
      <c r="E361">
        <v>8123</v>
      </c>
      <c r="F361">
        <v>8</v>
      </c>
      <c r="G361">
        <v>11.6</v>
      </c>
      <c r="H361">
        <v>0.68965509999999997</v>
      </c>
      <c r="I361">
        <v>0.31034485000000001</v>
      </c>
      <c r="J361">
        <v>0.59183675000000002</v>
      </c>
    </row>
    <row r="362" spans="1:10" x14ac:dyDescent="0.3">
      <c r="A362">
        <v>360</v>
      </c>
      <c r="B362">
        <v>5730</v>
      </c>
      <c r="C362" t="b">
        <v>1</v>
      </c>
      <c r="D362">
        <v>8048</v>
      </c>
      <c r="E362">
        <v>8123</v>
      </c>
      <c r="F362">
        <v>8</v>
      </c>
      <c r="G362">
        <v>11.6</v>
      </c>
      <c r="H362">
        <v>0.68965509999999997</v>
      </c>
      <c r="I362">
        <v>0.31034485000000001</v>
      </c>
      <c r="J362">
        <v>0.59183675000000002</v>
      </c>
    </row>
    <row r="363" spans="1:10" x14ac:dyDescent="0.3">
      <c r="A363">
        <v>361</v>
      </c>
      <c r="B363">
        <v>5746</v>
      </c>
      <c r="C363" t="b">
        <v>1</v>
      </c>
      <c r="D363">
        <v>8048</v>
      </c>
      <c r="E363">
        <v>8134</v>
      </c>
      <c r="F363">
        <v>8</v>
      </c>
      <c r="G363">
        <v>11.6</v>
      </c>
      <c r="H363">
        <v>0.68965509999999997</v>
      </c>
      <c r="I363">
        <v>0.31034485000000001</v>
      </c>
      <c r="J363">
        <v>0.59183675000000002</v>
      </c>
    </row>
    <row r="364" spans="1:10" x14ac:dyDescent="0.3">
      <c r="A364">
        <v>362</v>
      </c>
      <c r="B364">
        <v>5762</v>
      </c>
      <c r="C364" t="b">
        <v>1</v>
      </c>
      <c r="D364">
        <v>8048</v>
      </c>
      <c r="E364">
        <v>8129</v>
      </c>
      <c r="F364">
        <v>8</v>
      </c>
      <c r="G364">
        <v>11.2</v>
      </c>
      <c r="H364">
        <v>0.71428572999999995</v>
      </c>
      <c r="I364">
        <v>0.28571426999999999</v>
      </c>
      <c r="J364">
        <v>0.58333330000000005</v>
      </c>
    </row>
    <row r="365" spans="1:10" x14ac:dyDescent="0.3">
      <c r="A365">
        <v>363</v>
      </c>
      <c r="B365">
        <v>5777</v>
      </c>
      <c r="C365" t="b">
        <v>1</v>
      </c>
      <c r="D365">
        <v>8042</v>
      </c>
      <c r="E365">
        <v>8129</v>
      </c>
      <c r="F365">
        <v>8</v>
      </c>
      <c r="G365">
        <v>11.2</v>
      </c>
      <c r="H365">
        <v>0.71428572999999995</v>
      </c>
      <c r="I365">
        <v>0.28571426999999999</v>
      </c>
      <c r="J365">
        <v>0.58333330000000005</v>
      </c>
    </row>
    <row r="366" spans="1:10" x14ac:dyDescent="0.3">
      <c r="A366">
        <v>364</v>
      </c>
      <c r="B366">
        <v>5793</v>
      </c>
      <c r="C366" t="b">
        <v>1</v>
      </c>
      <c r="D366">
        <v>8054</v>
      </c>
      <c r="E366">
        <v>8129</v>
      </c>
      <c r="F366">
        <v>8</v>
      </c>
      <c r="G366">
        <v>11.2</v>
      </c>
      <c r="H366">
        <v>0.71428572999999995</v>
      </c>
      <c r="I366">
        <v>0.28571426999999999</v>
      </c>
      <c r="J366">
        <v>0.58333330000000005</v>
      </c>
    </row>
    <row r="367" spans="1:10" x14ac:dyDescent="0.3">
      <c r="A367">
        <v>365</v>
      </c>
      <c r="B367">
        <v>5809</v>
      </c>
      <c r="C367" t="b">
        <v>1</v>
      </c>
      <c r="D367">
        <v>8054</v>
      </c>
      <c r="E367">
        <v>8129</v>
      </c>
      <c r="F367">
        <v>8</v>
      </c>
      <c r="G367">
        <v>11.2</v>
      </c>
      <c r="H367">
        <v>0.71428572999999995</v>
      </c>
      <c r="I367">
        <v>0.28571426999999999</v>
      </c>
      <c r="J367">
        <v>0.58333330000000005</v>
      </c>
    </row>
    <row r="368" spans="1:10" x14ac:dyDescent="0.3">
      <c r="A368">
        <v>366</v>
      </c>
      <c r="B368">
        <v>5825</v>
      </c>
      <c r="C368" t="b">
        <v>1</v>
      </c>
      <c r="D368">
        <v>8054</v>
      </c>
      <c r="E368">
        <v>8134</v>
      </c>
      <c r="F368">
        <v>8.4</v>
      </c>
      <c r="G368">
        <v>11.2</v>
      </c>
      <c r="H368">
        <v>0.75</v>
      </c>
      <c r="I368">
        <v>0.25000002999999998</v>
      </c>
      <c r="J368">
        <v>0.57142859999999995</v>
      </c>
    </row>
    <row r="369" spans="1:10" x14ac:dyDescent="0.3">
      <c r="A369">
        <v>367</v>
      </c>
      <c r="B369">
        <v>5841</v>
      </c>
      <c r="C369" t="b">
        <v>1</v>
      </c>
      <c r="D369">
        <v>8054</v>
      </c>
      <c r="E369">
        <v>8134</v>
      </c>
      <c r="F369">
        <v>8.8000000000000007</v>
      </c>
      <c r="G369">
        <v>11.2</v>
      </c>
      <c r="H369">
        <v>0.78571429999999998</v>
      </c>
      <c r="I369">
        <v>0.21428569</v>
      </c>
      <c r="J369">
        <v>0.56000000000000005</v>
      </c>
    </row>
    <row r="370" spans="1:10" x14ac:dyDescent="0.3">
      <c r="A370">
        <v>368</v>
      </c>
      <c r="B370">
        <v>5857</v>
      </c>
      <c r="C370" t="b">
        <v>1</v>
      </c>
      <c r="D370">
        <v>8054</v>
      </c>
      <c r="E370">
        <v>8123</v>
      </c>
      <c r="F370">
        <v>9.1999999999999993</v>
      </c>
      <c r="G370">
        <v>11.2</v>
      </c>
      <c r="H370">
        <v>0.82142859999999995</v>
      </c>
      <c r="I370">
        <v>0.17857143</v>
      </c>
      <c r="J370">
        <v>0.54901962999999998</v>
      </c>
    </row>
    <row r="371" spans="1:10" x14ac:dyDescent="0.3">
      <c r="A371">
        <v>369</v>
      </c>
      <c r="B371">
        <v>5872</v>
      </c>
      <c r="C371" t="b">
        <v>1</v>
      </c>
      <c r="D371">
        <v>8054</v>
      </c>
      <c r="E371">
        <v>8129</v>
      </c>
      <c r="F371">
        <v>9.6</v>
      </c>
      <c r="G371">
        <v>11.2</v>
      </c>
      <c r="H371">
        <v>0.85714290000000004</v>
      </c>
      <c r="I371">
        <v>0.14285708999999999</v>
      </c>
      <c r="J371">
        <v>0.53846156999999994</v>
      </c>
    </row>
    <row r="372" spans="1:10" x14ac:dyDescent="0.3">
      <c r="A372">
        <v>370</v>
      </c>
      <c r="B372">
        <v>5889</v>
      </c>
      <c r="C372" t="b">
        <v>1</v>
      </c>
      <c r="D372">
        <v>8048</v>
      </c>
      <c r="E372">
        <v>8123</v>
      </c>
      <c r="F372">
        <v>10</v>
      </c>
      <c r="G372">
        <v>11.2</v>
      </c>
      <c r="H372">
        <v>0.89285713</v>
      </c>
      <c r="I372">
        <v>0.10714284</v>
      </c>
      <c r="J372">
        <v>0.52830184000000002</v>
      </c>
    </row>
    <row r="373" spans="1:10" x14ac:dyDescent="0.3">
      <c r="A373">
        <v>371</v>
      </c>
      <c r="B373">
        <v>5904</v>
      </c>
      <c r="C373" t="b">
        <v>1</v>
      </c>
      <c r="D373">
        <v>8048</v>
      </c>
      <c r="E373">
        <v>8123</v>
      </c>
      <c r="F373">
        <v>10.4</v>
      </c>
      <c r="G373">
        <v>11.2</v>
      </c>
      <c r="H373">
        <v>0.92857140000000005</v>
      </c>
      <c r="I373">
        <v>7.142859E-2</v>
      </c>
      <c r="J373">
        <v>0.51851857000000001</v>
      </c>
    </row>
    <row r="374" spans="1:10" x14ac:dyDescent="0.3">
      <c r="A374">
        <v>372</v>
      </c>
      <c r="B374">
        <v>5920</v>
      </c>
      <c r="C374" t="b">
        <v>1</v>
      </c>
      <c r="D374">
        <v>8048</v>
      </c>
      <c r="E374">
        <v>8129</v>
      </c>
      <c r="F374">
        <v>10.4</v>
      </c>
      <c r="G374">
        <v>11.2</v>
      </c>
      <c r="H374">
        <v>0.92857140000000005</v>
      </c>
      <c r="I374">
        <v>7.142859E-2</v>
      </c>
      <c r="J374">
        <v>0.51851857000000001</v>
      </c>
    </row>
    <row r="375" spans="1:10" x14ac:dyDescent="0.3">
      <c r="A375">
        <v>373</v>
      </c>
      <c r="B375">
        <v>5936</v>
      </c>
      <c r="C375" t="b">
        <v>1</v>
      </c>
      <c r="D375">
        <v>8048</v>
      </c>
      <c r="E375">
        <v>8123</v>
      </c>
      <c r="F375">
        <v>10.4</v>
      </c>
      <c r="G375">
        <v>11.2</v>
      </c>
      <c r="H375">
        <v>0.92857140000000005</v>
      </c>
      <c r="I375">
        <v>7.142859E-2</v>
      </c>
      <c r="J375">
        <v>0.51851857000000001</v>
      </c>
    </row>
    <row r="376" spans="1:10" x14ac:dyDescent="0.3">
      <c r="A376">
        <v>374</v>
      </c>
      <c r="B376">
        <v>5952</v>
      </c>
      <c r="C376" t="b">
        <v>1</v>
      </c>
      <c r="D376">
        <v>8048</v>
      </c>
      <c r="E376">
        <v>8117</v>
      </c>
      <c r="F376">
        <v>10.4</v>
      </c>
      <c r="G376">
        <v>11.2</v>
      </c>
      <c r="H376">
        <v>0.92857140000000005</v>
      </c>
      <c r="I376">
        <v>7.142859E-2</v>
      </c>
      <c r="J376">
        <v>0.51851857000000001</v>
      </c>
    </row>
    <row r="377" spans="1:10" x14ac:dyDescent="0.3">
      <c r="A377">
        <v>375</v>
      </c>
      <c r="B377">
        <v>5968</v>
      </c>
      <c r="C377" t="b">
        <v>1</v>
      </c>
      <c r="D377">
        <v>8048</v>
      </c>
      <c r="E377">
        <v>8123</v>
      </c>
      <c r="F377">
        <v>10.4</v>
      </c>
      <c r="G377">
        <v>11.2</v>
      </c>
      <c r="H377">
        <v>0.92857140000000005</v>
      </c>
      <c r="I377">
        <v>7.142859E-2</v>
      </c>
      <c r="J377">
        <v>0.51851857000000001</v>
      </c>
    </row>
    <row r="378" spans="1:10" x14ac:dyDescent="0.3">
      <c r="A378">
        <v>376</v>
      </c>
      <c r="B378">
        <v>5984</v>
      </c>
      <c r="C378" t="b">
        <v>1</v>
      </c>
      <c r="D378">
        <v>8048</v>
      </c>
      <c r="E378">
        <v>8129</v>
      </c>
      <c r="F378">
        <v>10.4</v>
      </c>
      <c r="G378">
        <v>11.2</v>
      </c>
      <c r="H378">
        <v>0.92857140000000005</v>
      </c>
      <c r="I378">
        <v>7.142859E-2</v>
      </c>
      <c r="J378">
        <v>0.51851857000000001</v>
      </c>
    </row>
    <row r="379" spans="1:10" x14ac:dyDescent="0.3">
      <c r="A379">
        <v>377</v>
      </c>
      <c r="B379">
        <v>6000</v>
      </c>
      <c r="C379" t="b">
        <v>1</v>
      </c>
      <c r="D379">
        <v>8048</v>
      </c>
      <c r="E379">
        <v>8123</v>
      </c>
      <c r="F379">
        <v>10.4</v>
      </c>
      <c r="G379">
        <v>11.2</v>
      </c>
      <c r="H379">
        <v>0.92857140000000005</v>
      </c>
      <c r="I379">
        <v>7.142859E-2</v>
      </c>
      <c r="J379">
        <v>0.51851857000000001</v>
      </c>
    </row>
    <row r="380" spans="1:10" x14ac:dyDescent="0.3">
      <c r="A380">
        <v>378</v>
      </c>
      <c r="B380">
        <v>6016</v>
      </c>
      <c r="C380" t="b">
        <v>1</v>
      </c>
      <c r="D380">
        <v>8048</v>
      </c>
      <c r="E380">
        <v>8117</v>
      </c>
      <c r="F380">
        <v>10.4</v>
      </c>
      <c r="G380">
        <v>10.8</v>
      </c>
      <c r="H380">
        <v>0.96296289999999996</v>
      </c>
      <c r="I380">
        <v>3.7037090000000002E-2</v>
      </c>
      <c r="J380">
        <v>0.5094339</v>
      </c>
    </row>
    <row r="381" spans="1:10" x14ac:dyDescent="0.3">
      <c r="A381">
        <v>379</v>
      </c>
      <c r="B381">
        <v>6032</v>
      </c>
      <c r="C381" t="b">
        <v>1</v>
      </c>
      <c r="D381">
        <v>8042</v>
      </c>
      <c r="E381">
        <v>8129</v>
      </c>
      <c r="F381">
        <v>10.4</v>
      </c>
      <c r="G381">
        <v>10.4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6048</v>
      </c>
      <c r="C382" t="b">
        <v>1</v>
      </c>
      <c r="D382">
        <v>8048</v>
      </c>
      <c r="E382">
        <v>8123</v>
      </c>
      <c r="F382">
        <v>10.4</v>
      </c>
      <c r="G382">
        <v>10</v>
      </c>
      <c r="H382">
        <v>1.04</v>
      </c>
      <c r="I382">
        <v>-3.9999960000000001E-2</v>
      </c>
      <c r="J382">
        <v>0.49019607999999998</v>
      </c>
    </row>
    <row r="383" spans="1:10" x14ac:dyDescent="0.3">
      <c r="A383">
        <v>381</v>
      </c>
      <c r="B383">
        <v>6064</v>
      </c>
      <c r="C383" t="b">
        <v>1</v>
      </c>
      <c r="D383">
        <v>8048</v>
      </c>
      <c r="E383">
        <v>8134</v>
      </c>
      <c r="F383">
        <v>10</v>
      </c>
      <c r="G383">
        <v>9.6</v>
      </c>
      <c r="H383">
        <v>1.0416666000000001</v>
      </c>
      <c r="I383">
        <v>-4.1666626999999998E-2</v>
      </c>
      <c r="J383">
        <v>0.48979592</v>
      </c>
    </row>
    <row r="384" spans="1:10" x14ac:dyDescent="0.3">
      <c r="A384">
        <v>382</v>
      </c>
      <c r="B384">
        <v>6079</v>
      </c>
      <c r="C384" t="b">
        <v>1</v>
      </c>
      <c r="D384">
        <v>8048</v>
      </c>
      <c r="E384">
        <v>8123</v>
      </c>
      <c r="F384">
        <v>9.6</v>
      </c>
      <c r="G384">
        <v>9.1999999999999993</v>
      </c>
      <c r="H384">
        <v>1.0434783999999999</v>
      </c>
      <c r="I384">
        <v>-4.3478324999999998E-2</v>
      </c>
      <c r="J384">
        <v>0.48936170000000001</v>
      </c>
    </row>
    <row r="385" spans="1:10" x14ac:dyDescent="0.3">
      <c r="A385">
        <v>383</v>
      </c>
      <c r="B385">
        <v>6095</v>
      </c>
      <c r="C385" t="b">
        <v>1</v>
      </c>
      <c r="D385">
        <v>8048</v>
      </c>
      <c r="E385">
        <v>8123</v>
      </c>
      <c r="F385">
        <v>9.1999999999999993</v>
      </c>
      <c r="G385">
        <v>8.8000000000000007</v>
      </c>
      <c r="H385">
        <v>1.0454545</v>
      </c>
      <c r="I385">
        <v>-4.5454502000000001E-2</v>
      </c>
      <c r="J385">
        <v>0.48888890000000002</v>
      </c>
    </row>
    <row r="386" spans="1:10" x14ac:dyDescent="0.3">
      <c r="A386">
        <v>384</v>
      </c>
      <c r="B386">
        <v>6111</v>
      </c>
      <c r="C386" t="b">
        <v>1</v>
      </c>
      <c r="D386">
        <v>8042</v>
      </c>
      <c r="E386">
        <v>8129</v>
      </c>
      <c r="F386">
        <v>8.8000000000000007</v>
      </c>
      <c r="G386">
        <v>8.4</v>
      </c>
      <c r="H386">
        <v>1.0476190999999999</v>
      </c>
      <c r="I386">
        <v>-4.7619120000000001E-2</v>
      </c>
      <c r="J386">
        <v>0.48837206</v>
      </c>
    </row>
    <row r="387" spans="1:10" x14ac:dyDescent="0.3">
      <c r="A387">
        <v>385</v>
      </c>
      <c r="B387">
        <v>6127</v>
      </c>
      <c r="C387" t="b">
        <v>1</v>
      </c>
      <c r="D387">
        <v>8042</v>
      </c>
      <c r="E387">
        <v>8129</v>
      </c>
      <c r="F387">
        <v>8.4</v>
      </c>
      <c r="G387">
        <v>8.4</v>
      </c>
      <c r="H387">
        <v>1</v>
      </c>
      <c r="I387">
        <v>0</v>
      </c>
      <c r="J387">
        <v>0.5</v>
      </c>
    </row>
    <row r="388" spans="1:10" x14ac:dyDescent="0.3">
      <c r="A388">
        <v>386</v>
      </c>
      <c r="B388">
        <v>6143</v>
      </c>
      <c r="C388" t="b">
        <v>1</v>
      </c>
      <c r="D388">
        <v>8048</v>
      </c>
      <c r="E388">
        <v>8129</v>
      </c>
      <c r="F388">
        <v>8</v>
      </c>
      <c r="G388">
        <v>8.8000000000000007</v>
      </c>
      <c r="H388">
        <v>0.90909090000000004</v>
      </c>
      <c r="I388">
        <v>9.0909110000000001E-2</v>
      </c>
      <c r="J388">
        <v>0.52380954999999996</v>
      </c>
    </row>
    <row r="389" spans="1:10" x14ac:dyDescent="0.3">
      <c r="A389">
        <v>387</v>
      </c>
      <c r="B389">
        <v>6158</v>
      </c>
      <c r="C389" t="b">
        <v>1</v>
      </c>
      <c r="D389">
        <v>8048</v>
      </c>
      <c r="E389">
        <v>8117</v>
      </c>
      <c r="F389">
        <v>8</v>
      </c>
      <c r="G389">
        <v>9.1999999999999993</v>
      </c>
      <c r="H389">
        <v>0.86956524999999996</v>
      </c>
      <c r="I389">
        <v>0.13043477000000001</v>
      </c>
      <c r="J389">
        <v>0.53488369999999996</v>
      </c>
    </row>
    <row r="390" spans="1:10" x14ac:dyDescent="0.3">
      <c r="A390">
        <v>388</v>
      </c>
      <c r="B390">
        <v>6174</v>
      </c>
      <c r="C390" t="b">
        <v>1</v>
      </c>
      <c r="D390">
        <v>8048</v>
      </c>
      <c r="E390">
        <v>8123</v>
      </c>
      <c r="F390">
        <v>8</v>
      </c>
      <c r="G390">
        <v>9.6</v>
      </c>
      <c r="H390">
        <v>0.83333330000000005</v>
      </c>
      <c r="I390">
        <v>0.1666667</v>
      </c>
      <c r="J390">
        <v>0.54545456000000003</v>
      </c>
    </row>
    <row r="391" spans="1:10" x14ac:dyDescent="0.3">
      <c r="A391">
        <v>389</v>
      </c>
      <c r="B391">
        <v>6190</v>
      </c>
      <c r="C391" t="b">
        <v>1</v>
      </c>
      <c r="D391">
        <v>8048</v>
      </c>
      <c r="E391">
        <v>8117</v>
      </c>
      <c r="F391">
        <v>8</v>
      </c>
      <c r="G391">
        <v>9.6</v>
      </c>
      <c r="H391">
        <v>0.83333330000000005</v>
      </c>
      <c r="I391">
        <v>0.1666667</v>
      </c>
      <c r="J391">
        <v>0.54545456000000003</v>
      </c>
    </row>
    <row r="392" spans="1:10" x14ac:dyDescent="0.3">
      <c r="A392">
        <v>390</v>
      </c>
      <c r="B392">
        <v>6205</v>
      </c>
      <c r="C392" t="b">
        <v>1</v>
      </c>
      <c r="D392">
        <v>8048</v>
      </c>
      <c r="E392">
        <v>8117</v>
      </c>
      <c r="F392">
        <v>8</v>
      </c>
      <c r="G392">
        <v>9.1999999999999993</v>
      </c>
      <c r="H392">
        <v>0.86956524999999996</v>
      </c>
      <c r="I392">
        <v>0.13043477000000001</v>
      </c>
      <c r="J392">
        <v>0.53488369999999996</v>
      </c>
    </row>
    <row r="393" spans="1:10" x14ac:dyDescent="0.3">
      <c r="A393">
        <v>391</v>
      </c>
      <c r="B393">
        <v>6221</v>
      </c>
      <c r="C393" t="b">
        <v>1</v>
      </c>
      <c r="D393">
        <v>8042</v>
      </c>
      <c r="E393">
        <v>8123</v>
      </c>
      <c r="F393">
        <v>8</v>
      </c>
      <c r="G393">
        <v>8.8000000000000007</v>
      </c>
      <c r="H393">
        <v>0.90909090000000004</v>
      </c>
      <c r="I393">
        <v>9.0909110000000001E-2</v>
      </c>
      <c r="J393">
        <v>0.52380954999999996</v>
      </c>
    </row>
    <row r="394" spans="1:10" x14ac:dyDescent="0.3">
      <c r="A394">
        <v>392</v>
      </c>
      <c r="B394">
        <v>6237</v>
      </c>
      <c r="C394" t="b">
        <v>1</v>
      </c>
      <c r="D394">
        <v>8048</v>
      </c>
      <c r="E394">
        <v>8134</v>
      </c>
      <c r="F394">
        <v>8</v>
      </c>
      <c r="G394">
        <v>8.8000000000000007</v>
      </c>
      <c r="H394">
        <v>0.90909090000000004</v>
      </c>
      <c r="I394">
        <v>9.0909110000000001E-2</v>
      </c>
      <c r="J394">
        <v>0.52380954999999996</v>
      </c>
    </row>
    <row r="395" spans="1:10" x14ac:dyDescent="0.3">
      <c r="A395">
        <v>393</v>
      </c>
      <c r="B395">
        <v>6252</v>
      </c>
      <c r="C395" t="b">
        <v>1</v>
      </c>
      <c r="D395">
        <v>8048</v>
      </c>
      <c r="E395">
        <v>8129</v>
      </c>
      <c r="F395">
        <v>8</v>
      </c>
      <c r="G395">
        <v>8.8000000000000007</v>
      </c>
      <c r="H395">
        <v>0.90909090000000004</v>
      </c>
      <c r="I395">
        <v>9.0909110000000001E-2</v>
      </c>
      <c r="J395">
        <v>0.52380954999999996</v>
      </c>
    </row>
    <row r="396" spans="1:10" x14ac:dyDescent="0.3">
      <c r="A396">
        <v>394</v>
      </c>
      <c r="B396">
        <v>6268</v>
      </c>
      <c r="C396" t="b">
        <v>1</v>
      </c>
      <c r="D396">
        <v>8042</v>
      </c>
      <c r="E396">
        <v>8134</v>
      </c>
      <c r="F396">
        <v>8</v>
      </c>
      <c r="G396">
        <v>9.1999999999999993</v>
      </c>
      <c r="H396">
        <v>0.86956524999999996</v>
      </c>
      <c r="I396">
        <v>0.13043477000000001</v>
      </c>
      <c r="J396">
        <v>0.53488369999999996</v>
      </c>
    </row>
    <row r="397" spans="1:10" x14ac:dyDescent="0.3">
      <c r="A397">
        <v>395</v>
      </c>
      <c r="B397">
        <v>6284</v>
      </c>
      <c r="C397" t="b">
        <v>1</v>
      </c>
      <c r="D397">
        <v>8048</v>
      </c>
      <c r="E397">
        <v>8129</v>
      </c>
      <c r="F397">
        <v>8</v>
      </c>
      <c r="G397">
        <v>9.6</v>
      </c>
      <c r="H397">
        <v>0.83333330000000005</v>
      </c>
      <c r="I397">
        <v>0.1666667</v>
      </c>
      <c r="J397">
        <v>0.54545456000000003</v>
      </c>
    </row>
    <row r="398" spans="1:10" x14ac:dyDescent="0.3">
      <c r="A398">
        <v>396</v>
      </c>
      <c r="B398">
        <v>6300</v>
      </c>
      <c r="C398" t="b">
        <v>1</v>
      </c>
      <c r="D398">
        <v>8048</v>
      </c>
      <c r="E398">
        <v>8123</v>
      </c>
      <c r="F398">
        <v>8</v>
      </c>
      <c r="G398">
        <v>10</v>
      </c>
      <c r="H398">
        <v>0.8</v>
      </c>
      <c r="I398">
        <v>0.2</v>
      </c>
      <c r="J398">
        <v>0.55555560000000004</v>
      </c>
    </row>
    <row r="399" spans="1:10" x14ac:dyDescent="0.3">
      <c r="A399">
        <v>397</v>
      </c>
      <c r="B399">
        <v>6316</v>
      </c>
      <c r="C399" t="b">
        <v>1</v>
      </c>
      <c r="D399">
        <v>8048</v>
      </c>
      <c r="E399">
        <v>8123</v>
      </c>
      <c r="F399">
        <v>8</v>
      </c>
      <c r="G399">
        <v>10.4</v>
      </c>
      <c r="H399">
        <v>0.76923079999999999</v>
      </c>
      <c r="I399">
        <v>0.23076920000000001</v>
      </c>
      <c r="J399">
        <v>0.56521739999999998</v>
      </c>
    </row>
    <row r="400" spans="1:10" x14ac:dyDescent="0.3">
      <c r="A400">
        <v>398</v>
      </c>
      <c r="B400">
        <v>6333</v>
      </c>
      <c r="C400" t="b">
        <v>1</v>
      </c>
      <c r="D400">
        <v>8054</v>
      </c>
      <c r="E400">
        <v>8129</v>
      </c>
      <c r="F400">
        <v>8</v>
      </c>
      <c r="G400">
        <v>10.8</v>
      </c>
      <c r="H400">
        <v>0.74074070000000003</v>
      </c>
      <c r="I400">
        <v>0.25925927999999998</v>
      </c>
      <c r="J400">
        <v>0.57446814000000002</v>
      </c>
    </row>
    <row r="401" spans="1:10" x14ac:dyDescent="0.3">
      <c r="A401">
        <v>399</v>
      </c>
      <c r="B401">
        <v>6349</v>
      </c>
      <c r="C401" t="b">
        <v>1</v>
      </c>
      <c r="D401">
        <v>8048</v>
      </c>
      <c r="E401">
        <v>8123</v>
      </c>
      <c r="F401">
        <v>8</v>
      </c>
      <c r="G401">
        <v>10.8</v>
      </c>
      <c r="H401">
        <v>0.74074070000000003</v>
      </c>
      <c r="I401">
        <v>0.25925927999999998</v>
      </c>
      <c r="J401">
        <v>0.57446814000000002</v>
      </c>
    </row>
    <row r="402" spans="1:10" x14ac:dyDescent="0.3">
      <c r="A402">
        <v>400</v>
      </c>
      <c r="B402">
        <v>6364</v>
      </c>
      <c r="C402" t="b">
        <v>1</v>
      </c>
      <c r="D402">
        <v>8048</v>
      </c>
      <c r="E402">
        <v>8123</v>
      </c>
      <c r="F402">
        <v>8</v>
      </c>
      <c r="G402">
        <v>10.4</v>
      </c>
      <c r="H402">
        <v>0.76923079999999999</v>
      </c>
      <c r="I402">
        <v>0.23076920000000001</v>
      </c>
      <c r="J402">
        <v>0.56521739999999998</v>
      </c>
    </row>
    <row r="403" spans="1:10" x14ac:dyDescent="0.3">
      <c r="A403">
        <v>401</v>
      </c>
      <c r="B403">
        <v>6380</v>
      </c>
      <c r="C403" t="b">
        <v>1</v>
      </c>
      <c r="D403">
        <v>8048</v>
      </c>
      <c r="E403">
        <v>8129</v>
      </c>
      <c r="F403">
        <v>8</v>
      </c>
      <c r="G403">
        <v>10</v>
      </c>
      <c r="H403">
        <v>0.8</v>
      </c>
      <c r="I403">
        <v>0.2</v>
      </c>
      <c r="J403">
        <v>0.55555560000000004</v>
      </c>
    </row>
    <row r="404" spans="1:10" x14ac:dyDescent="0.3">
      <c r="A404">
        <v>402</v>
      </c>
      <c r="B404">
        <v>6396</v>
      </c>
      <c r="C404" t="b">
        <v>1</v>
      </c>
      <c r="D404">
        <v>8048</v>
      </c>
      <c r="E404">
        <v>8123</v>
      </c>
      <c r="F404">
        <v>8</v>
      </c>
      <c r="G404">
        <v>9.6</v>
      </c>
      <c r="H404">
        <v>0.83333330000000005</v>
      </c>
      <c r="I404">
        <v>0.1666667</v>
      </c>
      <c r="J404">
        <v>0.54545456000000003</v>
      </c>
    </row>
    <row r="405" spans="1:10" x14ac:dyDescent="0.3">
      <c r="A405">
        <v>403</v>
      </c>
      <c r="B405">
        <v>6412</v>
      </c>
      <c r="C405" t="b">
        <v>1</v>
      </c>
      <c r="D405">
        <v>8048</v>
      </c>
      <c r="E405">
        <v>8129</v>
      </c>
      <c r="F405">
        <v>8</v>
      </c>
      <c r="G405">
        <v>9.1999999999999993</v>
      </c>
      <c r="H405">
        <v>0.86956524999999996</v>
      </c>
      <c r="I405">
        <v>0.13043477000000001</v>
      </c>
      <c r="J405">
        <v>0.53488369999999996</v>
      </c>
    </row>
    <row r="406" spans="1:10" x14ac:dyDescent="0.3">
      <c r="A406">
        <v>404</v>
      </c>
      <c r="B406">
        <v>6428</v>
      </c>
      <c r="C406" t="b">
        <v>1</v>
      </c>
      <c r="D406">
        <v>8048</v>
      </c>
      <c r="E406">
        <v>8123</v>
      </c>
      <c r="F406">
        <v>8</v>
      </c>
      <c r="G406">
        <v>9.1999999999999993</v>
      </c>
      <c r="H406">
        <v>0.86956524999999996</v>
      </c>
      <c r="I406">
        <v>0.13043477000000001</v>
      </c>
      <c r="J406">
        <v>0.53488369999999996</v>
      </c>
    </row>
    <row r="407" spans="1:10" x14ac:dyDescent="0.3">
      <c r="A407">
        <v>405</v>
      </c>
      <c r="B407">
        <v>6444</v>
      </c>
      <c r="C407" t="b">
        <v>1</v>
      </c>
      <c r="D407">
        <v>8042</v>
      </c>
      <c r="E407">
        <v>8117</v>
      </c>
      <c r="F407">
        <v>8</v>
      </c>
      <c r="G407">
        <v>9.6</v>
      </c>
      <c r="H407">
        <v>0.83333330000000005</v>
      </c>
      <c r="I407">
        <v>0.1666667</v>
      </c>
      <c r="J407">
        <v>0.54545456000000003</v>
      </c>
    </row>
    <row r="408" spans="1:10" x14ac:dyDescent="0.3">
      <c r="A408">
        <v>406</v>
      </c>
      <c r="B408">
        <v>6460</v>
      </c>
      <c r="C408" t="b">
        <v>1</v>
      </c>
      <c r="D408">
        <v>8042</v>
      </c>
      <c r="E408">
        <v>8123</v>
      </c>
      <c r="F408">
        <v>8</v>
      </c>
      <c r="G408">
        <v>10</v>
      </c>
      <c r="H408">
        <v>0.8</v>
      </c>
      <c r="I408">
        <v>0.2</v>
      </c>
      <c r="J408">
        <v>0.55555560000000004</v>
      </c>
    </row>
    <row r="409" spans="1:10" x14ac:dyDescent="0.3">
      <c r="A409">
        <v>407</v>
      </c>
      <c r="B409">
        <v>6475</v>
      </c>
      <c r="C409" t="b">
        <v>1</v>
      </c>
      <c r="D409">
        <v>8048</v>
      </c>
      <c r="E409">
        <v>8117</v>
      </c>
      <c r="F409">
        <v>8</v>
      </c>
      <c r="G409">
        <v>10</v>
      </c>
      <c r="H409">
        <v>0.8</v>
      </c>
      <c r="I409">
        <v>0.2</v>
      </c>
      <c r="J409">
        <v>0.55555560000000004</v>
      </c>
    </row>
    <row r="410" spans="1:10" x14ac:dyDescent="0.3">
      <c r="A410">
        <v>408</v>
      </c>
      <c r="B410">
        <v>6491</v>
      </c>
      <c r="C410" t="b">
        <v>1</v>
      </c>
      <c r="D410">
        <v>8048</v>
      </c>
      <c r="E410">
        <v>8117</v>
      </c>
      <c r="F410">
        <v>8</v>
      </c>
      <c r="G410">
        <v>9.6</v>
      </c>
      <c r="H410">
        <v>0.83333330000000005</v>
      </c>
      <c r="I410">
        <v>0.1666667</v>
      </c>
      <c r="J410">
        <v>0.54545456000000003</v>
      </c>
    </row>
    <row r="411" spans="1:10" x14ac:dyDescent="0.3">
      <c r="A411">
        <v>409</v>
      </c>
      <c r="B411">
        <v>6507</v>
      </c>
      <c r="C411" t="b">
        <v>1</v>
      </c>
      <c r="D411">
        <v>8048</v>
      </c>
      <c r="E411">
        <v>8123</v>
      </c>
      <c r="F411">
        <v>8</v>
      </c>
      <c r="G411">
        <v>8.8000000000000007</v>
      </c>
      <c r="H411">
        <v>0.90909090000000004</v>
      </c>
      <c r="I411">
        <v>9.0909110000000001E-2</v>
      </c>
      <c r="J411">
        <v>0.52380954999999996</v>
      </c>
    </row>
    <row r="412" spans="1:10" x14ac:dyDescent="0.3">
      <c r="A412">
        <v>410</v>
      </c>
      <c r="B412">
        <v>6523</v>
      </c>
      <c r="C412" t="b">
        <v>1</v>
      </c>
      <c r="D412">
        <v>8048</v>
      </c>
      <c r="E412">
        <v>8123</v>
      </c>
      <c r="F412">
        <v>8</v>
      </c>
      <c r="G412">
        <v>8.4</v>
      </c>
      <c r="H412">
        <v>0.95238100000000003</v>
      </c>
      <c r="I412">
        <v>4.7619003999999999E-2</v>
      </c>
      <c r="J412">
        <v>0.51219510000000001</v>
      </c>
    </row>
    <row r="413" spans="1:10" x14ac:dyDescent="0.3">
      <c r="A413">
        <v>411</v>
      </c>
      <c r="B413">
        <v>6539</v>
      </c>
      <c r="C413" t="b">
        <v>1</v>
      </c>
      <c r="D413">
        <v>8048</v>
      </c>
      <c r="E413">
        <v>8117</v>
      </c>
      <c r="F413">
        <v>8</v>
      </c>
      <c r="G413">
        <v>7.6</v>
      </c>
      <c r="H413">
        <v>1.0526316</v>
      </c>
      <c r="I413">
        <v>-5.2631589999999999E-2</v>
      </c>
      <c r="J413">
        <v>0.48717946000000001</v>
      </c>
    </row>
    <row r="414" spans="1:10" x14ac:dyDescent="0.3">
      <c r="A414">
        <v>412</v>
      </c>
      <c r="B414">
        <v>6555</v>
      </c>
      <c r="C414" t="b">
        <v>1</v>
      </c>
      <c r="D414">
        <v>8048</v>
      </c>
      <c r="E414">
        <v>8123</v>
      </c>
      <c r="F414">
        <v>8</v>
      </c>
      <c r="G414">
        <v>7.2</v>
      </c>
      <c r="H414">
        <v>1.1111112000000001</v>
      </c>
      <c r="I414">
        <v>-0.11111114</v>
      </c>
      <c r="J414">
        <v>0.4736842</v>
      </c>
    </row>
    <row r="415" spans="1:10" x14ac:dyDescent="0.3">
      <c r="A415">
        <v>413</v>
      </c>
      <c r="B415">
        <v>6571</v>
      </c>
      <c r="C415" t="b">
        <v>1</v>
      </c>
      <c r="D415">
        <v>8048</v>
      </c>
      <c r="E415">
        <v>8117</v>
      </c>
      <c r="F415">
        <v>8</v>
      </c>
      <c r="G415">
        <v>6.8</v>
      </c>
      <c r="H415">
        <v>1.1764705</v>
      </c>
      <c r="I415">
        <v>-0.17647055</v>
      </c>
      <c r="J415">
        <v>0.45945944999999999</v>
      </c>
    </row>
    <row r="416" spans="1:10" x14ac:dyDescent="0.3">
      <c r="A416">
        <v>414</v>
      </c>
      <c r="B416">
        <v>6587</v>
      </c>
      <c r="C416" t="b">
        <v>1</v>
      </c>
      <c r="D416">
        <v>8048</v>
      </c>
      <c r="E416">
        <v>8123</v>
      </c>
      <c r="F416">
        <v>8</v>
      </c>
      <c r="G416">
        <v>6.8</v>
      </c>
      <c r="H416">
        <v>1.1764705</v>
      </c>
      <c r="I416">
        <v>-0.17647055</v>
      </c>
      <c r="J416">
        <v>0.45945944999999999</v>
      </c>
    </row>
    <row r="417" spans="1:10" x14ac:dyDescent="0.3">
      <c r="A417">
        <v>415</v>
      </c>
      <c r="B417">
        <v>6603</v>
      </c>
      <c r="C417" t="b">
        <v>1</v>
      </c>
      <c r="D417">
        <v>8048</v>
      </c>
      <c r="E417">
        <v>8117</v>
      </c>
      <c r="F417">
        <v>8</v>
      </c>
      <c r="G417">
        <v>6.4</v>
      </c>
      <c r="H417">
        <v>1.25</v>
      </c>
      <c r="I417">
        <v>-0.24999999000000001</v>
      </c>
      <c r="J417">
        <v>0.44444447999999998</v>
      </c>
    </row>
    <row r="418" spans="1:10" x14ac:dyDescent="0.3">
      <c r="A418">
        <v>416</v>
      </c>
      <c r="B418">
        <v>6619</v>
      </c>
      <c r="C418" t="b">
        <v>1</v>
      </c>
      <c r="D418">
        <v>8048</v>
      </c>
      <c r="E418">
        <v>8123</v>
      </c>
      <c r="F418">
        <v>8</v>
      </c>
      <c r="G418">
        <v>6.4</v>
      </c>
      <c r="H418">
        <v>1.25</v>
      </c>
      <c r="I418">
        <v>-0.24999999000000001</v>
      </c>
      <c r="J418">
        <v>0.44444447999999998</v>
      </c>
    </row>
    <row r="419" spans="1:10" x14ac:dyDescent="0.3">
      <c r="A419">
        <v>417</v>
      </c>
      <c r="B419">
        <v>6635</v>
      </c>
      <c r="C419" t="b">
        <v>1</v>
      </c>
      <c r="D419">
        <v>8048</v>
      </c>
      <c r="E419">
        <v>8117</v>
      </c>
      <c r="F419">
        <v>8</v>
      </c>
      <c r="G419">
        <v>6</v>
      </c>
      <c r="H419">
        <v>1.3333333999999999</v>
      </c>
      <c r="I419">
        <v>-0.33333333999999998</v>
      </c>
      <c r="J419">
        <v>0.42857142999999998</v>
      </c>
    </row>
    <row r="420" spans="1:10" x14ac:dyDescent="0.3">
      <c r="A420">
        <v>418</v>
      </c>
      <c r="B420">
        <v>6651</v>
      </c>
      <c r="C420" t="b">
        <v>1</v>
      </c>
      <c r="D420">
        <v>8042</v>
      </c>
      <c r="E420">
        <v>8117</v>
      </c>
      <c r="F420">
        <v>8</v>
      </c>
      <c r="G420">
        <v>5.6</v>
      </c>
      <c r="H420">
        <v>1.4285715000000001</v>
      </c>
      <c r="I420">
        <v>-0.42857146000000002</v>
      </c>
      <c r="J420">
        <v>0.41176467999999999</v>
      </c>
    </row>
    <row r="421" spans="1:10" x14ac:dyDescent="0.3">
      <c r="A421">
        <v>419</v>
      </c>
      <c r="B421">
        <v>6667</v>
      </c>
      <c r="C421" t="b">
        <v>1</v>
      </c>
      <c r="D421">
        <v>8048</v>
      </c>
      <c r="E421">
        <v>8123</v>
      </c>
      <c r="F421">
        <v>8</v>
      </c>
      <c r="G421">
        <v>5.2</v>
      </c>
      <c r="H421">
        <v>1.5384616</v>
      </c>
      <c r="I421">
        <v>-0.53846156999999994</v>
      </c>
      <c r="J421">
        <v>0.39393938000000001</v>
      </c>
    </row>
    <row r="422" spans="1:10" x14ac:dyDescent="0.3">
      <c r="A422">
        <v>420</v>
      </c>
      <c r="B422">
        <v>6682</v>
      </c>
      <c r="C422" t="b">
        <v>1</v>
      </c>
      <c r="D422">
        <v>8048</v>
      </c>
      <c r="E422">
        <v>8129</v>
      </c>
      <c r="F422">
        <v>8</v>
      </c>
      <c r="G422">
        <v>5.2</v>
      </c>
      <c r="H422">
        <v>1.5384616</v>
      </c>
      <c r="I422">
        <v>-0.53846156999999994</v>
      </c>
      <c r="J422">
        <v>0.39393938000000001</v>
      </c>
    </row>
    <row r="423" spans="1:10" x14ac:dyDescent="0.3">
      <c r="A423">
        <v>421</v>
      </c>
      <c r="B423">
        <v>6698</v>
      </c>
      <c r="C423" t="b">
        <v>1</v>
      </c>
      <c r="D423">
        <v>8042</v>
      </c>
      <c r="E423">
        <v>8123</v>
      </c>
      <c r="F423">
        <v>8</v>
      </c>
      <c r="G423">
        <v>5.2</v>
      </c>
      <c r="H423">
        <v>1.5384616</v>
      </c>
      <c r="I423">
        <v>-0.53846156999999994</v>
      </c>
      <c r="J423">
        <v>0.39393938000000001</v>
      </c>
    </row>
    <row r="424" spans="1:10" x14ac:dyDescent="0.3">
      <c r="A424">
        <v>422</v>
      </c>
      <c r="B424">
        <v>6714</v>
      </c>
      <c r="C424" t="b">
        <v>1</v>
      </c>
      <c r="D424">
        <v>8048</v>
      </c>
      <c r="E424">
        <v>8123</v>
      </c>
      <c r="F424">
        <v>8</v>
      </c>
      <c r="G424">
        <v>5.2</v>
      </c>
      <c r="H424">
        <v>1.5384616</v>
      </c>
      <c r="I424">
        <v>-0.53846156999999994</v>
      </c>
      <c r="J424">
        <v>0.39393938000000001</v>
      </c>
    </row>
    <row r="425" spans="1:10" x14ac:dyDescent="0.3">
      <c r="A425">
        <v>423</v>
      </c>
      <c r="B425">
        <v>6730</v>
      </c>
      <c r="C425" t="b">
        <v>1</v>
      </c>
      <c r="D425">
        <v>8048</v>
      </c>
      <c r="E425">
        <v>8117</v>
      </c>
      <c r="F425">
        <v>8</v>
      </c>
      <c r="G425">
        <v>5.6</v>
      </c>
      <c r="H425">
        <v>1.4285715000000001</v>
      </c>
      <c r="I425">
        <v>-0.42857146000000002</v>
      </c>
      <c r="J425">
        <v>0.41176467999999999</v>
      </c>
    </row>
    <row r="426" spans="1:10" x14ac:dyDescent="0.3">
      <c r="A426">
        <v>424</v>
      </c>
      <c r="B426">
        <v>6746</v>
      </c>
      <c r="C426" t="b">
        <v>1</v>
      </c>
      <c r="D426">
        <v>8048</v>
      </c>
      <c r="E426">
        <v>8123</v>
      </c>
      <c r="F426">
        <v>8</v>
      </c>
      <c r="G426">
        <v>6</v>
      </c>
      <c r="H426">
        <v>1.3333333999999999</v>
      </c>
      <c r="I426">
        <v>-0.33333333999999998</v>
      </c>
      <c r="J426">
        <v>0.42857142999999998</v>
      </c>
    </row>
    <row r="427" spans="1:10" x14ac:dyDescent="0.3">
      <c r="A427">
        <v>425</v>
      </c>
      <c r="B427">
        <v>6761</v>
      </c>
      <c r="C427" t="b">
        <v>1</v>
      </c>
      <c r="D427">
        <v>8048</v>
      </c>
      <c r="E427">
        <v>8123</v>
      </c>
      <c r="F427">
        <v>8</v>
      </c>
      <c r="G427">
        <v>6</v>
      </c>
      <c r="H427">
        <v>1.3333333999999999</v>
      </c>
      <c r="I427">
        <v>-0.33333333999999998</v>
      </c>
      <c r="J427">
        <v>0.42857142999999998</v>
      </c>
    </row>
    <row r="428" spans="1:10" x14ac:dyDescent="0.3">
      <c r="A428">
        <v>426</v>
      </c>
      <c r="B428">
        <v>6777</v>
      </c>
      <c r="C428" t="b">
        <v>1</v>
      </c>
      <c r="D428">
        <v>8048</v>
      </c>
      <c r="E428">
        <v>8117</v>
      </c>
      <c r="F428">
        <v>8</v>
      </c>
      <c r="G428">
        <v>6.4</v>
      </c>
      <c r="H428">
        <v>1.25</v>
      </c>
      <c r="I428">
        <v>-0.24999999000000001</v>
      </c>
      <c r="J428">
        <v>0.44444447999999998</v>
      </c>
    </row>
    <row r="429" spans="1:10" x14ac:dyDescent="0.3">
      <c r="A429">
        <v>427</v>
      </c>
      <c r="B429">
        <v>6793</v>
      </c>
      <c r="C429" t="b">
        <v>1</v>
      </c>
      <c r="D429">
        <v>8048</v>
      </c>
      <c r="E429">
        <v>8117</v>
      </c>
      <c r="F429">
        <v>8</v>
      </c>
      <c r="G429">
        <v>6</v>
      </c>
      <c r="H429">
        <v>1.3333333999999999</v>
      </c>
      <c r="I429">
        <v>-0.33333333999999998</v>
      </c>
      <c r="J429">
        <v>0.42857142999999998</v>
      </c>
    </row>
    <row r="430" spans="1:10" x14ac:dyDescent="0.3">
      <c r="A430">
        <v>428</v>
      </c>
      <c r="B430">
        <v>6809</v>
      </c>
      <c r="C430" t="b">
        <v>1</v>
      </c>
      <c r="D430">
        <v>8048</v>
      </c>
      <c r="E430">
        <v>8117</v>
      </c>
      <c r="F430">
        <v>8</v>
      </c>
      <c r="G430">
        <v>5.6</v>
      </c>
      <c r="H430">
        <v>1.4285715000000001</v>
      </c>
      <c r="I430">
        <v>-0.42857146000000002</v>
      </c>
      <c r="J430">
        <v>0.41176467999999999</v>
      </c>
    </row>
    <row r="431" spans="1:10" x14ac:dyDescent="0.3">
      <c r="A431">
        <v>429</v>
      </c>
      <c r="B431">
        <v>6824</v>
      </c>
      <c r="C431" t="b">
        <v>1</v>
      </c>
      <c r="D431">
        <v>8054</v>
      </c>
      <c r="E431">
        <v>8123</v>
      </c>
      <c r="F431">
        <v>8</v>
      </c>
      <c r="G431">
        <v>5.2</v>
      </c>
      <c r="H431">
        <v>1.5384616</v>
      </c>
      <c r="I431">
        <v>-0.53846156999999994</v>
      </c>
      <c r="J431">
        <v>0.39393938000000001</v>
      </c>
    </row>
    <row r="432" spans="1:10" x14ac:dyDescent="0.3">
      <c r="A432">
        <v>430</v>
      </c>
      <c r="B432">
        <v>6840</v>
      </c>
      <c r="C432" t="b">
        <v>1</v>
      </c>
      <c r="D432">
        <v>8048</v>
      </c>
      <c r="E432">
        <v>8123</v>
      </c>
      <c r="F432">
        <v>8</v>
      </c>
      <c r="G432">
        <v>5.2</v>
      </c>
      <c r="H432">
        <v>1.5384616</v>
      </c>
      <c r="I432">
        <v>-0.53846156999999994</v>
      </c>
      <c r="J432">
        <v>0.39393938000000001</v>
      </c>
    </row>
    <row r="433" spans="1:10" x14ac:dyDescent="0.3">
      <c r="A433">
        <v>431</v>
      </c>
      <c r="B433">
        <v>6856</v>
      </c>
      <c r="C433" t="b">
        <v>1</v>
      </c>
      <c r="D433">
        <v>8048</v>
      </c>
      <c r="E433">
        <v>8123</v>
      </c>
      <c r="F433">
        <v>8</v>
      </c>
      <c r="G433">
        <v>5.2</v>
      </c>
      <c r="H433">
        <v>1.5384616</v>
      </c>
      <c r="I433">
        <v>-0.53846156999999994</v>
      </c>
      <c r="J433">
        <v>0.39393938000000001</v>
      </c>
    </row>
    <row r="434" spans="1:10" x14ac:dyDescent="0.3">
      <c r="A434">
        <v>432</v>
      </c>
      <c r="B434">
        <v>6872</v>
      </c>
      <c r="C434" t="b">
        <v>1</v>
      </c>
      <c r="D434">
        <v>8048</v>
      </c>
      <c r="E434">
        <v>8123</v>
      </c>
      <c r="F434">
        <v>8</v>
      </c>
      <c r="G434">
        <v>5.6</v>
      </c>
      <c r="H434">
        <v>1.4285715000000001</v>
      </c>
      <c r="I434">
        <v>-0.42857146000000002</v>
      </c>
      <c r="J434">
        <v>0.41176467999999999</v>
      </c>
    </row>
    <row r="435" spans="1:10" x14ac:dyDescent="0.3">
      <c r="A435">
        <v>433</v>
      </c>
      <c r="B435">
        <v>6888</v>
      </c>
      <c r="C435" t="b">
        <v>1</v>
      </c>
      <c r="D435">
        <v>8048</v>
      </c>
      <c r="E435">
        <v>8123</v>
      </c>
      <c r="F435">
        <v>8</v>
      </c>
      <c r="G435">
        <v>6</v>
      </c>
      <c r="H435">
        <v>1.3333333999999999</v>
      </c>
      <c r="I435">
        <v>-0.33333333999999998</v>
      </c>
      <c r="J435">
        <v>0.42857142999999998</v>
      </c>
    </row>
    <row r="436" spans="1:10" x14ac:dyDescent="0.3">
      <c r="A436">
        <v>434</v>
      </c>
      <c r="B436">
        <v>6903</v>
      </c>
      <c r="C436" t="b">
        <v>1</v>
      </c>
      <c r="D436">
        <v>8048</v>
      </c>
      <c r="E436">
        <v>8134</v>
      </c>
      <c r="F436">
        <v>8</v>
      </c>
      <c r="G436">
        <v>6.4</v>
      </c>
      <c r="H436">
        <v>1.25</v>
      </c>
      <c r="I436">
        <v>-0.24999999000000001</v>
      </c>
      <c r="J436">
        <v>0.44444447999999998</v>
      </c>
    </row>
    <row r="437" spans="1:10" x14ac:dyDescent="0.3">
      <c r="A437">
        <v>435</v>
      </c>
      <c r="B437">
        <v>6919</v>
      </c>
      <c r="C437" t="b">
        <v>1</v>
      </c>
      <c r="D437">
        <v>8048</v>
      </c>
      <c r="E437">
        <v>8123</v>
      </c>
      <c r="F437">
        <v>8</v>
      </c>
      <c r="G437">
        <v>6.4</v>
      </c>
      <c r="H437">
        <v>1.25</v>
      </c>
      <c r="I437">
        <v>-0.24999999000000001</v>
      </c>
      <c r="J437">
        <v>0.44444447999999998</v>
      </c>
    </row>
    <row r="438" spans="1:10" x14ac:dyDescent="0.3">
      <c r="A438">
        <v>436</v>
      </c>
      <c r="B438">
        <v>6935</v>
      </c>
      <c r="C438" t="b">
        <v>1</v>
      </c>
      <c r="D438">
        <v>8048</v>
      </c>
      <c r="E438">
        <v>8117</v>
      </c>
      <c r="F438">
        <v>8</v>
      </c>
      <c r="G438">
        <v>6.4</v>
      </c>
      <c r="H438">
        <v>1.25</v>
      </c>
      <c r="I438">
        <v>-0.24999999000000001</v>
      </c>
      <c r="J438">
        <v>0.44444447999999998</v>
      </c>
    </row>
    <row r="439" spans="1:10" x14ac:dyDescent="0.3">
      <c r="A439">
        <v>437</v>
      </c>
      <c r="B439">
        <v>6951</v>
      </c>
      <c r="C439" t="b">
        <v>1</v>
      </c>
      <c r="D439">
        <v>8048</v>
      </c>
      <c r="E439">
        <v>8129</v>
      </c>
      <c r="F439">
        <v>8</v>
      </c>
      <c r="G439">
        <v>6.4</v>
      </c>
      <c r="H439">
        <v>1.25</v>
      </c>
      <c r="I439">
        <v>-0.24999999000000001</v>
      </c>
      <c r="J439">
        <v>0.44444447999999998</v>
      </c>
    </row>
    <row r="440" spans="1:10" x14ac:dyDescent="0.3">
      <c r="A440">
        <v>438</v>
      </c>
      <c r="B440">
        <v>6967</v>
      </c>
      <c r="C440" t="b">
        <v>1</v>
      </c>
      <c r="D440">
        <v>8048</v>
      </c>
      <c r="E440">
        <v>8117</v>
      </c>
      <c r="F440">
        <v>8</v>
      </c>
      <c r="G440">
        <v>6.4</v>
      </c>
      <c r="H440">
        <v>1.25</v>
      </c>
      <c r="I440">
        <v>-0.24999999000000001</v>
      </c>
      <c r="J440">
        <v>0.44444447999999998</v>
      </c>
    </row>
    <row r="441" spans="1:10" x14ac:dyDescent="0.3">
      <c r="A441">
        <v>439</v>
      </c>
      <c r="B441">
        <v>6983</v>
      </c>
      <c r="C441" t="b">
        <v>1</v>
      </c>
      <c r="D441">
        <v>8054</v>
      </c>
      <c r="E441">
        <v>8117</v>
      </c>
      <c r="F441">
        <v>8</v>
      </c>
      <c r="G441">
        <v>6</v>
      </c>
      <c r="H441">
        <v>1.3333333999999999</v>
      </c>
      <c r="I441">
        <v>-0.33333333999999998</v>
      </c>
      <c r="J441">
        <v>0.42857142999999998</v>
      </c>
    </row>
    <row r="442" spans="1:10" x14ac:dyDescent="0.3">
      <c r="A442">
        <v>440</v>
      </c>
      <c r="B442">
        <v>6999</v>
      </c>
      <c r="C442" t="b">
        <v>1</v>
      </c>
      <c r="D442">
        <v>8048</v>
      </c>
      <c r="E442">
        <v>8117</v>
      </c>
      <c r="F442">
        <v>8</v>
      </c>
      <c r="G442">
        <v>5.6</v>
      </c>
      <c r="H442">
        <v>1.4285715000000001</v>
      </c>
      <c r="I442">
        <v>-0.42857146000000002</v>
      </c>
      <c r="J442">
        <v>0.41176467999999999</v>
      </c>
    </row>
    <row r="443" spans="1:10" x14ac:dyDescent="0.3">
      <c r="A443">
        <v>441</v>
      </c>
      <c r="B443">
        <v>7015</v>
      </c>
      <c r="C443" t="b">
        <v>1</v>
      </c>
      <c r="D443">
        <v>8042</v>
      </c>
      <c r="E443">
        <v>8117</v>
      </c>
      <c r="F443">
        <v>8</v>
      </c>
      <c r="G443">
        <v>5.2</v>
      </c>
      <c r="H443">
        <v>1.5384616</v>
      </c>
      <c r="I443">
        <v>-0.53846156999999994</v>
      </c>
      <c r="J443">
        <v>0.39393938000000001</v>
      </c>
    </row>
    <row r="444" spans="1:10" x14ac:dyDescent="0.3">
      <c r="A444">
        <v>442</v>
      </c>
      <c r="B444">
        <v>7031</v>
      </c>
      <c r="C444" t="b">
        <v>1</v>
      </c>
      <c r="D444">
        <v>8048</v>
      </c>
      <c r="E444">
        <v>8129</v>
      </c>
      <c r="F444">
        <v>8</v>
      </c>
      <c r="G444">
        <v>5.2</v>
      </c>
      <c r="H444">
        <v>1.5384616</v>
      </c>
      <c r="I444">
        <v>-0.53846156999999994</v>
      </c>
      <c r="J444">
        <v>0.39393938000000001</v>
      </c>
    </row>
    <row r="445" spans="1:10" x14ac:dyDescent="0.3">
      <c r="A445">
        <v>443</v>
      </c>
      <c r="B445">
        <v>7046</v>
      </c>
      <c r="C445" t="b">
        <v>1</v>
      </c>
      <c r="D445">
        <v>8042</v>
      </c>
      <c r="E445">
        <v>8123</v>
      </c>
      <c r="F445">
        <v>8</v>
      </c>
      <c r="G445">
        <v>5.2</v>
      </c>
      <c r="H445">
        <v>1.5384616</v>
      </c>
      <c r="I445">
        <v>-0.53846156999999994</v>
      </c>
      <c r="J445">
        <v>0.39393938000000001</v>
      </c>
    </row>
    <row r="446" spans="1:10" x14ac:dyDescent="0.3">
      <c r="A446">
        <v>444</v>
      </c>
      <c r="B446">
        <v>7062</v>
      </c>
      <c r="C446" t="b">
        <v>1</v>
      </c>
      <c r="D446">
        <v>8048</v>
      </c>
      <c r="E446">
        <v>8129</v>
      </c>
      <c r="F446">
        <v>8</v>
      </c>
      <c r="G446">
        <v>5.6</v>
      </c>
      <c r="H446">
        <v>1.4285715000000001</v>
      </c>
      <c r="I446">
        <v>-0.42857146000000002</v>
      </c>
      <c r="J446">
        <v>0.41176467999999999</v>
      </c>
    </row>
    <row r="447" spans="1:10" x14ac:dyDescent="0.3">
      <c r="A447">
        <v>445</v>
      </c>
      <c r="B447">
        <v>7078</v>
      </c>
      <c r="C447" t="b">
        <v>1</v>
      </c>
      <c r="D447">
        <v>8048</v>
      </c>
      <c r="E447">
        <v>8123</v>
      </c>
      <c r="F447">
        <v>8</v>
      </c>
      <c r="G447">
        <v>6</v>
      </c>
      <c r="H447">
        <v>1.3333333999999999</v>
      </c>
      <c r="I447">
        <v>-0.33333333999999998</v>
      </c>
      <c r="J447">
        <v>0.42857142999999998</v>
      </c>
    </row>
    <row r="448" spans="1:10" x14ac:dyDescent="0.3">
      <c r="A448">
        <v>446</v>
      </c>
      <c r="B448">
        <v>7094</v>
      </c>
      <c r="C448" t="b">
        <v>1</v>
      </c>
      <c r="D448">
        <v>8048</v>
      </c>
      <c r="E448">
        <v>8123</v>
      </c>
      <c r="F448">
        <v>8</v>
      </c>
      <c r="G448">
        <v>6</v>
      </c>
      <c r="H448">
        <v>1.3333333999999999</v>
      </c>
      <c r="I448">
        <v>-0.33333333999999998</v>
      </c>
      <c r="J448">
        <v>0.42857142999999998</v>
      </c>
    </row>
    <row r="449" spans="1:10" x14ac:dyDescent="0.3">
      <c r="A449">
        <v>447</v>
      </c>
      <c r="B449">
        <v>7110</v>
      </c>
      <c r="C449" t="b">
        <v>1</v>
      </c>
      <c r="D449">
        <v>8048</v>
      </c>
      <c r="E449">
        <v>8123</v>
      </c>
      <c r="F449">
        <v>8</v>
      </c>
      <c r="G449">
        <v>6</v>
      </c>
      <c r="H449">
        <v>1.3333333999999999</v>
      </c>
      <c r="I449">
        <v>-0.33333333999999998</v>
      </c>
      <c r="J449">
        <v>0.42857142999999998</v>
      </c>
    </row>
    <row r="450" spans="1:10" x14ac:dyDescent="0.3">
      <c r="A450">
        <v>448</v>
      </c>
      <c r="B450">
        <v>7126</v>
      </c>
      <c r="C450" t="b">
        <v>1</v>
      </c>
      <c r="D450">
        <v>8048</v>
      </c>
      <c r="E450">
        <v>8123</v>
      </c>
      <c r="F450">
        <v>8</v>
      </c>
      <c r="G450">
        <v>6</v>
      </c>
      <c r="H450">
        <v>1.3333333999999999</v>
      </c>
      <c r="I450">
        <v>-0.33333333999999998</v>
      </c>
      <c r="J450">
        <v>0.42857142999999998</v>
      </c>
    </row>
    <row r="451" spans="1:10" x14ac:dyDescent="0.3">
      <c r="A451">
        <v>449</v>
      </c>
      <c r="B451">
        <v>7141</v>
      </c>
      <c r="C451" t="b">
        <v>1</v>
      </c>
      <c r="D451">
        <v>8048</v>
      </c>
      <c r="E451">
        <v>8129</v>
      </c>
      <c r="F451">
        <v>8</v>
      </c>
      <c r="G451">
        <v>6</v>
      </c>
      <c r="H451">
        <v>1.3333333999999999</v>
      </c>
      <c r="I451">
        <v>-0.33333333999999998</v>
      </c>
      <c r="J451">
        <v>0.42857142999999998</v>
      </c>
    </row>
    <row r="452" spans="1:10" x14ac:dyDescent="0.3">
      <c r="A452">
        <v>450</v>
      </c>
      <c r="B452">
        <v>7157</v>
      </c>
      <c r="C452" t="b">
        <v>1</v>
      </c>
      <c r="D452">
        <v>8042</v>
      </c>
      <c r="E452">
        <v>8123</v>
      </c>
      <c r="F452">
        <v>8</v>
      </c>
      <c r="G452">
        <v>6</v>
      </c>
      <c r="H452">
        <v>1.3333333999999999</v>
      </c>
      <c r="I452">
        <v>-0.33333333999999998</v>
      </c>
      <c r="J452">
        <v>0.42857142999999998</v>
      </c>
    </row>
    <row r="453" spans="1:10" x14ac:dyDescent="0.3">
      <c r="A453">
        <v>451</v>
      </c>
      <c r="B453">
        <v>7173</v>
      </c>
      <c r="C453" t="b">
        <v>1</v>
      </c>
      <c r="D453">
        <v>8048</v>
      </c>
      <c r="E453">
        <v>8123</v>
      </c>
      <c r="F453">
        <v>8</v>
      </c>
      <c r="G453">
        <v>6</v>
      </c>
      <c r="H453">
        <v>1.3333333999999999</v>
      </c>
      <c r="I453">
        <v>-0.33333333999999998</v>
      </c>
      <c r="J453">
        <v>0.42857142999999998</v>
      </c>
    </row>
    <row r="454" spans="1:10" x14ac:dyDescent="0.3">
      <c r="A454">
        <v>452</v>
      </c>
      <c r="B454">
        <v>7189</v>
      </c>
      <c r="C454" t="b">
        <v>1</v>
      </c>
      <c r="D454">
        <v>8048</v>
      </c>
      <c r="E454">
        <v>8129</v>
      </c>
      <c r="F454">
        <v>8</v>
      </c>
      <c r="G454">
        <v>6</v>
      </c>
      <c r="H454">
        <v>1.3333333999999999</v>
      </c>
      <c r="I454">
        <v>-0.33333333999999998</v>
      </c>
      <c r="J454">
        <v>0.42857142999999998</v>
      </c>
    </row>
    <row r="455" spans="1:10" x14ac:dyDescent="0.3">
      <c r="A455">
        <v>453</v>
      </c>
      <c r="B455">
        <v>7204</v>
      </c>
      <c r="C455" t="b">
        <v>1</v>
      </c>
      <c r="D455">
        <v>8042</v>
      </c>
      <c r="E455">
        <v>8129</v>
      </c>
      <c r="F455">
        <v>8</v>
      </c>
      <c r="G455">
        <v>6.4</v>
      </c>
      <c r="H455">
        <v>1.25</v>
      </c>
      <c r="I455">
        <v>-0.24999999000000001</v>
      </c>
      <c r="J455">
        <v>0.44444447999999998</v>
      </c>
    </row>
    <row r="456" spans="1:10" x14ac:dyDescent="0.3">
      <c r="A456">
        <v>454</v>
      </c>
      <c r="B456">
        <v>7220</v>
      </c>
      <c r="C456" t="b">
        <v>1</v>
      </c>
      <c r="D456">
        <v>8048</v>
      </c>
      <c r="E456">
        <v>8134</v>
      </c>
      <c r="F456">
        <v>8</v>
      </c>
      <c r="G456">
        <v>7.2</v>
      </c>
      <c r="H456">
        <v>1.1111112000000001</v>
      </c>
      <c r="I456">
        <v>-0.11111114</v>
      </c>
      <c r="J456">
        <v>0.4736842</v>
      </c>
    </row>
    <row r="457" spans="1:10" x14ac:dyDescent="0.3">
      <c r="A457">
        <v>455</v>
      </c>
      <c r="B457">
        <v>7236</v>
      </c>
      <c r="C457" t="b">
        <v>1</v>
      </c>
      <c r="D457">
        <v>8048</v>
      </c>
      <c r="E457">
        <v>8134</v>
      </c>
      <c r="F457">
        <v>8</v>
      </c>
      <c r="G457">
        <v>8</v>
      </c>
      <c r="H457">
        <v>1</v>
      </c>
      <c r="I457">
        <v>0</v>
      </c>
      <c r="J457">
        <v>0.5</v>
      </c>
    </row>
    <row r="458" spans="1:10" x14ac:dyDescent="0.3">
      <c r="A458">
        <v>456</v>
      </c>
      <c r="B458">
        <v>7252</v>
      </c>
      <c r="C458" t="b">
        <v>1</v>
      </c>
      <c r="D458">
        <v>8048</v>
      </c>
      <c r="E458">
        <v>8129</v>
      </c>
      <c r="F458">
        <v>8</v>
      </c>
      <c r="G458">
        <v>8.8000000000000007</v>
      </c>
      <c r="H458">
        <v>0.90909090000000004</v>
      </c>
      <c r="I458">
        <v>9.0909110000000001E-2</v>
      </c>
      <c r="J458">
        <v>0.52380954999999996</v>
      </c>
    </row>
    <row r="459" spans="1:10" x14ac:dyDescent="0.3">
      <c r="A459">
        <v>457</v>
      </c>
      <c r="B459">
        <v>7268</v>
      </c>
      <c r="C459" t="b">
        <v>1</v>
      </c>
      <c r="D459">
        <v>8048</v>
      </c>
      <c r="E459">
        <v>8129</v>
      </c>
      <c r="F459">
        <v>8</v>
      </c>
      <c r="G459">
        <v>9.6</v>
      </c>
      <c r="H459">
        <v>0.83333330000000005</v>
      </c>
      <c r="I459">
        <v>0.1666667</v>
      </c>
      <c r="J459">
        <v>0.54545456000000003</v>
      </c>
    </row>
    <row r="460" spans="1:10" x14ac:dyDescent="0.3">
      <c r="A460">
        <v>458</v>
      </c>
      <c r="B460">
        <v>7284</v>
      </c>
      <c r="C460" t="b">
        <v>1</v>
      </c>
      <c r="D460">
        <v>8042</v>
      </c>
      <c r="E460">
        <v>8129</v>
      </c>
      <c r="F460">
        <v>8</v>
      </c>
      <c r="G460">
        <v>10.4</v>
      </c>
      <c r="H460">
        <v>0.76923079999999999</v>
      </c>
      <c r="I460">
        <v>0.23076920000000001</v>
      </c>
      <c r="J460">
        <v>0.56521739999999998</v>
      </c>
    </row>
    <row r="461" spans="1:10" x14ac:dyDescent="0.3">
      <c r="A461">
        <v>459</v>
      </c>
      <c r="B461">
        <v>7300</v>
      </c>
      <c r="C461" t="b">
        <v>1</v>
      </c>
      <c r="D461">
        <v>8048</v>
      </c>
      <c r="E461">
        <v>8129</v>
      </c>
      <c r="F461">
        <v>8</v>
      </c>
      <c r="G461">
        <v>10.8</v>
      </c>
      <c r="H461">
        <v>0.74074070000000003</v>
      </c>
      <c r="I461">
        <v>0.25925927999999998</v>
      </c>
      <c r="J461">
        <v>0.57446814000000002</v>
      </c>
    </row>
    <row r="462" spans="1:10" x14ac:dyDescent="0.3">
      <c r="A462">
        <v>460</v>
      </c>
      <c r="B462">
        <v>7316</v>
      </c>
      <c r="C462" t="b">
        <v>1</v>
      </c>
      <c r="D462">
        <v>8054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7332</v>
      </c>
      <c r="C463" t="b">
        <v>1</v>
      </c>
      <c r="D463">
        <v>8054</v>
      </c>
      <c r="E463">
        <v>8129</v>
      </c>
      <c r="F463">
        <v>8</v>
      </c>
      <c r="G463">
        <v>11.6</v>
      </c>
      <c r="H463">
        <v>0.68965509999999997</v>
      </c>
      <c r="I463">
        <v>0.31034485000000001</v>
      </c>
      <c r="J463">
        <v>0.59183675000000002</v>
      </c>
    </row>
    <row r="464" spans="1:10" x14ac:dyDescent="0.3">
      <c r="A464">
        <v>462</v>
      </c>
      <c r="B464">
        <v>7348</v>
      </c>
      <c r="C464" t="b">
        <v>1</v>
      </c>
      <c r="D464">
        <v>8054</v>
      </c>
      <c r="E464">
        <v>8129</v>
      </c>
      <c r="F464">
        <v>8.4</v>
      </c>
      <c r="G464">
        <v>12</v>
      </c>
      <c r="H464">
        <v>0.7</v>
      </c>
      <c r="I464">
        <v>0.30000004000000002</v>
      </c>
      <c r="J464">
        <v>0.58823530000000002</v>
      </c>
    </row>
    <row r="465" spans="1:10" x14ac:dyDescent="0.3">
      <c r="A465">
        <v>463</v>
      </c>
      <c r="B465">
        <v>7364</v>
      </c>
      <c r="C465" t="b">
        <v>1</v>
      </c>
      <c r="D465">
        <v>8054</v>
      </c>
      <c r="E465">
        <v>8129</v>
      </c>
      <c r="F465">
        <v>8.8000000000000007</v>
      </c>
      <c r="G465">
        <v>12.4</v>
      </c>
      <c r="H465">
        <v>0.70967745999999998</v>
      </c>
      <c r="I465">
        <v>0.29032254000000002</v>
      </c>
      <c r="J465">
        <v>0.58490560000000003</v>
      </c>
    </row>
    <row r="466" spans="1:10" x14ac:dyDescent="0.3">
      <c r="A466">
        <v>464</v>
      </c>
      <c r="B466">
        <v>7380</v>
      </c>
      <c r="C466" t="b">
        <v>1</v>
      </c>
      <c r="D466">
        <v>8054</v>
      </c>
      <c r="E466">
        <v>8123</v>
      </c>
      <c r="F466">
        <v>9.1999999999999993</v>
      </c>
      <c r="G466">
        <v>12.8</v>
      </c>
      <c r="H466">
        <v>0.71875</v>
      </c>
      <c r="I466">
        <v>0.28125002999999998</v>
      </c>
      <c r="J466">
        <v>0.58181815999999997</v>
      </c>
    </row>
    <row r="467" spans="1:10" x14ac:dyDescent="0.3">
      <c r="A467">
        <v>465</v>
      </c>
      <c r="B467">
        <v>7396</v>
      </c>
      <c r="C467" t="b">
        <v>1</v>
      </c>
      <c r="D467">
        <v>8054</v>
      </c>
      <c r="E467">
        <v>8129</v>
      </c>
      <c r="F467">
        <v>9.6</v>
      </c>
      <c r="G467">
        <v>13.2</v>
      </c>
      <c r="H467">
        <v>0.72727275000000002</v>
      </c>
      <c r="I467">
        <v>0.27272721999999999</v>
      </c>
      <c r="J467">
        <v>0.57894736999999996</v>
      </c>
    </row>
    <row r="468" spans="1:10" x14ac:dyDescent="0.3">
      <c r="A468">
        <v>466</v>
      </c>
      <c r="B468">
        <v>7411</v>
      </c>
      <c r="C468" t="b">
        <v>1</v>
      </c>
      <c r="D468">
        <v>8048</v>
      </c>
      <c r="E468">
        <v>8123</v>
      </c>
      <c r="F468">
        <v>10</v>
      </c>
      <c r="G468">
        <v>13.6</v>
      </c>
      <c r="H468">
        <v>0.73529409999999995</v>
      </c>
      <c r="I468">
        <v>0.26470589999999999</v>
      </c>
      <c r="J468">
        <v>0.57627119999999998</v>
      </c>
    </row>
    <row r="469" spans="1:10" x14ac:dyDescent="0.3">
      <c r="A469">
        <v>467</v>
      </c>
      <c r="B469">
        <v>7427</v>
      </c>
      <c r="C469" t="b">
        <v>1</v>
      </c>
      <c r="D469">
        <v>8048</v>
      </c>
      <c r="E469">
        <v>8134</v>
      </c>
      <c r="F469">
        <v>10.4</v>
      </c>
      <c r="G469">
        <v>14</v>
      </c>
      <c r="H469">
        <v>0.74285710000000005</v>
      </c>
      <c r="I469">
        <v>0.25714287000000002</v>
      </c>
      <c r="J469">
        <v>0.57377049999999996</v>
      </c>
    </row>
    <row r="470" spans="1:10" x14ac:dyDescent="0.3">
      <c r="A470">
        <v>468</v>
      </c>
      <c r="B470">
        <v>7443</v>
      </c>
      <c r="C470" t="b">
        <v>1</v>
      </c>
      <c r="D470">
        <v>8048</v>
      </c>
      <c r="E470">
        <v>8134</v>
      </c>
      <c r="F470">
        <v>10.4</v>
      </c>
      <c r="G470">
        <v>14</v>
      </c>
      <c r="H470">
        <v>0.74285710000000005</v>
      </c>
      <c r="I470">
        <v>0.25714287000000002</v>
      </c>
      <c r="J470">
        <v>0.57377049999999996</v>
      </c>
    </row>
    <row r="471" spans="1:10" x14ac:dyDescent="0.3">
      <c r="A471">
        <v>469</v>
      </c>
      <c r="B471">
        <v>7459</v>
      </c>
      <c r="C471" t="b">
        <v>1</v>
      </c>
      <c r="D471">
        <v>8048</v>
      </c>
      <c r="E471">
        <v>8134</v>
      </c>
      <c r="F471">
        <v>10.4</v>
      </c>
      <c r="G471">
        <v>14.333333</v>
      </c>
      <c r="H471">
        <v>0.72558140000000004</v>
      </c>
      <c r="I471">
        <v>0.27441862</v>
      </c>
      <c r="J471">
        <v>0.5795148</v>
      </c>
    </row>
    <row r="472" spans="1:10" x14ac:dyDescent="0.3">
      <c r="A472">
        <v>470</v>
      </c>
      <c r="B472">
        <v>7475</v>
      </c>
      <c r="C472" t="b">
        <v>1</v>
      </c>
      <c r="D472">
        <v>8042</v>
      </c>
      <c r="E472">
        <v>8134</v>
      </c>
      <c r="F472">
        <v>10.4</v>
      </c>
      <c r="G472">
        <v>14.666667</v>
      </c>
      <c r="H472">
        <v>0.70909089999999997</v>
      </c>
      <c r="I472">
        <v>0.29090914000000001</v>
      </c>
      <c r="J472">
        <v>0.58510642999999996</v>
      </c>
    </row>
    <row r="473" spans="1:10" x14ac:dyDescent="0.3">
      <c r="A473">
        <v>471</v>
      </c>
      <c r="B473">
        <v>7491</v>
      </c>
      <c r="C473" t="b">
        <v>1</v>
      </c>
      <c r="D473">
        <v>8042</v>
      </c>
      <c r="E473">
        <v>8129</v>
      </c>
      <c r="F473">
        <v>10.4</v>
      </c>
      <c r="G473">
        <v>15</v>
      </c>
      <c r="H473">
        <v>0.69333330000000004</v>
      </c>
      <c r="I473">
        <v>0.30666670000000001</v>
      </c>
      <c r="J473">
        <v>0.59055120000000005</v>
      </c>
    </row>
    <row r="474" spans="1:10" x14ac:dyDescent="0.3">
      <c r="A474">
        <v>472</v>
      </c>
      <c r="B474">
        <v>7506</v>
      </c>
      <c r="C474" t="b">
        <v>1</v>
      </c>
      <c r="D474">
        <v>8048</v>
      </c>
      <c r="E474">
        <v>8123</v>
      </c>
      <c r="F474">
        <v>10.4</v>
      </c>
      <c r="G474">
        <v>15.333333</v>
      </c>
      <c r="H474">
        <v>0.67826085999999997</v>
      </c>
      <c r="I474">
        <v>0.32173913999999998</v>
      </c>
      <c r="J474">
        <v>0.59585489999999997</v>
      </c>
    </row>
    <row r="475" spans="1:10" x14ac:dyDescent="0.3">
      <c r="A475">
        <v>473</v>
      </c>
      <c r="B475">
        <v>7522</v>
      </c>
      <c r="C475" t="b">
        <v>1</v>
      </c>
      <c r="D475">
        <v>8042</v>
      </c>
      <c r="E475">
        <v>8123</v>
      </c>
      <c r="F475">
        <v>10</v>
      </c>
      <c r="G475">
        <v>15.333333</v>
      </c>
      <c r="H475">
        <v>0.65217393999999995</v>
      </c>
      <c r="I475">
        <v>0.34782605999999999</v>
      </c>
      <c r="J475">
        <v>0.6052632</v>
      </c>
    </row>
    <row r="476" spans="1:10" x14ac:dyDescent="0.3">
      <c r="A476">
        <v>474</v>
      </c>
      <c r="B476">
        <v>7538</v>
      </c>
      <c r="C476" t="b">
        <v>1</v>
      </c>
      <c r="D476">
        <v>8048</v>
      </c>
      <c r="E476">
        <v>8117</v>
      </c>
      <c r="F476">
        <v>9.6</v>
      </c>
      <c r="G476">
        <v>14.933332999999999</v>
      </c>
      <c r="H476">
        <v>0.64285720000000002</v>
      </c>
      <c r="I476">
        <v>0.35714284000000002</v>
      </c>
      <c r="J476">
        <v>0.60869569999999995</v>
      </c>
    </row>
    <row r="477" spans="1:10" x14ac:dyDescent="0.3">
      <c r="A477">
        <v>475</v>
      </c>
      <c r="B477">
        <v>7554</v>
      </c>
      <c r="C477" t="b">
        <v>1</v>
      </c>
      <c r="D477">
        <v>8048</v>
      </c>
      <c r="E477">
        <v>8123</v>
      </c>
      <c r="F477">
        <v>9.6</v>
      </c>
      <c r="G477">
        <v>14.533334</v>
      </c>
      <c r="H477">
        <v>0.66055050000000004</v>
      </c>
      <c r="I477">
        <v>0.33944952</v>
      </c>
      <c r="J477">
        <v>0.60220989999999996</v>
      </c>
    </row>
    <row r="478" spans="1:10" x14ac:dyDescent="0.3">
      <c r="A478">
        <v>476</v>
      </c>
      <c r="B478">
        <v>7570</v>
      </c>
      <c r="C478" t="b">
        <v>1</v>
      </c>
      <c r="D478">
        <v>8048</v>
      </c>
      <c r="E478">
        <v>8117</v>
      </c>
      <c r="F478">
        <v>9.6</v>
      </c>
      <c r="G478">
        <v>14.133333</v>
      </c>
      <c r="H478">
        <v>0.67924530000000005</v>
      </c>
      <c r="I478">
        <v>0.32075468000000001</v>
      </c>
      <c r="J478">
        <v>0.59550559999999997</v>
      </c>
    </row>
    <row r="479" spans="1:10" x14ac:dyDescent="0.3">
      <c r="A479">
        <v>477</v>
      </c>
      <c r="B479">
        <v>7586</v>
      </c>
      <c r="C479" t="b">
        <v>1</v>
      </c>
      <c r="D479">
        <v>8054</v>
      </c>
      <c r="E479">
        <v>8117</v>
      </c>
      <c r="F479">
        <v>9.1999999999999993</v>
      </c>
      <c r="G479">
        <v>13.333333</v>
      </c>
      <c r="H479">
        <v>0.69</v>
      </c>
      <c r="I479">
        <v>0.31</v>
      </c>
      <c r="J479">
        <v>0.59171600000000002</v>
      </c>
    </row>
    <row r="480" spans="1:10" x14ac:dyDescent="0.3">
      <c r="A480">
        <v>478</v>
      </c>
      <c r="B480">
        <v>7602</v>
      </c>
      <c r="C480" t="b">
        <v>1</v>
      </c>
      <c r="D480">
        <v>8048</v>
      </c>
      <c r="E480">
        <v>8123</v>
      </c>
      <c r="F480">
        <v>8.8000000000000007</v>
      </c>
      <c r="G480">
        <v>12.533334</v>
      </c>
      <c r="H480">
        <v>0.70212764000000005</v>
      </c>
      <c r="I480">
        <v>0.29787236</v>
      </c>
      <c r="J480">
        <v>0.58750000000000002</v>
      </c>
    </row>
    <row r="481" spans="1:10" x14ac:dyDescent="0.3">
      <c r="A481">
        <v>479</v>
      </c>
      <c r="B481">
        <v>7618</v>
      </c>
      <c r="C481" t="b">
        <v>1</v>
      </c>
      <c r="D481">
        <v>8048</v>
      </c>
      <c r="E481">
        <v>8123</v>
      </c>
      <c r="F481">
        <v>8.4</v>
      </c>
      <c r="G481">
        <v>12.133333</v>
      </c>
      <c r="H481">
        <v>0.69230765000000005</v>
      </c>
      <c r="I481">
        <v>0.30769232000000002</v>
      </c>
      <c r="J481">
        <v>0.59090909999999996</v>
      </c>
    </row>
    <row r="482" spans="1:10" x14ac:dyDescent="0.3">
      <c r="A482">
        <v>480</v>
      </c>
      <c r="B482">
        <v>7633</v>
      </c>
      <c r="C482" t="b">
        <v>1</v>
      </c>
      <c r="D482">
        <v>8048</v>
      </c>
      <c r="E482">
        <v>8134</v>
      </c>
      <c r="F482">
        <v>8</v>
      </c>
      <c r="G482">
        <v>11.733333999999999</v>
      </c>
      <c r="H482">
        <v>0.68181820000000004</v>
      </c>
      <c r="I482">
        <v>0.31818183999999999</v>
      </c>
      <c r="J482">
        <v>0.59459459999999997</v>
      </c>
    </row>
    <row r="483" spans="1:10" x14ac:dyDescent="0.3">
      <c r="A483">
        <v>481</v>
      </c>
      <c r="B483">
        <v>7650</v>
      </c>
      <c r="C483" t="b">
        <v>1</v>
      </c>
      <c r="D483">
        <v>8048</v>
      </c>
      <c r="E483">
        <v>8123</v>
      </c>
      <c r="F483">
        <v>7.6</v>
      </c>
      <c r="G483">
        <v>11.333333</v>
      </c>
      <c r="H483">
        <v>0.67058825</v>
      </c>
      <c r="I483">
        <v>0.32941175</v>
      </c>
      <c r="J483">
        <v>0.59859156999999996</v>
      </c>
    </row>
    <row r="484" spans="1:10" x14ac:dyDescent="0.3">
      <c r="A484">
        <v>482</v>
      </c>
      <c r="B484">
        <v>7665</v>
      </c>
      <c r="C484" t="b">
        <v>1</v>
      </c>
      <c r="D484">
        <v>8042</v>
      </c>
      <c r="E484">
        <v>8129</v>
      </c>
      <c r="F484">
        <v>7.2</v>
      </c>
      <c r="G484">
        <v>10.933332999999999</v>
      </c>
      <c r="H484">
        <v>0.65853655</v>
      </c>
      <c r="I484">
        <v>0.34146345</v>
      </c>
      <c r="J484">
        <v>0.60294115999999998</v>
      </c>
    </row>
    <row r="485" spans="1:10" x14ac:dyDescent="0.3">
      <c r="A485">
        <v>483</v>
      </c>
      <c r="B485">
        <v>7681</v>
      </c>
      <c r="C485" t="b">
        <v>1</v>
      </c>
      <c r="D485">
        <v>8054</v>
      </c>
      <c r="E485">
        <v>8123</v>
      </c>
      <c r="F485">
        <v>7.2</v>
      </c>
      <c r="G485">
        <v>10.533334</v>
      </c>
      <c r="H485">
        <v>0.68354429999999999</v>
      </c>
      <c r="I485">
        <v>0.31645574999999998</v>
      </c>
      <c r="J485">
        <v>0.59398496000000001</v>
      </c>
    </row>
    <row r="486" spans="1:10" x14ac:dyDescent="0.3">
      <c r="A486">
        <v>484</v>
      </c>
      <c r="B486">
        <v>7697</v>
      </c>
      <c r="C486" t="b">
        <v>1</v>
      </c>
      <c r="D486">
        <v>8048</v>
      </c>
      <c r="E486">
        <v>8134</v>
      </c>
      <c r="F486">
        <v>7.2</v>
      </c>
      <c r="G486">
        <v>10.199999999999999</v>
      </c>
      <c r="H486">
        <v>0.70588240000000002</v>
      </c>
      <c r="I486">
        <v>0.29411766</v>
      </c>
      <c r="J486">
        <v>0.58620689999999998</v>
      </c>
    </row>
    <row r="487" spans="1:10" x14ac:dyDescent="0.3">
      <c r="A487">
        <v>485</v>
      </c>
      <c r="B487">
        <v>7713</v>
      </c>
      <c r="C487" t="b">
        <v>1</v>
      </c>
      <c r="D487">
        <v>8048</v>
      </c>
      <c r="E487">
        <v>8129</v>
      </c>
      <c r="F487">
        <v>7.2</v>
      </c>
      <c r="G487">
        <v>9.8666669999999996</v>
      </c>
      <c r="H487">
        <v>0.72972970000000004</v>
      </c>
      <c r="I487">
        <v>0.27027030000000002</v>
      </c>
      <c r="J487">
        <v>0.57812505999999997</v>
      </c>
    </row>
    <row r="488" spans="1:10" x14ac:dyDescent="0.3">
      <c r="A488">
        <v>486</v>
      </c>
      <c r="B488">
        <v>7729</v>
      </c>
      <c r="C488" t="b">
        <v>1</v>
      </c>
      <c r="D488">
        <v>8048</v>
      </c>
      <c r="E488">
        <v>8123</v>
      </c>
      <c r="F488">
        <v>7.2</v>
      </c>
      <c r="G488">
        <v>9.533334</v>
      </c>
      <c r="H488">
        <v>0.75524469999999999</v>
      </c>
      <c r="I488">
        <v>0.24475530000000001</v>
      </c>
      <c r="J488">
        <v>0.56972115999999995</v>
      </c>
    </row>
    <row r="489" spans="1:10" x14ac:dyDescent="0.3">
      <c r="A489">
        <v>487</v>
      </c>
      <c r="B489">
        <v>7744</v>
      </c>
      <c r="C489" t="b">
        <v>1</v>
      </c>
      <c r="D489">
        <v>8042</v>
      </c>
      <c r="E489">
        <v>8123</v>
      </c>
      <c r="F489">
        <v>7.2</v>
      </c>
      <c r="G489">
        <v>8.8000000000000007</v>
      </c>
      <c r="H489">
        <v>0.81818175000000004</v>
      </c>
      <c r="I489">
        <v>0.18181822</v>
      </c>
      <c r="J489">
        <v>0.55000000000000004</v>
      </c>
    </row>
    <row r="490" spans="1:10" x14ac:dyDescent="0.3">
      <c r="A490">
        <v>488</v>
      </c>
      <c r="B490">
        <v>7760</v>
      </c>
      <c r="C490" t="b">
        <v>1</v>
      </c>
      <c r="D490">
        <v>8048</v>
      </c>
      <c r="E490">
        <v>8123</v>
      </c>
      <c r="F490">
        <v>7.6</v>
      </c>
      <c r="G490">
        <v>8.4</v>
      </c>
      <c r="H490">
        <v>0.90476190000000001</v>
      </c>
      <c r="I490">
        <v>9.5238069999999994E-2</v>
      </c>
      <c r="J490">
        <v>0.52500000000000002</v>
      </c>
    </row>
    <row r="491" spans="1:10" x14ac:dyDescent="0.3">
      <c r="A491">
        <v>489</v>
      </c>
      <c r="B491">
        <v>7776</v>
      </c>
      <c r="C491" t="b">
        <v>1</v>
      </c>
      <c r="D491">
        <v>8048</v>
      </c>
      <c r="E491">
        <v>8134</v>
      </c>
      <c r="F491">
        <v>8</v>
      </c>
      <c r="G491">
        <v>8.4</v>
      </c>
      <c r="H491">
        <v>0.95238100000000003</v>
      </c>
      <c r="I491">
        <v>4.7619003999999999E-2</v>
      </c>
      <c r="J491">
        <v>0.51219510000000001</v>
      </c>
    </row>
    <row r="492" spans="1:10" x14ac:dyDescent="0.3">
      <c r="A492">
        <v>490</v>
      </c>
      <c r="B492">
        <v>7792</v>
      </c>
      <c r="C492" t="b">
        <v>1</v>
      </c>
      <c r="D492">
        <v>8042</v>
      </c>
      <c r="E492">
        <v>8117</v>
      </c>
      <c r="F492">
        <v>8</v>
      </c>
      <c r="G492">
        <v>8.4</v>
      </c>
      <c r="H492">
        <v>0.95238100000000003</v>
      </c>
      <c r="I492">
        <v>4.7619003999999999E-2</v>
      </c>
      <c r="J492">
        <v>0.51219510000000001</v>
      </c>
    </row>
    <row r="493" spans="1:10" x14ac:dyDescent="0.3">
      <c r="A493">
        <v>491</v>
      </c>
      <c r="B493">
        <v>7808</v>
      </c>
      <c r="C493" t="b">
        <v>1</v>
      </c>
      <c r="D493">
        <v>8048</v>
      </c>
      <c r="E493">
        <v>8129</v>
      </c>
      <c r="F493">
        <v>8</v>
      </c>
      <c r="G493">
        <v>8.4</v>
      </c>
      <c r="H493">
        <v>0.95238100000000003</v>
      </c>
      <c r="I493">
        <v>4.7619003999999999E-2</v>
      </c>
      <c r="J493">
        <v>0.51219510000000001</v>
      </c>
    </row>
    <row r="494" spans="1:10" x14ac:dyDescent="0.3">
      <c r="A494">
        <v>492</v>
      </c>
      <c r="B494">
        <v>7823</v>
      </c>
      <c r="C494" t="b">
        <v>1</v>
      </c>
      <c r="D494">
        <v>8042</v>
      </c>
      <c r="E494">
        <v>8129</v>
      </c>
      <c r="F494">
        <v>8</v>
      </c>
      <c r="G494">
        <v>9.1999999999999993</v>
      </c>
      <c r="H494">
        <v>0.86956524999999996</v>
      </c>
      <c r="I494">
        <v>0.13043477000000001</v>
      </c>
      <c r="J494">
        <v>0.53488369999999996</v>
      </c>
    </row>
    <row r="495" spans="1:10" x14ac:dyDescent="0.3">
      <c r="A495">
        <v>493</v>
      </c>
      <c r="B495">
        <v>7839</v>
      </c>
      <c r="C495" t="b">
        <v>1</v>
      </c>
      <c r="D495">
        <v>8048</v>
      </c>
      <c r="E495">
        <v>8117</v>
      </c>
      <c r="F495">
        <v>8</v>
      </c>
      <c r="G495">
        <v>10</v>
      </c>
      <c r="H495">
        <v>0.8</v>
      </c>
      <c r="I495">
        <v>0.2</v>
      </c>
      <c r="J495">
        <v>0.55555560000000004</v>
      </c>
    </row>
    <row r="496" spans="1:10" x14ac:dyDescent="0.3">
      <c r="A496">
        <v>494</v>
      </c>
      <c r="B496">
        <v>7855</v>
      </c>
      <c r="C496" t="b">
        <v>1</v>
      </c>
      <c r="D496">
        <v>8048</v>
      </c>
      <c r="E496">
        <v>8123</v>
      </c>
      <c r="F496">
        <v>8</v>
      </c>
      <c r="G496">
        <v>10</v>
      </c>
      <c r="H496">
        <v>0.8</v>
      </c>
      <c r="I496">
        <v>0.2</v>
      </c>
      <c r="J496">
        <v>0.55555560000000004</v>
      </c>
    </row>
    <row r="497" spans="1:10" x14ac:dyDescent="0.3">
      <c r="A497">
        <v>495</v>
      </c>
      <c r="B497">
        <v>7872</v>
      </c>
      <c r="C497" t="b">
        <v>1</v>
      </c>
      <c r="D497">
        <v>8048</v>
      </c>
      <c r="E497">
        <v>8117</v>
      </c>
      <c r="F497">
        <v>8</v>
      </c>
      <c r="G497">
        <v>10</v>
      </c>
      <c r="H497">
        <v>0.8</v>
      </c>
      <c r="I497">
        <v>0.2</v>
      </c>
      <c r="J497">
        <v>0.55555560000000004</v>
      </c>
    </row>
    <row r="498" spans="1:10" x14ac:dyDescent="0.3">
      <c r="A498">
        <v>496</v>
      </c>
      <c r="B498">
        <v>7888</v>
      </c>
      <c r="C498" t="b">
        <v>1</v>
      </c>
      <c r="D498">
        <v>8048</v>
      </c>
      <c r="E498">
        <v>8117</v>
      </c>
      <c r="F498">
        <v>8</v>
      </c>
      <c r="G498">
        <v>9.6</v>
      </c>
      <c r="H498">
        <v>0.83333330000000005</v>
      </c>
      <c r="I498">
        <v>0.1666667</v>
      </c>
      <c r="J498">
        <v>0.54545456000000003</v>
      </c>
    </row>
    <row r="499" spans="1:10" x14ac:dyDescent="0.3">
      <c r="A499">
        <v>497</v>
      </c>
      <c r="B499">
        <v>7903</v>
      </c>
      <c r="C499" t="b">
        <v>1</v>
      </c>
      <c r="D499">
        <v>8048</v>
      </c>
      <c r="E499">
        <v>8129</v>
      </c>
      <c r="F499">
        <v>8</v>
      </c>
      <c r="G499">
        <v>9.1999999999999993</v>
      </c>
      <c r="H499">
        <v>0.86956524999999996</v>
      </c>
      <c r="I499">
        <v>0.13043477000000001</v>
      </c>
      <c r="J499">
        <v>0.53488369999999996</v>
      </c>
    </row>
    <row r="500" spans="1:10" x14ac:dyDescent="0.3">
      <c r="A500">
        <v>498</v>
      </c>
      <c r="B500">
        <v>7919</v>
      </c>
      <c r="C500" t="b">
        <v>1</v>
      </c>
      <c r="D500">
        <v>8042</v>
      </c>
      <c r="E500">
        <v>8123</v>
      </c>
      <c r="F500">
        <v>8</v>
      </c>
      <c r="G500">
        <v>9.1999999999999993</v>
      </c>
      <c r="H500">
        <v>0.86956524999999996</v>
      </c>
      <c r="I500">
        <v>0.13043477000000001</v>
      </c>
      <c r="J500">
        <v>0.53488369999999996</v>
      </c>
    </row>
    <row r="501" spans="1:10" x14ac:dyDescent="0.3">
      <c r="A501">
        <v>499</v>
      </c>
      <c r="B501">
        <v>7935</v>
      </c>
      <c r="C501" t="b">
        <v>1</v>
      </c>
      <c r="D501">
        <v>8048</v>
      </c>
      <c r="E501">
        <v>8134</v>
      </c>
      <c r="F501">
        <v>8</v>
      </c>
      <c r="G501">
        <v>8.8000000000000007</v>
      </c>
      <c r="H501">
        <v>0.90909090000000004</v>
      </c>
      <c r="I501">
        <v>9.0909110000000001E-2</v>
      </c>
      <c r="J501">
        <v>0.52380954999999996</v>
      </c>
    </row>
    <row r="502" spans="1:10" x14ac:dyDescent="0.3">
      <c r="A502">
        <v>500</v>
      </c>
      <c r="B502">
        <v>7951</v>
      </c>
      <c r="C502" t="b">
        <v>1</v>
      </c>
      <c r="D502">
        <v>8048</v>
      </c>
      <c r="E502">
        <v>8134</v>
      </c>
      <c r="F502">
        <v>8</v>
      </c>
      <c r="G502">
        <v>8.8000000000000007</v>
      </c>
      <c r="H502">
        <v>0.90909090000000004</v>
      </c>
      <c r="I502">
        <v>9.0909110000000001E-2</v>
      </c>
      <c r="J502">
        <v>0.52380954999999996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62E5-6C21-4DEE-A949-D353122586BA}">
  <dimension ref="A1:J502"/>
  <sheetViews>
    <sheetView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8077</v>
      </c>
      <c r="E2">
        <v>8140</v>
      </c>
      <c r="F2">
        <v>37</v>
      </c>
      <c r="G2">
        <v>25</v>
      </c>
      <c r="H2">
        <v>1.48</v>
      </c>
      <c r="I2">
        <v>-0.48</v>
      </c>
      <c r="J2">
        <v>0.40322580000000002</v>
      </c>
    </row>
    <row r="3" spans="1:10" x14ac:dyDescent="0.3">
      <c r="A3">
        <v>1</v>
      </c>
      <c r="B3">
        <v>21</v>
      </c>
      <c r="C3" t="b">
        <v>1</v>
      </c>
      <c r="D3">
        <v>8071</v>
      </c>
      <c r="E3">
        <v>8134</v>
      </c>
      <c r="F3">
        <v>37</v>
      </c>
      <c r="G3">
        <v>25</v>
      </c>
      <c r="H3">
        <v>1.48</v>
      </c>
      <c r="I3">
        <v>-0.48</v>
      </c>
      <c r="J3">
        <v>0.40322580000000002</v>
      </c>
    </row>
    <row r="4" spans="1:10" x14ac:dyDescent="0.3">
      <c r="A4">
        <v>2</v>
      </c>
      <c r="B4">
        <v>37</v>
      </c>
      <c r="C4" t="b">
        <v>1</v>
      </c>
      <c r="D4">
        <v>8083</v>
      </c>
      <c r="E4">
        <v>8134</v>
      </c>
      <c r="F4">
        <v>37</v>
      </c>
      <c r="G4">
        <v>23</v>
      </c>
      <c r="H4">
        <v>1.6086955999999999</v>
      </c>
      <c r="I4">
        <v>-0.6086956</v>
      </c>
      <c r="J4">
        <v>0.38333333000000003</v>
      </c>
    </row>
    <row r="5" spans="1:10" x14ac:dyDescent="0.3">
      <c r="A5">
        <v>3</v>
      </c>
      <c r="B5">
        <v>52</v>
      </c>
      <c r="C5" t="b">
        <v>1</v>
      </c>
      <c r="D5">
        <v>8083</v>
      </c>
      <c r="E5">
        <v>8146</v>
      </c>
      <c r="F5">
        <v>38.5</v>
      </c>
      <c r="G5">
        <v>23.5</v>
      </c>
      <c r="H5">
        <v>1.6382979</v>
      </c>
      <c r="I5">
        <v>-0.63829785999999999</v>
      </c>
      <c r="J5">
        <v>0.37903225000000001</v>
      </c>
    </row>
    <row r="6" spans="1:10" x14ac:dyDescent="0.3">
      <c r="A6">
        <v>4</v>
      </c>
      <c r="B6">
        <v>69</v>
      </c>
      <c r="C6" t="b">
        <v>1</v>
      </c>
      <c r="D6">
        <v>8083</v>
      </c>
      <c r="E6">
        <v>8140</v>
      </c>
      <c r="F6">
        <v>39.4</v>
      </c>
      <c r="G6">
        <v>23.8</v>
      </c>
      <c r="H6">
        <v>1.6554622999999999</v>
      </c>
      <c r="I6">
        <v>-0.65546230000000005</v>
      </c>
      <c r="J6">
        <v>0.37658226</v>
      </c>
    </row>
    <row r="7" spans="1:10" x14ac:dyDescent="0.3">
      <c r="A7">
        <v>5</v>
      </c>
      <c r="B7">
        <v>84</v>
      </c>
      <c r="C7" t="b">
        <v>1</v>
      </c>
      <c r="D7">
        <v>8088</v>
      </c>
      <c r="E7">
        <v>8140</v>
      </c>
      <c r="F7">
        <v>40</v>
      </c>
      <c r="G7">
        <v>24</v>
      </c>
      <c r="H7">
        <v>1.6666666000000001</v>
      </c>
      <c r="I7">
        <v>-0.66666669999999995</v>
      </c>
      <c r="J7">
        <v>0.375</v>
      </c>
    </row>
    <row r="8" spans="1:10" x14ac:dyDescent="0.3">
      <c r="A8">
        <v>6</v>
      </c>
      <c r="B8">
        <v>100</v>
      </c>
      <c r="C8" t="b">
        <v>1</v>
      </c>
      <c r="D8">
        <v>8077</v>
      </c>
      <c r="E8">
        <v>8146</v>
      </c>
      <c r="F8">
        <v>40.428570000000001</v>
      </c>
      <c r="G8">
        <v>24.142856999999999</v>
      </c>
      <c r="H8">
        <v>1.6745561</v>
      </c>
      <c r="I8">
        <v>-0.67455620000000005</v>
      </c>
      <c r="J8">
        <v>0.3738938</v>
      </c>
    </row>
    <row r="9" spans="1:10" x14ac:dyDescent="0.3">
      <c r="A9">
        <v>7</v>
      </c>
      <c r="B9">
        <v>116</v>
      </c>
      <c r="C9" t="b">
        <v>1</v>
      </c>
      <c r="D9">
        <v>8083</v>
      </c>
      <c r="E9">
        <v>8146</v>
      </c>
      <c r="F9">
        <v>40.75</v>
      </c>
      <c r="G9">
        <v>25</v>
      </c>
      <c r="H9">
        <v>1.63</v>
      </c>
      <c r="I9">
        <v>-0.63</v>
      </c>
      <c r="J9">
        <v>0.38022813</v>
      </c>
    </row>
    <row r="10" spans="1:10" x14ac:dyDescent="0.3">
      <c r="A10">
        <v>8</v>
      </c>
      <c r="B10">
        <v>132</v>
      </c>
      <c r="C10" t="b">
        <v>1</v>
      </c>
      <c r="D10">
        <v>8077</v>
      </c>
      <c r="E10">
        <v>8140</v>
      </c>
      <c r="F10">
        <v>41</v>
      </c>
      <c r="G10">
        <v>25</v>
      </c>
      <c r="H10">
        <v>1.64</v>
      </c>
      <c r="I10">
        <v>-0.64</v>
      </c>
      <c r="J10">
        <v>0.37878788000000002</v>
      </c>
    </row>
    <row r="11" spans="1:10" x14ac:dyDescent="0.3">
      <c r="A11">
        <v>9</v>
      </c>
      <c r="B11">
        <v>147</v>
      </c>
      <c r="C11" t="b">
        <v>1</v>
      </c>
      <c r="D11">
        <v>8083</v>
      </c>
      <c r="E11">
        <v>8140</v>
      </c>
      <c r="F11">
        <v>41.2</v>
      </c>
      <c r="G11">
        <v>25</v>
      </c>
      <c r="H11">
        <v>1.6479999999999999</v>
      </c>
      <c r="I11">
        <v>-0.64800000000000002</v>
      </c>
      <c r="J11">
        <v>0.37764353000000001</v>
      </c>
    </row>
    <row r="12" spans="1:10" x14ac:dyDescent="0.3">
      <c r="A12">
        <v>10</v>
      </c>
      <c r="B12">
        <v>163</v>
      </c>
      <c r="C12" t="b">
        <v>1</v>
      </c>
      <c r="D12">
        <v>8083</v>
      </c>
      <c r="E12">
        <v>8140</v>
      </c>
      <c r="F12">
        <v>41.363636</v>
      </c>
      <c r="G12">
        <v>25</v>
      </c>
      <c r="H12">
        <v>1.6545453999999999</v>
      </c>
      <c r="I12">
        <v>-0.65454540000000005</v>
      </c>
      <c r="J12">
        <v>0.37671234999999997</v>
      </c>
    </row>
    <row r="13" spans="1:10" x14ac:dyDescent="0.3">
      <c r="A13">
        <v>11</v>
      </c>
      <c r="B13">
        <v>179</v>
      </c>
      <c r="C13" t="b">
        <v>1</v>
      </c>
      <c r="D13">
        <v>8077</v>
      </c>
      <c r="E13">
        <v>8140</v>
      </c>
      <c r="F13">
        <v>41.5</v>
      </c>
      <c r="G13">
        <v>25</v>
      </c>
      <c r="H13">
        <v>1.66</v>
      </c>
      <c r="I13">
        <v>-0.66</v>
      </c>
      <c r="J13">
        <v>0.37593985000000002</v>
      </c>
    </row>
    <row r="14" spans="1:10" x14ac:dyDescent="0.3">
      <c r="A14">
        <v>12</v>
      </c>
      <c r="B14">
        <v>195</v>
      </c>
      <c r="C14" t="b">
        <v>1</v>
      </c>
      <c r="D14">
        <v>8083</v>
      </c>
      <c r="E14">
        <v>8140</v>
      </c>
      <c r="F14">
        <v>41.615383000000001</v>
      </c>
      <c r="G14">
        <v>25</v>
      </c>
      <c r="H14">
        <v>1.6646152999999999</v>
      </c>
      <c r="I14">
        <v>-0.66461532999999995</v>
      </c>
      <c r="J14">
        <v>0.37528866999999999</v>
      </c>
    </row>
    <row r="15" spans="1:10" x14ac:dyDescent="0.3">
      <c r="A15">
        <v>13</v>
      </c>
      <c r="B15">
        <v>210</v>
      </c>
      <c r="C15" t="b">
        <v>1</v>
      </c>
      <c r="D15">
        <v>8083</v>
      </c>
      <c r="E15">
        <v>8134</v>
      </c>
      <c r="F15">
        <v>41.714286999999999</v>
      </c>
      <c r="G15">
        <v>25</v>
      </c>
      <c r="H15">
        <v>1.6685715000000001</v>
      </c>
      <c r="I15">
        <v>-0.66857149999999999</v>
      </c>
      <c r="J15">
        <v>0.37473232000000001</v>
      </c>
    </row>
    <row r="16" spans="1:10" x14ac:dyDescent="0.3">
      <c r="A16">
        <v>14</v>
      </c>
      <c r="B16">
        <v>226</v>
      </c>
      <c r="C16" t="b">
        <v>1</v>
      </c>
      <c r="D16">
        <v>8071</v>
      </c>
      <c r="E16">
        <v>8140</v>
      </c>
      <c r="F16">
        <v>41.8</v>
      </c>
      <c r="G16">
        <v>25</v>
      </c>
      <c r="H16">
        <v>1.6719999000000001</v>
      </c>
      <c r="I16">
        <v>-0.67200000000000004</v>
      </c>
      <c r="J16">
        <v>0.37425148000000003</v>
      </c>
    </row>
    <row r="17" spans="1:10" x14ac:dyDescent="0.3">
      <c r="A17">
        <v>15</v>
      </c>
      <c r="B17">
        <v>242</v>
      </c>
      <c r="C17" t="b">
        <v>1</v>
      </c>
      <c r="D17">
        <v>8077</v>
      </c>
      <c r="E17">
        <v>8140</v>
      </c>
      <c r="F17">
        <v>41.8</v>
      </c>
      <c r="G17">
        <v>25</v>
      </c>
      <c r="H17">
        <v>1.6719999000000001</v>
      </c>
      <c r="I17">
        <v>-0.67200000000000004</v>
      </c>
      <c r="J17">
        <v>0.37425148000000003</v>
      </c>
    </row>
    <row r="18" spans="1:10" x14ac:dyDescent="0.3">
      <c r="A18">
        <v>16</v>
      </c>
      <c r="B18">
        <v>258</v>
      </c>
      <c r="C18" t="b">
        <v>1</v>
      </c>
      <c r="D18">
        <v>8083</v>
      </c>
      <c r="E18">
        <v>8140</v>
      </c>
      <c r="F18">
        <v>42.2</v>
      </c>
      <c r="G18">
        <v>25</v>
      </c>
      <c r="H18">
        <v>1.6880001</v>
      </c>
      <c r="I18">
        <v>-0.68799999999999994</v>
      </c>
      <c r="J18">
        <v>0.37202382000000001</v>
      </c>
    </row>
    <row r="19" spans="1:10" x14ac:dyDescent="0.3">
      <c r="A19">
        <v>17</v>
      </c>
      <c r="B19">
        <v>274</v>
      </c>
      <c r="C19" t="b">
        <v>1</v>
      </c>
      <c r="D19">
        <v>8100</v>
      </c>
      <c r="E19">
        <v>8140</v>
      </c>
      <c r="F19">
        <v>42.6</v>
      </c>
      <c r="G19">
        <v>25.4</v>
      </c>
      <c r="H19">
        <v>1.6771653</v>
      </c>
      <c r="I19">
        <v>-0.67716529999999997</v>
      </c>
      <c r="J19">
        <v>0.37352940000000001</v>
      </c>
    </row>
    <row r="20" spans="1:10" x14ac:dyDescent="0.3">
      <c r="A20">
        <v>18</v>
      </c>
      <c r="B20">
        <v>290</v>
      </c>
      <c r="C20" t="b">
        <v>1</v>
      </c>
      <c r="D20">
        <v>8088</v>
      </c>
      <c r="E20">
        <v>8146</v>
      </c>
      <c r="F20">
        <v>42.6</v>
      </c>
      <c r="G20">
        <v>25.4</v>
      </c>
      <c r="H20">
        <v>1.6771653</v>
      </c>
      <c r="I20">
        <v>-0.67716529999999997</v>
      </c>
      <c r="J20">
        <v>0.37352940000000001</v>
      </c>
    </row>
    <row r="21" spans="1:10" x14ac:dyDescent="0.3">
      <c r="A21">
        <v>19</v>
      </c>
      <c r="B21">
        <v>306</v>
      </c>
      <c r="C21" t="b">
        <v>1</v>
      </c>
      <c r="D21">
        <v>8071</v>
      </c>
      <c r="E21">
        <v>8146</v>
      </c>
      <c r="F21">
        <v>42.6</v>
      </c>
      <c r="G21">
        <v>25.4</v>
      </c>
      <c r="H21">
        <v>1.6771653</v>
      </c>
      <c r="I21">
        <v>-0.67716529999999997</v>
      </c>
      <c r="J21">
        <v>0.37352940000000001</v>
      </c>
    </row>
    <row r="22" spans="1:10" x14ac:dyDescent="0.3">
      <c r="A22">
        <v>20</v>
      </c>
      <c r="B22">
        <v>321</v>
      </c>
      <c r="C22" t="b">
        <v>1</v>
      </c>
      <c r="D22">
        <v>8071</v>
      </c>
      <c r="E22">
        <v>8134</v>
      </c>
      <c r="F22">
        <v>42.6</v>
      </c>
      <c r="G22">
        <v>25.4</v>
      </c>
      <c r="H22">
        <v>1.6771653</v>
      </c>
      <c r="I22">
        <v>-0.67716529999999997</v>
      </c>
      <c r="J22">
        <v>0.37352940000000001</v>
      </c>
    </row>
    <row r="23" spans="1:10" x14ac:dyDescent="0.3">
      <c r="A23">
        <v>21</v>
      </c>
      <c r="B23">
        <v>337</v>
      </c>
      <c r="C23" t="b">
        <v>1</v>
      </c>
      <c r="D23">
        <v>8077</v>
      </c>
      <c r="E23">
        <v>8140</v>
      </c>
      <c r="F23">
        <v>42.2</v>
      </c>
      <c r="G23">
        <v>25.4</v>
      </c>
      <c r="H23">
        <v>1.6614173999999999</v>
      </c>
      <c r="I23">
        <v>-0.66141737</v>
      </c>
      <c r="J23">
        <v>0.37573962999999999</v>
      </c>
    </row>
    <row r="24" spans="1:10" x14ac:dyDescent="0.3">
      <c r="A24">
        <v>22</v>
      </c>
      <c r="B24">
        <v>353</v>
      </c>
      <c r="C24" t="b">
        <v>1</v>
      </c>
      <c r="D24">
        <v>8088</v>
      </c>
      <c r="E24">
        <v>8134</v>
      </c>
      <c r="F24">
        <v>41.8</v>
      </c>
      <c r="G24">
        <v>25</v>
      </c>
      <c r="H24">
        <v>1.6719999000000001</v>
      </c>
      <c r="I24">
        <v>-0.67200000000000004</v>
      </c>
      <c r="J24">
        <v>0.37425148000000003</v>
      </c>
    </row>
    <row r="25" spans="1:10" x14ac:dyDescent="0.3">
      <c r="A25">
        <v>23</v>
      </c>
      <c r="B25">
        <v>369</v>
      </c>
      <c r="C25" t="b">
        <v>1</v>
      </c>
      <c r="D25">
        <v>8071</v>
      </c>
      <c r="E25">
        <v>8134</v>
      </c>
      <c r="F25">
        <v>41</v>
      </c>
      <c r="G25">
        <v>24.6</v>
      </c>
      <c r="H25">
        <v>1.6666666000000001</v>
      </c>
      <c r="I25">
        <v>-0.6666666</v>
      </c>
      <c r="J25">
        <v>0.375</v>
      </c>
    </row>
    <row r="26" spans="1:10" x14ac:dyDescent="0.3">
      <c r="A26">
        <v>24</v>
      </c>
      <c r="B26">
        <v>385</v>
      </c>
      <c r="C26" t="b">
        <v>1</v>
      </c>
      <c r="D26">
        <v>8077</v>
      </c>
      <c r="E26">
        <v>8134</v>
      </c>
      <c r="F26">
        <v>40.6</v>
      </c>
      <c r="G26">
        <v>24.2</v>
      </c>
      <c r="H26">
        <v>1.6776859</v>
      </c>
      <c r="I26">
        <v>-0.67768585999999997</v>
      </c>
      <c r="J26">
        <v>0.37345677999999999</v>
      </c>
    </row>
    <row r="27" spans="1:10" x14ac:dyDescent="0.3">
      <c r="A27">
        <v>25</v>
      </c>
      <c r="B27">
        <v>401</v>
      </c>
      <c r="C27" t="b">
        <v>1</v>
      </c>
      <c r="D27">
        <v>8071</v>
      </c>
      <c r="E27">
        <v>8140</v>
      </c>
      <c r="F27">
        <v>40.200000000000003</v>
      </c>
      <c r="G27">
        <v>23.8</v>
      </c>
      <c r="H27">
        <v>1.6890757000000001</v>
      </c>
      <c r="I27">
        <v>-0.68907569999999996</v>
      </c>
      <c r="J27">
        <v>0.37187500000000001</v>
      </c>
    </row>
    <row r="28" spans="1:10" x14ac:dyDescent="0.3">
      <c r="A28">
        <v>26</v>
      </c>
      <c r="B28">
        <v>417</v>
      </c>
      <c r="C28" t="b">
        <v>1</v>
      </c>
      <c r="D28">
        <v>8077</v>
      </c>
      <c r="E28">
        <v>8134</v>
      </c>
      <c r="F28">
        <v>39.799999999999997</v>
      </c>
      <c r="G28">
        <v>23.4</v>
      </c>
      <c r="H28">
        <v>1.7008547000000001</v>
      </c>
      <c r="I28">
        <v>-0.70085470000000005</v>
      </c>
      <c r="J28">
        <v>0.37025318000000002</v>
      </c>
    </row>
    <row r="29" spans="1:10" x14ac:dyDescent="0.3">
      <c r="A29">
        <v>27</v>
      </c>
      <c r="B29">
        <v>433</v>
      </c>
      <c r="C29" t="b">
        <v>1</v>
      </c>
      <c r="D29">
        <v>8088</v>
      </c>
      <c r="E29">
        <v>8129</v>
      </c>
      <c r="F29">
        <v>39.4</v>
      </c>
      <c r="G29">
        <v>23</v>
      </c>
      <c r="H29">
        <v>1.7130436</v>
      </c>
      <c r="I29">
        <v>-0.7130436</v>
      </c>
      <c r="J29">
        <v>0.36858973</v>
      </c>
    </row>
    <row r="30" spans="1:10" x14ac:dyDescent="0.3">
      <c r="A30">
        <v>28</v>
      </c>
      <c r="B30">
        <v>449</v>
      </c>
      <c r="C30" t="b">
        <v>1</v>
      </c>
      <c r="D30">
        <v>8088</v>
      </c>
      <c r="E30">
        <v>8140</v>
      </c>
      <c r="F30">
        <v>39</v>
      </c>
      <c r="G30">
        <v>22.6</v>
      </c>
      <c r="H30">
        <v>1.7256636999999999</v>
      </c>
      <c r="I30">
        <v>-0.72566366000000004</v>
      </c>
      <c r="J30">
        <v>0.36688313</v>
      </c>
    </row>
    <row r="31" spans="1:10" x14ac:dyDescent="0.3">
      <c r="A31">
        <v>29</v>
      </c>
      <c r="B31">
        <v>464</v>
      </c>
      <c r="C31" t="b">
        <v>1</v>
      </c>
      <c r="D31">
        <v>8077</v>
      </c>
      <c r="E31">
        <v>8146</v>
      </c>
      <c r="F31">
        <v>38.6</v>
      </c>
      <c r="G31">
        <v>22.6</v>
      </c>
      <c r="H31">
        <v>1.7079645000000001</v>
      </c>
      <c r="I31">
        <v>-0.7079645</v>
      </c>
      <c r="J31">
        <v>0.36928107999999998</v>
      </c>
    </row>
    <row r="32" spans="1:10" x14ac:dyDescent="0.3">
      <c r="A32">
        <v>30</v>
      </c>
      <c r="B32">
        <v>480</v>
      </c>
      <c r="C32" t="b">
        <v>1</v>
      </c>
      <c r="D32">
        <v>8077</v>
      </c>
      <c r="E32">
        <v>8140</v>
      </c>
      <c r="F32">
        <v>38.6</v>
      </c>
      <c r="G32">
        <v>22.6</v>
      </c>
      <c r="H32">
        <v>1.7079645000000001</v>
      </c>
      <c r="I32">
        <v>-0.7079645</v>
      </c>
      <c r="J32">
        <v>0.36928107999999998</v>
      </c>
    </row>
    <row r="33" spans="1:10" x14ac:dyDescent="0.3">
      <c r="A33">
        <v>31</v>
      </c>
      <c r="B33">
        <v>496</v>
      </c>
      <c r="C33" t="b">
        <v>1</v>
      </c>
      <c r="D33">
        <v>8077</v>
      </c>
      <c r="E33">
        <v>8146</v>
      </c>
      <c r="F33">
        <v>38.200000000000003</v>
      </c>
      <c r="G33">
        <v>22.6</v>
      </c>
      <c r="H33">
        <v>1.6902655</v>
      </c>
      <c r="I33">
        <v>-0.69026549999999998</v>
      </c>
      <c r="J33">
        <v>0.3717105</v>
      </c>
    </row>
    <row r="34" spans="1:10" x14ac:dyDescent="0.3">
      <c r="A34">
        <v>32</v>
      </c>
      <c r="B34">
        <v>512</v>
      </c>
      <c r="C34" t="b">
        <v>1</v>
      </c>
      <c r="D34">
        <v>8083</v>
      </c>
      <c r="E34">
        <v>8140</v>
      </c>
      <c r="F34">
        <v>37.799999999999997</v>
      </c>
      <c r="G34">
        <v>22.6</v>
      </c>
      <c r="H34">
        <v>1.6725663</v>
      </c>
      <c r="I34">
        <v>-0.67256629999999995</v>
      </c>
      <c r="J34">
        <v>0.37417218000000002</v>
      </c>
    </row>
    <row r="35" spans="1:10" x14ac:dyDescent="0.3">
      <c r="A35">
        <v>33</v>
      </c>
      <c r="B35">
        <v>528</v>
      </c>
      <c r="C35" t="b">
        <v>1</v>
      </c>
      <c r="D35">
        <v>8083</v>
      </c>
      <c r="E35">
        <v>8140</v>
      </c>
      <c r="F35">
        <v>37.4</v>
      </c>
      <c r="G35">
        <v>22.6</v>
      </c>
      <c r="H35">
        <v>1.6548673</v>
      </c>
      <c r="I35">
        <v>-0.65486730000000004</v>
      </c>
      <c r="J35">
        <v>0.37666666999999998</v>
      </c>
    </row>
    <row r="36" spans="1:10" x14ac:dyDescent="0.3">
      <c r="A36">
        <v>34</v>
      </c>
      <c r="B36">
        <v>544</v>
      </c>
      <c r="C36" t="b">
        <v>1</v>
      </c>
      <c r="D36">
        <v>8077</v>
      </c>
      <c r="E36">
        <v>8146</v>
      </c>
      <c r="F36">
        <v>37</v>
      </c>
      <c r="G36">
        <v>22.6</v>
      </c>
      <c r="H36">
        <v>1.6371682000000001</v>
      </c>
      <c r="I36">
        <v>-0.63716810000000002</v>
      </c>
      <c r="J36">
        <v>0.37919465000000002</v>
      </c>
    </row>
    <row r="37" spans="1:10" x14ac:dyDescent="0.3">
      <c r="A37">
        <v>35</v>
      </c>
      <c r="B37">
        <v>560</v>
      </c>
      <c r="C37" t="b">
        <v>1</v>
      </c>
      <c r="D37">
        <v>8065</v>
      </c>
      <c r="E37">
        <v>8140</v>
      </c>
      <c r="F37">
        <v>36.6</v>
      </c>
      <c r="G37">
        <v>22.6</v>
      </c>
      <c r="H37">
        <v>1.6194689</v>
      </c>
      <c r="I37">
        <v>-0.61946889999999999</v>
      </c>
      <c r="J37">
        <v>0.38175678000000002</v>
      </c>
    </row>
    <row r="38" spans="1:10" x14ac:dyDescent="0.3">
      <c r="A38">
        <v>36</v>
      </c>
      <c r="B38">
        <v>576</v>
      </c>
      <c r="C38" t="b">
        <v>1</v>
      </c>
      <c r="D38">
        <v>8071</v>
      </c>
      <c r="E38">
        <v>8140</v>
      </c>
      <c r="F38">
        <v>36.6</v>
      </c>
      <c r="G38">
        <v>22.6</v>
      </c>
      <c r="H38">
        <v>1.6194689</v>
      </c>
      <c r="I38">
        <v>-0.61946889999999999</v>
      </c>
      <c r="J38">
        <v>0.38175678000000002</v>
      </c>
    </row>
    <row r="39" spans="1:10" x14ac:dyDescent="0.3">
      <c r="A39">
        <v>37</v>
      </c>
      <c r="B39">
        <v>591</v>
      </c>
      <c r="C39" t="b">
        <v>1</v>
      </c>
      <c r="D39">
        <v>8083</v>
      </c>
      <c r="E39">
        <v>8140</v>
      </c>
      <c r="F39">
        <v>36.6</v>
      </c>
      <c r="G39">
        <v>22.6</v>
      </c>
      <c r="H39">
        <v>1.6194689</v>
      </c>
      <c r="I39">
        <v>-0.61946889999999999</v>
      </c>
      <c r="J39">
        <v>0.38175678000000002</v>
      </c>
    </row>
    <row r="40" spans="1:10" x14ac:dyDescent="0.3">
      <c r="A40">
        <v>38</v>
      </c>
      <c r="B40">
        <v>608</v>
      </c>
      <c r="C40" t="b">
        <v>1</v>
      </c>
      <c r="D40">
        <v>8071</v>
      </c>
      <c r="E40">
        <v>8146</v>
      </c>
      <c r="F40">
        <v>36.6</v>
      </c>
      <c r="G40">
        <v>23</v>
      </c>
      <c r="H40">
        <v>1.5913043</v>
      </c>
      <c r="I40">
        <v>-0.5913043</v>
      </c>
      <c r="J40">
        <v>0.38590604000000001</v>
      </c>
    </row>
    <row r="41" spans="1:10" x14ac:dyDescent="0.3">
      <c r="A41">
        <v>39</v>
      </c>
      <c r="B41">
        <v>623</v>
      </c>
      <c r="C41" t="b">
        <v>1</v>
      </c>
      <c r="D41">
        <v>8071</v>
      </c>
      <c r="E41">
        <v>8140</v>
      </c>
      <c r="F41">
        <v>36.200000000000003</v>
      </c>
      <c r="G41">
        <v>23.4</v>
      </c>
      <c r="H41">
        <v>1.5470086000000001</v>
      </c>
      <c r="I41">
        <v>-0.54700863</v>
      </c>
      <c r="J41">
        <v>0.39261745999999997</v>
      </c>
    </row>
    <row r="42" spans="1:10" x14ac:dyDescent="0.3">
      <c r="A42">
        <v>40</v>
      </c>
      <c r="B42">
        <v>639</v>
      </c>
      <c r="C42" t="b">
        <v>1</v>
      </c>
      <c r="D42">
        <v>8077</v>
      </c>
      <c r="E42">
        <v>8134</v>
      </c>
      <c r="F42">
        <v>35.799999999999997</v>
      </c>
      <c r="G42">
        <v>23.8</v>
      </c>
      <c r="H42">
        <v>1.5042017000000001</v>
      </c>
      <c r="I42">
        <v>-0.50420169999999997</v>
      </c>
      <c r="J42">
        <v>0.39932886000000001</v>
      </c>
    </row>
    <row r="43" spans="1:10" x14ac:dyDescent="0.3">
      <c r="A43">
        <v>41</v>
      </c>
      <c r="B43">
        <v>655</v>
      </c>
      <c r="C43" t="b">
        <v>1</v>
      </c>
      <c r="D43">
        <v>8083</v>
      </c>
      <c r="E43">
        <v>8134</v>
      </c>
      <c r="F43">
        <v>35.799999999999997</v>
      </c>
      <c r="G43">
        <v>24.2</v>
      </c>
      <c r="H43">
        <v>1.4793388000000001</v>
      </c>
      <c r="I43">
        <v>-0.47933877000000003</v>
      </c>
      <c r="J43">
        <v>0.40333333999999998</v>
      </c>
    </row>
    <row r="44" spans="1:10" x14ac:dyDescent="0.3">
      <c r="A44">
        <v>42</v>
      </c>
      <c r="B44">
        <v>671</v>
      </c>
      <c r="C44" t="b">
        <v>1</v>
      </c>
      <c r="D44">
        <v>8077</v>
      </c>
      <c r="E44">
        <v>8134</v>
      </c>
      <c r="F44">
        <v>35.799999999999997</v>
      </c>
      <c r="G44">
        <v>24.2</v>
      </c>
      <c r="H44">
        <v>1.4793388000000001</v>
      </c>
      <c r="I44">
        <v>-0.47933877000000003</v>
      </c>
      <c r="J44">
        <v>0.40333333999999998</v>
      </c>
    </row>
    <row r="45" spans="1:10" x14ac:dyDescent="0.3">
      <c r="A45">
        <v>43</v>
      </c>
      <c r="B45">
        <v>686</v>
      </c>
      <c r="C45" t="b">
        <v>1</v>
      </c>
      <c r="D45">
        <v>8077</v>
      </c>
      <c r="E45">
        <v>8140</v>
      </c>
      <c r="F45">
        <v>35.799999999999997</v>
      </c>
      <c r="G45">
        <v>24.2</v>
      </c>
      <c r="H45">
        <v>1.4793388000000001</v>
      </c>
      <c r="I45">
        <v>-0.47933877000000003</v>
      </c>
      <c r="J45">
        <v>0.40333333999999998</v>
      </c>
    </row>
    <row r="46" spans="1:10" x14ac:dyDescent="0.3">
      <c r="A46">
        <v>44</v>
      </c>
      <c r="B46">
        <v>702</v>
      </c>
      <c r="C46" t="b">
        <v>1</v>
      </c>
      <c r="D46">
        <v>8083</v>
      </c>
      <c r="E46">
        <v>8134</v>
      </c>
      <c r="F46">
        <v>35.799999999999997</v>
      </c>
      <c r="G46">
        <v>23.8</v>
      </c>
      <c r="H46">
        <v>1.5042017000000001</v>
      </c>
      <c r="I46">
        <v>-0.50420169999999997</v>
      </c>
      <c r="J46">
        <v>0.39932886000000001</v>
      </c>
    </row>
    <row r="47" spans="1:10" x14ac:dyDescent="0.3">
      <c r="A47">
        <v>45</v>
      </c>
      <c r="B47">
        <v>718</v>
      </c>
      <c r="C47" t="b">
        <v>1</v>
      </c>
      <c r="D47">
        <v>8088</v>
      </c>
      <c r="E47">
        <v>8134</v>
      </c>
      <c r="F47">
        <v>36.200000000000003</v>
      </c>
      <c r="G47">
        <v>23.4</v>
      </c>
      <c r="H47">
        <v>1.5470086000000001</v>
      </c>
      <c r="I47">
        <v>-0.54700863</v>
      </c>
      <c r="J47">
        <v>0.39261745999999997</v>
      </c>
    </row>
    <row r="48" spans="1:10" x14ac:dyDescent="0.3">
      <c r="A48">
        <v>46</v>
      </c>
      <c r="B48">
        <v>734</v>
      </c>
      <c r="C48" t="b">
        <v>1</v>
      </c>
      <c r="D48">
        <v>8083</v>
      </c>
      <c r="E48">
        <v>8146</v>
      </c>
      <c r="F48">
        <v>36.6</v>
      </c>
      <c r="G48">
        <v>23</v>
      </c>
      <c r="H48">
        <v>1.5913043</v>
      </c>
      <c r="I48">
        <v>-0.5913043</v>
      </c>
      <c r="J48">
        <v>0.38590604000000001</v>
      </c>
    </row>
    <row r="49" spans="1:10" x14ac:dyDescent="0.3">
      <c r="A49">
        <v>47</v>
      </c>
      <c r="B49">
        <v>750</v>
      </c>
      <c r="C49" t="b">
        <v>1</v>
      </c>
      <c r="D49">
        <v>8077</v>
      </c>
      <c r="E49">
        <v>8140</v>
      </c>
      <c r="F49">
        <v>37</v>
      </c>
      <c r="G49">
        <v>23</v>
      </c>
      <c r="H49">
        <v>1.6086955999999999</v>
      </c>
      <c r="I49">
        <v>-0.6086956</v>
      </c>
      <c r="J49">
        <v>0.38333333000000003</v>
      </c>
    </row>
    <row r="50" spans="1:10" x14ac:dyDescent="0.3">
      <c r="A50">
        <v>48</v>
      </c>
      <c r="B50">
        <v>766</v>
      </c>
      <c r="C50" t="b">
        <v>1</v>
      </c>
      <c r="D50">
        <v>8083</v>
      </c>
      <c r="E50">
        <v>8134</v>
      </c>
      <c r="F50">
        <v>37.4</v>
      </c>
      <c r="G50">
        <v>22.6</v>
      </c>
      <c r="H50">
        <v>1.6548673</v>
      </c>
      <c r="I50">
        <v>-0.65486730000000004</v>
      </c>
      <c r="J50">
        <v>0.37666666999999998</v>
      </c>
    </row>
    <row r="51" spans="1:10" x14ac:dyDescent="0.3">
      <c r="A51">
        <v>49</v>
      </c>
      <c r="B51">
        <v>782</v>
      </c>
      <c r="C51" t="b">
        <v>1</v>
      </c>
      <c r="D51">
        <v>8083</v>
      </c>
      <c r="E51">
        <v>8134</v>
      </c>
      <c r="F51">
        <v>37.799999999999997</v>
      </c>
      <c r="G51">
        <v>22.2</v>
      </c>
      <c r="H51">
        <v>1.7027026000000001</v>
      </c>
      <c r="I51">
        <v>-0.70270259999999996</v>
      </c>
      <c r="J51">
        <v>0.37</v>
      </c>
    </row>
    <row r="52" spans="1:10" x14ac:dyDescent="0.3">
      <c r="A52">
        <v>50</v>
      </c>
      <c r="B52">
        <v>798</v>
      </c>
      <c r="C52" t="b">
        <v>1</v>
      </c>
      <c r="D52">
        <v>8077</v>
      </c>
      <c r="E52">
        <v>8134</v>
      </c>
      <c r="F52">
        <v>38.200000000000003</v>
      </c>
      <c r="G52">
        <v>21.8</v>
      </c>
      <c r="H52">
        <v>1.7522937000000001</v>
      </c>
      <c r="I52">
        <v>-0.75229365000000004</v>
      </c>
      <c r="J52">
        <v>0.36333330000000003</v>
      </c>
    </row>
    <row r="53" spans="1:10" x14ac:dyDescent="0.3">
      <c r="A53">
        <v>51</v>
      </c>
      <c r="B53">
        <v>813</v>
      </c>
      <c r="C53" t="b">
        <v>1</v>
      </c>
      <c r="D53">
        <v>8077</v>
      </c>
      <c r="E53">
        <v>8129</v>
      </c>
      <c r="F53">
        <v>38.200000000000003</v>
      </c>
      <c r="G53">
        <v>21.4</v>
      </c>
      <c r="H53">
        <v>1.7850467999999999</v>
      </c>
      <c r="I53">
        <v>-0.78504680000000004</v>
      </c>
      <c r="J53">
        <v>0.3590604</v>
      </c>
    </row>
    <row r="54" spans="1:10" x14ac:dyDescent="0.3">
      <c r="A54">
        <v>52</v>
      </c>
      <c r="B54">
        <v>829</v>
      </c>
      <c r="C54" t="b">
        <v>1</v>
      </c>
      <c r="D54">
        <v>8077</v>
      </c>
      <c r="E54">
        <v>8134</v>
      </c>
      <c r="F54">
        <v>38.200000000000003</v>
      </c>
      <c r="G54">
        <v>21</v>
      </c>
      <c r="H54">
        <v>1.8190477</v>
      </c>
      <c r="I54">
        <v>-0.81904763000000003</v>
      </c>
      <c r="J54">
        <v>0.35472969999999998</v>
      </c>
    </row>
    <row r="55" spans="1:10" x14ac:dyDescent="0.3">
      <c r="A55">
        <v>53</v>
      </c>
      <c r="B55">
        <v>845</v>
      </c>
      <c r="C55" t="b">
        <v>1</v>
      </c>
      <c r="D55">
        <v>8077</v>
      </c>
      <c r="E55">
        <v>8140</v>
      </c>
      <c r="F55">
        <v>38.6</v>
      </c>
      <c r="G55">
        <v>20.6</v>
      </c>
      <c r="H55">
        <v>1.8737862999999999</v>
      </c>
      <c r="I55">
        <v>-0.87378630000000002</v>
      </c>
      <c r="J55">
        <v>0.34797299999999998</v>
      </c>
    </row>
    <row r="56" spans="1:10" x14ac:dyDescent="0.3">
      <c r="A56">
        <v>54</v>
      </c>
      <c r="B56">
        <v>861</v>
      </c>
      <c r="C56" t="b">
        <v>1</v>
      </c>
      <c r="D56">
        <v>8077</v>
      </c>
      <c r="E56">
        <v>8140</v>
      </c>
      <c r="F56">
        <v>39</v>
      </c>
      <c r="G56">
        <v>20.2</v>
      </c>
      <c r="H56">
        <v>1.930693</v>
      </c>
      <c r="I56">
        <v>-0.93069299999999999</v>
      </c>
      <c r="J56">
        <v>0.34121624</v>
      </c>
    </row>
    <row r="57" spans="1:10" x14ac:dyDescent="0.3">
      <c r="A57">
        <v>55</v>
      </c>
      <c r="B57">
        <v>877</v>
      </c>
      <c r="C57" t="b">
        <v>1</v>
      </c>
      <c r="D57">
        <v>8071</v>
      </c>
      <c r="E57">
        <v>8146</v>
      </c>
      <c r="F57">
        <v>39.4</v>
      </c>
      <c r="G57">
        <v>20.2</v>
      </c>
      <c r="H57">
        <v>1.9504950000000001</v>
      </c>
      <c r="I57">
        <v>-0.95049505999999995</v>
      </c>
      <c r="J57">
        <v>0.33892617000000003</v>
      </c>
    </row>
    <row r="58" spans="1:10" x14ac:dyDescent="0.3">
      <c r="A58">
        <v>56</v>
      </c>
      <c r="B58">
        <v>893</v>
      </c>
      <c r="C58" t="b">
        <v>1</v>
      </c>
      <c r="D58">
        <v>8077</v>
      </c>
      <c r="E58">
        <v>8146</v>
      </c>
      <c r="F58">
        <v>39.4</v>
      </c>
      <c r="G58">
        <v>20.2</v>
      </c>
      <c r="H58">
        <v>1.9504950000000001</v>
      </c>
      <c r="I58">
        <v>-0.95049505999999995</v>
      </c>
      <c r="J58">
        <v>0.33892617000000003</v>
      </c>
    </row>
    <row r="59" spans="1:10" x14ac:dyDescent="0.3">
      <c r="A59">
        <v>57</v>
      </c>
      <c r="B59">
        <v>909</v>
      </c>
      <c r="C59" t="b">
        <v>1</v>
      </c>
      <c r="D59">
        <v>8083</v>
      </c>
      <c r="E59">
        <v>8152</v>
      </c>
      <c r="F59">
        <v>39.4</v>
      </c>
      <c r="G59">
        <v>21</v>
      </c>
      <c r="H59">
        <v>1.8761905000000001</v>
      </c>
      <c r="I59">
        <v>-0.87619053999999996</v>
      </c>
      <c r="J59">
        <v>0.34768211999999998</v>
      </c>
    </row>
    <row r="60" spans="1:10" x14ac:dyDescent="0.3">
      <c r="A60">
        <v>58</v>
      </c>
      <c r="B60">
        <v>924</v>
      </c>
      <c r="C60" t="b">
        <v>1</v>
      </c>
      <c r="D60">
        <v>8077</v>
      </c>
      <c r="E60">
        <v>8146</v>
      </c>
      <c r="F60">
        <v>39.4</v>
      </c>
      <c r="G60">
        <v>21.8</v>
      </c>
      <c r="H60">
        <v>1.8073395000000001</v>
      </c>
      <c r="I60">
        <v>-0.80733960000000005</v>
      </c>
      <c r="J60">
        <v>0.35620912999999998</v>
      </c>
    </row>
    <row r="61" spans="1:10" x14ac:dyDescent="0.3">
      <c r="A61">
        <v>59</v>
      </c>
      <c r="B61">
        <v>940</v>
      </c>
      <c r="C61" t="b">
        <v>1</v>
      </c>
      <c r="D61">
        <v>8083</v>
      </c>
      <c r="E61">
        <v>8134</v>
      </c>
      <c r="F61">
        <v>39.4</v>
      </c>
      <c r="G61">
        <v>22.6</v>
      </c>
      <c r="H61">
        <v>1.7433628999999999</v>
      </c>
      <c r="I61">
        <v>-0.74336283999999997</v>
      </c>
      <c r="J61">
        <v>0.36451613999999999</v>
      </c>
    </row>
    <row r="62" spans="1:10" x14ac:dyDescent="0.3">
      <c r="A62">
        <v>60</v>
      </c>
      <c r="B62">
        <v>957</v>
      </c>
      <c r="C62" t="b">
        <v>1</v>
      </c>
      <c r="D62">
        <v>8088</v>
      </c>
      <c r="E62">
        <v>8140</v>
      </c>
      <c r="F62">
        <v>39.4</v>
      </c>
      <c r="G62">
        <v>23.4</v>
      </c>
      <c r="H62">
        <v>1.6837607999999999</v>
      </c>
      <c r="I62">
        <v>-0.68376075999999997</v>
      </c>
      <c r="J62">
        <v>0.37261143000000002</v>
      </c>
    </row>
    <row r="63" spans="1:10" x14ac:dyDescent="0.3">
      <c r="A63">
        <v>61</v>
      </c>
      <c r="B63">
        <v>973</v>
      </c>
      <c r="C63" t="b">
        <v>1</v>
      </c>
      <c r="D63">
        <v>8083</v>
      </c>
      <c r="E63">
        <v>8146</v>
      </c>
      <c r="F63">
        <v>39.4</v>
      </c>
      <c r="G63">
        <v>24.2</v>
      </c>
      <c r="H63">
        <v>1.6280992000000001</v>
      </c>
      <c r="I63">
        <v>-0.62809919999999997</v>
      </c>
      <c r="J63">
        <v>0.38050315000000001</v>
      </c>
    </row>
    <row r="64" spans="1:10" x14ac:dyDescent="0.3">
      <c r="A64">
        <v>62</v>
      </c>
      <c r="B64">
        <v>989</v>
      </c>
      <c r="C64" t="b">
        <v>1</v>
      </c>
      <c r="D64">
        <v>8083</v>
      </c>
      <c r="E64">
        <v>8140</v>
      </c>
      <c r="F64">
        <v>39.4</v>
      </c>
      <c r="G64">
        <v>24.2</v>
      </c>
      <c r="H64">
        <v>1.6280992000000001</v>
      </c>
      <c r="I64">
        <v>-0.62809919999999997</v>
      </c>
      <c r="J64">
        <v>0.38050315000000001</v>
      </c>
    </row>
    <row r="65" spans="1:10" x14ac:dyDescent="0.3">
      <c r="A65">
        <v>63</v>
      </c>
      <c r="B65">
        <v>1004</v>
      </c>
      <c r="C65" t="b">
        <v>1</v>
      </c>
      <c r="D65">
        <v>8088</v>
      </c>
      <c r="E65">
        <v>8146</v>
      </c>
      <c r="F65">
        <v>39.4</v>
      </c>
      <c r="G65">
        <v>24.6</v>
      </c>
      <c r="H65">
        <v>1.601626</v>
      </c>
      <c r="I65">
        <v>-0.60162603999999997</v>
      </c>
      <c r="J65">
        <v>0.38437500000000002</v>
      </c>
    </row>
    <row r="66" spans="1:10" x14ac:dyDescent="0.3">
      <c r="A66">
        <v>64</v>
      </c>
      <c r="B66">
        <v>1020</v>
      </c>
      <c r="C66" t="b">
        <v>1</v>
      </c>
      <c r="D66">
        <v>8083</v>
      </c>
      <c r="E66">
        <v>8140</v>
      </c>
      <c r="F66">
        <v>39.4</v>
      </c>
      <c r="G66">
        <v>25</v>
      </c>
      <c r="H66">
        <v>1.5760000999999999</v>
      </c>
      <c r="I66">
        <v>-0.57600003</v>
      </c>
      <c r="J66">
        <v>0.38819875999999998</v>
      </c>
    </row>
    <row r="67" spans="1:10" x14ac:dyDescent="0.3">
      <c r="A67">
        <v>65</v>
      </c>
      <c r="B67">
        <v>1036</v>
      </c>
      <c r="C67" t="b">
        <v>1</v>
      </c>
      <c r="D67">
        <v>8083</v>
      </c>
      <c r="E67">
        <v>8146</v>
      </c>
      <c r="F67">
        <v>39.4</v>
      </c>
      <c r="G67">
        <v>25.8</v>
      </c>
      <c r="H67">
        <v>1.5271319000000001</v>
      </c>
      <c r="I67">
        <v>-0.52713189999999999</v>
      </c>
      <c r="J67">
        <v>0.39570551999999998</v>
      </c>
    </row>
    <row r="68" spans="1:10" x14ac:dyDescent="0.3">
      <c r="A68">
        <v>66</v>
      </c>
      <c r="B68">
        <v>1052</v>
      </c>
      <c r="C68" t="b">
        <v>1</v>
      </c>
      <c r="D68">
        <v>8077</v>
      </c>
      <c r="E68">
        <v>8140</v>
      </c>
      <c r="F68">
        <v>39.799999999999997</v>
      </c>
      <c r="G68">
        <v>26.2</v>
      </c>
      <c r="H68">
        <v>1.5190839</v>
      </c>
      <c r="I68">
        <v>-0.51908390000000004</v>
      </c>
      <c r="J68">
        <v>0.39696969999999998</v>
      </c>
    </row>
    <row r="69" spans="1:10" x14ac:dyDescent="0.3">
      <c r="A69">
        <v>67</v>
      </c>
      <c r="B69">
        <v>1068</v>
      </c>
      <c r="C69" t="b">
        <v>1</v>
      </c>
      <c r="D69">
        <v>8077</v>
      </c>
      <c r="E69">
        <v>8140</v>
      </c>
      <c r="F69">
        <v>40.200000000000003</v>
      </c>
      <c r="G69">
        <v>26.6</v>
      </c>
      <c r="H69">
        <v>1.5112782</v>
      </c>
      <c r="I69">
        <v>-0.51127820000000002</v>
      </c>
      <c r="J69">
        <v>0.39820358</v>
      </c>
    </row>
    <row r="70" spans="1:10" x14ac:dyDescent="0.3">
      <c r="A70">
        <v>68</v>
      </c>
      <c r="B70">
        <v>1084</v>
      </c>
      <c r="C70" t="b">
        <v>1</v>
      </c>
      <c r="D70">
        <v>8077</v>
      </c>
      <c r="E70">
        <v>8140</v>
      </c>
      <c r="F70">
        <v>40.200000000000003</v>
      </c>
      <c r="G70">
        <v>27</v>
      </c>
      <c r="H70">
        <v>1.4888889000000001</v>
      </c>
      <c r="I70">
        <v>-0.48888892</v>
      </c>
      <c r="J70">
        <v>0.40178573000000001</v>
      </c>
    </row>
    <row r="71" spans="1:10" x14ac:dyDescent="0.3">
      <c r="A71">
        <v>69</v>
      </c>
      <c r="B71">
        <v>1100</v>
      </c>
      <c r="C71" t="b">
        <v>1</v>
      </c>
      <c r="D71">
        <v>8083</v>
      </c>
      <c r="E71">
        <v>8146</v>
      </c>
      <c r="F71">
        <v>40.200000000000003</v>
      </c>
      <c r="G71">
        <v>27.4</v>
      </c>
      <c r="H71">
        <v>1.4671533000000001</v>
      </c>
      <c r="I71">
        <v>-0.46715333999999997</v>
      </c>
      <c r="J71">
        <v>0.40532543999999998</v>
      </c>
    </row>
    <row r="72" spans="1:10" x14ac:dyDescent="0.3">
      <c r="A72">
        <v>70</v>
      </c>
      <c r="B72">
        <v>1116</v>
      </c>
      <c r="C72" t="b">
        <v>1</v>
      </c>
      <c r="D72">
        <v>8077</v>
      </c>
      <c r="E72">
        <v>8140</v>
      </c>
      <c r="F72">
        <v>40.200000000000003</v>
      </c>
      <c r="G72">
        <v>27.4</v>
      </c>
      <c r="H72">
        <v>1.4671533000000001</v>
      </c>
      <c r="I72">
        <v>-0.46715333999999997</v>
      </c>
      <c r="J72">
        <v>0.40532543999999998</v>
      </c>
    </row>
    <row r="73" spans="1:10" x14ac:dyDescent="0.3">
      <c r="A73">
        <v>71</v>
      </c>
      <c r="B73">
        <v>1132</v>
      </c>
      <c r="C73" t="b">
        <v>1</v>
      </c>
      <c r="D73">
        <v>8077</v>
      </c>
      <c r="E73">
        <v>8140</v>
      </c>
      <c r="F73">
        <v>40.200000000000003</v>
      </c>
      <c r="G73">
        <v>27.4</v>
      </c>
      <c r="H73">
        <v>1.4671533000000001</v>
      </c>
      <c r="I73">
        <v>-0.46715333999999997</v>
      </c>
      <c r="J73">
        <v>0.40532543999999998</v>
      </c>
    </row>
    <row r="74" spans="1:10" x14ac:dyDescent="0.3">
      <c r="A74">
        <v>72</v>
      </c>
      <c r="B74">
        <v>1148</v>
      </c>
      <c r="C74" t="b">
        <v>1</v>
      </c>
      <c r="D74">
        <v>8077</v>
      </c>
      <c r="E74">
        <v>8140</v>
      </c>
      <c r="F74">
        <v>40.200000000000003</v>
      </c>
      <c r="G74">
        <v>27</v>
      </c>
      <c r="H74">
        <v>1.4888889000000001</v>
      </c>
      <c r="I74">
        <v>-0.48888892</v>
      </c>
      <c r="J74">
        <v>0.40178573000000001</v>
      </c>
    </row>
    <row r="75" spans="1:10" x14ac:dyDescent="0.3">
      <c r="A75">
        <v>73</v>
      </c>
      <c r="B75">
        <v>1164</v>
      </c>
      <c r="C75" t="b">
        <v>1</v>
      </c>
      <c r="D75">
        <v>8088</v>
      </c>
      <c r="E75">
        <v>8140</v>
      </c>
      <c r="F75">
        <v>40.200000000000003</v>
      </c>
      <c r="G75">
        <v>26.6</v>
      </c>
      <c r="H75">
        <v>1.5112782</v>
      </c>
      <c r="I75">
        <v>-0.51127820000000002</v>
      </c>
      <c r="J75">
        <v>0.39820358</v>
      </c>
    </row>
    <row r="76" spans="1:10" x14ac:dyDescent="0.3">
      <c r="A76">
        <v>74</v>
      </c>
      <c r="B76">
        <v>1179</v>
      </c>
      <c r="C76" t="b">
        <v>1</v>
      </c>
      <c r="D76">
        <v>8083</v>
      </c>
      <c r="E76">
        <v>8140</v>
      </c>
      <c r="F76">
        <v>40.200000000000003</v>
      </c>
      <c r="G76">
        <v>26.2</v>
      </c>
      <c r="H76">
        <v>1.5343511000000001</v>
      </c>
      <c r="I76">
        <v>-0.53435109999999997</v>
      </c>
      <c r="J76">
        <v>0.39457829999999999</v>
      </c>
    </row>
    <row r="77" spans="1:10" x14ac:dyDescent="0.3">
      <c r="A77">
        <v>75</v>
      </c>
      <c r="B77">
        <v>1195</v>
      </c>
      <c r="C77" t="b">
        <v>1</v>
      </c>
      <c r="D77">
        <v>8077</v>
      </c>
      <c r="E77">
        <v>8134</v>
      </c>
      <c r="F77">
        <v>39.799999999999997</v>
      </c>
      <c r="G77">
        <v>25.8</v>
      </c>
      <c r="H77">
        <v>1.5426356999999999</v>
      </c>
      <c r="I77">
        <v>-0.54263570000000005</v>
      </c>
      <c r="J77">
        <v>0.3932927</v>
      </c>
    </row>
    <row r="78" spans="1:10" x14ac:dyDescent="0.3">
      <c r="A78">
        <v>76</v>
      </c>
      <c r="B78">
        <v>1211</v>
      </c>
      <c r="C78" t="b">
        <v>1</v>
      </c>
      <c r="D78">
        <v>8077</v>
      </c>
      <c r="E78">
        <v>8140</v>
      </c>
      <c r="F78">
        <v>39.4</v>
      </c>
      <c r="G78">
        <v>25.4</v>
      </c>
      <c r="H78">
        <v>1.5511812</v>
      </c>
      <c r="I78">
        <v>-0.55118120000000004</v>
      </c>
      <c r="J78">
        <v>0.39197527999999998</v>
      </c>
    </row>
    <row r="79" spans="1:10" x14ac:dyDescent="0.3">
      <c r="A79">
        <v>77</v>
      </c>
      <c r="B79">
        <v>1227</v>
      </c>
      <c r="C79" t="b">
        <v>1</v>
      </c>
      <c r="D79">
        <v>8083</v>
      </c>
      <c r="E79">
        <v>8134</v>
      </c>
      <c r="F79">
        <v>39.4</v>
      </c>
      <c r="G79">
        <v>25.4</v>
      </c>
      <c r="H79">
        <v>1.5511812</v>
      </c>
      <c r="I79">
        <v>-0.55118120000000004</v>
      </c>
      <c r="J79">
        <v>0.39197527999999998</v>
      </c>
    </row>
    <row r="80" spans="1:10" x14ac:dyDescent="0.3">
      <c r="A80">
        <v>78</v>
      </c>
      <c r="B80">
        <v>1243</v>
      </c>
      <c r="C80" t="b">
        <v>1</v>
      </c>
      <c r="D80">
        <v>8077</v>
      </c>
      <c r="E80">
        <v>8134</v>
      </c>
      <c r="F80">
        <v>39</v>
      </c>
      <c r="G80">
        <v>25</v>
      </c>
      <c r="H80">
        <v>1.56</v>
      </c>
      <c r="I80">
        <v>-0.56000000000000005</v>
      </c>
      <c r="J80">
        <v>0.390625</v>
      </c>
    </row>
    <row r="81" spans="1:10" x14ac:dyDescent="0.3">
      <c r="A81">
        <v>79</v>
      </c>
      <c r="B81">
        <v>1259</v>
      </c>
      <c r="C81" t="b">
        <v>1</v>
      </c>
      <c r="D81">
        <v>8083</v>
      </c>
      <c r="E81">
        <v>8134</v>
      </c>
      <c r="F81">
        <v>38.6</v>
      </c>
      <c r="G81">
        <v>24.6</v>
      </c>
      <c r="H81">
        <v>1.5691056000000001</v>
      </c>
      <c r="I81">
        <v>-0.56910559999999999</v>
      </c>
      <c r="J81">
        <v>0.38924052999999997</v>
      </c>
    </row>
    <row r="82" spans="1:10" x14ac:dyDescent="0.3">
      <c r="A82">
        <v>80</v>
      </c>
      <c r="B82">
        <v>1275</v>
      </c>
      <c r="C82" t="b">
        <v>1</v>
      </c>
      <c r="D82">
        <v>8088</v>
      </c>
      <c r="E82">
        <v>8134</v>
      </c>
      <c r="F82">
        <v>38.6</v>
      </c>
      <c r="G82">
        <v>23.8</v>
      </c>
      <c r="H82">
        <v>1.6218486999999999</v>
      </c>
      <c r="I82">
        <v>-0.62184870000000003</v>
      </c>
      <c r="J82">
        <v>0.38141027</v>
      </c>
    </row>
    <row r="83" spans="1:10" x14ac:dyDescent="0.3">
      <c r="A83">
        <v>81</v>
      </c>
      <c r="B83">
        <v>1291</v>
      </c>
      <c r="C83" t="b">
        <v>1</v>
      </c>
      <c r="D83">
        <v>8088</v>
      </c>
      <c r="E83">
        <v>8134</v>
      </c>
      <c r="F83">
        <v>38.6</v>
      </c>
      <c r="G83">
        <v>23.4</v>
      </c>
      <c r="H83">
        <v>1.6495725999999999</v>
      </c>
      <c r="I83">
        <v>-0.64957259999999994</v>
      </c>
      <c r="J83">
        <v>0.37741934999999999</v>
      </c>
    </row>
    <row r="84" spans="1:10" x14ac:dyDescent="0.3">
      <c r="A84">
        <v>82</v>
      </c>
      <c r="B84">
        <v>1307</v>
      </c>
      <c r="C84" t="b">
        <v>1</v>
      </c>
      <c r="D84">
        <v>8077</v>
      </c>
      <c r="E84">
        <v>8140</v>
      </c>
      <c r="F84">
        <v>38.6</v>
      </c>
      <c r="G84">
        <v>23</v>
      </c>
      <c r="H84">
        <v>1.6782608000000001</v>
      </c>
      <c r="I84">
        <v>-0.6782608</v>
      </c>
      <c r="J84">
        <v>0.37337663999999998</v>
      </c>
    </row>
    <row r="85" spans="1:10" x14ac:dyDescent="0.3">
      <c r="A85">
        <v>83</v>
      </c>
      <c r="B85">
        <v>1323</v>
      </c>
      <c r="C85" t="b">
        <v>1</v>
      </c>
      <c r="D85">
        <v>8083</v>
      </c>
      <c r="E85">
        <v>8129</v>
      </c>
      <c r="F85">
        <v>39</v>
      </c>
      <c r="G85">
        <v>22.6</v>
      </c>
      <c r="H85">
        <v>1.7256636999999999</v>
      </c>
      <c r="I85">
        <v>-0.72566366000000004</v>
      </c>
      <c r="J85">
        <v>0.36688313</v>
      </c>
    </row>
    <row r="86" spans="1:10" x14ac:dyDescent="0.3">
      <c r="A86">
        <v>84</v>
      </c>
      <c r="B86">
        <v>1339</v>
      </c>
      <c r="C86" t="b">
        <v>1</v>
      </c>
      <c r="D86">
        <v>8083</v>
      </c>
      <c r="E86">
        <v>8140</v>
      </c>
      <c r="F86">
        <v>39.4</v>
      </c>
      <c r="G86">
        <v>22.2</v>
      </c>
      <c r="H86">
        <v>1.7747748000000001</v>
      </c>
      <c r="I86">
        <v>-0.77477479999999999</v>
      </c>
      <c r="J86">
        <v>0.36038962000000002</v>
      </c>
    </row>
    <row r="87" spans="1:10" x14ac:dyDescent="0.3">
      <c r="A87">
        <v>85</v>
      </c>
      <c r="B87">
        <v>1355</v>
      </c>
      <c r="C87" t="b">
        <v>1</v>
      </c>
      <c r="D87">
        <v>8088</v>
      </c>
      <c r="E87">
        <v>8140</v>
      </c>
      <c r="F87">
        <v>39.799999999999997</v>
      </c>
      <c r="G87">
        <v>22.2</v>
      </c>
      <c r="H87">
        <v>1.7927926999999999</v>
      </c>
      <c r="I87">
        <v>-0.79279270000000002</v>
      </c>
      <c r="J87">
        <v>0.35806452999999999</v>
      </c>
    </row>
    <row r="88" spans="1:10" x14ac:dyDescent="0.3">
      <c r="A88">
        <v>86</v>
      </c>
      <c r="B88">
        <v>1371</v>
      </c>
      <c r="C88" t="b">
        <v>1</v>
      </c>
      <c r="D88">
        <v>8088</v>
      </c>
      <c r="E88">
        <v>8146</v>
      </c>
      <c r="F88">
        <v>40.200000000000003</v>
      </c>
      <c r="G88">
        <v>22.2</v>
      </c>
      <c r="H88">
        <v>1.8108108000000001</v>
      </c>
      <c r="I88">
        <v>-0.81081080000000005</v>
      </c>
      <c r="J88">
        <v>0.35576924999999998</v>
      </c>
    </row>
    <row r="89" spans="1:10" x14ac:dyDescent="0.3">
      <c r="A89">
        <v>87</v>
      </c>
      <c r="B89">
        <v>1387</v>
      </c>
      <c r="C89" t="b">
        <v>1</v>
      </c>
      <c r="D89">
        <v>8077</v>
      </c>
      <c r="E89">
        <v>8146</v>
      </c>
      <c r="F89">
        <v>40.6</v>
      </c>
      <c r="G89">
        <v>22.2</v>
      </c>
      <c r="H89">
        <v>1.8288287000000001</v>
      </c>
      <c r="I89">
        <v>-0.82882869999999997</v>
      </c>
      <c r="J89">
        <v>0.35350320000000002</v>
      </c>
    </row>
    <row r="90" spans="1:10" x14ac:dyDescent="0.3">
      <c r="A90">
        <v>88</v>
      </c>
      <c r="B90">
        <v>1402</v>
      </c>
      <c r="C90" t="b">
        <v>1</v>
      </c>
      <c r="D90">
        <v>8088</v>
      </c>
      <c r="E90">
        <v>8140</v>
      </c>
      <c r="F90">
        <v>41.333331999999999</v>
      </c>
      <c r="G90">
        <v>22.2</v>
      </c>
      <c r="H90">
        <v>1.8618617</v>
      </c>
      <c r="I90">
        <v>-0.86186176999999997</v>
      </c>
      <c r="J90">
        <v>0.34942289999999998</v>
      </c>
    </row>
    <row r="91" spans="1:10" x14ac:dyDescent="0.3">
      <c r="A91">
        <v>89</v>
      </c>
      <c r="B91">
        <v>1418</v>
      </c>
      <c r="C91" t="b">
        <v>1</v>
      </c>
      <c r="D91">
        <v>8077</v>
      </c>
      <c r="E91">
        <v>8140</v>
      </c>
      <c r="F91">
        <v>42.066665999999998</v>
      </c>
      <c r="G91">
        <v>22.2</v>
      </c>
      <c r="H91">
        <v>1.8948948000000001</v>
      </c>
      <c r="I91">
        <v>-0.89489479999999999</v>
      </c>
      <c r="J91">
        <v>0.34543570000000001</v>
      </c>
    </row>
    <row r="92" spans="1:10" x14ac:dyDescent="0.3">
      <c r="A92">
        <v>90</v>
      </c>
      <c r="B92">
        <v>1434</v>
      </c>
      <c r="C92" t="b">
        <v>1</v>
      </c>
      <c r="D92">
        <v>8088</v>
      </c>
      <c r="E92">
        <v>8146</v>
      </c>
      <c r="F92">
        <v>42.8</v>
      </c>
      <c r="G92">
        <v>22.6</v>
      </c>
      <c r="H92">
        <v>1.8938052999999999</v>
      </c>
      <c r="I92">
        <v>-0.89380526999999999</v>
      </c>
      <c r="J92">
        <v>0.34556574000000001</v>
      </c>
    </row>
    <row r="93" spans="1:10" x14ac:dyDescent="0.3">
      <c r="A93">
        <v>91</v>
      </c>
      <c r="B93">
        <v>1450</v>
      </c>
      <c r="C93" t="b">
        <v>1</v>
      </c>
      <c r="D93">
        <v>8088</v>
      </c>
      <c r="E93">
        <v>8140</v>
      </c>
      <c r="F93">
        <v>43.533332999999999</v>
      </c>
      <c r="G93">
        <v>22.6</v>
      </c>
      <c r="H93">
        <v>1.9262537</v>
      </c>
      <c r="I93">
        <v>-0.92625360000000001</v>
      </c>
      <c r="J93">
        <v>0.34173387</v>
      </c>
    </row>
    <row r="94" spans="1:10" x14ac:dyDescent="0.3">
      <c r="A94">
        <v>92</v>
      </c>
      <c r="B94">
        <v>1466</v>
      </c>
      <c r="C94" t="b">
        <v>1</v>
      </c>
      <c r="D94">
        <v>8077</v>
      </c>
      <c r="E94">
        <v>8140</v>
      </c>
      <c r="F94">
        <v>43.866664999999998</v>
      </c>
      <c r="G94">
        <v>22.6</v>
      </c>
      <c r="H94">
        <v>1.9410027999999999</v>
      </c>
      <c r="I94">
        <v>-0.94100284999999995</v>
      </c>
      <c r="J94">
        <v>0.34002006000000001</v>
      </c>
    </row>
    <row r="95" spans="1:10" x14ac:dyDescent="0.3">
      <c r="A95">
        <v>93</v>
      </c>
      <c r="B95">
        <v>1481</v>
      </c>
      <c r="C95" t="b">
        <v>1</v>
      </c>
      <c r="D95">
        <v>8077</v>
      </c>
      <c r="E95">
        <v>8140</v>
      </c>
      <c r="F95">
        <v>43.866664999999998</v>
      </c>
      <c r="G95">
        <v>23</v>
      </c>
      <c r="H95">
        <v>1.9072464</v>
      </c>
      <c r="I95">
        <v>-0.90724629999999995</v>
      </c>
      <c r="J95">
        <v>0.3439681</v>
      </c>
    </row>
    <row r="96" spans="1:10" x14ac:dyDescent="0.3">
      <c r="A96">
        <v>94</v>
      </c>
      <c r="B96">
        <v>1497</v>
      </c>
      <c r="C96" t="b">
        <v>1</v>
      </c>
      <c r="D96">
        <v>8071</v>
      </c>
      <c r="E96">
        <v>8140</v>
      </c>
      <c r="F96">
        <v>43.866664999999998</v>
      </c>
      <c r="G96">
        <v>23.4</v>
      </c>
      <c r="H96">
        <v>1.8746438000000001</v>
      </c>
      <c r="I96">
        <v>-0.87464379999999997</v>
      </c>
      <c r="J96">
        <v>0.34786919999999999</v>
      </c>
    </row>
    <row r="97" spans="1:10" x14ac:dyDescent="0.3">
      <c r="A97">
        <v>95</v>
      </c>
      <c r="B97">
        <v>1513</v>
      </c>
      <c r="C97" t="b">
        <v>1</v>
      </c>
      <c r="D97">
        <v>8083</v>
      </c>
      <c r="E97">
        <v>8140</v>
      </c>
      <c r="F97">
        <v>43.466667000000001</v>
      </c>
      <c r="G97">
        <v>23.8</v>
      </c>
      <c r="H97">
        <v>1.8263307</v>
      </c>
      <c r="I97">
        <v>-0.82633060000000003</v>
      </c>
      <c r="J97">
        <v>0.35381567000000003</v>
      </c>
    </row>
    <row r="98" spans="1:10" x14ac:dyDescent="0.3">
      <c r="A98">
        <v>96</v>
      </c>
      <c r="B98">
        <v>1529</v>
      </c>
      <c r="C98" t="b">
        <v>1</v>
      </c>
      <c r="D98">
        <v>8077</v>
      </c>
      <c r="E98">
        <v>8134</v>
      </c>
      <c r="F98">
        <v>43.066665999999998</v>
      </c>
      <c r="G98">
        <v>24.2</v>
      </c>
      <c r="H98">
        <v>1.7796141999999999</v>
      </c>
      <c r="I98">
        <v>-0.77961420000000003</v>
      </c>
      <c r="J98">
        <v>0.35976216</v>
      </c>
    </row>
    <row r="99" spans="1:10" x14ac:dyDescent="0.3">
      <c r="A99">
        <v>97</v>
      </c>
      <c r="B99">
        <v>1545</v>
      </c>
      <c r="C99" t="b">
        <v>1</v>
      </c>
      <c r="D99">
        <v>8077</v>
      </c>
      <c r="E99">
        <v>8140</v>
      </c>
      <c r="F99">
        <v>42.666668000000001</v>
      </c>
      <c r="G99">
        <v>24.6</v>
      </c>
      <c r="H99">
        <v>1.7344173000000001</v>
      </c>
      <c r="I99">
        <v>-0.7344174</v>
      </c>
      <c r="J99">
        <v>0.36570861999999998</v>
      </c>
    </row>
    <row r="100" spans="1:10" x14ac:dyDescent="0.3">
      <c r="A100">
        <v>98</v>
      </c>
      <c r="B100">
        <v>1561</v>
      </c>
      <c r="C100" t="b">
        <v>1</v>
      </c>
      <c r="D100">
        <v>8071</v>
      </c>
      <c r="E100">
        <v>8140</v>
      </c>
      <c r="F100">
        <v>42.266666000000001</v>
      </c>
      <c r="G100">
        <v>25</v>
      </c>
      <c r="H100">
        <v>1.6906667</v>
      </c>
      <c r="I100">
        <v>-0.69066669999999997</v>
      </c>
      <c r="J100">
        <v>0.37165513999999999</v>
      </c>
    </row>
    <row r="101" spans="1:10" x14ac:dyDescent="0.3">
      <c r="A101">
        <v>99</v>
      </c>
      <c r="B101">
        <v>1577</v>
      </c>
      <c r="C101" t="b">
        <v>1</v>
      </c>
      <c r="D101">
        <v>8071</v>
      </c>
      <c r="E101">
        <v>8134</v>
      </c>
      <c r="F101">
        <v>41.866664999999998</v>
      </c>
      <c r="G101">
        <v>25.4</v>
      </c>
      <c r="H101">
        <v>1.6482939999999999</v>
      </c>
      <c r="I101">
        <v>-0.64829389999999998</v>
      </c>
      <c r="J101">
        <v>0.37760159999999998</v>
      </c>
    </row>
    <row r="102" spans="1:10" x14ac:dyDescent="0.3">
      <c r="A102">
        <v>100</v>
      </c>
      <c r="B102">
        <v>1593</v>
      </c>
      <c r="C102" t="b">
        <v>1</v>
      </c>
      <c r="D102">
        <v>8071</v>
      </c>
      <c r="E102">
        <v>8134</v>
      </c>
      <c r="F102">
        <v>41.066665999999998</v>
      </c>
      <c r="G102">
        <v>25</v>
      </c>
      <c r="H102">
        <v>1.6426666000000001</v>
      </c>
      <c r="I102">
        <v>-0.64266663999999996</v>
      </c>
      <c r="J102">
        <v>0.37840565999999998</v>
      </c>
    </row>
    <row r="103" spans="1:10" x14ac:dyDescent="0.3">
      <c r="A103">
        <v>101</v>
      </c>
      <c r="B103">
        <v>1625</v>
      </c>
      <c r="C103" t="b">
        <v>1</v>
      </c>
      <c r="D103">
        <v>8077</v>
      </c>
      <c r="E103">
        <v>8134</v>
      </c>
      <c r="F103">
        <v>40.266666000000001</v>
      </c>
      <c r="G103">
        <v>24.6</v>
      </c>
      <c r="H103">
        <v>1.6368563</v>
      </c>
      <c r="I103">
        <v>-0.63685630000000004</v>
      </c>
      <c r="J103">
        <v>0.37923947000000002</v>
      </c>
    </row>
    <row r="104" spans="1:10" x14ac:dyDescent="0.3">
      <c r="A104">
        <v>102</v>
      </c>
      <c r="B104">
        <v>1640</v>
      </c>
      <c r="C104" t="b">
        <v>1</v>
      </c>
      <c r="D104">
        <v>8083</v>
      </c>
      <c r="E104">
        <v>8134</v>
      </c>
      <c r="F104">
        <v>39.466667000000001</v>
      </c>
      <c r="G104">
        <v>24.2</v>
      </c>
      <c r="H104">
        <v>1.630854</v>
      </c>
      <c r="I104">
        <v>-0.63085395</v>
      </c>
      <c r="J104">
        <v>0.38010472000000001</v>
      </c>
    </row>
    <row r="105" spans="1:10" x14ac:dyDescent="0.3">
      <c r="A105">
        <v>103</v>
      </c>
      <c r="B105">
        <v>1657</v>
      </c>
      <c r="C105" t="b">
        <v>1</v>
      </c>
      <c r="D105">
        <v>8083</v>
      </c>
      <c r="E105">
        <v>8129</v>
      </c>
      <c r="F105">
        <v>38.733333999999999</v>
      </c>
      <c r="G105">
        <v>23.8</v>
      </c>
      <c r="H105">
        <v>1.6274511</v>
      </c>
      <c r="I105">
        <v>-0.62745105999999995</v>
      </c>
      <c r="J105">
        <v>0.38059700000000002</v>
      </c>
    </row>
    <row r="106" spans="1:10" x14ac:dyDescent="0.3">
      <c r="A106">
        <v>104</v>
      </c>
      <c r="B106">
        <v>1672</v>
      </c>
      <c r="C106" t="b">
        <v>1</v>
      </c>
      <c r="D106">
        <v>8071</v>
      </c>
      <c r="E106">
        <v>8134</v>
      </c>
      <c r="F106">
        <v>38</v>
      </c>
      <c r="G106">
        <v>23.4</v>
      </c>
      <c r="H106">
        <v>1.6239315999999999</v>
      </c>
      <c r="I106">
        <v>-0.62393164999999995</v>
      </c>
      <c r="J106">
        <v>0.38110748</v>
      </c>
    </row>
    <row r="107" spans="1:10" x14ac:dyDescent="0.3">
      <c r="A107">
        <v>105</v>
      </c>
      <c r="B107">
        <v>1688</v>
      </c>
      <c r="C107" t="b">
        <v>1</v>
      </c>
      <c r="D107">
        <v>8065</v>
      </c>
      <c r="E107">
        <v>8140</v>
      </c>
      <c r="F107">
        <v>37.266666000000001</v>
      </c>
      <c r="G107">
        <v>22.6</v>
      </c>
      <c r="H107">
        <v>1.6489674999999999</v>
      </c>
      <c r="I107">
        <v>-0.64896750000000003</v>
      </c>
      <c r="J107">
        <v>0.37750557000000001</v>
      </c>
    </row>
    <row r="108" spans="1:10" x14ac:dyDescent="0.3">
      <c r="A108">
        <v>106</v>
      </c>
      <c r="B108">
        <v>1704</v>
      </c>
      <c r="C108" t="b">
        <v>1</v>
      </c>
      <c r="D108">
        <v>8071</v>
      </c>
      <c r="E108">
        <v>8134</v>
      </c>
      <c r="F108">
        <v>36.133335000000002</v>
      </c>
      <c r="G108">
        <v>22.2</v>
      </c>
      <c r="H108">
        <v>1.6276276000000001</v>
      </c>
      <c r="I108">
        <v>-0.62762770000000001</v>
      </c>
      <c r="J108">
        <v>0.38057141999999999</v>
      </c>
    </row>
    <row r="109" spans="1:10" x14ac:dyDescent="0.3">
      <c r="A109">
        <v>107</v>
      </c>
      <c r="B109">
        <v>1720</v>
      </c>
      <c r="C109" t="b">
        <v>1</v>
      </c>
      <c r="D109">
        <v>8071</v>
      </c>
      <c r="E109">
        <v>8134</v>
      </c>
      <c r="F109">
        <v>35</v>
      </c>
      <c r="G109">
        <v>21.8</v>
      </c>
      <c r="H109">
        <v>1.6055045999999999</v>
      </c>
      <c r="I109">
        <v>-0.60550462999999999</v>
      </c>
      <c r="J109">
        <v>0.3838028</v>
      </c>
    </row>
    <row r="110" spans="1:10" x14ac:dyDescent="0.3">
      <c r="A110">
        <v>108</v>
      </c>
      <c r="B110">
        <v>1736</v>
      </c>
      <c r="C110" t="b">
        <v>1</v>
      </c>
      <c r="D110">
        <v>8077</v>
      </c>
      <c r="E110">
        <v>8129</v>
      </c>
      <c r="F110">
        <v>34.6</v>
      </c>
      <c r="G110">
        <v>21.4</v>
      </c>
      <c r="H110">
        <v>1.6168224</v>
      </c>
      <c r="I110">
        <v>-0.61682236000000001</v>
      </c>
      <c r="J110">
        <v>0.38214283999999998</v>
      </c>
    </row>
    <row r="111" spans="1:10" x14ac:dyDescent="0.3">
      <c r="A111">
        <v>109</v>
      </c>
      <c r="B111">
        <v>1752</v>
      </c>
      <c r="C111" t="b">
        <v>1</v>
      </c>
      <c r="D111">
        <v>8077</v>
      </c>
      <c r="E111">
        <v>8134</v>
      </c>
      <c r="F111">
        <v>34.200000000000003</v>
      </c>
      <c r="G111">
        <v>21</v>
      </c>
      <c r="H111">
        <v>1.6285715000000001</v>
      </c>
      <c r="I111">
        <v>-0.62857145000000003</v>
      </c>
      <c r="J111">
        <v>0.38043477999999997</v>
      </c>
    </row>
    <row r="112" spans="1:10" x14ac:dyDescent="0.3">
      <c r="A112">
        <v>110</v>
      </c>
      <c r="B112">
        <v>1768</v>
      </c>
      <c r="C112" t="b">
        <v>1</v>
      </c>
      <c r="D112">
        <v>8083</v>
      </c>
      <c r="E112">
        <v>8134</v>
      </c>
      <c r="F112">
        <v>34.200000000000003</v>
      </c>
      <c r="G112">
        <v>20.6</v>
      </c>
      <c r="H112">
        <v>1.6601942000000001</v>
      </c>
      <c r="I112">
        <v>-0.66019415999999997</v>
      </c>
      <c r="J112">
        <v>0.37591239999999998</v>
      </c>
    </row>
    <row r="113" spans="1:10" x14ac:dyDescent="0.3">
      <c r="A113">
        <v>111</v>
      </c>
      <c r="B113">
        <v>1784</v>
      </c>
      <c r="C113" t="b">
        <v>1</v>
      </c>
      <c r="D113">
        <v>8077</v>
      </c>
      <c r="E113">
        <v>8134</v>
      </c>
      <c r="F113">
        <v>34.200000000000003</v>
      </c>
      <c r="G113">
        <v>20.2</v>
      </c>
      <c r="H113">
        <v>1.6930693000000001</v>
      </c>
      <c r="I113">
        <v>-0.6930693</v>
      </c>
      <c r="J113">
        <v>0.37132353000000001</v>
      </c>
    </row>
    <row r="114" spans="1:10" x14ac:dyDescent="0.3">
      <c r="A114">
        <v>112</v>
      </c>
      <c r="B114">
        <v>1800</v>
      </c>
      <c r="C114" t="b">
        <v>1</v>
      </c>
      <c r="D114">
        <v>8083</v>
      </c>
      <c r="E114">
        <v>8129</v>
      </c>
      <c r="F114">
        <v>34.200000000000003</v>
      </c>
      <c r="G114">
        <v>19.8</v>
      </c>
      <c r="H114">
        <v>1.7272729</v>
      </c>
      <c r="I114">
        <v>-0.72727280000000005</v>
      </c>
      <c r="J114">
        <v>0.36666663999999999</v>
      </c>
    </row>
    <row r="115" spans="1:10" x14ac:dyDescent="0.3">
      <c r="A115">
        <v>113</v>
      </c>
      <c r="B115">
        <v>1816</v>
      </c>
      <c r="C115" t="b">
        <v>1</v>
      </c>
      <c r="D115">
        <v>8077</v>
      </c>
      <c r="E115">
        <v>8129</v>
      </c>
      <c r="F115">
        <v>34.200000000000003</v>
      </c>
      <c r="G115">
        <v>19.399999999999999</v>
      </c>
      <c r="H115">
        <v>1.7628866000000001</v>
      </c>
      <c r="I115">
        <v>-0.76288663999999995</v>
      </c>
      <c r="J115">
        <v>0.36194029999999999</v>
      </c>
    </row>
    <row r="116" spans="1:10" x14ac:dyDescent="0.3">
      <c r="A116">
        <v>114</v>
      </c>
      <c r="B116">
        <v>1832</v>
      </c>
      <c r="C116" t="b">
        <v>1</v>
      </c>
      <c r="D116">
        <v>8077</v>
      </c>
      <c r="E116">
        <v>8146</v>
      </c>
      <c r="F116">
        <v>34.200000000000003</v>
      </c>
      <c r="G116">
        <v>19</v>
      </c>
      <c r="H116">
        <v>1.8000001000000001</v>
      </c>
      <c r="I116">
        <v>-0.8</v>
      </c>
      <c r="J116">
        <v>0.35714287</v>
      </c>
    </row>
    <row r="117" spans="1:10" x14ac:dyDescent="0.3">
      <c r="A117">
        <v>115</v>
      </c>
      <c r="B117">
        <v>1848</v>
      </c>
      <c r="C117" t="b">
        <v>1</v>
      </c>
      <c r="D117">
        <v>8071</v>
      </c>
      <c r="E117">
        <v>8140</v>
      </c>
      <c r="F117">
        <v>34.6</v>
      </c>
      <c r="G117">
        <v>19</v>
      </c>
      <c r="H117">
        <v>1.8210526</v>
      </c>
      <c r="I117">
        <v>-0.82105254999999999</v>
      </c>
      <c r="J117">
        <v>0.3544776</v>
      </c>
    </row>
    <row r="118" spans="1:10" x14ac:dyDescent="0.3">
      <c r="A118">
        <v>116</v>
      </c>
      <c r="B118">
        <v>1864</v>
      </c>
      <c r="C118" t="b">
        <v>1</v>
      </c>
      <c r="D118">
        <v>8083</v>
      </c>
      <c r="E118">
        <v>8140</v>
      </c>
      <c r="F118">
        <v>35</v>
      </c>
      <c r="G118">
        <v>19.399999999999999</v>
      </c>
      <c r="H118">
        <v>1.8041237999999999</v>
      </c>
      <c r="I118">
        <v>-0.80412375999999997</v>
      </c>
      <c r="J118">
        <v>0.35661763000000002</v>
      </c>
    </row>
    <row r="119" spans="1:10" x14ac:dyDescent="0.3">
      <c r="A119">
        <v>117</v>
      </c>
      <c r="B119">
        <v>1879</v>
      </c>
      <c r="C119" t="b">
        <v>1</v>
      </c>
      <c r="D119">
        <v>8071</v>
      </c>
      <c r="E119">
        <v>8140</v>
      </c>
      <c r="F119">
        <v>35.4</v>
      </c>
      <c r="G119">
        <v>19.8</v>
      </c>
      <c r="H119">
        <v>1.787879</v>
      </c>
      <c r="I119">
        <v>-0.78787892999999998</v>
      </c>
      <c r="J119">
        <v>0.35869562999999999</v>
      </c>
    </row>
    <row r="120" spans="1:10" x14ac:dyDescent="0.3">
      <c r="A120">
        <v>118</v>
      </c>
      <c r="B120">
        <v>1895</v>
      </c>
      <c r="C120" t="b">
        <v>1</v>
      </c>
      <c r="D120">
        <v>8071</v>
      </c>
      <c r="E120">
        <v>8140</v>
      </c>
      <c r="F120">
        <v>35</v>
      </c>
      <c r="G120">
        <v>20.2</v>
      </c>
      <c r="H120">
        <v>1.7326732</v>
      </c>
      <c r="I120">
        <v>-0.73267320000000002</v>
      </c>
      <c r="J120">
        <v>0.36594202999999997</v>
      </c>
    </row>
    <row r="121" spans="1:10" x14ac:dyDescent="0.3">
      <c r="A121">
        <v>119</v>
      </c>
      <c r="B121">
        <v>1911</v>
      </c>
      <c r="C121" t="b">
        <v>1</v>
      </c>
      <c r="D121">
        <v>8077</v>
      </c>
      <c r="E121">
        <v>8140</v>
      </c>
      <c r="F121">
        <v>34.6</v>
      </c>
      <c r="G121">
        <v>20.6</v>
      </c>
      <c r="H121">
        <v>1.6796116000000001</v>
      </c>
      <c r="I121">
        <v>-0.67961156</v>
      </c>
      <c r="J121">
        <v>0.37318844000000001</v>
      </c>
    </row>
    <row r="122" spans="1:10" x14ac:dyDescent="0.3">
      <c r="A122">
        <v>120</v>
      </c>
      <c r="B122">
        <v>1927</v>
      </c>
      <c r="C122" t="b">
        <v>1</v>
      </c>
      <c r="D122">
        <v>8077</v>
      </c>
      <c r="E122">
        <v>8140</v>
      </c>
      <c r="F122">
        <v>34.6</v>
      </c>
      <c r="G122">
        <v>21</v>
      </c>
      <c r="H122">
        <v>1.6476189999999999</v>
      </c>
      <c r="I122">
        <v>-0.64761895000000003</v>
      </c>
      <c r="J122">
        <v>0.37769786</v>
      </c>
    </row>
    <row r="123" spans="1:10" x14ac:dyDescent="0.3">
      <c r="A123">
        <v>121</v>
      </c>
      <c r="B123">
        <v>1942</v>
      </c>
      <c r="C123" t="b">
        <v>1</v>
      </c>
      <c r="D123">
        <v>8077</v>
      </c>
      <c r="E123">
        <v>8146</v>
      </c>
      <c r="F123">
        <v>35</v>
      </c>
      <c r="G123">
        <v>21.4</v>
      </c>
      <c r="H123">
        <v>1.6355139999999999</v>
      </c>
      <c r="I123">
        <v>-0.63551400000000002</v>
      </c>
      <c r="J123">
        <v>0.37943262</v>
      </c>
    </row>
    <row r="124" spans="1:10" x14ac:dyDescent="0.3">
      <c r="A124">
        <v>122</v>
      </c>
      <c r="B124">
        <v>1958</v>
      </c>
      <c r="C124" t="b">
        <v>1</v>
      </c>
      <c r="D124">
        <v>8077</v>
      </c>
      <c r="E124">
        <v>8140</v>
      </c>
      <c r="F124">
        <v>35.4</v>
      </c>
      <c r="G124">
        <v>21.8</v>
      </c>
      <c r="H124">
        <v>1.6238532999999999</v>
      </c>
      <c r="I124">
        <v>-0.62385330000000006</v>
      </c>
      <c r="J124">
        <v>0.38111886</v>
      </c>
    </row>
    <row r="125" spans="1:10" x14ac:dyDescent="0.3">
      <c r="A125">
        <v>123</v>
      </c>
      <c r="B125">
        <v>1974</v>
      </c>
      <c r="C125" t="b">
        <v>1</v>
      </c>
      <c r="D125">
        <v>8077</v>
      </c>
      <c r="E125">
        <v>8140</v>
      </c>
      <c r="F125">
        <v>35.799999999999997</v>
      </c>
      <c r="G125">
        <v>22.2</v>
      </c>
      <c r="H125">
        <v>1.6126125</v>
      </c>
      <c r="I125">
        <v>-0.61261255000000003</v>
      </c>
      <c r="J125">
        <v>0.38275864999999998</v>
      </c>
    </row>
    <row r="126" spans="1:10" x14ac:dyDescent="0.3">
      <c r="A126">
        <v>124</v>
      </c>
      <c r="B126">
        <v>1990</v>
      </c>
      <c r="C126" t="b">
        <v>1</v>
      </c>
      <c r="D126">
        <v>8077</v>
      </c>
      <c r="E126">
        <v>8146</v>
      </c>
      <c r="F126">
        <v>36.200000000000003</v>
      </c>
      <c r="G126">
        <v>22.6</v>
      </c>
      <c r="H126">
        <v>1.6017699000000001</v>
      </c>
      <c r="I126">
        <v>-0.60176989999999997</v>
      </c>
      <c r="J126">
        <v>0.38435373</v>
      </c>
    </row>
    <row r="127" spans="1:10" x14ac:dyDescent="0.3">
      <c r="A127">
        <v>125</v>
      </c>
      <c r="B127">
        <v>2006</v>
      </c>
      <c r="C127" t="b">
        <v>1</v>
      </c>
      <c r="D127">
        <v>8065</v>
      </c>
      <c r="E127">
        <v>8140</v>
      </c>
      <c r="F127">
        <v>36.200000000000003</v>
      </c>
      <c r="G127">
        <v>23</v>
      </c>
      <c r="H127">
        <v>1.5739131</v>
      </c>
      <c r="I127">
        <v>-0.57391309999999995</v>
      </c>
      <c r="J127">
        <v>0.38851350000000001</v>
      </c>
    </row>
    <row r="128" spans="1:10" x14ac:dyDescent="0.3">
      <c r="A128">
        <v>126</v>
      </c>
      <c r="B128">
        <v>2022</v>
      </c>
      <c r="C128" t="b">
        <v>1</v>
      </c>
      <c r="D128">
        <v>8083</v>
      </c>
      <c r="E128">
        <v>8140</v>
      </c>
      <c r="F128">
        <v>36.200000000000003</v>
      </c>
      <c r="G128">
        <v>23.4</v>
      </c>
      <c r="H128">
        <v>1.5470086000000001</v>
      </c>
      <c r="I128">
        <v>-0.54700863</v>
      </c>
      <c r="J128">
        <v>0.39261745999999997</v>
      </c>
    </row>
    <row r="129" spans="1:10" x14ac:dyDescent="0.3">
      <c r="A129">
        <v>127</v>
      </c>
      <c r="B129">
        <v>2038</v>
      </c>
      <c r="C129" t="b">
        <v>1</v>
      </c>
      <c r="D129">
        <v>8077</v>
      </c>
      <c r="E129">
        <v>8146</v>
      </c>
      <c r="F129">
        <v>36.200000000000003</v>
      </c>
      <c r="G129">
        <v>23.8</v>
      </c>
      <c r="H129">
        <v>1.5210085</v>
      </c>
      <c r="I129">
        <v>-0.52100849999999999</v>
      </c>
      <c r="J129">
        <v>0.39666665000000001</v>
      </c>
    </row>
    <row r="130" spans="1:10" x14ac:dyDescent="0.3">
      <c r="A130">
        <v>128</v>
      </c>
      <c r="B130">
        <v>2054</v>
      </c>
      <c r="C130" t="b">
        <v>1</v>
      </c>
      <c r="D130">
        <v>8071</v>
      </c>
      <c r="E130">
        <v>8146</v>
      </c>
      <c r="F130">
        <v>36.200000000000003</v>
      </c>
      <c r="G130">
        <v>24.6</v>
      </c>
      <c r="H130">
        <v>1.4715446999999999</v>
      </c>
      <c r="I130">
        <v>-0.47154469999999998</v>
      </c>
      <c r="J130">
        <v>0.40460523999999998</v>
      </c>
    </row>
    <row r="131" spans="1:10" x14ac:dyDescent="0.3">
      <c r="A131">
        <v>129</v>
      </c>
      <c r="B131">
        <v>2070</v>
      </c>
      <c r="C131" t="b">
        <v>1</v>
      </c>
      <c r="D131">
        <v>8083</v>
      </c>
      <c r="E131">
        <v>8146</v>
      </c>
      <c r="F131">
        <v>36.200000000000003</v>
      </c>
      <c r="G131">
        <v>25.4</v>
      </c>
      <c r="H131">
        <v>1.4251969</v>
      </c>
      <c r="I131">
        <v>-0.42519691999999998</v>
      </c>
      <c r="J131">
        <v>0.41233765999999999</v>
      </c>
    </row>
    <row r="132" spans="1:10" x14ac:dyDescent="0.3">
      <c r="A132">
        <v>130</v>
      </c>
      <c r="B132">
        <v>2086</v>
      </c>
      <c r="C132" t="b">
        <v>1</v>
      </c>
      <c r="D132">
        <v>8071</v>
      </c>
      <c r="E132">
        <v>8146</v>
      </c>
      <c r="F132">
        <v>36.200000000000003</v>
      </c>
      <c r="G132">
        <v>26.2</v>
      </c>
      <c r="H132">
        <v>1.3816793999999999</v>
      </c>
      <c r="I132">
        <v>-0.3816794</v>
      </c>
      <c r="J132">
        <v>0.41987180000000002</v>
      </c>
    </row>
    <row r="133" spans="1:10" x14ac:dyDescent="0.3">
      <c r="A133">
        <v>131</v>
      </c>
      <c r="B133">
        <v>2102</v>
      </c>
      <c r="C133" t="b">
        <v>1</v>
      </c>
      <c r="D133">
        <v>8065</v>
      </c>
      <c r="E133">
        <v>8134</v>
      </c>
      <c r="F133">
        <v>35.799999999999997</v>
      </c>
      <c r="G133">
        <v>26.6</v>
      </c>
      <c r="H133">
        <v>1.3458646999999999</v>
      </c>
      <c r="I133">
        <v>-0.34586462000000001</v>
      </c>
      <c r="J133">
        <v>0.42628205000000002</v>
      </c>
    </row>
    <row r="134" spans="1:10" x14ac:dyDescent="0.3">
      <c r="A134">
        <v>132</v>
      </c>
      <c r="B134">
        <v>2118</v>
      </c>
      <c r="C134" t="b">
        <v>1</v>
      </c>
      <c r="D134">
        <v>8065</v>
      </c>
      <c r="E134">
        <v>8134</v>
      </c>
      <c r="F134">
        <v>35.4</v>
      </c>
      <c r="G134">
        <v>27</v>
      </c>
      <c r="H134">
        <v>1.3111112</v>
      </c>
      <c r="I134">
        <v>-0.31111117999999999</v>
      </c>
      <c r="J134">
        <v>0.43269229999999997</v>
      </c>
    </row>
    <row r="135" spans="1:10" x14ac:dyDescent="0.3">
      <c r="A135">
        <v>133</v>
      </c>
      <c r="B135">
        <v>2134</v>
      </c>
      <c r="C135" t="b">
        <v>1</v>
      </c>
      <c r="D135">
        <v>8083</v>
      </c>
      <c r="E135">
        <v>8134</v>
      </c>
      <c r="F135">
        <v>35.4</v>
      </c>
      <c r="G135">
        <v>26.6</v>
      </c>
      <c r="H135">
        <v>1.3308271</v>
      </c>
      <c r="I135">
        <v>-0.33082711999999997</v>
      </c>
      <c r="J135">
        <v>0.42903226999999999</v>
      </c>
    </row>
    <row r="136" spans="1:10" x14ac:dyDescent="0.3">
      <c r="A136">
        <v>134</v>
      </c>
      <c r="B136">
        <v>2150</v>
      </c>
      <c r="C136" t="b">
        <v>1</v>
      </c>
      <c r="D136">
        <v>8065</v>
      </c>
      <c r="E136">
        <v>8134</v>
      </c>
      <c r="F136">
        <v>35</v>
      </c>
      <c r="G136">
        <v>26.2</v>
      </c>
      <c r="H136">
        <v>1.3358778</v>
      </c>
      <c r="I136">
        <v>-0.33587783999999998</v>
      </c>
      <c r="J136">
        <v>0.42810458000000001</v>
      </c>
    </row>
    <row r="137" spans="1:10" x14ac:dyDescent="0.3">
      <c r="A137">
        <v>135</v>
      </c>
      <c r="B137">
        <v>2165</v>
      </c>
      <c r="C137" t="b">
        <v>1</v>
      </c>
      <c r="D137">
        <v>8071</v>
      </c>
      <c r="E137">
        <v>8134</v>
      </c>
      <c r="F137">
        <v>34.200000000000003</v>
      </c>
      <c r="G137">
        <v>25.8</v>
      </c>
      <c r="H137">
        <v>1.3255813999999999</v>
      </c>
      <c r="I137">
        <v>-0.32558145999999999</v>
      </c>
      <c r="J137">
        <v>0.42999998</v>
      </c>
    </row>
    <row r="138" spans="1:10" x14ac:dyDescent="0.3">
      <c r="A138">
        <v>136</v>
      </c>
      <c r="B138">
        <v>2181</v>
      </c>
      <c r="C138" t="b">
        <v>1</v>
      </c>
      <c r="D138">
        <v>8077</v>
      </c>
      <c r="E138">
        <v>8134</v>
      </c>
      <c r="F138">
        <v>33.799999999999997</v>
      </c>
      <c r="G138">
        <v>25.4</v>
      </c>
      <c r="H138">
        <v>1.3307085999999999</v>
      </c>
      <c r="I138">
        <v>-0.33070864999999999</v>
      </c>
      <c r="J138">
        <v>0.42905408</v>
      </c>
    </row>
    <row r="139" spans="1:10" x14ac:dyDescent="0.3">
      <c r="A139">
        <v>137</v>
      </c>
      <c r="B139">
        <v>2197</v>
      </c>
      <c r="C139" t="b">
        <v>1</v>
      </c>
      <c r="D139">
        <v>8088</v>
      </c>
      <c r="E139">
        <v>8134</v>
      </c>
      <c r="F139">
        <v>33.799999999999997</v>
      </c>
      <c r="G139">
        <v>25</v>
      </c>
      <c r="H139">
        <v>1.3520000000000001</v>
      </c>
      <c r="I139">
        <v>-0.35199997</v>
      </c>
      <c r="J139">
        <v>0.42517006000000002</v>
      </c>
    </row>
    <row r="140" spans="1:10" x14ac:dyDescent="0.3">
      <c r="A140">
        <v>138</v>
      </c>
      <c r="B140">
        <v>2213</v>
      </c>
      <c r="C140" t="b">
        <v>1</v>
      </c>
      <c r="D140">
        <v>8077</v>
      </c>
      <c r="E140">
        <v>8140</v>
      </c>
      <c r="F140">
        <v>33.799999999999997</v>
      </c>
      <c r="G140">
        <v>24.6</v>
      </c>
      <c r="H140">
        <v>1.3739836999999999</v>
      </c>
      <c r="I140">
        <v>-0.37398367999999999</v>
      </c>
      <c r="J140">
        <v>0.42123287999999998</v>
      </c>
    </row>
    <row r="141" spans="1:10" x14ac:dyDescent="0.3">
      <c r="A141">
        <v>139</v>
      </c>
      <c r="B141">
        <v>2229</v>
      </c>
      <c r="C141" t="b">
        <v>1</v>
      </c>
      <c r="D141">
        <v>8083</v>
      </c>
      <c r="E141">
        <v>8140</v>
      </c>
      <c r="F141">
        <v>33.799999999999997</v>
      </c>
      <c r="G141">
        <v>24.2</v>
      </c>
      <c r="H141">
        <v>1.3966942</v>
      </c>
      <c r="I141">
        <v>-0.39669415000000002</v>
      </c>
      <c r="J141">
        <v>0.41724139999999998</v>
      </c>
    </row>
    <row r="142" spans="1:10" x14ac:dyDescent="0.3">
      <c r="A142">
        <v>140</v>
      </c>
      <c r="B142">
        <v>2245</v>
      </c>
      <c r="C142" t="b">
        <v>1</v>
      </c>
      <c r="D142">
        <v>8088</v>
      </c>
      <c r="E142">
        <v>8140</v>
      </c>
      <c r="F142">
        <v>34.200000000000003</v>
      </c>
      <c r="G142">
        <v>24.2</v>
      </c>
      <c r="H142">
        <v>1.4132231</v>
      </c>
      <c r="I142">
        <v>-0.41322312</v>
      </c>
      <c r="J142">
        <v>0.41438355999999998</v>
      </c>
    </row>
    <row r="143" spans="1:10" x14ac:dyDescent="0.3">
      <c r="A143">
        <v>141</v>
      </c>
      <c r="B143">
        <v>2260</v>
      </c>
      <c r="C143" t="b">
        <v>1</v>
      </c>
      <c r="D143">
        <v>8083</v>
      </c>
      <c r="E143">
        <v>8146</v>
      </c>
      <c r="F143">
        <v>34.6</v>
      </c>
      <c r="G143">
        <v>24.2</v>
      </c>
      <c r="H143">
        <v>1.4297519999999999</v>
      </c>
      <c r="I143">
        <v>-0.42975195999999999</v>
      </c>
      <c r="J143">
        <v>0.41156464999999998</v>
      </c>
    </row>
    <row r="144" spans="1:10" x14ac:dyDescent="0.3">
      <c r="A144">
        <v>142</v>
      </c>
      <c r="B144">
        <v>2276</v>
      </c>
      <c r="C144" t="b">
        <v>1</v>
      </c>
      <c r="D144">
        <v>8083</v>
      </c>
      <c r="E144">
        <v>8140</v>
      </c>
      <c r="F144">
        <v>35</v>
      </c>
      <c r="G144">
        <v>24.2</v>
      </c>
      <c r="H144">
        <v>1.4462809999999999</v>
      </c>
      <c r="I144">
        <v>-0.44628096</v>
      </c>
      <c r="J144">
        <v>0.40878379999999997</v>
      </c>
    </row>
    <row r="145" spans="1:10" x14ac:dyDescent="0.3">
      <c r="A145">
        <v>143</v>
      </c>
      <c r="B145">
        <v>2292</v>
      </c>
      <c r="C145" t="b">
        <v>1</v>
      </c>
      <c r="D145">
        <v>8083</v>
      </c>
      <c r="E145">
        <v>8140</v>
      </c>
      <c r="F145">
        <v>35.4</v>
      </c>
      <c r="G145">
        <v>23.8</v>
      </c>
      <c r="H145">
        <v>1.487395</v>
      </c>
      <c r="I145">
        <v>-0.48739507999999998</v>
      </c>
      <c r="J145">
        <v>0.40202700000000002</v>
      </c>
    </row>
    <row r="146" spans="1:10" x14ac:dyDescent="0.3">
      <c r="A146">
        <v>144</v>
      </c>
      <c r="B146">
        <v>2308</v>
      </c>
      <c r="C146" t="b">
        <v>1</v>
      </c>
      <c r="D146">
        <v>8083</v>
      </c>
      <c r="E146">
        <v>8146</v>
      </c>
      <c r="F146">
        <v>35.799999999999997</v>
      </c>
      <c r="G146">
        <v>23.4</v>
      </c>
      <c r="H146">
        <v>1.5299145000000001</v>
      </c>
      <c r="I146">
        <v>-0.52991449999999996</v>
      </c>
      <c r="J146">
        <v>0.39527030000000002</v>
      </c>
    </row>
    <row r="147" spans="1:10" x14ac:dyDescent="0.3">
      <c r="A147">
        <v>145</v>
      </c>
      <c r="B147">
        <v>2324</v>
      </c>
      <c r="C147" t="b">
        <v>1</v>
      </c>
      <c r="D147">
        <v>8065</v>
      </c>
      <c r="E147">
        <v>8140</v>
      </c>
      <c r="F147">
        <v>36.200000000000003</v>
      </c>
      <c r="G147">
        <v>23</v>
      </c>
      <c r="H147">
        <v>1.5739131</v>
      </c>
      <c r="I147">
        <v>-0.57391309999999995</v>
      </c>
      <c r="J147">
        <v>0.38851350000000001</v>
      </c>
    </row>
    <row r="148" spans="1:10" x14ac:dyDescent="0.3">
      <c r="A148">
        <v>146</v>
      </c>
      <c r="B148">
        <v>2340</v>
      </c>
      <c r="C148" t="b">
        <v>1</v>
      </c>
      <c r="D148">
        <v>8071</v>
      </c>
      <c r="E148">
        <v>8146</v>
      </c>
      <c r="F148">
        <v>37</v>
      </c>
      <c r="G148">
        <v>22.6</v>
      </c>
      <c r="H148">
        <v>1.6371682000000001</v>
      </c>
      <c r="I148">
        <v>-0.63716810000000002</v>
      </c>
      <c r="J148">
        <v>0.37919465000000002</v>
      </c>
    </row>
    <row r="149" spans="1:10" x14ac:dyDescent="0.3">
      <c r="A149">
        <v>147</v>
      </c>
      <c r="B149">
        <v>2356</v>
      </c>
      <c r="C149" t="b">
        <v>1</v>
      </c>
      <c r="D149">
        <v>8088</v>
      </c>
      <c r="E149">
        <v>8146</v>
      </c>
      <c r="F149">
        <v>37.799999999999997</v>
      </c>
      <c r="G149">
        <v>22.6</v>
      </c>
      <c r="H149">
        <v>1.6725663</v>
      </c>
      <c r="I149">
        <v>-0.67256629999999995</v>
      </c>
      <c r="J149">
        <v>0.37417218000000002</v>
      </c>
    </row>
    <row r="150" spans="1:10" x14ac:dyDescent="0.3">
      <c r="A150">
        <v>148</v>
      </c>
      <c r="B150">
        <v>2372</v>
      </c>
      <c r="C150" t="b">
        <v>1</v>
      </c>
      <c r="D150">
        <v>8083</v>
      </c>
      <c r="E150">
        <v>8140</v>
      </c>
      <c r="F150">
        <v>38.6</v>
      </c>
      <c r="G150">
        <v>23.4</v>
      </c>
      <c r="H150">
        <v>1.6495725999999999</v>
      </c>
      <c r="I150">
        <v>-0.64957259999999994</v>
      </c>
      <c r="J150">
        <v>0.37741934999999999</v>
      </c>
    </row>
    <row r="151" spans="1:10" x14ac:dyDescent="0.3">
      <c r="A151">
        <v>149</v>
      </c>
      <c r="B151">
        <v>2388</v>
      </c>
      <c r="C151" t="b">
        <v>1</v>
      </c>
      <c r="D151">
        <v>8083</v>
      </c>
      <c r="E151">
        <v>8146</v>
      </c>
      <c r="F151">
        <v>39.799999999999997</v>
      </c>
      <c r="G151">
        <v>24.2</v>
      </c>
      <c r="H151">
        <v>1.644628</v>
      </c>
      <c r="I151">
        <v>-0.64462799999999998</v>
      </c>
      <c r="J151">
        <v>0.37812499999999999</v>
      </c>
    </row>
    <row r="152" spans="1:10" x14ac:dyDescent="0.3">
      <c r="A152">
        <v>150</v>
      </c>
      <c r="B152">
        <v>2403</v>
      </c>
      <c r="C152" t="b">
        <v>1</v>
      </c>
      <c r="D152">
        <v>8077</v>
      </c>
      <c r="E152">
        <v>8140</v>
      </c>
      <c r="F152">
        <v>41</v>
      </c>
      <c r="G152">
        <v>25</v>
      </c>
      <c r="H152">
        <v>1.64</v>
      </c>
      <c r="I152">
        <v>-0.64</v>
      </c>
      <c r="J152">
        <v>0.37878788000000002</v>
      </c>
    </row>
    <row r="153" spans="1:10" x14ac:dyDescent="0.3">
      <c r="A153">
        <v>151</v>
      </c>
      <c r="B153">
        <v>2419</v>
      </c>
      <c r="C153" t="b">
        <v>1</v>
      </c>
      <c r="D153">
        <v>8083</v>
      </c>
      <c r="E153">
        <v>8146</v>
      </c>
      <c r="F153">
        <v>41.8</v>
      </c>
      <c r="G153">
        <v>25.8</v>
      </c>
      <c r="H153">
        <v>1.6201551000000001</v>
      </c>
      <c r="I153">
        <v>-0.62015503999999999</v>
      </c>
      <c r="J153">
        <v>0.38165680000000002</v>
      </c>
    </row>
    <row r="154" spans="1:10" x14ac:dyDescent="0.3">
      <c r="A154">
        <v>152</v>
      </c>
      <c r="B154">
        <v>2435</v>
      </c>
      <c r="C154" t="b">
        <v>1</v>
      </c>
      <c r="D154">
        <v>8088</v>
      </c>
      <c r="E154">
        <v>8134</v>
      </c>
      <c r="F154">
        <v>42.2</v>
      </c>
      <c r="G154">
        <v>26.2</v>
      </c>
      <c r="H154">
        <v>1.610687</v>
      </c>
      <c r="I154">
        <v>-0.61068699999999998</v>
      </c>
      <c r="J154">
        <v>0.38304093</v>
      </c>
    </row>
    <row r="155" spans="1:10" x14ac:dyDescent="0.3">
      <c r="A155">
        <v>153</v>
      </c>
      <c r="B155">
        <v>2451</v>
      </c>
      <c r="C155" t="b">
        <v>1</v>
      </c>
      <c r="D155">
        <v>8083</v>
      </c>
      <c r="E155">
        <v>8134</v>
      </c>
      <c r="F155">
        <v>42.6</v>
      </c>
      <c r="G155">
        <v>26.6</v>
      </c>
      <c r="H155">
        <v>1.6015037000000001</v>
      </c>
      <c r="I155">
        <v>-0.60150369999999997</v>
      </c>
      <c r="J155">
        <v>0.38439309999999999</v>
      </c>
    </row>
    <row r="156" spans="1:10" x14ac:dyDescent="0.3">
      <c r="A156">
        <v>154</v>
      </c>
      <c r="B156">
        <v>2467</v>
      </c>
      <c r="C156" t="b">
        <v>1</v>
      </c>
      <c r="D156">
        <v>8077</v>
      </c>
      <c r="E156">
        <v>8134</v>
      </c>
      <c r="F156">
        <v>43</v>
      </c>
      <c r="G156">
        <v>26.6</v>
      </c>
      <c r="H156">
        <v>1.6165414</v>
      </c>
      <c r="I156">
        <v>-0.61654129999999996</v>
      </c>
      <c r="J156">
        <v>0.38218390000000002</v>
      </c>
    </row>
    <row r="157" spans="1:10" x14ac:dyDescent="0.3">
      <c r="A157">
        <v>155</v>
      </c>
      <c r="B157">
        <v>2482</v>
      </c>
      <c r="C157" t="b">
        <v>1</v>
      </c>
      <c r="D157">
        <v>8077</v>
      </c>
      <c r="E157">
        <v>8140</v>
      </c>
      <c r="F157">
        <v>43</v>
      </c>
      <c r="G157">
        <v>26.2</v>
      </c>
      <c r="H157">
        <v>1.6412213</v>
      </c>
      <c r="I157">
        <v>-0.64122133999999997</v>
      </c>
      <c r="J157">
        <v>0.37861275999999999</v>
      </c>
    </row>
    <row r="158" spans="1:10" x14ac:dyDescent="0.3">
      <c r="A158">
        <v>156</v>
      </c>
      <c r="B158">
        <v>2498</v>
      </c>
      <c r="C158" t="b">
        <v>1</v>
      </c>
      <c r="D158">
        <v>8071</v>
      </c>
      <c r="E158">
        <v>8134</v>
      </c>
      <c r="F158">
        <v>42.6</v>
      </c>
      <c r="G158">
        <v>25.8</v>
      </c>
      <c r="H158">
        <v>1.6511627</v>
      </c>
      <c r="I158">
        <v>-0.65116280000000004</v>
      </c>
      <c r="J158">
        <v>0.377193</v>
      </c>
    </row>
    <row r="159" spans="1:10" x14ac:dyDescent="0.3">
      <c r="A159">
        <v>157</v>
      </c>
      <c r="B159">
        <v>2514</v>
      </c>
      <c r="C159" t="b">
        <v>1</v>
      </c>
      <c r="D159">
        <v>8077</v>
      </c>
      <c r="E159">
        <v>8140</v>
      </c>
      <c r="F159">
        <v>42.2</v>
      </c>
      <c r="G159">
        <v>25.4</v>
      </c>
      <c r="H159">
        <v>1.6614173999999999</v>
      </c>
      <c r="I159">
        <v>-0.66141737</v>
      </c>
      <c r="J159">
        <v>0.37573962999999999</v>
      </c>
    </row>
    <row r="160" spans="1:10" x14ac:dyDescent="0.3">
      <c r="A160">
        <v>158</v>
      </c>
      <c r="B160">
        <v>2530</v>
      </c>
      <c r="C160" t="b">
        <v>1</v>
      </c>
      <c r="D160">
        <v>8083</v>
      </c>
      <c r="E160">
        <v>8140</v>
      </c>
      <c r="F160">
        <v>41.8</v>
      </c>
      <c r="G160">
        <v>25.4</v>
      </c>
      <c r="H160">
        <v>1.6456693</v>
      </c>
      <c r="I160">
        <v>-0.6456693</v>
      </c>
      <c r="J160">
        <v>0.37797619999999998</v>
      </c>
    </row>
    <row r="161" spans="1:10" x14ac:dyDescent="0.3">
      <c r="A161">
        <v>159</v>
      </c>
      <c r="B161">
        <v>2546</v>
      </c>
      <c r="C161" t="b">
        <v>1</v>
      </c>
      <c r="D161">
        <v>8088</v>
      </c>
      <c r="E161">
        <v>8146</v>
      </c>
      <c r="F161">
        <v>41.4</v>
      </c>
      <c r="G161">
        <v>25.4</v>
      </c>
      <c r="H161">
        <v>1.6299212999999999</v>
      </c>
      <c r="I161">
        <v>-0.62992130000000002</v>
      </c>
      <c r="J161">
        <v>0.38023950000000001</v>
      </c>
    </row>
    <row r="162" spans="1:10" x14ac:dyDescent="0.3">
      <c r="A162">
        <v>160</v>
      </c>
      <c r="B162">
        <v>2562</v>
      </c>
      <c r="C162" t="b">
        <v>1</v>
      </c>
      <c r="D162">
        <v>8088</v>
      </c>
      <c r="E162">
        <v>8146</v>
      </c>
      <c r="F162">
        <v>41.4</v>
      </c>
      <c r="G162">
        <v>25.4</v>
      </c>
      <c r="H162">
        <v>1.6299212999999999</v>
      </c>
      <c r="I162">
        <v>-0.62992130000000002</v>
      </c>
      <c r="J162">
        <v>0.38023950000000001</v>
      </c>
    </row>
    <row r="163" spans="1:10" x14ac:dyDescent="0.3">
      <c r="A163">
        <v>161</v>
      </c>
      <c r="B163">
        <v>2578</v>
      </c>
      <c r="C163" t="b">
        <v>1</v>
      </c>
      <c r="D163">
        <v>8077</v>
      </c>
      <c r="E163">
        <v>8152</v>
      </c>
      <c r="F163">
        <v>41.4</v>
      </c>
      <c r="G163">
        <v>25.8</v>
      </c>
      <c r="H163">
        <v>1.6046511999999999</v>
      </c>
      <c r="I163">
        <v>-0.6046513</v>
      </c>
      <c r="J163">
        <v>0.38392857000000002</v>
      </c>
    </row>
    <row r="164" spans="1:10" x14ac:dyDescent="0.3">
      <c r="A164">
        <v>162</v>
      </c>
      <c r="B164">
        <v>2594</v>
      </c>
      <c r="C164" t="b">
        <v>1</v>
      </c>
      <c r="D164">
        <v>8083</v>
      </c>
      <c r="E164">
        <v>8140</v>
      </c>
      <c r="F164">
        <v>41.4</v>
      </c>
      <c r="G164">
        <v>25.8</v>
      </c>
      <c r="H164">
        <v>1.6046511999999999</v>
      </c>
      <c r="I164">
        <v>-0.6046513</v>
      </c>
      <c r="J164">
        <v>0.38392857000000002</v>
      </c>
    </row>
    <row r="165" spans="1:10" x14ac:dyDescent="0.3">
      <c r="A165">
        <v>163</v>
      </c>
      <c r="B165">
        <v>2610</v>
      </c>
      <c r="C165" t="b">
        <v>1</v>
      </c>
      <c r="D165">
        <v>8077</v>
      </c>
      <c r="E165">
        <v>8140</v>
      </c>
      <c r="F165">
        <v>41.4</v>
      </c>
      <c r="G165">
        <v>25.8</v>
      </c>
      <c r="H165">
        <v>1.6046511999999999</v>
      </c>
      <c r="I165">
        <v>-0.6046513</v>
      </c>
      <c r="J165">
        <v>0.38392857000000002</v>
      </c>
    </row>
    <row r="166" spans="1:10" x14ac:dyDescent="0.3">
      <c r="A166">
        <v>164</v>
      </c>
      <c r="B166">
        <v>2626</v>
      </c>
      <c r="C166" t="b">
        <v>1</v>
      </c>
      <c r="D166">
        <v>8083</v>
      </c>
      <c r="E166">
        <v>8140</v>
      </c>
      <c r="F166">
        <v>41.4</v>
      </c>
      <c r="G166">
        <v>25.4</v>
      </c>
      <c r="H166">
        <v>1.6299212999999999</v>
      </c>
      <c r="I166">
        <v>-0.62992130000000002</v>
      </c>
      <c r="J166">
        <v>0.38023950000000001</v>
      </c>
    </row>
    <row r="167" spans="1:10" x14ac:dyDescent="0.3">
      <c r="A167">
        <v>165</v>
      </c>
      <c r="B167">
        <v>2642</v>
      </c>
      <c r="C167" t="b">
        <v>1</v>
      </c>
      <c r="D167">
        <v>8083</v>
      </c>
      <c r="E167">
        <v>8140</v>
      </c>
      <c r="F167">
        <v>41.4</v>
      </c>
      <c r="G167">
        <v>25</v>
      </c>
      <c r="H167">
        <v>1.6559999999999999</v>
      </c>
      <c r="I167">
        <v>-0.65600009999999997</v>
      </c>
      <c r="J167">
        <v>0.37650600000000001</v>
      </c>
    </row>
    <row r="168" spans="1:10" x14ac:dyDescent="0.3">
      <c r="A168">
        <v>166</v>
      </c>
      <c r="B168">
        <v>2657</v>
      </c>
      <c r="C168" t="b">
        <v>1</v>
      </c>
      <c r="D168">
        <v>8071</v>
      </c>
      <c r="E168">
        <v>8134</v>
      </c>
      <c r="F168">
        <v>41.4</v>
      </c>
      <c r="G168">
        <v>24.6</v>
      </c>
      <c r="H168">
        <v>1.6829269</v>
      </c>
      <c r="I168">
        <v>-0.6829269</v>
      </c>
      <c r="J168">
        <v>0.37272727</v>
      </c>
    </row>
    <row r="169" spans="1:10" x14ac:dyDescent="0.3">
      <c r="A169">
        <v>167</v>
      </c>
      <c r="B169">
        <v>2673</v>
      </c>
      <c r="C169" t="b">
        <v>1</v>
      </c>
      <c r="D169">
        <v>8088</v>
      </c>
      <c r="E169">
        <v>8134</v>
      </c>
      <c r="F169">
        <v>41.4</v>
      </c>
      <c r="G169">
        <v>24.6</v>
      </c>
      <c r="H169">
        <v>1.6829269</v>
      </c>
      <c r="I169">
        <v>-0.6829269</v>
      </c>
      <c r="J169">
        <v>0.37272727</v>
      </c>
    </row>
    <row r="170" spans="1:10" x14ac:dyDescent="0.3">
      <c r="A170">
        <v>168</v>
      </c>
      <c r="B170">
        <v>2689</v>
      </c>
      <c r="C170" t="b">
        <v>1</v>
      </c>
      <c r="D170">
        <v>8083</v>
      </c>
      <c r="E170">
        <v>8134</v>
      </c>
      <c r="F170">
        <v>41.4</v>
      </c>
      <c r="G170">
        <v>24.2</v>
      </c>
      <c r="H170">
        <v>1.7107437999999999</v>
      </c>
      <c r="I170">
        <v>-0.71074380000000004</v>
      </c>
      <c r="J170">
        <v>0.36890242000000001</v>
      </c>
    </row>
    <row r="171" spans="1:10" x14ac:dyDescent="0.3">
      <c r="A171">
        <v>169</v>
      </c>
      <c r="B171">
        <v>2705</v>
      </c>
      <c r="C171" t="b">
        <v>1</v>
      </c>
      <c r="D171">
        <v>8083</v>
      </c>
      <c r="E171">
        <v>8140</v>
      </c>
      <c r="F171">
        <v>41.4</v>
      </c>
      <c r="G171">
        <v>24.2</v>
      </c>
      <c r="H171">
        <v>1.7107437999999999</v>
      </c>
      <c r="I171">
        <v>-0.71074380000000004</v>
      </c>
      <c r="J171">
        <v>0.36890242000000001</v>
      </c>
    </row>
    <row r="172" spans="1:10" x14ac:dyDescent="0.3">
      <c r="A172">
        <v>170</v>
      </c>
      <c r="B172">
        <v>2721</v>
      </c>
      <c r="C172" t="b">
        <v>1</v>
      </c>
      <c r="D172">
        <v>8083</v>
      </c>
      <c r="E172">
        <v>8134</v>
      </c>
      <c r="F172">
        <v>41.4</v>
      </c>
      <c r="G172">
        <v>24.2</v>
      </c>
      <c r="H172">
        <v>1.7107437999999999</v>
      </c>
      <c r="I172">
        <v>-0.71074380000000004</v>
      </c>
      <c r="J172">
        <v>0.36890242000000001</v>
      </c>
    </row>
    <row r="173" spans="1:10" x14ac:dyDescent="0.3">
      <c r="A173">
        <v>171</v>
      </c>
      <c r="B173">
        <v>2737</v>
      </c>
      <c r="C173" t="b">
        <v>1</v>
      </c>
      <c r="D173">
        <v>8083</v>
      </c>
      <c r="E173">
        <v>8140</v>
      </c>
      <c r="F173">
        <v>41.8</v>
      </c>
      <c r="G173">
        <v>24.2</v>
      </c>
      <c r="H173">
        <v>1.7272726</v>
      </c>
      <c r="I173">
        <v>-0.72727260000000005</v>
      </c>
      <c r="J173">
        <v>0.36666666999999997</v>
      </c>
    </row>
    <row r="174" spans="1:10" x14ac:dyDescent="0.3">
      <c r="A174">
        <v>172</v>
      </c>
      <c r="B174">
        <v>2753</v>
      </c>
      <c r="C174" t="b">
        <v>1</v>
      </c>
      <c r="D174">
        <v>8077</v>
      </c>
      <c r="E174">
        <v>8134</v>
      </c>
      <c r="F174">
        <v>42.2</v>
      </c>
      <c r="G174">
        <v>24.2</v>
      </c>
      <c r="H174">
        <v>1.7438016000000001</v>
      </c>
      <c r="I174">
        <v>-0.74380164999999998</v>
      </c>
      <c r="J174">
        <v>0.36445785000000003</v>
      </c>
    </row>
    <row r="175" spans="1:10" x14ac:dyDescent="0.3">
      <c r="A175">
        <v>173</v>
      </c>
      <c r="B175">
        <v>2769</v>
      </c>
      <c r="C175" t="b">
        <v>1</v>
      </c>
      <c r="D175">
        <v>8077</v>
      </c>
      <c r="E175">
        <v>8134</v>
      </c>
      <c r="F175">
        <v>42.6</v>
      </c>
      <c r="G175">
        <v>23.8</v>
      </c>
      <c r="H175">
        <v>1.7899159</v>
      </c>
      <c r="I175">
        <v>-0.78991599999999995</v>
      </c>
      <c r="J175">
        <v>0.35843375</v>
      </c>
    </row>
    <row r="176" spans="1:10" x14ac:dyDescent="0.3">
      <c r="A176">
        <v>174</v>
      </c>
      <c r="B176">
        <v>2784</v>
      </c>
      <c r="C176" t="b">
        <v>1</v>
      </c>
      <c r="D176">
        <v>8083</v>
      </c>
      <c r="E176">
        <v>8140</v>
      </c>
      <c r="F176">
        <v>43</v>
      </c>
      <c r="G176">
        <v>23.4</v>
      </c>
      <c r="H176">
        <v>1.8376068999999999</v>
      </c>
      <c r="I176">
        <v>-0.83760685000000001</v>
      </c>
      <c r="J176">
        <v>0.35240962999999997</v>
      </c>
    </row>
    <row r="177" spans="1:10" x14ac:dyDescent="0.3">
      <c r="A177">
        <v>175</v>
      </c>
      <c r="B177">
        <v>2800</v>
      </c>
      <c r="C177" t="b">
        <v>1</v>
      </c>
      <c r="D177">
        <v>8077</v>
      </c>
      <c r="E177">
        <v>8140</v>
      </c>
      <c r="F177">
        <v>42.6</v>
      </c>
      <c r="G177">
        <v>23.4</v>
      </c>
      <c r="H177">
        <v>1.8205127999999999</v>
      </c>
      <c r="I177">
        <v>-0.82051280000000004</v>
      </c>
      <c r="J177">
        <v>0.35454543999999999</v>
      </c>
    </row>
    <row r="178" spans="1:10" x14ac:dyDescent="0.3">
      <c r="A178">
        <v>176</v>
      </c>
      <c r="B178">
        <v>2816</v>
      </c>
      <c r="C178" t="b">
        <v>1</v>
      </c>
      <c r="D178">
        <v>8077</v>
      </c>
      <c r="E178">
        <v>8134</v>
      </c>
      <c r="F178">
        <v>42.2</v>
      </c>
      <c r="G178">
        <v>22.6</v>
      </c>
      <c r="H178">
        <v>1.8672565999999999</v>
      </c>
      <c r="I178">
        <v>-0.86725664000000002</v>
      </c>
      <c r="J178">
        <v>0.34876542999999999</v>
      </c>
    </row>
    <row r="179" spans="1:10" x14ac:dyDescent="0.3">
      <c r="A179">
        <v>177</v>
      </c>
      <c r="B179">
        <v>2832</v>
      </c>
      <c r="C179" t="b">
        <v>1</v>
      </c>
      <c r="D179">
        <v>8071</v>
      </c>
      <c r="E179">
        <v>8140</v>
      </c>
      <c r="F179">
        <v>41.8</v>
      </c>
      <c r="G179">
        <v>22.2</v>
      </c>
      <c r="H179">
        <v>1.8828828</v>
      </c>
      <c r="I179">
        <v>-0.88288279999999997</v>
      </c>
      <c r="J179">
        <v>0.34687499999999999</v>
      </c>
    </row>
    <row r="180" spans="1:10" x14ac:dyDescent="0.3">
      <c r="A180">
        <v>178</v>
      </c>
      <c r="B180">
        <v>2848</v>
      </c>
      <c r="C180" t="b">
        <v>1</v>
      </c>
      <c r="D180">
        <v>8077</v>
      </c>
      <c r="E180">
        <v>8134</v>
      </c>
      <c r="F180">
        <v>41.4</v>
      </c>
      <c r="G180">
        <v>21.8</v>
      </c>
      <c r="H180">
        <v>1.8990826999999999</v>
      </c>
      <c r="I180">
        <v>-0.89908270000000001</v>
      </c>
      <c r="J180">
        <v>0.34493669999999998</v>
      </c>
    </row>
    <row r="181" spans="1:10" x14ac:dyDescent="0.3">
      <c r="A181">
        <v>179</v>
      </c>
      <c r="B181">
        <v>2864</v>
      </c>
      <c r="C181" t="b">
        <v>1</v>
      </c>
      <c r="D181">
        <v>8083</v>
      </c>
      <c r="E181">
        <v>8134</v>
      </c>
      <c r="F181">
        <v>41</v>
      </c>
      <c r="G181">
        <v>21.4</v>
      </c>
      <c r="H181">
        <v>1.9158877999999999</v>
      </c>
      <c r="I181">
        <v>-0.91588789999999998</v>
      </c>
      <c r="J181">
        <v>0.3429487</v>
      </c>
    </row>
    <row r="182" spans="1:10" x14ac:dyDescent="0.3">
      <c r="A182">
        <v>180</v>
      </c>
      <c r="B182">
        <v>2880</v>
      </c>
      <c r="C182" t="b">
        <v>1</v>
      </c>
      <c r="D182">
        <v>8077</v>
      </c>
      <c r="E182">
        <v>8129</v>
      </c>
      <c r="F182">
        <v>40.6</v>
      </c>
      <c r="G182">
        <v>21</v>
      </c>
      <c r="H182">
        <v>1.9333332999999999</v>
      </c>
      <c r="I182">
        <v>-0.93333330000000003</v>
      </c>
      <c r="J182">
        <v>0.34090910000000002</v>
      </c>
    </row>
    <row r="183" spans="1:10" x14ac:dyDescent="0.3">
      <c r="A183">
        <v>181</v>
      </c>
      <c r="B183">
        <v>2896</v>
      </c>
      <c r="C183" t="b">
        <v>1</v>
      </c>
      <c r="D183">
        <v>8083</v>
      </c>
      <c r="E183">
        <v>8140</v>
      </c>
      <c r="F183">
        <v>40.200000000000003</v>
      </c>
      <c r="G183">
        <v>20.6</v>
      </c>
      <c r="H183">
        <v>1.9514563</v>
      </c>
      <c r="I183">
        <v>-0.95145630000000003</v>
      </c>
      <c r="J183">
        <v>0.33881578000000001</v>
      </c>
    </row>
    <row r="184" spans="1:10" x14ac:dyDescent="0.3">
      <c r="A184">
        <v>182</v>
      </c>
      <c r="B184">
        <v>2912</v>
      </c>
      <c r="C184" t="b">
        <v>1</v>
      </c>
      <c r="D184">
        <v>8083</v>
      </c>
      <c r="E184">
        <v>8140</v>
      </c>
      <c r="F184">
        <v>40.200000000000003</v>
      </c>
      <c r="G184">
        <v>20.2</v>
      </c>
      <c r="H184">
        <v>1.9900990000000001</v>
      </c>
      <c r="I184">
        <v>-0.99009895000000003</v>
      </c>
      <c r="J184">
        <v>0.33443709999999999</v>
      </c>
    </row>
    <row r="185" spans="1:10" x14ac:dyDescent="0.3">
      <c r="A185">
        <v>183</v>
      </c>
      <c r="B185">
        <v>2928</v>
      </c>
      <c r="C185" t="b">
        <v>1</v>
      </c>
      <c r="D185">
        <v>8088</v>
      </c>
      <c r="E185">
        <v>8134</v>
      </c>
      <c r="F185">
        <v>40.200000000000003</v>
      </c>
      <c r="G185">
        <v>20.2</v>
      </c>
      <c r="H185">
        <v>1.9900990000000001</v>
      </c>
      <c r="I185">
        <v>-0.99009895000000003</v>
      </c>
      <c r="J185">
        <v>0.33443709999999999</v>
      </c>
    </row>
    <row r="186" spans="1:10" x14ac:dyDescent="0.3">
      <c r="A186">
        <v>184</v>
      </c>
      <c r="B186">
        <v>2944</v>
      </c>
      <c r="C186" t="b">
        <v>1</v>
      </c>
      <c r="D186">
        <v>8071</v>
      </c>
      <c r="E186">
        <v>8134</v>
      </c>
      <c r="F186">
        <v>40.200000000000003</v>
      </c>
      <c r="G186">
        <v>20.2</v>
      </c>
      <c r="H186">
        <v>1.9900990000000001</v>
      </c>
      <c r="I186">
        <v>-0.99009895000000003</v>
      </c>
      <c r="J186">
        <v>0.33443709999999999</v>
      </c>
    </row>
    <row r="187" spans="1:10" x14ac:dyDescent="0.3">
      <c r="A187">
        <v>185</v>
      </c>
      <c r="B187">
        <v>2960</v>
      </c>
      <c r="C187" t="b">
        <v>1</v>
      </c>
      <c r="D187">
        <v>8077</v>
      </c>
      <c r="E187">
        <v>8134</v>
      </c>
      <c r="F187">
        <v>40.200000000000003</v>
      </c>
      <c r="G187">
        <v>20.2</v>
      </c>
      <c r="H187">
        <v>1.9900990000000001</v>
      </c>
      <c r="I187">
        <v>-0.99009895000000003</v>
      </c>
      <c r="J187">
        <v>0.33443709999999999</v>
      </c>
    </row>
    <row r="188" spans="1:10" x14ac:dyDescent="0.3">
      <c r="A188">
        <v>186</v>
      </c>
      <c r="B188">
        <v>2976</v>
      </c>
      <c r="C188" t="b">
        <v>1</v>
      </c>
      <c r="D188">
        <v>8083</v>
      </c>
      <c r="E188">
        <v>8129</v>
      </c>
      <c r="F188">
        <v>40.200000000000003</v>
      </c>
      <c r="G188">
        <v>20.2</v>
      </c>
      <c r="H188">
        <v>1.9900990000000001</v>
      </c>
      <c r="I188">
        <v>-0.99009895000000003</v>
      </c>
      <c r="J188">
        <v>0.33443709999999999</v>
      </c>
    </row>
    <row r="189" spans="1:10" x14ac:dyDescent="0.3">
      <c r="A189">
        <v>187</v>
      </c>
      <c r="B189">
        <v>2991</v>
      </c>
      <c r="C189" t="b">
        <v>1</v>
      </c>
      <c r="D189">
        <v>8065</v>
      </c>
      <c r="E189">
        <v>8129</v>
      </c>
      <c r="F189">
        <v>39.799999999999997</v>
      </c>
      <c r="G189">
        <v>20.2</v>
      </c>
      <c r="H189">
        <v>1.9702968999999999</v>
      </c>
      <c r="I189">
        <v>-0.97029690000000002</v>
      </c>
      <c r="J189">
        <v>0.33666667</v>
      </c>
    </row>
    <row r="190" spans="1:10" x14ac:dyDescent="0.3">
      <c r="A190">
        <v>188</v>
      </c>
      <c r="B190">
        <v>3008</v>
      </c>
      <c r="C190" t="b">
        <v>1</v>
      </c>
      <c r="D190">
        <v>8065</v>
      </c>
      <c r="E190">
        <v>8134</v>
      </c>
      <c r="F190">
        <v>39</v>
      </c>
      <c r="G190">
        <v>20.2</v>
      </c>
      <c r="H190">
        <v>1.930693</v>
      </c>
      <c r="I190">
        <v>-0.93069299999999999</v>
      </c>
      <c r="J190">
        <v>0.34121624</v>
      </c>
    </row>
    <row r="191" spans="1:10" x14ac:dyDescent="0.3">
      <c r="A191">
        <v>189</v>
      </c>
      <c r="B191">
        <v>3024</v>
      </c>
      <c r="C191" t="b">
        <v>1</v>
      </c>
      <c r="D191">
        <v>8083</v>
      </c>
      <c r="E191">
        <v>8134</v>
      </c>
      <c r="F191">
        <v>38.6</v>
      </c>
      <c r="G191">
        <v>20.2</v>
      </c>
      <c r="H191">
        <v>1.9108909000000001</v>
      </c>
      <c r="I191">
        <v>-0.91089094000000004</v>
      </c>
      <c r="J191">
        <v>0.34353741999999998</v>
      </c>
    </row>
    <row r="192" spans="1:10" x14ac:dyDescent="0.3">
      <c r="A192">
        <v>190</v>
      </c>
      <c r="B192">
        <v>3040</v>
      </c>
      <c r="C192" t="b">
        <v>1</v>
      </c>
      <c r="D192">
        <v>8077</v>
      </c>
      <c r="E192">
        <v>8134</v>
      </c>
      <c r="F192">
        <v>38.6</v>
      </c>
      <c r="G192">
        <v>19.8</v>
      </c>
      <c r="H192">
        <v>1.949495</v>
      </c>
      <c r="I192">
        <v>-0.94949496</v>
      </c>
      <c r="J192">
        <v>0.33904107999999999</v>
      </c>
    </row>
    <row r="193" spans="1:10" x14ac:dyDescent="0.3">
      <c r="A193">
        <v>191</v>
      </c>
      <c r="B193">
        <v>3055</v>
      </c>
      <c r="C193" t="b">
        <v>1</v>
      </c>
      <c r="D193">
        <v>8065</v>
      </c>
      <c r="E193">
        <v>8134</v>
      </c>
      <c r="F193">
        <v>37.799999999999997</v>
      </c>
      <c r="G193">
        <v>19.8</v>
      </c>
      <c r="H193">
        <v>1.9090910000000001</v>
      </c>
      <c r="I193">
        <v>-0.90909094000000001</v>
      </c>
      <c r="J193">
        <v>0.34375</v>
      </c>
    </row>
    <row r="194" spans="1:10" x14ac:dyDescent="0.3">
      <c r="A194">
        <v>192</v>
      </c>
      <c r="B194">
        <v>3071</v>
      </c>
      <c r="C194" t="b">
        <v>1</v>
      </c>
      <c r="D194">
        <v>8071</v>
      </c>
      <c r="E194">
        <v>8129</v>
      </c>
      <c r="F194">
        <v>37.4</v>
      </c>
      <c r="G194">
        <v>19.399999999999999</v>
      </c>
      <c r="H194">
        <v>1.9278352000000001</v>
      </c>
      <c r="I194">
        <v>-0.92783517000000004</v>
      </c>
      <c r="J194">
        <v>0.34154928000000001</v>
      </c>
    </row>
    <row r="195" spans="1:10" x14ac:dyDescent="0.3">
      <c r="A195">
        <v>193</v>
      </c>
      <c r="B195">
        <v>3087</v>
      </c>
      <c r="C195" t="b">
        <v>1</v>
      </c>
      <c r="D195">
        <v>8077</v>
      </c>
      <c r="E195">
        <v>8134</v>
      </c>
      <c r="F195">
        <v>37.4</v>
      </c>
      <c r="G195">
        <v>19</v>
      </c>
      <c r="H195">
        <v>1.9684211</v>
      </c>
      <c r="I195">
        <v>-0.96842116</v>
      </c>
      <c r="J195">
        <v>0.33687942999999998</v>
      </c>
    </row>
    <row r="196" spans="1:10" x14ac:dyDescent="0.3">
      <c r="A196">
        <v>194</v>
      </c>
      <c r="B196">
        <v>3103</v>
      </c>
      <c r="C196" t="b">
        <v>1</v>
      </c>
      <c r="D196">
        <v>8077</v>
      </c>
      <c r="E196">
        <v>8146</v>
      </c>
      <c r="F196">
        <v>37.4</v>
      </c>
      <c r="G196">
        <v>19</v>
      </c>
      <c r="H196">
        <v>1.9684211</v>
      </c>
      <c r="I196">
        <v>-0.96842116</v>
      </c>
      <c r="J196">
        <v>0.33687942999999998</v>
      </c>
    </row>
    <row r="197" spans="1:10" x14ac:dyDescent="0.3">
      <c r="A197">
        <v>195</v>
      </c>
      <c r="B197">
        <v>3119</v>
      </c>
      <c r="C197" t="b">
        <v>1</v>
      </c>
      <c r="D197">
        <v>8083</v>
      </c>
      <c r="E197">
        <v>8146</v>
      </c>
      <c r="F197">
        <v>37.4</v>
      </c>
      <c r="G197">
        <v>19</v>
      </c>
      <c r="H197">
        <v>1.9684211</v>
      </c>
      <c r="I197">
        <v>-0.96842116</v>
      </c>
      <c r="J197">
        <v>0.33687942999999998</v>
      </c>
    </row>
    <row r="198" spans="1:10" x14ac:dyDescent="0.3">
      <c r="A198">
        <v>196</v>
      </c>
      <c r="B198">
        <v>3135</v>
      </c>
      <c r="C198" t="b">
        <v>1</v>
      </c>
      <c r="D198">
        <v>8077</v>
      </c>
      <c r="E198">
        <v>8140</v>
      </c>
      <c r="F198">
        <v>37.4</v>
      </c>
      <c r="G198">
        <v>19.399999999999999</v>
      </c>
      <c r="H198">
        <v>1.9278352000000001</v>
      </c>
      <c r="I198">
        <v>-0.92783517000000004</v>
      </c>
      <c r="J198">
        <v>0.34154928000000001</v>
      </c>
    </row>
    <row r="199" spans="1:10" x14ac:dyDescent="0.3">
      <c r="A199">
        <v>197</v>
      </c>
      <c r="B199">
        <v>3151</v>
      </c>
      <c r="C199" t="b">
        <v>1</v>
      </c>
      <c r="D199">
        <v>8071</v>
      </c>
      <c r="E199">
        <v>8134</v>
      </c>
      <c r="F199">
        <v>37</v>
      </c>
      <c r="G199">
        <v>19.8</v>
      </c>
      <c r="H199">
        <v>1.8686868999999999</v>
      </c>
      <c r="I199">
        <v>-0.86868690000000004</v>
      </c>
      <c r="J199">
        <v>0.34859153999999998</v>
      </c>
    </row>
    <row r="200" spans="1:10" x14ac:dyDescent="0.3">
      <c r="A200">
        <v>198</v>
      </c>
      <c r="B200">
        <v>3167</v>
      </c>
      <c r="C200" t="b">
        <v>1</v>
      </c>
      <c r="D200">
        <v>8077</v>
      </c>
      <c r="E200">
        <v>8140</v>
      </c>
      <c r="F200">
        <v>36.6</v>
      </c>
      <c r="G200">
        <v>20.2</v>
      </c>
      <c r="H200">
        <v>1.8118810999999999</v>
      </c>
      <c r="I200">
        <v>-0.81188106999999998</v>
      </c>
      <c r="J200">
        <v>0.35563382999999998</v>
      </c>
    </row>
    <row r="201" spans="1:10" x14ac:dyDescent="0.3">
      <c r="A201">
        <v>199</v>
      </c>
      <c r="B201">
        <v>3182</v>
      </c>
      <c r="C201" t="b">
        <v>1</v>
      </c>
      <c r="D201">
        <v>8077</v>
      </c>
      <c r="E201">
        <v>8146</v>
      </c>
      <c r="F201">
        <v>36.200000000000003</v>
      </c>
      <c r="G201">
        <v>20.6</v>
      </c>
      <c r="H201">
        <v>1.7572814999999999</v>
      </c>
      <c r="I201">
        <v>-0.75728154000000003</v>
      </c>
      <c r="J201">
        <v>0.36267605000000003</v>
      </c>
    </row>
    <row r="202" spans="1:10" x14ac:dyDescent="0.3">
      <c r="A202">
        <v>200</v>
      </c>
      <c r="B202">
        <v>3198</v>
      </c>
      <c r="C202" t="b">
        <v>1</v>
      </c>
      <c r="D202">
        <v>8077</v>
      </c>
      <c r="E202">
        <v>8146</v>
      </c>
      <c r="F202">
        <v>35.799999999999997</v>
      </c>
      <c r="G202">
        <v>21</v>
      </c>
      <c r="H202">
        <v>1.7047619000000001</v>
      </c>
      <c r="I202">
        <v>-0.70476185999999996</v>
      </c>
      <c r="J202">
        <v>0.3697183</v>
      </c>
    </row>
    <row r="203" spans="1:10" x14ac:dyDescent="0.3">
      <c r="A203">
        <v>201</v>
      </c>
      <c r="B203">
        <v>3214</v>
      </c>
      <c r="C203" t="b">
        <v>1</v>
      </c>
      <c r="D203">
        <v>8083</v>
      </c>
      <c r="E203">
        <v>8134</v>
      </c>
      <c r="F203">
        <v>35.4</v>
      </c>
      <c r="G203">
        <v>21.4</v>
      </c>
      <c r="H203">
        <v>1.6542056999999999</v>
      </c>
      <c r="I203">
        <v>-0.6542057</v>
      </c>
      <c r="J203">
        <v>0.37676053999999998</v>
      </c>
    </row>
    <row r="204" spans="1:10" x14ac:dyDescent="0.3">
      <c r="A204">
        <v>202</v>
      </c>
      <c r="B204">
        <v>3230</v>
      </c>
      <c r="C204" t="b">
        <v>1</v>
      </c>
      <c r="D204">
        <v>8077</v>
      </c>
      <c r="E204">
        <v>8134</v>
      </c>
      <c r="F204">
        <v>35.4</v>
      </c>
      <c r="G204">
        <v>21.8</v>
      </c>
      <c r="H204">
        <v>1.6238532999999999</v>
      </c>
      <c r="I204">
        <v>-0.62385330000000006</v>
      </c>
      <c r="J204">
        <v>0.38111886</v>
      </c>
    </row>
    <row r="205" spans="1:10" x14ac:dyDescent="0.3">
      <c r="A205">
        <v>203</v>
      </c>
      <c r="B205">
        <v>3246</v>
      </c>
      <c r="C205" t="b">
        <v>1</v>
      </c>
      <c r="D205">
        <v>8077</v>
      </c>
      <c r="E205">
        <v>8140</v>
      </c>
      <c r="F205">
        <v>35.799999999999997</v>
      </c>
      <c r="G205">
        <v>22.2</v>
      </c>
      <c r="H205">
        <v>1.6126125</v>
      </c>
      <c r="I205">
        <v>-0.61261255000000003</v>
      </c>
      <c r="J205">
        <v>0.38275864999999998</v>
      </c>
    </row>
    <row r="206" spans="1:10" x14ac:dyDescent="0.3">
      <c r="A206">
        <v>204</v>
      </c>
      <c r="B206">
        <v>3262</v>
      </c>
      <c r="C206" t="b">
        <v>1</v>
      </c>
      <c r="D206">
        <v>8088</v>
      </c>
      <c r="E206">
        <v>8140</v>
      </c>
      <c r="F206">
        <v>35.799999999999997</v>
      </c>
      <c r="G206">
        <v>22.6</v>
      </c>
      <c r="H206">
        <v>1.5840707000000001</v>
      </c>
      <c r="I206">
        <v>-0.58407074000000003</v>
      </c>
      <c r="J206">
        <v>0.38698630000000001</v>
      </c>
    </row>
    <row r="207" spans="1:10" x14ac:dyDescent="0.3">
      <c r="A207">
        <v>205</v>
      </c>
      <c r="B207">
        <v>3278</v>
      </c>
      <c r="C207" t="b">
        <v>1</v>
      </c>
      <c r="D207">
        <v>8077</v>
      </c>
      <c r="E207">
        <v>8134</v>
      </c>
      <c r="F207">
        <v>35.799999999999997</v>
      </c>
      <c r="G207">
        <v>22.6</v>
      </c>
      <c r="H207">
        <v>1.5840707000000001</v>
      </c>
      <c r="I207">
        <v>-0.58407074000000003</v>
      </c>
      <c r="J207">
        <v>0.38698630000000001</v>
      </c>
    </row>
    <row r="208" spans="1:10" x14ac:dyDescent="0.3">
      <c r="A208">
        <v>206</v>
      </c>
      <c r="B208">
        <v>3294</v>
      </c>
      <c r="C208" t="b">
        <v>1</v>
      </c>
      <c r="D208">
        <v>8083</v>
      </c>
      <c r="E208">
        <v>8140</v>
      </c>
      <c r="F208">
        <v>36.6</v>
      </c>
      <c r="G208">
        <v>23</v>
      </c>
      <c r="H208">
        <v>1.5913043</v>
      </c>
      <c r="I208">
        <v>-0.5913043</v>
      </c>
      <c r="J208">
        <v>0.38590604000000001</v>
      </c>
    </row>
    <row r="209" spans="1:10" x14ac:dyDescent="0.3">
      <c r="A209">
        <v>207</v>
      </c>
      <c r="B209">
        <v>3310</v>
      </c>
      <c r="C209" t="b">
        <v>1</v>
      </c>
      <c r="D209">
        <v>8088</v>
      </c>
      <c r="E209">
        <v>8134</v>
      </c>
      <c r="F209">
        <v>37.4</v>
      </c>
      <c r="G209">
        <v>23.4</v>
      </c>
      <c r="H209">
        <v>1.5982907</v>
      </c>
      <c r="I209">
        <v>-0.59829069999999995</v>
      </c>
      <c r="J209">
        <v>0.38486838000000001</v>
      </c>
    </row>
    <row r="210" spans="1:10" x14ac:dyDescent="0.3">
      <c r="A210">
        <v>208</v>
      </c>
      <c r="B210">
        <v>3326</v>
      </c>
      <c r="C210" t="b">
        <v>1</v>
      </c>
      <c r="D210">
        <v>8077</v>
      </c>
      <c r="E210">
        <v>8140</v>
      </c>
      <c r="F210">
        <v>37.799999999999997</v>
      </c>
      <c r="G210">
        <v>23.8</v>
      </c>
      <c r="H210">
        <v>1.5882353</v>
      </c>
      <c r="I210">
        <v>-0.58823530000000002</v>
      </c>
      <c r="J210">
        <v>0.38636363000000001</v>
      </c>
    </row>
    <row r="211" spans="1:10" x14ac:dyDescent="0.3">
      <c r="A211">
        <v>209</v>
      </c>
      <c r="B211">
        <v>3342</v>
      </c>
      <c r="C211" t="b">
        <v>1</v>
      </c>
      <c r="D211">
        <v>8088</v>
      </c>
      <c r="E211">
        <v>8129</v>
      </c>
      <c r="F211">
        <v>38.200000000000003</v>
      </c>
      <c r="G211">
        <v>23.8</v>
      </c>
      <c r="H211">
        <v>1.6050420999999999</v>
      </c>
      <c r="I211">
        <v>-0.60504210000000003</v>
      </c>
      <c r="J211">
        <v>0.38387095999999998</v>
      </c>
    </row>
    <row r="212" spans="1:10" x14ac:dyDescent="0.3">
      <c r="A212">
        <v>210</v>
      </c>
      <c r="B212">
        <v>3358</v>
      </c>
      <c r="C212" t="b">
        <v>1</v>
      </c>
      <c r="D212">
        <v>8083</v>
      </c>
      <c r="E212">
        <v>8134</v>
      </c>
      <c r="F212">
        <v>38.6</v>
      </c>
      <c r="G212">
        <v>23.8</v>
      </c>
      <c r="H212">
        <v>1.6218486999999999</v>
      </c>
      <c r="I212">
        <v>-0.62184870000000003</v>
      </c>
      <c r="J212">
        <v>0.38141027</v>
      </c>
    </row>
    <row r="213" spans="1:10" x14ac:dyDescent="0.3">
      <c r="A213">
        <v>211</v>
      </c>
      <c r="B213">
        <v>3374</v>
      </c>
      <c r="C213" t="b">
        <v>1</v>
      </c>
      <c r="D213">
        <v>8083</v>
      </c>
      <c r="E213">
        <v>8134</v>
      </c>
      <c r="F213">
        <v>39</v>
      </c>
      <c r="G213">
        <v>23.4</v>
      </c>
      <c r="H213">
        <v>1.6666666999999999</v>
      </c>
      <c r="I213">
        <v>-0.66666669999999995</v>
      </c>
      <c r="J213">
        <v>0.37499997000000002</v>
      </c>
    </row>
    <row r="214" spans="1:10" x14ac:dyDescent="0.3">
      <c r="A214">
        <v>212</v>
      </c>
      <c r="B214">
        <v>3390</v>
      </c>
      <c r="C214" t="b">
        <v>1</v>
      </c>
      <c r="D214">
        <v>8077</v>
      </c>
      <c r="E214">
        <v>8134</v>
      </c>
      <c r="F214">
        <v>39.4</v>
      </c>
      <c r="G214">
        <v>23</v>
      </c>
      <c r="H214">
        <v>1.7130436</v>
      </c>
      <c r="I214">
        <v>-0.7130436</v>
      </c>
      <c r="J214">
        <v>0.36858973</v>
      </c>
    </row>
    <row r="215" spans="1:10" x14ac:dyDescent="0.3">
      <c r="A215">
        <v>213</v>
      </c>
      <c r="B215">
        <v>3406</v>
      </c>
      <c r="C215" t="b">
        <v>1</v>
      </c>
      <c r="D215">
        <v>8077</v>
      </c>
      <c r="E215">
        <v>8140</v>
      </c>
      <c r="F215">
        <v>39.799999999999997</v>
      </c>
      <c r="G215">
        <v>22.6</v>
      </c>
      <c r="H215">
        <v>1.7610619000000001</v>
      </c>
      <c r="I215">
        <v>-0.76106189999999996</v>
      </c>
      <c r="J215">
        <v>0.36217949999999999</v>
      </c>
    </row>
    <row r="216" spans="1:10" x14ac:dyDescent="0.3">
      <c r="A216">
        <v>214</v>
      </c>
      <c r="B216">
        <v>3422</v>
      </c>
      <c r="C216" t="b">
        <v>1</v>
      </c>
      <c r="D216">
        <v>8071</v>
      </c>
      <c r="E216">
        <v>8146</v>
      </c>
      <c r="F216">
        <v>39.799999999999997</v>
      </c>
      <c r="G216">
        <v>22.2</v>
      </c>
      <c r="H216">
        <v>1.7927926999999999</v>
      </c>
      <c r="I216">
        <v>-0.79279270000000002</v>
      </c>
      <c r="J216">
        <v>0.35806452999999999</v>
      </c>
    </row>
    <row r="217" spans="1:10" x14ac:dyDescent="0.3">
      <c r="A217">
        <v>215</v>
      </c>
      <c r="B217">
        <v>3438</v>
      </c>
      <c r="C217" t="b">
        <v>1</v>
      </c>
      <c r="D217">
        <v>8083</v>
      </c>
      <c r="E217">
        <v>8146</v>
      </c>
      <c r="F217">
        <v>39.799999999999997</v>
      </c>
      <c r="G217">
        <v>22.2</v>
      </c>
      <c r="H217">
        <v>1.7927926999999999</v>
      </c>
      <c r="I217">
        <v>-0.79279270000000002</v>
      </c>
      <c r="J217">
        <v>0.35806452999999999</v>
      </c>
    </row>
    <row r="218" spans="1:10" x14ac:dyDescent="0.3">
      <c r="A218">
        <v>216</v>
      </c>
      <c r="B218">
        <v>3454</v>
      </c>
      <c r="C218" t="b">
        <v>1</v>
      </c>
      <c r="D218">
        <v>8077</v>
      </c>
      <c r="E218">
        <v>8146</v>
      </c>
      <c r="F218">
        <v>39.799999999999997</v>
      </c>
      <c r="G218">
        <v>22.6</v>
      </c>
      <c r="H218">
        <v>1.7610619000000001</v>
      </c>
      <c r="I218">
        <v>-0.76106189999999996</v>
      </c>
      <c r="J218">
        <v>0.36217949999999999</v>
      </c>
    </row>
    <row r="219" spans="1:10" x14ac:dyDescent="0.3">
      <c r="A219">
        <v>217</v>
      </c>
      <c r="B219">
        <v>3470</v>
      </c>
      <c r="C219" t="b">
        <v>1</v>
      </c>
      <c r="D219">
        <v>8083</v>
      </c>
      <c r="E219">
        <v>8140</v>
      </c>
      <c r="F219">
        <v>39.799999999999997</v>
      </c>
      <c r="G219">
        <v>23</v>
      </c>
      <c r="H219">
        <v>1.7304348000000001</v>
      </c>
      <c r="I219">
        <v>-0.73043480000000005</v>
      </c>
      <c r="J219">
        <v>0.36624204999999999</v>
      </c>
    </row>
    <row r="220" spans="1:10" x14ac:dyDescent="0.3">
      <c r="A220">
        <v>218</v>
      </c>
      <c r="B220">
        <v>3486</v>
      </c>
      <c r="C220" t="b">
        <v>1</v>
      </c>
      <c r="D220">
        <v>8088</v>
      </c>
      <c r="E220">
        <v>8146</v>
      </c>
      <c r="F220">
        <v>40.200000000000003</v>
      </c>
      <c r="G220">
        <v>23.4</v>
      </c>
      <c r="H220">
        <v>1.7179488000000001</v>
      </c>
      <c r="I220">
        <v>-0.71794880000000005</v>
      </c>
      <c r="J220">
        <v>0.36792454000000002</v>
      </c>
    </row>
    <row r="221" spans="1:10" x14ac:dyDescent="0.3">
      <c r="A221">
        <v>219</v>
      </c>
      <c r="B221">
        <v>3501</v>
      </c>
      <c r="C221" t="b">
        <v>1</v>
      </c>
      <c r="D221">
        <v>8088</v>
      </c>
      <c r="E221">
        <v>8134</v>
      </c>
      <c r="F221">
        <v>40.6</v>
      </c>
      <c r="G221">
        <v>23.8</v>
      </c>
      <c r="H221">
        <v>1.7058823000000001</v>
      </c>
      <c r="I221">
        <v>-0.70588240000000002</v>
      </c>
      <c r="J221">
        <v>0.36956525000000001</v>
      </c>
    </row>
    <row r="222" spans="1:10" x14ac:dyDescent="0.3">
      <c r="A222">
        <v>220</v>
      </c>
      <c r="B222">
        <v>3518</v>
      </c>
      <c r="C222" t="b">
        <v>1</v>
      </c>
      <c r="D222">
        <v>8088</v>
      </c>
      <c r="E222">
        <v>8134</v>
      </c>
      <c r="F222">
        <v>41.333331999999999</v>
      </c>
      <c r="G222">
        <v>24.2</v>
      </c>
      <c r="H222">
        <v>1.7079888999999999</v>
      </c>
      <c r="I222">
        <v>-0.70798886000000005</v>
      </c>
      <c r="J222">
        <v>0.36927775000000002</v>
      </c>
    </row>
    <row r="223" spans="1:10" x14ac:dyDescent="0.3">
      <c r="A223">
        <v>221</v>
      </c>
      <c r="B223">
        <v>3534</v>
      </c>
      <c r="C223" t="b">
        <v>1</v>
      </c>
      <c r="D223">
        <v>8083</v>
      </c>
      <c r="E223">
        <v>8134</v>
      </c>
      <c r="F223">
        <v>42.066665999999998</v>
      </c>
      <c r="G223">
        <v>23.8</v>
      </c>
      <c r="H223">
        <v>1.7675071</v>
      </c>
      <c r="I223">
        <v>-0.76750700000000005</v>
      </c>
      <c r="J223">
        <v>0.36133601999999998</v>
      </c>
    </row>
    <row r="224" spans="1:10" x14ac:dyDescent="0.3">
      <c r="A224">
        <v>222</v>
      </c>
      <c r="B224">
        <v>3549</v>
      </c>
      <c r="C224" t="b">
        <v>1</v>
      </c>
      <c r="D224">
        <v>8077</v>
      </c>
      <c r="E224">
        <v>8134</v>
      </c>
      <c r="F224">
        <v>42.4</v>
      </c>
      <c r="G224">
        <v>23.4</v>
      </c>
      <c r="H224">
        <v>1.811966</v>
      </c>
      <c r="I224">
        <v>-0.81196590000000002</v>
      </c>
      <c r="J224">
        <v>0.35562306999999999</v>
      </c>
    </row>
    <row r="225" spans="1:10" x14ac:dyDescent="0.3">
      <c r="A225">
        <v>223</v>
      </c>
      <c r="B225">
        <v>3565</v>
      </c>
      <c r="C225" t="b">
        <v>1</v>
      </c>
      <c r="D225">
        <v>8077</v>
      </c>
      <c r="E225">
        <v>8140</v>
      </c>
      <c r="F225">
        <v>42.4</v>
      </c>
      <c r="G225">
        <v>23</v>
      </c>
      <c r="H225">
        <v>1.8434782999999999</v>
      </c>
      <c r="I225">
        <v>-0.84347830000000001</v>
      </c>
      <c r="J225">
        <v>0.35168195000000002</v>
      </c>
    </row>
    <row r="226" spans="1:10" x14ac:dyDescent="0.3">
      <c r="A226">
        <v>224</v>
      </c>
      <c r="B226">
        <v>3581</v>
      </c>
      <c r="C226" t="b">
        <v>1</v>
      </c>
      <c r="D226">
        <v>8088</v>
      </c>
      <c r="E226">
        <v>8134</v>
      </c>
      <c r="F226">
        <v>42.4</v>
      </c>
      <c r="G226">
        <v>23</v>
      </c>
      <c r="H226">
        <v>1.8434782999999999</v>
      </c>
      <c r="I226">
        <v>-0.84347830000000001</v>
      </c>
      <c r="J226">
        <v>0.35168195000000002</v>
      </c>
    </row>
    <row r="227" spans="1:10" x14ac:dyDescent="0.3">
      <c r="A227">
        <v>225</v>
      </c>
      <c r="B227">
        <v>3597</v>
      </c>
      <c r="C227" t="b">
        <v>1</v>
      </c>
      <c r="D227">
        <v>8077</v>
      </c>
      <c r="E227">
        <v>8140</v>
      </c>
      <c r="F227">
        <v>42</v>
      </c>
      <c r="G227">
        <v>23</v>
      </c>
      <c r="H227">
        <v>1.826087</v>
      </c>
      <c r="I227">
        <v>-0.82608694000000005</v>
      </c>
      <c r="J227">
        <v>0.35384616000000002</v>
      </c>
    </row>
    <row r="228" spans="1:10" x14ac:dyDescent="0.3">
      <c r="A228">
        <v>226</v>
      </c>
      <c r="B228">
        <v>3613</v>
      </c>
      <c r="C228" t="b">
        <v>1</v>
      </c>
      <c r="D228">
        <v>8077</v>
      </c>
      <c r="E228">
        <v>8146</v>
      </c>
      <c r="F228">
        <v>41.6</v>
      </c>
      <c r="G228">
        <v>23.4</v>
      </c>
      <c r="H228">
        <v>1.7777778</v>
      </c>
      <c r="I228">
        <v>-0.77777772999999994</v>
      </c>
      <c r="J228">
        <v>0.35999998</v>
      </c>
    </row>
    <row r="229" spans="1:10" x14ac:dyDescent="0.3">
      <c r="A229">
        <v>227</v>
      </c>
      <c r="B229">
        <v>3629</v>
      </c>
      <c r="C229" t="b">
        <v>1</v>
      </c>
      <c r="D229">
        <v>8083</v>
      </c>
      <c r="E229">
        <v>8140</v>
      </c>
      <c r="F229">
        <v>41.2</v>
      </c>
      <c r="G229">
        <v>23.8</v>
      </c>
      <c r="H229">
        <v>1.7310926</v>
      </c>
      <c r="I229">
        <v>-0.73109250000000003</v>
      </c>
      <c r="J229">
        <v>0.36615384000000001</v>
      </c>
    </row>
    <row r="230" spans="1:10" x14ac:dyDescent="0.3">
      <c r="A230">
        <v>228</v>
      </c>
      <c r="B230">
        <v>3645</v>
      </c>
      <c r="C230" t="b">
        <v>1</v>
      </c>
      <c r="D230">
        <v>8088</v>
      </c>
      <c r="E230">
        <v>8140</v>
      </c>
      <c r="F230">
        <v>41.2</v>
      </c>
      <c r="G230">
        <v>24.2</v>
      </c>
      <c r="H230">
        <v>1.7024794000000001</v>
      </c>
      <c r="I230">
        <v>-0.70247930000000003</v>
      </c>
      <c r="J230">
        <v>0.37003058</v>
      </c>
    </row>
    <row r="231" spans="1:10" x14ac:dyDescent="0.3">
      <c r="A231">
        <v>229</v>
      </c>
      <c r="B231">
        <v>3661</v>
      </c>
      <c r="C231" t="b">
        <v>1</v>
      </c>
      <c r="D231">
        <v>8077</v>
      </c>
      <c r="E231">
        <v>8134</v>
      </c>
      <c r="F231">
        <v>41.2</v>
      </c>
      <c r="G231">
        <v>24.6</v>
      </c>
      <c r="H231">
        <v>1.6747966999999999</v>
      </c>
      <c r="I231">
        <v>-0.67479676</v>
      </c>
      <c r="J231">
        <v>0.37386017999999999</v>
      </c>
    </row>
    <row r="232" spans="1:10" x14ac:dyDescent="0.3">
      <c r="A232">
        <v>230</v>
      </c>
      <c r="B232">
        <v>3677</v>
      </c>
      <c r="C232" t="b">
        <v>1</v>
      </c>
      <c r="D232">
        <v>8077</v>
      </c>
      <c r="E232">
        <v>8146</v>
      </c>
      <c r="F232">
        <v>41.2</v>
      </c>
      <c r="G232">
        <v>24.6</v>
      </c>
      <c r="H232">
        <v>1.6747966999999999</v>
      </c>
      <c r="I232">
        <v>-0.67479676</v>
      </c>
      <c r="J232">
        <v>0.37386017999999999</v>
      </c>
    </row>
    <row r="233" spans="1:10" x14ac:dyDescent="0.3">
      <c r="A233">
        <v>231</v>
      </c>
      <c r="B233">
        <v>3692</v>
      </c>
      <c r="C233" t="b">
        <v>1</v>
      </c>
      <c r="D233">
        <v>8077</v>
      </c>
      <c r="E233">
        <v>8146</v>
      </c>
      <c r="F233">
        <v>41.2</v>
      </c>
      <c r="G233">
        <v>24.2</v>
      </c>
      <c r="H233">
        <v>1.7024794000000001</v>
      </c>
      <c r="I233">
        <v>-0.70247930000000003</v>
      </c>
      <c r="J233">
        <v>0.37003058</v>
      </c>
    </row>
    <row r="234" spans="1:10" x14ac:dyDescent="0.3">
      <c r="A234">
        <v>232</v>
      </c>
      <c r="B234">
        <v>3708</v>
      </c>
      <c r="C234" t="b">
        <v>1</v>
      </c>
      <c r="D234">
        <v>8083</v>
      </c>
      <c r="E234">
        <v>8140</v>
      </c>
      <c r="F234">
        <v>41.2</v>
      </c>
      <c r="G234">
        <v>23.8</v>
      </c>
      <c r="H234">
        <v>1.7310926</v>
      </c>
      <c r="I234">
        <v>-0.73109250000000003</v>
      </c>
      <c r="J234">
        <v>0.36615384000000001</v>
      </c>
    </row>
    <row r="235" spans="1:10" x14ac:dyDescent="0.3">
      <c r="A235">
        <v>233</v>
      </c>
      <c r="B235">
        <v>3724</v>
      </c>
      <c r="C235" t="b">
        <v>1</v>
      </c>
      <c r="D235">
        <v>8083</v>
      </c>
      <c r="E235">
        <v>8140</v>
      </c>
      <c r="F235">
        <v>40.799999999999997</v>
      </c>
      <c r="G235">
        <v>23.4</v>
      </c>
      <c r="H235">
        <v>1.7435898000000001</v>
      </c>
      <c r="I235">
        <v>-0.74358975999999999</v>
      </c>
      <c r="J235">
        <v>0.36448597999999999</v>
      </c>
    </row>
    <row r="236" spans="1:10" x14ac:dyDescent="0.3">
      <c r="A236">
        <v>234</v>
      </c>
      <c r="B236">
        <v>3740</v>
      </c>
      <c r="C236" t="b">
        <v>1</v>
      </c>
      <c r="D236">
        <v>8083</v>
      </c>
      <c r="E236">
        <v>8134</v>
      </c>
      <c r="F236">
        <v>40.799999999999997</v>
      </c>
      <c r="G236">
        <v>23</v>
      </c>
      <c r="H236">
        <v>1.7739130000000001</v>
      </c>
      <c r="I236">
        <v>-0.77391299999999996</v>
      </c>
      <c r="J236">
        <v>0.36050156</v>
      </c>
    </row>
    <row r="237" spans="1:10" x14ac:dyDescent="0.3">
      <c r="A237">
        <v>235</v>
      </c>
      <c r="B237">
        <v>3756</v>
      </c>
      <c r="C237" t="b">
        <v>1</v>
      </c>
      <c r="D237">
        <v>8077</v>
      </c>
      <c r="E237">
        <v>8134</v>
      </c>
      <c r="F237">
        <v>40.466667000000001</v>
      </c>
      <c r="G237">
        <v>23</v>
      </c>
      <c r="H237">
        <v>1.7594202999999999</v>
      </c>
      <c r="I237">
        <v>-0.75942034000000003</v>
      </c>
      <c r="J237">
        <v>0.36239495999999999</v>
      </c>
    </row>
    <row r="238" spans="1:10" x14ac:dyDescent="0.3">
      <c r="A238">
        <v>236</v>
      </c>
      <c r="B238">
        <v>3772</v>
      </c>
      <c r="C238" t="b">
        <v>1</v>
      </c>
      <c r="D238">
        <v>8088</v>
      </c>
      <c r="E238">
        <v>8134</v>
      </c>
      <c r="F238">
        <v>40.133335000000002</v>
      </c>
      <c r="G238">
        <v>23</v>
      </c>
      <c r="H238">
        <v>1.7449276</v>
      </c>
      <c r="I238">
        <v>-0.74492760000000002</v>
      </c>
      <c r="J238">
        <v>0.36430833000000001</v>
      </c>
    </row>
    <row r="239" spans="1:10" x14ac:dyDescent="0.3">
      <c r="A239">
        <v>237</v>
      </c>
      <c r="B239">
        <v>3788</v>
      </c>
      <c r="C239" t="b">
        <v>1</v>
      </c>
      <c r="D239">
        <v>8100</v>
      </c>
      <c r="E239">
        <v>8134</v>
      </c>
      <c r="F239">
        <v>39.799999999999997</v>
      </c>
      <c r="G239">
        <v>23</v>
      </c>
      <c r="H239">
        <v>1.7304348000000001</v>
      </c>
      <c r="I239">
        <v>-0.73043480000000005</v>
      </c>
      <c r="J239">
        <v>0.36624204999999999</v>
      </c>
    </row>
    <row r="240" spans="1:10" x14ac:dyDescent="0.3">
      <c r="A240">
        <v>238</v>
      </c>
      <c r="B240">
        <v>3804</v>
      </c>
      <c r="C240" t="b">
        <v>1</v>
      </c>
      <c r="D240">
        <v>8088</v>
      </c>
      <c r="E240">
        <v>8140</v>
      </c>
      <c r="F240">
        <v>40.133335000000002</v>
      </c>
      <c r="G240">
        <v>23</v>
      </c>
      <c r="H240">
        <v>1.7449276</v>
      </c>
      <c r="I240">
        <v>-0.74492760000000002</v>
      </c>
      <c r="J240">
        <v>0.36430833000000001</v>
      </c>
    </row>
    <row r="241" spans="1:10" x14ac:dyDescent="0.3">
      <c r="A241">
        <v>239</v>
      </c>
      <c r="B241">
        <v>3820</v>
      </c>
      <c r="C241" t="b">
        <v>1</v>
      </c>
      <c r="D241">
        <v>8077</v>
      </c>
      <c r="E241">
        <v>8146</v>
      </c>
      <c r="F241">
        <v>40.466667000000001</v>
      </c>
      <c r="G241">
        <v>23</v>
      </c>
      <c r="H241">
        <v>1.7594202999999999</v>
      </c>
      <c r="I241">
        <v>-0.75942034000000003</v>
      </c>
      <c r="J241">
        <v>0.36239495999999999</v>
      </c>
    </row>
    <row r="242" spans="1:10" x14ac:dyDescent="0.3">
      <c r="A242">
        <v>240</v>
      </c>
      <c r="B242">
        <v>3836</v>
      </c>
      <c r="C242" t="b">
        <v>1</v>
      </c>
      <c r="D242">
        <v>8077</v>
      </c>
      <c r="E242">
        <v>8140</v>
      </c>
      <c r="F242">
        <v>41.2</v>
      </c>
      <c r="G242">
        <v>23.4</v>
      </c>
      <c r="H242">
        <v>1.7606838</v>
      </c>
      <c r="I242">
        <v>-0.76068382999999995</v>
      </c>
      <c r="J242">
        <v>0.36222910000000003</v>
      </c>
    </row>
    <row r="243" spans="1:10" x14ac:dyDescent="0.3">
      <c r="A243">
        <v>241</v>
      </c>
      <c r="B243">
        <v>3852</v>
      </c>
      <c r="C243" t="b">
        <v>1</v>
      </c>
      <c r="D243">
        <v>8071</v>
      </c>
      <c r="E243">
        <v>8140</v>
      </c>
      <c r="F243">
        <v>41.2</v>
      </c>
      <c r="G243">
        <v>23.4</v>
      </c>
      <c r="H243">
        <v>1.7606838</v>
      </c>
      <c r="I243">
        <v>-0.76068382999999995</v>
      </c>
      <c r="J243">
        <v>0.36222910000000003</v>
      </c>
    </row>
    <row r="244" spans="1:10" x14ac:dyDescent="0.3">
      <c r="A244">
        <v>242</v>
      </c>
      <c r="B244">
        <v>3867</v>
      </c>
      <c r="C244" t="b">
        <v>1</v>
      </c>
      <c r="D244">
        <v>8077</v>
      </c>
      <c r="E244">
        <v>8146</v>
      </c>
      <c r="F244">
        <v>41.2</v>
      </c>
      <c r="G244">
        <v>23.4</v>
      </c>
      <c r="H244">
        <v>1.7606838</v>
      </c>
      <c r="I244">
        <v>-0.76068382999999995</v>
      </c>
      <c r="J244">
        <v>0.36222910000000003</v>
      </c>
    </row>
    <row r="245" spans="1:10" x14ac:dyDescent="0.3">
      <c r="A245">
        <v>243</v>
      </c>
      <c r="B245">
        <v>3883</v>
      </c>
      <c r="C245" t="b">
        <v>1</v>
      </c>
      <c r="D245">
        <v>8077</v>
      </c>
      <c r="E245">
        <v>8146</v>
      </c>
      <c r="F245">
        <v>40.799999999999997</v>
      </c>
      <c r="G245">
        <v>23.8</v>
      </c>
      <c r="H245">
        <v>1.7142857</v>
      </c>
      <c r="I245">
        <v>-0.71428572999999995</v>
      </c>
      <c r="J245">
        <v>0.36842105000000003</v>
      </c>
    </row>
    <row r="246" spans="1:10" x14ac:dyDescent="0.3">
      <c r="A246">
        <v>244</v>
      </c>
      <c r="B246">
        <v>3899</v>
      </c>
      <c r="C246" t="b">
        <v>1</v>
      </c>
      <c r="D246">
        <v>8071</v>
      </c>
      <c r="E246">
        <v>8140</v>
      </c>
      <c r="F246">
        <v>40.799999999999997</v>
      </c>
      <c r="G246">
        <v>23.8</v>
      </c>
      <c r="H246">
        <v>1.7142857</v>
      </c>
      <c r="I246">
        <v>-0.71428572999999995</v>
      </c>
      <c r="J246">
        <v>0.36842105000000003</v>
      </c>
    </row>
    <row r="247" spans="1:10" x14ac:dyDescent="0.3">
      <c r="A247">
        <v>245</v>
      </c>
      <c r="B247">
        <v>3915</v>
      </c>
      <c r="C247" t="b">
        <v>1</v>
      </c>
      <c r="D247">
        <v>8083</v>
      </c>
      <c r="E247">
        <v>8134</v>
      </c>
      <c r="F247">
        <v>40.799999999999997</v>
      </c>
      <c r="G247">
        <v>23.8</v>
      </c>
      <c r="H247">
        <v>1.7142857</v>
      </c>
      <c r="I247">
        <v>-0.71428572999999995</v>
      </c>
      <c r="J247">
        <v>0.36842105000000003</v>
      </c>
    </row>
    <row r="248" spans="1:10" x14ac:dyDescent="0.3">
      <c r="A248">
        <v>246</v>
      </c>
      <c r="B248">
        <v>3930</v>
      </c>
      <c r="C248" t="b">
        <v>1</v>
      </c>
      <c r="D248">
        <v>8071</v>
      </c>
      <c r="E248">
        <v>8140</v>
      </c>
      <c r="F248">
        <v>40.799999999999997</v>
      </c>
      <c r="G248">
        <v>23.8</v>
      </c>
      <c r="H248">
        <v>1.7142857</v>
      </c>
      <c r="I248">
        <v>-0.71428572999999995</v>
      </c>
      <c r="J248">
        <v>0.36842105000000003</v>
      </c>
    </row>
    <row r="249" spans="1:10" x14ac:dyDescent="0.3">
      <c r="A249">
        <v>247</v>
      </c>
      <c r="B249">
        <v>3946</v>
      </c>
      <c r="C249" t="b">
        <v>1</v>
      </c>
      <c r="D249">
        <v>8077</v>
      </c>
      <c r="E249">
        <v>8129</v>
      </c>
      <c r="F249">
        <v>40.799999999999997</v>
      </c>
      <c r="G249">
        <v>23.8</v>
      </c>
      <c r="H249">
        <v>1.7142857</v>
      </c>
      <c r="I249">
        <v>-0.71428572999999995</v>
      </c>
      <c r="J249">
        <v>0.36842105000000003</v>
      </c>
    </row>
    <row r="250" spans="1:10" x14ac:dyDescent="0.3">
      <c r="A250">
        <v>248</v>
      </c>
      <c r="B250">
        <v>3962</v>
      </c>
      <c r="C250" t="b">
        <v>1</v>
      </c>
      <c r="D250">
        <v>8071</v>
      </c>
      <c r="E250">
        <v>8134</v>
      </c>
      <c r="F250">
        <v>40.4</v>
      </c>
      <c r="G250">
        <v>23.4</v>
      </c>
      <c r="H250">
        <v>1.7264959</v>
      </c>
      <c r="I250">
        <v>-0.72649580000000002</v>
      </c>
      <c r="J250">
        <v>0.36677113</v>
      </c>
    </row>
    <row r="251" spans="1:10" x14ac:dyDescent="0.3">
      <c r="A251">
        <v>249</v>
      </c>
      <c r="B251">
        <v>3978</v>
      </c>
      <c r="C251" t="b">
        <v>1</v>
      </c>
      <c r="D251">
        <v>8077</v>
      </c>
      <c r="E251">
        <v>8140</v>
      </c>
      <c r="F251">
        <v>40</v>
      </c>
      <c r="G251">
        <v>23</v>
      </c>
      <c r="H251">
        <v>1.7391304000000001</v>
      </c>
      <c r="I251">
        <v>-0.73913044000000006</v>
      </c>
      <c r="J251">
        <v>0.36507937000000001</v>
      </c>
    </row>
    <row r="252" spans="1:10" x14ac:dyDescent="0.3">
      <c r="A252">
        <v>250</v>
      </c>
      <c r="B252">
        <v>3994</v>
      </c>
      <c r="C252" t="b">
        <v>1</v>
      </c>
      <c r="D252">
        <v>8083</v>
      </c>
      <c r="E252">
        <v>8146</v>
      </c>
      <c r="F252">
        <v>39.6</v>
      </c>
      <c r="G252">
        <v>23</v>
      </c>
      <c r="H252">
        <v>1.7217389999999999</v>
      </c>
      <c r="I252">
        <v>-0.72173905000000005</v>
      </c>
      <c r="J252">
        <v>0.36741214999999999</v>
      </c>
    </row>
    <row r="253" spans="1:10" x14ac:dyDescent="0.3">
      <c r="A253">
        <v>251</v>
      </c>
      <c r="B253">
        <v>4010</v>
      </c>
      <c r="C253" t="b">
        <v>1</v>
      </c>
      <c r="D253">
        <v>8077</v>
      </c>
      <c r="E253">
        <v>8140</v>
      </c>
      <c r="F253">
        <v>39.200000000000003</v>
      </c>
      <c r="G253">
        <v>23.4</v>
      </c>
      <c r="H253">
        <v>1.6752137</v>
      </c>
      <c r="I253">
        <v>-0.67521374999999995</v>
      </c>
      <c r="J253">
        <v>0.37380192000000001</v>
      </c>
    </row>
    <row r="254" spans="1:10" x14ac:dyDescent="0.3">
      <c r="A254">
        <v>252</v>
      </c>
      <c r="B254">
        <v>4026</v>
      </c>
      <c r="C254" t="b">
        <v>1</v>
      </c>
      <c r="D254">
        <v>8077</v>
      </c>
      <c r="E254">
        <v>8146</v>
      </c>
      <c r="F254">
        <v>38.799999999999997</v>
      </c>
      <c r="G254">
        <v>23.8</v>
      </c>
      <c r="H254">
        <v>1.6302521000000001</v>
      </c>
      <c r="I254">
        <v>-0.63025209999999998</v>
      </c>
      <c r="J254">
        <v>0.38019167999999998</v>
      </c>
    </row>
    <row r="255" spans="1:10" x14ac:dyDescent="0.3">
      <c r="A255">
        <v>253</v>
      </c>
      <c r="B255">
        <v>4042</v>
      </c>
      <c r="C255" t="b">
        <v>1</v>
      </c>
      <c r="D255">
        <v>8077</v>
      </c>
      <c r="E255">
        <v>8146</v>
      </c>
      <c r="F255">
        <v>38.066665999999998</v>
      </c>
      <c r="G255">
        <v>24.6</v>
      </c>
      <c r="H255">
        <v>1.5474254000000001</v>
      </c>
      <c r="I255">
        <v>-0.54742539999999995</v>
      </c>
      <c r="J255">
        <v>0.39255319999999999</v>
      </c>
    </row>
    <row r="256" spans="1:10" x14ac:dyDescent="0.3">
      <c r="A256">
        <v>254</v>
      </c>
      <c r="B256">
        <v>4058</v>
      </c>
      <c r="C256" t="b">
        <v>1</v>
      </c>
      <c r="D256">
        <v>8071</v>
      </c>
      <c r="E256">
        <v>8146</v>
      </c>
      <c r="F256">
        <v>37.333331999999999</v>
      </c>
      <c r="G256">
        <v>25.4</v>
      </c>
      <c r="H256">
        <v>1.4698161999999999</v>
      </c>
      <c r="I256">
        <v>-0.46981624</v>
      </c>
      <c r="J256">
        <v>0.40488842000000003</v>
      </c>
    </row>
    <row r="257" spans="1:10" x14ac:dyDescent="0.3">
      <c r="A257">
        <v>255</v>
      </c>
      <c r="B257">
        <v>4073</v>
      </c>
      <c r="C257" t="b">
        <v>1</v>
      </c>
      <c r="D257">
        <v>8083</v>
      </c>
      <c r="E257">
        <v>8140</v>
      </c>
      <c r="F257">
        <v>36.6</v>
      </c>
      <c r="G257">
        <v>25.8</v>
      </c>
      <c r="H257">
        <v>1.4186046000000001</v>
      </c>
      <c r="I257">
        <v>-0.41860463999999997</v>
      </c>
      <c r="J257">
        <v>0.41346154000000002</v>
      </c>
    </row>
    <row r="258" spans="1:10" x14ac:dyDescent="0.3">
      <c r="A258">
        <v>256</v>
      </c>
      <c r="B258">
        <v>4089</v>
      </c>
      <c r="C258" t="b">
        <v>1</v>
      </c>
      <c r="D258">
        <v>8083</v>
      </c>
      <c r="E258">
        <v>8134</v>
      </c>
      <c r="F258">
        <v>36.6</v>
      </c>
      <c r="G258">
        <v>26.2</v>
      </c>
      <c r="H258">
        <v>1.3969464</v>
      </c>
      <c r="I258">
        <v>-0.39694646</v>
      </c>
      <c r="J258">
        <v>0.41719747000000001</v>
      </c>
    </row>
    <row r="259" spans="1:10" x14ac:dyDescent="0.3">
      <c r="A259">
        <v>257</v>
      </c>
      <c r="B259">
        <v>4105</v>
      </c>
      <c r="C259" t="b">
        <v>1</v>
      </c>
      <c r="D259">
        <v>8083</v>
      </c>
      <c r="E259">
        <v>8134</v>
      </c>
      <c r="F259">
        <v>37</v>
      </c>
      <c r="G259">
        <v>26.2</v>
      </c>
      <c r="H259">
        <v>1.4122136999999999</v>
      </c>
      <c r="I259">
        <v>-0.41221370000000002</v>
      </c>
      <c r="J259">
        <v>0.41455698000000002</v>
      </c>
    </row>
    <row r="260" spans="1:10" x14ac:dyDescent="0.3">
      <c r="A260">
        <v>258</v>
      </c>
      <c r="B260">
        <v>4121</v>
      </c>
      <c r="C260" t="b">
        <v>1</v>
      </c>
      <c r="D260">
        <v>8088</v>
      </c>
      <c r="E260">
        <v>8140</v>
      </c>
      <c r="F260">
        <v>37.4</v>
      </c>
      <c r="G260">
        <v>25.8</v>
      </c>
      <c r="H260">
        <v>1.4496125</v>
      </c>
      <c r="I260">
        <v>-0.44961250000000003</v>
      </c>
      <c r="J260">
        <v>0.40822783000000001</v>
      </c>
    </row>
    <row r="261" spans="1:10" x14ac:dyDescent="0.3">
      <c r="A261">
        <v>259</v>
      </c>
      <c r="B261">
        <v>4137</v>
      </c>
      <c r="C261" t="b">
        <v>1</v>
      </c>
      <c r="D261">
        <v>8088</v>
      </c>
      <c r="E261">
        <v>8134</v>
      </c>
      <c r="F261">
        <v>37.799999999999997</v>
      </c>
      <c r="G261">
        <v>25.4</v>
      </c>
      <c r="H261">
        <v>1.488189</v>
      </c>
      <c r="I261">
        <v>-0.48818897999999999</v>
      </c>
      <c r="J261">
        <v>0.40189873999999998</v>
      </c>
    </row>
    <row r="262" spans="1:10" x14ac:dyDescent="0.3">
      <c r="A262">
        <v>260</v>
      </c>
      <c r="B262">
        <v>4153</v>
      </c>
      <c r="C262" t="b">
        <v>1</v>
      </c>
      <c r="D262">
        <v>8088</v>
      </c>
      <c r="E262">
        <v>8140</v>
      </c>
      <c r="F262">
        <v>38.533332999999999</v>
      </c>
      <c r="G262">
        <v>25</v>
      </c>
      <c r="H262">
        <v>1.5413333</v>
      </c>
      <c r="I262">
        <v>-0.54133330000000002</v>
      </c>
      <c r="J262">
        <v>0.39349422000000001</v>
      </c>
    </row>
    <row r="263" spans="1:10" x14ac:dyDescent="0.3">
      <c r="A263">
        <v>261</v>
      </c>
      <c r="B263">
        <v>4169</v>
      </c>
      <c r="C263" t="b">
        <v>1</v>
      </c>
      <c r="D263">
        <v>8083</v>
      </c>
      <c r="E263">
        <v>8134</v>
      </c>
      <c r="F263">
        <v>39.266666000000001</v>
      </c>
      <c r="G263">
        <v>24.6</v>
      </c>
      <c r="H263">
        <v>1.596206</v>
      </c>
      <c r="I263">
        <v>-0.59620594999999998</v>
      </c>
      <c r="J263">
        <v>0.38517742999999999</v>
      </c>
    </row>
    <row r="264" spans="1:10" x14ac:dyDescent="0.3">
      <c r="A264">
        <v>262</v>
      </c>
      <c r="B264">
        <v>4184</v>
      </c>
      <c r="C264" t="b">
        <v>1</v>
      </c>
      <c r="D264">
        <v>8088</v>
      </c>
      <c r="E264">
        <v>8134</v>
      </c>
      <c r="F264">
        <v>40</v>
      </c>
      <c r="G264">
        <v>24.2</v>
      </c>
      <c r="H264">
        <v>1.6528925000000001</v>
      </c>
      <c r="I264">
        <v>-0.65289253000000003</v>
      </c>
      <c r="J264">
        <v>0.37694707999999999</v>
      </c>
    </row>
    <row r="265" spans="1:10" x14ac:dyDescent="0.3">
      <c r="A265">
        <v>263</v>
      </c>
      <c r="B265">
        <v>4200</v>
      </c>
      <c r="C265" t="b">
        <v>1</v>
      </c>
      <c r="D265">
        <v>8077</v>
      </c>
      <c r="E265">
        <v>8140</v>
      </c>
      <c r="F265">
        <v>41.133335000000002</v>
      </c>
      <c r="G265">
        <v>24.2</v>
      </c>
      <c r="H265">
        <v>1.6997245999999999</v>
      </c>
      <c r="I265">
        <v>-0.69972456000000005</v>
      </c>
      <c r="J265">
        <v>0.37040814999999999</v>
      </c>
    </row>
    <row r="266" spans="1:10" x14ac:dyDescent="0.3">
      <c r="A266">
        <v>264</v>
      </c>
      <c r="B266">
        <v>4216</v>
      </c>
      <c r="C266" t="b">
        <v>1</v>
      </c>
      <c r="D266">
        <v>8065</v>
      </c>
      <c r="E266">
        <v>8146</v>
      </c>
      <c r="F266">
        <v>41.533332999999999</v>
      </c>
      <c r="G266">
        <v>24.6</v>
      </c>
      <c r="H266">
        <v>1.6883469</v>
      </c>
      <c r="I266">
        <v>-0.68834686</v>
      </c>
      <c r="J266">
        <v>0.37197580000000002</v>
      </c>
    </row>
    <row r="267" spans="1:10" x14ac:dyDescent="0.3">
      <c r="A267">
        <v>265</v>
      </c>
      <c r="B267">
        <v>4232</v>
      </c>
      <c r="C267" t="b">
        <v>1</v>
      </c>
      <c r="D267">
        <v>8083</v>
      </c>
      <c r="E267">
        <v>8146</v>
      </c>
      <c r="F267">
        <v>41.933334000000002</v>
      </c>
      <c r="G267">
        <v>24.6</v>
      </c>
      <c r="H267">
        <v>1.704607</v>
      </c>
      <c r="I267">
        <v>-0.70460707</v>
      </c>
      <c r="J267">
        <v>0.36973947000000001</v>
      </c>
    </row>
    <row r="268" spans="1:10" x14ac:dyDescent="0.3">
      <c r="A268">
        <v>266</v>
      </c>
      <c r="B268">
        <v>4248</v>
      </c>
      <c r="C268" t="b">
        <v>1</v>
      </c>
      <c r="D268">
        <v>8077</v>
      </c>
      <c r="E268">
        <v>8146</v>
      </c>
      <c r="F268">
        <v>41.933334000000002</v>
      </c>
      <c r="G268">
        <v>25</v>
      </c>
      <c r="H268">
        <v>1.6773334</v>
      </c>
      <c r="I268">
        <v>-0.67733334999999995</v>
      </c>
      <c r="J268">
        <v>0.37350598000000002</v>
      </c>
    </row>
    <row r="269" spans="1:10" x14ac:dyDescent="0.3">
      <c r="A269">
        <v>267</v>
      </c>
      <c r="B269">
        <v>4263</v>
      </c>
      <c r="C269" t="b">
        <v>1</v>
      </c>
      <c r="D269">
        <v>8088</v>
      </c>
      <c r="E269">
        <v>8140</v>
      </c>
      <c r="F269">
        <v>41.933334000000002</v>
      </c>
      <c r="G269">
        <v>25.4</v>
      </c>
      <c r="H269">
        <v>1.6509187000000001</v>
      </c>
      <c r="I269">
        <v>-0.65091869999999996</v>
      </c>
      <c r="J269">
        <v>0.3772277</v>
      </c>
    </row>
    <row r="270" spans="1:10" x14ac:dyDescent="0.3">
      <c r="A270">
        <v>268</v>
      </c>
      <c r="B270">
        <v>4279</v>
      </c>
      <c r="C270" t="b">
        <v>1</v>
      </c>
      <c r="D270">
        <v>8077</v>
      </c>
      <c r="E270">
        <v>8140</v>
      </c>
      <c r="F270">
        <v>41.933334000000002</v>
      </c>
      <c r="G270">
        <v>25.4</v>
      </c>
      <c r="H270">
        <v>1.6509187000000001</v>
      </c>
      <c r="I270">
        <v>-0.65091869999999996</v>
      </c>
      <c r="J270">
        <v>0.3772277</v>
      </c>
    </row>
    <row r="271" spans="1:10" x14ac:dyDescent="0.3">
      <c r="A271">
        <v>269</v>
      </c>
      <c r="B271">
        <v>4295</v>
      </c>
      <c r="C271" t="b">
        <v>1</v>
      </c>
      <c r="D271">
        <v>8088</v>
      </c>
      <c r="E271">
        <v>8134</v>
      </c>
      <c r="F271">
        <v>42.333331999999999</v>
      </c>
      <c r="G271">
        <v>25</v>
      </c>
      <c r="H271">
        <v>1.6933332999999999</v>
      </c>
      <c r="I271">
        <v>-0.69333327</v>
      </c>
      <c r="J271">
        <v>0.37128717</v>
      </c>
    </row>
    <row r="272" spans="1:10" x14ac:dyDescent="0.3">
      <c r="A272">
        <v>270</v>
      </c>
      <c r="B272">
        <v>4311</v>
      </c>
      <c r="C272" t="b">
        <v>1</v>
      </c>
      <c r="D272">
        <v>8083</v>
      </c>
      <c r="E272">
        <v>8140</v>
      </c>
      <c r="F272">
        <v>42.733333999999999</v>
      </c>
      <c r="G272">
        <v>24.6</v>
      </c>
      <c r="H272">
        <v>1.7371273</v>
      </c>
      <c r="I272">
        <v>-0.73712736000000001</v>
      </c>
      <c r="J272">
        <v>0.36534652000000001</v>
      </c>
    </row>
    <row r="273" spans="1:10" x14ac:dyDescent="0.3">
      <c r="A273">
        <v>271</v>
      </c>
      <c r="B273">
        <v>4327</v>
      </c>
      <c r="C273" t="b">
        <v>1</v>
      </c>
      <c r="D273">
        <v>8094</v>
      </c>
      <c r="E273">
        <v>8134</v>
      </c>
      <c r="F273">
        <v>43.466667000000001</v>
      </c>
      <c r="G273">
        <v>24.2</v>
      </c>
      <c r="H273">
        <v>1.7961431999999999</v>
      </c>
      <c r="I273">
        <v>-0.79614322999999998</v>
      </c>
      <c r="J273">
        <v>0.35763544000000003</v>
      </c>
    </row>
    <row r="274" spans="1:10" x14ac:dyDescent="0.3">
      <c r="A274">
        <v>272</v>
      </c>
      <c r="B274">
        <v>4343</v>
      </c>
      <c r="C274" t="b">
        <v>1</v>
      </c>
      <c r="D274">
        <v>8088</v>
      </c>
      <c r="E274">
        <v>8129</v>
      </c>
      <c r="F274">
        <v>43.8</v>
      </c>
      <c r="G274">
        <v>23.8</v>
      </c>
      <c r="H274">
        <v>1.8403362000000001</v>
      </c>
      <c r="I274">
        <v>-0.84033614000000001</v>
      </c>
      <c r="J274">
        <v>0.35207102000000001</v>
      </c>
    </row>
    <row r="275" spans="1:10" x14ac:dyDescent="0.3">
      <c r="A275">
        <v>273</v>
      </c>
      <c r="B275">
        <v>4359</v>
      </c>
      <c r="C275" t="b">
        <v>1</v>
      </c>
      <c r="D275">
        <v>8071</v>
      </c>
      <c r="E275">
        <v>8129</v>
      </c>
      <c r="F275">
        <v>44.133335000000002</v>
      </c>
      <c r="G275">
        <v>23.4</v>
      </c>
      <c r="H275">
        <v>1.8860399999999999</v>
      </c>
      <c r="I275">
        <v>-0.88604000000000005</v>
      </c>
      <c r="J275">
        <v>0.34649556999999997</v>
      </c>
    </row>
    <row r="276" spans="1:10" x14ac:dyDescent="0.3">
      <c r="A276">
        <v>274</v>
      </c>
      <c r="B276">
        <v>4374</v>
      </c>
      <c r="C276" t="b">
        <v>1</v>
      </c>
      <c r="D276">
        <v>8083</v>
      </c>
      <c r="E276">
        <v>8134</v>
      </c>
      <c r="F276">
        <v>44.133335000000002</v>
      </c>
      <c r="G276">
        <v>23.4</v>
      </c>
      <c r="H276">
        <v>1.8860399999999999</v>
      </c>
      <c r="I276">
        <v>-0.88604000000000005</v>
      </c>
      <c r="J276">
        <v>0.34649556999999997</v>
      </c>
    </row>
    <row r="277" spans="1:10" x14ac:dyDescent="0.3">
      <c r="A277">
        <v>275</v>
      </c>
      <c r="B277">
        <v>4390</v>
      </c>
      <c r="C277" t="b">
        <v>1</v>
      </c>
      <c r="D277">
        <v>8071</v>
      </c>
      <c r="E277">
        <v>8140</v>
      </c>
      <c r="F277">
        <v>43.8</v>
      </c>
      <c r="G277">
        <v>23.4</v>
      </c>
      <c r="H277">
        <v>1.8717948</v>
      </c>
      <c r="I277">
        <v>-0.87179490000000004</v>
      </c>
      <c r="J277">
        <v>0.34821429999999998</v>
      </c>
    </row>
    <row r="278" spans="1:10" x14ac:dyDescent="0.3">
      <c r="A278">
        <v>276</v>
      </c>
      <c r="B278">
        <v>4406</v>
      </c>
      <c r="C278" t="b">
        <v>1</v>
      </c>
      <c r="D278">
        <v>8077</v>
      </c>
      <c r="E278">
        <v>8140</v>
      </c>
      <c r="F278">
        <v>43.066665999999998</v>
      </c>
      <c r="G278">
        <v>23.4</v>
      </c>
      <c r="H278">
        <v>1.8404558</v>
      </c>
      <c r="I278">
        <v>-0.84045583000000001</v>
      </c>
      <c r="J278">
        <v>0.35205615000000001</v>
      </c>
    </row>
    <row r="279" spans="1:10" x14ac:dyDescent="0.3">
      <c r="A279">
        <v>277</v>
      </c>
      <c r="B279">
        <v>4422</v>
      </c>
      <c r="C279" t="b">
        <v>1</v>
      </c>
      <c r="D279">
        <v>8083</v>
      </c>
      <c r="E279">
        <v>8134</v>
      </c>
      <c r="F279">
        <v>42.333331999999999</v>
      </c>
      <c r="G279">
        <v>23.4</v>
      </c>
      <c r="H279">
        <v>1.8091168</v>
      </c>
      <c r="I279">
        <v>-0.80911679999999997</v>
      </c>
      <c r="J279">
        <v>0.35598380000000002</v>
      </c>
    </row>
    <row r="280" spans="1:10" x14ac:dyDescent="0.3">
      <c r="A280">
        <v>278</v>
      </c>
      <c r="B280">
        <v>4438</v>
      </c>
      <c r="C280" t="b">
        <v>1</v>
      </c>
      <c r="D280">
        <v>8077</v>
      </c>
      <c r="E280">
        <v>8146</v>
      </c>
      <c r="F280">
        <v>41.6</v>
      </c>
      <c r="G280">
        <v>23.8</v>
      </c>
      <c r="H280">
        <v>1.7478992</v>
      </c>
      <c r="I280">
        <v>-0.74789919999999999</v>
      </c>
      <c r="J280">
        <v>0.36391440000000003</v>
      </c>
    </row>
    <row r="281" spans="1:10" x14ac:dyDescent="0.3">
      <c r="A281">
        <v>279</v>
      </c>
      <c r="B281">
        <v>4453</v>
      </c>
      <c r="C281" t="b">
        <v>1</v>
      </c>
      <c r="D281">
        <v>8083</v>
      </c>
      <c r="E281">
        <v>8140</v>
      </c>
      <c r="F281">
        <v>41.2</v>
      </c>
      <c r="G281">
        <v>23.8</v>
      </c>
      <c r="H281">
        <v>1.7310926</v>
      </c>
      <c r="I281">
        <v>-0.73109250000000003</v>
      </c>
      <c r="J281">
        <v>0.36615384000000001</v>
      </c>
    </row>
    <row r="282" spans="1:10" x14ac:dyDescent="0.3">
      <c r="A282">
        <v>280</v>
      </c>
      <c r="B282">
        <v>4469</v>
      </c>
      <c r="C282" t="b">
        <v>1</v>
      </c>
      <c r="D282">
        <v>8083</v>
      </c>
      <c r="E282">
        <v>8146</v>
      </c>
      <c r="F282">
        <v>41.2</v>
      </c>
      <c r="G282">
        <v>23.8</v>
      </c>
      <c r="H282">
        <v>1.7310926</v>
      </c>
      <c r="I282">
        <v>-0.73109250000000003</v>
      </c>
      <c r="J282">
        <v>0.36615384000000001</v>
      </c>
    </row>
    <row r="283" spans="1:10" x14ac:dyDescent="0.3">
      <c r="A283">
        <v>281</v>
      </c>
      <c r="B283">
        <v>4485</v>
      </c>
      <c r="C283" t="b">
        <v>1</v>
      </c>
      <c r="D283">
        <v>8088</v>
      </c>
      <c r="E283">
        <v>8134</v>
      </c>
      <c r="F283">
        <v>41.6</v>
      </c>
      <c r="G283">
        <v>23.4</v>
      </c>
      <c r="H283">
        <v>1.7777778</v>
      </c>
      <c r="I283">
        <v>-0.77777772999999994</v>
      </c>
      <c r="J283">
        <v>0.35999998</v>
      </c>
    </row>
    <row r="284" spans="1:10" x14ac:dyDescent="0.3">
      <c r="A284">
        <v>282</v>
      </c>
      <c r="B284">
        <v>4501</v>
      </c>
      <c r="C284" t="b">
        <v>1</v>
      </c>
      <c r="D284">
        <v>8071</v>
      </c>
      <c r="E284">
        <v>8134</v>
      </c>
      <c r="F284">
        <v>42</v>
      </c>
      <c r="G284">
        <v>23</v>
      </c>
      <c r="H284">
        <v>1.826087</v>
      </c>
      <c r="I284">
        <v>-0.82608694000000005</v>
      </c>
      <c r="J284">
        <v>0.35384616000000002</v>
      </c>
    </row>
    <row r="285" spans="1:10" x14ac:dyDescent="0.3">
      <c r="A285">
        <v>283</v>
      </c>
      <c r="B285">
        <v>4517</v>
      </c>
      <c r="C285" t="b">
        <v>1</v>
      </c>
      <c r="D285">
        <v>8077</v>
      </c>
      <c r="E285">
        <v>8134</v>
      </c>
      <c r="F285">
        <v>42.4</v>
      </c>
      <c r="G285">
        <v>22.2</v>
      </c>
      <c r="H285">
        <v>1.90991</v>
      </c>
      <c r="I285">
        <v>-0.90990990000000005</v>
      </c>
      <c r="J285">
        <v>0.34365322999999998</v>
      </c>
    </row>
    <row r="286" spans="1:10" x14ac:dyDescent="0.3">
      <c r="A286">
        <v>284</v>
      </c>
      <c r="B286">
        <v>4533</v>
      </c>
      <c r="C286" t="b">
        <v>1</v>
      </c>
      <c r="D286">
        <v>8071</v>
      </c>
      <c r="E286">
        <v>8134</v>
      </c>
      <c r="F286">
        <v>42</v>
      </c>
      <c r="G286">
        <v>21.8</v>
      </c>
      <c r="H286">
        <v>1.9266056</v>
      </c>
      <c r="I286">
        <v>-0.92660560000000003</v>
      </c>
      <c r="J286">
        <v>0.34169277999999997</v>
      </c>
    </row>
    <row r="287" spans="1:10" x14ac:dyDescent="0.3">
      <c r="A287">
        <v>285</v>
      </c>
      <c r="B287">
        <v>4548</v>
      </c>
      <c r="C287" t="b">
        <v>1</v>
      </c>
      <c r="D287">
        <v>8071</v>
      </c>
      <c r="E287">
        <v>8129</v>
      </c>
      <c r="F287">
        <v>41.2</v>
      </c>
      <c r="G287">
        <v>21.4</v>
      </c>
      <c r="H287">
        <v>1.9252336999999999</v>
      </c>
      <c r="I287">
        <v>-0.92523370000000005</v>
      </c>
      <c r="J287">
        <v>0.34185302000000001</v>
      </c>
    </row>
    <row r="288" spans="1:10" x14ac:dyDescent="0.3">
      <c r="A288">
        <v>286</v>
      </c>
      <c r="B288">
        <v>4564</v>
      </c>
      <c r="C288" t="b">
        <v>1</v>
      </c>
      <c r="D288">
        <v>8077</v>
      </c>
      <c r="E288">
        <v>8134</v>
      </c>
      <c r="F288">
        <v>40.066665999999998</v>
      </c>
      <c r="G288">
        <v>21</v>
      </c>
      <c r="H288">
        <v>1.9079364999999999</v>
      </c>
      <c r="I288">
        <v>-0.90793645000000001</v>
      </c>
      <c r="J288">
        <v>0.34388646</v>
      </c>
    </row>
    <row r="289" spans="1:10" x14ac:dyDescent="0.3">
      <c r="A289">
        <v>287</v>
      </c>
      <c r="B289">
        <v>4580</v>
      </c>
      <c r="C289" t="b">
        <v>1</v>
      </c>
      <c r="D289">
        <v>8077</v>
      </c>
      <c r="E289">
        <v>8146</v>
      </c>
      <c r="F289">
        <v>39.333331999999999</v>
      </c>
      <c r="G289">
        <v>21</v>
      </c>
      <c r="H289">
        <v>1.8730157999999999</v>
      </c>
      <c r="I289">
        <v>-0.87301580000000001</v>
      </c>
      <c r="J289">
        <v>0.3480663</v>
      </c>
    </row>
    <row r="290" spans="1:10" x14ac:dyDescent="0.3">
      <c r="A290">
        <v>288</v>
      </c>
      <c r="B290">
        <v>4596</v>
      </c>
      <c r="C290" t="b">
        <v>1</v>
      </c>
      <c r="D290">
        <v>8077</v>
      </c>
      <c r="E290">
        <v>8140</v>
      </c>
      <c r="F290">
        <v>38.6</v>
      </c>
      <c r="G290">
        <v>21</v>
      </c>
      <c r="H290">
        <v>1.8380951999999999</v>
      </c>
      <c r="I290">
        <v>-0.83809520000000004</v>
      </c>
      <c r="J290">
        <v>0.35234900000000002</v>
      </c>
    </row>
    <row r="291" spans="1:10" x14ac:dyDescent="0.3">
      <c r="A291">
        <v>289</v>
      </c>
      <c r="B291">
        <v>4612</v>
      </c>
      <c r="C291" t="b">
        <v>1</v>
      </c>
      <c r="D291">
        <v>8077</v>
      </c>
      <c r="E291">
        <v>8140</v>
      </c>
      <c r="F291">
        <v>38.200000000000003</v>
      </c>
      <c r="G291">
        <v>21.4</v>
      </c>
      <c r="H291">
        <v>1.7850467999999999</v>
      </c>
      <c r="I291">
        <v>-0.78504680000000004</v>
      </c>
      <c r="J291">
        <v>0.3590604</v>
      </c>
    </row>
    <row r="292" spans="1:10" x14ac:dyDescent="0.3">
      <c r="A292">
        <v>290</v>
      </c>
      <c r="B292">
        <v>4628</v>
      </c>
      <c r="C292" t="b">
        <v>1</v>
      </c>
      <c r="D292">
        <v>8077</v>
      </c>
      <c r="E292">
        <v>8140</v>
      </c>
      <c r="F292">
        <v>37.799999999999997</v>
      </c>
      <c r="G292">
        <v>21.8</v>
      </c>
      <c r="H292">
        <v>1.7339450000000001</v>
      </c>
      <c r="I292">
        <v>-0.73394495000000004</v>
      </c>
      <c r="J292">
        <v>0.36577179999999998</v>
      </c>
    </row>
    <row r="293" spans="1:10" x14ac:dyDescent="0.3">
      <c r="A293">
        <v>291</v>
      </c>
      <c r="B293">
        <v>4643</v>
      </c>
      <c r="C293" t="b">
        <v>1</v>
      </c>
      <c r="D293">
        <v>8077</v>
      </c>
      <c r="E293">
        <v>8146</v>
      </c>
      <c r="F293">
        <v>37.799999999999997</v>
      </c>
      <c r="G293">
        <v>22.2</v>
      </c>
      <c r="H293">
        <v>1.7027026000000001</v>
      </c>
      <c r="I293">
        <v>-0.70270259999999996</v>
      </c>
      <c r="J293">
        <v>0.37</v>
      </c>
    </row>
    <row r="294" spans="1:10" x14ac:dyDescent="0.3">
      <c r="A294">
        <v>292</v>
      </c>
      <c r="B294">
        <v>4659</v>
      </c>
      <c r="C294" t="b">
        <v>1</v>
      </c>
      <c r="D294">
        <v>8077</v>
      </c>
      <c r="E294">
        <v>8140</v>
      </c>
      <c r="F294">
        <v>37.799999999999997</v>
      </c>
      <c r="G294">
        <v>22.6</v>
      </c>
      <c r="H294">
        <v>1.6725663</v>
      </c>
      <c r="I294">
        <v>-0.67256629999999995</v>
      </c>
      <c r="J294">
        <v>0.37417218000000002</v>
      </c>
    </row>
    <row r="295" spans="1:10" x14ac:dyDescent="0.3">
      <c r="A295">
        <v>293</v>
      </c>
      <c r="B295">
        <v>4675</v>
      </c>
      <c r="C295" t="b">
        <v>1</v>
      </c>
      <c r="D295">
        <v>8071</v>
      </c>
      <c r="E295">
        <v>8140</v>
      </c>
      <c r="F295">
        <v>37.799999999999997</v>
      </c>
      <c r="G295">
        <v>22.6</v>
      </c>
      <c r="H295">
        <v>1.6725663</v>
      </c>
      <c r="I295">
        <v>-0.67256629999999995</v>
      </c>
      <c r="J295">
        <v>0.37417218000000002</v>
      </c>
    </row>
    <row r="296" spans="1:10" x14ac:dyDescent="0.3">
      <c r="A296">
        <v>294</v>
      </c>
      <c r="B296">
        <v>4691</v>
      </c>
      <c r="C296" t="b">
        <v>1</v>
      </c>
      <c r="D296">
        <v>8065</v>
      </c>
      <c r="E296">
        <v>8146</v>
      </c>
      <c r="F296">
        <v>37.799999999999997</v>
      </c>
      <c r="G296">
        <v>22.6</v>
      </c>
      <c r="H296">
        <v>1.6725663</v>
      </c>
      <c r="I296">
        <v>-0.67256629999999995</v>
      </c>
      <c r="J296">
        <v>0.37417218000000002</v>
      </c>
    </row>
    <row r="297" spans="1:10" x14ac:dyDescent="0.3">
      <c r="A297">
        <v>295</v>
      </c>
      <c r="B297">
        <v>4706</v>
      </c>
      <c r="C297" t="b">
        <v>1</v>
      </c>
      <c r="D297">
        <v>8077</v>
      </c>
      <c r="E297">
        <v>8146</v>
      </c>
      <c r="F297">
        <v>37.4</v>
      </c>
      <c r="G297">
        <v>23</v>
      </c>
      <c r="H297">
        <v>1.6260870999999999</v>
      </c>
      <c r="I297">
        <v>-0.62608699999999995</v>
      </c>
      <c r="J297">
        <v>0.38079469999999999</v>
      </c>
    </row>
    <row r="298" spans="1:10" x14ac:dyDescent="0.3">
      <c r="A298">
        <v>296</v>
      </c>
      <c r="B298">
        <v>4722</v>
      </c>
      <c r="C298" t="b">
        <v>1</v>
      </c>
      <c r="D298">
        <v>8083</v>
      </c>
      <c r="E298">
        <v>8140</v>
      </c>
      <c r="F298">
        <v>37</v>
      </c>
      <c r="G298">
        <v>23</v>
      </c>
      <c r="H298">
        <v>1.6086955999999999</v>
      </c>
      <c r="I298">
        <v>-0.6086956</v>
      </c>
      <c r="J298">
        <v>0.38333333000000003</v>
      </c>
    </row>
    <row r="299" spans="1:10" x14ac:dyDescent="0.3">
      <c r="A299">
        <v>297</v>
      </c>
      <c r="B299">
        <v>4738</v>
      </c>
      <c r="C299" t="b">
        <v>1</v>
      </c>
      <c r="D299">
        <v>8088</v>
      </c>
      <c r="E299">
        <v>8146</v>
      </c>
      <c r="F299">
        <v>36.6</v>
      </c>
      <c r="G299">
        <v>23.4</v>
      </c>
      <c r="H299">
        <v>1.5641025</v>
      </c>
      <c r="I299">
        <v>-0.56410252999999999</v>
      </c>
      <c r="J299">
        <v>0.39</v>
      </c>
    </row>
    <row r="300" spans="1:10" x14ac:dyDescent="0.3">
      <c r="A300">
        <v>298</v>
      </c>
      <c r="B300">
        <v>4754</v>
      </c>
      <c r="C300" t="b">
        <v>1</v>
      </c>
      <c r="D300">
        <v>8077</v>
      </c>
      <c r="E300">
        <v>8146</v>
      </c>
      <c r="F300">
        <v>36.200000000000003</v>
      </c>
      <c r="G300">
        <v>24.2</v>
      </c>
      <c r="H300">
        <v>1.4958677</v>
      </c>
      <c r="I300">
        <v>-0.49586775999999999</v>
      </c>
      <c r="J300">
        <v>0.40066224</v>
      </c>
    </row>
    <row r="301" spans="1:10" x14ac:dyDescent="0.3">
      <c r="A301">
        <v>299</v>
      </c>
      <c r="B301">
        <v>4770</v>
      </c>
      <c r="C301" t="b">
        <v>1</v>
      </c>
      <c r="D301">
        <v>8077</v>
      </c>
      <c r="E301">
        <v>8140</v>
      </c>
      <c r="F301">
        <v>36.200000000000003</v>
      </c>
      <c r="G301">
        <v>25</v>
      </c>
      <c r="H301">
        <v>1.4480001</v>
      </c>
      <c r="I301">
        <v>-0.44800003999999999</v>
      </c>
      <c r="J301">
        <v>0.40849674000000002</v>
      </c>
    </row>
    <row r="302" spans="1:10" x14ac:dyDescent="0.3">
      <c r="A302">
        <v>300</v>
      </c>
      <c r="B302">
        <v>4786</v>
      </c>
      <c r="C302" t="b">
        <v>1</v>
      </c>
      <c r="D302">
        <v>8083</v>
      </c>
      <c r="E302">
        <v>8140</v>
      </c>
      <c r="F302">
        <v>37</v>
      </c>
      <c r="G302">
        <v>25.4</v>
      </c>
      <c r="H302">
        <v>1.4566929</v>
      </c>
      <c r="I302">
        <v>-0.45669293</v>
      </c>
      <c r="J302">
        <v>0.40705127000000002</v>
      </c>
    </row>
    <row r="303" spans="1:10" x14ac:dyDescent="0.3">
      <c r="A303">
        <v>301</v>
      </c>
      <c r="B303">
        <v>4802</v>
      </c>
      <c r="C303" t="b">
        <v>1</v>
      </c>
      <c r="D303">
        <v>8077</v>
      </c>
      <c r="E303">
        <v>8146</v>
      </c>
      <c r="F303">
        <v>37.4</v>
      </c>
      <c r="G303">
        <v>26.2</v>
      </c>
      <c r="H303">
        <v>1.4274808999999999</v>
      </c>
      <c r="I303">
        <v>-0.42748093999999998</v>
      </c>
      <c r="J303">
        <v>0.41194969999999997</v>
      </c>
    </row>
    <row r="304" spans="1:10" x14ac:dyDescent="0.3">
      <c r="A304">
        <v>302</v>
      </c>
      <c r="B304">
        <v>4818</v>
      </c>
      <c r="C304" t="b">
        <v>1</v>
      </c>
      <c r="D304">
        <v>8077</v>
      </c>
      <c r="E304">
        <v>8140</v>
      </c>
      <c r="F304">
        <v>37.4</v>
      </c>
      <c r="G304">
        <v>26.6</v>
      </c>
      <c r="H304">
        <v>1.406015</v>
      </c>
      <c r="I304">
        <v>-0.40601506999999998</v>
      </c>
      <c r="J304">
        <v>0.41562500000000002</v>
      </c>
    </row>
    <row r="305" spans="1:10" x14ac:dyDescent="0.3">
      <c r="A305">
        <v>303</v>
      </c>
      <c r="B305">
        <v>4833</v>
      </c>
      <c r="C305" t="b">
        <v>1</v>
      </c>
      <c r="D305">
        <v>8083</v>
      </c>
      <c r="E305">
        <v>8140</v>
      </c>
      <c r="F305">
        <v>37.4</v>
      </c>
      <c r="G305">
        <v>27</v>
      </c>
      <c r="H305">
        <v>1.3851852</v>
      </c>
      <c r="I305">
        <v>-0.38518523999999998</v>
      </c>
      <c r="J305">
        <v>0.41925466</v>
      </c>
    </row>
    <row r="306" spans="1:10" x14ac:dyDescent="0.3">
      <c r="A306">
        <v>304</v>
      </c>
      <c r="B306">
        <v>4849</v>
      </c>
      <c r="C306" t="b">
        <v>1</v>
      </c>
      <c r="D306">
        <v>8071</v>
      </c>
      <c r="E306">
        <v>8146</v>
      </c>
      <c r="F306">
        <v>37.4</v>
      </c>
      <c r="G306">
        <v>27</v>
      </c>
      <c r="H306">
        <v>1.3851852</v>
      </c>
      <c r="I306">
        <v>-0.38518523999999998</v>
      </c>
      <c r="J306">
        <v>0.41925466</v>
      </c>
    </row>
    <row r="307" spans="1:10" x14ac:dyDescent="0.3">
      <c r="A307">
        <v>305</v>
      </c>
      <c r="B307">
        <v>4865</v>
      </c>
      <c r="C307" t="b">
        <v>1</v>
      </c>
      <c r="D307">
        <v>8071</v>
      </c>
      <c r="E307">
        <v>8146</v>
      </c>
      <c r="F307">
        <v>37.4</v>
      </c>
      <c r="G307">
        <v>27.4</v>
      </c>
      <c r="H307">
        <v>1.3649635</v>
      </c>
      <c r="I307">
        <v>-0.3649636</v>
      </c>
      <c r="J307">
        <v>0.42283949999999998</v>
      </c>
    </row>
    <row r="308" spans="1:10" x14ac:dyDescent="0.3">
      <c r="A308">
        <v>306</v>
      </c>
      <c r="B308">
        <v>4881</v>
      </c>
      <c r="C308" t="b">
        <v>1</v>
      </c>
      <c r="D308">
        <v>8077</v>
      </c>
      <c r="E308">
        <v>8146</v>
      </c>
      <c r="F308">
        <v>37.4</v>
      </c>
      <c r="G308">
        <v>27.8</v>
      </c>
      <c r="H308">
        <v>1.3453238000000001</v>
      </c>
      <c r="I308">
        <v>-0.34532383</v>
      </c>
      <c r="J308">
        <v>0.42638037000000001</v>
      </c>
    </row>
    <row r="309" spans="1:10" x14ac:dyDescent="0.3">
      <c r="A309">
        <v>307</v>
      </c>
      <c r="B309">
        <v>4897</v>
      </c>
      <c r="C309" t="b">
        <v>1</v>
      </c>
      <c r="D309">
        <v>8083</v>
      </c>
      <c r="E309">
        <v>8134</v>
      </c>
      <c r="F309">
        <v>37.4</v>
      </c>
      <c r="G309">
        <v>28.2</v>
      </c>
      <c r="H309">
        <v>1.3262411000000001</v>
      </c>
      <c r="I309">
        <v>-0.32624117000000002</v>
      </c>
      <c r="J309">
        <v>0.42987803000000002</v>
      </c>
    </row>
    <row r="310" spans="1:10" x14ac:dyDescent="0.3">
      <c r="A310">
        <v>308</v>
      </c>
      <c r="B310">
        <v>4913</v>
      </c>
      <c r="C310" t="b">
        <v>1</v>
      </c>
      <c r="D310">
        <v>8088</v>
      </c>
      <c r="E310">
        <v>8129</v>
      </c>
      <c r="F310">
        <v>37.4</v>
      </c>
      <c r="G310">
        <v>28.6</v>
      </c>
      <c r="H310">
        <v>1.3076923</v>
      </c>
      <c r="I310">
        <v>-0.30769235</v>
      </c>
      <c r="J310">
        <v>0.43333334000000001</v>
      </c>
    </row>
    <row r="311" spans="1:10" x14ac:dyDescent="0.3">
      <c r="A311">
        <v>309</v>
      </c>
      <c r="B311">
        <v>4929</v>
      </c>
      <c r="C311" t="b">
        <v>1</v>
      </c>
      <c r="D311">
        <v>8077</v>
      </c>
      <c r="E311">
        <v>8134</v>
      </c>
      <c r="F311">
        <v>37.4</v>
      </c>
      <c r="G311">
        <v>28.2</v>
      </c>
      <c r="H311">
        <v>1.3262411000000001</v>
      </c>
      <c r="I311">
        <v>-0.32624117000000002</v>
      </c>
      <c r="J311">
        <v>0.42987803000000002</v>
      </c>
    </row>
    <row r="312" spans="1:10" x14ac:dyDescent="0.3">
      <c r="A312">
        <v>310</v>
      </c>
      <c r="B312">
        <v>4945</v>
      </c>
      <c r="C312" t="b">
        <v>1</v>
      </c>
      <c r="D312">
        <v>8088</v>
      </c>
      <c r="E312">
        <v>8134</v>
      </c>
      <c r="F312">
        <v>37.799999999999997</v>
      </c>
      <c r="G312">
        <v>27.4</v>
      </c>
      <c r="H312">
        <v>1.379562</v>
      </c>
      <c r="I312">
        <v>-0.37956202</v>
      </c>
      <c r="J312">
        <v>0.42024539999999999</v>
      </c>
    </row>
    <row r="313" spans="1:10" x14ac:dyDescent="0.3">
      <c r="A313">
        <v>311</v>
      </c>
      <c r="B313">
        <v>4961</v>
      </c>
      <c r="C313" t="b">
        <v>1</v>
      </c>
      <c r="D313">
        <v>8083</v>
      </c>
      <c r="E313">
        <v>8134</v>
      </c>
      <c r="F313">
        <v>38.200000000000003</v>
      </c>
      <c r="G313">
        <v>27</v>
      </c>
      <c r="H313">
        <v>1.4148148</v>
      </c>
      <c r="I313">
        <v>-0.41481483000000002</v>
      </c>
      <c r="J313">
        <v>0.41411045000000002</v>
      </c>
    </row>
    <row r="314" spans="1:10" x14ac:dyDescent="0.3">
      <c r="A314">
        <v>312</v>
      </c>
      <c r="B314">
        <v>4976</v>
      </c>
      <c r="C314" t="b">
        <v>1</v>
      </c>
      <c r="D314">
        <v>8083</v>
      </c>
      <c r="E314">
        <v>8140</v>
      </c>
      <c r="F314">
        <v>38.6</v>
      </c>
      <c r="G314">
        <v>26.2</v>
      </c>
      <c r="H314">
        <v>1.4732822999999999</v>
      </c>
      <c r="I314">
        <v>-0.47328234000000002</v>
      </c>
      <c r="J314">
        <v>0.40432098999999999</v>
      </c>
    </row>
    <row r="315" spans="1:10" x14ac:dyDescent="0.3">
      <c r="A315">
        <v>313</v>
      </c>
      <c r="B315">
        <v>4992</v>
      </c>
      <c r="C315" t="b">
        <v>1</v>
      </c>
      <c r="D315">
        <v>8088</v>
      </c>
      <c r="E315">
        <v>8140</v>
      </c>
      <c r="F315">
        <v>39</v>
      </c>
      <c r="G315">
        <v>25.4</v>
      </c>
      <c r="H315">
        <v>1.535433</v>
      </c>
      <c r="I315">
        <v>-0.5354331</v>
      </c>
      <c r="J315">
        <v>0.39440992000000002</v>
      </c>
    </row>
    <row r="316" spans="1:10" x14ac:dyDescent="0.3">
      <c r="A316">
        <v>314</v>
      </c>
      <c r="B316">
        <v>5008</v>
      </c>
      <c r="C316" t="b">
        <v>1</v>
      </c>
      <c r="D316">
        <v>8077</v>
      </c>
      <c r="E316">
        <v>8146</v>
      </c>
      <c r="F316">
        <v>39.4</v>
      </c>
      <c r="G316">
        <v>25</v>
      </c>
      <c r="H316">
        <v>1.5760000999999999</v>
      </c>
      <c r="I316">
        <v>-0.57600003</v>
      </c>
      <c r="J316">
        <v>0.38819875999999998</v>
      </c>
    </row>
    <row r="317" spans="1:10" x14ac:dyDescent="0.3">
      <c r="A317">
        <v>315</v>
      </c>
      <c r="B317">
        <v>5024</v>
      </c>
      <c r="C317" t="b">
        <v>1</v>
      </c>
      <c r="D317">
        <v>8083</v>
      </c>
      <c r="E317">
        <v>8146</v>
      </c>
      <c r="F317">
        <v>39.4</v>
      </c>
      <c r="G317">
        <v>25</v>
      </c>
      <c r="H317">
        <v>1.5760000999999999</v>
      </c>
      <c r="I317">
        <v>-0.57600003</v>
      </c>
      <c r="J317">
        <v>0.38819875999999998</v>
      </c>
    </row>
    <row r="318" spans="1:10" x14ac:dyDescent="0.3">
      <c r="A318">
        <v>316</v>
      </c>
      <c r="B318">
        <v>5040</v>
      </c>
      <c r="C318" t="b">
        <v>1</v>
      </c>
      <c r="D318">
        <v>8077</v>
      </c>
      <c r="E318">
        <v>8146</v>
      </c>
      <c r="F318">
        <v>39.799999999999997</v>
      </c>
      <c r="G318">
        <v>25</v>
      </c>
      <c r="H318">
        <v>1.5920000000000001</v>
      </c>
      <c r="I318">
        <v>-0.59199995000000005</v>
      </c>
      <c r="J318">
        <v>0.38580245000000002</v>
      </c>
    </row>
    <row r="319" spans="1:10" x14ac:dyDescent="0.3">
      <c r="A319">
        <v>317</v>
      </c>
      <c r="B319">
        <v>5055</v>
      </c>
      <c r="C319" t="b">
        <v>1</v>
      </c>
      <c r="D319">
        <v>8071</v>
      </c>
      <c r="E319">
        <v>8146</v>
      </c>
      <c r="F319">
        <v>39.799999999999997</v>
      </c>
      <c r="G319">
        <v>25.4</v>
      </c>
      <c r="H319">
        <v>1.5669291000000001</v>
      </c>
      <c r="I319">
        <v>-0.56692909999999996</v>
      </c>
      <c r="J319">
        <v>0.38957056000000001</v>
      </c>
    </row>
    <row r="320" spans="1:10" x14ac:dyDescent="0.3">
      <c r="A320">
        <v>318</v>
      </c>
      <c r="B320">
        <v>5072</v>
      </c>
      <c r="C320" t="b">
        <v>1</v>
      </c>
      <c r="D320">
        <v>8077</v>
      </c>
      <c r="E320">
        <v>8152</v>
      </c>
      <c r="F320">
        <v>39.799999999999997</v>
      </c>
      <c r="G320">
        <v>25.8</v>
      </c>
      <c r="H320">
        <v>1.5426356999999999</v>
      </c>
      <c r="I320">
        <v>-0.54263570000000005</v>
      </c>
      <c r="J320">
        <v>0.3932927</v>
      </c>
    </row>
    <row r="321" spans="1:10" x14ac:dyDescent="0.3">
      <c r="A321">
        <v>319</v>
      </c>
      <c r="B321">
        <v>5087</v>
      </c>
      <c r="C321" t="b">
        <v>1</v>
      </c>
      <c r="D321">
        <v>8077</v>
      </c>
      <c r="E321">
        <v>8134</v>
      </c>
      <c r="F321">
        <v>39.799999999999997</v>
      </c>
      <c r="G321">
        <v>26.2</v>
      </c>
      <c r="H321">
        <v>1.5190839</v>
      </c>
      <c r="I321">
        <v>-0.51908390000000004</v>
      </c>
      <c r="J321">
        <v>0.39696969999999998</v>
      </c>
    </row>
    <row r="322" spans="1:10" x14ac:dyDescent="0.3">
      <c r="A322">
        <v>320</v>
      </c>
      <c r="B322">
        <v>5103</v>
      </c>
      <c r="C322" t="b">
        <v>1</v>
      </c>
      <c r="D322">
        <v>8065</v>
      </c>
      <c r="E322">
        <v>8134</v>
      </c>
      <c r="F322">
        <v>39.799999999999997</v>
      </c>
      <c r="G322">
        <v>26.2</v>
      </c>
      <c r="H322">
        <v>1.5190839</v>
      </c>
      <c r="I322">
        <v>-0.51908390000000004</v>
      </c>
      <c r="J322">
        <v>0.39696969999999998</v>
      </c>
    </row>
    <row r="323" spans="1:10" x14ac:dyDescent="0.3">
      <c r="A323">
        <v>321</v>
      </c>
      <c r="B323">
        <v>5119</v>
      </c>
      <c r="C323" t="b">
        <v>1</v>
      </c>
      <c r="D323">
        <v>8065</v>
      </c>
      <c r="E323">
        <v>8134</v>
      </c>
      <c r="F323">
        <v>39.4</v>
      </c>
      <c r="G323">
        <v>25.4</v>
      </c>
      <c r="H323">
        <v>1.5511812</v>
      </c>
      <c r="I323">
        <v>-0.55118120000000004</v>
      </c>
      <c r="J323">
        <v>0.39197527999999998</v>
      </c>
    </row>
    <row r="324" spans="1:10" x14ac:dyDescent="0.3">
      <c r="A324">
        <v>322</v>
      </c>
      <c r="B324">
        <v>5135</v>
      </c>
      <c r="C324" t="b">
        <v>1</v>
      </c>
      <c r="D324">
        <v>8071</v>
      </c>
      <c r="E324">
        <v>8134</v>
      </c>
      <c r="F324">
        <v>39</v>
      </c>
      <c r="G324">
        <v>24.6</v>
      </c>
      <c r="H324">
        <v>1.5853657999999999</v>
      </c>
      <c r="I324">
        <v>-0.58536582999999998</v>
      </c>
      <c r="J324">
        <v>0.38679247999999999</v>
      </c>
    </row>
    <row r="325" spans="1:10" x14ac:dyDescent="0.3">
      <c r="A325">
        <v>323</v>
      </c>
      <c r="B325">
        <v>5151</v>
      </c>
      <c r="C325" t="b">
        <v>1</v>
      </c>
      <c r="D325">
        <v>8083</v>
      </c>
      <c r="E325">
        <v>8134</v>
      </c>
      <c r="F325">
        <v>38.6</v>
      </c>
      <c r="G325">
        <v>23.8</v>
      </c>
      <c r="H325">
        <v>1.6218486999999999</v>
      </c>
      <c r="I325">
        <v>-0.62184870000000003</v>
      </c>
      <c r="J325">
        <v>0.38141027</v>
      </c>
    </row>
    <row r="326" spans="1:10" x14ac:dyDescent="0.3">
      <c r="A326">
        <v>324</v>
      </c>
      <c r="B326">
        <v>5167</v>
      </c>
      <c r="C326" t="b">
        <v>1</v>
      </c>
      <c r="D326">
        <v>8083</v>
      </c>
      <c r="E326">
        <v>8134</v>
      </c>
      <c r="F326">
        <v>38.200000000000003</v>
      </c>
      <c r="G326">
        <v>23.8</v>
      </c>
      <c r="H326">
        <v>1.6050420999999999</v>
      </c>
      <c r="I326">
        <v>-0.60504210000000003</v>
      </c>
      <c r="J326">
        <v>0.38387095999999998</v>
      </c>
    </row>
    <row r="327" spans="1:10" x14ac:dyDescent="0.3">
      <c r="A327">
        <v>325</v>
      </c>
      <c r="B327">
        <v>5183</v>
      </c>
      <c r="C327" t="b">
        <v>1</v>
      </c>
      <c r="D327">
        <v>8071</v>
      </c>
      <c r="E327">
        <v>8134</v>
      </c>
      <c r="F327">
        <v>37.4</v>
      </c>
      <c r="G327">
        <v>23.8</v>
      </c>
      <c r="H327">
        <v>1.5714287</v>
      </c>
      <c r="I327">
        <v>-0.57142866000000003</v>
      </c>
      <c r="J327">
        <v>0.38888887</v>
      </c>
    </row>
    <row r="328" spans="1:10" x14ac:dyDescent="0.3">
      <c r="A328">
        <v>326</v>
      </c>
      <c r="B328">
        <v>5199</v>
      </c>
      <c r="C328" t="b">
        <v>1</v>
      </c>
      <c r="D328">
        <v>8083</v>
      </c>
      <c r="E328">
        <v>8134</v>
      </c>
      <c r="F328">
        <v>37.4</v>
      </c>
      <c r="G328">
        <v>23.8</v>
      </c>
      <c r="H328">
        <v>1.5714287</v>
      </c>
      <c r="I328">
        <v>-0.57142866000000003</v>
      </c>
      <c r="J328">
        <v>0.38888887</v>
      </c>
    </row>
    <row r="329" spans="1:10" x14ac:dyDescent="0.3">
      <c r="A329">
        <v>327</v>
      </c>
      <c r="B329">
        <v>5215</v>
      </c>
      <c r="C329" t="b">
        <v>1</v>
      </c>
      <c r="D329">
        <v>8094</v>
      </c>
      <c r="E329">
        <v>8134</v>
      </c>
      <c r="F329">
        <v>37.4</v>
      </c>
      <c r="G329">
        <v>23.8</v>
      </c>
      <c r="H329">
        <v>1.5714287</v>
      </c>
      <c r="I329">
        <v>-0.57142866000000003</v>
      </c>
      <c r="J329">
        <v>0.38888887</v>
      </c>
    </row>
    <row r="330" spans="1:10" x14ac:dyDescent="0.3">
      <c r="A330">
        <v>328</v>
      </c>
      <c r="B330">
        <v>5230</v>
      </c>
      <c r="C330" t="b">
        <v>1</v>
      </c>
      <c r="D330">
        <v>8071</v>
      </c>
      <c r="E330">
        <v>8140</v>
      </c>
      <c r="F330">
        <v>37.4</v>
      </c>
      <c r="G330">
        <v>23.8</v>
      </c>
      <c r="H330">
        <v>1.5714287</v>
      </c>
      <c r="I330">
        <v>-0.57142866000000003</v>
      </c>
      <c r="J330">
        <v>0.38888887</v>
      </c>
    </row>
    <row r="331" spans="1:10" x14ac:dyDescent="0.3">
      <c r="A331">
        <v>329</v>
      </c>
      <c r="B331">
        <v>5246</v>
      </c>
      <c r="C331" t="b">
        <v>1</v>
      </c>
      <c r="D331">
        <v>8071</v>
      </c>
      <c r="E331">
        <v>8134</v>
      </c>
      <c r="F331">
        <v>36.6</v>
      </c>
      <c r="G331">
        <v>23.4</v>
      </c>
      <c r="H331">
        <v>1.5641025</v>
      </c>
      <c r="I331">
        <v>-0.56410252999999999</v>
      </c>
      <c r="J331">
        <v>0.39</v>
      </c>
    </row>
    <row r="332" spans="1:10" x14ac:dyDescent="0.3">
      <c r="A332">
        <v>330</v>
      </c>
      <c r="B332">
        <v>5262</v>
      </c>
      <c r="C332" t="b">
        <v>1</v>
      </c>
      <c r="D332">
        <v>8077</v>
      </c>
      <c r="E332">
        <v>8140</v>
      </c>
      <c r="F332">
        <v>36.200000000000003</v>
      </c>
      <c r="G332">
        <v>23</v>
      </c>
      <c r="H332">
        <v>1.5739131</v>
      </c>
      <c r="I332">
        <v>-0.57391309999999995</v>
      </c>
      <c r="J332">
        <v>0.38851350000000001</v>
      </c>
    </row>
    <row r="333" spans="1:10" x14ac:dyDescent="0.3">
      <c r="A333">
        <v>331</v>
      </c>
      <c r="B333">
        <v>5278</v>
      </c>
      <c r="C333" t="b">
        <v>1</v>
      </c>
      <c r="D333">
        <v>8077</v>
      </c>
      <c r="E333">
        <v>8134</v>
      </c>
      <c r="F333">
        <v>35.799999999999997</v>
      </c>
      <c r="G333">
        <v>22.2</v>
      </c>
      <c r="H333">
        <v>1.6126125</v>
      </c>
      <c r="I333">
        <v>-0.61261255000000003</v>
      </c>
      <c r="J333">
        <v>0.38275864999999998</v>
      </c>
    </row>
    <row r="334" spans="1:10" x14ac:dyDescent="0.3">
      <c r="A334">
        <v>332</v>
      </c>
      <c r="B334">
        <v>5293</v>
      </c>
      <c r="C334" t="b">
        <v>1</v>
      </c>
      <c r="D334">
        <v>8077</v>
      </c>
      <c r="E334">
        <v>8140</v>
      </c>
      <c r="F334">
        <v>35.799999999999997</v>
      </c>
      <c r="G334">
        <v>21.8</v>
      </c>
      <c r="H334">
        <v>1.6422019000000001</v>
      </c>
      <c r="I334">
        <v>-0.64220184000000002</v>
      </c>
      <c r="J334">
        <v>0.37847219999999998</v>
      </c>
    </row>
    <row r="335" spans="1:10" x14ac:dyDescent="0.3">
      <c r="A335">
        <v>333</v>
      </c>
      <c r="B335">
        <v>5309</v>
      </c>
      <c r="C335" t="b">
        <v>1</v>
      </c>
      <c r="D335">
        <v>8077</v>
      </c>
      <c r="E335">
        <v>8140</v>
      </c>
      <c r="F335">
        <v>35.799999999999997</v>
      </c>
      <c r="G335">
        <v>21.4</v>
      </c>
      <c r="H335">
        <v>1.6728972</v>
      </c>
      <c r="I335">
        <v>-0.67289719999999997</v>
      </c>
      <c r="J335">
        <v>0.37412590000000001</v>
      </c>
    </row>
    <row r="336" spans="1:10" x14ac:dyDescent="0.3">
      <c r="A336">
        <v>334</v>
      </c>
      <c r="B336">
        <v>5325</v>
      </c>
      <c r="C336" t="b">
        <v>1</v>
      </c>
      <c r="D336">
        <v>8088</v>
      </c>
      <c r="E336">
        <v>8140</v>
      </c>
      <c r="F336">
        <v>35.799999999999997</v>
      </c>
      <c r="G336">
        <v>21</v>
      </c>
      <c r="H336">
        <v>1.7047619000000001</v>
      </c>
      <c r="I336">
        <v>-0.70476185999999996</v>
      </c>
      <c r="J336">
        <v>0.3697183</v>
      </c>
    </row>
    <row r="337" spans="1:10" x14ac:dyDescent="0.3">
      <c r="A337">
        <v>335</v>
      </c>
      <c r="B337">
        <v>5342</v>
      </c>
      <c r="C337" t="b">
        <v>1</v>
      </c>
      <c r="D337">
        <v>8077</v>
      </c>
      <c r="E337">
        <v>8140</v>
      </c>
      <c r="F337">
        <v>35.799999999999997</v>
      </c>
      <c r="G337">
        <v>20.6</v>
      </c>
      <c r="H337">
        <v>1.7378640000000001</v>
      </c>
      <c r="I337">
        <v>-0.73786399999999996</v>
      </c>
      <c r="J337">
        <v>0.36524823000000001</v>
      </c>
    </row>
    <row r="338" spans="1:10" x14ac:dyDescent="0.3">
      <c r="A338">
        <v>336</v>
      </c>
      <c r="B338">
        <v>5357</v>
      </c>
      <c r="C338" t="b">
        <v>1</v>
      </c>
      <c r="D338">
        <v>8083</v>
      </c>
      <c r="E338">
        <v>8140</v>
      </c>
      <c r="F338">
        <v>36.200000000000003</v>
      </c>
      <c r="G338">
        <v>21</v>
      </c>
      <c r="H338">
        <v>1.7238096000000001</v>
      </c>
      <c r="I338">
        <v>-0.72380953999999997</v>
      </c>
      <c r="J338">
        <v>0.36713287</v>
      </c>
    </row>
    <row r="339" spans="1:10" x14ac:dyDescent="0.3">
      <c r="A339">
        <v>337</v>
      </c>
      <c r="B339">
        <v>5373</v>
      </c>
      <c r="C339" t="b">
        <v>1</v>
      </c>
      <c r="D339">
        <v>8077</v>
      </c>
      <c r="E339">
        <v>8140</v>
      </c>
      <c r="F339">
        <v>36.6</v>
      </c>
      <c r="G339">
        <v>21.4</v>
      </c>
      <c r="H339">
        <v>1.7102803</v>
      </c>
      <c r="I339">
        <v>-0.71028036000000006</v>
      </c>
      <c r="J339">
        <v>0.3689655</v>
      </c>
    </row>
    <row r="340" spans="1:10" x14ac:dyDescent="0.3">
      <c r="A340">
        <v>338</v>
      </c>
      <c r="B340">
        <v>5389</v>
      </c>
      <c r="C340" t="b">
        <v>1</v>
      </c>
      <c r="D340">
        <v>8083</v>
      </c>
      <c r="E340">
        <v>8140</v>
      </c>
      <c r="F340">
        <v>37.4</v>
      </c>
      <c r="G340">
        <v>21.8</v>
      </c>
      <c r="H340">
        <v>1.7155963999999999</v>
      </c>
      <c r="I340">
        <v>-0.71559644</v>
      </c>
      <c r="J340">
        <v>0.36824321999999998</v>
      </c>
    </row>
    <row r="341" spans="1:10" x14ac:dyDescent="0.3">
      <c r="A341">
        <v>339</v>
      </c>
      <c r="B341">
        <v>5405</v>
      </c>
      <c r="C341" t="b">
        <v>1</v>
      </c>
      <c r="D341">
        <v>8083</v>
      </c>
      <c r="E341">
        <v>8140</v>
      </c>
      <c r="F341">
        <v>38.200000000000003</v>
      </c>
      <c r="G341">
        <v>22.2</v>
      </c>
      <c r="H341">
        <v>1.7207205999999999</v>
      </c>
      <c r="I341">
        <v>-0.72072069999999999</v>
      </c>
      <c r="J341">
        <v>0.36754966</v>
      </c>
    </row>
    <row r="342" spans="1:10" x14ac:dyDescent="0.3">
      <c r="A342">
        <v>340</v>
      </c>
      <c r="B342">
        <v>5421</v>
      </c>
      <c r="C342" t="b">
        <v>1</v>
      </c>
      <c r="D342">
        <v>8083</v>
      </c>
      <c r="E342">
        <v>8140</v>
      </c>
      <c r="F342">
        <v>39</v>
      </c>
      <c r="G342">
        <v>22.6</v>
      </c>
      <c r="H342">
        <v>1.7256636999999999</v>
      </c>
      <c r="I342">
        <v>-0.72566366000000004</v>
      </c>
      <c r="J342">
        <v>0.36688313</v>
      </c>
    </row>
    <row r="343" spans="1:10" x14ac:dyDescent="0.3">
      <c r="A343">
        <v>341</v>
      </c>
      <c r="B343">
        <v>5437</v>
      </c>
      <c r="C343" t="b">
        <v>1</v>
      </c>
      <c r="D343">
        <v>8077</v>
      </c>
      <c r="E343">
        <v>8146</v>
      </c>
      <c r="F343">
        <v>39</v>
      </c>
      <c r="G343">
        <v>23</v>
      </c>
      <c r="H343">
        <v>1.6956521</v>
      </c>
      <c r="I343">
        <v>-0.69565220000000005</v>
      </c>
      <c r="J343">
        <v>0.37096774999999999</v>
      </c>
    </row>
    <row r="344" spans="1:10" x14ac:dyDescent="0.3">
      <c r="A344">
        <v>342</v>
      </c>
      <c r="B344">
        <v>5453</v>
      </c>
      <c r="C344" t="b">
        <v>1</v>
      </c>
      <c r="D344">
        <v>8077</v>
      </c>
      <c r="E344">
        <v>8140</v>
      </c>
      <c r="F344">
        <v>39</v>
      </c>
      <c r="G344">
        <v>23.4</v>
      </c>
      <c r="H344">
        <v>1.6666666999999999</v>
      </c>
      <c r="I344">
        <v>-0.66666669999999995</v>
      </c>
      <c r="J344">
        <v>0.37499997000000002</v>
      </c>
    </row>
    <row r="345" spans="1:10" x14ac:dyDescent="0.3">
      <c r="A345">
        <v>343</v>
      </c>
      <c r="B345">
        <v>5469</v>
      </c>
      <c r="C345" t="b">
        <v>1</v>
      </c>
      <c r="D345">
        <v>8094</v>
      </c>
      <c r="E345">
        <v>8146</v>
      </c>
      <c r="F345">
        <v>39</v>
      </c>
      <c r="G345">
        <v>23.8</v>
      </c>
      <c r="H345">
        <v>1.6386555</v>
      </c>
      <c r="I345">
        <v>-0.63865554000000002</v>
      </c>
      <c r="J345">
        <v>0.37898088000000002</v>
      </c>
    </row>
    <row r="346" spans="1:10" x14ac:dyDescent="0.3">
      <c r="A346">
        <v>344</v>
      </c>
      <c r="B346">
        <v>5484</v>
      </c>
      <c r="C346" t="b">
        <v>1</v>
      </c>
      <c r="D346">
        <v>8077</v>
      </c>
      <c r="E346">
        <v>8140</v>
      </c>
      <c r="F346">
        <v>39.4</v>
      </c>
      <c r="G346">
        <v>24.2</v>
      </c>
      <c r="H346">
        <v>1.6280992000000001</v>
      </c>
      <c r="I346">
        <v>-0.62809919999999997</v>
      </c>
      <c r="J346">
        <v>0.38050315000000001</v>
      </c>
    </row>
    <row r="347" spans="1:10" x14ac:dyDescent="0.3">
      <c r="A347">
        <v>345</v>
      </c>
      <c r="B347">
        <v>5500</v>
      </c>
      <c r="C347" t="b">
        <v>1</v>
      </c>
      <c r="D347">
        <v>8088</v>
      </c>
      <c r="E347">
        <v>8140</v>
      </c>
      <c r="F347">
        <v>39.4</v>
      </c>
      <c r="G347">
        <v>24.6</v>
      </c>
      <c r="H347">
        <v>1.601626</v>
      </c>
      <c r="I347">
        <v>-0.60162603999999997</v>
      </c>
      <c r="J347">
        <v>0.38437500000000002</v>
      </c>
    </row>
    <row r="348" spans="1:10" x14ac:dyDescent="0.3">
      <c r="A348">
        <v>346</v>
      </c>
      <c r="B348">
        <v>5516</v>
      </c>
      <c r="C348" t="b">
        <v>1</v>
      </c>
      <c r="D348">
        <v>8088</v>
      </c>
      <c r="E348">
        <v>8146</v>
      </c>
      <c r="F348">
        <v>40.133335000000002</v>
      </c>
      <c r="G348">
        <v>25</v>
      </c>
      <c r="H348">
        <v>1.6053333999999999</v>
      </c>
      <c r="I348">
        <v>-0.60533340000000002</v>
      </c>
      <c r="J348">
        <v>0.38382803999999998</v>
      </c>
    </row>
    <row r="349" spans="1:10" x14ac:dyDescent="0.3">
      <c r="A349">
        <v>347</v>
      </c>
      <c r="B349">
        <v>5532</v>
      </c>
      <c r="C349" t="b">
        <v>1</v>
      </c>
      <c r="D349">
        <v>8088</v>
      </c>
      <c r="E349">
        <v>8140</v>
      </c>
      <c r="F349">
        <v>40.866664999999998</v>
      </c>
      <c r="G349">
        <v>25</v>
      </c>
      <c r="H349">
        <v>1.6346666000000001</v>
      </c>
      <c r="I349">
        <v>-0.63466659999999997</v>
      </c>
      <c r="J349">
        <v>0.37955463</v>
      </c>
    </row>
    <row r="350" spans="1:10" x14ac:dyDescent="0.3">
      <c r="A350">
        <v>348</v>
      </c>
      <c r="B350">
        <v>5548</v>
      </c>
      <c r="C350" t="b">
        <v>1</v>
      </c>
      <c r="D350">
        <v>8083</v>
      </c>
      <c r="E350">
        <v>8140</v>
      </c>
      <c r="F350">
        <v>41.6</v>
      </c>
      <c r="G350">
        <v>25</v>
      </c>
      <c r="H350">
        <v>1.6639999000000001</v>
      </c>
      <c r="I350">
        <v>-0.66399989999999998</v>
      </c>
      <c r="J350">
        <v>0.37537540000000003</v>
      </c>
    </row>
    <row r="351" spans="1:10" x14ac:dyDescent="0.3">
      <c r="A351">
        <v>349</v>
      </c>
      <c r="B351">
        <v>5564</v>
      </c>
      <c r="C351" t="b">
        <v>1</v>
      </c>
      <c r="D351">
        <v>8088</v>
      </c>
      <c r="E351">
        <v>8140</v>
      </c>
      <c r="F351">
        <v>42.333331999999999</v>
      </c>
      <c r="G351">
        <v>25</v>
      </c>
      <c r="H351">
        <v>1.6933332999999999</v>
      </c>
      <c r="I351">
        <v>-0.69333327</v>
      </c>
      <c r="J351">
        <v>0.37128717</v>
      </c>
    </row>
    <row r="352" spans="1:10" x14ac:dyDescent="0.3">
      <c r="A352">
        <v>350</v>
      </c>
      <c r="B352">
        <v>5580</v>
      </c>
      <c r="C352" t="b">
        <v>1</v>
      </c>
      <c r="D352">
        <v>8083</v>
      </c>
      <c r="E352">
        <v>8146</v>
      </c>
      <c r="F352">
        <v>43.066665999999998</v>
      </c>
      <c r="G352">
        <v>25</v>
      </c>
      <c r="H352">
        <v>1.7226665999999999</v>
      </c>
      <c r="I352">
        <v>-0.72266660000000005</v>
      </c>
      <c r="J352">
        <v>0.36728697999999999</v>
      </c>
    </row>
    <row r="353" spans="1:10" x14ac:dyDescent="0.3">
      <c r="A353">
        <v>351</v>
      </c>
      <c r="B353">
        <v>5595</v>
      </c>
      <c r="C353" t="b">
        <v>1</v>
      </c>
      <c r="D353">
        <v>8077</v>
      </c>
      <c r="E353">
        <v>8140</v>
      </c>
      <c r="F353">
        <v>43.466667000000001</v>
      </c>
      <c r="G353">
        <v>25</v>
      </c>
      <c r="H353">
        <v>1.7386667</v>
      </c>
      <c r="I353">
        <v>-0.73866670000000001</v>
      </c>
      <c r="J353">
        <v>0.36514118000000001</v>
      </c>
    </row>
    <row r="354" spans="1:10" x14ac:dyDescent="0.3">
      <c r="A354">
        <v>352</v>
      </c>
      <c r="B354">
        <v>5611</v>
      </c>
      <c r="C354" t="b">
        <v>1</v>
      </c>
      <c r="D354">
        <v>8077</v>
      </c>
      <c r="E354">
        <v>8140</v>
      </c>
      <c r="F354">
        <v>43.866664999999998</v>
      </c>
      <c r="G354">
        <v>25</v>
      </c>
      <c r="H354">
        <v>1.7546666</v>
      </c>
      <c r="I354">
        <v>-0.75466657000000004</v>
      </c>
      <c r="J354">
        <v>0.36302033</v>
      </c>
    </row>
    <row r="355" spans="1:10" x14ac:dyDescent="0.3">
      <c r="A355">
        <v>353</v>
      </c>
      <c r="B355">
        <v>5627</v>
      </c>
      <c r="C355" t="b">
        <v>1</v>
      </c>
      <c r="D355">
        <v>8088</v>
      </c>
      <c r="E355">
        <v>8140</v>
      </c>
      <c r="F355">
        <v>43.866664999999998</v>
      </c>
      <c r="G355">
        <v>25</v>
      </c>
      <c r="H355">
        <v>1.7546666</v>
      </c>
      <c r="I355">
        <v>-0.75466657000000004</v>
      </c>
      <c r="J355">
        <v>0.36302033</v>
      </c>
    </row>
    <row r="356" spans="1:10" x14ac:dyDescent="0.3">
      <c r="A356">
        <v>354</v>
      </c>
      <c r="B356">
        <v>5643</v>
      </c>
      <c r="C356" t="b">
        <v>1</v>
      </c>
      <c r="D356">
        <v>8083</v>
      </c>
      <c r="E356">
        <v>8146</v>
      </c>
      <c r="F356">
        <v>43.866664999999998</v>
      </c>
      <c r="G356">
        <v>25</v>
      </c>
      <c r="H356">
        <v>1.7546666</v>
      </c>
      <c r="I356">
        <v>-0.75466657000000004</v>
      </c>
      <c r="J356">
        <v>0.36302033</v>
      </c>
    </row>
    <row r="357" spans="1:10" x14ac:dyDescent="0.3">
      <c r="A357">
        <v>355</v>
      </c>
      <c r="B357">
        <v>5659</v>
      </c>
      <c r="C357" t="b">
        <v>1</v>
      </c>
      <c r="D357">
        <v>8083</v>
      </c>
      <c r="E357">
        <v>8140</v>
      </c>
      <c r="F357">
        <v>43.866664999999998</v>
      </c>
      <c r="G357">
        <v>25</v>
      </c>
      <c r="H357">
        <v>1.7546666</v>
      </c>
      <c r="I357">
        <v>-0.75466657000000004</v>
      </c>
      <c r="J357">
        <v>0.36302033</v>
      </c>
    </row>
    <row r="358" spans="1:10" x14ac:dyDescent="0.3">
      <c r="A358">
        <v>356</v>
      </c>
      <c r="B358">
        <v>5675</v>
      </c>
      <c r="C358" t="b">
        <v>1</v>
      </c>
      <c r="D358">
        <v>8083</v>
      </c>
      <c r="E358">
        <v>8134</v>
      </c>
      <c r="F358">
        <v>43.866664999999998</v>
      </c>
      <c r="G358">
        <v>25</v>
      </c>
      <c r="H358">
        <v>1.7546666</v>
      </c>
      <c r="I358">
        <v>-0.75466657000000004</v>
      </c>
      <c r="J358">
        <v>0.36302033</v>
      </c>
    </row>
    <row r="359" spans="1:10" x14ac:dyDescent="0.3">
      <c r="A359">
        <v>357</v>
      </c>
      <c r="B359">
        <v>5691</v>
      </c>
      <c r="C359" t="b">
        <v>1</v>
      </c>
      <c r="D359">
        <v>8088</v>
      </c>
      <c r="E359">
        <v>8134</v>
      </c>
      <c r="F359">
        <v>43.866664999999998</v>
      </c>
      <c r="G359">
        <v>25</v>
      </c>
      <c r="H359">
        <v>1.7546666</v>
      </c>
      <c r="I359">
        <v>-0.75466657000000004</v>
      </c>
      <c r="J359">
        <v>0.36302033</v>
      </c>
    </row>
    <row r="360" spans="1:10" x14ac:dyDescent="0.3">
      <c r="A360">
        <v>358</v>
      </c>
      <c r="B360">
        <v>5706</v>
      </c>
      <c r="C360" t="b">
        <v>1</v>
      </c>
      <c r="D360">
        <v>8077</v>
      </c>
      <c r="E360">
        <v>8134</v>
      </c>
      <c r="F360">
        <v>43.866664999999998</v>
      </c>
      <c r="G360">
        <v>24.6</v>
      </c>
      <c r="H360">
        <v>1.7831977999999999</v>
      </c>
      <c r="I360">
        <v>-0.78319775999999997</v>
      </c>
      <c r="J360">
        <v>0.35929894000000001</v>
      </c>
    </row>
    <row r="361" spans="1:10" x14ac:dyDescent="0.3">
      <c r="A361">
        <v>359</v>
      </c>
      <c r="B361">
        <v>5723</v>
      </c>
      <c r="C361" t="b">
        <v>1</v>
      </c>
      <c r="D361">
        <v>8065</v>
      </c>
      <c r="E361">
        <v>8134</v>
      </c>
      <c r="F361">
        <v>44.266666000000001</v>
      </c>
      <c r="G361">
        <v>24.2</v>
      </c>
      <c r="H361">
        <v>1.8292010000000001</v>
      </c>
      <c r="I361">
        <v>-0.82920103999999994</v>
      </c>
      <c r="J361">
        <v>0.35345668000000002</v>
      </c>
    </row>
    <row r="362" spans="1:10" x14ac:dyDescent="0.3">
      <c r="A362">
        <v>360</v>
      </c>
      <c r="B362">
        <v>5739</v>
      </c>
      <c r="C362" t="b">
        <v>1</v>
      </c>
      <c r="D362">
        <v>8071</v>
      </c>
      <c r="E362">
        <v>8129</v>
      </c>
      <c r="F362">
        <v>44.266666000000001</v>
      </c>
      <c r="G362">
        <v>23.8</v>
      </c>
      <c r="H362">
        <v>1.859944</v>
      </c>
      <c r="I362">
        <v>-0.85994404999999996</v>
      </c>
      <c r="J362">
        <v>0.3496572</v>
      </c>
    </row>
    <row r="363" spans="1:10" x14ac:dyDescent="0.3">
      <c r="A363">
        <v>361</v>
      </c>
      <c r="B363">
        <v>5755</v>
      </c>
      <c r="C363" t="b">
        <v>1</v>
      </c>
      <c r="D363">
        <v>8077</v>
      </c>
      <c r="E363">
        <v>8134</v>
      </c>
      <c r="F363">
        <v>43.533332999999999</v>
      </c>
      <c r="G363">
        <v>23.4</v>
      </c>
      <c r="H363">
        <v>1.8603989000000001</v>
      </c>
      <c r="I363">
        <v>-0.86039889999999997</v>
      </c>
      <c r="J363">
        <v>0.34960160000000001</v>
      </c>
    </row>
    <row r="364" spans="1:10" x14ac:dyDescent="0.3">
      <c r="A364">
        <v>362</v>
      </c>
      <c r="B364">
        <v>5770</v>
      </c>
      <c r="C364" t="b">
        <v>1</v>
      </c>
      <c r="D364">
        <v>8071</v>
      </c>
      <c r="E364">
        <v>8146</v>
      </c>
      <c r="F364">
        <v>42.4</v>
      </c>
      <c r="G364">
        <v>23</v>
      </c>
      <c r="H364">
        <v>1.8434782999999999</v>
      </c>
      <c r="I364">
        <v>-0.84347830000000001</v>
      </c>
      <c r="J364">
        <v>0.35168195000000002</v>
      </c>
    </row>
    <row r="365" spans="1:10" x14ac:dyDescent="0.3">
      <c r="A365">
        <v>363</v>
      </c>
      <c r="B365">
        <v>5786</v>
      </c>
      <c r="C365" t="b">
        <v>1</v>
      </c>
      <c r="D365">
        <v>8071</v>
      </c>
      <c r="E365">
        <v>8140</v>
      </c>
      <c r="F365">
        <v>41.266666000000001</v>
      </c>
      <c r="G365">
        <v>22.6</v>
      </c>
      <c r="H365">
        <v>1.8259586000000001</v>
      </c>
      <c r="I365">
        <v>-0.82595867000000001</v>
      </c>
      <c r="J365">
        <v>0.35386220000000002</v>
      </c>
    </row>
    <row r="366" spans="1:10" x14ac:dyDescent="0.3">
      <c r="A366">
        <v>364</v>
      </c>
      <c r="B366">
        <v>5802</v>
      </c>
      <c r="C366" t="b">
        <v>1</v>
      </c>
      <c r="D366">
        <v>8083</v>
      </c>
      <c r="E366">
        <v>8146</v>
      </c>
      <c r="F366">
        <v>40.133335000000002</v>
      </c>
      <c r="G366">
        <v>22.6</v>
      </c>
      <c r="H366">
        <v>1.7758113</v>
      </c>
      <c r="I366">
        <v>-0.77581124999999995</v>
      </c>
      <c r="J366">
        <v>0.36025502999999998</v>
      </c>
    </row>
    <row r="367" spans="1:10" x14ac:dyDescent="0.3">
      <c r="A367">
        <v>365</v>
      </c>
      <c r="B367">
        <v>5818</v>
      </c>
      <c r="C367" t="b">
        <v>1</v>
      </c>
      <c r="D367">
        <v>8077</v>
      </c>
      <c r="E367">
        <v>8146</v>
      </c>
      <c r="F367">
        <v>39.4</v>
      </c>
      <c r="G367">
        <v>23</v>
      </c>
      <c r="H367">
        <v>1.7130436</v>
      </c>
      <c r="I367">
        <v>-0.7130436</v>
      </c>
      <c r="J367">
        <v>0.36858973</v>
      </c>
    </row>
    <row r="368" spans="1:10" x14ac:dyDescent="0.3">
      <c r="A368">
        <v>366</v>
      </c>
      <c r="B368">
        <v>5834</v>
      </c>
      <c r="C368" t="b">
        <v>1</v>
      </c>
      <c r="D368">
        <v>8071</v>
      </c>
      <c r="E368">
        <v>8140</v>
      </c>
      <c r="F368">
        <v>38.6</v>
      </c>
      <c r="G368">
        <v>23.4</v>
      </c>
      <c r="H368">
        <v>1.6495725999999999</v>
      </c>
      <c r="I368">
        <v>-0.64957259999999994</v>
      </c>
      <c r="J368">
        <v>0.37741934999999999</v>
      </c>
    </row>
    <row r="369" spans="1:10" x14ac:dyDescent="0.3">
      <c r="A369">
        <v>367</v>
      </c>
      <c r="B369">
        <v>5850</v>
      </c>
      <c r="C369" t="b">
        <v>1</v>
      </c>
      <c r="D369">
        <v>8083</v>
      </c>
      <c r="E369">
        <v>8140</v>
      </c>
      <c r="F369">
        <v>38.200000000000003</v>
      </c>
      <c r="G369">
        <v>23.4</v>
      </c>
      <c r="H369">
        <v>1.6324787000000001</v>
      </c>
      <c r="I369">
        <v>-0.63247869999999995</v>
      </c>
      <c r="J369">
        <v>0.37987015000000002</v>
      </c>
    </row>
    <row r="370" spans="1:10" x14ac:dyDescent="0.3">
      <c r="A370">
        <v>368</v>
      </c>
      <c r="B370">
        <v>5865</v>
      </c>
      <c r="C370" t="b">
        <v>1</v>
      </c>
      <c r="D370">
        <v>8077</v>
      </c>
      <c r="E370">
        <v>8140</v>
      </c>
      <c r="F370">
        <v>37.799999999999997</v>
      </c>
      <c r="G370">
        <v>23.4</v>
      </c>
      <c r="H370">
        <v>1.6153846000000001</v>
      </c>
      <c r="I370">
        <v>-0.61538464000000004</v>
      </c>
      <c r="J370">
        <v>0.38235295000000002</v>
      </c>
    </row>
    <row r="371" spans="1:10" x14ac:dyDescent="0.3">
      <c r="A371">
        <v>369</v>
      </c>
      <c r="B371">
        <v>5881</v>
      </c>
      <c r="C371" t="b">
        <v>1</v>
      </c>
      <c r="D371">
        <v>8071</v>
      </c>
      <c r="E371">
        <v>8134</v>
      </c>
      <c r="F371">
        <v>37.4</v>
      </c>
      <c r="G371">
        <v>23.4</v>
      </c>
      <c r="H371">
        <v>1.5982907</v>
      </c>
      <c r="I371">
        <v>-0.59829069999999995</v>
      </c>
      <c r="J371">
        <v>0.38486838000000001</v>
      </c>
    </row>
    <row r="372" spans="1:10" x14ac:dyDescent="0.3">
      <c r="A372">
        <v>370</v>
      </c>
      <c r="B372">
        <v>5897</v>
      </c>
      <c r="C372" t="b">
        <v>1</v>
      </c>
      <c r="D372">
        <v>8071</v>
      </c>
      <c r="E372">
        <v>8134</v>
      </c>
      <c r="F372">
        <v>36.6</v>
      </c>
      <c r="G372">
        <v>23.4</v>
      </c>
      <c r="H372">
        <v>1.5641025</v>
      </c>
      <c r="I372">
        <v>-0.56410252999999999</v>
      </c>
      <c r="J372">
        <v>0.39</v>
      </c>
    </row>
    <row r="373" spans="1:10" x14ac:dyDescent="0.3">
      <c r="A373">
        <v>371</v>
      </c>
      <c r="B373">
        <v>5913</v>
      </c>
      <c r="C373" t="b">
        <v>1</v>
      </c>
      <c r="D373">
        <v>8077</v>
      </c>
      <c r="E373">
        <v>8134</v>
      </c>
      <c r="F373">
        <v>36.200000000000003</v>
      </c>
      <c r="G373">
        <v>23</v>
      </c>
      <c r="H373">
        <v>1.5739131</v>
      </c>
      <c r="I373">
        <v>-0.57391309999999995</v>
      </c>
      <c r="J373">
        <v>0.38851350000000001</v>
      </c>
    </row>
    <row r="374" spans="1:10" x14ac:dyDescent="0.3">
      <c r="A374">
        <v>372</v>
      </c>
      <c r="B374">
        <v>5929</v>
      </c>
      <c r="C374" t="b">
        <v>1</v>
      </c>
      <c r="D374">
        <v>8083</v>
      </c>
      <c r="E374">
        <v>8129</v>
      </c>
      <c r="F374">
        <v>35.799999999999997</v>
      </c>
      <c r="G374">
        <v>22.6</v>
      </c>
      <c r="H374">
        <v>1.5840707000000001</v>
      </c>
      <c r="I374">
        <v>-0.58407074000000003</v>
      </c>
      <c r="J374">
        <v>0.38698630000000001</v>
      </c>
    </row>
    <row r="375" spans="1:10" x14ac:dyDescent="0.3">
      <c r="A375">
        <v>373</v>
      </c>
      <c r="B375">
        <v>5945</v>
      </c>
      <c r="C375" t="b">
        <v>1</v>
      </c>
      <c r="D375">
        <v>8077</v>
      </c>
      <c r="E375">
        <v>8134</v>
      </c>
      <c r="F375">
        <v>35.4</v>
      </c>
      <c r="G375">
        <v>22.6</v>
      </c>
      <c r="H375">
        <v>1.5663716999999999</v>
      </c>
      <c r="I375">
        <v>-0.56637174000000001</v>
      </c>
      <c r="J375">
        <v>0.38965517</v>
      </c>
    </row>
    <row r="376" spans="1:10" x14ac:dyDescent="0.3">
      <c r="A376">
        <v>374</v>
      </c>
      <c r="B376">
        <v>5961</v>
      </c>
      <c r="C376" t="b">
        <v>1</v>
      </c>
      <c r="D376">
        <v>8077</v>
      </c>
      <c r="E376">
        <v>8140</v>
      </c>
      <c r="F376">
        <v>35</v>
      </c>
      <c r="G376">
        <v>22.6</v>
      </c>
      <c r="H376">
        <v>1.5486726</v>
      </c>
      <c r="I376">
        <v>-0.54867255999999998</v>
      </c>
      <c r="J376">
        <v>0.39236113</v>
      </c>
    </row>
    <row r="377" spans="1:10" x14ac:dyDescent="0.3">
      <c r="A377">
        <v>375</v>
      </c>
      <c r="B377">
        <v>5977</v>
      </c>
      <c r="C377" t="b">
        <v>1</v>
      </c>
      <c r="D377">
        <v>8088</v>
      </c>
      <c r="E377">
        <v>8140</v>
      </c>
      <c r="F377">
        <v>35</v>
      </c>
      <c r="G377">
        <v>22.6</v>
      </c>
      <c r="H377">
        <v>1.5486726</v>
      </c>
      <c r="I377">
        <v>-0.54867255999999998</v>
      </c>
      <c r="J377">
        <v>0.39236113</v>
      </c>
    </row>
    <row r="378" spans="1:10" x14ac:dyDescent="0.3">
      <c r="A378">
        <v>376</v>
      </c>
      <c r="B378">
        <v>5992</v>
      </c>
      <c r="C378" t="b">
        <v>1</v>
      </c>
      <c r="D378">
        <v>8083</v>
      </c>
      <c r="E378">
        <v>8140</v>
      </c>
      <c r="F378">
        <v>35.4</v>
      </c>
      <c r="G378">
        <v>23</v>
      </c>
      <c r="H378">
        <v>1.5391303999999999</v>
      </c>
      <c r="I378">
        <v>-0.53913049999999996</v>
      </c>
      <c r="J378">
        <v>0.39383560000000001</v>
      </c>
    </row>
    <row r="379" spans="1:10" x14ac:dyDescent="0.3">
      <c r="A379">
        <v>377</v>
      </c>
      <c r="B379">
        <v>6008</v>
      </c>
      <c r="C379" t="b">
        <v>1</v>
      </c>
      <c r="D379">
        <v>8088</v>
      </c>
      <c r="E379">
        <v>8140</v>
      </c>
      <c r="F379">
        <v>36.200000000000003</v>
      </c>
      <c r="G379">
        <v>23.4</v>
      </c>
      <c r="H379">
        <v>1.5470086000000001</v>
      </c>
      <c r="I379">
        <v>-0.54700863</v>
      </c>
      <c r="J379">
        <v>0.39261745999999997</v>
      </c>
    </row>
    <row r="380" spans="1:10" x14ac:dyDescent="0.3">
      <c r="A380">
        <v>378</v>
      </c>
      <c r="B380">
        <v>6024</v>
      </c>
      <c r="C380" t="b">
        <v>1</v>
      </c>
      <c r="D380">
        <v>8071</v>
      </c>
      <c r="E380">
        <v>8146</v>
      </c>
      <c r="F380">
        <v>37</v>
      </c>
      <c r="G380">
        <v>23.8</v>
      </c>
      <c r="H380">
        <v>1.5546218999999999</v>
      </c>
      <c r="I380">
        <v>-0.5546219</v>
      </c>
      <c r="J380">
        <v>0.39144737000000002</v>
      </c>
    </row>
    <row r="381" spans="1:10" x14ac:dyDescent="0.3">
      <c r="A381">
        <v>379</v>
      </c>
      <c r="B381">
        <v>6040</v>
      </c>
      <c r="C381" t="b">
        <v>1</v>
      </c>
      <c r="D381">
        <v>8088</v>
      </c>
      <c r="E381">
        <v>8146</v>
      </c>
      <c r="F381">
        <v>38.133335000000002</v>
      </c>
      <c r="G381">
        <v>23.8</v>
      </c>
      <c r="H381">
        <v>1.602241</v>
      </c>
      <c r="I381">
        <v>-0.60224104000000001</v>
      </c>
      <c r="J381">
        <v>0.38428416999999998</v>
      </c>
    </row>
    <row r="382" spans="1:10" x14ac:dyDescent="0.3">
      <c r="A382">
        <v>380</v>
      </c>
      <c r="B382">
        <v>6056</v>
      </c>
      <c r="C382" t="b">
        <v>1</v>
      </c>
      <c r="D382">
        <v>8077</v>
      </c>
      <c r="E382">
        <v>8146</v>
      </c>
      <c r="F382">
        <v>38.533332999999999</v>
      </c>
      <c r="G382">
        <v>23.8</v>
      </c>
      <c r="H382">
        <v>1.6190476</v>
      </c>
      <c r="I382">
        <v>-0.61904764000000001</v>
      </c>
      <c r="J382">
        <v>0.38181818000000001</v>
      </c>
    </row>
    <row r="383" spans="1:10" x14ac:dyDescent="0.3">
      <c r="A383">
        <v>381</v>
      </c>
      <c r="B383">
        <v>6071</v>
      </c>
      <c r="C383" t="b">
        <v>1</v>
      </c>
      <c r="D383">
        <v>8071</v>
      </c>
      <c r="E383">
        <v>8140</v>
      </c>
      <c r="F383">
        <v>38.933334000000002</v>
      </c>
      <c r="G383">
        <v>23.8</v>
      </c>
      <c r="H383">
        <v>1.6358545</v>
      </c>
      <c r="I383">
        <v>-0.63585440000000004</v>
      </c>
      <c r="J383">
        <v>0.37938361999999998</v>
      </c>
    </row>
    <row r="384" spans="1:10" x14ac:dyDescent="0.3">
      <c r="A384">
        <v>382</v>
      </c>
      <c r="B384">
        <v>6088</v>
      </c>
      <c r="C384" t="b">
        <v>1</v>
      </c>
      <c r="D384">
        <v>8083</v>
      </c>
      <c r="E384">
        <v>8134</v>
      </c>
      <c r="F384">
        <v>38.933334000000002</v>
      </c>
      <c r="G384">
        <v>24.2</v>
      </c>
      <c r="H384">
        <v>1.6088153999999999</v>
      </c>
      <c r="I384">
        <v>-0.60881543000000005</v>
      </c>
      <c r="J384">
        <v>0.38331574000000002</v>
      </c>
    </row>
    <row r="385" spans="1:10" x14ac:dyDescent="0.3">
      <c r="A385">
        <v>383</v>
      </c>
      <c r="B385">
        <v>6103</v>
      </c>
      <c r="C385" t="b">
        <v>1</v>
      </c>
      <c r="D385">
        <v>8083</v>
      </c>
      <c r="E385">
        <v>8129</v>
      </c>
      <c r="F385">
        <v>39.333331999999999</v>
      </c>
      <c r="G385">
        <v>24.2</v>
      </c>
      <c r="H385">
        <v>1.6253443000000001</v>
      </c>
      <c r="I385">
        <v>-0.62534429999999996</v>
      </c>
      <c r="J385">
        <v>0.38090244000000001</v>
      </c>
    </row>
    <row r="386" spans="1:10" x14ac:dyDescent="0.3">
      <c r="A386">
        <v>384</v>
      </c>
      <c r="B386">
        <v>6119</v>
      </c>
      <c r="C386" t="b">
        <v>1</v>
      </c>
      <c r="D386">
        <v>8083</v>
      </c>
      <c r="E386">
        <v>8134</v>
      </c>
      <c r="F386">
        <v>39.733333999999999</v>
      </c>
      <c r="G386">
        <v>23.8</v>
      </c>
      <c r="H386">
        <v>1.6694678000000001</v>
      </c>
      <c r="I386">
        <v>-0.66946786999999996</v>
      </c>
      <c r="J386">
        <v>0.37460650000000001</v>
      </c>
    </row>
    <row r="387" spans="1:10" x14ac:dyDescent="0.3">
      <c r="A387">
        <v>385</v>
      </c>
      <c r="B387">
        <v>6135</v>
      </c>
      <c r="C387" t="b">
        <v>1</v>
      </c>
      <c r="D387">
        <v>8083</v>
      </c>
      <c r="E387">
        <v>8129</v>
      </c>
      <c r="F387">
        <v>40.533332999999999</v>
      </c>
      <c r="G387">
        <v>23.4</v>
      </c>
      <c r="H387">
        <v>1.7321937000000001</v>
      </c>
      <c r="I387">
        <v>-0.73219376999999997</v>
      </c>
      <c r="J387">
        <v>0.36600626000000003</v>
      </c>
    </row>
    <row r="388" spans="1:10" x14ac:dyDescent="0.3">
      <c r="A388">
        <v>386</v>
      </c>
      <c r="B388">
        <v>6151</v>
      </c>
      <c r="C388" t="b">
        <v>1</v>
      </c>
      <c r="D388">
        <v>8094</v>
      </c>
      <c r="E388">
        <v>8129</v>
      </c>
      <c r="F388">
        <v>40.933334000000002</v>
      </c>
      <c r="G388">
        <v>23.066668</v>
      </c>
      <c r="H388">
        <v>1.7745664000000001</v>
      </c>
      <c r="I388">
        <v>-0.77456650000000005</v>
      </c>
      <c r="J388">
        <v>0.36041667999999999</v>
      </c>
    </row>
    <row r="389" spans="1:10" x14ac:dyDescent="0.3">
      <c r="A389">
        <v>387</v>
      </c>
      <c r="B389">
        <v>6167</v>
      </c>
      <c r="C389" t="b">
        <v>1</v>
      </c>
      <c r="D389">
        <v>8083</v>
      </c>
      <c r="E389">
        <v>8140</v>
      </c>
      <c r="F389">
        <v>41.333331999999999</v>
      </c>
      <c r="G389">
        <v>22.733333999999999</v>
      </c>
      <c r="H389">
        <v>1.8181818000000001</v>
      </c>
      <c r="I389">
        <v>-0.81818175000000004</v>
      </c>
      <c r="J389">
        <v>0.35483872999999999</v>
      </c>
    </row>
    <row r="390" spans="1:10" x14ac:dyDescent="0.3">
      <c r="A390">
        <v>388</v>
      </c>
      <c r="B390">
        <v>6183</v>
      </c>
      <c r="C390" t="b">
        <v>1</v>
      </c>
      <c r="D390">
        <v>8083</v>
      </c>
      <c r="E390">
        <v>8140</v>
      </c>
      <c r="F390">
        <v>41.733333999999999</v>
      </c>
      <c r="G390">
        <v>22.733333999999999</v>
      </c>
      <c r="H390">
        <v>1.8357772000000001</v>
      </c>
      <c r="I390">
        <v>-0.83577710000000005</v>
      </c>
      <c r="J390">
        <v>0.35263702000000002</v>
      </c>
    </row>
    <row r="391" spans="1:10" x14ac:dyDescent="0.3">
      <c r="A391">
        <v>389</v>
      </c>
      <c r="B391">
        <v>6198</v>
      </c>
      <c r="C391" t="b">
        <v>1</v>
      </c>
      <c r="D391">
        <v>8088</v>
      </c>
      <c r="E391">
        <v>8140</v>
      </c>
      <c r="F391">
        <v>42.133335000000002</v>
      </c>
      <c r="G391">
        <v>23.133333</v>
      </c>
      <c r="H391">
        <v>1.8213258000000001</v>
      </c>
      <c r="I391">
        <v>-0.82132570000000005</v>
      </c>
      <c r="J391">
        <v>0.35444328000000003</v>
      </c>
    </row>
    <row r="392" spans="1:10" x14ac:dyDescent="0.3">
      <c r="A392">
        <v>390</v>
      </c>
      <c r="B392">
        <v>6214</v>
      </c>
      <c r="C392" t="b">
        <v>1</v>
      </c>
      <c r="D392">
        <v>8088</v>
      </c>
      <c r="E392">
        <v>8146</v>
      </c>
      <c r="F392">
        <v>42.866664999999998</v>
      </c>
      <c r="G392">
        <v>23.533332999999999</v>
      </c>
      <c r="H392">
        <v>1.8215296999999999</v>
      </c>
      <c r="I392">
        <v>-0.82152970000000003</v>
      </c>
      <c r="J392">
        <v>0.35441768000000001</v>
      </c>
    </row>
    <row r="393" spans="1:10" x14ac:dyDescent="0.3">
      <c r="A393">
        <v>391</v>
      </c>
      <c r="B393">
        <v>6230</v>
      </c>
      <c r="C393" t="b">
        <v>1</v>
      </c>
      <c r="D393">
        <v>8077</v>
      </c>
      <c r="E393">
        <v>8146</v>
      </c>
      <c r="F393">
        <v>42.866664999999998</v>
      </c>
      <c r="G393">
        <v>23.533332999999999</v>
      </c>
      <c r="H393">
        <v>1.8215296999999999</v>
      </c>
      <c r="I393">
        <v>-0.82152970000000003</v>
      </c>
      <c r="J393">
        <v>0.35441768000000001</v>
      </c>
    </row>
    <row r="394" spans="1:10" x14ac:dyDescent="0.3">
      <c r="A394">
        <v>392</v>
      </c>
      <c r="B394">
        <v>6246</v>
      </c>
      <c r="C394" t="b">
        <v>1</v>
      </c>
      <c r="D394">
        <v>8071</v>
      </c>
      <c r="E394">
        <v>8140</v>
      </c>
      <c r="F394">
        <v>42.866664999999998</v>
      </c>
      <c r="G394">
        <v>23.533332999999999</v>
      </c>
      <c r="H394">
        <v>1.8215296999999999</v>
      </c>
      <c r="I394">
        <v>-0.82152970000000003</v>
      </c>
      <c r="J394">
        <v>0.35441768000000001</v>
      </c>
    </row>
    <row r="395" spans="1:10" x14ac:dyDescent="0.3">
      <c r="A395">
        <v>393</v>
      </c>
      <c r="B395">
        <v>6262</v>
      </c>
      <c r="C395" t="b">
        <v>1</v>
      </c>
      <c r="D395">
        <v>8083</v>
      </c>
      <c r="E395">
        <v>8140</v>
      </c>
      <c r="F395">
        <v>42.866664999999998</v>
      </c>
      <c r="G395">
        <v>23.533332999999999</v>
      </c>
      <c r="H395">
        <v>1.8215296999999999</v>
      </c>
      <c r="I395">
        <v>-0.82152970000000003</v>
      </c>
      <c r="J395">
        <v>0.35441768000000001</v>
      </c>
    </row>
    <row r="396" spans="1:10" x14ac:dyDescent="0.3">
      <c r="A396">
        <v>394</v>
      </c>
      <c r="B396">
        <v>6278</v>
      </c>
      <c r="C396" t="b">
        <v>1</v>
      </c>
      <c r="D396">
        <v>8088</v>
      </c>
      <c r="E396">
        <v>8146</v>
      </c>
      <c r="F396">
        <v>42.533332999999999</v>
      </c>
      <c r="G396">
        <v>23.933332</v>
      </c>
      <c r="H396">
        <v>1.7771589000000001</v>
      </c>
      <c r="I396">
        <v>-0.77715880000000004</v>
      </c>
      <c r="J396">
        <v>0.36008020000000002</v>
      </c>
    </row>
    <row r="397" spans="1:10" x14ac:dyDescent="0.3">
      <c r="A397">
        <v>395</v>
      </c>
      <c r="B397">
        <v>6294</v>
      </c>
      <c r="C397" t="b">
        <v>1</v>
      </c>
      <c r="D397">
        <v>8083</v>
      </c>
      <c r="E397">
        <v>8146</v>
      </c>
      <c r="F397">
        <v>42.533332999999999</v>
      </c>
      <c r="G397">
        <v>23.933332</v>
      </c>
      <c r="H397">
        <v>1.7771589000000001</v>
      </c>
      <c r="I397">
        <v>-0.77715880000000004</v>
      </c>
      <c r="J397">
        <v>0.36008020000000002</v>
      </c>
    </row>
    <row r="398" spans="1:10" x14ac:dyDescent="0.3">
      <c r="A398">
        <v>396</v>
      </c>
      <c r="B398">
        <v>6310</v>
      </c>
      <c r="C398" t="b">
        <v>1</v>
      </c>
      <c r="D398">
        <v>8077</v>
      </c>
      <c r="E398">
        <v>8140</v>
      </c>
      <c r="F398">
        <v>42.933334000000002</v>
      </c>
      <c r="G398">
        <v>23.533332999999999</v>
      </c>
      <c r="H398">
        <v>1.8243625999999999</v>
      </c>
      <c r="I398">
        <v>-0.8243627</v>
      </c>
      <c r="J398">
        <v>0.35406217000000001</v>
      </c>
    </row>
    <row r="399" spans="1:10" x14ac:dyDescent="0.3">
      <c r="A399">
        <v>397</v>
      </c>
      <c r="B399">
        <v>6326</v>
      </c>
      <c r="C399" t="b">
        <v>1</v>
      </c>
      <c r="D399">
        <v>8083</v>
      </c>
      <c r="E399">
        <v>8140</v>
      </c>
      <c r="F399">
        <v>43.333331999999999</v>
      </c>
      <c r="G399">
        <v>23.133333</v>
      </c>
      <c r="H399">
        <v>1.8731987000000001</v>
      </c>
      <c r="I399">
        <v>-0.87319880000000005</v>
      </c>
      <c r="J399">
        <v>0.34804413000000001</v>
      </c>
    </row>
    <row r="400" spans="1:10" x14ac:dyDescent="0.3">
      <c r="A400">
        <v>398</v>
      </c>
      <c r="B400">
        <v>6342</v>
      </c>
      <c r="C400" t="b">
        <v>1</v>
      </c>
      <c r="D400">
        <v>8083</v>
      </c>
      <c r="E400">
        <v>8134</v>
      </c>
      <c r="F400">
        <v>43.333331999999999</v>
      </c>
      <c r="G400">
        <v>23.133333</v>
      </c>
      <c r="H400">
        <v>1.8731987000000001</v>
      </c>
      <c r="I400">
        <v>-0.87319880000000005</v>
      </c>
      <c r="J400">
        <v>0.34804413000000001</v>
      </c>
    </row>
    <row r="401" spans="1:10" x14ac:dyDescent="0.3">
      <c r="A401">
        <v>399</v>
      </c>
      <c r="B401">
        <v>6358</v>
      </c>
      <c r="C401" t="b">
        <v>1</v>
      </c>
      <c r="D401">
        <v>8088</v>
      </c>
      <c r="E401">
        <v>8129</v>
      </c>
      <c r="F401">
        <v>43.333331999999999</v>
      </c>
      <c r="G401">
        <v>23.533332999999999</v>
      </c>
      <c r="H401">
        <v>1.8413596999999999</v>
      </c>
      <c r="I401">
        <v>-0.84135972999999997</v>
      </c>
      <c r="J401">
        <v>0.35194415000000001</v>
      </c>
    </row>
    <row r="402" spans="1:10" x14ac:dyDescent="0.3">
      <c r="A402">
        <v>400</v>
      </c>
      <c r="B402">
        <v>6373</v>
      </c>
      <c r="C402" t="b">
        <v>1</v>
      </c>
      <c r="D402">
        <v>8094</v>
      </c>
      <c r="E402">
        <v>8140</v>
      </c>
      <c r="F402">
        <v>43.333331999999999</v>
      </c>
      <c r="G402">
        <v>23.933332</v>
      </c>
      <c r="H402">
        <v>1.8105850000000001</v>
      </c>
      <c r="I402">
        <v>-0.81058496000000002</v>
      </c>
      <c r="J402">
        <v>0.35579782999999998</v>
      </c>
    </row>
    <row r="403" spans="1:10" x14ac:dyDescent="0.3">
      <c r="A403">
        <v>401</v>
      </c>
      <c r="B403">
        <v>6390</v>
      </c>
      <c r="C403" t="b">
        <v>1</v>
      </c>
      <c r="D403">
        <v>8083</v>
      </c>
      <c r="E403">
        <v>8134</v>
      </c>
      <c r="F403">
        <v>43.333331999999999</v>
      </c>
      <c r="G403">
        <v>24.266666000000001</v>
      </c>
      <c r="H403">
        <v>1.7857143</v>
      </c>
      <c r="I403">
        <v>-0.78571427000000005</v>
      </c>
      <c r="J403">
        <v>0.35897436999999999</v>
      </c>
    </row>
    <row r="404" spans="1:10" x14ac:dyDescent="0.3">
      <c r="A404">
        <v>402</v>
      </c>
      <c r="B404">
        <v>6406</v>
      </c>
      <c r="C404" t="b">
        <v>1</v>
      </c>
      <c r="D404">
        <v>8077</v>
      </c>
      <c r="E404">
        <v>8134</v>
      </c>
      <c r="F404">
        <v>43.333331999999999</v>
      </c>
      <c r="G404">
        <v>24.6</v>
      </c>
      <c r="H404">
        <v>1.7615175000000001</v>
      </c>
      <c r="I404">
        <v>-0.76151749999999996</v>
      </c>
      <c r="J404">
        <v>0.36211972999999997</v>
      </c>
    </row>
    <row r="405" spans="1:10" x14ac:dyDescent="0.3">
      <c r="A405">
        <v>403</v>
      </c>
      <c r="B405">
        <v>6421</v>
      </c>
      <c r="C405" t="b">
        <v>1</v>
      </c>
      <c r="D405">
        <v>8077</v>
      </c>
      <c r="E405">
        <v>8140</v>
      </c>
      <c r="F405">
        <v>43.333331999999999</v>
      </c>
      <c r="G405">
        <v>24.6</v>
      </c>
      <c r="H405">
        <v>1.7615175000000001</v>
      </c>
      <c r="I405">
        <v>-0.76151749999999996</v>
      </c>
      <c r="J405">
        <v>0.36211972999999997</v>
      </c>
    </row>
    <row r="406" spans="1:10" x14ac:dyDescent="0.3">
      <c r="A406">
        <v>404</v>
      </c>
      <c r="B406">
        <v>6437</v>
      </c>
      <c r="C406" t="b">
        <v>1</v>
      </c>
      <c r="D406">
        <v>8077</v>
      </c>
      <c r="E406">
        <v>8129</v>
      </c>
      <c r="F406">
        <v>42.933334000000002</v>
      </c>
      <c r="G406">
        <v>24.2</v>
      </c>
      <c r="H406">
        <v>1.7741047000000001</v>
      </c>
      <c r="I406">
        <v>-0.77410464999999995</v>
      </c>
      <c r="J406">
        <v>0.36047667</v>
      </c>
    </row>
    <row r="407" spans="1:10" x14ac:dyDescent="0.3">
      <c r="A407">
        <v>405</v>
      </c>
      <c r="B407">
        <v>6453</v>
      </c>
      <c r="C407" t="b">
        <v>1</v>
      </c>
      <c r="D407">
        <v>8077</v>
      </c>
      <c r="E407">
        <v>8134</v>
      </c>
      <c r="F407">
        <v>42.2</v>
      </c>
      <c r="G407">
        <v>23.8</v>
      </c>
      <c r="H407">
        <v>1.7731093</v>
      </c>
      <c r="I407">
        <v>-0.7731093</v>
      </c>
      <c r="J407">
        <v>0.36060604000000002</v>
      </c>
    </row>
    <row r="408" spans="1:10" x14ac:dyDescent="0.3">
      <c r="A408">
        <v>406</v>
      </c>
      <c r="B408">
        <v>6469</v>
      </c>
      <c r="C408" t="b">
        <v>1</v>
      </c>
      <c r="D408">
        <v>8077</v>
      </c>
      <c r="E408">
        <v>8129</v>
      </c>
      <c r="F408">
        <v>41.8</v>
      </c>
      <c r="G408">
        <v>23.4</v>
      </c>
      <c r="H408">
        <v>1.7863247</v>
      </c>
      <c r="I408">
        <v>-0.78632480000000005</v>
      </c>
      <c r="J408">
        <v>0.35889571999999997</v>
      </c>
    </row>
    <row r="409" spans="1:10" x14ac:dyDescent="0.3">
      <c r="A409">
        <v>407</v>
      </c>
      <c r="B409">
        <v>6485</v>
      </c>
      <c r="C409" t="b">
        <v>1</v>
      </c>
      <c r="D409">
        <v>8077</v>
      </c>
      <c r="E409">
        <v>8134</v>
      </c>
      <c r="F409">
        <v>41.4</v>
      </c>
      <c r="G409">
        <v>23</v>
      </c>
      <c r="H409">
        <v>1.8000001000000001</v>
      </c>
      <c r="I409">
        <v>-0.80000009999999999</v>
      </c>
      <c r="J409">
        <v>0.35714284000000002</v>
      </c>
    </row>
    <row r="410" spans="1:10" x14ac:dyDescent="0.3">
      <c r="A410">
        <v>408</v>
      </c>
      <c r="B410">
        <v>6500</v>
      </c>
      <c r="C410" t="b">
        <v>1</v>
      </c>
      <c r="D410">
        <v>8077</v>
      </c>
      <c r="E410">
        <v>8134</v>
      </c>
      <c r="F410">
        <v>41</v>
      </c>
      <c r="G410">
        <v>22.6</v>
      </c>
      <c r="H410">
        <v>1.8141593</v>
      </c>
      <c r="I410">
        <v>-0.81415930000000003</v>
      </c>
      <c r="J410">
        <v>0.35534592999999998</v>
      </c>
    </row>
    <row r="411" spans="1:10" x14ac:dyDescent="0.3">
      <c r="A411">
        <v>409</v>
      </c>
      <c r="B411">
        <v>6516</v>
      </c>
      <c r="C411" t="b">
        <v>1</v>
      </c>
      <c r="D411">
        <v>8071</v>
      </c>
      <c r="E411">
        <v>8134</v>
      </c>
      <c r="F411">
        <v>40.6</v>
      </c>
      <c r="G411">
        <v>21.8</v>
      </c>
      <c r="H411">
        <v>1.8623852999999999</v>
      </c>
      <c r="I411">
        <v>-0.86238532999999995</v>
      </c>
      <c r="J411">
        <v>0.34935897999999999</v>
      </c>
    </row>
    <row r="412" spans="1:10" x14ac:dyDescent="0.3">
      <c r="A412">
        <v>410</v>
      </c>
      <c r="B412">
        <v>6532</v>
      </c>
      <c r="C412" t="b">
        <v>1</v>
      </c>
      <c r="D412">
        <v>8083</v>
      </c>
      <c r="E412">
        <v>8134</v>
      </c>
      <c r="F412">
        <v>40.200000000000003</v>
      </c>
      <c r="G412">
        <v>21</v>
      </c>
      <c r="H412">
        <v>1.9142858</v>
      </c>
      <c r="I412">
        <v>-0.91428580000000004</v>
      </c>
      <c r="J412">
        <v>0.34313726</v>
      </c>
    </row>
    <row r="413" spans="1:10" x14ac:dyDescent="0.3">
      <c r="A413">
        <v>411</v>
      </c>
      <c r="B413">
        <v>6548</v>
      </c>
      <c r="C413" t="b">
        <v>1</v>
      </c>
      <c r="D413">
        <v>8083</v>
      </c>
      <c r="E413">
        <v>8134</v>
      </c>
      <c r="F413">
        <v>39.799999999999997</v>
      </c>
      <c r="G413">
        <v>20.6</v>
      </c>
      <c r="H413">
        <v>1.9320387999999999</v>
      </c>
      <c r="I413">
        <v>-0.93203879999999995</v>
      </c>
      <c r="J413">
        <v>0.34105960000000002</v>
      </c>
    </row>
    <row r="414" spans="1:10" x14ac:dyDescent="0.3">
      <c r="A414">
        <v>412</v>
      </c>
      <c r="B414">
        <v>6564</v>
      </c>
      <c r="C414" t="b">
        <v>1</v>
      </c>
      <c r="D414">
        <v>8077</v>
      </c>
      <c r="E414">
        <v>8146</v>
      </c>
      <c r="F414">
        <v>39.4</v>
      </c>
      <c r="G414">
        <v>20.2</v>
      </c>
      <c r="H414">
        <v>1.9504950000000001</v>
      </c>
      <c r="I414">
        <v>-0.95049505999999995</v>
      </c>
      <c r="J414">
        <v>0.33892617000000003</v>
      </c>
    </row>
    <row r="415" spans="1:10" x14ac:dyDescent="0.3">
      <c r="A415">
        <v>413</v>
      </c>
      <c r="B415">
        <v>6579</v>
      </c>
      <c r="C415" t="b">
        <v>1</v>
      </c>
      <c r="D415">
        <v>8077</v>
      </c>
      <c r="E415">
        <v>8140</v>
      </c>
      <c r="F415">
        <v>39</v>
      </c>
      <c r="G415">
        <v>19.8</v>
      </c>
      <c r="H415">
        <v>1.969697</v>
      </c>
      <c r="I415">
        <v>-0.96969706</v>
      </c>
      <c r="J415">
        <v>0.33673468000000001</v>
      </c>
    </row>
    <row r="416" spans="1:10" x14ac:dyDescent="0.3">
      <c r="A416">
        <v>414</v>
      </c>
      <c r="B416">
        <v>6595</v>
      </c>
      <c r="C416" t="b">
        <v>1</v>
      </c>
      <c r="D416">
        <v>8077</v>
      </c>
      <c r="E416">
        <v>8146</v>
      </c>
      <c r="F416">
        <v>38.6</v>
      </c>
      <c r="G416">
        <v>19.8</v>
      </c>
      <c r="H416">
        <v>1.949495</v>
      </c>
      <c r="I416">
        <v>-0.94949496</v>
      </c>
      <c r="J416">
        <v>0.33904107999999999</v>
      </c>
    </row>
    <row r="417" spans="1:10" x14ac:dyDescent="0.3">
      <c r="A417">
        <v>415</v>
      </c>
      <c r="B417">
        <v>6611</v>
      </c>
      <c r="C417" t="b">
        <v>1</v>
      </c>
      <c r="D417">
        <v>8083</v>
      </c>
      <c r="E417">
        <v>8140</v>
      </c>
      <c r="F417">
        <v>38.200000000000003</v>
      </c>
      <c r="G417">
        <v>19.8</v>
      </c>
      <c r="H417">
        <v>1.9292929999999999</v>
      </c>
      <c r="I417">
        <v>-0.92929304000000001</v>
      </c>
      <c r="J417">
        <v>0.34137928000000001</v>
      </c>
    </row>
    <row r="418" spans="1:10" x14ac:dyDescent="0.3">
      <c r="A418">
        <v>416</v>
      </c>
      <c r="B418">
        <v>6627</v>
      </c>
      <c r="C418" t="b">
        <v>1</v>
      </c>
      <c r="D418">
        <v>8083</v>
      </c>
      <c r="E418">
        <v>8140</v>
      </c>
      <c r="F418">
        <v>37.799999999999997</v>
      </c>
      <c r="G418">
        <v>20.2</v>
      </c>
      <c r="H418">
        <v>1.8712869999999999</v>
      </c>
      <c r="I418">
        <v>-0.87128704999999995</v>
      </c>
      <c r="J418">
        <v>0.34827586999999999</v>
      </c>
    </row>
    <row r="419" spans="1:10" x14ac:dyDescent="0.3">
      <c r="A419">
        <v>417</v>
      </c>
      <c r="B419">
        <v>6643</v>
      </c>
      <c r="C419" t="b">
        <v>1</v>
      </c>
      <c r="D419">
        <v>8083</v>
      </c>
      <c r="E419">
        <v>8134</v>
      </c>
      <c r="F419">
        <v>37.799999999999997</v>
      </c>
      <c r="G419">
        <v>20.6</v>
      </c>
      <c r="H419">
        <v>1.8349514</v>
      </c>
      <c r="I419">
        <v>-0.83495140000000001</v>
      </c>
      <c r="J419">
        <v>0.35273971999999998</v>
      </c>
    </row>
    <row r="420" spans="1:10" x14ac:dyDescent="0.3">
      <c r="A420">
        <v>418</v>
      </c>
      <c r="B420">
        <v>6659</v>
      </c>
      <c r="C420" t="b">
        <v>1</v>
      </c>
      <c r="D420">
        <v>8077</v>
      </c>
      <c r="E420">
        <v>8152</v>
      </c>
      <c r="F420">
        <v>37.799999999999997</v>
      </c>
      <c r="G420">
        <v>21</v>
      </c>
      <c r="H420">
        <v>1.8</v>
      </c>
      <c r="I420">
        <v>-0.79999995000000002</v>
      </c>
      <c r="J420">
        <v>0.35714287</v>
      </c>
    </row>
    <row r="421" spans="1:10" x14ac:dyDescent="0.3">
      <c r="A421">
        <v>419</v>
      </c>
      <c r="B421">
        <v>6675</v>
      </c>
      <c r="C421" t="b">
        <v>1</v>
      </c>
      <c r="D421">
        <v>8083</v>
      </c>
      <c r="E421">
        <v>8146</v>
      </c>
      <c r="F421">
        <v>38.200000000000003</v>
      </c>
      <c r="G421">
        <v>21.4</v>
      </c>
      <c r="H421">
        <v>1.7850467999999999</v>
      </c>
      <c r="I421">
        <v>-0.78504680000000004</v>
      </c>
      <c r="J421">
        <v>0.3590604</v>
      </c>
    </row>
    <row r="422" spans="1:10" x14ac:dyDescent="0.3">
      <c r="A422">
        <v>420</v>
      </c>
      <c r="B422">
        <v>6691</v>
      </c>
      <c r="C422" t="b">
        <v>1</v>
      </c>
      <c r="D422">
        <v>8071</v>
      </c>
      <c r="E422">
        <v>8140</v>
      </c>
      <c r="F422">
        <v>38.6</v>
      </c>
      <c r="G422">
        <v>21.8</v>
      </c>
      <c r="H422">
        <v>1.7706421999999999</v>
      </c>
      <c r="I422">
        <v>-0.77064220000000005</v>
      </c>
      <c r="J422">
        <v>0.36092716000000002</v>
      </c>
    </row>
    <row r="423" spans="1:10" x14ac:dyDescent="0.3">
      <c r="A423">
        <v>421</v>
      </c>
      <c r="B423">
        <v>6706</v>
      </c>
      <c r="C423" t="b">
        <v>1</v>
      </c>
      <c r="D423">
        <v>8083</v>
      </c>
      <c r="E423">
        <v>8140</v>
      </c>
      <c r="F423">
        <v>39</v>
      </c>
      <c r="G423">
        <v>22.2</v>
      </c>
      <c r="H423">
        <v>1.7567566999999999</v>
      </c>
      <c r="I423">
        <v>-0.75675669999999995</v>
      </c>
      <c r="J423">
        <v>0.36274509999999999</v>
      </c>
    </row>
    <row r="424" spans="1:10" x14ac:dyDescent="0.3">
      <c r="A424">
        <v>422</v>
      </c>
      <c r="B424">
        <v>6722</v>
      </c>
      <c r="C424" t="b">
        <v>1</v>
      </c>
      <c r="D424">
        <v>8077</v>
      </c>
      <c r="E424">
        <v>8140</v>
      </c>
      <c r="F424">
        <v>39</v>
      </c>
      <c r="G424">
        <v>22.6</v>
      </c>
      <c r="H424">
        <v>1.7256636999999999</v>
      </c>
      <c r="I424">
        <v>-0.72566366000000004</v>
      </c>
      <c r="J424">
        <v>0.36688313</v>
      </c>
    </row>
    <row r="425" spans="1:10" x14ac:dyDescent="0.3">
      <c r="A425">
        <v>423</v>
      </c>
      <c r="B425">
        <v>6738</v>
      </c>
      <c r="C425" t="b">
        <v>1</v>
      </c>
      <c r="D425">
        <v>8077</v>
      </c>
      <c r="E425">
        <v>8140</v>
      </c>
      <c r="F425">
        <v>39</v>
      </c>
      <c r="G425">
        <v>23</v>
      </c>
      <c r="H425">
        <v>1.6956521</v>
      </c>
      <c r="I425">
        <v>-0.69565220000000005</v>
      </c>
      <c r="J425">
        <v>0.37096774999999999</v>
      </c>
    </row>
    <row r="426" spans="1:10" x14ac:dyDescent="0.3">
      <c r="A426">
        <v>424</v>
      </c>
      <c r="B426">
        <v>6754</v>
      </c>
      <c r="C426" t="b">
        <v>1</v>
      </c>
      <c r="D426">
        <v>8077</v>
      </c>
      <c r="E426">
        <v>8146</v>
      </c>
      <c r="F426">
        <v>39</v>
      </c>
      <c r="G426">
        <v>23.4</v>
      </c>
      <c r="H426">
        <v>1.6666666999999999</v>
      </c>
      <c r="I426">
        <v>-0.66666669999999995</v>
      </c>
      <c r="J426">
        <v>0.37499997000000002</v>
      </c>
    </row>
    <row r="427" spans="1:10" x14ac:dyDescent="0.3">
      <c r="A427">
        <v>425</v>
      </c>
      <c r="B427">
        <v>6770</v>
      </c>
      <c r="C427" t="b">
        <v>1</v>
      </c>
      <c r="D427">
        <v>8077</v>
      </c>
      <c r="E427">
        <v>8140</v>
      </c>
      <c r="F427">
        <v>39</v>
      </c>
      <c r="G427">
        <v>23.8</v>
      </c>
      <c r="H427">
        <v>1.6386555</v>
      </c>
      <c r="I427">
        <v>-0.63865554000000002</v>
      </c>
      <c r="J427">
        <v>0.37898088000000002</v>
      </c>
    </row>
    <row r="428" spans="1:10" x14ac:dyDescent="0.3">
      <c r="A428">
        <v>426</v>
      </c>
      <c r="B428">
        <v>6786</v>
      </c>
      <c r="C428" t="b">
        <v>1</v>
      </c>
      <c r="D428">
        <v>8088</v>
      </c>
      <c r="E428">
        <v>8140</v>
      </c>
      <c r="F428">
        <v>39</v>
      </c>
      <c r="G428">
        <v>24.2</v>
      </c>
      <c r="H428">
        <v>1.6115702000000001</v>
      </c>
      <c r="I428">
        <v>-0.61157019999999995</v>
      </c>
      <c r="J428">
        <v>0.38291140000000001</v>
      </c>
    </row>
    <row r="429" spans="1:10" x14ac:dyDescent="0.3">
      <c r="A429">
        <v>427</v>
      </c>
      <c r="B429">
        <v>6801</v>
      </c>
      <c r="C429" t="b">
        <v>1</v>
      </c>
      <c r="D429">
        <v>8094</v>
      </c>
      <c r="E429">
        <v>8146</v>
      </c>
      <c r="F429">
        <v>39</v>
      </c>
      <c r="G429">
        <v>24.6</v>
      </c>
      <c r="H429">
        <v>1.5853657999999999</v>
      </c>
      <c r="I429">
        <v>-0.58536582999999998</v>
      </c>
      <c r="J429">
        <v>0.38679247999999999</v>
      </c>
    </row>
    <row r="430" spans="1:10" x14ac:dyDescent="0.3">
      <c r="A430">
        <v>428</v>
      </c>
      <c r="B430">
        <v>6817</v>
      </c>
      <c r="C430" t="b">
        <v>1</v>
      </c>
      <c r="D430">
        <v>8088</v>
      </c>
      <c r="E430">
        <v>8146</v>
      </c>
      <c r="F430">
        <v>39.733333999999999</v>
      </c>
      <c r="G430">
        <v>25.4</v>
      </c>
      <c r="H430">
        <v>1.5643045</v>
      </c>
      <c r="I430">
        <v>-0.56430449999999999</v>
      </c>
      <c r="J430">
        <v>0.38996930000000002</v>
      </c>
    </row>
    <row r="431" spans="1:10" x14ac:dyDescent="0.3">
      <c r="A431">
        <v>429</v>
      </c>
      <c r="B431">
        <v>6833</v>
      </c>
      <c r="C431" t="b">
        <v>1</v>
      </c>
      <c r="D431">
        <v>8088</v>
      </c>
      <c r="E431">
        <v>8140</v>
      </c>
      <c r="F431">
        <v>40.466667000000001</v>
      </c>
      <c r="G431">
        <v>25.4</v>
      </c>
      <c r="H431">
        <v>1.5931759000000001</v>
      </c>
      <c r="I431">
        <v>-0.59317589999999998</v>
      </c>
      <c r="J431">
        <v>0.38562750000000001</v>
      </c>
    </row>
    <row r="432" spans="1:10" x14ac:dyDescent="0.3">
      <c r="A432">
        <v>430</v>
      </c>
      <c r="B432">
        <v>6849</v>
      </c>
      <c r="C432" t="b">
        <v>1</v>
      </c>
      <c r="D432">
        <v>8077</v>
      </c>
      <c r="E432">
        <v>8140</v>
      </c>
      <c r="F432">
        <v>41.2</v>
      </c>
      <c r="G432">
        <v>25.4</v>
      </c>
      <c r="H432">
        <v>1.6220473</v>
      </c>
      <c r="I432">
        <v>-0.62204729999999997</v>
      </c>
      <c r="J432">
        <v>0.38138139999999998</v>
      </c>
    </row>
    <row r="433" spans="1:10" x14ac:dyDescent="0.3">
      <c r="A433">
        <v>431</v>
      </c>
      <c r="B433">
        <v>6865</v>
      </c>
      <c r="C433" t="b">
        <v>1</v>
      </c>
      <c r="D433">
        <v>8083</v>
      </c>
      <c r="E433">
        <v>8140</v>
      </c>
      <c r="F433">
        <v>41.933334000000002</v>
      </c>
      <c r="G433">
        <v>25.4</v>
      </c>
      <c r="H433">
        <v>1.6509187000000001</v>
      </c>
      <c r="I433">
        <v>-0.65091869999999996</v>
      </c>
      <c r="J433">
        <v>0.3772277</v>
      </c>
    </row>
    <row r="434" spans="1:10" x14ac:dyDescent="0.3">
      <c r="A434">
        <v>432</v>
      </c>
      <c r="B434">
        <v>6880</v>
      </c>
      <c r="C434" t="b">
        <v>1</v>
      </c>
      <c r="D434">
        <v>8088</v>
      </c>
      <c r="E434">
        <v>8140</v>
      </c>
      <c r="F434">
        <v>42.266666000000001</v>
      </c>
      <c r="G434">
        <v>25.4</v>
      </c>
      <c r="H434">
        <v>1.664042</v>
      </c>
      <c r="I434">
        <v>-0.66404200000000002</v>
      </c>
      <c r="J434">
        <v>0.37536945999999999</v>
      </c>
    </row>
    <row r="435" spans="1:10" x14ac:dyDescent="0.3">
      <c r="A435">
        <v>433</v>
      </c>
      <c r="B435">
        <v>6896</v>
      </c>
      <c r="C435" t="b">
        <v>1</v>
      </c>
      <c r="D435">
        <v>8088</v>
      </c>
      <c r="E435">
        <v>8140</v>
      </c>
      <c r="F435">
        <v>42.6</v>
      </c>
      <c r="G435">
        <v>25.4</v>
      </c>
      <c r="H435">
        <v>1.6771653</v>
      </c>
      <c r="I435">
        <v>-0.67716529999999997</v>
      </c>
      <c r="J435">
        <v>0.37352940000000001</v>
      </c>
    </row>
    <row r="436" spans="1:10" x14ac:dyDescent="0.3">
      <c r="A436">
        <v>434</v>
      </c>
      <c r="B436">
        <v>6912</v>
      </c>
      <c r="C436" t="b">
        <v>1</v>
      </c>
      <c r="D436">
        <v>8088</v>
      </c>
      <c r="E436">
        <v>8140</v>
      </c>
      <c r="F436">
        <v>42.933334000000002</v>
      </c>
      <c r="G436">
        <v>25.4</v>
      </c>
      <c r="H436">
        <v>1.6902888</v>
      </c>
      <c r="I436">
        <v>-0.69028880000000004</v>
      </c>
      <c r="J436">
        <v>0.37170730000000002</v>
      </c>
    </row>
    <row r="437" spans="1:10" x14ac:dyDescent="0.3">
      <c r="A437">
        <v>435</v>
      </c>
      <c r="B437">
        <v>6928</v>
      </c>
      <c r="C437" t="b">
        <v>1</v>
      </c>
      <c r="D437">
        <v>8077</v>
      </c>
      <c r="E437">
        <v>8140</v>
      </c>
      <c r="F437">
        <v>43.266666000000001</v>
      </c>
      <c r="G437">
        <v>25.4</v>
      </c>
      <c r="H437">
        <v>1.7034119999999999</v>
      </c>
      <c r="I437">
        <v>-0.70341209999999998</v>
      </c>
      <c r="J437">
        <v>0.36990289999999998</v>
      </c>
    </row>
    <row r="438" spans="1:10" x14ac:dyDescent="0.3">
      <c r="A438">
        <v>436</v>
      </c>
      <c r="B438">
        <v>6943</v>
      </c>
      <c r="C438" t="b">
        <v>1</v>
      </c>
      <c r="D438">
        <v>8065</v>
      </c>
      <c r="E438">
        <v>8140</v>
      </c>
      <c r="F438">
        <v>43.6</v>
      </c>
      <c r="G438">
        <v>25.4</v>
      </c>
      <c r="H438">
        <v>1.7165353999999999</v>
      </c>
      <c r="I438">
        <v>-0.71653540000000004</v>
      </c>
      <c r="J438">
        <v>0.36811592999999998</v>
      </c>
    </row>
    <row r="439" spans="1:10" x14ac:dyDescent="0.3">
      <c r="A439">
        <v>437</v>
      </c>
      <c r="B439">
        <v>6959</v>
      </c>
      <c r="C439" t="b">
        <v>1</v>
      </c>
      <c r="D439">
        <v>8071</v>
      </c>
      <c r="E439">
        <v>8140</v>
      </c>
      <c r="F439">
        <v>43.6</v>
      </c>
      <c r="G439">
        <v>25.4</v>
      </c>
      <c r="H439">
        <v>1.7165353999999999</v>
      </c>
      <c r="I439">
        <v>-0.71653540000000004</v>
      </c>
      <c r="J439">
        <v>0.36811592999999998</v>
      </c>
    </row>
    <row r="440" spans="1:10" x14ac:dyDescent="0.3">
      <c r="A440">
        <v>438</v>
      </c>
      <c r="B440">
        <v>6975</v>
      </c>
      <c r="C440" t="b">
        <v>1</v>
      </c>
      <c r="D440">
        <v>8083</v>
      </c>
      <c r="E440">
        <v>8140</v>
      </c>
      <c r="F440">
        <v>43.6</v>
      </c>
      <c r="G440">
        <v>25.4</v>
      </c>
      <c r="H440">
        <v>1.7165353999999999</v>
      </c>
      <c r="I440">
        <v>-0.71653540000000004</v>
      </c>
      <c r="J440">
        <v>0.36811592999999998</v>
      </c>
    </row>
    <row r="441" spans="1:10" x14ac:dyDescent="0.3">
      <c r="A441">
        <v>439</v>
      </c>
      <c r="B441">
        <v>6991</v>
      </c>
      <c r="C441" t="b">
        <v>1</v>
      </c>
      <c r="D441">
        <v>8083</v>
      </c>
      <c r="E441">
        <v>8140</v>
      </c>
      <c r="F441">
        <v>43.6</v>
      </c>
      <c r="G441">
        <v>25.4</v>
      </c>
      <c r="H441">
        <v>1.7165353999999999</v>
      </c>
      <c r="I441">
        <v>-0.71653540000000004</v>
      </c>
      <c r="J441">
        <v>0.36811592999999998</v>
      </c>
    </row>
    <row r="442" spans="1:10" x14ac:dyDescent="0.3">
      <c r="A442">
        <v>440</v>
      </c>
      <c r="B442">
        <v>7006</v>
      </c>
      <c r="C442" t="b">
        <v>1</v>
      </c>
      <c r="D442">
        <v>8071</v>
      </c>
      <c r="E442">
        <v>8146</v>
      </c>
      <c r="F442">
        <v>43.2</v>
      </c>
      <c r="G442">
        <v>25.4</v>
      </c>
      <c r="H442">
        <v>1.7007874000000001</v>
      </c>
      <c r="I442">
        <v>-0.70078750000000001</v>
      </c>
      <c r="J442">
        <v>0.37026238</v>
      </c>
    </row>
    <row r="443" spans="1:10" x14ac:dyDescent="0.3">
      <c r="A443">
        <v>441</v>
      </c>
      <c r="B443">
        <v>7022</v>
      </c>
      <c r="C443" t="b">
        <v>1</v>
      </c>
      <c r="D443">
        <v>8083</v>
      </c>
      <c r="E443">
        <v>8140</v>
      </c>
      <c r="F443">
        <v>43.6</v>
      </c>
      <c r="G443">
        <v>25.4</v>
      </c>
      <c r="H443">
        <v>1.7165353999999999</v>
      </c>
      <c r="I443">
        <v>-0.71653540000000004</v>
      </c>
      <c r="J443">
        <v>0.36811592999999998</v>
      </c>
    </row>
    <row r="444" spans="1:10" x14ac:dyDescent="0.3">
      <c r="A444">
        <v>442</v>
      </c>
      <c r="B444">
        <v>7038</v>
      </c>
      <c r="C444" t="b">
        <v>1</v>
      </c>
      <c r="D444">
        <v>8077</v>
      </c>
      <c r="E444">
        <v>8146</v>
      </c>
      <c r="F444">
        <v>44</v>
      </c>
      <c r="G444">
        <v>25.4</v>
      </c>
      <c r="H444">
        <v>1.7322835000000001</v>
      </c>
      <c r="I444">
        <v>-0.73228349999999998</v>
      </c>
      <c r="J444">
        <v>0.36599421999999998</v>
      </c>
    </row>
    <row r="445" spans="1:10" x14ac:dyDescent="0.3">
      <c r="A445">
        <v>443</v>
      </c>
      <c r="B445">
        <v>7054</v>
      </c>
      <c r="C445" t="b">
        <v>1</v>
      </c>
      <c r="D445">
        <v>8077</v>
      </c>
      <c r="E445">
        <v>8134</v>
      </c>
      <c r="F445">
        <v>43.266666000000001</v>
      </c>
      <c r="G445">
        <v>25</v>
      </c>
      <c r="H445">
        <v>1.7306665999999999</v>
      </c>
      <c r="I445">
        <v>-0.73066664000000003</v>
      </c>
      <c r="J445">
        <v>0.36621097000000002</v>
      </c>
    </row>
    <row r="446" spans="1:10" x14ac:dyDescent="0.3">
      <c r="A446">
        <v>444</v>
      </c>
      <c r="B446">
        <v>7070</v>
      </c>
      <c r="C446" t="b">
        <v>1</v>
      </c>
      <c r="D446">
        <v>8077</v>
      </c>
      <c r="E446">
        <v>8140</v>
      </c>
      <c r="F446">
        <v>42.533332999999999</v>
      </c>
      <c r="G446">
        <v>25</v>
      </c>
      <c r="H446">
        <v>1.7013332999999999</v>
      </c>
      <c r="I446">
        <v>-0.70133330000000005</v>
      </c>
      <c r="J446">
        <v>0.37018754999999998</v>
      </c>
    </row>
    <row r="447" spans="1:10" x14ac:dyDescent="0.3">
      <c r="A447">
        <v>445</v>
      </c>
      <c r="B447">
        <v>7086</v>
      </c>
      <c r="C447" t="b">
        <v>1</v>
      </c>
      <c r="D447">
        <v>8077</v>
      </c>
      <c r="E447">
        <v>8140</v>
      </c>
      <c r="F447">
        <v>41.8</v>
      </c>
      <c r="G447">
        <v>25</v>
      </c>
      <c r="H447">
        <v>1.6719999000000001</v>
      </c>
      <c r="I447">
        <v>-0.67200000000000004</v>
      </c>
      <c r="J447">
        <v>0.37425148000000003</v>
      </c>
    </row>
    <row r="448" spans="1:10" x14ac:dyDescent="0.3">
      <c r="A448">
        <v>446</v>
      </c>
      <c r="B448">
        <v>7102</v>
      </c>
      <c r="C448" t="b">
        <v>1</v>
      </c>
      <c r="D448">
        <v>8065</v>
      </c>
      <c r="E448">
        <v>8140</v>
      </c>
      <c r="F448">
        <v>41.066665999999998</v>
      </c>
      <c r="G448">
        <v>25</v>
      </c>
      <c r="H448">
        <v>1.6426666000000001</v>
      </c>
      <c r="I448">
        <v>-0.64266663999999996</v>
      </c>
      <c r="J448">
        <v>0.37840565999999998</v>
      </c>
    </row>
    <row r="449" spans="1:10" x14ac:dyDescent="0.3">
      <c r="A449">
        <v>447</v>
      </c>
      <c r="B449">
        <v>7117</v>
      </c>
      <c r="C449" t="b">
        <v>1</v>
      </c>
      <c r="D449">
        <v>8077</v>
      </c>
      <c r="E449">
        <v>8140</v>
      </c>
      <c r="F449">
        <v>40.333331999999999</v>
      </c>
      <c r="G449">
        <v>25</v>
      </c>
      <c r="H449">
        <v>1.6133332</v>
      </c>
      <c r="I449">
        <v>-0.61333329999999997</v>
      </c>
      <c r="J449">
        <v>0.38265310000000002</v>
      </c>
    </row>
    <row r="450" spans="1:10" x14ac:dyDescent="0.3">
      <c r="A450">
        <v>448</v>
      </c>
      <c r="B450">
        <v>7132</v>
      </c>
      <c r="C450" t="b">
        <v>1</v>
      </c>
      <c r="D450">
        <v>8071</v>
      </c>
      <c r="E450">
        <v>8140</v>
      </c>
      <c r="F450">
        <v>39.6</v>
      </c>
      <c r="G450">
        <v>25</v>
      </c>
      <c r="H450">
        <v>1.5840000000000001</v>
      </c>
      <c r="I450">
        <v>-0.58399992999999994</v>
      </c>
      <c r="J450">
        <v>0.38699692000000002</v>
      </c>
    </row>
    <row r="451" spans="1:10" x14ac:dyDescent="0.3">
      <c r="A451">
        <v>449</v>
      </c>
      <c r="B451">
        <v>7148</v>
      </c>
      <c r="C451" t="b">
        <v>1</v>
      </c>
      <c r="D451">
        <v>8071</v>
      </c>
      <c r="E451">
        <v>8140</v>
      </c>
      <c r="F451">
        <v>38.466667000000001</v>
      </c>
      <c r="G451">
        <v>25</v>
      </c>
      <c r="H451">
        <v>1.5386667000000001</v>
      </c>
      <c r="I451">
        <v>-0.53866667000000001</v>
      </c>
      <c r="J451">
        <v>0.39390755</v>
      </c>
    </row>
    <row r="452" spans="1:10" x14ac:dyDescent="0.3">
      <c r="A452">
        <v>450</v>
      </c>
      <c r="B452">
        <v>7163</v>
      </c>
      <c r="C452" t="b">
        <v>1</v>
      </c>
      <c r="D452">
        <v>8077</v>
      </c>
      <c r="E452">
        <v>8134</v>
      </c>
      <c r="F452">
        <v>37.333331999999999</v>
      </c>
      <c r="G452">
        <v>25</v>
      </c>
      <c r="H452">
        <v>1.4933333</v>
      </c>
      <c r="I452">
        <v>-0.49333327999999999</v>
      </c>
      <c r="J452">
        <v>0.40106952000000001</v>
      </c>
    </row>
    <row r="453" spans="1:10" x14ac:dyDescent="0.3">
      <c r="A453">
        <v>451</v>
      </c>
      <c r="B453">
        <v>7179</v>
      </c>
      <c r="C453" t="b">
        <v>1</v>
      </c>
      <c r="D453">
        <v>8077</v>
      </c>
      <c r="E453">
        <v>8134</v>
      </c>
      <c r="F453">
        <v>36.6</v>
      </c>
      <c r="G453">
        <v>25</v>
      </c>
      <c r="H453">
        <v>1.464</v>
      </c>
      <c r="I453">
        <v>-0.46399993</v>
      </c>
      <c r="J453">
        <v>0.40584415000000001</v>
      </c>
    </row>
    <row r="454" spans="1:10" x14ac:dyDescent="0.3">
      <c r="A454">
        <v>452</v>
      </c>
      <c r="B454">
        <v>7195</v>
      </c>
      <c r="C454" t="b">
        <v>1</v>
      </c>
      <c r="D454">
        <v>8083</v>
      </c>
      <c r="E454">
        <v>8134</v>
      </c>
      <c r="F454">
        <v>36.6</v>
      </c>
      <c r="G454">
        <v>24.6</v>
      </c>
      <c r="H454">
        <v>1.4878047999999999</v>
      </c>
      <c r="I454">
        <v>-0.48780479999999998</v>
      </c>
      <c r="J454">
        <v>0.40196082</v>
      </c>
    </row>
    <row r="455" spans="1:10" x14ac:dyDescent="0.3">
      <c r="A455">
        <v>453</v>
      </c>
      <c r="B455">
        <v>7211</v>
      </c>
      <c r="C455" t="b">
        <v>1</v>
      </c>
      <c r="D455">
        <v>8083</v>
      </c>
      <c r="E455">
        <v>8134</v>
      </c>
      <c r="F455">
        <v>36.6</v>
      </c>
      <c r="G455">
        <v>24.2</v>
      </c>
      <c r="H455">
        <v>1.5123966</v>
      </c>
      <c r="I455">
        <v>-0.51239659999999998</v>
      </c>
      <c r="J455">
        <v>0.39802634999999997</v>
      </c>
    </row>
    <row r="456" spans="1:10" x14ac:dyDescent="0.3">
      <c r="A456">
        <v>454</v>
      </c>
      <c r="B456">
        <v>7226</v>
      </c>
      <c r="C456" t="b">
        <v>1</v>
      </c>
      <c r="D456">
        <v>8088</v>
      </c>
      <c r="E456">
        <v>8134</v>
      </c>
      <c r="F456">
        <v>37</v>
      </c>
      <c r="G456">
        <v>23.8</v>
      </c>
      <c r="H456">
        <v>1.5546218999999999</v>
      </c>
      <c r="I456">
        <v>-0.5546219</v>
      </c>
      <c r="J456">
        <v>0.39144737000000002</v>
      </c>
    </row>
    <row r="457" spans="1:10" x14ac:dyDescent="0.3">
      <c r="A457">
        <v>455</v>
      </c>
      <c r="B457">
        <v>7246</v>
      </c>
      <c r="C457" t="b">
        <v>1</v>
      </c>
      <c r="D457">
        <v>8077</v>
      </c>
      <c r="E457">
        <v>8134</v>
      </c>
      <c r="F457">
        <v>37.799999999999997</v>
      </c>
      <c r="G457">
        <v>23.4</v>
      </c>
      <c r="H457">
        <v>1.6153846000000001</v>
      </c>
      <c r="I457">
        <v>-0.61538464000000004</v>
      </c>
      <c r="J457">
        <v>0.38235295000000002</v>
      </c>
    </row>
    <row r="458" spans="1:10" x14ac:dyDescent="0.3">
      <c r="A458">
        <v>456</v>
      </c>
      <c r="B458">
        <v>7261</v>
      </c>
      <c r="C458" t="b">
        <v>1</v>
      </c>
      <c r="D458">
        <v>8083</v>
      </c>
      <c r="E458">
        <v>8134</v>
      </c>
      <c r="F458">
        <v>37.799999999999997</v>
      </c>
      <c r="G458">
        <v>23</v>
      </c>
      <c r="H458">
        <v>1.6434782999999999</v>
      </c>
      <c r="I458">
        <v>-0.6434782</v>
      </c>
      <c r="J458">
        <v>0.3782895</v>
      </c>
    </row>
    <row r="459" spans="1:10" x14ac:dyDescent="0.3">
      <c r="A459">
        <v>457</v>
      </c>
      <c r="B459">
        <v>7277</v>
      </c>
      <c r="C459" t="b">
        <v>1</v>
      </c>
      <c r="D459">
        <v>8088</v>
      </c>
      <c r="E459">
        <v>8146</v>
      </c>
      <c r="F459">
        <v>37.799999999999997</v>
      </c>
      <c r="G459">
        <v>22.6</v>
      </c>
      <c r="H459">
        <v>1.6725663</v>
      </c>
      <c r="I459">
        <v>-0.67256629999999995</v>
      </c>
      <c r="J459">
        <v>0.37417218000000002</v>
      </c>
    </row>
    <row r="460" spans="1:10" x14ac:dyDescent="0.3">
      <c r="A460">
        <v>458</v>
      </c>
      <c r="B460">
        <v>7292</v>
      </c>
      <c r="C460" t="b">
        <v>1</v>
      </c>
      <c r="D460">
        <v>8088</v>
      </c>
      <c r="E460">
        <v>8134</v>
      </c>
      <c r="F460">
        <v>38.533332999999999</v>
      </c>
      <c r="G460">
        <v>22.2</v>
      </c>
      <c r="H460">
        <v>1.7357357</v>
      </c>
      <c r="I460">
        <v>-0.73573564999999996</v>
      </c>
      <c r="J460">
        <v>0.36553239999999998</v>
      </c>
    </row>
    <row r="461" spans="1:10" x14ac:dyDescent="0.3">
      <c r="A461">
        <v>459</v>
      </c>
      <c r="B461">
        <v>7308</v>
      </c>
      <c r="C461" t="b">
        <v>1</v>
      </c>
      <c r="D461">
        <v>8083</v>
      </c>
      <c r="E461">
        <v>8134</v>
      </c>
      <c r="F461">
        <v>38.933334000000002</v>
      </c>
      <c r="G461">
        <v>21.8</v>
      </c>
      <c r="H461">
        <v>1.7859328000000001</v>
      </c>
      <c r="I461">
        <v>-0.78593283999999997</v>
      </c>
      <c r="J461">
        <v>0.35894619999999999</v>
      </c>
    </row>
    <row r="462" spans="1:10" x14ac:dyDescent="0.3">
      <c r="A462">
        <v>460</v>
      </c>
      <c r="B462">
        <v>7324</v>
      </c>
      <c r="C462" t="b">
        <v>1</v>
      </c>
      <c r="D462">
        <v>8077</v>
      </c>
      <c r="E462">
        <v>8134</v>
      </c>
      <c r="F462">
        <v>39.333331999999999</v>
      </c>
      <c r="G462">
        <v>21.4</v>
      </c>
      <c r="H462">
        <v>1.8380063</v>
      </c>
      <c r="I462">
        <v>-0.83800620000000003</v>
      </c>
      <c r="J462">
        <v>0.35236007000000003</v>
      </c>
    </row>
    <row r="463" spans="1:10" x14ac:dyDescent="0.3">
      <c r="A463">
        <v>461</v>
      </c>
      <c r="B463">
        <v>7340</v>
      </c>
      <c r="C463" t="b">
        <v>1</v>
      </c>
      <c r="D463">
        <v>8083</v>
      </c>
      <c r="E463">
        <v>8140</v>
      </c>
      <c r="F463">
        <v>39.733333999999999</v>
      </c>
      <c r="G463">
        <v>21</v>
      </c>
      <c r="H463">
        <v>1.8920634999999999</v>
      </c>
      <c r="I463">
        <v>-0.89206350000000001</v>
      </c>
      <c r="J463">
        <v>0.34577387999999998</v>
      </c>
    </row>
    <row r="464" spans="1:10" x14ac:dyDescent="0.3">
      <c r="A464">
        <v>462</v>
      </c>
      <c r="B464">
        <v>7355</v>
      </c>
      <c r="C464" t="b">
        <v>1</v>
      </c>
      <c r="D464">
        <v>8077</v>
      </c>
      <c r="E464">
        <v>8140</v>
      </c>
      <c r="F464">
        <v>40.133335000000002</v>
      </c>
      <c r="G464">
        <v>20.6</v>
      </c>
      <c r="H464">
        <v>1.9482200999999999</v>
      </c>
      <c r="I464">
        <v>-0.94822013000000005</v>
      </c>
      <c r="J464">
        <v>0.33918767999999999</v>
      </c>
    </row>
    <row r="465" spans="1:10" x14ac:dyDescent="0.3">
      <c r="A465">
        <v>463</v>
      </c>
      <c r="B465">
        <v>7372</v>
      </c>
      <c r="C465" t="b">
        <v>1</v>
      </c>
      <c r="D465">
        <v>8071</v>
      </c>
      <c r="E465">
        <v>8134</v>
      </c>
      <c r="F465">
        <v>40.133335000000002</v>
      </c>
      <c r="G465">
        <v>20.2</v>
      </c>
      <c r="H465">
        <v>1.9867986</v>
      </c>
      <c r="I465">
        <v>-0.98679870000000003</v>
      </c>
      <c r="J465">
        <v>0.33480662</v>
      </c>
    </row>
    <row r="466" spans="1:10" x14ac:dyDescent="0.3">
      <c r="A466">
        <v>464</v>
      </c>
      <c r="B466">
        <v>7388</v>
      </c>
      <c r="C466" t="b">
        <v>1</v>
      </c>
      <c r="D466">
        <v>8088</v>
      </c>
      <c r="E466">
        <v>8134</v>
      </c>
      <c r="F466">
        <v>40.533332999999999</v>
      </c>
      <c r="G466">
        <v>19.8</v>
      </c>
      <c r="H466">
        <v>2.0471382</v>
      </c>
      <c r="I466">
        <v>-1.0471381</v>
      </c>
      <c r="J466">
        <v>0.32817679999999999</v>
      </c>
    </row>
    <row r="467" spans="1:10" x14ac:dyDescent="0.3">
      <c r="A467">
        <v>465</v>
      </c>
      <c r="B467">
        <v>7403</v>
      </c>
      <c r="C467" t="b">
        <v>1</v>
      </c>
      <c r="D467">
        <v>8088</v>
      </c>
      <c r="E467">
        <v>8140</v>
      </c>
      <c r="F467">
        <v>41.333331999999999</v>
      </c>
      <c r="G467">
        <v>19.8</v>
      </c>
      <c r="H467">
        <v>2.087542</v>
      </c>
      <c r="I467">
        <v>-1.087542</v>
      </c>
      <c r="J467">
        <v>0.32388222</v>
      </c>
    </row>
    <row r="468" spans="1:10" x14ac:dyDescent="0.3">
      <c r="A468">
        <v>466</v>
      </c>
      <c r="B468">
        <v>7419</v>
      </c>
      <c r="C468" t="b">
        <v>1</v>
      </c>
      <c r="D468">
        <v>8083</v>
      </c>
      <c r="E468">
        <v>8146</v>
      </c>
      <c r="F468">
        <v>41.733333999999999</v>
      </c>
      <c r="G468">
        <v>19.8</v>
      </c>
      <c r="H468">
        <v>2.1077442</v>
      </c>
      <c r="I468">
        <v>-1.1077442</v>
      </c>
      <c r="J468">
        <v>0.32177679999999997</v>
      </c>
    </row>
    <row r="469" spans="1:10" x14ac:dyDescent="0.3">
      <c r="A469">
        <v>467</v>
      </c>
      <c r="B469">
        <v>7435</v>
      </c>
      <c r="C469" t="b">
        <v>1</v>
      </c>
      <c r="D469">
        <v>8077</v>
      </c>
      <c r="E469">
        <v>8140</v>
      </c>
      <c r="F469">
        <v>42.133335000000002</v>
      </c>
      <c r="G469">
        <v>20.2</v>
      </c>
      <c r="H469">
        <v>2.0858085000000002</v>
      </c>
      <c r="I469">
        <v>-1.0858086</v>
      </c>
      <c r="J469">
        <v>0.32406416999999998</v>
      </c>
    </row>
    <row r="470" spans="1:10" x14ac:dyDescent="0.3">
      <c r="A470">
        <v>468</v>
      </c>
      <c r="B470">
        <v>7451</v>
      </c>
      <c r="C470" t="b">
        <v>1</v>
      </c>
      <c r="D470">
        <v>8077</v>
      </c>
      <c r="E470">
        <v>8129</v>
      </c>
      <c r="F470">
        <v>42.533332999999999</v>
      </c>
      <c r="G470">
        <v>20.6</v>
      </c>
      <c r="H470">
        <v>2.0647250000000001</v>
      </c>
      <c r="I470">
        <v>-1.0647248</v>
      </c>
      <c r="J470">
        <v>0.32629360000000002</v>
      </c>
    </row>
    <row r="471" spans="1:10" x14ac:dyDescent="0.3">
      <c r="A471">
        <v>469</v>
      </c>
      <c r="B471">
        <v>7467</v>
      </c>
      <c r="C471" t="b">
        <v>1</v>
      </c>
      <c r="D471">
        <v>8071</v>
      </c>
      <c r="E471">
        <v>8134</v>
      </c>
      <c r="F471">
        <v>42.133335000000002</v>
      </c>
      <c r="G471">
        <v>21</v>
      </c>
      <c r="H471">
        <v>2.0063493000000001</v>
      </c>
      <c r="I471">
        <v>-1.0063492999999999</v>
      </c>
      <c r="J471">
        <v>0.33262934999999999</v>
      </c>
    </row>
    <row r="472" spans="1:10" x14ac:dyDescent="0.3">
      <c r="A472">
        <v>470</v>
      </c>
      <c r="B472">
        <v>7482</v>
      </c>
      <c r="C472" t="b">
        <v>1</v>
      </c>
      <c r="D472">
        <v>8083</v>
      </c>
      <c r="E472">
        <v>8134</v>
      </c>
      <c r="F472">
        <v>41.733333999999999</v>
      </c>
      <c r="G472">
        <v>21</v>
      </c>
      <c r="H472">
        <v>1.9873015999999999</v>
      </c>
      <c r="I472">
        <v>-0.9873016</v>
      </c>
      <c r="J472">
        <v>0.33475026000000002</v>
      </c>
    </row>
    <row r="473" spans="1:10" x14ac:dyDescent="0.3">
      <c r="A473">
        <v>471</v>
      </c>
      <c r="B473">
        <v>7498</v>
      </c>
      <c r="C473" t="b">
        <v>1</v>
      </c>
      <c r="D473">
        <v>8088</v>
      </c>
      <c r="E473">
        <v>8129</v>
      </c>
      <c r="F473">
        <v>41.333331999999999</v>
      </c>
      <c r="G473">
        <v>21</v>
      </c>
      <c r="H473">
        <v>1.9682538999999999</v>
      </c>
      <c r="I473">
        <v>-0.9682539</v>
      </c>
      <c r="J473">
        <v>0.33689841999999998</v>
      </c>
    </row>
    <row r="474" spans="1:10" x14ac:dyDescent="0.3">
      <c r="A474">
        <v>472</v>
      </c>
      <c r="B474">
        <v>7514</v>
      </c>
      <c r="C474" t="b">
        <v>1</v>
      </c>
      <c r="D474">
        <v>8094</v>
      </c>
      <c r="E474">
        <v>8140</v>
      </c>
      <c r="F474">
        <v>41.333331999999999</v>
      </c>
      <c r="G474">
        <v>21</v>
      </c>
      <c r="H474">
        <v>1.9682538999999999</v>
      </c>
      <c r="I474">
        <v>-0.9682539</v>
      </c>
      <c r="J474">
        <v>0.33689841999999998</v>
      </c>
    </row>
    <row r="475" spans="1:10" x14ac:dyDescent="0.3">
      <c r="A475">
        <v>473</v>
      </c>
      <c r="B475">
        <v>7530</v>
      </c>
      <c r="C475" t="b">
        <v>1</v>
      </c>
      <c r="D475">
        <v>8083</v>
      </c>
      <c r="E475">
        <v>8134</v>
      </c>
      <c r="F475">
        <v>41</v>
      </c>
      <c r="G475">
        <v>21</v>
      </c>
      <c r="H475">
        <v>1.9523809000000001</v>
      </c>
      <c r="I475">
        <v>-0.95238096000000005</v>
      </c>
      <c r="J475">
        <v>0.33870968000000001</v>
      </c>
    </row>
    <row r="476" spans="1:10" x14ac:dyDescent="0.3">
      <c r="A476">
        <v>474</v>
      </c>
      <c r="B476">
        <v>7545</v>
      </c>
      <c r="C476" t="b">
        <v>1</v>
      </c>
      <c r="D476">
        <v>8077</v>
      </c>
      <c r="E476">
        <v>8140</v>
      </c>
      <c r="F476">
        <v>41</v>
      </c>
      <c r="G476">
        <v>21</v>
      </c>
      <c r="H476">
        <v>1.9523809000000001</v>
      </c>
      <c r="I476">
        <v>-0.95238096000000005</v>
      </c>
      <c r="J476">
        <v>0.33870968000000001</v>
      </c>
    </row>
    <row r="477" spans="1:10" x14ac:dyDescent="0.3">
      <c r="A477">
        <v>475</v>
      </c>
      <c r="B477">
        <v>7561</v>
      </c>
      <c r="C477" t="b">
        <v>1</v>
      </c>
      <c r="D477">
        <v>8071</v>
      </c>
      <c r="E477">
        <v>8134</v>
      </c>
      <c r="F477">
        <v>41</v>
      </c>
      <c r="G477">
        <v>21</v>
      </c>
      <c r="H477">
        <v>1.9523809000000001</v>
      </c>
      <c r="I477">
        <v>-0.95238096000000005</v>
      </c>
      <c r="J477">
        <v>0.33870968000000001</v>
      </c>
    </row>
    <row r="478" spans="1:10" x14ac:dyDescent="0.3">
      <c r="A478">
        <v>476</v>
      </c>
      <c r="B478">
        <v>7577</v>
      </c>
      <c r="C478" t="b">
        <v>1</v>
      </c>
      <c r="D478">
        <v>8083</v>
      </c>
      <c r="E478">
        <v>8146</v>
      </c>
      <c r="F478">
        <v>41</v>
      </c>
      <c r="G478">
        <v>21.4</v>
      </c>
      <c r="H478">
        <v>1.9158877999999999</v>
      </c>
      <c r="I478">
        <v>-0.91588789999999998</v>
      </c>
      <c r="J478">
        <v>0.3429487</v>
      </c>
    </row>
    <row r="479" spans="1:10" x14ac:dyDescent="0.3">
      <c r="A479">
        <v>477</v>
      </c>
      <c r="B479">
        <v>7593</v>
      </c>
      <c r="C479" t="b">
        <v>1</v>
      </c>
      <c r="D479">
        <v>8077</v>
      </c>
      <c r="E479">
        <v>8140</v>
      </c>
      <c r="F479">
        <v>40.6</v>
      </c>
      <c r="G479">
        <v>21.8</v>
      </c>
      <c r="H479">
        <v>1.8623852999999999</v>
      </c>
      <c r="I479">
        <v>-0.86238532999999995</v>
      </c>
      <c r="J479">
        <v>0.34935897999999999</v>
      </c>
    </row>
    <row r="480" spans="1:10" x14ac:dyDescent="0.3">
      <c r="A480">
        <v>478</v>
      </c>
      <c r="B480">
        <v>7608</v>
      </c>
      <c r="C480" t="b">
        <v>1</v>
      </c>
      <c r="D480">
        <v>8065</v>
      </c>
      <c r="E480">
        <v>8140</v>
      </c>
      <c r="F480">
        <v>40.6</v>
      </c>
      <c r="G480">
        <v>22.2</v>
      </c>
      <c r="H480">
        <v>1.8288287000000001</v>
      </c>
      <c r="I480">
        <v>-0.82882869999999997</v>
      </c>
      <c r="J480">
        <v>0.35350320000000002</v>
      </c>
    </row>
    <row r="481" spans="1:10" x14ac:dyDescent="0.3">
      <c r="A481">
        <v>479</v>
      </c>
      <c r="B481">
        <v>7624</v>
      </c>
      <c r="C481" t="b">
        <v>1</v>
      </c>
      <c r="D481">
        <v>8071</v>
      </c>
      <c r="E481">
        <v>8134</v>
      </c>
      <c r="F481">
        <v>40.200000000000003</v>
      </c>
      <c r="G481">
        <v>22.6</v>
      </c>
      <c r="H481">
        <v>1.778761</v>
      </c>
      <c r="I481">
        <v>-0.77876109999999998</v>
      </c>
      <c r="J481">
        <v>0.35987259999999999</v>
      </c>
    </row>
    <row r="482" spans="1:10" x14ac:dyDescent="0.3">
      <c r="A482">
        <v>480</v>
      </c>
      <c r="B482">
        <v>7640</v>
      </c>
      <c r="C482" t="b">
        <v>1</v>
      </c>
      <c r="D482">
        <v>8071</v>
      </c>
      <c r="E482">
        <v>8134</v>
      </c>
      <c r="F482">
        <v>39.4</v>
      </c>
      <c r="G482">
        <v>22.6</v>
      </c>
      <c r="H482">
        <v>1.7433628999999999</v>
      </c>
      <c r="I482">
        <v>-0.74336283999999997</v>
      </c>
      <c r="J482">
        <v>0.36451613999999999</v>
      </c>
    </row>
    <row r="483" spans="1:10" x14ac:dyDescent="0.3">
      <c r="A483">
        <v>481</v>
      </c>
      <c r="B483">
        <v>7656</v>
      </c>
      <c r="C483" t="b">
        <v>1</v>
      </c>
      <c r="D483">
        <v>8077</v>
      </c>
      <c r="E483">
        <v>8134</v>
      </c>
      <c r="F483">
        <v>38.6</v>
      </c>
      <c r="G483">
        <v>22.2</v>
      </c>
      <c r="H483">
        <v>1.7387387000000001</v>
      </c>
      <c r="I483">
        <v>-0.73873860000000002</v>
      </c>
      <c r="J483">
        <v>0.3651316</v>
      </c>
    </row>
    <row r="484" spans="1:10" x14ac:dyDescent="0.3">
      <c r="A484">
        <v>482</v>
      </c>
      <c r="B484">
        <v>7672</v>
      </c>
      <c r="C484" t="b">
        <v>1</v>
      </c>
      <c r="D484">
        <v>8083</v>
      </c>
      <c r="E484">
        <v>8134</v>
      </c>
      <c r="F484">
        <v>37.799999999999997</v>
      </c>
      <c r="G484">
        <v>21.8</v>
      </c>
      <c r="H484">
        <v>1.7339450000000001</v>
      </c>
      <c r="I484">
        <v>-0.73394495000000004</v>
      </c>
      <c r="J484">
        <v>0.36577179999999998</v>
      </c>
    </row>
    <row r="485" spans="1:10" x14ac:dyDescent="0.3">
      <c r="A485">
        <v>483</v>
      </c>
      <c r="B485">
        <v>7688</v>
      </c>
      <c r="C485" t="b">
        <v>1</v>
      </c>
      <c r="D485">
        <v>8088</v>
      </c>
      <c r="E485">
        <v>8129</v>
      </c>
      <c r="F485">
        <v>37.4</v>
      </c>
      <c r="G485">
        <v>21.4</v>
      </c>
      <c r="H485">
        <v>1.7476636000000001</v>
      </c>
      <c r="I485">
        <v>-0.74766370000000004</v>
      </c>
      <c r="J485">
        <v>0.36394554000000001</v>
      </c>
    </row>
    <row r="486" spans="1:10" x14ac:dyDescent="0.3">
      <c r="A486">
        <v>484</v>
      </c>
      <c r="B486">
        <v>7704</v>
      </c>
      <c r="C486" t="b">
        <v>1</v>
      </c>
      <c r="D486">
        <v>8077</v>
      </c>
      <c r="E486">
        <v>8134</v>
      </c>
      <c r="F486">
        <v>37.4</v>
      </c>
      <c r="G486">
        <v>21</v>
      </c>
      <c r="H486">
        <v>1.7809524999999999</v>
      </c>
      <c r="I486">
        <v>-0.78095245000000002</v>
      </c>
      <c r="J486">
        <v>0.35958904000000003</v>
      </c>
    </row>
    <row r="487" spans="1:10" x14ac:dyDescent="0.3">
      <c r="A487">
        <v>485</v>
      </c>
      <c r="B487">
        <v>7720</v>
      </c>
      <c r="C487" t="b">
        <v>1</v>
      </c>
      <c r="D487">
        <v>8077</v>
      </c>
      <c r="E487">
        <v>8140</v>
      </c>
      <c r="F487">
        <v>37.4</v>
      </c>
      <c r="G487">
        <v>21</v>
      </c>
      <c r="H487">
        <v>1.7809524999999999</v>
      </c>
      <c r="I487">
        <v>-0.78095245000000002</v>
      </c>
      <c r="J487">
        <v>0.35958904000000003</v>
      </c>
    </row>
    <row r="488" spans="1:10" x14ac:dyDescent="0.3">
      <c r="A488">
        <v>486</v>
      </c>
      <c r="B488">
        <v>7736</v>
      </c>
      <c r="C488" t="b">
        <v>1</v>
      </c>
      <c r="D488">
        <v>8071</v>
      </c>
      <c r="E488">
        <v>8134</v>
      </c>
      <c r="F488">
        <v>37.4</v>
      </c>
      <c r="G488">
        <v>21</v>
      </c>
      <c r="H488">
        <v>1.7809524999999999</v>
      </c>
      <c r="I488">
        <v>-0.78095245000000002</v>
      </c>
      <c r="J488">
        <v>0.35958904000000003</v>
      </c>
    </row>
    <row r="489" spans="1:10" x14ac:dyDescent="0.3">
      <c r="A489">
        <v>487</v>
      </c>
      <c r="B489">
        <v>7751</v>
      </c>
      <c r="C489" t="b">
        <v>1</v>
      </c>
      <c r="D489">
        <v>8083</v>
      </c>
      <c r="E489">
        <v>8134</v>
      </c>
      <c r="F489">
        <v>37</v>
      </c>
      <c r="G489">
        <v>21</v>
      </c>
      <c r="H489">
        <v>1.7619047000000001</v>
      </c>
      <c r="I489">
        <v>-0.76190480000000005</v>
      </c>
      <c r="J489">
        <v>0.36206895</v>
      </c>
    </row>
    <row r="490" spans="1:10" x14ac:dyDescent="0.3">
      <c r="A490">
        <v>488</v>
      </c>
      <c r="B490">
        <v>7767</v>
      </c>
      <c r="C490" t="b">
        <v>1</v>
      </c>
      <c r="D490">
        <v>8071</v>
      </c>
      <c r="E490">
        <v>8134</v>
      </c>
      <c r="F490">
        <v>36.6</v>
      </c>
      <c r="G490">
        <v>21</v>
      </c>
      <c r="H490">
        <v>1.7428570999999999</v>
      </c>
      <c r="I490">
        <v>-0.74285710000000005</v>
      </c>
      <c r="J490">
        <v>0.36458333999999998</v>
      </c>
    </row>
    <row r="491" spans="1:10" x14ac:dyDescent="0.3">
      <c r="A491">
        <v>489</v>
      </c>
      <c r="B491">
        <v>7783</v>
      </c>
      <c r="C491" t="b">
        <v>1</v>
      </c>
      <c r="D491">
        <v>8083</v>
      </c>
      <c r="E491">
        <v>8140</v>
      </c>
      <c r="F491">
        <v>36.200000000000003</v>
      </c>
      <c r="G491">
        <v>21</v>
      </c>
      <c r="H491">
        <v>1.7238096000000001</v>
      </c>
      <c r="I491">
        <v>-0.72380953999999997</v>
      </c>
      <c r="J491">
        <v>0.36713287</v>
      </c>
    </row>
    <row r="492" spans="1:10" x14ac:dyDescent="0.3">
      <c r="A492">
        <v>490</v>
      </c>
      <c r="B492">
        <v>7799</v>
      </c>
      <c r="C492" t="b">
        <v>1</v>
      </c>
      <c r="D492">
        <v>8083</v>
      </c>
      <c r="E492">
        <v>8140</v>
      </c>
      <c r="F492">
        <v>36.200000000000003</v>
      </c>
      <c r="G492">
        <v>21</v>
      </c>
      <c r="H492">
        <v>1.7238096000000001</v>
      </c>
      <c r="I492">
        <v>-0.72380953999999997</v>
      </c>
      <c r="J492">
        <v>0.36713287</v>
      </c>
    </row>
    <row r="493" spans="1:10" x14ac:dyDescent="0.3">
      <c r="A493">
        <v>491</v>
      </c>
      <c r="B493">
        <v>7815</v>
      </c>
      <c r="C493" t="b">
        <v>1</v>
      </c>
      <c r="D493">
        <v>8077</v>
      </c>
      <c r="E493">
        <v>8140</v>
      </c>
      <c r="F493">
        <v>36.200000000000003</v>
      </c>
      <c r="G493">
        <v>21</v>
      </c>
      <c r="H493">
        <v>1.7238096000000001</v>
      </c>
      <c r="I493">
        <v>-0.72380953999999997</v>
      </c>
      <c r="J493">
        <v>0.36713287</v>
      </c>
    </row>
    <row r="494" spans="1:10" x14ac:dyDescent="0.3">
      <c r="A494">
        <v>492</v>
      </c>
      <c r="B494">
        <v>7831</v>
      </c>
      <c r="C494" t="b">
        <v>1</v>
      </c>
      <c r="D494">
        <v>8077</v>
      </c>
      <c r="E494">
        <v>8140</v>
      </c>
      <c r="F494">
        <v>36.200000000000003</v>
      </c>
      <c r="G494">
        <v>21</v>
      </c>
      <c r="H494">
        <v>1.7238096000000001</v>
      </c>
      <c r="I494">
        <v>-0.72380953999999997</v>
      </c>
      <c r="J494">
        <v>0.36713287</v>
      </c>
    </row>
    <row r="495" spans="1:10" x14ac:dyDescent="0.3">
      <c r="A495">
        <v>493</v>
      </c>
      <c r="B495">
        <v>7847</v>
      </c>
      <c r="C495" t="b">
        <v>1</v>
      </c>
      <c r="D495">
        <v>8088</v>
      </c>
      <c r="E495">
        <v>8134</v>
      </c>
      <c r="F495">
        <v>36.6</v>
      </c>
      <c r="G495">
        <v>21</v>
      </c>
      <c r="H495">
        <v>1.7428570999999999</v>
      </c>
      <c r="I495">
        <v>-0.74285710000000005</v>
      </c>
      <c r="J495">
        <v>0.36458333999999998</v>
      </c>
    </row>
    <row r="496" spans="1:10" x14ac:dyDescent="0.3">
      <c r="A496">
        <v>494</v>
      </c>
      <c r="B496">
        <v>7863</v>
      </c>
      <c r="C496" t="b">
        <v>1</v>
      </c>
      <c r="D496">
        <v>8077</v>
      </c>
      <c r="E496">
        <v>8140</v>
      </c>
      <c r="F496">
        <v>37</v>
      </c>
      <c r="G496">
        <v>21</v>
      </c>
      <c r="H496">
        <v>1.7619047000000001</v>
      </c>
      <c r="I496">
        <v>-0.76190480000000005</v>
      </c>
      <c r="J496">
        <v>0.36206895</v>
      </c>
    </row>
    <row r="497" spans="1:10" x14ac:dyDescent="0.3">
      <c r="A497">
        <v>495</v>
      </c>
      <c r="B497">
        <v>7878</v>
      </c>
      <c r="C497" t="b">
        <v>1</v>
      </c>
      <c r="D497">
        <v>8077</v>
      </c>
      <c r="E497">
        <v>8134</v>
      </c>
      <c r="F497">
        <v>37.4</v>
      </c>
      <c r="G497">
        <v>21</v>
      </c>
      <c r="H497">
        <v>1.7809524999999999</v>
      </c>
      <c r="I497">
        <v>-0.78095245000000002</v>
      </c>
      <c r="J497">
        <v>0.35958904000000003</v>
      </c>
    </row>
    <row r="498" spans="1:10" x14ac:dyDescent="0.3">
      <c r="A498">
        <v>496</v>
      </c>
      <c r="B498">
        <v>7895</v>
      </c>
      <c r="C498" t="b">
        <v>1</v>
      </c>
      <c r="D498">
        <v>8083</v>
      </c>
      <c r="E498">
        <v>8134</v>
      </c>
      <c r="F498">
        <v>37.799999999999997</v>
      </c>
      <c r="G498">
        <v>21</v>
      </c>
      <c r="H498">
        <v>1.8</v>
      </c>
      <c r="I498">
        <v>-0.79999995000000002</v>
      </c>
      <c r="J498">
        <v>0.35714287</v>
      </c>
    </row>
    <row r="499" spans="1:10" x14ac:dyDescent="0.3">
      <c r="A499">
        <v>497</v>
      </c>
      <c r="B499">
        <v>7911</v>
      </c>
      <c r="C499" t="b">
        <v>1</v>
      </c>
      <c r="D499">
        <v>8088</v>
      </c>
      <c r="E499">
        <v>8129</v>
      </c>
      <c r="F499">
        <v>38.6</v>
      </c>
      <c r="G499">
        <v>21</v>
      </c>
      <c r="H499">
        <v>1.8380951999999999</v>
      </c>
      <c r="I499">
        <v>-0.83809520000000004</v>
      </c>
      <c r="J499">
        <v>0.35234900000000002</v>
      </c>
    </row>
    <row r="500" spans="1:10" x14ac:dyDescent="0.3">
      <c r="A500">
        <v>498</v>
      </c>
      <c r="B500">
        <v>7926</v>
      </c>
      <c r="C500" t="b">
        <v>1</v>
      </c>
      <c r="D500">
        <v>8088</v>
      </c>
      <c r="E500">
        <v>8134</v>
      </c>
      <c r="F500">
        <v>39</v>
      </c>
      <c r="G500">
        <v>21</v>
      </c>
      <c r="H500">
        <v>1.8571428000000001</v>
      </c>
      <c r="I500">
        <v>-0.85714287</v>
      </c>
      <c r="J500">
        <v>0.35</v>
      </c>
    </row>
    <row r="501" spans="1:10" x14ac:dyDescent="0.3">
      <c r="A501">
        <v>499</v>
      </c>
      <c r="B501">
        <v>7942</v>
      </c>
      <c r="C501" t="b">
        <v>1</v>
      </c>
      <c r="D501">
        <v>8071</v>
      </c>
      <c r="E501">
        <v>8140</v>
      </c>
      <c r="F501">
        <v>39.4</v>
      </c>
      <c r="G501">
        <v>21</v>
      </c>
      <c r="H501">
        <v>1.8761905000000001</v>
      </c>
      <c r="I501">
        <v>-0.87619053999999996</v>
      </c>
      <c r="J501">
        <v>0.34768211999999998</v>
      </c>
    </row>
    <row r="502" spans="1:10" x14ac:dyDescent="0.3">
      <c r="A502">
        <v>500</v>
      </c>
      <c r="B502">
        <v>7958</v>
      </c>
      <c r="C502" t="b">
        <v>1</v>
      </c>
      <c r="D502">
        <v>8083</v>
      </c>
      <c r="E502">
        <v>8134</v>
      </c>
      <c r="F502">
        <v>39.799999999999997</v>
      </c>
      <c r="G502">
        <v>21</v>
      </c>
      <c r="H502">
        <v>1.895238</v>
      </c>
      <c r="I502">
        <v>-0.89523803999999996</v>
      </c>
      <c r="J502">
        <v>0.34539472999999998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354F-2604-4B3F-9591-BE573F4A92D2}">
  <dimension ref="A1:J502"/>
  <sheetViews>
    <sheetView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8048</v>
      </c>
      <c r="E2">
        <v>8123</v>
      </c>
      <c r="F2">
        <v>8</v>
      </c>
      <c r="G2">
        <v>8</v>
      </c>
      <c r="H2">
        <v>1</v>
      </c>
      <c r="I2">
        <v>0</v>
      </c>
      <c r="J2">
        <v>0.5</v>
      </c>
    </row>
    <row r="3" spans="1:10" x14ac:dyDescent="0.3">
      <c r="A3">
        <v>1</v>
      </c>
      <c r="B3">
        <v>22</v>
      </c>
      <c r="C3" t="b">
        <v>1</v>
      </c>
      <c r="D3">
        <v>8048</v>
      </c>
      <c r="E3">
        <v>8123</v>
      </c>
      <c r="F3">
        <v>8</v>
      </c>
      <c r="G3">
        <v>8</v>
      </c>
      <c r="H3">
        <v>1</v>
      </c>
      <c r="I3">
        <v>0</v>
      </c>
      <c r="J3">
        <v>0.5</v>
      </c>
    </row>
    <row r="4" spans="1:10" x14ac:dyDescent="0.3">
      <c r="A4">
        <v>2</v>
      </c>
      <c r="B4">
        <v>37</v>
      </c>
      <c r="C4" t="b">
        <v>1</v>
      </c>
      <c r="D4">
        <v>8054</v>
      </c>
      <c r="E4">
        <v>8129</v>
      </c>
      <c r="F4">
        <v>8</v>
      </c>
      <c r="G4">
        <v>8</v>
      </c>
      <c r="H4">
        <v>1</v>
      </c>
      <c r="I4">
        <v>0</v>
      </c>
      <c r="J4">
        <v>0.5</v>
      </c>
    </row>
    <row r="5" spans="1:10" x14ac:dyDescent="0.3">
      <c r="A5">
        <v>3</v>
      </c>
      <c r="B5">
        <v>53</v>
      </c>
      <c r="C5" t="b">
        <v>1</v>
      </c>
      <c r="D5">
        <v>8054</v>
      </c>
      <c r="E5">
        <v>8123</v>
      </c>
      <c r="F5">
        <v>9.5</v>
      </c>
      <c r="G5">
        <v>8</v>
      </c>
      <c r="H5">
        <v>1.1875</v>
      </c>
      <c r="I5">
        <v>-0.1875</v>
      </c>
      <c r="J5">
        <v>0.45714285999999998</v>
      </c>
    </row>
    <row r="6" spans="1:10" x14ac:dyDescent="0.3">
      <c r="A6">
        <v>4</v>
      </c>
      <c r="B6">
        <v>69</v>
      </c>
      <c r="C6" t="b">
        <v>1</v>
      </c>
      <c r="D6">
        <v>8054</v>
      </c>
      <c r="E6">
        <v>8129</v>
      </c>
      <c r="F6">
        <v>10.4</v>
      </c>
      <c r="G6">
        <v>8</v>
      </c>
      <c r="H6">
        <v>1.3</v>
      </c>
      <c r="I6">
        <v>-0.29999995000000002</v>
      </c>
      <c r="J6">
        <v>0.43478262000000001</v>
      </c>
    </row>
    <row r="7" spans="1:10" x14ac:dyDescent="0.3">
      <c r="A7">
        <v>5</v>
      </c>
      <c r="B7">
        <v>86</v>
      </c>
      <c r="C7" t="b">
        <v>1</v>
      </c>
      <c r="D7">
        <v>8054</v>
      </c>
      <c r="E7">
        <v>8123</v>
      </c>
      <c r="F7">
        <v>11</v>
      </c>
      <c r="G7">
        <v>8</v>
      </c>
      <c r="H7">
        <v>1.375</v>
      </c>
      <c r="I7">
        <v>-0.375</v>
      </c>
      <c r="J7">
        <v>0.42105262999999998</v>
      </c>
    </row>
    <row r="8" spans="1:10" x14ac:dyDescent="0.3">
      <c r="A8">
        <v>6</v>
      </c>
      <c r="B8">
        <v>102</v>
      </c>
      <c r="C8" t="b">
        <v>1</v>
      </c>
      <c r="D8">
        <v>8048</v>
      </c>
      <c r="E8">
        <v>8129</v>
      </c>
      <c r="F8">
        <v>11.428572000000001</v>
      </c>
      <c r="G8">
        <v>8.8571419999999996</v>
      </c>
      <c r="H8">
        <v>1.2903226999999999</v>
      </c>
      <c r="I8">
        <v>-0.29032266000000001</v>
      </c>
      <c r="J8">
        <v>0.43661972999999998</v>
      </c>
    </row>
    <row r="9" spans="1:10" x14ac:dyDescent="0.3">
      <c r="A9">
        <v>7</v>
      </c>
      <c r="B9">
        <v>117</v>
      </c>
      <c r="C9" t="b">
        <v>1</v>
      </c>
      <c r="D9">
        <v>8054</v>
      </c>
      <c r="E9">
        <v>8123</v>
      </c>
      <c r="F9">
        <v>11.75</v>
      </c>
      <c r="G9">
        <v>8.75</v>
      </c>
      <c r="H9">
        <v>1.3428571</v>
      </c>
      <c r="I9">
        <v>-0.34285715</v>
      </c>
      <c r="J9">
        <v>0.42682927999999998</v>
      </c>
    </row>
    <row r="10" spans="1:10" x14ac:dyDescent="0.3">
      <c r="A10">
        <v>8</v>
      </c>
      <c r="B10">
        <v>133</v>
      </c>
      <c r="C10" t="b">
        <v>1</v>
      </c>
      <c r="D10">
        <v>8048</v>
      </c>
      <c r="E10">
        <v>8134</v>
      </c>
      <c r="F10">
        <v>12</v>
      </c>
      <c r="G10">
        <v>9.3333329999999997</v>
      </c>
      <c r="H10">
        <v>1.2857144</v>
      </c>
      <c r="I10">
        <v>-0.28571433000000002</v>
      </c>
      <c r="J10">
        <v>0.4375</v>
      </c>
    </row>
    <row r="11" spans="1:10" x14ac:dyDescent="0.3">
      <c r="A11">
        <v>9</v>
      </c>
      <c r="B11">
        <v>149</v>
      </c>
      <c r="C11" t="b">
        <v>1</v>
      </c>
      <c r="D11">
        <v>8054</v>
      </c>
      <c r="E11">
        <v>8129</v>
      </c>
      <c r="F11">
        <v>12.2</v>
      </c>
      <c r="G11">
        <v>9.8000000000000007</v>
      </c>
      <c r="H11">
        <v>1.2448980000000001</v>
      </c>
      <c r="I11">
        <v>-0.24489791999999999</v>
      </c>
      <c r="J11">
        <v>0.44545456999999999</v>
      </c>
    </row>
    <row r="12" spans="1:10" x14ac:dyDescent="0.3">
      <c r="A12">
        <v>10</v>
      </c>
      <c r="B12">
        <v>165</v>
      </c>
      <c r="C12" t="b">
        <v>1</v>
      </c>
      <c r="D12">
        <v>8048</v>
      </c>
      <c r="E12">
        <v>8129</v>
      </c>
      <c r="F12">
        <v>11.818182</v>
      </c>
      <c r="G12">
        <v>10.181818</v>
      </c>
      <c r="H12">
        <v>1.1607143</v>
      </c>
      <c r="I12">
        <v>-0.16071432999999999</v>
      </c>
      <c r="J12">
        <v>0.46280991999999999</v>
      </c>
    </row>
    <row r="13" spans="1:10" x14ac:dyDescent="0.3">
      <c r="A13">
        <v>11</v>
      </c>
      <c r="B13">
        <v>181</v>
      </c>
      <c r="C13" t="b">
        <v>1</v>
      </c>
      <c r="D13">
        <v>8048</v>
      </c>
      <c r="E13">
        <v>8129</v>
      </c>
      <c r="F13">
        <v>11.5</v>
      </c>
      <c r="G13">
        <v>10.5</v>
      </c>
      <c r="H13">
        <v>1.0952381</v>
      </c>
      <c r="I13">
        <v>-9.5238100000000006E-2</v>
      </c>
      <c r="J13">
        <v>0.47727271999999998</v>
      </c>
    </row>
    <row r="14" spans="1:10" x14ac:dyDescent="0.3">
      <c r="A14">
        <v>12</v>
      </c>
      <c r="B14">
        <v>197</v>
      </c>
      <c r="C14" t="b">
        <v>1</v>
      </c>
      <c r="D14">
        <v>8048</v>
      </c>
      <c r="E14">
        <v>8123</v>
      </c>
      <c r="F14">
        <v>11.230769</v>
      </c>
      <c r="G14">
        <v>10.769231</v>
      </c>
      <c r="H14">
        <v>1.0428572</v>
      </c>
      <c r="I14">
        <v>-4.285713E-2</v>
      </c>
      <c r="J14">
        <v>0.48951050000000002</v>
      </c>
    </row>
    <row r="15" spans="1:10" x14ac:dyDescent="0.3">
      <c r="A15">
        <v>13</v>
      </c>
      <c r="B15">
        <v>213</v>
      </c>
      <c r="C15" t="b">
        <v>1</v>
      </c>
      <c r="D15">
        <v>8048</v>
      </c>
      <c r="E15">
        <v>8123</v>
      </c>
      <c r="F15">
        <v>11</v>
      </c>
      <c r="G15">
        <v>11</v>
      </c>
      <c r="H15">
        <v>1</v>
      </c>
      <c r="I15">
        <v>0</v>
      </c>
      <c r="J15">
        <v>0.5</v>
      </c>
    </row>
    <row r="16" spans="1:10" x14ac:dyDescent="0.3">
      <c r="A16">
        <v>14</v>
      </c>
      <c r="B16">
        <v>229</v>
      </c>
      <c r="C16" t="b">
        <v>1</v>
      </c>
      <c r="D16">
        <v>8048</v>
      </c>
      <c r="E16">
        <v>8129</v>
      </c>
      <c r="F16">
        <v>10.8</v>
      </c>
      <c r="G16">
        <v>11.2</v>
      </c>
      <c r="H16">
        <v>0.96428572999999995</v>
      </c>
      <c r="I16">
        <v>3.5714254000000001E-2</v>
      </c>
      <c r="J16">
        <v>0.50909090000000001</v>
      </c>
    </row>
    <row r="17" spans="1:10" x14ac:dyDescent="0.3">
      <c r="A17">
        <v>15</v>
      </c>
      <c r="B17">
        <v>245</v>
      </c>
      <c r="C17" t="b">
        <v>1</v>
      </c>
      <c r="D17">
        <v>8048</v>
      </c>
      <c r="E17">
        <v>8123</v>
      </c>
      <c r="F17">
        <v>10.8</v>
      </c>
      <c r="G17">
        <v>11.2</v>
      </c>
      <c r="H17">
        <v>0.96428572999999995</v>
      </c>
      <c r="I17">
        <v>3.5714254000000001E-2</v>
      </c>
      <c r="J17">
        <v>0.50909090000000001</v>
      </c>
    </row>
    <row r="18" spans="1:10" x14ac:dyDescent="0.3">
      <c r="A18">
        <v>16</v>
      </c>
      <c r="B18">
        <v>261</v>
      </c>
      <c r="C18" t="b">
        <v>1</v>
      </c>
      <c r="D18">
        <v>8042</v>
      </c>
      <c r="E18">
        <v>8123</v>
      </c>
      <c r="F18">
        <v>10.8</v>
      </c>
      <c r="G18">
        <v>11.2</v>
      </c>
      <c r="H18">
        <v>0.96428572999999995</v>
      </c>
      <c r="I18">
        <v>3.5714254000000001E-2</v>
      </c>
      <c r="J18">
        <v>0.50909090000000001</v>
      </c>
    </row>
    <row r="19" spans="1:10" x14ac:dyDescent="0.3">
      <c r="A19">
        <v>17</v>
      </c>
      <c r="B19">
        <v>277</v>
      </c>
      <c r="C19" t="b">
        <v>1</v>
      </c>
      <c r="D19">
        <v>8042</v>
      </c>
      <c r="E19">
        <v>8123</v>
      </c>
      <c r="F19">
        <v>10.8</v>
      </c>
      <c r="G19">
        <v>11.2</v>
      </c>
      <c r="H19">
        <v>0.96428572999999995</v>
      </c>
      <c r="I19">
        <v>3.5714254000000001E-2</v>
      </c>
      <c r="J19">
        <v>0.50909090000000001</v>
      </c>
    </row>
    <row r="20" spans="1:10" x14ac:dyDescent="0.3">
      <c r="A20">
        <v>18</v>
      </c>
      <c r="B20">
        <v>292</v>
      </c>
      <c r="C20" t="b">
        <v>1</v>
      </c>
      <c r="D20">
        <v>8048</v>
      </c>
      <c r="E20">
        <v>8123</v>
      </c>
      <c r="F20">
        <v>10.4</v>
      </c>
      <c r="G20">
        <v>11.2</v>
      </c>
      <c r="H20">
        <v>0.92857140000000005</v>
      </c>
      <c r="I20">
        <v>7.142859E-2</v>
      </c>
      <c r="J20">
        <v>0.51851857000000001</v>
      </c>
    </row>
    <row r="21" spans="1:10" x14ac:dyDescent="0.3">
      <c r="A21">
        <v>19</v>
      </c>
      <c r="B21">
        <v>308</v>
      </c>
      <c r="C21" t="b">
        <v>1</v>
      </c>
      <c r="D21">
        <v>8048</v>
      </c>
      <c r="E21">
        <v>8123</v>
      </c>
      <c r="F21">
        <v>10</v>
      </c>
      <c r="G21">
        <v>11.2</v>
      </c>
      <c r="H21">
        <v>0.89285713</v>
      </c>
      <c r="I21">
        <v>0.10714284</v>
      </c>
      <c r="J21">
        <v>0.52830184000000002</v>
      </c>
    </row>
    <row r="22" spans="1:10" x14ac:dyDescent="0.3">
      <c r="A22">
        <v>20</v>
      </c>
      <c r="B22">
        <v>324</v>
      </c>
      <c r="C22" t="b">
        <v>1</v>
      </c>
      <c r="D22">
        <v>8048</v>
      </c>
      <c r="E22">
        <v>8123</v>
      </c>
      <c r="F22">
        <v>9.6</v>
      </c>
      <c r="G22">
        <v>11.2</v>
      </c>
      <c r="H22">
        <v>0.85714290000000004</v>
      </c>
      <c r="I22">
        <v>0.14285708999999999</v>
      </c>
      <c r="J22">
        <v>0.53846156999999994</v>
      </c>
    </row>
    <row r="23" spans="1:10" x14ac:dyDescent="0.3">
      <c r="A23">
        <v>21</v>
      </c>
      <c r="B23">
        <v>340</v>
      </c>
      <c r="C23" t="b">
        <v>1</v>
      </c>
      <c r="D23">
        <v>8048</v>
      </c>
      <c r="E23">
        <v>8129</v>
      </c>
      <c r="F23">
        <v>9.1999999999999993</v>
      </c>
      <c r="G23">
        <v>10.8</v>
      </c>
      <c r="H23">
        <v>0.85185180000000005</v>
      </c>
      <c r="I23">
        <v>0.14814817999999999</v>
      </c>
      <c r="J23">
        <v>0.54</v>
      </c>
    </row>
    <row r="24" spans="1:10" x14ac:dyDescent="0.3">
      <c r="A24">
        <v>22</v>
      </c>
      <c r="B24">
        <v>355</v>
      </c>
      <c r="C24" t="b">
        <v>1</v>
      </c>
      <c r="D24">
        <v>8048</v>
      </c>
      <c r="E24">
        <v>8123</v>
      </c>
      <c r="F24">
        <v>8.8000000000000007</v>
      </c>
      <c r="G24">
        <v>10.8</v>
      </c>
      <c r="H24">
        <v>0.81481479999999995</v>
      </c>
      <c r="I24">
        <v>0.18518518</v>
      </c>
      <c r="J24">
        <v>0.55102039999999997</v>
      </c>
    </row>
    <row r="25" spans="1:10" x14ac:dyDescent="0.3">
      <c r="A25">
        <v>23</v>
      </c>
      <c r="B25">
        <v>371</v>
      </c>
      <c r="C25" t="b">
        <v>1</v>
      </c>
      <c r="D25">
        <v>8048</v>
      </c>
      <c r="E25">
        <v>8123</v>
      </c>
      <c r="F25">
        <v>8.4</v>
      </c>
      <c r="G25">
        <v>10.4</v>
      </c>
      <c r="H25">
        <v>0.80769230000000003</v>
      </c>
      <c r="I25">
        <v>0.1923077</v>
      </c>
      <c r="J25">
        <v>0.55319149999999995</v>
      </c>
    </row>
    <row r="26" spans="1:10" x14ac:dyDescent="0.3">
      <c r="A26">
        <v>24</v>
      </c>
      <c r="B26">
        <v>387</v>
      </c>
      <c r="C26" t="b">
        <v>1</v>
      </c>
      <c r="D26">
        <v>8048</v>
      </c>
      <c r="E26">
        <v>8129</v>
      </c>
      <c r="F26">
        <v>8</v>
      </c>
      <c r="G26">
        <v>10</v>
      </c>
      <c r="H26">
        <v>0.8</v>
      </c>
      <c r="I26">
        <v>0.2</v>
      </c>
      <c r="J26">
        <v>0.55555560000000004</v>
      </c>
    </row>
    <row r="27" spans="1:10" x14ac:dyDescent="0.3">
      <c r="A27">
        <v>25</v>
      </c>
      <c r="B27">
        <v>403</v>
      </c>
      <c r="C27" t="b">
        <v>1</v>
      </c>
      <c r="D27">
        <v>8048</v>
      </c>
      <c r="E27">
        <v>8123</v>
      </c>
      <c r="F27">
        <v>8</v>
      </c>
      <c r="G27">
        <v>9.6</v>
      </c>
      <c r="H27">
        <v>0.83333330000000005</v>
      </c>
      <c r="I27">
        <v>0.1666667</v>
      </c>
      <c r="J27">
        <v>0.54545456000000003</v>
      </c>
    </row>
    <row r="28" spans="1:10" x14ac:dyDescent="0.3">
      <c r="A28">
        <v>26</v>
      </c>
      <c r="B28">
        <v>419</v>
      </c>
      <c r="C28" t="b">
        <v>1</v>
      </c>
      <c r="D28">
        <v>8042</v>
      </c>
      <c r="E28">
        <v>8123</v>
      </c>
      <c r="F28">
        <v>8</v>
      </c>
      <c r="G28">
        <v>9.1999999999999993</v>
      </c>
      <c r="H28">
        <v>0.86956524999999996</v>
      </c>
      <c r="I28">
        <v>0.13043477000000001</v>
      </c>
      <c r="J28">
        <v>0.53488369999999996</v>
      </c>
    </row>
    <row r="29" spans="1:10" x14ac:dyDescent="0.3">
      <c r="A29">
        <v>27</v>
      </c>
      <c r="B29">
        <v>435</v>
      </c>
      <c r="C29" t="b">
        <v>1</v>
      </c>
      <c r="D29">
        <v>8048</v>
      </c>
      <c r="E29">
        <v>8123</v>
      </c>
      <c r="F29">
        <v>8</v>
      </c>
      <c r="G29">
        <v>8.8000000000000007</v>
      </c>
      <c r="H29">
        <v>0.90909090000000004</v>
      </c>
      <c r="I29">
        <v>9.0909110000000001E-2</v>
      </c>
      <c r="J29">
        <v>0.52380954999999996</v>
      </c>
    </row>
    <row r="30" spans="1:10" x14ac:dyDescent="0.3">
      <c r="A30">
        <v>28</v>
      </c>
      <c r="B30">
        <v>451</v>
      </c>
      <c r="C30" t="b">
        <v>1</v>
      </c>
      <c r="D30">
        <v>8042</v>
      </c>
      <c r="E30">
        <v>8123</v>
      </c>
      <c r="F30">
        <v>8</v>
      </c>
      <c r="G30">
        <v>8.4</v>
      </c>
      <c r="H30">
        <v>0.95238100000000003</v>
      </c>
      <c r="I30">
        <v>4.7619003999999999E-2</v>
      </c>
      <c r="J30">
        <v>0.51219510000000001</v>
      </c>
    </row>
    <row r="31" spans="1:10" x14ac:dyDescent="0.3">
      <c r="A31">
        <v>29</v>
      </c>
      <c r="B31">
        <v>467</v>
      </c>
      <c r="C31" t="b">
        <v>1</v>
      </c>
      <c r="D31">
        <v>8048</v>
      </c>
      <c r="E31">
        <v>8117</v>
      </c>
      <c r="F31">
        <v>8</v>
      </c>
      <c r="G31">
        <v>8</v>
      </c>
      <c r="H31">
        <v>1</v>
      </c>
      <c r="I31">
        <v>0</v>
      </c>
      <c r="J31">
        <v>0.5</v>
      </c>
    </row>
    <row r="32" spans="1:10" x14ac:dyDescent="0.3">
      <c r="A32">
        <v>30</v>
      </c>
      <c r="B32">
        <v>482</v>
      </c>
      <c r="C32" t="b">
        <v>1</v>
      </c>
      <c r="D32">
        <v>8048</v>
      </c>
      <c r="E32">
        <v>8123</v>
      </c>
      <c r="F32">
        <v>8</v>
      </c>
      <c r="G32">
        <v>8</v>
      </c>
      <c r="H32">
        <v>1</v>
      </c>
      <c r="I32">
        <v>0</v>
      </c>
      <c r="J32">
        <v>0.5</v>
      </c>
    </row>
    <row r="33" spans="1:10" x14ac:dyDescent="0.3">
      <c r="A33">
        <v>31</v>
      </c>
      <c r="B33">
        <v>498</v>
      </c>
      <c r="C33" t="b">
        <v>1</v>
      </c>
      <c r="D33">
        <v>8048</v>
      </c>
      <c r="E33">
        <v>8123</v>
      </c>
      <c r="F33">
        <v>8</v>
      </c>
      <c r="G33">
        <v>8</v>
      </c>
      <c r="H33">
        <v>1</v>
      </c>
      <c r="I33">
        <v>0</v>
      </c>
      <c r="J33">
        <v>0.5</v>
      </c>
    </row>
    <row r="34" spans="1:10" x14ac:dyDescent="0.3">
      <c r="A34">
        <v>32</v>
      </c>
      <c r="B34">
        <v>514</v>
      </c>
      <c r="C34" t="b">
        <v>1</v>
      </c>
      <c r="D34">
        <v>8054</v>
      </c>
      <c r="E34">
        <v>8134</v>
      </c>
      <c r="F34">
        <v>8</v>
      </c>
      <c r="G34">
        <v>8</v>
      </c>
      <c r="H34">
        <v>1</v>
      </c>
      <c r="I34">
        <v>0</v>
      </c>
      <c r="J34">
        <v>0.5</v>
      </c>
    </row>
    <row r="35" spans="1:10" x14ac:dyDescent="0.3">
      <c r="A35">
        <v>33</v>
      </c>
      <c r="B35">
        <v>530</v>
      </c>
      <c r="C35" t="b">
        <v>1</v>
      </c>
      <c r="D35">
        <v>8054</v>
      </c>
      <c r="E35">
        <v>8129</v>
      </c>
      <c r="F35">
        <v>8</v>
      </c>
      <c r="G35">
        <v>8</v>
      </c>
      <c r="H35">
        <v>1</v>
      </c>
      <c r="I35">
        <v>0</v>
      </c>
      <c r="J35">
        <v>0.5</v>
      </c>
    </row>
    <row r="36" spans="1:10" x14ac:dyDescent="0.3">
      <c r="A36">
        <v>34</v>
      </c>
      <c r="B36">
        <v>545</v>
      </c>
      <c r="C36" t="b">
        <v>1</v>
      </c>
      <c r="D36">
        <v>8054</v>
      </c>
      <c r="E36">
        <v>8129</v>
      </c>
      <c r="F36">
        <v>8.4</v>
      </c>
      <c r="G36">
        <v>8.4</v>
      </c>
      <c r="H36">
        <v>1</v>
      </c>
      <c r="I36">
        <v>0</v>
      </c>
      <c r="J36">
        <v>0.5</v>
      </c>
    </row>
    <row r="37" spans="1:10" x14ac:dyDescent="0.3">
      <c r="A37">
        <v>35</v>
      </c>
      <c r="B37">
        <v>561</v>
      </c>
      <c r="C37" t="b">
        <v>1</v>
      </c>
      <c r="D37">
        <v>8054</v>
      </c>
      <c r="E37">
        <v>8129</v>
      </c>
      <c r="F37">
        <v>8.8000000000000007</v>
      </c>
      <c r="G37">
        <v>8.8000000000000007</v>
      </c>
      <c r="H37">
        <v>1</v>
      </c>
      <c r="I37">
        <v>0</v>
      </c>
      <c r="J37">
        <v>0.5</v>
      </c>
    </row>
    <row r="38" spans="1:10" x14ac:dyDescent="0.3">
      <c r="A38">
        <v>36</v>
      </c>
      <c r="B38">
        <v>577</v>
      </c>
      <c r="C38" t="b">
        <v>1</v>
      </c>
      <c r="D38">
        <v>8054</v>
      </c>
      <c r="E38">
        <v>8123</v>
      </c>
      <c r="F38">
        <v>9.1999999999999993</v>
      </c>
      <c r="G38">
        <v>9.1999999999999993</v>
      </c>
      <c r="H38">
        <v>1</v>
      </c>
      <c r="I38">
        <v>0</v>
      </c>
      <c r="J38">
        <v>0.5</v>
      </c>
    </row>
    <row r="39" spans="1:10" x14ac:dyDescent="0.3">
      <c r="A39">
        <v>37</v>
      </c>
      <c r="B39">
        <v>593</v>
      </c>
      <c r="C39" t="b">
        <v>1</v>
      </c>
      <c r="D39">
        <v>8048</v>
      </c>
      <c r="E39">
        <v>8129</v>
      </c>
      <c r="F39">
        <v>9.6</v>
      </c>
      <c r="G39">
        <v>9.6</v>
      </c>
      <c r="H39">
        <v>1</v>
      </c>
      <c r="I39">
        <v>0</v>
      </c>
      <c r="J39">
        <v>0.5</v>
      </c>
    </row>
    <row r="40" spans="1:10" x14ac:dyDescent="0.3">
      <c r="A40">
        <v>38</v>
      </c>
      <c r="B40">
        <v>609</v>
      </c>
      <c r="C40" t="b">
        <v>1</v>
      </c>
      <c r="D40">
        <v>8054</v>
      </c>
      <c r="E40">
        <v>8123</v>
      </c>
      <c r="F40">
        <v>10</v>
      </c>
      <c r="G40">
        <v>10</v>
      </c>
      <c r="H40">
        <v>1</v>
      </c>
      <c r="I40">
        <v>0</v>
      </c>
      <c r="J40">
        <v>0.5</v>
      </c>
    </row>
    <row r="41" spans="1:10" x14ac:dyDescent="0.3">
      <c r="A41">
        <v>39</v>
      </c>
      <c r="B41">
        <v>624</v>
      </c>
      <c r="C41" t="b">
        <v>1</v>
      </c>
      <c r="D41">
        <v>8048</v>
      </c>
      <c r="E41">
        <v>8123</v>
      </c>
      <c r="F41">
        <v>10.4</v>
      </c>
      <c r="G41">
        <v>10</v>
      </c>
      <c r="H41">
        <v>1.04</v>
      </c>
      <c r="I41">
        <v>-3.9999960000000001E-2</v>
      </c>
      <c r="J41">
        <v>0.49019607999999998</v>
      </c>
    </row>
    <row r="42" spans="1:10" x14ac:dyDescent="0.3">
      <c r="A42">
        <v>40</v>
      </c>
      <c r="B42">
        <v>640</v>
      </c>
      <c r="C42" t="b">
        <v>1</v>
      </c>
      <c r="D42">
        <v>8048</v>
      </c>
      <c r="E42">
        <v>8123</v>
      </c>
      <c r="F42">
        <v>10.4</v>
      </c>
      <c r="G42">
        <v>10</v>
      </c>
      <c r="H42">
        <v>1.04</v>
      </c>
      <c r="I42">
        <v>-3.9999960000000001E-2</v>
      </c>
      <c r="J42">
        <v>0.49019607999999998</v>
      </c>
    </row>
    <row r="43" spans="1:10" x14ac:dyDescent="0.3">
      <c r="A43">
        <v>41</v>
      </c>
      <c r="B43">
        <v>656</v>
      </c>
      <c r="C43" t="b">
        <v>1</v>
      </c>
      <c r="D43">
        <v>8048</v>
      </c>
      <c r="E43">
        <v>8129</v>
      </c>
      <c r="F43">
        <v>10.4</v>
      </c>
      <c r="G43">
        <v>10</v>
      </c>
      <c r="H43">
        <v>1.04</v>
      </c>
      <c r="I43">
        <v>-3.9999960000000001E-2</v>
      </c>
      <c r="J43">
        <v>0.49019607999999998</v>
      </c>
    </row>
    <row r="44" spans="1:10" x14ac:dyDescent="0.3">
      <c r="A44">
        <v>42</v>
      </c>
      <c r="B44">
        <v>672</v>
      </c>
      <c r="C44" t="b">
        <v>1</v>
      </c>
      <c r="D44">
        <v>8042</v>
      </c>
      <c r="E44">
        <v>8129</v>
      </c>
      <c r="F44">
        <v>10.4</v>
      </c>
      <c r="G44">
        <v>10</v>
      </c>
      <c r="H44">
        <v>1.04</v>
      </c>
      <c r="I44">
        <v>-3.9999960000000001E-2</v>
      </c>
      <c r="J44">
        <v>0.49019607999999998</v>
      </c>
    </row>
    <row r="45" spans="1:10" x14ac:dyDescent="0.3">
      <c r="A45">
        <v>43</v>
      </c>
      <c r="B45">
        <v>687</v>
      </c>
      <c r="C45" t="b">
        <v>1</v>
      </c>
      <c r="D45">
        <v>8048</v>
      </c>
      <c r="E45">
        <v>8134</v>
      </c>
      <c r="F45">
        <v>10.4</v>
      </c>
      <c r="G45">
        <v>10.4</v>
      </c>
      <c r="H45">
        <v>1</v>
      </c>
      <c r="I45">
        <v>0</v>
      </c>
      <c r="J45">
        <v>0.5</v>
      </c>
    </row>
    <row r="46" spans="1:10" x14ac:dyDescent="0.3">
      <c r="A46">
        <v>44</v>
      </c>
      <c r="B46">
        <v>703</v>
      </c>
      <c r="C46" t="b">
        <v>1</v>
      </c>
      <c r="D46">
        <v>8042</v>
      </c>
      <c r="E46">
        <v>8129</v>
      </c>
      <c r="F46">
        <v>10.4</v>
      </c>
      <c r="G46">
        <v>10.8</v>
      </c>
      <c r="H46">
        <v>0.96296289999999996</v>
      </c>
      <c r="I46">
        <v>3.7037090000000002E-2</v>
      </c>
      <c r="J46">
        <v>0.5094339</v>
      </c>
    </row>
    <row r="47" spans="1:10" x14ac:dyDescent="0.3">
      <c r="A47">
        <v>45</v>
      </c>
      <c r="B47">
        <v>719</v>
      </c>
      <c r="C47" t="b">
        <v>1</v>
      </c>
      <c r="D47">
        <v>8048</v>
      </c>
      <c r="E47">
        <v>8123</v>
      </c>
      <c r="F47">
        <v>10.4</v>
      </c>
      <c r="G47">
        <v>11.2</v>
      </c>
      <c r="H47">
        <v>0.92857140000000005</v>
      </c>
      <c r="I47">
        <v>7.142859E-2</v>
      </c>
      <c r="J47">
        <v>0.51851857000000001</v>
      </c>
    </row>
    <row r="48" spans="1:10" x14ac:dyDescent="0.3">
      <c r="A48">
        <v>46</v>
      </c>
      <c r="B48">
        <v>735</v>
      </c>
      <c r="C48" t="b">
        <v>1</v>
      </c>
      <c r="D48">
        <v>8048</v>
      </c>
      <c r="E48">
        <v>8129</v>
      </c>
      <c r="F48">
        <v>10.4</v>
      </c>
      <c r="G48">
        <v>11.6</v>
      </c>
      <c r="H48">
        <v>0.89655167000000002</v>
      </c>
      <c r="I48">
        <v>0.10344834</v>
      </c>
      <c r="J48">
        <v>0.52727276000000001</v>
      </c>
    </row>
    <row r="49" spans="1:10" x14ac:dyDescent="0.3">
      <c r="A49">
        <v>47</v>
      </c>
      <c r="B49">
        <v>751</v>
      </c>
      <c r="C49" t="b">
        <v>1</v>
      </c>
      <c r="D49">
        <v>8048</v>
      </c>
      <c r="E49">
        <v>8129</v>
      </c>
      <c r="F49">
        <v>10.4</v>
      </c>
      <c r="G49">
        <v>12</v>
      </c>
      <c r="H49">
        <v>0.86666659999999995</v>
      </c>
      <c r="I49">
        <v>0.13333337000000001</v>
      </c>
      <c r="J49">
        <v>0.53571427000000005</v>
      </c>
    </row>
    <row r="50" spans="1:10" x14ac:dyDescent="0.3">
      <c r="A50">
        <v>48</v>
      </c>
      <c r="B50">
        <v>767</v>
      </c>
      <c r="C50" t="b">
        <v>1</v>
      </c>
      <c r="D50">
        <v>8048</v>
      </c>
      <c r="E50">
        <v>8123</v>
      </c>
      <c r="F50">
        <v>10.4</v>
      </c>
      <c r="G50">
        <v>12.4</v>
      </c>
      <c r="H50">
        <v>0.83870964999999997</v>
      </c>
      <c r="I50">
        <v>0.16129033000000001</v>
      </c>
      <c r="J50">
        <v>0.54385965999999997</v>
      </c>
    </row>
    <row r="51" spans="1:10" x14ac:dyDescent="0.3">
      <c r="A51">
        <v>49</v>
      </c>
      <c r="B51">
        <v>783</v>
      </c>
      <c r="C51" t="b">
        <v>1</v>
      </c>
      <c r="D51">
        <v>8048</v>
      </c>
      <c r="E51">
        <v>8123</v>
      </c>
      <c r="F51">
        <v>10</v>
      </c>
      <c r="G51">
        <v>12</v>
      </c>
      <c r="H51">
        <v>0.83333330000000005</v>
      </c>
      <c r="I51">
        <v>0.16666666999999999</v>
      </c>
      <c r="J51">
        <v>0.54545456000000003</v>
      </c>
    </row>
    <row r="52" spans="1:10" x14ac:dyDescent="0.3">
      <c r="A52">
        <v>50</v>
      </c>
      <c r="B52">
        <v>799</v>
      </c>
      <c r="C52" t="b">
        <v>1</v>
      </c>
      <c r="D52">
        <v>8048</v>
      </c>
      <c r="E52">
        <v>8123</v>
      </c>
      <c r="F52">
        <v>9.6</v>
      </c>
      <c r="G52">
        <v>11.6</v>
      </c>
      <c r="H52">
        <v>0.82758622999999998</v>
      </c>
      <c r="I52">
        <v>0.17241377999999999</v>
      </c>
      <c r="J52">
        <v>0.54716980000000004</v>
      </c>
    </row>
    <row r="53" spans="1:10" x14ac:dyDescent="0.3">
      <c r="A53">
        <v>51</v>
      </c>
      <c r="B53">
        <v>815</v>
      </c>
      <c r="C53" t="b">
        <v>1</v>
      </c>
      <c r="D53">
        <v>8042</v>
      </c>
      <c r="E53">
        <v>8134</v>
      </c>
      <c r="F53">
        <v>9.1999999999999993</v>
      </c>
      <c r="G53">
        <v>11.2</v>
      </c>
      <c r="H53">
        <v>0.82142859999999995</v>
      </c>
      <c r="I53">
        <v>0.17857143</v>
      </c>
      <c r="J53">
        <v>0.54901962999999998</v>
      </c>
    </row>
    <row r="54" spans="1:10" x14ac:dyDescent="0.3">
      <c r="A54">
        <v>52</v>
      </c>
      <c r="B54">
        <v>831</v>
      </c>
      <c r="C54" t="b">
        <v>1</v>
      </c>
      <c r="D54">
        <v>8048</v>
      </c>
      <c r="E54">
        <v>8123</v>
      </c>
      <c r="F54">
        <v>8.8000000000000007</v>
      </c>
      <c r="G54">
        <v>10.8</v>
      </c>
      <c r="H54">
        <v>0.81481479999999995</v>
      </c>
      <c r="I54">
        <v>0.18518518</v>
      </c>
      <c r="J54">
        <v>0.55102039999999997</v>
      </c>
    </row>
    <row r="55" spans="1:10" x14ac:dyDescent="0.3">
      <c r="A55">
        <v>53</v>
      </c>
      <c r="B55">
        <v>847</v>
      </c>
      <c r="C55" t="b">
        <v>1</v>
      </c>
      <c r="D55">
        <v>8048</v>
      </c>
      <c r="E55">
        <v>8123</v>
      </c>
      <c r="F55">
        <v>8.4</v>
      </c>
      <c r="G55">
        <v>10.4</v>
      </c>
      <c r="H55">
        <v>0.80769230000000003</v>
      </c>
      <c r="I55">
        <v>0.1923077</v>
      </c>
      <c r="J55">
        <v>0.55319149999999995</v>
      </c>
    </row>
    <row r="56" spans="1:10" x14ac:dyDescent="0.3">
      <c r="A56">
        <v>54</v>
      </c>
      <c r="B56">
        <v>863</v>
      </c>
      <c r="C56" t="b">
        <v>1</v>
      </c>
      <c r="D56">
        <v>8048</v>
      </c>
      <c r="E56">
        <v>8123</v>
      </c>
      <c r="F56">
        <v>8</v>
      </c>
      <c r="G56">
        <v>10.4</v>
      </c>
      <c r="H56">
        <v>0.76923079999999999</v>
      </c>
      <c r="I56">
        <v>0.23076920000000001</v>
      </c>
      <c r="J56">
        <v>0.56521739999999998</v>
      </c>
    </row>
    <row r="57" spans="1:10" x14ac:dyDescent="0.3">
      <c r="A57">
        <v>55</v>
      </c>
      <c r="B57">
        <v>878</v>
      </c>
      <c r="C57" t="b">
        <v>1</v>
      </c>
      <c r="D57">
        <v>8048</v>
      </c>
      <c r="E57">
        <v>8129</v>
      </c>
      <c r="F57">
        <v>8</v>
      </c>
      <c r="G57">
        <v>10.4</v>
      </c>
      <c r="H57">
        <v>0.76923079999999999</v>
      </c>
      <c r="I57">
        <v>0.23076920000000001</v>
      </c>
      <c r="J57">
        <v>0.56521739999999998</v>
      </c>
    </row>
    <row r="58" spans="1:10" x14ac:dyDescent="0.3">
      <c r="A58">
        <v>56</v>
      </c>
      <c r="B58">
        <v>894</v>
      </c>
      <c r="C58" t="b">
        <v>1</v>
      </c>
      <c r="D58">
        <v>8048</v>
      </c>
      <c r="E58">
        <v>8123</v>
      </c>
      <c r="F58">
        <v>8</v>
      </c>
      <c r="G58">
        <v>10.4</v>
      </c>
      <c r="H58">
        <v>0.76923079999999999</v>
      </c>
      <c r="I58">
        <v>0.23076920000000001</v>
      </c>
      <c r="J58">
        <v>0.56521739999999998</v>
      </c>
    </row>
    <row r="59" spans="1:10" x14ac:dyDescent="0.3">
      <c r="A59">
        <v>57</v>
      </c>
      <c r="B59">
        <v>910</v>
      </c>
      <c r="C59" t="b">
        <v>1</v>
      </c>
      <c r="D59">
        <v>8048</v>
      </c>
      <c r="E59">
        <v>8129</v>
      </c>
      <c r="F59">
        <v>8</v>
      </c>
      <c r="G59">
        <v>10.4</v>
      </c>
      <c r="H59">
        <v>0.76923079999999999</v>
      </c>
      <c r="I59">
        <v>0.23076920000000001</v>
      </c>
      <c r="J59">
        <v>0.56521739999999998</v>
      </c>
    </row>
    <row r="60" spans="1:10" x14ac:dyDescent="0.3">
      <c r="A60">
        <v>58</v>
      </c>
      <c r="B60">
        <v>926</v>
      </c>
      <c r="C60" t="b">
        <v>1</v>
      </c>
      <c r="D60">
        <v>8048</v>
      </c>
      <c r="E60">
        <v>8123</v>
      </c>
      <c r="F60">
        <v>8</v>
      </c>
      <c r="G60">
        <v>10</v>
      </c>
      <c r="H60">
        <v>0.8</v>
      </c>
      <c r="I60">
        <v>0.2</v>
      </c>
      <c r="J60">
        <v>0.55555560000000004</v>
      </c>
    </row>
    <row r="61" spans="1:10" x14ac:dyDescent="0.3">
      <c r="A61">
        <v>59</v>
      </c>
      <c r="B61">
        <v>941</v>
      </c>
      <c r="C61" t="b">
        <v>1</v>
      </c>
      <c r="D61">
        <v>8048</v>
      </c>
      <c r="E61">
        <v>8123</v>
      </c>
      <c r="F61">
        <v>8</v>
      </c>
      <c r="G61">
        <v>9.6</v>
      </c>
      <c r="H61">
        <v>0.83333330000000005</v>
      </c>
      <c r="I61">
        <v>0.1666667</v>
      </c>
      <c r="J61">
        <v>0.54545456000000003</v>
      </c>
    </row>
    <row r="62" spans="1:10" x14ac:dyDescent="0.3">
      <c r="A62">
        <v>60</v>
      </c>
      <c r="B62">
        <v>957</v>
      </c>
      <c r="C62" t="b">
        <v>1</v>
      </c>
      <c r="D62">
        <v>8048</v>
      </c>
      <c r="E62">
        <v>8129</v>
      </c>
      <c r="F62">
        <v>8</v>
      </c>
      <c r="G62">
        <v>9.1999999999999993</v>
      </c>
      <c r="H62">
        <v>0.86956524999999996</v>
      </c>
      <c r="I62">
        <v>0.13043477000000001</v>
      </c>
      <c r="J62">
        <v>0.53488369999999996</v>
      </c>
    </row>
    <row r="63" spans="1:10" x14ac:dyDescent="0.3">
      <c r="A63">
        <v>61</v>
      </c>
      <c r="B63">
        <v>973</v>
      </c>
      <c r="C63" t="b">
        <v>1</v>
      </c>
      <c r="D63">
        <v>8048</v>
      </c>
      <c r="E63">
        <v>8123</v>
      </c>
      <c r="F63">
        <v>8</v>
      </c>
      <c r="G63">
        <v>8.8000000000000007</v>
      </c>
      <c r="H63">
        <v>0.90909090000000004</v>
      </c>
      <c r="I63">
        <v>9.0909110000000001E-2</v>
      </c>
      <c r="J63">
        <v>0.52380954999999996</v>
      </c>
    </row>
    <row r="64" spans="1:10" x14ac:dyDescent="0.3">
      <c r="A64">
        <v>62</v>
      </c>
      <c r="B64">
        <v>988</v>
      </c>
      <c r="C64" t="b">
        <v>1</v>
      </c>
      <c r="D64">
        <v>8048</v>
      </c>
      <c r="E64">
        <v>8123</v>
      </c>
      <c r="F64">
        <v>8</v>
      </c>
      <c r="G64">
        <v>8.4</v>
      </c>
      <c r="H64">
        <v>0.95238100000000003</v>
      </c>
      <c r="I64">
        <v>4.7619003999999999E-2</v>
      </c>
      <c r="J64">
        <v>0.51219510000000001</v>
      </c>
    </row>
    <row r="65" spans="1:10" x14ac:dyDescent="0.3">
      <c r="A65">
        <v>63</v>
      </c>
      <c r="B65">
        <v>1004</v>
      </c>
      <c r="C65" t="b">
        <v>1</v>
      </c>
      <c r="D65">
        <v>8048</v>
      </c>
      <c r="E65">
        <v>8123</v>
      </c>
      <c r="F65">
        <v>8</v>
      </c>
      <c r="G65">
        <v>8</v>
      </c>
      <c r="H65">
        <v>1</v>
      </c>
      <c r="I65">
        <v>0</v>
      </c>
      <c r="J65">
        <v>0.5</v>
      </c>
    </row>
    <row r="66" spans="1:10" x14ac:dyDescent="0.3">
      <c r="A66">
        <v>64</v>
      </c>
      <c r="B66">
        <v>1020</v>
      </c>
      <c r="C66" t="b">
        <v>1</v>
      </c>
      <c r="D66">
        <v>8048</v>
      </c>
      <c r="E66">
        <v>8123</v>
      </c>
      <c r="F66">
        <v>8</v>
      </c>
      <c r="G66">
        <v>8</v>
      </c>
      <c r="H66">
        <v>1</v>
      </c>
      <c r="I66">
        <v>0</v>
      </c>
      <c r="J66">
        <v>0.5</v>
      </c>
    </row>
    <row r="67" spans="1:10" x14ac:dyDescent="0.3">
      <c r="A67">
        <v>65</v>
      </c>
      <c r="B67">
        <v>1036</v>
      </c>
      <c r="C67" t="b">
        <v>1</v>
      </c>
      <c r="D67">
        <v>8048</v>
      </c>
      <c r="E67">
        <v>8123</v>
      </c>
      <c r="F67">
        <v>8</v>
      </c>
      <c r="G67">
        <v>8</v>
      </c>
      <c r="H67">
        <v>1</v>
      </c>
      <c r="I67">
        <v>0</v>
      </c>
      <c r="J67">
        <v>0.5</v>
      </c>
    </row>
    <row r="68" spans="1:10" x14ac:dyDescent="0.3">
      <c r="A68">
        <v>66</v>
      </c>
      <c r="B68">
        <v>1052</v>
      </c>
      <c r="C68" t="b">
        <v>1</v>
      </c>
      <c r="D68">
        <v>8048</v>
      </c>
      <c r="E68">
        <v>8123</v>
      </c>
      <c r="F68">
        <v>8</v>
      </c>
      <c r="G68">
        <v>8</v>
      </c>
      <c r="H68">
        <v>1</v>
      </c>
      <c r="I68">
        <v>0</v>
      </c>
      <c r="J68">
        <v>0.5</v>
      </c>
    </row>
    <row r="69" spans="1:10" x14ac:dyDescent="0.3">
      <c r="A69">
        <v>67</v>
      </c>
      <c r="B69">
        <v>1068</v>
      </c>
      <c r="C69" t="b">
        <v>1</v>
      </c>
      <c r="D69">
        <v>8048</v>
      </c>
      <c r="E69">
        <v>8129</v>
      </c>
      <c r="F69">
        <v>8</v>
      </c>
      <c r="G69">
        <v>8</v>
      </c>
      <c r="H69">
        <v>1</v>
      </c>
      <c r="I69">
        <v>0</v>
      </c>
      <c r="J69">
        <v>0.5</v>
      </c>
    </row>
    <row r="70" spans="1:10" x14ac:dyDescent="0.3">
      <c r="A70">
        <v>68</v>
      </c>
      <c r="B70">
        <v>1084</v>
      </c>
      <c r="C70" t="b">
        <v>1</v>
      </c>
      <c r="D70">
        <v>8054</v>
      </c>
      <c r="E70">
        <v>8123</v>
      </c>
      <c r="F70">
        <v>8</v>
      </c>
      <c r="G70">
        <v>8</v>
      </c>
      <c r="H70">
        <v>1</v>
      </c>
      <c r="I70">
        <v>0</v>
      </c>
      <c r="J70">
        <v>0.5</v>
      </c>
    </row>
    <row r="71" spans="1:10" x14ac:dyDescent="0.3">
      <c r="A71">
        <v>69</v>
      </c>
      <c r="B71">
        <v>1116</v>
      </c>
      <c r="C71" t="b">
        <v>1</v>
      </c>
      <c r="D71">
        <v>8048</v>
      </c>
      <c r="E71">
        <v>8123</v>
      </c>
      <c r="F71">
        <v>8</v>
      </c>
      <c r="G71">
        <v>8</v>
      </c>
      <c r="H71">
        <v>1</v>
      </c>
      <c r="I71">
        <v>0</v>
      </c>
      <c r="J71">
        <v>0.5</v>
      </c>
    </row>
    <row r="72" spans="1:10" x14ac:dyDescent="0.3">
      <c r="A72">
        <v>70</v>
      </c>
      <c r="B72">
        <v>1131</v>
      </c>
      <c r="C72" t="b">
        <v>1</v>
      </c>
      <c r="D72">
        <v>8048</v>
      </c>
      <c r="E72">
        <v>8129</v>
      </c>
      <c r="F72">
        <v>8</v>
      </c>
      <c r="G72">
        <v>8</v>
      </c>
      <c r="H72">
        <v>1</v>
      </c>
      <c r="I72">
        <v>0</v>
      </c>
      <c r="J72">
        <v>0.5</v>
      </c>
    </row>
    <row r="73" spans="1:10" x14ac:dyDescent="0.3">
      <c r="A73">
        <v>71</v>
      </c>
      <c r="B73">
        <v>1147</v>
      </c>
      <c r="C73" t="b">
        <v>1</v>
      </c>
      <c r="D73">
        <v>8048</v>
      </c>
      <c r="E73">
        <v>8123</v>
      </c>
      <c r="F73">
        <v>8</v>
      </c>
      <c r="G73">
        <v>8</v>
      </c>
      <c r="H73">
        <v>1</v>
      </c>
      <c r="I73">
        <v>0</v>
      </c>
      <c r="J73">
        <v>0.5</v>
      </c>
    </row>
    <row r="74" spans="1:10" x14ac:dyDescent="0.3">
      <c r="A74">
        <v>72</v>
      </c>
      <c r="B74">
        <v>1163</v>
      </c>
      <c r="C74" t="b">
        <v>1</v>
      </c>
      <c r="D74">
        <v>8048</v>
      </c>
      <c r="E74">
        <v>8123</v>
      </c>
      <c r="F74">
        <v>8</v>
      </c>
      <c r="G74">
        <v>8</v>
      </c>
      <c r="H74">
        <v>1</v>
      </c>
      <c r="I74">
        <v>0</v>
      </c>
      <c r="J74">
        <v>0.5</v>
      </c>
    </row>
    <row r="75" spans="1:10" x14ac:dyDescent="0.3">
      <c r="A75">
        <v>73</v>
      </c>
      <c r="B75">
        <v>1179</v>
      </c>
      <c r="C75" t="b">
        <v>1</v>
      </c>
      <c r="D75">
        <v>8048</v>
      </c>
      <c r="E75">
        <v>8123</v>
      </c>
      <c r="F75">
        <v>8</v>
      </c>
      <c r="G75">
        <v>8</v>
      </c>
      <c r="H75">
        <v>1</v>
      </c>
      <c r="I75">
        <v>0</v>
      </c>
      <c r="J75">
        <v>0.5</v>
      </c>
    </row>
    <row r="76" spans="1:10" x14ac:dyDescent="0.3">
      <c r="A76">
        <v>74</v>
      </c>
      <c r="B76">
        <v>1195</v>
      </c>
      <c r="C76" t="b">
        <v>1</v>
      </c>
      <c r="D76">
        <v>8048</v>
      </c>
      <c r="E76">
        <v>8123</v>
      </c>
      <c r="F76">
        <v>8</v>
      </c>
      <c r="G76">
        <v>8</v>
      </c>
      <c r="H76">
        <v>1</v>
      </c>
      <c r="I76">
        <v>0</v>
      </c>
      <c r="J76">
        <v>0.5</v>
      </c>
    </row>
    <row r="77" spans="1:10" x14ac:dyDescent="0.3">
      <c r="A77">
        <v>75</v>
      </c>
      <c r="B77">
        <v>1211</v>
      </c>
      <c r="C77" t="b">
        <v>1</v>
      </c>
      <c r="D77">
        <v>8048</v>
      </c>
      <c r="E77">
        <v>8123</v>
      </c>
      <c r="F77">
        <v>8</v>
      </c>
      <c r="G77">
        <v>8</v>
      </c>
      <c r="H77">
        <v>1</v>
      </c>
      <c r="I77">
        <v>0</v>
      </c>
      <c r="J77">
        <v>0.5</v>
      </c>
    </row>
    <row r="78" spans="1:10" x14ac:dyDescent="0.3">
      <c r="A78">
        <v>76</v>
      </c>
      <c r="B78">
        <v>1227</v>
      </c>
      <c r="C78" t="b">
        <v>1</v>
      </c>
      <c r="D78">
        <v>8037</v>
      </c>
      <c r="E78">
        <v>8123</v>
      </c>
      <c r="F78">
        <v>8</v>
      </c>
      <c r="G78">
        <v>8</v>
      </c>
      <c r="H78">
        <v>1</v>
      </c>
      <c r="I78">
        <v>0</v>
      </c>
      <c r="J78">
        <v>0.5</v>
      </c>
    </row>
    <row r="79" spans="1:10" x14ac:dyDescent="0.3">
      <c r="A79">
        <v>77</v>
      </c>
      <c r="B79">
        <v>1242</v>
      </c>
      <c r="C79" t="b">
        <v>1</v>
      </c>
      <c r="D79">
        <v>8042</v>
      </c>
      <c r="E79">
        <v>8123</v>
      </c>
      <c r="F79">
        <v>8</v>
      </c>
      <c r="G79">
        <v>8</v>
      </c>
      <c r="H79">
        <v>1</v>
      </c>
      <c r="I79">
        <v>0</v>
      </c>
      <c r="J79">
        <v>0.5</v>
      </c>
    </row>
    <row r="80" spans="1:10" x14ac:dyDescent="0.3">
      <c r="A80">
        <v>78</v>
      </c>
      <c r="B80">
        <v>1258</v>
      </c>
      <c r="C80" t="b">
        <v>1</v>
      </c>
      <c r="D80">
        <v>8042</v>
      </c>
      <c r="E80">
        <v>8123</v>
      </c>
      <c r="F80">
        <v>7.6</v>
      </c>
      <c r="G80">
        <v>8</v>
      </c>
      <c r="H80">
        <v>0.95</v>
      </c>
      <c r="I80">
        <v>5.0000012000000003E-2</v>
      </c>
      <c r="J80">
        <v>0.51282050000000001</v>
      </c>
    </row>
    <row r="81" spans="1:10" x14ac:dyDescent="0.3">
      <c r="A81">
        <v>79</v>
      </c>
      <c r="B81">
        <v>1274</v>
      </c>
      <c r="C81" t="b">
        <v>1</v>
      </c>
      <c r="D81">
        <v>8042</v>
      </c>
      <c r="E81">
        <v>8123</v>
      </c>
      <c r="F81">
        <v>7.2</v>
      </c>
      <c r="G81">
        <v>8</v>
      </c>
      <c r="H81">
        <v>0.9</v>
      </c>
      <c r="I81">
        <v>0.10000002400000001</v>
      </c>
      <c r="J81">
        <v>0.5263158</v>
      </c>
    </row>
    <row r="82" spans="1:10" x14ac:dyDescent="0.3">
      <c r="A82">
        <v>80</v>
      </c>
      <c r="B82">
        <v>1290</v>
      </c>
      <c r="C82" t="b">
        <v>1</v>
      </c>
      <c r="D82">
        <v>8042</v>
      </c>
      <c r="E82">
        <v>8123</v>
      </c>
      <c r="F82">
        <v>6.8</v>
      </c>
      <c r="G82">
        <v>8</v>
      </c>
      <c r="H82">
        <v>0.85</v>
      </c>
      <c r="I82">
        <v>0.14999998</v>
      </c>
      <c r="J82">
        <v>0.54054049999999998</v>
      </c>
    </row>
    <row r="83" spans="1:10" x14ac:dyDescent="0.3">
      <c r="A83">
        <v>81</v>
      </c>
      <c r="B83">
        <v>1306</v>
      </c>
      <c r="C83" t="b">
        <v>1</v>
      </c>
      <c r="D83">
        <v>8042</v>
      </c>
      <c r="E83">
        <v>8129</v>
      </c>
      <c r="F83">
        <v>6.4</v>
      </c>
      <c r="G83">
        <v>8</v>
      </c>
      <c r="H83">
        <v>0.8</v>
      </c>
      <c r="I83">
        <v>0.19999998999999999</v>
      </c>
      <c r="J83">
        <v>0.55555560000000004</v>
      </c>
    </row>
    <row r="84" spans="1:10" x14ac:dyDescent="0.3">
      <c r="A84">
        <v>82</v>
      </c>
      <c r="B84">
        <v>1322</v>
      </c>
      <c r="C84" t="b">
        <v>1</v>
      </c>
      <c r="D84">
        <v>8048</v>
      </c>
      <c r="E84">
        <v>8129</v>
      </c>
      <c r="F84">
        <v>6</v>
      </c>
      <c r="G84">
        <v>8</v>
      </c>
      <c r="H84">
        <v>0.75</v>
      </c>
      <c r="I84">
        <v>0.25</v>
      </c>
      <c r="J84">
        <v>0.57142859999999995</v>
      </c>
    </row>
    <row r="85" spans="1:10" x14ac:dyDescent="0.3">
      <c r="A85">
        <v>83</v>
      </c>
      <c r="B85">
        <v>1338</v>
      </c>
      <c r="C85" t="b">
        <v>1</v>
      </c>
      <c r="D85">
        <v>8048</v>
      </c>
      <c r="E85">
        <v>8123</v>
      </c>
      <c r="F85">
        <v>5.6</v>
      </c>
      <c r="G85">
        <v>8</v>
      </c>
      <c r="H85">
        <v>0.7</v>
      </c>
      <c r="I85">
        <v>0.3</v>
      </c>
      <c r="J85">
        <v>0.58823526000000004</v>
      </c>
    </row>
    <row r="86" spans="1:10" x14ac:dyDescent="0.3">
      <c r="A86">
        <v>84</v>
      </c>
      <c r="B86">
        <v>1354</v>
      </c>
      <c r="C86" t="b">
        <v>1</v>
      </c>
      <c r="D86">
        <v>8048</v>
      </c>
      <c r="E86">
        <v>8123</v>
      </c>
      <c r="F86">
        <v>5.6</v>
      </c>
      <c r="G86">
        <v>8</v>
      </c>
      <c r="H86">
        <v>0.7</v>
      </c>
      <c r="I86">
        <v>0.3</v>
      </c>
      <c r="J86">
        <v>0.58823526000000004</v>
      </c>
    </row>
    <row r="87" spans="1:10" x14ac:dyDescent="0.3">
      <c r="A87">
        <v>85</v>
      </c>
      <c r="B87">
        <v>1370</v>
      </c>
      <c r="C87" t="b">
        <v>1</v>
      </c>
      <c r="D87">
        <v>8048</v>
      </c>
      <c r="E87">
        <v>8117</v>
      </c>
      <c r="F87">
        <v>5.6</v>
      </c>
      <c r="G87">
        <v>8</v>
      </c>
      <c r="H87">
        <v>0.7</v>
      </c>
      <c r="I87">
        <v>0.3</v>
      </c>
      <c r="J87">
        <v>0.58823526000000004</v>
      </c>
    </row>
    <row r="88" spans="1:10" x14ac:dyDescent="0.3">
      <c r="A88">
        <v>86</v>
      </c>
      <c r="B88">
        <v>1386</v>
      </c>
      <c r="C88" t="b">
        <v>1</v>
      </c>
      <c r="D88">
        <v>8048</v>
      </c>
      <c r="E88">
        <v>8117</v>
      </c>
      <c r="F88">
        <v>5.6</v>
      </c>
      <c r="G88">
        <v>8</v>
      </c>
      <c r="H88">
        <v>0.7</v>
      </c>
      <c r="I88">
        <v>0.3</v>
      </c>
      <c r="J88">
        <v>0.58823526000000004</v>
      </c>
    </row>
    <row r="89" spans="1:10" x14ac:dyDescent="0.3">
      <c r="A89">
        <v>87</v>
      </c>
      <c r="B89">
        <v>1402</v>
      </c>
      <c r="C89" t="b">
        <v>1</v>
      </c>
      <c r="D89">
        <v>8048</v>
      </c>
      <c r="E89">
        <v>8117</v>
      </c>
      <c r="F89">
        <v>5.6</v>
      </c>
      <c r="G89">
        <v>7.6</v>
      </c>
      <c r="H89">
        <v>0.73684210000000006</v>
      </c>
      <c r="I89">
        <v>0.2631579</v>
      </c>
      <c r="J89">
        <v>0.57575756</v>
      </c>
    </row>
    <row r="90" spans="1:10" x14ac:dyDescent="0.3">
      <c r="A90">
        <v>88</v>
      </c>
      <c r="B90">
        <v>1418</v>
      </c>
      <c r="C90" t="b">
        <v>1</v>
      </c>
      <c r="D90">
        <v>8048</v>
      </c>
      <c r="E90">
        <v>8117</v>
      </c>
      <c r="F90">
        <v>5.6</v>
      </c>
      <c r="G90">
        <v>7.2</v>
      </c>
      <c r="H90">
        <v>0.77777779999999996</v>
      </c>
      <c r="I90">
        <v>0.22222221</v>
      </c>
      <c r="J90">
        <v>0.5625</v>
      </c>
    </row>
    <row r="91" spans="1:10" x14ac:dyDescent="0.3">
      <c r="A91">
        <v>89</v>
      </c>
      <c r="B91">
        <v>1434</v>
      </c>
      <c r="C91" t="b">
        <v>1</v>
      </c>
      <c r="D91">
        <v>8048</v>
      </c>
      <c r="E91">
        <v>8117</v>
      </c>
      <c r="F91">
        <v>5.6</v>
      </c>
      <c r="G91">
        <v>6.8</v>
      </c>
      <c r="H91">
        <v>0.82352935999999999</v>
      </c>
      <c r="I91">
        <v>0.17647061999999999</v>
      </c>
      <c r="J91">
        <v>0.54838710000000002</v>
      </c>
    </row>
    <row r="92" spans="1:10" x14ac:dyDescent="0.3">
      <c r="A92">
        <v>90</v>
      </c>
      <c r="B92">
        <v>1450</v>
      </c>
      <c r="C92" t="b">
        <v>1</v>
      </c>
      <c r="D92">
        <v>8048</v>
      </c>
      <c r="E92">
        <v>8117</v>
      </c>
      <c r="F92">
        <v>5.6</v>
      </c>
      <c r="G92">
        <v>6.4</v>
      </c>
      <c r="H92">
        <v>0.875</v>
      </c>
      <c r="I92">
        <v>0.12500003000000001</v>
      </c>
      <c r="J92">
        <v>0.53333335999999998</v>
      </c>
    </row>
    <row r="93" spans="1:10" x14ac:dyDescent="0.3">
      <c r="A93">
        <v>91</v>
      </c>
      <c r="B93">
        <v>1466</v>
      </c>
      <c r="C93" t="b">
        <v>1</v>
      </c>
      <c r="D93">
        <v>8048</v>
      </c>
      <c r="E93">
        <v>8117</v>
      </c>
      <c r="F93">
        <v>5.6</v>
      </c>
      <c r="G93">
        <v>6</v>
      </c>
      <c r="H93">
        <v>0.93333334000000001</v>
      </c>
      <c r="I93">
        <v>6.6666685000000003E-2</v>
      </c>
      <c r="J93">
        <v>0.51724135999999998</v>
      </c>
    </row>
    <row r="94" spans="1:10" x14ac:dyDescent="0.3">
      <c r="A94">
        <v>92</v>
      </c>
      <c r="B94">
        <v>1482</v>
      </c>
      <c r="C94" t="b">
        <v>1</v>
      </c>
      <c r="D94">
        <v>8048</v>
      </c>
      <c r="E94">
        <v>8129</v>
      </c>
      <c r="F94">
        <v>5.6</v>
      </c>
      <c r="G94">
        <v>5.6</v>
      </c>
      <c r="H94">
        <v>1</v>
      </c>
      <c r="I94">
        <v>0</v>
      </c>
      <c r="J94">
        <v>0.5</v>
      </c>
    </row>
    <row r="95" spans="1:10" x14ac:dyDescent="0.3">
      <c r="A95">
        <v>93</v>
      </c>
      <c r="B95">
        <v>1497</v>
      </c>
      <c r="C95" t="b">
        <v>1</v>
      </c>
      <c r="D95">
        <v>8042</v>
      </c>
      <c r="E95">
        <v>8129</v>
      </c>
      <c r="F95">
        <v>6</v>
      </c>
      <c r="G95">
        <v>5.2</v>
      </c>
      <c r="H95">
        <v>1.1538461</v>
      </c>
      <c r="I95">
        <v>-0.15384618999999999</v>
      </c>
      <c r="J95">
        <v>0.46428570000000002</v>
      </c>
    </row>
    <row r="96" spans="1:10" x14ac:dyDescent="0.3">
      <c r="A96">
        <v>94</v>
      </c>
      <c r="B96">
        <v>1513</v>
      </c>
      <c r="C96" t="b">
        <v>1</v>
      </c>
      <c r="D96">
        <v>8048</v>
      </c>
      <c r="E96">
        <v>8129</v>
      </c>
      <c r="F96">
        <v>6.4</v>
      </c>
      <c r="G96">
        <v>5.6</v>
      </c>
      <c r="H96">
        <v>1.1428571999999999</v>
      </c>
      <c r="I96">
        <v>-0.14285718</v>
      </c>
      <c r="J96">
        <v>0.46666667000000001</v>
      </c>
    </row>
    <row r="97" spans="1:10" x14ac:dyDescent="0.3">
      <c r="A97">
        <v>95</v>
      </c>
      <c r="B97">
        <v>1529</v>
      </c>
      <c r="C97" t="b">
        <v>1</v>
      </c>
      <c r="D97">
        <v>8048</v>
      </c>
      <c r="E97">
        <v>8123</v>
      </c>
      <c r="F97">
        <v>6.8</v>
      </c>
      <c r="G97">
        <v>6</v>
      </c>
      <c r="H97">
        <v>1.1333333000000001</v>
      </c>
      <c r="I97">
        <v>-0.13333337000000001</v>
      </c>
      <c r="J97">
        <v>0.46875</v>
      </c>
    </row>
    <row r="98" spans="1:10" x14ac:dyDescent="0.3">
      <c r="A98">
        <v>96</v>
      </c>
      <c r="B98">
        <v>1545</v>
      </c>
      <c r="C98" t="b">
        <v>1</v>
      </c>
      <c r="D98">
        <v>8048</v>
      </c>
      <c r="E98">
        <v>8123</v>
      </c>
      <c r="F98">
        <v>7.2</v>
      </c>
      <c r="G98">
        <v>6.4</v>
      </c>
      <c r="H98">
        <v>1.125</v>
      </c>
      <c r="I98">
        <v>-0.124999955</v>
      </c>
      <c r="J98">
        <v>0.47058823999999999</v>
      </c>
    </row>
    <row r="99" spans="1:10" x14ac:dyDescent="0.3">
      <c r="A99">
        <v>97</v>
      </c>
      <c r="B99">
        <v>1561</v>
      </c>
      <c r="C99" t="b">
        <v>1</v>
      </c>
      <c r="D99">
        <v>8042</v>
      </c>
      <c r="E99">
        <v>8123</v>
      </c>
      <c r="F99">
        <v>7.6</v>
      </c>
      <c r="G99">
        <v>6.4</v>
      </c>
      <c r="H99">
        <v>1.1875</v>
      </c>
      <c r="I99">
        <v>-0.18749996999999999</v>
      </c>
      <c r="J99">
        <v>0.45714285999999998</v>
      </c>
    </row>
    <row r="100" spans="1:10" x14ac:dyDescent="0.3">
      <c r="A100">
        <v>98</v>
      </c>
      <c r="B100">
        <v>1577</v>
      </c>
      <c r="C100" t="b">
        <v>1</v>
      </c>
      <c r="D100">
        <v>8048</v>
      </c>
      <c r="E100">
        <v>8123</v>
      </c>
      <c r="F100">
        <v>8</v>
      </c>
      <c r="G100">
        <v>6.4</v>
      </c>
      <c r="H100">
        <v>1.25</v>
      </c>
      <c r="I100">
        <v>-0.24999999000000001</v>
      </c>
      <c r="J100">
        <v>0.44444447999999998</v>
      </c>
    </row>
    <row r="101" spans="1:10" x14ac:dyDescent="0.3">
      <c r="A101">
        <v>99</v>
      </c>
      <c r="B101">
        <v>1593</v>
      </c>
      <c r="C101" t="b">
        <v>1</v>
      </c>
      <c r="D101">
        <v>8048</v>
      </c>
      <c r="E101">
        <v>8129</v>
      </c>
      <c r="F101">
        <v>8</v>
      </c>
      <c r="G101">
        <v>6.4</v>
      </c>
      <c r="H101">
        <v>1.25</v>
      </c>
      <c r="I101">
        <v>-0.24999999000000001</v>
      </c>
      <c r="J101">
        <v>0.44444447999999998</v>
      </c>
    </row>
    <row r="102" spans="1:10" x14ac:dyDescent="0.3">
      <c r="A102">
        <v>100</v>
      </c>
      <c r="B102">
        <v>1609</v>
      </c>
      <c r="C102" t="b">
        <v>1</v>
      </c>
      <c r="D102">
        <v>8048</v>
      </c>
      <c r="E102">
        <v>8123</v>
      </c>
      <c r="F102">
        <v>8</v>
      </c>
      <c r="G102">
        <v>6.4</v>
      </c>
      <c r="H102">
        <v>1.25</v>
      </c>
      <c r="I102">
        <v>-0.24999999000000001</v>
      </c>
      <c r="J102">
        <v>0.44444447999999998</v>
      </c>
    </row>
    <row r="103" spans="1:10" x14ac:dyDescent="0.3">
      <c r="A103">
        <v>101</v>
      </c>
      <c r="B103">
        <v>1625</v>
      </c>
      <c r="C103" t="b">
        <v>1</v>
      </c>
      <c r="D103">
        <v>8042</v>
      </c>
      <c r="E103">
        <v>8129</v>
      </c>
      <c r="F103">
        <v>8</v>
      </c>
      <c r="G103">
        <v>6.4</v>
      </c>
      <c r="H103">
        <v>1.25</v>
      </c>
      <c r="I103">
        <v>-0.24999999000000001</v>
      </c>
      <c r="J103">
        <v>0.44444447999999998</v>
      </c>
    </row>
    <row r="104" spans="1:10" x14ac:dyDescent="0.3">
      <c r="A104">
        <v>102</v>
      </c>
      <c r="B104">
        <v>1641</v>
      </c>
      <c r="C104" t="b">
        <v>1</v>
      </c>
      <c r="D104">
        <v>8042</v>
      </c>
      <c r="E104">
        <v>8123</v>
      </c>
      <c r="F104">
        <v>8</v>
      </c>
      <c r="G104">
        <v>6.8</v>
      </c>
      <c r="H104">
        <v>1.1764705</v>
      </c>
      <c r="I104">
        <v>-0.17647055</v>
      </c>
      <c r="J104">
        <v>0.45945944999999999</v>
      </c>
    </row>
    <row r="105" spans="1:10" x14ac:dyDescent="0.3">
      <c r="A105">
        <v>103</v>
      </c>
      <c r="B105">
        <v>1656</v>
      </c>
      <c r="C105" t="b">
        <v>1</v>
      </c>
      <c r="D105">
        <v>8048</v>
      </c>
      <c r="E105">
        <v>8123</v>
      </c>
      <c r="F105">
        <v>8</v>
      </c>
      <c r="G105">
        <v>7.2</v>
      </c>
      <c r="H105">
        <v>1.1111112000000001</v>
      </c>
      <c r="I105">
        <v>-0.11111114</v>
      </c>
      <c r="J105">
        <v>0.4736842</v>
      </c>
    </row>
    <row r="106" spans="1:10" x14ac:dyDescent="0.3">
      <c r="A106">
        <v>104</v>
      </c>
      <c r="B106">
        <v>1672</v>
      </c>
      <c r="C106" t="b">
        <v>1</v>
      </c>
      <c r="D106">
        <v>8042</v>
      </c>
      <c r="E106">
        <v>8129</v>
      </c>
      <c r="F106">
        <v>7.6</v>
      </c>
      <c r="G106">
        <v>7.6</v>
      </c>
      <c r="H106">
        <v>1</v>
      </c>
      <c r="I106">
        <v>0</v>
      </c>
      <c r="J106">
        <v>0.5</v>
      </c>
    </row>
    <row r="107" spans="1:10" x14ac:dyDescent="0.3">
      <c r="A107">
        <v>105</v>
      </c>
      <c r="B107">
        <v>1688</v>
      </c>
      <c r="C107" t="b">
        <v>1</v>
      </c>
      <c r="D107">
        <v>8042</v>
      </c>
      <c r="E107">
        <v>8123</v>
      </c>
      <c r="F107">
        <v>7.2</v>
      </c>
      <c r="G107">
        <v>8</v>
      </c>
      <c r="H107">
        <v>0.9</v>
      </c>
      <c r="I107">
        <v>0.10000002400000001</v>
      </c>
      <c r="J107">
        <v>0.5263158</v>
      </c>
    </row>
    <row r="108" spans="1:10" x14ac:dyDescent="0.3">
      <c r="A108">
        <v>106</v>
      </c>
      <c r="B108">
        <v>1704</v>
      </c>
      <c r="C108" t="b">
        <v>1</v>
      </c>
      <c r="D108">
        <v>8042</v>
      </c>
      <c r="E108">
        <v>8123</v>
      </c>
      <c r="F108">
        <v>6.8</v>
      </c>
      <c r="G108">
        <v>8.4</v>
      </c>
      <c r="H108">
        <v>0.80952389999999996</v>
      </c>
      <c r="I108">
        <v>0.19047612999999999</v>
      </c>
      <c r="J108">
        <v>0.55263156000000002</v>
      </c>
    </row>
    <row r="109" spans="1:10" x14ac:dyDescent="0.3">
      <c r="A109">
        <v>107</v>
      </c>
      <c r="B109">
        <v>1720</v>
      </c>
      <c r="C109" t="b">
        <v>1</v>
      </c>
      <c r="D109">
        <v>8042</v>
      </c>
      <c r="E109">
        <v>8129</v>
      </c>
      <c r="F109">
        <v>6.4</v>
      </c>
      <c r="G109">
        <v>8.8000000000000007</v>
      </c>
      <c r="H109">
        <v>0.72727275000000002</v>
      </c>
      <c r="I109">
        <v>0.27272728000000002</v>
      </c>
      <c r="J109">
        <v>0.57894736999999996</v>
      </c>
    </row>
    <row r="110" spans="1:10" x14ac:dyDescent="0.3">
      <c r="A110">
        <v>108</v>
      </c>
      <c r="B110">
        <v>1736</v>
      </c>
      <c r="C110" t="b">
        <v>1</v>
      </c>
      <c r="D110">
        <v>8054</v>
      </c>
      <c r="E110">
        <v>8123</v>
      </c>
      <c r="F110">
        <v>6</v>
      </c>
      <c r="G110">
        <v>9.1999999999999993</v>
      </c>
      <c r="H110">
        <v>0.65217393999999995</v>
      </c>
      <c r="I110">
        <v>0.34782605999999999</v>
      </c>
      <c r="J110">
        <v>0.6052632</v>
      </c>
    </row>
    <row r="111" spans="1:10" x14ac:dyDescent="0.3">
      <c r="A111">
        <v>109</v>
      </c>
      <c r="B111">
        <v>1752</v>
      </c>
      <c r="C111" t="b">
        <v>1</v>
      </c>
      <c r="D111">
        <v>8048</v>
      </c>
      <c r="E111">
        <v>8123</v>
      </c>
      <c r="F111">
        <v>5.6</v>
      </c>
      <c r="G111">
        <v>8.8000000000000007</v>
      </c>
      <c r="H111">
        <v>0.63636360000000003</v>
      </c>
      <c r="I111">
        <v>0.36363636999999999</v>
      </c>
      <c r="J111">
        <v>0.61111115999999999</v>
      </c>
    </row>
    <row r="112" spans="1:10" x14ac:dyDescent="0.3">
      <c r="A112">
        <v>110</v>
      </c>
      <c r="B112">
        <v>1768</v>
      </c>
      <c r="C112" t="b">
        <v>1</v>
      </c>
      <c r="D112">
        <v>8048</v>
      </c>
      <c r="E112">
        <v>8123</v>
      </c>
      <c r="F112">
        <v>5.6</v>
      </c>
      <c r="G112">
        <v>8.4</v>
      </c>
      <c r="H112">
        <v>0.66666669999999995</v>
      </c>
      <c r="I112">
        <v>0.3333333</v>
      </c>
      <c r="J112">
        <v>0.59999996</v>
      </c>
    </row>
    <row r="113" spans="1:10" x14ac:dyDescent="0.3">
      <c r="A113">
        <v>111</v>
      </c>
      <c r="B113">
        <v>1784</v>
      </c>
      <c r="C113" t="b">
        <v>1</v>
      </c>
      <c r="D113">
        <v>8048</v>
      </c>
      <c r="E113">
        <v>8129</v>
      </c>
      <c r="F113">
        <v>5.6</v>
      </c>
      <c r="G113">
        <v>8</v>
      </c>
      <c r="H113">
        <v>0.7</v>
      </c>
      <c r="I113">
        <v>0.3</v>
      </c>
      <c r="J113">
        <v>0.58823526000000004</v>
      </c>
    </row>
    <row r="114" spans="1:10" x14ac:dyDescent="0.3">
      <c r="A114">
        <v>112</v>
      </c>
      <c r="B114">
        <v>1800</v>
      </c>
      <c r="C114" t="b">
        <v>1</v>
      </c>
      <c r="D114">
        <v>8048</v>
      </c>
      <c r="E114">
        <v>8129</v>
      </c>
      <c r="F114">
        <v>5.6</v>
      </c>
      <c r="G114">
        <v>8</v>
      </c>
      <c r="H114">
        <v>0.7</v>
      </c>
      <c r="I114">
        <v>0.3</v>
      </c>
      <c r="J114">
        <v>0.58823526000000004</v>
      </c>
    </row>
    <row r="115" spans="1:10" x14ac:dyDescent="0.3">
      <c r="A115">
        <v>113</v>
      </c>
      <c r="B115">
        <v>1816</v>
      </c>
      <c r="C115" t="b">
        <v>1</v>
      </c>
      <c r="D115">
        <v>8048</v>
      </c>
      <c r="E115">
        <v>8123</v>
      </c>
      <c r="F115">
        <v>5.6</v>
      </c>
      <c r="G115">
        <v>8</v>
      </c>
      <c r="H115">
        <v>0.7</v>
      </c>
      <c r="I115">
        <v>0.3</v>
      </c>
      <c r="J115">
        <v>0.58823526000000004</v>
      </c>
    </row>
    <row r="116" spans="1:10" x14ac:dyDescent="0.3">
      <c r="A116">
        <v>114</v>
      </c>
      <c r="B116">
        <v>1832</v>
      </c>
      <c r="C116" t="b">
        <v>1</v>
      </c>
      <c r="D116">
        <v>8042</v>
      </c>
      <c r="E116">
        <v>8123</v>
      </c>
      <c r="F116">
        <v>5.6</v>
      </c>
      <c r="G116">
        <v>8</v>
      </c>
      <c r="H116">
        <v>0.7</v>
      </c>
      <c r="I116">
        <v>0.3</v>
      </c>
      <c r="J116">
        <v>0.58823526000000004</v>
      </c>
    </row>
    <row r="117" spans="1:10" x14ac:dyDescent="0.3">
      <c r="A117">
        <v>115</v>
      </c>
      <c r="B117">
        <v>1848</v>
      </c>
      <c r="C117" t="b">
        <v>1</v>
      </c>
      <c r="D117">
        <v>8048</v>
      </c>
      <c r="E117">
        <v>8123</v>
      </c>
      <c r="F117">
        <v>5.6</v>
      </c>
      <c r="G117">
        <v>8</v>
      </c>
      <c r="H117">
        <v>0.7</v>
      </c>
      <c r="I117">
        <v>0.3</v>
      </c>
      <c r="J117">
        <v>0.58823526000000004</v>
      </c>
    </row>
    <row r="118" spans="1:10" x14ac:dyDescent="0.3">
      <c r="A118">
        <v>116</v>
      </c>
      <c r="B118">
        <v>1864</v>
      </c>
      <c r="C118" t="b">
        <v>1</v>
      </c>
      <c r="D118">
        <v>8048</v>
      </c>
      <c r="E118">
        <v>8123</v>
      </c>
      <c r="F118">
        <v>5.6</v>
      </c>
      <c r="G118">
        <v>8</v>
      </c>
      <c r="H118">
        <v>0.7</v>
      </c>
      <c r="I118">
        <v>0.3</v>
      </c>
      <c r="J118">
        <v>0.58823526000000004</v>
      </c>
    </row>
    <row r="119" spans="1:10" x14ac:dyDescent="0.3">
      <c r="A119">
        <v>117</v>
      </c>
      <c r="B119">
        <v>1879</v>
      </c>
      <c r="C119" t="b">
        <v>1</v>
      </c>
      <c r="D119">
        <v>8048</v>
      </c>
      <c r="E119">
        <v>8123</v>
      </c>
      <c r="F119">
        <v>5.6</v>
      </c>
      <c r="G119">
        <v>8</v>
      </c>
      <c r="H119">
        <v>0.7</v>
      </c>
      <c r="I119">
        <v>0.3</v>
      </c>
      <c r="J119">
        <v>0.58823526000000004</v>
      </c>
    </row>
    <row r="120" spans="1:10" x14ac:dyDescent="0.3">
      <c r="A120">
        <v>118</v>
      </c>
      <c r="B120">
        <v>1895</v>
      </c>
      <c r="C120" t="b">
        <v>1</v>
      </c>
      <c r="D120">
        <v>8048</v>
      </c>
      <c r="E120">
        <v>8129</v>
      </c>
      <c r="F120">
        <v>5.6</v>
      </c>
      <c r="G120">
        <v>8</v>
      </c>
      <c r="H120">
        <v>0.7</v>
      </c>
      <c r="I120">
        <v>0.3</v>
      </c>
      <c r="J120">
        <v>0.58823526000000004</v>
      </c>
    </row>
    <row r="121" spans="1:10" x14ac:dyDescent="0.3">
      <c r="A121">
        <v>119</v>
      </c>
      <c r="B121">
        <v>1911</v>
      </c>
      <c r="C121" t="b">
        <v>1</v>
      </c>
      <c r="D121">
        <v>8048</v>
      </c>
      <c r="E121">
        <v>8129</v>
      </c>
      <c r="F121">
        <v>6</v>
      </c>
      <c r="G121">
        <v>8</v>
      </c>
      <c r="H121">
        <v>0.75</v>
      </c>
      <c r="I121">
        <v>0.25</v>
      </c>
      <c r="J121">
        <v>0.57142859999999995</v>
      </c>
    </row>
    <row r="122" spans="1:10" x14ac:dyDescent="0.3">
      <c r="A122">
        <v>120</v>
      </c>
      <c r="B122">
        <v>1927</v>
      </c>
      <c r="C122" t="b">
        <v>1</v>
      </c>
      <c r="D122">
        <v>8048</v>
      </c>
      <c r="E122">
        <v>8123</v>
      </c>
      <c r="F122">
        <v>6.4</v>
      </c>
      <c r="G122">
        <v>8</v>
      </c>
      <c r="H122">
        <v>0.8</v>
      </c>
      <c r="I122">
        <v>0.19999998999999999</v>
      </c>
      <c r="J122">
        <v>0.55555560000000004</v>
      </c>
    </row>
    <row r="123" spans="1:10" x14ac:dyDescent="0.3">
      <c r="A123">
        <v>121</v>
      </c>
      <c r="B123">
        <v>1943</v>
      </c>
      <c r="C123" t="b">
        <v>1</v>
      </c>
      <c r="D123">
        <v>8048</v>
      </c>
      <c r="E123">
        <v>8123</v>
      </c>
      <c r="F123">
        <v>6.8</v>
      </c>
      <c r="G123">
        <v>8</v>
      </c>
      <c r="H123">
        <v>0.85</v>
      </c>
      <c r="I123">
        <v>0.14999998</v>
      </c>
      <c r="J123">
        <v>0.54054049999999998</v>
      </c>
    </row>
    <row r="124" spans="1:10" x14ac:dyDescent="0.3">
      <c r="A124">
        <v>122</v>
      </c>
      <c r="B124">
        <v>1959</v>
      </c>
      <c r="C124" t="b">
        <v>1</v>
      </c>
      <c r="D124">
        <v>8048</v>
      </c>
      <c r="E124">
        <v>8123</v>
      </c>
      <c r="F124">
        <v>7.2</v>
      </c>
      <c r="G124">
        <v>8</v>
      </c>
      <c r="H124">
        <v>0.9</v>
      </c>
      <c r="I124">
        <v>0.10000002400000001</v>
      </c>
      <c r="J124">
        <v>0.5263158</v>
      </c>
    </row>
    <row r="125" spans="1:10" x14ac:dyDescent="0.3">
      <c r="A125">
        <v>123</v>
      </c>
      <c r="B125">
        <v>1975</v>
      </c>
      <c r="C125" t="b">
        <v>1</v>
      </c>
      <c r="D125">
        <v>8054</v>
      </c>
      <c r="E125">
        <v>8129</v>
      </c>
      <c r="F125">
        <v>7.6</v>
      </c>
      <c r="G125">
        <v>8</v>
      </c>
      <c r="H125">
        <v>0.95</v>
      </c>
      <c r="I125">
        <v>5.0000012000000003E-2</v>
      </c>
      <c r="J125">
        <v>0.51282050000000001</v>
      </c>
    </row>
    <row r="126" spans="1:10" x14ac:dyDescent="0.3">
      <c r="A126">
        <v>124</v>
      </c>
      <c r="B126">
        <v>1991</v>
      </c>
      <c r="C126" t="b">
        <v>1</v>
      </c>
      <c r="D126">
        <v>8048</v>
      </c>
      <c r="E126">
        <v>8123</v>
      </c>
      <c r="F126">
        <v>8</v>
      </c>
      <c r="G126">
        <v>8</v>
      </c>
      <c r="H126">
        <v>1</v>
      </c>
      <c r="I126">
        <v>0</v>
      </c>
      <c r="J126">
        <v>0.5</v>
      </c>
    </row>
    <row r="127" spans="1:10" x14ac:dyDescent="0.3">
      <c r="A127">
        <v>125</v>
      </c>
      <c r="B127">
        <v>2007</v>
      </c>
      <c r="C127" t="b">
        <v>1</v>
      </c>
      <c r="D127">
        <v>8048</v>
      </c>
      <c r="E127">
        <v>8123</v>
      </c>
      <c r="F127">
        <v>8</v>
      </c>
      <c r="G127">
        <v>8</v>
      </c>
      <c r="H127">
        <v>1</v>
      </c>
      <c r="I127">
        <v>0</v>
      </c>
      <c r="J127">
        <v>0.5</v>
      </c>
    </row>
    <row r="128" spans="1:10" x14ac:dyDescent="0.3">
      <c r="A128">
        <v>126</v>
      </c>
      <c r="B128">
        <v>2023</v>
      </c>
      <c r="C128" t="b">
        <v>1</v>
      </c>
      <c r="D128">
        <v>8048</v>
      </c>
      <c r="E128">
        <v>8123</v>
      </c>
      <c r="F128">
        <v>8</v>
      </c>
      <c r="G128">
        <v>8</v>
      </c>
      <c r="H128">
        <v>1</v>
      </c>
      <c r="I128">
        <v>0</v>
      </c>
      <c r="J128">
        <v>0.5</v>
      </c>
    </row>
    <row r="129" spans="1:10" x14ac:dyDescent="0.3">
      <c r="A129">
        <v>127</v>
      </c>
      <c r="B129">
        <v>2039</v>
      </c>
      <c r="C129" t="b">
        <v>1</v>
      </c>
      <c r="D129">
        <v>8048</v>
      </c>
      <c r="E129">
        <v>8123</v>
      </c>
      <c r="F129">
        <v>8</v>
      </c>
      <c r="G129">
        <v>8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2055</v>
      </c>
      <c r="C130" t="b">
        <v>1</v>
      </c>
      <c r="D130">
        <v>8048</v>
      </c>
      <c r="E130">
        <v>8123</v>
      </c>
      <c r="F130">
        <v>8</v>
      </c>
      <c r="G130">
        <v>8</v>
      </c>
      <c r="H130">
        <v>1</v>
      </c>
      <c r="I130">
        <v>0</v>
      </c>
      <c r="J130">
        <v>0.5</v>
      </c>
    </row>
    <row r="131" spans="1:10" x14ac:dyDescent="0.3">
      <c r="A131">
        <v>129</v>
      </c>
      <c r="B131">
        <v>2071</v>
      </c>
      <c r="C131" t="b">
        <v>1</v>
      </c>
      <c r="D131">
        <v>8048</v>
      </c>
      <c r="E131">
        <v>8129</v>
      </c>
      <c r="F131">
        <v>8</v>
      </c>
      <c r="G131">
        <v>8</v>
      </c>
      <c r="H131">
        <v>1</v>
      </c>
      <c r="I131">
        <v>0</v>
      </c>
      <c r="J131">
        <v>0.5</v>
      </c>
    </row>
    <row r="132" spans="1:10" x14ac:dyDescent="0.3">
      <c r="A132">
        <v>130</v>
      </c>
      <c r="B132">
        <v>2087</v>
      </c>
      <c r="C132" t="b">
        <v>1</v>
      </c>
      <c r="D132">
        <v>8048</v>
      </c>
      <c r="E132">
        <v>8123</v>
      </c>
      <c r="F132">
        <v>8</v>
      </c>
      <c r="G132">
        <v>8</v>
      </c>
      <c r="H132">
        <v>1</v>
      </c>
      <c r="I132">
        <v>0</v>
      </c>
      <c r="J132">
        <v>0.5</v>
      </c>
    </row>
    <row r="133" spans="1:10" x14ac:dyDescent="0.3">
      <c r="A133">
        <v>131</v>
      </c>
      <c r="B133">
        <v>2103</v>
      </c>
      <c r="C133" t="b">
        <v>1</v>
      </c>
      <c r="D133">
        <v>8048</v>
      </c>
      <c r="E133">
        <v>8134</v>
      </c>
      <c r="F133">
        <v>8</v>
      </c>
      <c r="G133">
        <v>8</v>
      </c>
      <c r="H133">
        <v>1</v>
      </c>
      <c r="I133">
        <v>0</v>
      </c>
      <c r="J133">
        <v>0.5</v>
      </c>
    </row>
    <row r="134" spans="1:10" x14ac:dyDescent="0.3">
      <c r="A134">
        <v>132</v>
      </c>
      <c r="B134">
        <v>2119</v>
      </c>
      <c r="C134" t="b">
        <v>1</v>
      </c>
      <c r="D134">
        <v>8048</v>
      </c>
      <c r="E134">
        <v>8123</v>
      </c>
      <c r="F134">
        <v>8</v>
      </c>
      <c r="G134">
        <v>8</v>
      </c>
      <c r="H134">
        <v>1</v>
      </c>
      <c r="I134">
        <v>0</v>
      </c>
      <c r="J134">
        <v>0.5</v>
      </c>
    </row>
    <row r="135" spans="1:10" x14ac:dyDescent="0.3">
      <c r="A135">
        <v>133</v>
      </c>
      <c r="B135">
        <v>2134</v>
      </c>
      <c r="C135" t="b">
        <v>1</v>
      </c>
      <c r="D135">
        <v>8048</v>
      </c>
      <c r="E135">
        <v>8123</v>
      </c>
      <c r="F135">
        <v>8</v>
      </c>
      <c r="G135">
        <v>8</v>
      </c>
      <c r="H135">
        <v>1</v>
      </c>
      <c r="I135">
        <v>0</v>
      </c>
      <c r="J135">
        <v>0.5</v>
      </c>
    </row>
    <row r="136" spans="1:10" x14ac:dyDescent="0.3">
      <c r="A136">
        <v>134</v>
      </c>
      <c r="B136">
        <v>2150</v>
      </c>
      <c r="C136" t="b">
        <v>1</v>
      </c>
      <c r="D136">
        <v>8042</v>
      </c>
      <c r="E136">
        <v>8123</v>
      </c>
      <c r="F136">
        <v>8</v>
      </c>
      <c r="G136">
        <v>8</v>
      </c>
      <c r="H136">
        <v>1</v>
      </c>
      <c r="I136">
        <v>0</v>
      </c>
      <c r="J136">
        <v>0.5</v>
      </c>
    </row>
    <row r="137" spans="1:10" x14ac:dyDescent="0.3">
      <c r="A137">
        <v>135</v>
      </c>
      <c r="B137">
        <v>2166</v>
      </c>
      <c r="C137" t="b">
        <v>1</v>
      </c>
      <c r="D137">
        <v>8048</v>
      </c>
      <c r="E137">
        <v>8117</v>
      </c>
      <c r="F137">
        <v>8</v>
      </c>
      <c r="G137">
        <v>8</v>
      </c>
      <c r="H137">
        <v>1</v>
      </c>
      <c r="I137">
        <v>0</v>
      </c>
      <c r="J137">
        <v>0.5</v>
      </c>
    </row>
    <row r="138" spans="1:10" x14ac:dyDescent="0.3">
      <c r="A138">
        <v>136</v>
      </c>
      <c r="B138">
        <v>2182</v>
      </c>
      <c r="C138" t="b">
        <v>1</v>
      </c>
      <c r="D138">
        <v>8048</v>
      </c>
      <c r="E138">
        <v>8117</v>
      </c>
      <c r="F138">
        <v>8</v>
      </c>
      <c r="G138">
        <v>8</v>
      </c>
      <c r="H138">
        <v>1</v>
      </c>
      <c r="I138">
        <v>0</v>
      </c>
      <c r="J138">
        <v>0.5</v>
      </c>
    </row>
    <row r="139" spans="1:10" x14ac:dyDescent="0.3">
      <c r="A139">
        <v>137</v>
      </c>
      <c r="B139">
        <v>2198</v>
      </c>
      <c r="C139" t="b">
        <v>1</v>
      </c>
      <c r="D139">
        <v>8048</v>
      </c>
      <c r="E139">
        <v>8117</v>
      </c>
      <c r="F139">
        <v>8</v>
      </c>
      <c r="G139">
        <v>7.6</v>
      </c>
      <c r="H139">
        <v>1.0526316</v>
      </c>
      <c r="I139">
        <v>-5.2631589999999999E-2</v>
      </c>
      <c r="J139">
        <v>0.48717946000000001</v>
      </c>
    </row>
    <row r="140" spans="1:10" x14ac:dyDescent="0.3">
      <c r="A140">
        <v>138</v>
      </c>
      <c r="B140">
        <v>2214</v>
      </c>
      <c r="C140" t="b">
        <v>1</v>
      </c>
      <c r="D140">
        <v>8048</v>
      </c>
      <c r="E140">
        <v>8123</v>
      </c>
      <c r="F140">
        <v>8</v>
      </c>
      <c r="G140">
        <v>7.2</v>
      </c>
      <c r="H140">
        <v>1.1111112000000001</v>
      </c>
      <c r="I140">
        <v>-0.11111114</v>
      </c>
      <c r="J140">
        <v>0.4736842</v>
      </c>
    </row>
    <row r="141" spans="1:10" x14ac:dyDescent="0.3">
      <c r="A141">
        <v>139</v>
      </c>
      <c r="B141">
        <v>2229</v>
      </c>
      <c r="C141" t="b">
        <v>1</v>
      </c>
      <c r="D141">
        <v>8042</v>
      </c>
      <c r="E141">
        <v>8117</v>
      </c>
      <c r="F141">
        <v>8</v>
      </c>
      <c r="G141">
        <v>6.8</v>
      </c>
      <c r="H141">
        <v>1.1764705</v>
      </c>
      <c r="I141">
        <v>-0.17647055</v>
      </c>
      <c r="J141">
        <v>0.45945944999999999</v>
      </c>
    </row>
    <row r="142" spans="1:10" x14ac:dyDescent="0.3">
      <c r="A142">
        <v>140</v>
      </c>
      <c r="B142">
        <v>2245</v>
      </c>
      <c r="C142" t="b">
        <v>1</v>
      </c>
      <c r="D142">
        <v>8042</v>
      </c>
      <c r="E142">
        <v>8123</v>
      </c>
      <c r="F142">
        <v>8</v>
      </c>
      <c r="G142">
        <v>6.4</v>
      </c>
      <c r="H142">
        <v>1.25</v>
      </c>
      <c r="I142">
        <v>-0.24999999000000001</v>
      </c>
      <c r="J142">
        <v>0.44444447999999998</v>
      </c>
    </row>
    <row r="143" spans="1:10" x14ac:dyDescent="0.3">
      <c r="A143">
        <v>141</v>
      </c>
      <c r="B143">
        <v>2261</v>
      </c>
      <c r="C143" t="b">
        <v>1</v>
      </c>
      <c r="D143">
        <v>8042</v>
      </c>
      <c r="E143">
        <v>8123</v>
      </c>
      <c r="F143">
        <v>7.6</v>
      </c>
      <c r="G143">
        <v>6.4</v>
      </c>
      <c r="H143">
        <v>1.1875</v>
      </c>
      <c r="I143">
        <v>-0.18749996999999999</v>
      </c>
      <c r="J143">
        <v>0.45714285999999998</v>
      </c>
    </row>
    <row r="144" spans="1:10" x14ac:dyDescent="0.3">
      <c r="A144">
        <v>142</v>
      </c>
      <c r="B144">
        <v>2277</v>
      </c>
      <c r="C144" t="b">
        <v>1</v>
      </c>
      <c r="D144">
        <v>8042</v>
      </c>
      <c r="E144">
        <v>8129</v>
      </c>
      <c r="F144">
        <v>7.2</v>
      </c>
      <c r="G144">
        <v>6.4</v>
      </c>
      <c r="H144">
        <v>1.125</v>
      </c>
      <c r="I144">
        <v>-0.124999955</v>
      </c>
      <c r="J144">
        <v>0.47058823999999999</v>
      </c>
    </row>
    <row r="145" spans="1:10" x14ac:dyDescent="0.3">
      <c r="A145">
        <v>143</v>
      </c>
      <c r="B145">
        <v>2293</v>
      </c>
      <c r="C145" t="b">
        <v>1</v>
      </c>
      <c r="D145">
        <v>8042</v>
      </c>
      <c r="E145">
        <v>8123</v>
      </c>
      <c r="F145">
        <v>6.8</v>
      </c>
      <c r="G145">
        <v>6.4</v>
      </c>
      <c r="H145">
        <v>1.0625</v>
      </c>
      <c r="I145">
        <v>-6.2500015000000006E-2</v>
      </c>
      <c r="J145">
        <v>0.48484846999999998</v>
      </c>
    </row>
    <row r="146" spans="1:10" x14ac:dyDescent="0.3">
      <c r="A146">
        <v>144</v>
      </c>
      <c r="B146">
        <v>2309</v>
      </c>
      <c r="C146" t="b">
        <v>1</v>
      </c>
      <c r="D146">
        <v>8042</v>
      </c>
      <c r="E146">
        <v>8123</v>
      </c>
      <c r="F146">
        <v>6.4</v>
      </c>
      <c r="G146">
        <v>6.4</v>
      </c>
      <c r="H146">
        <v>1</v>
      </c>
      <c r="I146">
        <v>0</v>
      </c>
      <c r="J146">
        <v>0.5</v>
      </c>
    </row>
    <row r="147" spans="1:10" x14ac:dyDescent="0.3">
      <c r="A147">
        <v>145</v>
      </c>
      <c r="B147">
        <v>2325</v>
      </c>
      <c r="C147" t="b">
        <v>1</v>
      </c>
      <c r="D147">
        <v>8042</v>
      </c>
      <c r="E147">
        <v>8123</v>
      </c>
      <c r="F147">
        <v>6</v>
      </c>
      <c r="G147">
        <v>6.4</v>
      </c>
      <c r="H147">
        <v>0.9375</v>
      </c>
      <c r="I147">
        <v>6.2500015000000006E-2</v>
      </c>
      <c r="J147">
        <v>0.51612910000000001</v>
      </c>
    </row>
    <row r="148" spans="1:10" x14ac:dyDescent="0.3">
      <c r="A148">
        <v>146</v>
      </c>
      <c r="B148">
        <v>2340</v>
      </c>
      <c r="C148" t="b">
        <v>1</v>
      </c>
      <c r="D148">
        <v>8048</v>
      </c>
      <c r="E148">
        <v>8129</v>
      </c>
      <c r="F148">
        <v>5.6</v>
      </c>
      <c r="G148">
        <v>6.4</v>
      </c>
      <c r="H148">
        <v>0.875</v>
      </c>
      <c r="I148">
        <v>0.12500003000000001</v>
      </c>
      <c r="J148">
        <v>0.53333335999999998</v>
      </c>
    </row>
    <row r="149" spans="1:10" x14ac:dyDescent="0.3">
      <c r="A149">
        <v>147</v>
      </c>
      <c r="B149">
        <v>2357</v>
      </c>
      <c r="C149" t="b">
        <v>1</v>
      </c>
      <c r="D149">
        <v>8048</v>
      </c>
      <c r="E149">
        <v>8123</v>
      </c>
      <c r="F149">
        <v>5.2</v>
      </c>
      <c r="G149">
        <v>6.4</v>
      </c>
      <c r="H149">
        <v>0.81249994000000003</v>
      </c>
      <c r="I149">
        <v>0.18750004000000001</v>
      </c>
      <c r="J149">
        <v>0.55172414000000003</v>
      </c>
    </row>
    <row r="150" spans="1:10" x14ac:dyDescent="0.3">
      <c r="A150">
        <v>148</v>
      </c>
      <c r="B150">
        <v>2372</v>
      </c>
      <c r="C150" t="b">
        <v>1</v>
      </c>
      <c r="D150">
        <v>8048</v>
      </c>
      <c r="E150">
        <v>8123</v>
      </c>
      <c r="F150">
        <v>5.2</v>
      </c>
      <c r="G150">
        <v>6.4</v>
      </c>
      <c r="H150">
        <v>0.81249994000000003</v>
      </c>
      <c r="I150">
        <v>0.18750004000000001</v>
      </c>
      <c r="J150">
        <v>0.55172414000000003</v>
      </c>
    </row>
    <row r="151" spans="1:10" x14ac:dyDescent="0.3">
      <c r="A151">
        <v>149</v>
      </c>
      <c r="B151">
        <v>2388</v>
      </c>
      <c r="C151" t="b">
        <v>1</v>
      </c>
      <c r="D151">
        <v>8048</v>
      </c>
      <c r="E151">
        <v>8117</v>
      </c>
      <c r="F151">
        <v>5.2</v>
      </c>
      <c r="G151">
        <v>6.4</v>
      </c>
      <c r="H151">
        <v>0.81249994000000003</v>
      </c>
      <c r="I151">
        <v>0.18750004000000001</v>
      </c>
      <c r="J151">
        <v>0.55172414000000003</v>
      </c>
    </row>
    <row r="152" spans="1:10" x14ac:dyDescent="0.3">
      <c r="A152">
        <v>150</v>
      </c>
      <c r="B152">
        <v>2404</v>
      </c>
      <c r="C152" t="b">
        <v>1</v>
      </c>
      <c r="D152">
        <v>8048</v>
      </c>
      <c r="E152">
        <v>8123</v>
      </c>
      <c r="F152">
        <v>5.2</v>
      </c>
      <c r="G152">
        <v>6.4</v>
      </c>
      <c r="H152">
        <v>0.81249994000000003</v>
      </c>
      <c r="I152">
        <v>0.18750004000000001</v>
      </c>
      <c r="J152">
        <v>0.55172414000000003</v>
      </c>
    </row>
    <row r="153" spans="1:10" x14ac:dyDescent="0.3">
      <c r="A153">
        <v>151</v>
      </c>
      <c r="B153">
        <v>2420</v>
      </c>
      <c r="C153" t="b">
        <v>1</v>
      </c>
      <c r="D153">
        <v>8048</v>
      </c>
      <c r="E153">
        <v>8123</v>
      </c>
      <c r="F153">
        <v>5.2</v>
      </c>
      <c r="G153">
        <v>6.4</v>
      </c>
      <c r="H153">
        <v>0.81249994000000003</v>
      </c>
      <c r="I153">
        <v>0.18750004000000001</v>
      </c>
      <c r="J153">
        <v>0.55172414000000003</v>
      </c>
    </row>
    <row r="154" spans="1:10" x14ac:dyDescent="0.3">
      <c r="A154">
        <v>152</v>
      </c>
      <c r="B154">
        <v>2435</v>
      </c>
      <c r="C154" t="b">
        <v>1</v>
      </c>
      <c r="D154">
        <v>8042</v>
      </c>
      <c r="E154">
        <v>8129</v>
      </c>
      <c r="F154">
        <v>5.2</v>
      </c>
      <c r="G154">
        <v>6.8</v>
      </c>
      <c r="H154">
        <v>0.76470583999999997</v>
      </c>
      <c r="I154">
        <v>0.23529416</v>
      </c>
      <c r="J154">
        <v>0.56666665999999999</v>
      </c>
    </row>
    <row r="155" spans="1:10" x14ac:dyDescent="0.3">
      <c r="A155">
        <v>153</v>
      </c>
      <c r="B155">
        <v>2451</v>
      </c>
      <c r="C155" t="b">
        <v>1</v>
      </c>
      <c r="D155">
        <v>8042</v>
      </c>
      <c r="E155">
        <v>8129</v>
      </c>
      <c r="F155">
        <v>5.2</v>
      </c>
      <c r="G155">
        <v>7.2</v>
      </c>
      <c r="H155">
        <v>0.72222220000000004</v>
      </c>
      <c r="I155">
        <v>0.27777780000000002</v>
      </c>
      <c r="J155">
        <v>0.58064514</v>
      </c>
    </row>
    <row r="156" spans="1:10" x14ac:dyDescent="0.3">
      <c r="A156">
        <v>154</v>
      </c>
      <c r="B156">
        <v>2467</v>
      </c>
      <c r="C156" t="b">
        <v>1</v>
      </c>
      <c r="D156">
        <v>8048</v>
      </c>
      <c r="E156">
        <v>8123</v>
      </c>
      <c r="F156">
        <v>5.2</v>
      </c>
      <c r="G156">
        <v>7.6</v>
      </c>
      <c r="H156">
        <v>0.68421054000000003</v>
      </c>
      <c r="I156">
        <v>0.3157895</v>
      </c>
      <c r="J156">
        <v>0.59375</v>
      </c>
    </row>
    <row r="157" spans="1:10" x14ac:dyDescent="0.3">
      <c r="A157">
        <v>155</v>
      </c>
      <c r="B157">
        <v>2483</v>
      </c>
      <c r="C157" t="b">
        <v>1</v>
      </c>
      <c r="D157">
        <v>8048</v>
      </c>
      <c r="E157">
        <v>8123</v>
      </c>
      <c r="F157">
        <v>5.2</v>
      </c>
      <c r="G157">
        <v>8</v>
      </c>
      <c r="H157">
        <v>0.65</v>
      </c>
      <c r="I157">
        <v>0.35000002000000002</v>
      </c>
      <c r="J157">
        <v>0.60606059999999995</v>
      </c>
    </row>
    <row r="158" spans="1:10" x14ac:dyDescent="0.3">
      <c r="A158">
        <v>156</v>
      </c>
      <c r="B158">
        <v>2499</v>
      </c>
      <c r="C158" t="b">
        <v>1</v>
      </c>
      <c r="D158">
        <v>8048</v>
      </c>
      <c r="E158">
        <v>8129</v>
      </c>
      <c r="F158">
        <v>5.6</v>
      </c>
      <c r="G158">
        <v>8.4</v>
      </c>
      <c r="H158">
        <v>0.66666669999999995</v>
      </c>
      <c r="I158">
        <v>0.3333333</v>
      </c>
      <c r="J158">
        <v>0.59999996</v>
      </c>
    </row>
    <row r="159" spans="1:10" x14ac:dyDescent="0.3">
      <c r="A159">
        <v>157</v>
      </c>
      <c r="B159">
        <v>2515</v>
      </c>
      <c r="C159" t="b">
        <v>1</v>
      </c>
      <c r="D159">
        <v>8048</v>
      </c>
      <c r="E159">
        <v>8129</v>
      </c>
      <c r="F159">
        <v>6</v>
      </c>
      <c r="G159">
        <v>8.8000000000000007</v>
      </c>
      <c r="H159">
        <v>0.68181820000000004</v>
      </c>
      <c r="I159">
        <v>0.31818183999999999</v>
      </c>
      <c r="J159">
        <v>0.59459459999999997</v>
      </c>
    </row>
    <row r="160" spans="1:10" x14ac:dyDescent="0.3">
      <c r="A160">
        <v>158</v>
      </c>
      <c r="B160">
        <v>2531</v>
      </c>
      <c r="C160" t="b">
        <v>1</v>
      </c>
      <c r="D160">
        <v>8048</v>
      </c>
      <c r="E160">
        <v>8129</v>
      </c>
      <c r="F160">
        <v>6.4</v>
      </c>
      <c r="G160">
        <v>9.1999999999999993</v>
      </c>
      <c r="H160">
        <v>0.69565220000000005</v>
      </c>
      <c r="I160">
        <v>0.3043478</v>
      </c>
      <c r="J160">
        <v>0.58974355000000001</v>
      </c>
    </row>
    <row r="161" spans="1:10" x14ac:dyDescent="0.3">
      <c r="A161">
        <v>159</v>
      </c>
      <c r="B161">
        <v>2547</v>
      </c>
      <c r="C161" t="b">
        <v>1</v>
      </c>
      <c r="D161">
        <v>8048</v>
      </c>
      <c r="E161">
        <v>8123</v>
      </c>
      <c r="F161">
        <v>6.8</v>
      </c>
      <c r="G161">
        <v>9.6</v>
      </c>
      <c r="H161">
        <v>0.70833330000000005</v>
      </c>
      <c r="I161">
        <v>0.2916667</v>
      </c>
      <c r="J161">
        <v>0.58536582999999998</v>
      </c>
    </row>
    <row r="162" spans="1:10" x14ac:dyDescent="0.3">
      <c r="A162">
        <v>160</v>
      </c>
      <c r="B162">
        <v>2563</v>
      </c>
      <c r="C162" t="b">
        <v>1</v>
      </c>
      <c r="D162">
        <v>8048</v>
      </c>
      <c r="E162">
        <v>8129</v>
      </c>
      <c r="F162">
        <v>7.2</v>
      </c>
      <c r="G162">
        <v>10</v>
      </c>
      <c r="H162">
        <v>0.71999997000000004</v>
      </c>
      <c r="I162">
        <v>0.28000003000000001</v>
      </c>
      <c r="J162">
        <v>0.58139529999999995</v>
      </c>
    </row>
    <row r="163" spans="1:10" x14ac:dyDescent="0.3">
      <c r="A163">
        <v>161</v>
      </c>
      <c r="B163">
        <v>2578</v>
      </c>
      <c r="C163" t="b">
        <v>1</v>
      </c>
      <c r="D163">
        <v>8048</v>
      </c>
      <c r="E163">
        <v>8123</v>
      </c>
      <c r="F163">
        <v>7.6</v>
      </c>
      <c r="G163">
        <v>10.4</v>
      </c>
      <c r="H163">
        <v>0.73076929999999996</v>
      </c>
      <c r="I163">
        <v>0.26923075000000002</v>
      </c>
      <c r="J163">
        <v>0.57777774000000004</v>
      </c>
    </row>
    <row r="164" spans="1:10" x14ac:dyDescent="0.3">
      <c r="A164">
        <v>162</v>
      </c>
      <c r="B164">
        <v>2594</v>
      </c>
      <c r="C164" t="b">
        <v>1</v>
      </c>
      <c r="D164">
        <v>8048</v>
      </c>
      <c r="E164">
        <v>8123</v>
      </c>
      <c r="F164">
        <v>8</v>
      </c>
      <c r="G164">
        <v>10.4</v>
      </c>
      <c r="H164">
        <v>0.76923079999999999</v>
      </c>
      <c r="I164">
        <v>0.23076920000000001</v>
      </c>
      <c r="J164">
        <v>0.56521739999999998</v>
      </c>
    </row>
    <row r="165" spans="1:10" x14ac:dyDescent="0.3">
      <c r="A165">
        <v>163</v>
      </c>
      <c r="B165">
        <v>2610</v>
      </c>
      <c r="C165" t="b">
        <v>1</v>
      </c>
      <c r="D165">
        <v>8048</v>
      </c>
      <c r="E165">
        <v>8123</v>
      </c>
      <c r="F165">
        <v>8</v>
      </c>
      <c r="G165">
        <v>10.4</v>
      </c>
      <c r="H165">
        <v>0.76923079999999999</v>
      </c>
      <c r="I165">
        <v>0.23076920000000001</v>
      </c>
      <c r="J165">
        <v>0.56521739999999998</v>
      </c>
    </row>
    <row r="166" spans="1:10" x14ac:dyDescent="0.3">
      <c r="A166">
        <v>164</v>
      </c>
      <c r="B166">
        <v>2626</v>
      </c>
      <c r="C166" t="b">
        <v>1</v>
      </c>
      <c r="D166">
        <v>8048</v>
      </c>
      <c r="E166">
        <v>8129</v>
      </c>
      <c r="F166">
        <v>8</v>
      </c>
      <c r="G166">
        <v>10.4</v>
      </c>
      <c r="H166">
        <v>0.76923079999999999</v>
      </c>
      <c r="I166">
        <v>0.23076920000000001</v>
      </c>
      <c r="J166">
        <v>0.56521739999999998</v>
      </c>
    </row>
    <row r="167" spans="1:10" x14ac:dyDescent="0.3">
      <c r="A167">
        <v>165</v>
      </c>
      <c r="B167">
        <v>2642</v>
      </c>
      <c r="C167" t="b">
        <v>1</v>
      </c>
      <c r="D167">
        <v>8048</v>
      </c>
      <c r="E167">
        <v>8129</v>
      </c>
      <c r="F167">
        <v>8</v>
      </c>
      <c r="G167">
        <v>10.4</v>
      </c>
      <c r="H167">
        <v>0.76923079999999999</v>
      </c>
      <c r="I167">
        <v>0.23076920000000001</v>
      </c>
      <c r="J167">
        <v>0.56521739999999998</v>
      </c>
    </row>
    <row r="168" spans="1:10" x14ac:dyDescent="0.3">
      <c r="A168">
        <v>166</v>
      </c>
      <c r="B168">
        <v>2658</v>
      </c>
      <c r="C168" t="b">
        <v>1</v>
      </c>
      <c r="D168">
        <v>8048</v>
      </c>
      <c r="E168">
        <v>8129</v>
      </c>
      <c r="F168">
        <v>8</v>
      </c>
      <c r="G168">
        <v>10.8</v>
      </c>
      <c r="H168">
        <v>0.74074070000000003</v>
      </c>
      <c r="I168">
        <v>0.25925927999999998</v>
      </c>
      <c r="J168">
        <v>0.57446814000000002</v>
      </c>
    </row>
    <row r="169" spans="1:10" x14ac:dyDescent="0.3">
      <c r="A169">
        <v>167</v>
      </c>
      <c r="B169">
        <v>2674</v>
      </c>
      <c r="C169" t="b">
        <v>1</v>
      </c>
      <c r="D169">
        <v>8048</v>
      </c>
      <c r="E169">
        <v>8134</v>
      </c>
      <c r="F169">
        <v>8</v>
      </c>
      <c r="G169">
        <v>11.2</v>
      </c>
      <c r="H169">
        <v>0.71428572999999995</v>
      </c>
      <c r="I169">
        <v>0.28571426999999999</v>
      </c>
      <c r="J169">
        <v>0.58333330000000005</v>
      </c>
    </row>
    <row r="170" spans="1:10" x14ac:dyDescent="0.3">
      <c r="A170">
        <v>168</v>
      </c>
      <c r="B170">
        <v>2690</v>
      </c>
      <c r="C170" t="b">
        <v>1</v>
      </c>
      <c r="D170">
        <v>8042</v>
      </c>
      <c r="E170">
        <v>8123</v>
      </c>
      <c r="F170">
        <v>8</v>
      </c>
      <c r="G170">
        <v>11.6</v>
      </c>
      <c r="H170">
        <v>0.68965509999999997</v>
      </c>
      <c r="I170">
        <v>0.31034485000000001</v>
      </c>
      <c r="J170">
        <v>0.59183675000000002</v>
      </c>
    </row>
    <row r="171" spans="1:10" x14ac:dyDescent="0.3">
      <c r="A171">
        <v>169</v>
      </c>
      <c r="B171">
        <v>2705</v>
      </c>
      <c r="C171" t="b">
        <v>1</v>
      </c>
      <c r="D171">
        <v>8048</v>
      </c>
      <c r="E171">
        <v>8123</v>
      </c>
      <c r="F171">
        <v>8</v>
      </c>
      <c r="G171">
        <v>12</v>
      </c>
      <c r="H171">
        <v>0.66666669999999995</v>
      </c>
      <c r="I171">
        <v>0.33333333999999998</v>
      </c>
      <c r="J171">
        <v>0.6</v>
      </c>
    </row>
    <row r="172" spans="1:10" x14ac:dyDescent="0.3">
      <c r="A172">
        <v>170</v>
      </c>
      <c r="B172">
        <v>2721</v>
      </c>
      <c r="C172" t="b">
        <v>1</v>
      </c>
      <c r="D172">
        <v>8042</v>
      </c>
      <c r="E172">
        <v>8129</v>
      </c>
      <c r="F172">
        <v>8</v>
      </c>
      <c r="G172">
        <v>12.4</v>
      </c>
      <c r="H172">
        <v>0.64516132999999998</v>
      </c>
      <c r="I172">
        <v>0.35483870000000001</v>
      </c>
      <c r="J172">
        <v>0.60784309999999997</v>
      </c>
    </row>
    <row r="173" spans="1:10" x14ac:dyDescent="0.3">
      <c r="A173">
        <v>171</v>
      </c>
      <c r="B173">
        <v>2737</v>
      </c>
      <c r="C173" t="b">
        <v>1</v>
      </c>
      <c r="D173">
        <v>8048</v>
      </c>
      <c r="E173">
        <v>8123</v>
      </c>
      <c r="F173">
        <v>8</v>
      </c>
      <c r="G173">
        <v>12</v>
      </c>
      <c r="H173">
        <v>0.66666669999999995</v>
      </c>
      <c r="I173">
        <v>0.33333333999999998</v>
      </c>
      <c r="J173">
        <v>0.6</v>
      </c>
    </row>
    <row r="174" spans="1:10" x14ac:dyDescent="0.3">
      <c r="A174">
        <v>172</v>
      </c>
      <c r="B174">
        <v>2752</v>
      </c>
      <c r="C174" t="b">
        <v>1</v>
      </c>
      <c r="D174">
        <v>8048</v>
      </c>
      <c r="E174">
        <v>8123</v>
      </c>
      <c r="F174">
        <v>8</v>
      </c>
      <c r="G174">
        <v>11.6</v>
      </c>
      <c r="H174">
        <v>0.68965509999999997</v>
      </c>
      <c r="I174">
        <v>0.31034485000000001</v>
      </c>
      <c r="J174">
        <v>0.59183675000000002</v>
      </c>
    </row>
    <row r="175" spans="1:10" x14ac:dyDescent="0.3">
      <c r="A175">
        <v>173</v>
      </c>
      <c r="B175">
        <v>2768</v>
      </c>
      <c r="C175" t="b">
        <v>1</v>
      </c>
      <c r="D175">
        <v>8048</v>
      </c>
      <c r="E175">
        <v>8123</v>
      </c>
      <c r="F175">
        <v>8</v>
      </c>
      <c r="G175">
        <v>11.2</v>
      </c>
      <c r="H175">
        <v>0.71428572999999995</v>
      </c>
      <c r="I175">
        <v>0.28571426999999999</v>
      </c>
      <c r="J175">
        <v>0.58333330000000005</v>
      </c>
    </row>
    <row r="176" spans="1:10" x14ac:dyDescent="0.3">
      <c r="A176">
        <v>174</v>
      </c>
      <c r="B176">
        <v>2784</v>
      </c>
      <c r="C176" t="b">
        <v>1</v>
      </c>
      <c r="D176">
        <v>8048</v>
      </c>
      <c r="E176">
        <v>8123</v>
      </c>
      <c r="F176">
        <v>8</v>
      </c>
      <c r="G176">
        <v>10.8</v>
      </c>
      <c r="H176">
        <v>0.74074070000000003</v>
      </c>
      <c r="I176">
        <v>0.25925927999999998</v>
      </c>
      <c r="J176">
        <v>0.57446814000000002</v>
      </c>
    </row>
    <row r="177" spans="1:10" x14ac:dyDescent="0.3">
      <c r="A177">
        <v>175</v>
      </c>
      <c r="B177">
        <v>2800</v>
      </c>
      <c r="C177" t="b">
        <v>1</v>
      </c>
      <c r="D177">
        <v>8048</v>
      </c>
      <c r="E177">
        <v>8123</v>
      </c>
      <c r="F177">
        <v>8</v>
      </c>
      <c r="G177">
        <v>10.4</v>
      </c>
      <c r="H177">
        <v>0.76923079999999999</v>
      </c>
      <c r="I177">
        <v>0.23076920000000001</v>
      </c>
      <c r="J177">
        <v>0.56521739999999998</v>
      </c>
    </row>
    <row r="178" spans="1:10" x14ac:dyDescent="0.3">
      <c r="A178">
        <v>176</v>
      </c>
      <c r="B178">
        <v>2816</v>
      </c>
      <c r="C178" t="b">
        <v>1</v>
      </c>
      <c r="D178">
        <v>8048</v>
      </c>
      <c r="E178">
        <v>8123</v>
      </c>
      <c r="F178">
        <v>8</v>
      </c>
      <c r="G178">
        <v>10</v>
      </c>
      <c r="H178">
        <v>0.8</v>
      </c>
      <c r="I178">
        <v>0.2</v>
      </c>
      <c r="J178">
        <v>0.55555560000000004</v>
      </c>
    </row>
    <row r="179" spans="1:10" x14ac:dyDescent="0.3">
      <c r="A179">
        <v>177</v>
      </c>
      <c r="B179">
        <v>2831</v>
      </c>
      <c r="C179" t="b">
        <v>1</v>
      </c>
      <c r="D179">
        <v>8048</v>
      </c>
      <c r="E179">
        <v>8123</v>
      </c>
      <c r="F179">
        <v>8</v>
      </c>
      <c r="G179">
        <v>10</v>
      </c>
      <c r="H179">
        <v>0.8</v>
      </c>
      <c r="I179">
        <v>0.2</v>
      </c>
      <c r="J179">
        <v>0.55555560000000004</v>
      </c>
    </row>
    <row r="180" spans="1:10" x14ac:dyDescent="0.3">
      <c r="A180">
        <v>178</v>
      </c>
      <c r="B180">
        <v>2847</v>
      </c>
      <c r="C180" t="b">
        <v>1</v>
      </c>
      <c r="D180">
        <v>8037</v>
      </c>
      <c r="E180">
        <v>8123</v>
      </c>
      <c r="F180">
        <v>8</v>
      </c>
      <c r="G180">
        <v>10</v>
      </c>
      <c r="H180">
        <v>0.8</v>
      </c>
      <c r="I180">
        <v>0.2</v>
      </c>
      <c r="J180">
        <v>0.55555560000000004</v>
      </c>
    </row>
    <row r="181" spans="1:10" x14ac:dyDescent="0.3">
      <c r="A181">
        <v>179</v>
      </c>
      <c r="B181">
        <v>2863</v>
      </c>
      <c r="C181" t="b">
        <v>1</v>
      </c>
      <c r="D181">
        <v>8037</v>
      </c>
      <c r="E181">
        <v>8123</v>
      </c>
      <c r="F181">
        <v>8</v>
      </c>
      <c r="G181">
        <v>10</v>
      </c>
      <c r="H181">
        <v>0.8</v>
      </c>
      <c r="I181">
        <v>0.2</v>
      </c>
      <c r="J181">
        <v>0.55555560000000004</v>
      </c>
    </row>
    <row r="182" spans="1:10" x14ac:dyDescent="0.3">
      <c r="A182">
        <v>180</v>
      </c>
      <c r="B182">
        <v>2879</v>
      </c>
      <c r="C182" t="b">
        <v>1</v>
      </c>
      <c r="D182">
        <v>8042</v>
      </c>
      <c r="E182">
        <v>8123</v>
      </c>
      <c r="F182">
        <v>7.6</v>
      </c>
      <c r="G182">
        <v>10</v>
      </c>
      <c r="H182">
        <v>0.76</v>
      </c>
      <c r="I182">
        <v>0.24000001000000001</v>
      </c>
      <c r="J182">
        <v>0.56818179999999996</v>
      </c>
    </row>
    <row r="183" spans="1:10" x14ac:dyDescent="0.3">
      <c r="A183">
        <v>181</v>
      </c>
      <c r="B183">
        <v>2894</v>
      </c>
      <c r="C183" t="b">
        <v>1</v>
      </c>
      <c r="D183">
        <v>8042</v>
      </c>
      <c r="E183">
        <v>8129</v>
      </c>
      <c r="F183">
        <v>7.2</v>
      </c>
      <c r="G183">
        <v>9.6</v>
      </c>
      <c r="H183">
        <v>0.74999994000000003</v>
      </c>
      <c r="I183">
        <v>0.25000006000000002</v>
      </c>
      <c r="J183">
        <v>0.57142859999999995</v>
      </c>
    </row>
    <row r="184" spans="1:10" x14ac:dyDescent="0.3">
      <c r="A184">
        <v>182</v>
      </c>
      <c r="B184">
        <v>2910</v>
      </c>
      <c r="C184" t="b">
        <v>1</v>
      </c>
      <c r="D184">
        <v>8042</v>
      </c>
      <c r="E184">
        <v>8123</v>
      </c>
      <c r="F184">
        <v>6.8</v>
      </c>
      <c r="G184">
        <v>9.1999999999999993</v>
      </c>
      <c r="H184">
        <v>0.73913050000000002</v>
      </c>
      <c r="I184">
        <v>0.26086953000000002</v>
      </c>
      <c r="J184">
        <v>0.57499999999999996</v>
      </c>
    </row>
    <row r="185" spans="1:10" x14ac:dyDescent="0.3">
      <c r="A185">
        <v>183</v>
      </c>
      <c r="B185">
        <v>2925</v>
      </c>
      <c r="C185" t="b">
        <v>1</v>
      </c>
      <c r="D185">
        <v>8042</v>
      </c>
      <c r="E185">
        <v>8123</v>
      </c>
      <c r="F185">
        <v>6.4</v>
      </c>
      <c r="G185">
        <v>8.8000000000000007</v>
      </c>
      <c r="H185">
        <v>0.72727275000000002</v>
      </c>
      <c r="I185">
        <v>0.27272728000000002</v>
      </c>
      <c r="J185">
        <v>0.57894736999999996</v>
      </c>
    </row>
    <row r="186" spans="1:10" x14ac:dyDescent="0.3">
      <c r="A186">
        <v>184</v>
      </c>
      <c r="B186">
        <v>2942</v>
      </c>
      <c r="C186" t="b">
        <v>1</v>
      </c>
      <c r="D186">
        <v>8048</v>
      </c>
      <c r="E186">
        <v>8129</v>
      </c>
      <c r="F186">
        <v>6</v>
      </c>
      <c r="G186">
        <v>8.4</v>
      </c>
      <c r="H186">
        <v>0.71428572999999995</v>
      </c>
      <c r="I186">
        <v>0.28571424000000001</v>
      </c>
      <c r="J186">
        <v>0.58333330000000005</v>
      </c>
    </row>
    <row r="187" spans="1:10" x14ac:dyDescent="0.3">
      <c r="A187">
        <v>185</v>
      </c>
      <c r="B187">
        <v>2957</v>
      </c>
      <c r="C187" t="b">
        <v>1</v>
      </c>
      <c r="D187">
        <v>8048</v>
      </c>
      <c r="E187">
        <v>8123</v>
      </c>
      <c r="F187">
        <v>5.6</v>
      </c>
      <c r="G187">
        <v>8</v>
      </c>
      <c r="H187">
        <v>0.7</v>
      </c>
      <c r="I187">
        <v>0.3</v>
      </c>
      <c r="J187">
        <v>0.58823526000000004</v>
      </c>
    </row>
    <row r="188" spans="1:10" x14ac:dyDescent="0.3">
      <c r="A188">
        <v>186</v>
      </c>
      <c r="B188">
        <v>2973</v>
      </c>
      <c r="C188" t="b">
        <v>1</v>
      </c>
      <c r="D188">
        <v>8048</v>
      </c>
      <c r="E188">
        <v>8123</v>
      </c>
      <c r="F188">
        <v>5.6</v>
      </c>
      <c r="G188">
        <v>8</v>
      </c>
      <c r="H188">
        <v>0.7</v>
      </c>
      <c r="I188">
        <v>0.3</v>
      </c>
      <c r="J188">
        <v>0.58823526000000004</v>
      </c>
    </row>
    <row r="189" spans="1:10" x14ac:dyDescent="0.3">
      <c r="A189">
        <v>187</v>
      </c>
      <c r="B189">
        <v>2989</v>
      </c>
      <c r="C189" t="b">
        <v>1</v>
      </c>
      <c r="D189">
        <v>8048</v>
      </c>
      <c r="E189">
        <v>8123</v>
      </c>
      <c r="F189">
        <v>5.6</v>
      </c>
      <c r="G189">
        <v>8</v>
      </c>
      <c r="H189">
        <v>0.7</v>
      </c>
      <c r="I189">
        <v>0.3</v>
      </c>
      <c r="J189">
        <v>0.58823526000000004</v>
      </c>
    </row>
    <row r="190" spans="1:10" x14ac:dyDescent="0.3">
      <c r="A190">
        <v>188</v>
      </c>
      <c r="B190">
        <v>3005</v>
      </c>
      <c r="C190" t="b">
        <v>1</v>
      </c>
      <c r="D190">
        <v>8048</v>
      </c>
      <c r="E190">
        <v>8123</v>
      </c>
      <c r="F190">
        <v>5.6</v>
      </c>
      <c r="G190">
        <v>8</v>
      </c>
      <c r="H190">
        <v>0.7</v>
      </c>
      <c r="I190">
        <v>0.3</v>
      </c>
      <c r="J190">
        <v>0.58823526000000004</v>
      </c>
    </row>
    <row r="191" spans="1:10" x14ac:dyDescent="0.3">
      <c r="A191">
        <v>189</v>
      </c>
      <c r="B191">
        <v>3021</v>
      </c>
      <c r="C191" t="b">
        <v>1</v>
      </c>
      <c r="D191">
        <v>8048</v>
      </c>
      <c r="E191">
        <v>8129</v>
      </c>
      <c r="F191">
        <v>5.6</v>
      </c>
      <c r="G191">
        <v>8</v>
      </c>
      <c r="H191">
        <v>0.7</v>
      </c>
      <c r="I191">
        <v>0.3</v>
      </c>
      <c r="J191">
        <v>0.58823526000000004</v>
      </c>
    </row>
    <row r="192" spans="1:10" x14ac:dyDescent="0.3">
      <c r="A192">
        <v>190</v>
      </c>
      <c r="B192">
        <v>3037</v>
      </c>
      <c r="C192" t="b">
        <v>1</v>
      </c>
      <c r="D192">
        <v>8048</v>
      </c>
      <c r="E192">
        <v>8123</v>
      </c>
      <c r="F192">
        <v>5.6</v>
      </c>
      <c r="G192">
        <v>8</v>
      </c>
      <c r="H192">
        <v>0.7</v>
      </c>
      <c r="I192">
        <v>0.3</v>
      </c>
      <c r="J192">
        <v>0.58823526000000004</v>
      </c>
    </row>
    <row r="193" spans="1:10" x14ac:dyDescent="0.3">
      <c r="A193">
        <v>191</v>
      </c>
      <c r="B193">
        <v>3052</v>
      </c>
      <c r="C193" t="b">
        <v>1</v>
      </c>
      <c r="D193">
        <v>8048</v>
      </c>
      <c r="E193">
        <v>8123</v>
      </c>
      <c r="F193">
        <v>5.6</v>
      </c>
      <c r="G193">
        <v>8</v>
      </c>
      <c r="H193">
        <v>0.7</v>
      </c>
      <c r="I193">
        <v>0.3</v>
      </c>
      <c r="J193">
        <v>0.58823526000000004</v>
      </c>
    </row>
    <row r="194" spans="1:10" x14ac:dyDescent="0.3">
      <c r="A194">
        <v>192</v>
      </c>
      <c r="B194">
        <v>3067</v>
      </c>
      <c r="C194" t="b">
        <v>1</v>
      </c>
      <c r="D194">
        <v>8054</v>
      </c>
      <c r="E194">
        <v>8123</v>
      </c>
      <c r="F194">
        <v>5.6</v>
      </c>
      <c r="G194">
        <v>8</v>
      </c>
      <c r="H194">
        <v>0.7</v>
      </c>
      <c r="I194">
        <v>0.3</v>
      </c>
      <c r="J194">
        <v>0.58823526000000004</v>
      </c>
    </row>
    <row r="195" spans="1:10" x14ac:dyDescent="0.3">
      <c r="A195">
        <v>193</v>
      </c>
      <c r="B195">
        <v>3083</v>
      </c>
      <c r="C195" t="b">
        <v>1</v>
      </c>
      <c r="D195">
        <v>8048</v>
      </c>
      <c r="E195">
        <v>8129</v>
      </c>
      <c r="F195">
        <v>5.6</v>
      </c>
      <c r="G195">
        <v>8</v>
      </c>
      <c r="H195">
        <v>0.7</v>
      </c>
      <c r="I195">
        <v>0.3</v>
      </c>
      <c r="J195">
        <v>0.58823526000000004</v>
      </c>
    </row>
    <row r="196" spans="1:10" x14ac:dyDescent="0.3">
      <c r="A196">
        <v>194</v>
      </c>
      <c r="B196">
        <v>3099</v>
      </c>
      <c r="C196" t="b">
        <v>1</v>
      </c>
      <c r="D196">
        <v>8048</v>
      </c>
      <c r="E196">
        <v>8123</v>
      </c>
      <c r="F196">
        <v>5.6</v>
      </c>
      <c r="G196">
        <v>8</v>
      </c>
      <c r="H196">
        <v>0.7</v>
      </c>
      <c r="I196">
        <v>0.3</v>
      </c>
      <c r="J196">
        <v>0.58823526000000004</v>
      </c>
    </row>
    <row r="197" spans="1:10" x14ac:dyDescent="0.3">
      <c r="A197">
        <v>195</v>
      </c>
      <c r="B197">
        <v>3115</v>
      </c>
      <c r="C197" t="b">
        <v>1</v>
      </c>
      <c r="D197">
        <v>8054</v>
      </c>
      <c r="E197">
        <v>8123</v>
      </c>
      <c r="F197">
        <v>6</v>
      </c>
      <c r="G197">
        <v>8</v>
      </c>
      <c r="H197">
        <v>0.75</v>
      </c>
      <c r="I197">
        <v>0.25</v>
      </c>
      <c r="J197">
        <v>0.57142859999999995</v>
      </c>
    </row>
    <row r="198" spans="1:10" x14ac:dyDescent="0.3">
      <c r="A198">
        <v>196</v>
      </c>
      <c r="B198">
        <v>3130</v>
      </c>
      <c r="C198" t="b">
        <v>1</v>
      </c>
      <c r="D198">
        <v>8054</v>
      </c>
      <c r="E198">
        <v>8123</v>
      </c>
      <c r="F198">
        <v>6.8</v>
      </c>
      <c r="G198">
        <v>8</v>
      </c>
      <c r="H198">
        <v>0.85</v>
      </c>
      <c r="I198">
        <v>0.14999998</v>
      </c>
      <c r="J198">
        <v>0.54054049999999998</v>
      </c>
    </row>
    <row r="199" spans="1:10" x14ac:dyDescent="0.3">
      <c r="A199">
        <v>197</v>
      </c>
      <c r="B199">
        <v>3146</v>
      </c>
      <c r="C199" t="b">
        <v>1</v>
      </c>
      <c r="D199">
        <v>8048</v>
      </c>
      <c r="E199">
        <v>8123</v>
      </c>
      <c r="F199">
        <v>7.2</v>
      </c>
      <c r="G199">
        <v>8</v>
      </c>
      <c r="H199">
        <v>0.9</v>
      </c>
      <c r="I199">
        <v>0.10000002400000001</v>
      </c>
      <c r="J199">
        <v>0.5263158</v>
      </c>
    </row>
    <row r="200" spans="1:10" x14ac:dyDescent="0.3">
      <c r="A200">
        <v>198</v>
      </c>
      <c r="B200">
        <v>3162</v>
      </c>
      <c r="C200" t="b">
        <v>1</v>
      </c>
      <c r="D200">
        <v>8048</v>
      </c>
      <c r="E200">
        <v>8129</v>
      </c>
      <c r="F200">
        <v>7.6</v>
      </c>
      <c r="G200">
        <v>8</v>
      </c>
      <c r="H200">
        <v>0.95</v>
      </c>
      <c r="I200">
        <v>5.0000012000000003E-2</v>
      </c>
      <c r="J200">
        <v>0.51282050000000001</v>
      </c>
    </row>
    <row r="201" spans="1:10" x14ac:dyDescent="0.3">
      <c r="A201">
        <v>199</v>
      </c>
      <c r="B201">
        <v>3178</v>
      </c>
      <c r="C201" t="b">
        <v>1</v>
      </c>
      <c r="D201">
        <v>8048</v>
      </c>
      <c r="E201">
        <v>8129</v>
      </c>
      <c r="F201">
        <v>8</v>
      </c>
      <c r="G201">
        <v>8</v>
      </c>
      <c r="H201">
        <v>1</v>
      </c>
      <c r="I201">
        <v>0</v>
      </c>
      <c r="J201">
        <v>0.5</v>
      </c>
    </row>
    <row r="202" spans="1:10" x14ac:dyDescent="0.3">
      <c r="A202">
        <v>200</v>
      </c>
      <c r="B202">
        <v>3193</v>
      </c>
      <c r="C202" t="b">
        <v>1</v>
      </c>
      <c r="D202">
        <v>8048</v>
      </c>
      <c r="E202">
        <v>8134</v>
      </c>
      <c r="F202">
        <v>8.4</v>
      </c>
      <c r="G202">
        <v>8.4</v>
      </c>
      <c r="H202">
        <v>1</v>
      </c>
      <c r="I202">
        <v>0</v>
      </c>
      <c r="J202">
        <v>0.5</v>
      </c>
    </row>
    <row r="203" spans="1:10" x14ac:dyDescent="0.3">
      <c r="A203">
        <v>201</v>
      </c>
      <c r="B203">
        <v>3209</v>
      </c>
      <c r="C203" t="b">
        <v>1</v>
      </c>
      <c r="D203">
        <v>8048</v>
      </c>
      <c r="E203">
        <v>8123</v>
      </c>
      <c r="F203">
        <v>8.4</v>
      </c>
      <c r="G203">
        <v>8.8000000000000007</v>
      </c>
      <c r="H203">
        <v>0.95454539999999999</v>
      </c>
      <c r="I203">
        <v>4.5454609999999999E-2</v>
      </c>
      <c r="J203">
        <v>0.51162790000000002</v>
      </c>
    </row>
    <row r="204" spans="1:10" x14ac:dyDescent="0.3">
      <c r="A204">
        <v>202</v>
      </c>
      <c r="B204">
        <v>3225</v>
      </c>
      <c r="C204" t="b">
        <v>1</v>
      </c>
      <c r="D204">
        <v>8048</v>
      </c>
      <c r="E204">
        <v>8129</v>
      </c>
      <c r="F204">
        <v>8.4</v>
      </c>
      <c r="G204">
        <v>9.1999999999999993</v>
      </c>
      <c r="H204">
        <v>0.91304344000000004</v>
      </c>
      <c r="I204">
        <v>8.6956545999999996E-2</v>
      </c>
      <c r="J204">
        <v>0.52272730000000001</v>
      </c>
    </row>
    <row r="205" spans="1:10" x14ac:dyDescent="0.3">
      <c r="A205">
        <v>203</v>
      </c>
      <c r="B205">
        <v>3241</v>
      </c>
      <c r="C205" t="b">
        <v>1</v>
      </c>
      <c r="D205">
        <v>8048</v>
      </c>
      <c r="E205">
        <v>8117</v>
      </c>
      <c r="F205">
        <v>8.4</v>
      </c>
      <c r="G205">
        <v>9.6</v>
      </c>
      <c r="H205">
        <v>0.87499994000000003</v>
      </c>
      <c r="I205">
        <v>0.12500006999999999</v>
      </c>
      <c r="J205">
        <v>0.53333335999999998</v>
      </c>
    </row>
    <row r="206" spans="1:10" x14ac:dyDescent="0.3">
      <c r="A206">
        <v>204</v>
      </c>
      <c r="B206">
        <v>3256</v>
      </c>
      <c r="C206" t="b">
        <v>1</v>
      </c>
      <c r="D206">
        <v>8042</v>
      </c>
      <c r="E206">
        <v>8123</v>
      </c>
      <c r="F206">
        <v>8.4</v>
      </c>
      <c r="G206">
        <v>9.6</v>
      </c>
      <c r="H206">
        <v>0.87499994000000003</v>
      </c>
      <c r="I206">
        <v>0.12500006999999999</v>
      </c>
      <c r="J206">
        <v>0.53333335999999998</v>
      </c>
    </row>
    <row r="207" spans="1:10" x14ac:dyDescent="0.3">
      <c r="A207">
        <v>205</v>
      </c>
      <c r="B207">
        <v>3272</v>
      </c>
      <c r="C207" t="b">
        <v>1</v>
      </c>
      <c r="D207">
        <v>8048</v>
      </c>
      <c r="E207">
        <v>8123</v>
      </c>
      <c r="F207">
        <v>8.4</v>
      </c>
      <c r="G207">
        <v>9.6</v>
      </c>
      <c r="H207">
        <v>0.87499994000000003</v>
      </c>
      <c r="I207">
        <v>0.12500006999999999</v>
      </c>
      <c r="J207">
        <v>0.53333335999999998</v>
      </c>
    </row>
    <row r="208" spans="1:10" x14ac:dyDescent="0.3">
      <c r="A208">
        <v>206</v>
      </c>
      <c r="B208">
        <v>3288</v>
      </c>
      <c r="C208" t="b">
        <v>1</v>
      </c>
      <c r="D208">
        <v>8042</v>
      </c>
      <c r="E208">
        <v>8123</v>
      </c>
      <c r="F208">
        <v>8.4</v>
      </c>
      <c r="G208">
        <v>9.6</v>
      </c>
      <c r="H208">
        <v>0.87499994000000003</v>
      </c>
      <c r="I208">
        <v>0.12500006999999999</v>
      </c>
      <c r="J208">
        <v>0.53333335999999998</v>
      </c>
    </row>
    <row r="209" spans="1:10" x14ac:dyDescent="0.3">
      <c r="A209">
        <v>207</v>
      </c>
      <c r="B209">
        <v>3303</v>
      </c>
      <c r="C209" t="b">
        <v>1</v>
      </c>
      <c r="D209">
        <v>8048</v>
      </c>
      <c r="E209">
        <v>8123</v>
      </c>
      <c r="F209">
        <v>8.4</v>
      </c>
      <c r="G209">
        <v>9.6</v>
      </c>
      <c r="H209">
        <v>0.87499994000000003</v>
      </c>
      <c r="I209">
        <v>0.12500006999999999</v>
      </c>
      <c r="J209">
        <v>0.53333335999999998</v>
      </c>
    </row>
    <row r="210" spans="1:10" x14ac:dyDescent="0.3">
      <c r="A210">
        <v>208</v>
      </c>
      <c r="B210">
        <v>3319</v>
      </c>
      <c r="C210" t="b">
        <v>1</v>
      </c>
      <c r="D210">
        <v>8042</v>
      </c>
      <c r="E210">
        <v>8123</v>
      </c>
      <c r="F210">
        <v>8</v>
      </c>
      <c r="G210">
        <v>9.6</v>
      </c>
      <c r="H210">
        <v>0.83333330000000005</v>
      </c>
      <c r="I210">
        <v>0.1666667</v>
      </c>
      <c r="J210">
        <v>0.54545456000000003</v>
      </c>
    </row>
    <row r="211" spans="1:10" x14ac:dyDescent="0.3">
      <c r="A211">
        <v>209</v>
      </c>
      <c r="B211">
        <v>3335</v>
      </c>
      <c r="C211" t="b">
        <v>1</v>
      </c>
      <c r="D211">
        <v>8048</v>
      </c>
      <c r="E211">
        <v>8123</v>
      </c>
      <c r="F211">
        <v>8</v>
      </c>
      <c r="G211">
        <v>9.6</v>
      </c>
      <c r="H211">
        <v>0.83333330000000005</v>
      </c>
      <c r="I211">
        <v>0.1666667</v>
      </c>
      <c r="J211">
        <v>0.54545456000000003</v>
      </c>
    </row>
    <row r="212" spans="1:10" x14ac:dyDescent="0.3">
      <c r="A212">
        <v>210</v>
      </c>
      <c r="B212">
        <v>3351</v>
      </c>
      <c r="C212" t="b">
        <v>1</v>
      </c>
      <c r="D212">
        <v>8048</v>
      </c>
      <c r="E212">
        <v>8123</v>
      </c>
      <c r="F212">
        <v>8</v>
      </c>
      <c r="G212">
        <v>9.6</v>
      </c>
      <c r="H212">
        <v>0.83333330000000005</v>
      </c>
      <c r="I212">
        <v>0.1666667</v>
      </c>
      <c r="J212">
        <v>0.54545456000000003</v>
      </c>
    </row>
    <row r="213" spans="1:10" x14ac:dyDescent="0.3">
      <c r="A213">
        <v>211</v>
      </c>
      <c r="B213">
        <v>3367</v>
      </c>
      <c r="C213" t="b">
        <v>1</v>
      </c>
      <c r="D213">
        <v>8048</v>
      </c>
      <c r="E213">
        <v>8117</v>
      </c>
      <c r="F213">
        <v>7.6</v>
      </c>
      <c r="G213">
        <v>9.6</v>
      </c>
      <c r="H213">
        <v>0.7916666</v>
      </c>
      <c r="I213">
        <v>0.20833336999999999</v>
      </c>
      <c r="J213">
        <v>0.55813950000000001</v>
      </c>
    </row>
    <row r="214" spans="1:10" x14ac:dyDescent="0.3">
      <c r="A214">
        <v>212</v>
      </c>
      <c r="B214">
        <v>3382</v>
      </c>
      <c r="C214" t="b">
        <v>1</v>
      </c>
      <c r="D214">
        <v>8048</v>
      </c>
      <c r="E214">
        <v>8117</v>
      </c>
      <c r="F214">
        <v>7.6</v>
      </c>
      <c r="G214">
        <v>9.6</v>
      </c>
      <c r="H214">
        <v>0.7916666</v>
      </c>
      <c r="I214">
        <v>0.20833336999999999</v>
      </c>
      <c r="J214">
        <v>0.55813950000000001</v>
      </c>
    </row>
    <row r="215" spans="1:10" x14ac:dyDescent="0.3">
      <c r="A215">
        <v>213</v>
      </c>
      <c r="B215">
        <v>3398</v>
      </c>
      <c r="C215" t="b">
        <v>1</v>
      </c>
      <c r="D215">
        <v>8048</v>
      </c>
      <c r="E215">
        <v>8123</v>
      </c>
      <c r="F215">
        <v>7.6</v>
      </c>
      <c r="G215">
        <v>9.6</v>
      </c>
      <c r="H215">
        <v>0.7916666</v>
      </c>
      <c r="I215">
        <v>0.20833336999999999</v>
      </c>
      <c r="J215">
        <v>0.55813950000000001</v>
      </c>
    </row>
    <row r="216" spans="1:10" x14ac:dyDescent="0.3">
      <c r="A216">
        <v>214</v>
      </c>
      <c r="B216">
        <v>3414</v>
      </c>
      <c r="C216" t="b">
        <v>1</v>
      </c>
      <c r="D216">
        <v>8048</v>
      </c>
      <c r="E216">
        <v>8129</v>
      </c>
      <c r="F216">
        <v>7.6</v>
      </c>
      <c r="G216">
        <v>9.6</v>
      </c>
      <c r="H216">
        <v>0.7916666</v>
      </c>
      <c r="I216">
        <v>0.20833336999999999</v>
      </c>
      <c r="J216">
        <v>0.55813950000000001</v>
      </c>
    </row>
    <row r="217" spans="1:10" x14ac:dyDescent="0.3">
      <c r="A217">
        <v>215</v>
      </c>
      <c r="B217">
        <v>3430</v>
      </c>
      <c r="C217" t="b">
        <v>1</v>
      </c>
      <c r="D217">
        <v>8048</v>
      </c>
      <c r="E217">
        <v>8123</v>
      </c>
      <c r="F217">
        <v>7.6</v>
      </c>
      <c r="G217">
        <v>9.1999999999999993</v>
      </c>
      <c r="H217">
        <v>0.82608694000000005</v>
      </c>
      <c r="I217">
        <v>0.17391303</v>
      </c>
      <c r="J217">
        <v>0.54761903999999995</v>
      </c>
    </row>
    <row r="218" spans="1:10" x14ac:dyDescent="0.3">
      <c r="A218">
        <v>216</v>
      </c>
      <c r="B218">
        <v>3446</v>
      </c>
      <c r="C218" t="b">
        <v>1</v>
      </c>
      <c r="D218">
        <v>8048</v>
      </c>
      <c r="E218">
        <v>8123</v>
      </c>
      <c r="F218">
        <v>7.6</v>
      </c>
      <c r="G218">
        <v>8.8000000000000007</v>
      </c>
      <c r="H218">
        <v>0.86363630000000002</v>
      </c>
      <c r="I218">
        <v>0.13636366999999999</v>
      </c>
      <c r="J218">
        <v>0.53658539999999999</v>
      </c>
    </row>
    <row r="219" spans="1:10" x14ac:dyDescent="0.3">
      <c r="A219">
        <v>217</v>
      </c>
      <c r="B219">
        <v>3462</v>
      </c>
      <c r="C219" t="b">
        <v>1</v>
      </c>
      <c r="D219">
        <v>8048</v>
      </c>
      <c r="E219">
        <v>8123</v>
      </c>
      <c r="F219">
        <v>7.6</v>
      </c>
      <c r="G219">
        <v>8.4</v>
      </c>
      <c r="H219">
        <v>0.90476190000000001</v>
      </c>
      <c r="I219">
        <v>9.5238069999999994E-2</v>
      </c>
      <c r="J219">
        <v>0.52500000000000002</v>
      </c>
    </row>
    <row r="220" spans="1:10" x14ac:dyDescent="0.3">
      <c r="A220">
        <v>218</v>
      </c>
      <c r="B220">
        <v>3478</v>
      </c>
      <c r="C220" t="b">
        <v>1</v>
      </c>
      <c r="D220">
        <v>8048</v>
      </c>
      <c r="E220">
        <v>8117</v>
      </c>
      <c r="F220">
        <v>7.6</v>
      </c>
      <c r="G220">
        <v>8</v>
      </c>
      <c r="H220">
        <v>0.95</v>
      </c>
      <c r="I220">
        <v>5.0000012000000003E-2</v>
      </c>
      <c r="J220">
        <v>0.51282050000000001</v>
      </c>
    </row>
    <row r="221" spans="1:10" x14ac:dyDescent="0.3">
      <c r="A221">
        <v>219</v>
      </c>
      <c r="B221">
        <v>3493</v>
      </c>
      <c r="C221" t="b">
        <v>1</v>
      </c>
      <c r="D221">
        <v>8048</v>
      </c>
      <c r="E221">
        <v>8123</v>
      </c>
      <c r="F221">
        <v>7.6</v>
      </c>
      <c r="G221">
        <v>8</v>
      </c>
      <c r="H221">
        <v>0.95</v>
      </c>
      <c r="I221">
        <v>5.0000012000000003E-2</v>
      </c>
      <c r="J221">
        <v>0.51282050000000001</v>
      </c>
    </row>
    <row r="222" spans="1:10" x14ac:dyDescent="0.3">
      <c r="A222">
        <v>220</v>
      </c>
      <c r="B222">
        <v>3509</v>
      </c>
      <c r="C222" t="b">
        <v>1</v>
      </c>
      <c r="D222">
        <v>8048</v>
      </c>
      <c r="E222">
        <v>8129</v>
      </c>
      <c r="F222">
        <v>7.6</v>
      </c>
      <c r="G222">
        <v>8</v>
      </c>
      <c r="H222">
        <v>0.95</v>
      </c>
      <c r="I222">
        <v>5.0000012000000003E-2</v>
      </c>
      <c r="J222">
        <v>0.51282050000000001</v>
      </c>
    </row>
    <row r="223" spans="1:10" x14ac:dyDescent="0.3">
      <c r="A223">
        <v>221</v>
      </c>
      <c r="B223">
        <v>3525</v>
      </c>
      <c r="C223" t="b">
        <v>1</v>
      </c>
      <c r="D223">
        <v>8042</v>
      </c>
      <c r="E223">
        <v>8117</v>
      </c>
      <c r="F223">
        <v>7.6</v>
      </c>
      <c r="G223">
        <v>8</v>
      </c>
      <c r="H223">
        <v>0.95</v>
      </c>
      <c r="I223">
        <v>5.0000012000000003E-2</v>
      </c>
      <c r="J223">
        <v>0.51282050000000001</v>
      </c>
    </row>
    <row r="224" spans="1:10" x14ac:dyDescent="0.3">
      <c r="A224">
        <v>222</v>
      </c>
      <c r="B224">
        <v>3541</v>
      </c>
      <c r="C224" t="b">
        <v>1</v>
      </c>
      <c r="D224">
        <v>8048</v>
      </c>
      <c r="E224">
        <v>8129</v>
      </c>
      <c r="F224">
        <v>7.6</v>
      </c>
      <c r="G224">
        <v>8</v>
      </c>
      <c r="H224">
        <v>0.95</v>
      </c>
      <c r="I224">
        <v>5.0000012000000003E-2</v>
      </c>
      <c r="J224">
        <v>0.51282050000000001</v>
      </c>
    </row>
    <row r="225" spans="1:10" x14ac:dyDescent="0.3">
      <c r="A225">
        <v>223</v>
      </c>
      <c r="B225">
        <v>3556</v>
      </c>
      <c r="C225" t="b">
        <v>1</v>
      </c>
      <c r="D225">
        <v>8048</v>
      </c>
      <c r="E225">
        <v>8134</v>
      </c>
      <c r="F225">
        <v>8</v>
      </c>
      <c r="G225">
        <v>8.4</v>
      </c>
      <c r="H225">
        <v>0.95238100000000003</v>
      </c>
      <c r="I225">
        <v>4.7619003999999999E-2</v>
      </c>
      <c r="J225">
        <v>0.51219510000000001</v>
      </c>
    </row>
    <row r="226" spans="1:10" x14ac:dyDescent="0.3">
      <c r="A226">
        <v>224</v>
      </c>
      <c r="B226">
        <v>3572</v>
      </c>
      <c r="C226" t="b">
        <v>1</v>
      </c>
      <c r="D226">
        <v>8048</v>
      </c>
      <c r="E226">
        <v>8123</v>
      </c>
      <c r="F226">
        <v>8</v>
      </c>
      <c r="G226">
        <v>8.8000000000000007</v>
      </c>
      <c r="H226">
        <v>0.90909090000000004</v>
      </c>
      <c r="I226">
        <v>9.0909110000000001E-2</v>
      </c>
      <c r="J226">
        <v>0.52380954999999996</v>
      </c>
    </row>
    <row r="227" spans="1:10" x14ac:dyDescent="0.3">
      <c r="A227">
        <v>225</v>
      </c>
      <c r="B227">
        <v>3588</v>
      </c>
      <c r="C227" t="b">
        <v>1</v>
      </c>
      <c r="D227">
        <v>8048</v>
      </c>
      <c r="E227">
        <v>8123</v>
      </c>
      <c r="F227">
        <v>8</v>
      </c>
      <c r="G227">
        <v>8.8000000000000007</v>
      </c>
      <c r="H227">
        <v>0.90909090000000004</v>
      </c>
      <c r="I227">
        <v>9.0909110000000001E-2</v>
      </c>
      <c r="J227">
        <v>0.52380954999999996</v>
      </c>
    </row>
    <row r="228" spans="1:10" x14ac:dyDescent="0.3">
      <c r="A228">
        <v>226</v>
      </c>
      <c r="B228">
        <v>3604</v>
      </c>
      <c r="C228" t="b">
        <v>1</v>
      </c>
      <c r="D228">
        <v>8042</v>
      </c>
      <c r="E228">
        <v>8123</v>
      </c>
      <c r="F228">
        <v>8</v>
      </c>
      <c r="G228">
        <v>8.8000000000000007</v>
      </c>
      <c r="H228">
        <v>0.90909090000000004</v>
      </c>
      <c r="I228">
        <v>9.0909110000000001E-2</v>
      </c>
      <c r="J228">
        <v>0.52380954999999996</v>
      </c>
    </row>
    <row r="229" spans="1:10" x14ac:dyDescent="0.3">
      <c r="A229">
        <v>227</v>
      </c>
      <c r="B229">
        <v>3619</v>
      </c>
      <c r="C229" t="b">
        <v>1</v>
      </c>
      <c r="D229">
        <v>8048</v>
      </c>
      <c r="E229">
        <v>8129</v>
      </c>
      <c r="F229">
        <v>8</v>
      </c>
      <c r="G229">
        <v>8.8000000000000007</v>
      </c>
      <c r="H229">
        <v>0.90909090000000004</v>
      </c>
      <c r="I229">
        <v>9.0909110000000001E-2</v>
      </c>
      <c r="J229">
        <v>0.52380954999999996</v>
      </c>
    </row>
    <row r="230" spans="1:10" x14ac:dyDescent="0.3">
      <c r="A230">
        <v>228</v>
      </c>
      <c r="B230">
        <v>3635</v>
      </c>
      <c r="C230" t="b">
        <v>1</v>
      </c>
      <c r="D230">
        <v>8048</v>
      </c>
      <c r="E230">
        <v>8123</v>
      </c>
      <c r="F230">
        <v>8</v>
      </c>
      <c r="G230">
        <v>8.8000000000000007</v>
      </c>
      <c r="H230">
        <v>0.90909090000000004</v>
      </c>
      <c r="I230">
        <v>9.0909110000000001E-2</v>
      </c>
      <c r="J230">
        <v>0.52380954999999996</v>
      </c>
    </row>
    <row r="231" spans="1:10" x14ac:dyDescent="0.3">
      <c r="A231">
        <v>229</v>
      </c>
      <c r="B231">
        <v>3651</v>
      </c>
      <c r="C231" t="b">
        <v>1</v>
      </c>
      <c r="D231">
        <v>8042</v>
      </c>
      <c r="E231">
        <v>8123</v>
      </c>
      <c r="F231">
        <v>8</v>
      </c>
      <c r="G231">
        <v>8.8000000000000007</v>
      </c>
      <c r="H231">
        <v>0.90909090000000004</v>
      </c>
      <c r="I231">
        <v>9.0909110000000001E-2</v>
      </c>
      <c r="J231">
        <v>0.52380954999999996</v>
      </c>
    </row>
    <row r="232" spans="1:10" x14ac:dyDescent="0.3">
      <c r="A232">
        <v>230</v>
      </c>
      <c r="B232">
        <v>3667</v>
      </c>
      <c r="C232" t="b">
        <v>1</v>
      </c>
      <c r="D232">
        <v>8042</v>
      </c>
      <c r="E232">
        <v>8129</v>
      </c>
      <c r="F232">
        <v>7.6</v>
      </c>
      <c r="G232">
        <v>8.8000000000000007</v>
      </c>
      <c r="H232">
        <v>0.86363630000000002</v>
      </c>
      <c r="I232">
        <v>0.13636366999999999</v>
      </c>
      <c r="J232">
        <v>0.53658539999999999</v>
      </c>
    </row>
    <row r="233" spans="1:10" x14ac:dyDescent="0.3">
      <c r="A233">
        <v>231</v>
      </c>
      <c r="B233">
        <v>3683</v>
      </c>
      <c r="C233" t="b">
        <v>1</v>
      </c>
      <c r="D233">
        <v>8037</v>
      </c>
      <c r="E233">
        <v>8123</v>
      </c>
      <c r="F233">
        <v>7.2</v>
      </c>
      <c r="G233">
        <v>8.8000000000000007</v>
      </c>
      <c r="H233">
        <v>0.81818175000000004</v>
      </c>
      <c r="I233">
        <v>0.18181822</v>
      </c>
      <c r="J233">
        <v>0.55000000000000004</v>
      </c>
    </row>
    <row r="234" spans="1:10" x14ac:dyDescent="0.3">
      <c r="A234">
        <v>232</v>
      </c>
      <c r="B234">
        <v>3699</v>
      </c>
      <c r="C234" t="b">
        <v>1</v>
      </c>
      <c r="D234">
        <v>8042</v>
      </c>
      <c r="E234">
        <v>8123</v>
      </c>
      <c r="F234">
        <v>6.8</v>
      </c>
      <c r="G234">
        <v>8.8000000000000007</v>
      </c>
      <c r="H234">
        <v>0.77272724999999998</v>
      </c>
      <c r="I234">
        <v>0.22727272000000001</v>
      </c>
      <c r="J234">
        <v>0.56410260000000001</v>
      </c>
    </row>
    <row r="235" spans="1:10" x14ac:dyDescent="0.3">
      <c r="A235">
        <v>233</v>
      </c>
      <c r="B235">
        <v>3715</v>
      </c>
      <c r="C235" t="b">
        <v>1</v>
      </c>
      <c r="D235">
        <v>8042</v>
      </c>
      <c r="E235">
        <v>8123</v>
      </c>
      <c r="F235">
        <v>6.4</v>
      </c>
      <c r="G235">
        <v>8.8000000000000007</v>
      </c>
      <c r="H235">
        <v>0.72727275000000002</v>
      </c>
      <c r="I235">
        <v>0.27272728000000002</v>
      </c>
      <c r="J235">
        <v>0.57894736999999996</v>
      </c>
    </row>
    <row r="236" spans="1:10" x14ac:dyDescent="0.3">
      <c r="A236">
        <v>234</v>
      </c>
      <c r="B236">
        <v>3730</v>
      </c>
      <c r="C236" t="b">
        <v>1</v>
      </c>
      <c r="D236">
        <v>8042</v>
      </c>
      <c r="E236">
        <v>8123</v>
      </c>
      <c r="F236">
        <v>6</v>
      </c>
      <c r="G236">
        <v>8.8000000000000007</v>
      </c>
      <c r="H236">
        <v>0.68181820000000004</v>
      </c>
      <c r="I236">
        <v>0.31818183999999999</v>
      </c>
      <c r="J236">
        <v>0.59459459999999997</v>
      </c>
    </row>
    <row r="237" spans="1:10" x14ac:dyDescent="0.3">
      <c r="A237">
        <v>235</v>
      </c>
      <c r="B237">
        <v>3746</v>
      </c>
      <c r="C237" t="b">
        <v>1</v>
      </c>
      <c r="D237">
        <v>8042</v>
      </c>
      <c r="E237">
        <v>8123</v>
      </c>
      <c r="F237">
        <v>5.6</v>
      </c>
      <c r="G237">
        <v>8.8000000000000007</v>
      </c>
      <c r="H237">
        <v>0.63636360000000003</v>
      </c>
      <c r="I237">
        <v>0.36363636999999999</v>
      </c>
      <c r="J237">
        <v>0.61111115999999999</v>
      </c>
    </row>
    <row r="238" spans="1:10" x14ac:dyDescent="0.3">
      <c r="A238">
        <v>236</v>
      </c>
      <c r="B238">
        <v>3762</v>
      </c>
      <c r="C238" t="b">
        <v>1</v>
      </c>
      <c r="D238">
        <v>8048</v>
      </c>
      <c r="E238">
        <v>8129</v>
      </c>
      <c r="F238">
        <v>5.2</v>
      </c>
      <c r="G238">
        <v>8.8000000000000007</v>
      </c>
      <c r="H238">
        <v>0.59090905999999999</v>
      </c>
      <c r="I238">
        <v>0.40909094000000001</v>
      </c>
      <c r="J238">
        <v>0.62857145000000003</v>
      </c>
    </row>
    <row r="239" spans="1:10" x14ac:dyDescent="0.3">
      <c r="A239">
        <v>237</v>
      </c>
      <c r="B239">
        <v>3778</v>
      </c>
      <c r="C239" t="b">
        <v>1</v>
      </c>
      <c r="D239">
        <v>8042</v>
      </c>
      <c r="E239">
        <v>8129</v>
      </c>
      <c r="F239">
        <v>4.8</v>
      </c>
      <c r="G239">
        <v>8.8000000000000007</v>
      </c>
      <c r="H239">
        <v>0.54545456000000003</v>
      </c>
      <c r="I239">
        <v>0.45454544000000002</v>
      </c>
      <c r="J239">
        <v>0.64705884000000002</v>
      </c>
    </row>
    <row r="240" spans="1:10" x14ac:dyDescent="0.3">
      <c r="A240">
        <v>238</v>
      </c>
      <c r="B240">
        <v>3793</v>
      </c>
      <c r="C240" t="b">
        <v>1</v>
      </c>
      <c r="D240">
        <v>8042</v>
      </c>
      <c r="E240">
        <v>8129</v>
      </c>
      <c r="F240">
        <v>4.4000000000000004</v>
      </c>
      <c r="G240">
        <v>8.8000000000000007</v>
      </c>
      <c r="H240">
        <v>0.5</v>
      </c>
      <c r="I240">
        <v>0.5</v>
      </c>
      <c r="J240">
        <v>0.6666666</v>
      </c>
    </row>
    <row r="241" spans="1:10" x14ac:dyDescent="0.3">
      <c r="A241">
        <v>239</v>
      </c>
      <c r="B241">
        <v>3809</v>
      </c>
      <c r="C241" t="b">
        <v>1</v>
      </c>
      <c r="D241">
        <v>8048</v>
      </c>
      <c r="E241">
        <v>8129</v>
      </c>
      <c r="F241">
        <v>4</v>
      </c>
      <c r="G241">
        <v>8.8000000000000007</v>
      </c>
      <c r="H241">
        <v>0.45454544000000002</v>
      </c>
      <c r="I241">
        <v>0.54545456000000003</v>
      </c>
      <c r="J241">
        <v>0.6875</v>
      </c>
    </row>
    <row r="242" spans="1:10" x14ac:dyDescent="0.3">
      <c r="A242">
        <v>240</v>
      </c>
      <c r="B242">
        <v>3825</v>
      </c>
      <c r="C242" t="b">
        <v>1</v>
      </c>
      <c r="D242">
        <v>8048</v>
      </c>
      <c r="E242">
        <v>8129</v>
      </c>
      <c r="F242">
        <v>4</v>
      </c>
      <c r="G242">
        <v>9.1999999999999993</v>
      </c>
      <c r="H242">
        <v>0.43478262000000001</v>
      </c>
      <c r="I242">
        <v>0.56521739999999998</v>
      </c>
      <c r="J242">
        <v>0.69696970000000003</v>
      </c>
    </row>
    <row r="243" spans="1:10" x14ac:dyDescent="0.3">
      <c r="A243">
        <v>241</v>
      </c>
      <c r="B243">
        <v>3841</v>
      </c>
      <c r="C243" t="b">
        <v>1</v>
      </c>
      <c r="D243">
        <v>8048</v>
      </c>
      <c r="E243">
        <v>8123</v>
      </c>
      <c r="F243">
        <v>4</v>
      </c>
      <c r="G243">
        <v>9.6</v>
      </c>
      <c r="H243">
        <v>0.41666666000000002</v>
      </c>
      <c r="I243">
        <v>0.5833334</v>
      </c>
      <c r="J243">
        <v>0.70588240000000002</v>
      </c>
    </row>
    <row r="244" spans="1:10" x14ac:dyDescent="0.3">
      <c r="A244">
        <v>242</v>
      </c>
      <c r="B244">
        <v>3856</v>
      </c>
      <c r="C244" t="b">
        <v>1</v>
      </c>
      <c r="D244">
        <v>8037</v>
      </c>
      <c r="E244">
        <v>8123</v>
      </c>
      <c r="F244">
        <v>4</v>
      </c>
      <c r="G244">
        <v>10</v>
      </c>
      <c r="H244">
        <v>0.4</v>
      </c>
      <c r="I244">
        <v>0.6</v>
      </c>
      <c r="J244">
        <v>0.71428572999999995</v>
      </c>
    </row>
    <row r="245" spans="1:10" x14ac:dyDescent="0.3">
      <c r="A245">
        <v>243</v>
      </c>
      <c r="B245">
        <v>3872</v>
      </c>
      <c r="C245" t="b">
        <v>1</v>
      </c>
      <c r="D245">
        <v>8042</v>
      </c>
      <c r="E245">
        <v>8123</v>
      </c>
      <c r="F245">
        <v>4</v>
      </c>
      <c r="G245">
        <v>10</v>
      </c>
      <c r="H245">
        <v>0.4</v>
      </c>
      <c r="I245">
        <v>0.6</v>
      </c>
      <c r="J245">
        <v>0.71428572999999995</v>
      </c>
    </row>
    <row r="246" spans="1:10" x14ac:dyDescent="0.3">
      <c r="A246">
        <v>244</v>
      </c>
      <c r="B246">
        <v>3888</v>
      </c>
      <c r="C246" t="b">
        <v>1</v>
      </c>
      <c r="D246">
        <v>8042</v>
      </c>
      <c r="E246">
        <v>8123</v>
      </c>
      <c r="F246">
        <v>3.6</v>
      </c>
      <c r="G246">
        <v>10</v>
      </c>
      <c r="H246">
        <v>0.35999998</v>
      </c>
      <c r="I246">
        <v>0.64</v>
      </c>
      <c r="J246">
        <v>0.73529409999999995</v>
      </c>
    </row>
    <row r="247" spans="1:10" x14ac:dyDescent="0.3">
      <c r="A247">
        <v>245</v>
      </c>
      <c r="B247">
        <v>3903</v>
      </c>
      <c r="C247" t="b">
        <v>1</v>
      </c>
      <c r="D247">
        <v>8042</v>
      </c>
      <c r="E247">
        <v>8123</v>
      </c>
      <c r="F247">
        <v>3.6</v>
      </c>
      <c r="G247">
        <v>10</v>
      </c>
      <c r="H247">
        <v>0.35999998</v>
      </c>
      <c r="I247">
        <v>0.64</v>
      </c>
      <c r="J247">
        <v>0.73529409999999995</v>
      </c>
    </row>
    <row r="248" spans="1:10" x14ac:dyDescent="0.3">
      <c r="A248">
        <v>246</v>
      </c>
      <c r="B248">
        <v>3919</v>
      </c>
      <c r="C248" t="b">
        <v>1</v>
      </c>
      <c r="D248">
        <v>8042</v>
      </c>
      <c r="E248">
        <v>8123</v>
      </c>
      <c r="F248">
        <v>3.6</v>
      </c>
      <c r="G248">
        <v>10</v>
      </c>
      <c r="H248">
        <v>0.35999998</v>
      </c>
      <c r="I248">
        <v>0.64</v>
      </c>
      <c r="J248">
        <v>0.73529409999999995</v>
      </c>
    </row>
    <row r="249" spans="1:10" x14ac:dyDescent="0.3">
      <c r="A249">
        <v>247</v>
      </c>
      <c r="B249">
        <v>3935</v>
      </c>
      <c r="C249" t="b">
        <v>1</v>
      </c>
      <c r="D249">
        <v>8042</v>
      </c>
      <c r="E249">
        <v>8129</v>
      </c>
      <c r="F249">
        <v>3.6</v>
      </c>
      <c r="G249">
        <v>10</v>
      </c>
      <c r="H249">
        <v>0.35999998</v>
      </c>
      <c r="I249">
        <v>0.64</v>
      </c>
      <c r="J249">
        <v>0.73529409999999995</v>
      </c>
    </row>
    <row r="250" spans="1:10" x14ac:dyDescent="0.3">
      <c r="A250">
        <v>248</v>
      </c>
      <c r="B250">
        <v>3951</v>
      </c>
      <c r="C250" t="b">
        <v>1</v>
      </c>
      <c r="D250">
        <v>8042</v>
      </c>
      <c r="E250">
        <v>8129</v>
      </c>
      <c r="F250">
        <v>3.6</v>
      </c>
      <c r="G250">
        <v>10</v>
      </c>
      <c r="H250">
        <v>0.35999998</v>
      </c>
      <c r="I250">
        <v>0.64</v>
      </c>
      <c r="J250">
        <v>0.73529409999999995</v>
      </c>
    </row>
    <row r="251" spans="1:10" x14ac:dyDescent="0.3">
      <c r="A251">
        <v>249</v>
      </c>
      <c r="B251">
        <v>3966</v>
      </c>
      <c r="C251" t="b">
        <v>1</v>
      </c>
      <c r="D251">
        <v>8048</v>
      </c>
      <c r="E251">
        <v>8123</v>
      </c>
      <c r="F251">
        <v>3.6</v>
      </c>
      <c r="G251">
        <v>10</v>
      </c>
      <c r="H251">
        <v>0.35999998</v>
      </c>
      <c r="I251">
        <v>0.64</v>
      </c>
      <c r="J251">
        <v>0.73529409999999995</v>
      </c>
    </row>
    <row r="252" spans="1:10" x14ac:dyDescent="0.3">
      <c r="A252">
        <v>250</v>
      </c>
      <c r="B252">
        <v>3982</v>
      </c>
      <c r="C252" t="b">
        <v>1</v>
      </c>
      <c r="D252">
        <v>8048</v>
      </c>
      <c r="E252">
        <v>8123</v>
      </c>
      <c r="F252">
        <v>3.6</v>
      </c>
      <c r="G252">
        <v>10</v>
      </c>
      <c r="H252">
        <v>0.35999998</v>
      </c>
      <c r="I252">
        <v>0.64</v>
      </c>
      <c r="J252">
        <v>0.73529409999999995</v>
      </c>
    </row>
    <row r="253" spans="1:10" x14ac:dyDescent="0.3">
      <c r="A253">
        <v>251</v>
      </c>
      <c r="B253">
        <v>3998</v>
      </c>
      <c r="C253" t="b">
        <v>1</v>
      </c>
      <c r="D253">
        <v>8048</v>
      </c>
      <c r="E253">
        <v>8123</v>
      </c>
      <c r="F253">
        <v>4</v>
      </c>
      <c r="G253">
        <v>10</v>
      </c>
      <c r="H253">
        <v>0.4</v>
      </c>
      <c r="I253">
        <v>0.6</v>
      </c>
      <c r="J253">
        <v>0.71428572999999995</v>
      </c>
    </row>
    <row r="254" spans="1:10" x14ac:dyDescent="0.3">
      <c r="A254">
        <v>252</v>
      </c>
      <c r="B254">
        <v>4014</v>
      </c>
      <c r="C254" t="b">
        <v>1</v>
      </c>
      <c r="D254">
        <v>8048</v>
      </c>
      <c r="E254">
        <v>8129</v>
      </c>
      <c r="F254">
        <v>4.4000000000000004</v>
      </c>
      <c r="G254">
        <v>10</v>
      </c>
      <c r="H254">
        <v>0.44</v>
      </c>
      <c r="I254">
        <v>0.56000000000000005</v>
      </c>
      <c r="J254">
        <v>0.69444450000000002</v>
      </c>
    </row>
    <row r="255" spans="1:10" x14ac:dyDescent="0.3">
      <c r="A255">
        <v>253</v>
      </c>
      <c r="B255">
        <v>4030</v>
      </c>
      <c r="C255" t="b">
        <v>1</v>
      </c>
      <c r="D255">
        <v>8048</v>
      </c>
      <c r="E255">
        <v>8123</v>
      </c>
      <c r="F255">
        <v>4.8</v>
      </c>
      <c r="G255">
        <v>9.6</v>
      </c>
      <c r="H255">
        <v>0.5</v>
      </c>
      <c r="I255">
        <v>0.5</v>
      </c>
      <c r="J255">
        <v>0.66666669999999995</v>
      </c>
    </row>
    <row r="256" spans="1:10" x14ac:dyDescent="0.3">
      <c r="A256">
        <v>254</v>
      </c>
      <c r="B256">
        <v>4046</v>
      </c>
      <c r="C256" t="b">
        <v>1</v>
      </c>
      <c r="D256">
        <v>8042</v>
      </c>
      <c r="E256">
        <v>8123</v>
      </c>
      <c r="F256">
        <v>5.2</v>
      </c>
      <c r="G256">
        <v>9.1999999999999993</v>
      </c>
      <c r="H256">
        <v>0.56521739999999998</v>
      </c>
      <c r="I256">
        <v>0.43478262000000001</v>
      </c>
      <c r="J256">
        <v>0.63888889999999998</v>
      </c>
    </row>
    <row r="257" spans="1:10" x14ac:dyDescent="0.3">
      <c r="A257">
        <v>255</v>
      </c>
      <c r="B257">
        <v>4062</v>
      </c>
      <c r="C257" t="b">
        <v>1</v>
      </c>
      <c r="D257">
        <v>8048</v>
      </c>
      <c r="E257">
        <v>8123</v>
      </c>
      <c r="F257">
        <v>5.2</v>
      </c>
      <c r="G257">
        <v>8.8000000000000007</v>
      </c>
      <c r="H257">
        <v>0.59090905999999999</v>
      </c>
      <c r="I257">
        <v>0.40909094000000001</v>
      </c>
      <c r="J257">
        <v>0.62857145000000003</v>
      </c>
    </row>
    <row r="258" spans="1:10" x14ac:dyDescent="0.3">
      <c r="A258">
        <v>256</v>
      </c>
      <c r="B258">
        <v>4078</v>
      </c>
      <c r="C258" t="b">
        <v>1</v>
      </c>
      <c r="D258">
        <v>8048</v>
      </c>
      <c r="E258">
        <v>8123</v>
      </c>
      <c r="F258">
        <v>5.2</v>
      </c>
      <c r="G258">
        <v>8.4</v>
      </c>
      <c r="H258">
        <v>0.61904764000000001</v>
      </c>
      <c r="I258">
        <v>0.38095240000000002</v>
      </c>
      <c r="J258">
        <v>0.61764704999999998</v>
      </c>
    </row>
    <row r="259" spans="1:10" x14ac:dyDescent="0.3">
      <c r="A259">
        <v>257</v>
      </c>
      <c r="B259">
        <v>4094</v>
      </c>
      <c r="C259" t="b">
        <v>1</v>
      </c>
      <c r="D259">
        <v>8048</v>
      </c>
      <c r="E259">
        <v>8123</v>
      </c>
      <c r="F259">
        <v>5.2</v>
      </c>
      <c r="G259">
        <v>8</v>
      </c>
      <c r="H259">
        <v>0.65</v>
      </c>
      <c r="I259">
        <v>0.35000002000000002</v>
      </c>
      <c r="J259">
        <v>0.60606059999999995</v>
      </c>
    </row>
    <row r="260" spans="1:10" x14ac:dyDescent="0.3">
      <c r="A260">
        <v>258</v>
      </c>
      <c r="B260">
        <v>4110</v>
      </c>
      <c r="C260" t="b">
        <v>1</v>
      </c>
      <c r="D260">
        <v>8048</v>
      </c>
      <c r="E260">
        <v>8123</v>
      </c>
      <c r="F260">
        <v>5.2</v>
      </c>
      <c r="G260">
        <v>8</v>
      </c>
      <c r="H260">
        <v>0.65</v>
      </c>
      <c r="I260">
        <v>0.35000002000000002</v>
      </c>
      <c r="J260">
        <v>0.60606059999999995</v>
      </c>
    </row>
    <row r="261" spans="1:10" x14ac:dyDescent="0.3">
      <c r="A261">
        <v>259</v>
      </c>
      <c r="B261">
        <v>4126</v>
      </c>
      <c r="C261" t="b">
        <v>1</v>
      </c>
      <c r="D261">
        <v>8048</v>
      </c>
      <c r="E261">
        <v>8129</v>
      </c>
      <c r="F261">
        <v>5.6</v>
      </c>
      <c r="G261">
        <v>8</v>
      </c>
      <c r="H261">
        <v>0.7</v>
      </c>
      <c r="I261">
        <v>0.3</v>
      </c>
      <c r="J261">
        <v>0.58823526000000004</v>
      </c>
    </row>
    <row r="262" spans="1:10" x14ac:dyDescent="0.3">
      <c r="A262">
        <v>260</v>
      </c>
      <c r="B262">
        <v>4142</v>
      </c>
      <c r="C262" t="b">
        <v>1</v>
      </c>
      <c r="D262">
        <v>8048</v>
      </c>
      <c r="E262">
        <v>8123</v>
      </c>
      <c r="F262">
        <v>6</v>
      </c>
      <c r="G262">
        <v>8</v>
      </c>
      <c r="H262">
        <v>0.75</v>
      </c>
      <c r="I262">
        <v>0.25</v>
      </c>
      <c r="J262">
        <v>0.57142859999999995</v>
      </c>
    </row>
    <row r="263" spans="1:10" x14ac:dyDescent="0.3">
      <c r="A263">
        <v>261</v>
      </c>
      <c r="B263">
        <v>4158</v>
      </c>
      <c r="C263" t="b">
        <v>1</v>
      </c>
      <c r="D263">
        <v>8048</v>
      </c>
      <c r="E263">
        <v>8123</v>
      </c>
      <c r="F263">
        <v>6.4</v>
      </c>
      <c r="G263">
        <v>8</v>
      </c>
      <c r="H263">
        <v>0.8</v>
      </c>
      <c r="I263">
        <v>0.19999998999999999</v>
      </c>
      <c r="J263">
        <v>0.55555560000000004</v>
      </c>
    </row>
    <row r="264" spans="1:10" x14ac:dyDescent="0.3">
      <c r="A264">
        <v>262</v>
      </c>
      <c r="B264">
        <v>4174</v>
      </c>
      <c r="C264" t="b">
        <v>1</v>
      </c>
      <c r="D264">
        <v>8048</v>
      </c>
      <c r="E264">
        <v>8123</v>
      </c>
      <c r="F264">
        <v>6.8</v>
      </c>
      <c r="G264">
        <v>8</v>
      </c>
      <c r="H264">
        <v>0.85</v>
      </c>
      <c r="I264">
        <v>0.14999998</v>
      </c>
      <c r="J264">
        <v>0.54054049999999998</v>
      </c>
    </row>
    <row r="265" spans="1:10" x14ac:dyDescent="0.3">
      <c r="A265">
        <v>263</v>
      </c>
      <c r="B265">
        <v>4190</v>
      </c>
      <c r="C265" t="b">
        <v>1</v>
      </c>
      <c r="D265">
        <v>8048</v>
      </c>
      <c r="E265">
        <v>8129</v>
      </c>
      <c r="F265">
        <v>7.2</v>
      </c>
      <c r="G265">
        <v>8</v>
      </c>
      <c r="H265">
        <v>0.9</v>
      </c>
      <c r="I265">
        <v>0.10000002400000001</v>
      </c>
      <c r="J265">
        <v>0.5263158</v>
      </c>
    </row>
    <row r="266" spans="1:10" x14ac:dyDescent="0.3">
      <c r="A266">
        <v>264</v>
      </c>
      <c r="B266">
        <v>4206</v>
      </c>
      <c r="C266" t="b">
        <v>1</v>
      </c>
      <c r="D266">
        <v>8042</v>
      </c>
      <c r="E266">
        <v>8123</v>
      </c>
      <c r="F266">
        <v>7.6</v>
      </c>
      <c r="G266">
        <v>8</v>
      </c>
      <c r="H266">
        <v>0.95</v>
      </c>
      <c r="I266">
        <v>5.0000012000000003E-2</v>
      </c>
      <c r="J266">
        <v>0.51282050000000001</v>
      </c>
    </row>
    <row r="267" spans="1:10" x14ac:dyDescent="0.3">
      <c r="A267">
        <v>265</v>
      </c>
      <c r="B267">
        <v>4222</v>
      </c>
      <c r="C267" t="b">
        <v>1</v>
      </c>
      <c r="D267">
        <v>8042</v>
      </c>
      <c r="E267">
        <v>8123</v>
      </c>
      <c r="F267">
        <v>8</v>
      </c>
      <c r="G267">
        <v>8</v>
      </c>
      <c r="H267">
        <v>1</v>
      </c>
      <c r="I267">
        <v>0</v>
      </c>
      <c r="J267">
        <v>0.5</v>
      </c>
    </row>
    <row r="268" spans="1:10" x14ac:dyDescent="0.3">
      <c r="A268">
        <v>266</v>
      </c>
      <c r="B268">
        <v>4238</v>
      </c>
      <c r="C268" t="b">
        <v>1</v>
      </c>
      <c r="D268">
        <v>8048</v>
      </c>
      <c r="E268">
        <v>8123</v>
      </c>
      <c r="F268">
        <v>8</v>
      </c>
      <c r="G268">
        <v>8</v>
      </c>
      <c r="H268">
        <v>1</v>
      </c>
      <c r="I268">
        <v>0</v>
      </c>
      <c r="J268">
        <v>0.5</v>
      </c>
    </row>
    <row r="269" spans="1:10" x14ac:dyDescent="0.3">
      <c r="A269">
        <v>267</v>
      </c>
      <c r="B269">
        <v>4254</v>
      </c>
      <c r="C269" t="b">
        <v>1</v>
      </c>
      <c r="D269">
        <v>8048</v>
      </c>
      <c r="E269">
        <v>8129</v>
      </c>
      <c r="F269">
        <v>8</v>
      </c>
      <c r="G269">
        <v>8</v>
      </c>
      <c r="H269">
        <v>1</v>
      </c>
      <c r="I269">
        <v>0</v>
      </c>
      <c r="J269">
        <v>0.5</v>
      </c>
    </row>
    <row r="270" spans="1:10" x14ac:dyDescent="0.3">
      <c r="A270">
        <v>268</v>
      </c>
      <c r="B270">
        <v>4269</v>
      </c>
      <c r="C270" t="b">
        <v>1</v>
      </c>
      <c r="D270">
        <v>8048</v>
      </c>
      <c r="E270">
        <v>8123</v>
      </c>
      <c r="F270">
        <v>8</v>
      </c>
      <c r="G270">
        <v>8</v>
      </c>
      <c r="H270">
        <v>1</v>
      </c>
      <c r="I270">
        <v>0</v>
      </c>
      <c r="J270">
        <v>0.5</v>
      </c>
    </row>
    <row r="271" spans="1:10" x14ac:dyDescent="0.3">
      <c r="A271">
        <v>269</v>
      </c>
      <c r="B271">
        <v>4285</v>
      </c>
      <c r="C271" t="b">
        <v>1</v>
      </c>
      <c r="D271">
        <v>8048</v>
      </c>
      <c r="E271">
        <v>8123</v>
      </c>
      <c r="F271">
        <v>8</v>
      </c>
      <c r="G271">
        <v>8</v>
      </c>
      <c r="H271">
        <v>1</v>
      </c>
      <c r="I271">
        <v>0</v>
      </c>
      <c r="J271">
        <v>0.5</v>
      </c>
    </row>
    <row r="272" spans="1:10" x14ac:dyDescent="0.3">
      <c r="A272">
        <v>270</v>
      </c>
      <c r="B272">
        <v>4302</v>
      </c>
      <c r="C272" t="b">
        <v>1</v>
      </c>
      <c r="D272">
        <v>8042</v>
      </c>
      <c r="E272">
        <v>8123</v>
      </c>
      <c r="F272">
        <v>8</v>
      </c>
      <c r="G272">
        <v>8</v>
      </c>
      <c r="H272">
        <v>1</v>
      </c>
      <c r="I272">
        <v>0</v>
      </c>
      <c r="J272">
        <v>0.5</v>
      </c>
    </row>
    <row r="273" spans="1:10" x14ac:dyDescent="0.3">
      <c r="A273">
        <v>271</v>
      </c>
      <c r="B273">
        <v>4317</v>
      </c>
      <c r="C273" t="b">
        <v>1</v>
      </c>
      <c r="D273">
        <v>8048</v>
      </c>
      <c r="E273">
        <v>8117</v>
      </c>
      <c r="F273">
        <v>8</v>
      </c>
      <c r="G273">
        <v>8</v>
      </c>
      <c r="H273">
        <v>1</v>
      </c>
      <c r="I273">
        <v>0</v>
      </c>
      <c r="J273">
        <v>0.5</v>
      </c>
    </row>
    <row r="274" spans="1:10" x14ac:dyDescent="0.3">
      <c r="A274">
        <v>272</v>
      </c>
      <c r="B274">
        <v>4333</v>
      </c>
      <c r="C274" t="b">
        <v>1</v>
      </c>
      <c r="D274">
        <v>8042</v>
      </c>
      <c r="E274">
        <v>8123</v>
      </c>
      <c r="F274">
        <v>8</v>
      </c>
      <c r="G274">
        <v>8</v>
      </c>
      <c r="H274">
        <v>1</v>
      </c>
      <c r="I274">
        <v>0</v>
      </c>
      <c r="J274">
        <v>0.5</v>
      </c>
    </row>
    <row r="275" spans="1:10" x14ac:dyDescent="0.3">
      <c r="A275">
        <v>273</v>
      </c>
      <c r="B275">
        <v>4349</v>
      </c>
      <c r="C275" t="b">
        <v>1</v>
      </c>
      <c r="D275">
        <v>8048</v>
      </c>
      <c r="E275">
        <v>8123</v>
      </c>
      <c r="F275">
        <v>8</v>
      </c>
      <c r="G275">
        <v>8</v>
      </c>
      <c r="H275">
        <v>1</v>
      </c>
      <c r="I275">
        <v>0</v>
      </c>
      <c r="J275">
        <v>0.5</v>
      </c>
    </row>
    <row r="276" spans="1:10" x14ac:dyDescent="0.3">
      <c r="A276">
        <v>274</v>
      </c>
      <c r="B276">
        <v>4365</v>
      </c>
      <c r="C276" t="b">
        <v>1</v>
      </c>
      <c r="D276">
        <v>8048</v>
      </c>
      <c r="E276">
        <v>8117</v>
      </c>
      <c r="F276">
        <v>8</v>
      </c>
      <c r="G276">
        <v>8</v>
      </c>
      <c r="H276">
        <v>1</v>
      </c>
      <c r="I276">
        <v>0</v>
      </c>
      <c r="J276">
        <v>0.5</v>
      </c>
    </row>
    <row r="277" spans="1:10" x14ac:dyDescent="0.3">
      <c r="A277">
        <v>275</v>
      </c>
      <c r="B277">
        <v>4381</v>
      </c>
      <c r="C277" t="b">
        <v>1</v>
      </c>
      <c r="D277">
        <v>8048</v>
      </c>
      <c r="E277">
        <v>8123</v>
      </c>
      <c r="F277">
        <v>8</v>
      </c>
      <c r="G277">
        <v>8</v>
      </c>
      <c r="H277">
        <v>1</v>
      </c>
      <c r="I277">
        <v>0</v>
      </c>
      <c r="J277">
        <v>0.5</v>
      </c>
    </row>
    <row r="278" spans="1:10" x14ac:dyDescent="0.3">
      <c r="A278">
        <v>276</v>
      </c>
      <c r="B278">
        <v>4397</v>
      </c>
      <c r="C278" t="b">
        <v>1</v>
      </c>
      <c r="D278">
        <v>8048</v>
      </c>
      <c r="E278">
        <v>8123</v>
      </c>
      <c r="F278">
        <v>8</v>
      </c>
      <c r="G278">
        <v>8</v>
      </c>
      <c r="H278">
        <v>1</v>
      </c>
      <c r="I278">
        <v>0</v>
      </c>
      <c r="J278">
        <v>0.5</v>
      </c>
    </row>
    <row r="279" spans="1:10" x14ac:dyDescent="0.3">
      <c r="A279">
        <v>277</v>
      </c>
      <c r="B279">
        <v>4413</v>
      </c>
      <c r="C279" t="b">
        <v>1</v>
      </c>
      <c r="D279">
        <v>8048</v>
      </c>
      <c r="E279">
        <v>8123</v>
      </c>
      <c r="F279">
        <v>8</v>
      </c>
      <c r="G279">
        <v>8</v>
      </c>
      <c r="H279">
        <v>1</v>
      </c>
      <c r="I279">
        <v>0</v>
      </c>
      <c r="J279">
        <v>0.5</v>
      </c>
    </row>
    <row r="280" spans="1:10" x14ac:dyDescent="0.3">
      <c r="A280">
        <v>278</v>
      </c>
      <c r="B280">
        <v>4429</v>
      </c>
      <c r="C280" t="b">
        <v>1</v>
      </c>
      <c r="D280">
        <v>8048</v>
      </c>
      <c r="E280">
        <v>8123</v>
      </c>
      <c r="F280">
        <v>8</v>
      </c>
      <c r="G280">
        <v>8</v>
      </c>
      <c r="H280">
        <v>1</v>
      </c>
      <c r="I280">
        <v>0</v>
      </c>
      <c r="J280">
        <v>0.5</v>
      </c>
    </row>
    <row r="281" spans="1:10" x14ac:dyDescent="0.3">
      <c r="A281">
        <v>279</v>
      </c>
      <c r="B281">
        <v>4445</v>
      </c>
      <c r="C281" t="b">
        <v>1</v>
      </c>
      <c r="D281">
        <v>8048</v>
      </c>
      <c r="E281">
        <v>8123</v>
      </c>
      <c r="F281">
        <v>8</v>
      </c>
      <c r="G281">
        <v>8</v>
      </c>
      <c r="H281">
        <v>1</v>
      </c>
      <c r="I281">
        <v>0</v>
      </c>
      <c r="J281">
        <v>0.5</v>
      </c>
    </row>
    <row r="282" spans="1:10" x14ac:dyDescent="0.3">
      <c r="A282">
        <v>280</v>
      </c>
      <c r="B282">
        <v>4461</v>
      </c>
      <c r="C282" t="b">
        <v>1</v>
      </c>
      <c r="D282">
        <v>8048</v>
      </c>
      <c r="E282">
        <v>8123</v>
      </c>
      <c r="F282">
        <v>8</v>
      </c>
      <c r="G282">
        <v>8</v>
      </c>
      <c r="H282">
        <v>1</v>
      </c>
      <c r="I282">
        <v>0</v>
      </c>
      <c r="J282">
        <v>0.5</v>
      </c>
    </row>
    <row r="283" spans="1:10" x14ac:dyDescent="0.3">
      <c r="A283">
        <v>281</v>
      </c>
      <c r="B283">
        <v>4477</v>
      </c>
      <c r="C283" t="b">
        <v>1</v>
      </c>
      <c r="D283">
        <v>8042</v>
      </c>
      <c r="E283">
        <v>8123</v>
      </c>
      <c r="F283">
        <v>8</v>
      </c>
      <c r="G283">
        <v>8</v>
      </c>
      <c r="H283">
        <v>1</v>
      </c>
      <c r="I283">
        <v>0</v>
      </c>
      <c r="J283">
        <v>0.5</v>
      </c>
    </row>
    <row r="284" spans="1:10" x14ac:dyDescent="0.3">
      <c r="A284">
        <v>282</v>
      </c>
      <c r="B284">
        <v>4493</v>
      </c>
      <c r="C284" t="b">
        <v>1</v>
      </c>
      <c r="D284">
        <v>8042</v>
      </c>
      <c r="E284">
        <v>8123</v>
      </c>
      <c r="F284">
        <v>8</v>
      </c>
      <c r="G284">
        <v>8</v>
      </c>
      <c r="H284">
        <v>1</v>
      </c>
      <c r="I284">
        <v>0</v>
      </c>
      <c r="J284">
        <v>0.5</v>
      </c>
    </row>
    <row r="285" spans="1:10" x14ac:dyDescent="0.3">
      <c r="A285">
        <v>283</v>
      </c>
      <c r="B285">
        <v>4509</v>
      </c>
      <c r="C285" t="b">
        <v>1</v>
      </c>
      <c r="D285">
        <v>8042</v>
      </c>
      <c r="E285">
        <v>8123</v>
      </c>
      <c r="F285">
        <v>7.6</v>
      </c>
      <c r="G285">
        <v>8</v>
      </c>
      <c r="H285">
        <v>0.95</v>
      </c>
      <c r="I285">
        <v>5.0000012000000003E-2</v>
      </c>
      <c r="J285">
        <v>0.51282050000000001</v>
      </c>
    </row>
    <row r="286" spans="1:10" x14ac:dyDescent="0.3">
      <c r="A286">
        <v>284</v>
      </c>
      <c r="B286">
        <v>4525</v>
      </c>
      <c r="C286" t="b">
        <v>1</v>
      </c>
      <c r="D286">
        <v>8048</v>
      </c>
      <c r="E286">
        <v>8123</v>
      </c>
      <c r="F286">
        <v>7.2</v>
      </c>
      <c r="G286">
        <v>8</v>
      </c>
      <c r="H286">
        <v>0.9</v>
      </c>
      <c r="I286">
        <v>0.10000002400000001</v>
      </c>
      <c r="J286">
        <v>0.5263158</v>
      </c>
    </row>
    <row r="287" spans="1:10" x14ac:dyDescent="0.3">
      <c r="A287">
        <v>285</v>
      </c>
      <c r="B287">
        <v>4540</v>
      </c>
      <c r="C287" t="b">
        <v>1</v>
      </c>
      <c r="D287">
        <v>8048</v>
      </c>
      <c r="E287">
        <v>8129</v>
      </c>
      <c r="F287">
        <v>6.8</v>
      </c>
      <c r="G287">
        <v>8</v>
      </c>
      <c r="H287">
        <v>0.85</v>
      </c>
      <c r="I287">
        <v>0.14999998</v>
      </c>
      <c r="J287">
        <v>0.54054049999999998</v>
      </c>
    </row>
    <row r="288" spans="1:10" x14ac:dyDescent="0.3">
      <c r="A288">
        <v>286</v>
      </c>
      <c r="B288">
        <v>4556</v>
      </c>
      <c r="C288" t="b">
        <v>1</v>
      </c>
      <c r="D288">
        <v>8048</v>
      </c>
      <c r="E288">
        <v>8129</v>
      </c>
      <c r="F288">
        <v>6.8</v>
      </c>
      <c r="G288">
        <v>8</v>
      </c>
      <c r="H288">
        <v>0.85</v>
      </c>
      <c r="I288">
        <v>0.14999998</v>
      </c>
      <c r="J288">
        <v>0.54054049999999998</v>
      </c>
    </row>
    <row r="289" spans="1:10" x14ac:dyDescent="0.3">
      <c r="A289">
        <v>287</v>
      </c>
      <c r="B289">
        <v>4572</v>
      </c>
      <c r="C289" t="b">
        <v>1</v>
      </c>
      <c r="D289">
        <v>8048</v>
      </c>
      <c r="E289">
        <v>8123</v>
      </c>
      <c r="F289">
        <v>6.8</v>
      </c>
      <c r="G289">
        <v>8</v>
      </c>
      <c r="H289">
        <v>0.85</v>
      </c>
      <c r="I289">
        <v>0.14999998</v>
      </c>
      <c r="J289">
        <v>0.54054049999999998</v>
      </c>
    </row>
    <row r="290" spans="1:10" x14ac:dyDescent="0.3">
      <c r="A290">
        <v>288</v>
      </c>
      <c r="B290">
        <v>4588</v>
      </c>
      <c r="C290" t="b">
        <v>1</v>
      </c>
      <c r="D290">
        <v>8048</v>
      </c>
      <c r="E290">
        <v>8123</v>
      </c>
      <c r="F290">
        <v>6.8</v>
      </c>
      <c r="G290">
        <v>8</v>
      </c>
      <c r="H290">
        <v>0.85</v>
      </c>
      <c r="I290">
        <v>0.14999998</v>
      </c>
      <c r="J290">
        <v>0.54054049999999998</v>
      </c>
    </row>
    <row r="291" spans="1:10" x14ac:dyDescent="0.3">
      <c r="A291">
        <v>289</v>
      </c>
      <c r="B291">
        <v>4604</v>
      </c>
      <c r="C291" t="b">
        <v>1</v>
      </c>
      <c r="D291">
        <v>8048</v>
      </c>
      <c r="E291">
        <v>8123</v>
      </c>
      <c r="F291">
        <v>6.8</v>
      </c>
      <c r="G291">
        <v>8</v>
      </c>
      <c r="H291">
        <v>0.85</v>
      </c>
      <c r="I291">
        <v>0.14999998</v>
      </c>
      <c r="J291">
        <v>0.54054049999999998</v>
      </c>
    </row>
    <row r="292" spans="1:10" x14ac:dyDescent="0.3">
      <c r="A292">
        <v>290</v>
      </c>
      <c r="B292">
        <v>4620</v>
      </c>
      <c r="C292" t="b">
        <v>1</v>
      </c>
      <c r="D292">
        <v>8048</v>
      </c>
      <c r="E292">
        <v>8123</v>
      </c>
      <c r="F292">
        <v>6.8</v>
      </c>
      <c r="G292">
        <v>8</v>
      </c>
      <c r="H292">
        <v>0.85</v>
      </c>
      <c r="I292">
        <v>0.14999998</v>
      </c>
      <c r="J292">
        <v>0.54054049999999998</v>
      </c>
    </row>
    <row r="293" spans="1:10" x14ac:dyDescent="0.3">
      <c r="A293">
        <v>291</v>
      </c>
      <c r="B293">
        <v>4636</v>
      </c>
      <c r="C293" t="b">
        <v>1</v>
      </c>
      <c r="D293">
        <v>8042</v>
      </c>
      <c r="E293">
        <v>8123</v>
      </c>
      <c r="F293">
        <v>6.8</v>
      </c>
      <c r="G293">
        <v>8</v>
      </c>
      <c r="H293">
        <v>0.85</v>
      </c>
      <c r="I293">
        <v>0.14999998</v>
      </c>
      <c r="J293">
        <v>0.54054049999999998</v>
      </c>
    </row>
    <row r="294" spans="1:10" x14ac:dyDescent="0.3">
      <c r="A294">
        <v>292</v>
      </c>
      <c r="B294">
        <v>4652</v>
      </c>
      <c r="C294" t="b">
        <v>1</v>
      </c>
      <c r="D294">
        <v>8048</v>
      </c>
      <c r="E294">
        <v>8123</v>
      </c>
      <c r="F294">
        <v>6.8</v>
      </c>
      <c r="G294">
        <v>8</v>
      </c>
      <c r="H294">
        <v>0.85</v>
      </c>
      <c r="I294">
        <v>0.14999998</v>
      </c>
      <c r="J294">
        <v>0.54054049999999998</v>
      </c>
    </row>
    <row r="295" spans="1:10" x14ac:dyDescent="0.3">
      <c r="A295">
        <v>293</v>
      </c>
      <c r="B295">
        <v>4668</v>
      </c>
      <c r="C295" t="b">
        <v>1</v>
      </c>
      <c r="D295">
        <v>8042</v>
      </c>
      <c r="E295">
        <v>8129</v>
      </c>
      <c r="F295">
        <v>6.8</v>
      </c>
      <c r="G295">
        <v>8</v>
      </c>
      <c r="H295">
        <v>0.85</v>
      </c>
      <c r="I295">
        <v>0.14999998</v>
      </c>
      <c r="J295">
        <v>0.54054049999999998</v>
      </c>
    </row>
    <row r="296" spans="1:10" x14ac:dyDescent="0.3">
      <c r="A296">
        <v>294</v>
      </c>
      <c r="B296">
        <v>4684</v>
      </c>
      <c r="C296" t="b">
        <v>1</v>
      </c>
      <c r="D296">
        <v>8048</v>
      </c>
      <c r="E296">
        <v>8123</v>
      </c>
      <c r="F296">
        <v>6.8</v>
      </c>
      <c r="G296">
        <v>8</v>
      </c>
      <c r="H296">
        <v>0.85</v>
      </c>
      <c r="I296">
        <v>0.14999998</v>
      </c>
      <c r="J296">
        <v>0.54054049999999998</v>
      </c>
    </row>
    <row r="297" spans="1:10" x14ac:dyDescent="0.3">
      <c r="A297">
        <v>295</v>
      </c>
      <c r="B297">
        <v>4700</v>
      </c>
      <c r="C297" t="b">
        <v>1</v>
      </c>
      <c r="D297">
        <v>8048</v>
      </c>
      <c r="E297">
        <v>8123</v>
      </c>
      <c r="F297">
        <v>6.8</v>
      </c>
      <c r="G297">
        <v>8</v>
      </c>
      <c r="H297">
        <v>0.85</v>
      </c>
      <c r="I297">
        <v>0.14999998</v>
      </c>
      <c r="J297">
        <v>0.54054049999999998</v>
      </c>
    </row>
    <row r="298" spans="1:10" x14ac:dyDescent="0.3">
      <c r="A298">
        <v>296</v>
      </c>
      <c r="B298">
        <v>4716</v>
      </c>
      <c r="C298" t="b">
        <v>1</v>
      </c>
      <c r="D298">
        <v>8048</v>
      </c>
      <c r="E298">
        <v>8129</v>
      </c>
      <c r="F298">
        <v>6.8</v>
      </c>
      <c r="G298">
        <v>8</v>
      </c>
      <c r="H298">
        <v>0.85</v>
      </c>
      <c r="I298">
        <v>0.14999998</v>
      </c>
      <c r="J298">
        <v>0.54054049999999998</v>
      </c>
    </row>
    <row r="299" spans="1:10" x14ac:dyDescent="0.3">
      <c r="A299">
        <v>297</v>
      </c>
      <c r="B299">
        <v>4732</v>
      </c>
      <c r="C299" t="b">
        <v>1</v>
      </c>
      <c r="D299">
        <v>8048</v>
      </c>
      <c r="E299">
        <v>8129</v>
      </c>
      <c r="F299">
        <v>6.8</v>
      </c>
      <c r="G299">
        <v>8.4</v>
      </c>
      <c r="H299">
        <v>0.80952389999999996</v>
      </c>
      <c r="I299">
        <v>0.19047612999999999</v>
      </c>
      <c r="J299">
        <v>0.55263156000000002</v>
      </c>
    </row>
    <row r="300" spans="1:10" x14ac:dyDescent="0.3">
      <c r="A300">
        <v>298</v>
      </c>
      <c r="B300">
        <v>4748</v>
      </c>
      <c r="C300" t="b">
        <v>1</v>
      </c>
      <c r="D300">
        <v>8048</v>
      </c>
      <c r="E300">
        <v>8123</v>
      </c>
      <c r="F300">
        <v>7.2</v>
      </c>
      <c r="G300">
        <v>8.4</v>
      </c>
      <c r="H300">
        <v>0.85714287</v>
      </c>
      <c r="I300">
        <v>0.14285712</v>
      </c>
      <c r="J300">
        <v>0.53846150000000004</v>
      </c>
    </row>
    <row r="301" spans="1:10" x14ac:dyDescent="0.3">
      <c r="A301">
        <v>299</v>
      </c>
      <c r="B301">
        <v>4763</v>
      </c>
      <c r="C301" t="b">
        <v>1</v>
      </c>
      <c r="D301">
        <v>8048</v>
      </c>
      <c r="E301">
        <v>8123</v>
      </c>
      <c r="F301">
        <v>7.6</v>
      </c>
      <c r="G301">
        <v>8.4</v>
      </c>
      <c r="H301">
        <v>0.90476190000000001</v>
      </c>
      <c r="I301">
        <v>9.5238069999999994E-2</v>
      </c>
      <c r="J301">
        <v>0.52500000000000002</v>
      </c>
    </row>
    <row r="302" spans="1:10" x14ac:dyDescent="0.3">
      <c r="A302">
        <v>300</v>
      </c>
      <c r="B302">
        <v>4779</v>
      </c>
      <c r="C302" t="b">
        <v>1</v>
      </c>
      <c r="D302">
        <v>8048</v>
      </c>
      <c r="E302">
        <v>8129</v>
      </c>
      <c r="F302">
        <v>8</v>
      </c>
      <c r="G302">
        <v>8.8000000000000007</v>
      </c>
      <c r="H302">
        <v>0.90909090000000004</v>
      </c>
      <c r="I302">
        <v>9.0909110000000001E-2</v>
      </c>
      <c r="J302">
        <v>0.52380954999999996</v>
      </c>
    </row>
    <row r="303" spans="1:10" x14ac:dyDescent="0.3">
      <c r="A303">
        <v>301</v>
      </c>
      <c r="B303">
        <v>4795</v>
      </c>
      <c r="C303" t="b">
        <v>1</v>
      </c>
      <c r="D303">
        <v>8048</v>
      </c>
      <c r="E303">
        <v>8123</v>
      </c>
      <c r="F303">
        <v>8</v>
      </c>
      <c r="G303">
        <v>8.8000000000000007</v>
      </c>
      <c r="H303">
        <v>0.90909090000000004</v>
      </c>
      <c r="I303">
        <v>9.0909110000000001E-2</v>
      </c>
      <c r="J303">
        <v>0.52380954999999996</v>
      </c>
    </row>
    <row r="304" spans="1:10" x14ac:dyDescent="0.3">
      <c r="A304">
        <v>302</v>
      </c>
      <c r="B304">
        <v>4811</v>
      </c>
      <c r="C304" t="b">
        <v>1</v>
      </c>
      <c r="D304">
        <v>8048</v>
      </c>
      <c r="E304">
        <v>8129</v>
      </c>
      <c r="F304">
        <v>8</v>
      </c>
      <c r="G304">
        <v>8.8000000000000007</v>
      </c>
      <c r="H304">
        <v>0.90909090000000004</v>
      </c>
      <c r="I304">
        <v>9.0909110000000001E-2</v>
      </c>
      <c r="J304">
        <v>0.52380954999999996</v>
      </c>
    </row>
    <row r="305" spans="1:10" x14ac:dyDescent="0.3">
      <c r="A305">
        <v>303</v>
      </c>
      <c r="B305">
        <v>4827</v>
      </c>
      <c r="C305" t="b">
        <v>1</v>
      </c>
      <c r="D305">
        <v>8048</v>
      </c>
      <c r="E305">
        <v>8123</v>
      </c>
      <c r="F305">
        <v>8</v>
      </c>
      <c r="G305">
        <v>8.8000000000000007</v>
      </c>
      <c r="H305">
        <v>0.90909090000000004</v>
      </c>
      <c r="I305">
        <v>9.0909110000000001E-2</v>
      </c>
      <c r="J305">
        <v>0.52380954999999996</v>
      </c>
    </row>
    <row r="306" spans="1:10" x14ac:dyDescent="0.3">
      <c r="A306">
        <v>304</v>
      </c>
      <c r="B306">
        <v>4843</v>
      </c>
      <c r="C306" t="b">
        <v>1</v>
      </c>
      <c r="D306">
        <v>8048</v>
      </c>
      <c r="E306">
        <v>8123</v>
      </c>
      <c r="F306">
        <v>8</v>
      </c>
      <c r="G306">
        <v>8.8000000000000007</v>
      </c>
      <c r="H306">
        <v>0.90909090000000004</v>
      </c>
      <c r="I306">
        <v>9.0909110000000001E-2</v>
      </c>
      <c r="J306">
        <v>0.52380954999999996</v>
      </c>
    </row>
    <row r="307" spans="1:10" x14ac:dyDescent="0.3">
      <c r="A307">
        <v>305</v>
      </c>
      <c r="B307">
        <v>4859</v>
      </c>
      <c r="C307" t="b">
        <v>1</v>
      </c>
      <c r="D307">
        <v>8048</v>
      </c>
      <c r="E307">
        <v>8123</v>
      </c>
      <c r="F307">
        <v>8</v>
      </c>
      <c r="G307">
        <v>8.8000000000000007</v>
      </c>
      <c r="H307">
        <v>0.90909090000000004</v>
      </c>
      <c r="I307">
        <v>9.0909110000000001E-2</v>
      </c>
      <c r="J307">
        <v>0.52380954999999996</v>
      </c>
    </row>
    <row r="308" spans="1:10" x14ac:dyDescent="0.3">
      <c r="A308">
        <v>306</v>
      </c>
      <c r="B308">
        <v>4875</v>
      </c>
      <c r="C308" t="b">
        <v>1</v>
      </c>
      <c r="D308">
        <v>8042</v>
      </c>
      <c r="E308">
        <v>8123</v>
      </c>
      <c r="F308">
        <v>8</v>
      </c>
      <c r="G308">
        <v>8.8000000000000007</v>
      </c>
      <c r="H308">
        <v>0.90909090000000004</v>
      </c>
      <c r="I308">
        <v>9.0909110000000001E-2</v>
      </c>
      <c r="J308">
        <v>0.52380954999999996</v>
      </c>
    </row>
    <row r="309" spans="1:10" x14ac:dyDescent="0.3">
      <c r="A309">
        <v>307</v>
      </c>
      <c r="B309">
        <v>4891</v>
      </c>
      <c r="C309" t="b">
        <v>1</v>
      </c>
      <c r="D309">
        <v>8042</v>
      </c>
      <c r="E309">
        <v>8123</v>
      </c>
      <c r="F309">
        <v>8</v>
      </c>
      <c r="G309">
        <v>8.8000000000000007</v>
      </c>
      <c r="H309">
        <v>0.90909090000000004</v>
      </c>
      <c r="I309">
        <v>9.0909110000000001E-2</v>
      </c>
      <c r="J309">
        <v>0.52380954999999996</v>
      </c>
    </row>
    <row r="310" spans="1:10" x14ac:dyDescent="0.3">
      <c r="A310">
        <v>308</v>
      </c>
      <c r="B310">
        <v>4906</v>
      </c>
      <c r="C310" t="b">
        <v>1</v>
      </c>
      <c r="D310">
        <v>8048</v>
      </c>
      <c r="E310">
        <v>8123</v>
      </c>
      <c r="F310">
        <v>8</v>
      </c>
      <c r="G310">
        <v>8.8000000000000007</v>
      </c>
      <c r="H310">
        <v>0.90909090000000004</v>
      </c>
      <c r="I310">
        <v>9.0909110000000001E-2</v>
      </c>
      <c r="J310">
        <v>0.52380954999999996</v>
      </c>
    </row>
    <row r="311" spans="1:10" x14ac:dyDescent="0.3">
      <c r="A311">
        <v>309</v>
      </c>
      <c r="B311">
        <v>4922</v>
      </c>
      <c r="C311" t="b">
        <v>1</v>
      </c>
      <c r="D311">
        <v>8048</v>
      </c>
      <c r="E311">
        <v>8123</v>
      </c>
      <c r="F311">
        <v>8</v>
      </c>
      <c r="G311">
        <v>8.8000000000000007</v>
      </c>
      <c r="H311">
        <v>0.90909090000000004</v>
      </c>
      <c r="I311">
        <v>9.0909110000000001E-2</v>
      </c>
      <c r="J311">
        <v>0.52380954999999996</v>
      </c>
    </row>
    <row r="312" spans="1:10" x14ac:dyDescent="0.3">
      <c r="A312">
        <v>310</v>
      </c>
      <c r="B312">
        <v>4938</v>
      </c>
      <c r="C312" t="b">
        <v>1</v>
      </c>
      <c r="D312">
        <v>8048</v>
      </c>
      <c r="E312">
        <v>8123</v>
      </c>
      <c r="F312">
        <v>8</v>
      </c>
      <c r="G312">
        <v>8.8000000000000007</v>
      </c>
      <c r="H312">
        <v>0.90909090000000004</v>
      </c>
      <c r="I312">
        <v>9.0909110000000001E-2</v>
      </c>
      <c r="J312">
        <v>0.52380954999999996</v>
      </c>
    </row>
    <row r="313" spans="1:10" x14ac:dyDescent="0.3">
      <c r="A313">
        <v>311</v>
      </c>
      <c r="B313">
        <v>4954</v>
      </c>
      <c r="C313" t="b">
        <v>1</v>
      </c>
      <c r="D313">
        <v>8048</v>
      </c>
      <c r="E313">
        <v>8129</v>
      </c>
      <c r="F313">
        <v>8</v>
      </c>
      <c r="G313">
        <v>8.8000000000000007</v>
      </c>
      <c r="H313">
        <v>0.90909090000000004</v>
      </c>
      <c r="I313">
        <v>9.0909110000000001E-2</v>
      </c>
      <c r="J313">
        <v>0.52380954999999996</v>
      </c>
    </row>
    <row r="314" spans="1:10" x14ac:dyDescent="0.3">
      <c r="A314">
        <v>312</v>
      </c>
      <c r="B314">
        <v>4970</v>
      </c>
      <c r="C314" t="b">
        <v>1</v>
      </c>
      <c r="D314">
        <v>8048</v>
      </c>
      <c r="E314">
        <v>8123</v>
      </c>
      <c r="F314">
        <v>8</v>
      </c>
      <c r="G314">
        <v>8.4</v>
      </c>
      <c r="H314">
        <v>0.95238100000000003</v>
      </c>
      <c r="I314">
        <v>4.7619003999999999E-2</v>
      </c>
      <c r="J314">
        <v>0.51219510000000001</v>
      </c>
    </row>
    <row r="315" spans="1:10" x14ac:dyDescent="0.3">
      <c r="A315">
        <v>313</v>
      </c>
      <c r="B315">
        <v>4986</v>
      </c>
      <c r="C315" t="b">
        <v>1</v>
      </c>
      <c r="D315">
        <v>8048</v>
      </c>
      <c r="E315">
        <v>8123</v>
      </c>
      <c r="F315">
        <v>8</v>
      </c>
      <c r="G315">
        <v>8.4</v>
      </c>
      <c r="H315">
        <v>0.95238100000000003</v>
      </c>
      <c r="I315">
        <v>4.7619003999999999E-2</v>
      </c>
      <c r="J315">
        <v>0.51219510000000001</v>
      </c>
    </row>
    <row r="316" spans="1:10" x14ac:dyDescent="0.3">
      <c r="A316">
        <v>314</v>
      </c>
      <c r="B316">
        <v>5001</v>
      </c>
      <c r="C316" t="b">
        <v>1</v>
      </c>
      <c r="D316">
        <v>8048</v>
      </c>
      <c r="E316">
        <v>8129</v>
      </c>
      <c r="F316">
        <v>8</v>
      </c>
      <c r="G316">
        <v>8.4</v>
      </c>
      <c r="H316">
        <v>0.95238100000000003</v>
      </c>
      <c r="I316">
        <v>4.7619003999999999E-2</v>
      </c>
      <c r="J316">
        <v>0.51219510000000001</v>
      </c>
    </row>
    <row r="317" spans="1:10" x14ac:dyDescent="0.3">
      <c r="A317">
        <v>315</v>
      </c>
      <c r="B317">
        <v>5017</v>
      </c>
      <c r="C317" t="b">
        <v>1</v>
      </c>
      <c r="D317">
        <v>8048</v>
      </c>
      <c r="E317">
        <v>8123</v>
      </c>
      <c r="F317">
        <v>8</v>
      </c>
      <c r="G317">
        <v>8</v>
      </c>
      <c r="H317">
        <v>1</v>
      </c>
      <c r="I317">
        <v>0</v>
      </c>
      <c r="J317">
        <v>0.5</v>
      </c>
    </row>
    <row r="318" spans="1:10" x14ac:dyDescent="0.3">
      <c r="A318">
        <v>316</v>
      </c>
      <c r="B318">
        <v>5033</v>
      </c>
      <c r="C318" t="b">
        <v>1</v>
      </c>
      <c r="D318">
        <v>8042</v>
      </c>
      <c r="E318">
        <v>8123</v>
      </c>
      <c r="F318">
        <v>8</v>
      </c>
      <c r="G318">
        <v>8</v>
      </c>
      <c r="H318">
        <v>1</v>
      </c>
      <c r="I318">
        <v>0</v>
      </c>
      <c r="J318">
        <v>0.5</v>
      </c>
    </row>
    <row r="319" spans="1:10" x14ac:dyDescent="0.3">
      <c r="A319">
        <v>317</v>
      </c>
      <c r="B319">
        <v>5049</v>
      </c>
      <c r="C319" t="b">
        <v>1</v>
      </c>
      <c r="D319">
        <v>8048</v>
      </c>
      <c r="E319">
        <v>8123</v>
      </c>
      <c r="F319">
        <v>8</v>
      </c>
      <c r="G319">
        <v>8</v>
      </c>
      <c r="H319">
        <v>1</v>
      </c>
      <c r="I319">
        <v>0</v>
      </c>
      <c r="J319">
        <v>0.5</v>
      </c>
    </row>
    <row r="320" spans="1:10" x14ac:dyDescent="0.3">
      <c r="A320">
        <v>318</v>
      </c>
      <c r="B320">
        <v>5065</v>
      </c>
      <c r="C320" t="b">
        <v>1</v>
      </c>
      <c r="D320">
        <v>8048</v>
      </c>
      <c r="E320">
        <v>8117</v>
      </c>
      <c r="F320">
        <v>8</v>
      </c>
      <c r="G320">
        <v>8</v>
      </c>
      <c r="H320">
        <v>1</v>
      </c>
      <c r="I320">
        <v>0</v>
      </c>
      <c r="J320">
        <v>0.5</v>
      </c>
    </row>
    <row r="321" spans="1:10" x14ac:dyDescent="0.3">
      <c r="A321">
        <v>319</v>
      </c>
      <c r="B321">
        <v>5081</v>
      </c>
      <c r="C321" t="b">
        <v>1</v>
      </c>
      <c r="D321">
        <v>8042</v>
      </c>
      <c r="E321">
        <v>8123</v>
      </c>
      <c r="F321">
        <v>8</v>
      </c>
      <c r="G321">
        <v>8</v>
      </c>
      <c r="H321">
        <v>1</v>
      </c>
      <c r="I321">
        <v>0</v>
      </c>
      <c r="J321">
        <v>0.5</v>
      </c>
    </row>
    <row r="322" spans="1:10" x14ac:dyDescent="0.3">
      <c r="A322">
        <v>320</v>
      </c>
      <c r="B322">
        <v>5097</v>
      </c>
      <c r="C322" t="b">
        <v>1</v>
      </c>
      <c r="D322">
        <v>8048</v>
      </c>
      <c r="E322">
        <v>8129</v>
      </c>
      <c r="F322">
        <v>8</v>
      </c>
      <c r="G322">
        <v>8</v>
      </c>
      <c r="H322">
        <v>1</v>
      </c>
      <c r="I322">
        <v>0</v>
      </c>
      <c r="J322">
        <v>0.5</v>
      </c>
    </row>
    <row r="323" spans="1:10" x14ac:dyDescent="0.3">
      <c r="A323">
        <v>321</v>
      </c>
      <c r="B323">
        <v>5113</v>
      </c>
      <c r="C323" t="b">
        <v>1</v>
      </c>
      <c r="D323">
        <v>8048</v>
      </c>
      <c r="E323">
        <v>8117</v>
      </c>
      <c r="F323">
        <v>8</v>
      </c>
      <c r="G323">
        <v>8</v>
      </c>
      <c r="H323">
        <v>1</v>
      </c>
      <c r="I323">
        <v>0</v>
      </c>
      <c r="J323">
        <v>0.5</v>
      </c>
    </row>
    <row r="324" spans="1:10" x14ac:dyDescent="0.3">
      <c r="A324">
        <v>322</v>
      </c>
      <c r="B324">
        <v>5129</v>
      </c>
      <c r="C324" t="b">
        <v>1</v>
      </c>
      <c r="D324">
        <v>8042</v>
      </c>
      <c r="E324">
        <v>8117</v>
      </c>
      <c r="F324">
        <v>8</v>
      </c>
      <c r="G324">
        <v>7.6</v>
      </c>
      <c r="H324">
        <v>1.0526316</v>
      </c>
      <c r="I324">
        <v>-5.2631589999999999E-2</v>
      </c>
      <c r="J324">
        <v>0.48717946000000001</v>
      </c>
    </row>
    <row r="325" spans="1:10" x14ac:dyDescent="0.3">
      <c r="A325">
        <v>323</v>
      </c>
      <c r="B325">
        <v>5145</v>
      </c>
      <c r="C325" t="b">
        <v>1</v>
      </c>
      <c r="D325">
        <v>8048</v>
      </c>
      <c r="E325">
        <v>8117</v>
      </c>
      <c r="F325">
        <v>8</v>
      </c>
      <c r="G325">
        <v>7.2</v>
      </c>
      <c r="H325">
        <v>1.1111112000000001</v>
      </c>
      <c r="I325">
        <v>-0.11111114</v>
      </c>
      <c r="J325">
        <v>0.4736842</v>
      </c>
    </row>
    <row r="326" spans="1:10" x14ac:dyDescent="0.3">
      <c r="A326">
        <v>324</v>
      </c>
      <c r="B326">
        <v>5161</v>
      </c>
      <c r="C326" t="b">
        <v>1</v>
      </c>
      <c r="D326">
        <v>8042</v>
      </c>
      <c r="E326">
        <v>8123</v>
      </c>
      <c r="F326">
        <v>8</v>
      </c>
      <c r="G326">
        <v>6.8</v>
      </c>
      <c r="H326">
        <v>1.1764705</v>
      </c>
      <c r="I326">
        <v>-0.17647055</v>
      </c>
      <c r="J326">
        <v>0.45945944999999999</v>
      </c>
    </row>
    <row r="327" spans="1:10" x14ac:dyDescent="0.3">
      <c r="A327">
        <v>325</v>
      </c>
      <c r="B327">
        <v>5177</v>
      </c>
      <c r="C327" t="b">
        <v>1</v>
      </c>
      <c r="D327">
        <v>8048</v>
      </c>
      <c r="E327">
        <v>8123</v>
      </c>
      <c r="F327">
        <v>8</v>
      </c>
      <c r="G327">
        <v>6.4</v>
      </c>
      <c r="H327">
        <v>1.25</v>
      </c>
      <c r="I327">
        <v>-0.24999999000000001</v>
      </c>
      <c r="J327">
        <v>0.44444447999999998</v>
      </c>
    </row>
    <row r="328" spans="1:10" x14ac:dyDescent="0.3">
      <c r="A328">
        <v>326</v>
      </c>
      <c r="B328">
        <v>5193</v>
      </c>
      <c r="C328" t="b">
        <v>1</v>
      </c>
      <c r="D328">
        <v>8042</v>
      </c>
      <c r="E328">
        <v>8117</v>
      </c>
      <c r="F328">
        <v>7.6</v>
      </c>
      <c r="G328">
        <v>6</v>
      </c>
      <c r="H328">
        <v>1.2666667</v>
      </c>
      <c r="I328">
        <v>-0.26666665000000001</v>
      </c>
      <c r="J328">
        <v>0.44117644</v>
      </c>
    </row>
    <row r="329" spans="1:10" x14ac:dyDescent="0.3">
      <c r="A329">
        <v>327</v>
      </c>
      <c r="B329">
        <v>5208</v>
      </c>
      <c r="C329" t="b">
        <v>1</v>
      </c>
      <c r="D329">
        <v>8048</v>
      </c>
      <c r="E329">
        <v>8123</v>
      </c>
      <c r="F329">
        <v>7.6</v>
      </c>
      <c r="G329">
        <v>6</v>
      </c>
      <c r="H329">
        <v>1.2666667</v>
      </c>
      <c r="I329">
        <v>-0.26666665000000001</v>
      </c>
      <c r="J329">
        <v>0.44117644</v>
      </c>
    </row>
    <row r="330" spans="1:10" x14ac:dyDescent="0.3">
      <c r="A330">
        <v>328</v>
      </c>
      <c r="B330">
        <v>5224</v>
      </c>
      <c r="C330" t="b">
        <v>1</v>
      </c>
      <c r="D330">
        <v>8048</v>
      </c>
      <c r="E330">
        <v>8123</v>
      </c>
      <c r="F330">
        <v>7.6</v>
      </c>
      <c r="G330">
        <v>6</v>
      </c>
      <c r="H330">
        <v>1.2666667</v>
      </c>
      <c r="I330">
        <v>-0.26666665000000001</v>
      </c>
      <c r="J330">
        <v>0.44117644</v>
      </c>
    </row>
    <row r="331" spans="1:10" x14ac:dyDescent="0.3">
      <c r="A331">
        <v>329</v>
      </c>
      <c r="B331">
        <v>5240</v>
      </c>
      <c r="C331" t="b">
        <v>1</v>
      </c>
      <c r="D331">
        <v>8048</v>
      </c>
      <c r="E331">
        <v>8123</v>
      </c>
      <c r="F331">
        <v>7.6</v>
      </c>
      <c r="G331">
        <v>6</v>
      </c>
      <c r="H331">
        <v>1.2666667</v>
      </c>
      <c r="I331">
        <v>-0.26666665000000001</v>
      </c>
      <c r="J331">
        <v>0.44117644</v>
      </c>
    </row>
    <row r="332" spans="1:10" x14ac:dyDescent="0.3">
      <c r="A332">
        <v>330</v>
      </c>
      <c r="B332">
        <v>5256</v>
      </c>
      <c r="C332" t="b">
        <v>1</v>
      </c>
      <c r="D332">
        <v>8048</v>
      </c>
      <c r="E332">
        <v>8123</v>
      </c>
      <c r="F332">
        <v>7.6</v>
      </c>
      <c r="G332">
        <v>6</v>
      </c>
      <c r="H332">
        <v>1.2666667</v>
      </c>
      <c r="I332">
        <v>-0.26666665000000001</v>
      </c>
      <c r="J332">
        <v>0.44117644</v>
      </c>
    </row>
    <row r="333" spans="1:10" x14ac:dyDescent="0.3">
      <c r="A333">
        <v>331</v>
      </c>
      <c r="B333">
        <v>5272</v>
      </c>
      <c r="C333" t="b">
        <v>1</v>
      </c>
      <c r="D333">
        <v>8048</v>
      </c>
      <c r="E333">
        <v>8123</v>
      </c>
      <c r="F333">
        <v>7.6</v>
      </c>
      <c r="G333">
        <v>6</v>
      </c>
      <c r="H333">
        <v>1.2666667</v>
      </c>
      <c r="I333">
        <v>-0.26666665000000001</v>
      </c>
      <c r="J333">
        <v>0.44117644</v>
      </c>
    </row>
    <row r="334" spans="1:10" x14ac:dyDescent="0.3">
      <c r="A334">
        <v>332</v>
      </c>
      <c r="B334">
        <v>5288</v>
      </c>
      <c r="C334" t="b">
        <v>1</v>
      </c>
      <c r="D334">
        <v>8054</v>
      </c>
      <c r="E334">
        <v>8117</v>
      </c>
      <c r="F334">
        <v>7.6</v>
      </c>
      <c r="G334">
        <v>6</v>
      </c>
      <c r="H334">
        <v>1.2666667</v>
      </c>
      <c r="I334">
        <v>-0.26666665000000001</v>
      </c>
      <c r="J334">
        <v>0.44117644</v>
      </c>
    </row>
    <row r="335" spans="1:10" x14ac:dyDescent="0.3">
      <c r="A335">
        <v>333</v>
      </c>
      <c r="B335">
        <v>5304</v>
      </c>
      <c r="C335" t="b">
        <v>1</v>
      </c>
      <c r="D335">
        <v>8048</v>
      </c>
      <c r="E335">
        <v>8123</v>
      </c>
      <c r="F335">
        <v>7.6</v>
      </c>
      <c r="G335">
        <v>6</v>
      </c>
      <c r="H335">
        <v>1.2666667</v>
      </c>
      <c r="I335">
        <v>-0.26666665000000001</v>
      </c>
      <c r="J335">
        <v>0.44117644</v>
      </c>
    </row>
    <row r="336" spans="1:10" x14ac:dyDescent="0.3">
      <c r="A336">
        <v>334</v>
      </c>
      <c r="B336">
        <v>5319</v>
      </c>
      <c r="C336" t="b">
        <v>1</v>
      </c>
      <c r="D336">
        <v>8042</v>
      </c>
      <c r="E336">
        <v>8123</v>
      </c>
      <c r="F336">
        <v>7.6</v>
      </c>
      <c r="G336">
        <v>6</v>
      </c>
      <c r="H336">
        <v>1.2666667</v>
      </c>
      <c r="I336">
        <v>-0.26666665000000001</v>
      </c>
      <c r="J336">
        <v>0.44117644</v>
      </c>
    </row>
    <row r="337" spans="1:10" x14ac:dyDescent="0.3">
      <c r="A337">
        <v>335</v>
      </c>
      <c r="B337">
        <v>5335</v>
      </c>
      <c r="C337" t="b">
        <v>1</v>
      </c>
      <c r="D337">
        <v>8048</v>
      </c>
      <c r="E337">
        <v>8123</v>
      </c>
      <c r="F337">
        <v>7.6</v>
      </c>
      <c r="G337">
        <v>6</v>
      </c>
      <c r="H337">
        <v>1.2666667</v>
      </c>
      <c r="I337">
        <v>-0.26666665000000001</v>
      </c>
      <c r="J337">
        <v>0.44117644</v>
      </c>
    </row>
    <row r="338" spans="1:10" x14ac:dyDescent="0.3">
      <c r="A338">
        <v>336</v>
      </c>
      <c r="B338">
        <v>5351</v>
      </c>
      <c r="C338" t="b">
        <v>1</v>
      </c>
      <c r="D338">
        <v>8048</v>
      </c>
      <c r="E338">
        <v>8134</v>
      </c>
      <c r="F338">
        <v>7.6</v>
      </c>
      <c r="G338">
        <v>6</v>
      </c>
      <c r="H338">
        <v>1.2666667</v>
      </c>
      <c r="I338">
        <v>-0.26666665000000001</v>
      </c>
      <c r="J338">
        <v>0.44117644</v>
      </c>
    </row>
    <row r="339" spans="1:10" x14ac:dyDescent="0.3">
      <c r="A339">
        <v>337</v>
      </c>
      <c r="B339">
        <v>5367</v>
      </c>
      <c r="C339" t="b">
        <v>1</v>
      </c>
      <c r="D339">
        <v>8048</v>
      </c>
      <c r="E339">
        <v>8134</v>
      </c>
      <c r="F339">
        <v>7.6</v>
      </c>
      <c r="G339">
        <v>6.4</v>
      </c>
      <c r="H339">
        <v>1.1875</v>
      </c>
      <c r="I339">
        <v>-0.18749996999999999</v>
      </c>
      <c r="J339">
        <v>0.45714285999999998</v>
      </c>
    </row>
    <row r="340" spans="1:10" x14ac:dyDescent="0.3">
      <c r="A340">
        <v>338</v>
      </c>
      <c r="B340">
        <v>5383</v>
      </c>
      <c r="C340" t="b">
        <v>1</v>
      </c>
      <c r="D340">
        <v>8048</v>
      </c>
      <c r="E340">
        <v>8123</v>
      </c>
      <c r="F340">
        <v>7.6</v>
      </c>
      <c r="G340">
        <v>6.8</v>
      </c>
      <c r="H340">
        <v>1.1176470000000001</v>
      </c>
      <c r="I340">
        <v>-0.11764701499999999</v>
      </c>
      <c r="J340">
        <v>0.47222224000000002</v>
      </c>
    </row>
    <row r="341" spans="1:10" x14ac:dyDescent="0.3">
      <c r="A341">
        <v>339</v>
      </c>
      <c r="B341">
        <v>5399</v>
      </c>
      <c r="C341" t="b">
        <v>1</v>
      </c>
      <c r="D341">
        <v>8048</v>
      </c>
      <c r="E341">
        <v>8129</v>
      </c>
      <c r="F341">
        <v>7.6</v>
      </c>
      <c r="G341">
        <v>7.6</v>
      </c>
      <c r="H341">
        <v>1</v>
      </c>
      <c r="I341">
        <v>0</v>
      </c>
      <c r="J341">
        <v>0.5</v>
      </c>
    </row>
    <row r="342" spans="1:10" x14ac:dyDescent="0.3">
      <c r="A342">
        <v>340</v>
      </c>
      <c r="B342">
        <v>5414</v>
      </c>
      <c r="C342" t="b">
        <v>1</v>
      </c>
      <c r="D342">
        <v>8048</v>
      </c>
      <c r="E342">
        <v>8123</v>
      </c>
      <c r="F342">
        <v>7.6</v>
      </c>
      <c r="G342">
        <v>8.4</v>
      </c>
      <c r="H342">
        <v>0.90476190000000001</v>
      </c>
      <c r="I342">
        <v>9.5238069999999994E-2</v>
      </c>
      <c r="J342">
        <v>0.52500000000000002</v>
      </c>
    </row>
    <row r="343" spans="1:10" x14ac:dyDescent="0.3">
      <c r="A343">
        <v>341</v>
      </c>
      <c r="B343">
        <v>5430</v>
      </c>
      <c r="C343" t="b">
        <v>1</v>
      </c>
      <c r="D343">
        <v>8048</v>
      </c>
      <c r="E343">
        <v>8123</v>
      </c>
      <c r="F343">
        <v>8</v>
      </c>
      <c r="G343">
        <v>8.8000000000000007</v>
      </c>
      <c r="H343">
        <v>0.90909090000000004</v>
      </c>
      <c r="I343">
        <v>9.0909110000000001E-2</v>
      </c>
      <c r="J343">
        <v>0.52380954999999996</v>
      </c>
    </row>
    <row r="344" spans="1:10" x14ac:dyDescent="0.3">
      <c r="A344">
        <v>342</v>
      </c>
      <c r="B344">
        <v>5446</v>
      </c>
      <c r="C344" t="b">
        <v>1</v>
      </c>
      <c r="D344">
        <v>8048</v>
      </c>
      <c r="E344">
        <v>8123</v>
      </c>
      <c r="F344">
        <v>8</v>
      </c>
      <c r="G344">
        <v>8.8000000000000007</v>
      </c>
      <c r="H344">
        <v>0.90909090000000004</v>
      </c>
      <c r="I344">
        <v>9.0909110000000001E-2</v>
      </c>
      <c r="J344">
        <v>0.52380954999999996</v>
      </c>
    </row>
    <row r="345" spans="1:10" x14ac:dyDescent="0.3">
      <c r="A345">
        <v>343</v>
      </c>
      <c r="B345">
        <v>5462</v>
      </c>
      <c r="C345" t="b">
        <v>1</v>
      </c>
      <c r="D345">
        <v>8048</v>
      </c>
      <c r="E345">
        <v>8123</v>
      </c>
      <c r="F345">
        <v>8</v>
      </c>
      <c r="G345">
        <v>8.8000000000000007</v>
      </c>
      <c r="H345">
        <v>0.90909090000000004</v>
      </c>
      <c r="I345">
        <v>9.0909110000000001E-2</v>
      </c>
      <c r="J345">
        <v>0.52380954999999996</v>
      </c>
    </row>
    <row r="346" spans="1:10" x14ac:dyDescent="0.3">
      <c r="A346">
        <v>344</v>
      </c>
      <c r="B346">
        <v>5478</v>
      </c>
      <c r="C346" t="b">
        <v>1</v>
      </c>
      <c r="D346">
        <v>8048</v>
      </c>
      <c r="E346">
        <v>8123</v>
      </c>
      <c r="F346">
        <v>8</v>
      </c>
      <c r="G346">
        <v>8.8000000000000007</v>
      </c>
      <c r="H346">
        <v>0.90909090000000004</v>
      </c>
      <c r="I346">
        <v>9.0909110000000001E-2</v>
      </c>
      <c r="J346">
        <v>0.52380954999999996</v>
      </c>
    </row>
    <row r="347" spans="1:10" x14ac:dyDescent="0.3">
      <c r="A347">
        <v>345</v>
      </c>
      <c r="B347">
        <v>5493</v>
      </c>
      <c r="C347" t="b">
        <v>1</v>
      </c>
      <c r="D347">
        <v>8048</v>
      </c>
      <c r="E347">
        <v>8129</v>
      </c>
      <c r="F347">
        <v>8</v>
      </c>
      <c r="G347">
        <v>8.8000000000000007</v>
      </c>
      <c r="H347">
        <v>0.90909090000000004</v>
      </c>
      <c r="I347">
        <v>9.0909110000000001E-2</v>
      </c>
      <c r="J347">
        <v>0.52380954999999996</v>
      </c>
    </row>
    <row r="348" spans="1:10" x14ac:dyDescent="0.3">
      <c r="A348">
        <v>346</v>
      </c>
      <c r="B348">
        <v>5509</v>
      </c>
      <c r="C348" t="b">
        <v>1</v>
      </c>
      <c r="D348">
        <v>8042</v>
      </c>
      <c r="E348">
        <v>8123</v>
      </c>
      <c r="F348">
        <v>8</v>
      </c>
      <c r="G348">
        <v>8.8000000000000007</v>
      </c>
      <c r="H348">
        <v>0.90909090000000004</v>
      </c>
      <c r="I348">
        <v>9.0909110000000001E-2</v>
      </c>
      <c r="J348">
        <v>0.52380954999999996</v>
      </c>
    </row>
    <row r="349" spans="1:10" x14ac:dyDescent="0.3">
      <c r="A349">
        <v>347</v>
      </c>
      <c r="B349">
        <v>5525</v>
      </c>
      <c r="C349" t="b">
        <v>1</v>
      </c>
      <c r="D349">
        <v>8042</v>
      </c>
      <c r="E349">
        <v>8129</v>
      </c>
      <c r="F349">
        <v>8</v>
      </c>
      <c r="G349">
        <v>8.8000000000000007</v>
      </c>
      <c r="H349">
        <v>0.90909090000000004</v>
      </c>
      <c r="I349">
        <v>9.0909110000000001E-2</v>
      </c>
      <c r="J349">
        <v>0.52380954999999996</v>
      </c>
    </row>
    <row r="350" spans="1:10" x14ac:dyDescent="0.3">
      <c r="A350">
        <v>348</v>
      </c>
      <c r="B350">
        <v>5541</v>
      </c>
      <c r="C350" t="b">
        <v>1</v>
      </c>
      <c r="D350">
        <v>8048</v>
      </c>
      <c r="E350">
        <v>8123</v>
      </c>
      <c r="F350">
        <v>8</v>
      </c>
      <c r="G350">
        <v>8.8000000000000007</v>
      </c>
      <c r="H350">
        <v>0.90909090000000004</v>
      </c>
      <c r="I350">
        <v>9.0909110000000001E-2</v>
      </c>
      <c r="J350">
        <v>0.52380954999999996</v>
      </c>
    </row>
    <row r="351" spans="1:10" x14ac:dyDescent="0.3">
      <c r="A351">
        <v>349</v>
      </c>
      <c r="B351">
        <v>5557</v>
      </c>
      <c r="C351" t="b">
        <v>1</v>
      </c>
      <c r="D351">
        <v>8048</v>
      </c>
      <c r="E351">
        <v>8123</v>
      </c>
      <c r="F351">
        <v>8</v>
      </c>
      <c r="G351">
        <v>8.8000000000000007</v>
      </c>
      <c r="H351">
        <v>0.90909090000000004</v>
      </c>
      <c r="I351">
        <v>9.0909110000000001E-2</v>
      </c>
      <c r="J351">
        <v>0.52380954999999996</v>
      </c>
    </row>
    <row r="352" spans="1:10" x14ac:dyDescent="0.3">
      <c r="A352">
        <v>350</v>
      </c>
      <c r="B352">
        <v>5573</v>
      </c>
      <c r="C352" t="b">
        <v>1</v>
      </c>
      <c r="D352">
        <v>8048</v>
      </c>
      <c r="E352">
        <v>8129</v>
      </c>
      <c r="F352">
        <v>8</v>
      </c>
      <c r="G352">
        <v>8.8000000000000007</v>
      </c>
      <c r="H352">
        <v>0.90909090000000004</v>
      </c>
      <c r="I352">
        <v>9.0909110000000001E-2</v>
      </c>
      <c r="J352">
        <v>0.52380954999999996</v>
      </c>
    </row>
    <row r="353" spans="1:10" x14ac:dyDescent="0.3">
      <c r="A353">
        <v>351</v>
      </c>
      <c r="B353">
        <v>5589</v>
      </c>
      <c r="C353" t="b">
        <v>1</v>
      </c>
      <c r="D353">
        <v>8048</v>
      </c>
      <c r="E353">
        <v>8123</v>
      </c>
      <c r="F353">
        <v>8</v>
      </c>
      <c r="G353">
        <v>8.8000000000000007</v>
      </c>
      <c r="H353">
        <v>0.90909090000000004</v>
      </c>
      <c r="I353">
        <v>9.0909110000000001E-2</v>
      </c>
      <c r="J353">
        <v>0.52380954999999996</v>
      </c>
    </row>
    <row r="354" spans="1:10" x14ac:dyDescent="0.3">
      <c r="A354">
        <v>352</v>
      </c>
      <c r="B354">
        <v>5604</v>
      </c>
      <c r="C354" t="b">
        <v>1</v>
      </c>
      <c r="D354">
        <v>8042</v>
      </c>
      <c r="E354">
        <v>8123</v>
      </c>
      <c r="F354">
        <v>8</v>
      </c>
      <c r="G354">
        <v>8.8000000000000007</v>
      </c>
      <c r="H354">
        <v>0.90909090000000004</v>
      </c>
      <c r="I354">
        <v>9.0909110000000001E-2</v>
      </c>
      <c r="J354">
        <v>0.52380954999999996</v>
      </c>
    </row>
    <row r="355" spans="1:10" x14ac:dyDescent="0.3">
      <c r="A355">
        <v>353</v>
      </c>
      <c r="B355">
        <v>5620</v>
      </c>
      <c r="C355" t="b">
        <v>1</v>
      </c>
      <c r="D355">
        <v>8042</v>
      </c>
      <c r="E355">
        <v>8117</v>
      </c>
      <c r="F355">
        <v>8</v>
      </c>
      <c r="G355">
        <v>8.8000000000000007</v>
      </c>
      <c r="H355">
        <v>0.90909090000000004</v>
      </c>
      <c r="I355">
        <v>9.0909110000000001E-2</v>
      </c>
      <c r="J355">
        <v>0.52380954999999996</v>
      </c>
    </row>
    <row r="356" spans="1:10" x14ac:dyDescent="0.3">
      <c r="A356">
        <v>354</v>
      </c>
      <c r="B356">
        <v>5636</v>
      </c>
      <c r="C356" t="b">
        <v>1</v>
      </c>
      <c r="D356">
        <v>8042</v>
      </c>
      <c r="E356">
        <v>8123</v>
      </c>
      <c r="F356">
        <v>7.6</v>
      </c>
      <c r="G356">
        <v>8.4</v>
      </c>
      <c r="H356">
        <v>0.90476190000000001</v>
      </c>
      <c r="I356">
        <v>9.5238069999999994E-2</v>
      </c>
      <c r="J356">
        <v>0.52500000000000002</v>
      </c>
    </row>
    <row r="357" spans="1:10" x14ac:dyDescent="0.3">
      <c r="A357">
        <v>355</v>
      </c>
      <c r="B357">
        <v>5652</v>
      </c>
      <c r="C357" t="b">
        <v>1</v>
      </c>
      <c r="D357">
        <v>8048</v>
      </c>
      <c r="E357">
        <v>8123</v>
      </c>
      <c r="F357">
        <v>7.2</v>
      </c>
      <c r="G357">
        <v>8</v>
      </c>
      <c r="H357">
        <v>0.9</v>
      </c>
      <c r="I357">
        <v>0.10000002400000001</v>
      </c>
      <c r="J357">
        <v>0.5263158</v>
      </c>
    </row>
    <row r="358" spans="1:10" x14ac:dyDescent="0.3">
      <c r="A358">
        <v>356</v>
      </c>
      <c r="B358">
        <v>5668</v>
      </c>
      <c r="C358" t="b">
        <v>1</v>
      </c>
      <c r="D358">
        <v>8048</v>
      </c>
      <c r="E358">
        <v>8123</v>
      </c>
      <c r="F358">
        <v>6.8</v>
      </c>
      <c r="G358">
        <v>8</v>
      </c>
      <c r="H358">
        <v>0.85</v>
      </c>
      <c r="I358">
        <v>0.14999998</v>
      </c>
      <c r="J358">
        <v>0.54054049999999998</v>
      </c>
    </row>
    <row r="359" spans="1:10" x14ac:dyDescent="0.3">
      <c r="A359">
        <v>357</v>
      </c>
      <c r="B359">
        <v>5684</v>
      </c>
      <c r="C359" t="b">
        <v>1</v>
      </c>
      <c r="D359">
        <v>8042</v>
      </c>
      <c r="E359">
        <v>8123</v>
      </c>
      <c r="F359">
        <v>6.4</v>
      </c>
      <c r="G359">
        <v>8</v>
      </c>
      <c r="H359">
        <v>0.8</v>
      </c>
      <c r="I359">
        <v>0.19999998999999999</v>
      </c>
      <c r="J359">
        <v>0.55555560000000004</v>
      </c>
    </row>
    <row r="360" spans="1:10" x14ac:dyDescent="0.3">
      <c r="A360">
        <v>358</v>
      </c>
      <c r="B360">
        <v>5700</v>
      </c>
      <c r="C360" t="b">
        <v>1</v>
      </c>
      <c r="D360">
        <v>8042</v>
      </c>
      <c r="E360">
        <v>8123</v>
      </c>
      <c r="F360">
        <v>6</v>
      </c>
      <c r="G360">
        <v>8</v>
      </c>
      <c r="H360">
        <v>0.75</v>
      </c>
      <c r="I360">
        <v>0.25</v>
      </c>
      <c r="J360">
        <v>0.57142859999999995</v>
      </c>
    </row>
    <row r="361" spans="1:10" x14ac:dyDescent="0.3">
      <c r="A361">
        <v>359</v>
      </c>
      <c r="B361">
        <v>5716</v>
      </c>
      <c r="C361" t="b">
        <v>1</v>
      </c>
      <c r="D361">
        <v>8037</v>
      </c>
      <c r="E361">
        <v>8123</v>
      </c>
      <c r="F361">
        <v>5.6</v>
      </c>
      <c r="G361">
        <v>8</v>
      </c>
      <c r="H361">
        <v>0.7</v>
      </c>
      <c r="I361">
        <v>0.3</v>
      </c>
      <c r="J361">
        <v>0.58823526000000004</v>
      </c>
    </row>
    <row r="362" spans="1:10" x14ac:dyDescent="0.3">
      <c r="A362">
        <v>360</v>
      </c>
      <c r="B362">
        <v>5731</v>
      </c>
      <c r="C362" t="b">
        <v>1</v>
      </c>
      <c r="D362">
        <v>8042</v>
      </c>
      <c r="E362">
        <v>8123</v>
      </c>
      <c r="F362">
        <v>5.2</v>
      </c>
      <c r="G362">
        <v>8</v>
      </c>
      <c r="H362">
        <v>0.65</v>
      </c>
      <c r="I362">
        <v>0.35000002000000002</v>
      </c>
      <c r="J362">
        <v>0.60606059999999995</v>
      </c>
    </row>
    <row r="363" spans="1:10" x14ac:dyDescent="0.3">
      <c r="A363">
        <v>361</v>
      </c>
      <c r="B363">
        <v>5747</v>
      </c>
      <c r="C363" t="b">
        <v>1</v>
      </c>
      <c r="D363">
        <v>8042</v>
      </c>
      <c r="E363">
        <v>8129</v>
      </c>
      <c r="F363">
        <v>4.8</v>
      </c>
      <c r="G363">
        <v>8</v>
      </c>
      <c r="H363">
        <v>0.6</v>
      </c>
      <c r="I363">
        <v>0.39999997999999998</v>
      </c>
      <c r="J363">
        <v>0.625</v>
      </c>
    </row>
    <row r="364" spans="1:10" x14ac:dyDescent="0.3">
      <c r="A364">
        <v>362</v>
      </c>
      <c r="B364">
        <v>5763</v>
      </c>
      <c r="C364" t="b">
        <v>1</v>
      </c>
      <c r="D364">
        <v>8037</v>
      </c>
      <c r="E364">
        <v>8123</v>
      </c>
      <c r="F364">
        <v>4.4000000000000004</v>
      </c>
      <c r="G364">
        <v>8</v>
      </c>
      <c r="H364">
        <v>0.55000000000000004</v>
      </c>
      <c r="I364">
        <v>0.45</v>
      </c>
      <c r="J364">
        <v>0.64516132999999998</v>
      </c>
    </row>
    <row r="365" spans="1:10" x14ac:dyDescent="0.3">
      <c r="A365">
        <v>363</v>
      </c>
      <c r="B365">
        <v>5779</v>
      </c>
      <c r="C365" t="b">
        <v>1</v>
      </c>
      <c r="D365">
        <v>8048</v>
      </c>
      <c r="E365">
        <v>8129</v>
      </c>
      <c r="F365">
        <v>4</v>
      </c>
      <c r="G365">
        <v>8</v>
      </c>
      <c r="H365">
        <v>0.5</v>
      </c>
      <c r="I365">
        <v>0.5</v>
      </c>
      <c r="J365">
        <v>0.66666669999999995</v>
      </c>
    </row>
    <row r="366" spans="1:10" x14ac:dyDescent="0.3">
      <c r="A366">
        <v>364</v>
      </c>
      <c r="B366">
        <v>5795</v>
      </c>
      <c r="C366" t="b">
        <v>1</v>
      </c>
      <c r="D366">
        <v>8054</v>
      </c>
      <c r="E366">
        <v>8123</v>
      </c>
      <c r="F366">
        <v>3.6</v>
      </c>
      <c r="G366">
        <v>8</v>
      </c>
      <c r="H366">
        <v>0.45</v>
      </c>
      <c r="I366">
        <v>0.55000000000000004</v>
      </c>
      <c r="J366">
        <v>0.68965509999999997</v>
      </c>
    </row>
    <row r="367" spans="1:10" x14ac:dyDescent="0.3">
      <c r="A367">
        <v>365</v>
      </c>
      <c r="B367">
        <v>5811</v>
      </c>
      <c r="C367" t="b">
        <v>1</v>
      </c>
      <c r="D367">
        <v>8054</v>
      </c>
      <c r="E367">
        <v>8123</v>
      </c>
      <c r="F367">
        <v>3.6</v>
      </c>
      <c r="G367">
        <v>8</v>
      </c>
      <c r="H367">
        <v>0.45</v>
      </c>
      <c r="I367">
        <v>0.55000000000000004</v>
      </c>
      <c r="J367">
        <v>0.68965509999999997</v>
      </c>
    </row>
    <row r="368" spans="1:10" x14ac:dyDescent="0.3">
      <c r="A368">
        <v>366</v>
      </c>
      <c r="B368">
        <v>5827</v>
      </c>
      <c r="C368" t="b">
        <v>1</v>
      </c>
      <c r="D368">
        <v>8054</v>
      </c>
      <c r="E368">
        <v>8123</v>
      </c>
      <c r="F368">
        <v>4</v>
      </c>
      <c r="G368">
        <v>8</v>
      </c>
      <c r="H368">
        <v>0.5</v>
      </c>
      <c r="I368">
        <v>0.5</v>
      </c>
      <c r="J368">
        <v>0.66666669999999995</v>
      </c>
    </row>
    <row r="369" spans="1:10" x14ac:dyDescent="0.3">
      <c r="A369">
        <v>367</v>
      </c>
      <c r="B369">
        <v>5843</v>
      </c>
      <c r="C369" t="b">
        <v>1</v>
      </c>
      <c r="D369">
        <v>8054</v>
      </c>
      <c r="E369">
        <v>8129</v>
      </c>
      <c r="F369">
        <v>4.4000000000000004</v>
      </c>
      <c r="G369">
        <v>8</v>
      </c>
      <c r="H369">
        <v>0.55000000000000004</v>
      </c>
      <c r="I369">
        <v>0.45</v>
      </c>
      <c r="J369">
        <v>0.64516132999999998</v>
      </c>
    </row>
    <row r="370" spans="1:10" x14ac:dyDescent="0.3">
      <c r="A370">
        <v>368</v>
      </c>
      <c r="B370">
        <v>5859</v>
      </c>
      <c r="C370" t="b">
        <v>1</v>
      </c>
      <c r="D370">
        <v>8054</v>
      </c>
      <c r="E370">
        <v>8123</v>
      </c>
      <c r="F370">
        <v>4.8</v>
      </c>
      <c r="G370">
        <v>8</v>
      </c>
      <c r="H370">
        <v>0.6</v>
      </c>
      <c r="I370">
        <v>0.39999997999999998</v>
      </c>
      <c r="J370">
        <v>0.625</v>
      </c>
    </row>
    <row r="371" spans="1:10" x14ac:dyDescent="0.3">
      <c r="A371">
        <v>369</v>
      </c>
      <c r="B371">
        <v>5875</v>
      </c>
      <c r="C371" t="b">
        <v>1</v>
      </c>
      <c r="D371">
        <v>8054</v>
      </c>
      <c r="E371">
        <v>8123</v>
      </c>
      <c r="F371">
        <v>5.6</v>
      </c>
      <c r="G371">
        <v>8</v>
      </c>
      <c r="H371">
        <v>0.7</v>
      </c>
      <c r="I371">
        <v>0.3</v>
      </c>
      <c r="J371">
        <v>0.58823526000000004</v>
      </c>
    </row>
    <row r="372" spans="1:10" x14ac:dyDescent="0.3">
      <c r="A372">
        <v>370</v>
      </c>
      <c r="B372">
        <v>5891</v>
      </c>
      <c r="C372" t="b">
        <v>1</v>
      </c>
      <c r="D372">
        <v>8042</v>
      </c>
      <c r="E372">
        <v>8123</v>
      </c>
      <c r="F372">
        <v>6.4</v>
      </c>
      <c r="G372">
        <v>8</v>
      </c>
      <c r="H372">
        <v>0.8</v>
      </c>
      <c r="I372">
        <v>0.19999998999999999</v>
      </c>
      <c r="J372">
        <v>0.55555560000000004</v>
      </c>
    </row>
    <row r="373" spans="1:10" x14ac:dyDescent="0.3">
      <c r="A373">
        <v>371</v>
      </c>
      <c r="B373">
        <v>5907</v>
      </c>
      <c r="C373" t="b">
        <v>1</v>
      </c>
      <c r="D373">
        <v>8042</v>
      </c>
      <c r="E373">
        <v>8123</v>
      </c>
      <c r="F373">
        <v>7.2</v>
      </c>
      <c r="G373">
        <v>8</v>
      </c>
      <c r="H373">
        <v>0.9</v>
      </c>
      <c r="I373">
        <v>0.10000002400000001</v>
      </c>
      <c r="J373">
        <v>0.5263158</v>
      </c>
    </row>
    <row r="374" spans="1:10" x14ac:dyDescent="0.3">
      <c r="A374">
        <v>372</v>
      </c>
      <c r="B374">
        <v>5923</v>
      </c>
      <c r="C374" t="b">
        <v>1</v>
      </c>
      <c r="D374">
        <v>8037</v>
      </c>
      <c r="E374">
        <v>8123</v>
      </c>
      <c r="F374">
        <v>7.2</v>
      </c>
      <c r="G374">
        <v>8</v>
      </c>
      <c r="H374">
        <v>0.9</v>
      </c>
      <c r="I374">
        <v>0.10000002400000001</v>
      </c>
      <c r="J374">
        <v>0.5263158</v>
      </c>
    </row>
    <row r="375" spans="1:10" x14ac:dyDescent="0.3">
      <c r="A375">
        <v>373</v>
      </c>
      <c r="B375">
        <v>5938</v>
      </c>
      <c r="C375" t="b">
        <v>1</v>
      </c>
      <c r="D375">
        <v>8042</v>
      </c>
      <c r="E375">
        <v>8123</v>
      </c>
      <c r="F375">
        <v>7.2</v>
      </c>
      <c r="G375">
        <v>8</v>
      </c>
      <c r="H375">
        <v>0.9</v>
      </c>
      <c r="I375">
        <v>0.10000002400000001</v>
      </c>
      <c r="J375">
        <v>0.5263158</v>
      </c>
    </row>
    <row r="376" spans="1:10" x14ac:dyDescent="0.3">
      <c r="A376">
        <v>374</v>
      </c>
      <c r="B376">
        <v>5954</v>
      </c>
      <c r="C376" t="b">
        <v>1</v>
      </c>
      <c r="D376">
        <v>8042</v>
      </c>
      <c r="E376">
        <v>8123</v>
      </c>
      <c r="F376">
        <v>7.2</v>
      </c>
      <c r="G376">
        <v>8</v>
      </c>
      <c r="H376">
        <v>0.9</v>
      </c>
      <c r="I376">
        <v>0.10000002400000001</v>
      </c>
      <c r="J376">
        <v>0.5263158</v>
      </c>
    </row>
    <row r="377" spans="1:10" x14ac:dyDescent="0.3">
      <c r="A377">
        <v>375</v>
      </c>
      <c r="B377">
        <v>5970</v>
      </c>
      <c r="C377" t="b">
        <v>1</v>
      </c>
      <c r="D377">
        <v>8042</v>
      </c>
      <c r="E377">
        <v>8123</v>
      </c>
      <c r="F377">
        <v>7.2</v>
      </c>
      <c r="G377">
        <v>8</v>
      </c>
      <c r="H377">
        <v>0.9</v>
      </c>
      <c r="I377">
        <v>0.10000002400000001</v>
      </c>
      <c r="J377">
        <v>0.5263158</v>
      </c>
    </row>
    <row r="378" spans="1:10" x14ac:dyDescent="0.3">
      <c r="A378">
        <v>376</v>
      </c>
      <c r="B378">
        <v>5986</v>
      </c>
      <c r="C378" t="b">
        <v>1</v>
      </c>
      <c r="D378">
        <v>8048</v>
      </c>
      <c r="E378">
        <v>8123</v>
      </c>
      <c r="F378">
        <v>7.2</v>
      </c>
      <c r="G378">
        <v>8</v>
      </c>
      <c r="H378">
        <v>0.9</v>
      </c>
      <c r="I378">
        <v>0.10000002400000001</v>
      </c>
      <c r="J378">
        <v>0.5263158</v>
      </c>
    </row>
    <row r="379" spans="1:10" x14ac:dyDescent="0.3">
      <c r="A379">
        <v>377</v>
      </c>
      <c r="B379">
        <v>6002</v>
      </c>
      <c r="C379" t="b">
        <v>1</v>
      </c>
      <c r="D379">
        <v>8048</v>
      </c>
      <c r="E379">
        <v>8123</v>
      </c>
      <c r="F379">
        <v>7.2</v>
      </c>
      <c r="G379">
        <v>8</v>
      </c>
      <c r="H379">
        <v>0.9</v>
      </c>
      <c r="I379">
        <v>0.10000002400000001</v>
      </c>
      <c r="J379">
        <v>0.5263158</v>
      </c>
    </row>
    <row r="380" spans="1:10" x14ac:dyDescent="0.3">
      <c r="A380">
        <v>378</v>
      </c>
      <c r="B380">
        <v>6018</v>
      </c>
      <c r="C380" t="b">
        <v>1</v>
      </c>
      <c r="D380">
        <v>8048</v>
      </c>
      <c r="E380">
        <v>8123</v>
      </c>
      <c r="F380">
        <v>7.6</v>
      </c>
      <c r="G380">
        <v>8</v>
      </c>
      <c r="H380">
        <v>0.95</v>
      </c>
      <c r="I380">
        <v>5.0000012000000003E-2</v>
      </c>
      <c r="J380">
        <v>0.51282050000000001</v>
      </c>
    </row>
    <row r="381" spans="1:10" x14ac:dyDescent="0.3">
      <c r="A381">
        <v>379</v>
      </c>
      <c r="B381">
        <v>6034</v>
      </c>
      <c r="C381" t="b">
        <v>1</v>
      </c>
      <c r="D381">
        <v>8048</v>
      </c>
      <c r="E381">
        <v>8117</v>
      </c>
      <c r="F381">
        <v>8</v>
      </c>
      <c r="G381">
        <v>8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6050</v>
      </c>
      <c r="C382" t="b">
        <v>1</v>
      </c>
      <c r="D382">
        <v>8048</v>
      </c>
      <c r="E382">
        <v>8117</v>
      </c>
      <c r="F382">
        <v>8</v>
      </c>
      <c r="G382">
        <v>8</v>
      </c>
      <c r="H382">
        <v>1</v>
      </c>
      <c r="I382">
        <v>0</v>
      </c>
      <c r="J382">
        <v>0.5</v>
      </c>
    </row>
    <row r="383" spans="1:10" x14ac:dyDescent="0.3">
      <c r="A383">
        <v>381</v>
      </c>
      <c r="B383">
        <v>6066</v>
      </c>
      <c r="C383" t="b">
        <v>1</v>
      </c>
      <c r="D383">
        <v>8048</v>
      </c>
      <c r="E383">
        <v>8117</v>
      </c>
      <c r="F383">
        <v>7.6</v>
      </c>
      <c r="G383">
        <v>7.6</v>
      </c>
      <c r="H383">
        <v>1</v>
      </c>
      <c r="I383">
        <v>0</v>
      </c>
      <c r="J383">
        <v>0.5</v>
      </c>
    </row>
    <row r="384" spans="1:10" x14ac:dyDescent="0.3">
      <c r="A384">
        <v>382</v>
      </c>
      <c r="B384">
        <v>6082</v>
      </c>
      <c r="C384" t="b">
        <v>1</v>
      </c>
      <c r="D384">
        <v>8048</v>
      </c>
      <c r="E384">
        <v>8117</v>
      </c>
      <c r="F384">
        <v>7.2</v>
      </c>
      <c r="G384">
        <v>7.2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6098</v>
      </c>
      <c r="C385" t="b">
        <v>1</v>
      </c>
      <c r="D385">
        <v>8042</v>
      </c>
      <c r="E385">
        <v>8123</v>
      </c>
      <c r="F385">
        <v>6.8</v>
      </c>
      <c r="G385">
        <v>6.8</v>
      </c>
      <c r="H385">
        <v>1</v>
      </c>
      <c r="I385">
        <v>0</v>
      </c>
      <c r="J385">
        <v>0.5</v>
      </c>
    </row>
    <row r="386" spans="1:10" x14ac:dyDescent="0.3">
      <c r="A386">
        <v>384</v>
      </c>
      <c r="B386">
        <v>6114</v>
      </c>
      <c r="C386" t="b">
        <v>1</v>
      </c>
      <c r="D386">
        <v>8048</v>
      </c>
      <c r="E386">
        <v>8129</v>
      </c>
      <c r="F386">
        <v>6.4</v>
      </c>
      <c r="G386">
        <v>6.4</v>
      </c>
      <c r="H386">
        <v>1</v>
      </c>
      <c r="I386">
        <v>0</v>
      </c>
      <c r="J386">
        <v>0.5</v>
      </c>
    </row>
    <row r="387" spans="1:10" x14ac:dyDescent="0.3">
      <c r="A387">
        <v>385</v>
      </c>
      <c r="B387">
        <v>6130</v>
      </c>
      <c r="C387" t="b">
        <v>1</v>
      </c>
      <c r="D387">
        <v>8048</v>
      </c>
      <c r="E387">
        <v>8123</v>
      </c>
      <c r="F387">
        <v>6</v>
      </c>
      <c r="G387">
        <v>6.4</v>
      </c>
      <c r="H387">
        <v>0.9375</v>
      </c>
      <c r="I387">
        <v>6.2500015000000006E-2</v>
      </c>
      <c r="J387">
        <v>0.51612910000000001</v>
      </c>
    </row>
    <row r="388" spans="1:10" x14ac:dyDescent="0.3">
      <c r="A388">
        <v>386</v>
      </c>
      <c r="B388">
        <v>6146</v>
      </c>
      <c r="C388" t="b">
        <v>1</v>
      </c>
      <c r="D388">
        <v>8048</v>
      </c>
      <c r="E388">
        <v>8123</v>
      </c>
      <c r="F388">
        <v>5.6</v>
      </c>
      <c r="G388">
        <v>6.4</v>
      </c>
      <c r="H388">
        <v>0.875</v>
      </c>
      <c r="I388">
        <v>0.12500003000000001</v>
      </c>
      <c r="J388">
        <v>0.53333335999999998</v>
      </c>
    </row>
    <row r="389" spans="1:10" x14ac:dyDescent="0.3">
      <c r="A389">
        <v>387</v>
      </c>
      <c r="B389">
        <v>6162</v>
      </c>
      <c r="C389" t="b">
        <v>1</v>
      </c>
      <c r="D389">
        <v>8042</v>
      </c>
      <c r="E389">
        <v>8123</v>
      </c>
      <c r="F389">
        <v>6</v>
      </c>
      <c r="G389">
        <v>6.4</v>
      </c>
      <c r="H389">
        <v>0.9375</v>
      </c>
      <c r="I389">
        <v>6.2500015000000006E-2</v>
      </c>
      <c r="J389">
        <v>0.51612910000000001</v>
      </c>
    </row>
    <row r="390" spans="1:10" x14ac:dyDescent="0.3">
      <c r="A390">
        <v>388</v>
      </c>
      <c r="B390">
        <v>6178</v>
      </c>
      <c r="C390" t="b">
        <v>1</v>
      </c>
      <c r="D390">
        <v>8048</v>
      </c>
      <c r="E390">
        <v>8129</v>
      </c>
      <c r="F390">
        <v>6.4</v>
      </c>
      <c r="G390">
        <v>6.4</v>
      </c>
      <c r="H390">
        <v>1</v>
      </c>
      <c r="I390">
        <v>0</v>
      </c>
      <c r="J390">
        <v>0.5</v>
      </c>
    </row>
    <row r="391" spans="1:10" x14ac:dyDescent="0.3">
      <c r="A391">
        <v>389</v>
      </c>
      <c r="B391">
        <v>6194</v>
      </c>
      <c r="C391" t="b">
        <v>1</v>
      </c>
      <c r="D391">
        <v>8048</v>
      </c>
      <c r="E391">
        <v>8117</v>
      </c>
      <c r="F391">
        <v>6.8</v>
      </c>
      <c r="G391">
        <v>6.4</v>
      </c>
      <c r="H391">
        <v>1.0625</v>
      </c>
      <c r="I391">
        <v>-6.2500015000000006E-2</v>
      </c>
      <c r="J391">
        <v>0.48484846999999998</v>
      </c>
    </row>
    <row r="392" spans="1:10" x14ac:dyDescent="0.3">
      <c r="A392">
        <v>390</v>
      </c>
      <c r="B392">
        <v>6210</v>
      </c>
      <c r="C392" t="b">
        <v>1</v>
      </c>
      <c r="D392">
        <v>8048</v>
      </c>
      <c r="E392">
        <v>8117</v>
      </c>
      <c r="F392">
        <v>7.2</v>
      </c>
      <c r="G392">
        <v>6.4</v>
      </c>
      <c r="H392">
        <v>1.125</v>
      </c>
      <c r="I392">
        <v>-0.124999955</v>
      </c>
      <c r="J392">
        <v>0.47058823999999999</v>
      </c>
    </row>
    <row r="393" spans="1:10" x14ac:dyDescent="0.3">
      <c r="A393">
        <v>391</v>
      </c>
      <c r="B393">
        <v>6225</v>
      </c>
      <c r="C393" t="b">
        <v>1</v>
      </c>
      <c r="D393">
        <v>8048</v>
      </c>
      <c r="E393">
        <v>8117</v>
      </c>
      <c r="F393">
        <v>7.6</v>
      </c>
      <c r="G393">
        <v>6</v>
      </c>
      <c r="H393">
        <v>1.2666667</v>
      </c>
      <c r="I393">
        <v>-0.26666665000000001</v>
      </c>
      <c r="J393">
        <v>0.44117644</v>
      </c>
    </row>
    <row r="394" spans="1:10" x14ac:dyDescent="0.3">
      <c r="A394">
        <v>392</v>
      </c>
      <c r="B394">
        <v>6241</v>
      </c>
      <c r="C394" t="b">
        <v>1</v>
      </c>
      <c r="D394">
        <v>8048</v>
      </c>
      <c r="E394">
        <v>8111</v>
      </c>
      <c r="F394">
        <v>8</v>
      </c>
      <c r="G394">
        <v>5.6</v>
      </c>
      <c r="H394">
        <v>1.4285715000000001</v>
      </c>
      <c r="I394">
        <v>-0.42857146000000002</v>
      </c>
      <c r="J394">
        <v>0.41176467999999999</v>
      </c>
    </row>
    <row r="395" spans="1:10" x14ac:dyDescent="0.3">
      <c r="A395">
        <v>393</v>
      </c>
      <c r="B395">
        <v>6257</v>
      </c>
      <c r="C395" t="b">
        <v>1</v>
      </c>
      <c r="D395">
        <v>8048</v>
      </c>
      <c r="E395">
        <v>8117</v>
      </c>
      <c r="F395">
        <v>8</v>
      </c>
      <c r="G395">
        <v>5.2</v>
      </c>
      <c r="H395">
        <v>1.5384616</v>
      </c>
      <c r="I395">
        <v>-0.53846156999999994</v>
      </c>
      <c r="J395">
        <v>0.39393938000000001</v>
      </c>
    </row>
    <row r="396" spans="1:10" x14ac:dyDescent="0.3">
      <c r="A396">
        <v>394</v>
      </c>
      <c r="B396">
        <v>6273</v>
      </c>
      <c r="C396" t="b">
        <v>1</v>
      </c>
      <c r="D396">
        <v>8048</v>
      </c>
      <c r="E396">
        <v>8117</v>
      </c>
      <c r="F396">
        <v>8</v>
      </c>
      <c r="G396">
        <v>4.8</v>
      </c>
      <c r="H396">
        <v>1.6666666000000001</v>
      </c>
      <c r="I396">
        <v>-0.6666666</v>
      </c>
      <c r="J396">
        <v>0.375</v>
      </c>
    </row>
    <row r="397" spans="1:10" x14ac:dyDescent="0.3">
      <c r="A397">
        <v>395</v>
      </c>
      <c r="B397">
        <v>6289</v>
      </c>
      <c r="C397" t="b">
        <v>1</v>
      </c>
      <c r="D397">
        <v>8048</v>
      </c>
      <c r="E397">
        <v>8117</v>
      </c>
      <c r="F397">
        <v>8</v>
      </c>
      <c r="G397">
        <v>4.4000000000000004</v>
      </c>
      <c r="H397">
        <v>1.8181818000000001</v>
      </c>
      <c r="I397">
        <v>-0.81818175000000004</v>
      </c>
      <c r="J397">
        <v>0.35483872999999999</v>
      </c>
    </row>
    <row r="398" spans="1:10" x14ac:dyDescent="0.3">
      <c r="A398">
        <v>396</v>
      </c>
      <c r="B398">
        <v>6305</v>
      </c>
      <c r="C398" t="b">
        <v>1</v>
      </c>
      <c r="D398">
        <v>8048</v>
      </c>
      <c r="E398">
        <v>8134</v>
      </c>
      <c r="F398">
        <v>8</v>
      </c>
      <c r="G398">
        <v>4.4000000000000004</v>
      </c>
      <c r="H398">
        <v>1.8181818000000001</v>
      </c>
      <c r="I398">
        <v>-0.81818175000000004</v>
      </c>
      <c r="J398">
        <v>0.35483872999999999</v>
      </c>
    </row>
    <row r="399" spans="1:10" x14ac:dyDescent="0.3">
      <c r="A399">
        <v>397</v>
      </c>
      <c r="B399">
        <v>6320</v>
      </c>
      <c r="C399" t="b">
        <v>1</v>
      </c>
      <c r="D399">
        <v>8042</v>
      </c>
      <c r="E399">
        <v>8129</v>
      </c>
      <c r="F399">
        <v>8</v>
      </c>
      <c r="G399">
        <v>4.4000000000000004</v>
      </c>
      <c r="H399">
        <v>1.8181818000000001</v>
      </c>
      <c r="I399">
        <v>-0.81818175000000004</v>
      </c>
      <c r="J399">
        <v>0.35483872999999999</v>
      </c>
    </row>
    <row r="400" spans="1:10" x14ac:dyDescent="0.3">
      <c r="A400">
        <v>398</v>
      </c>
      <c r="B400">
        <v>6336</v>
      </c>
      <c r="C400" t="b">
        <v>1</v>
      </c>
      <c r="D400">
        <v>8048</v>
      </c>
      <c r="E400">
        <v>8129</v>
      </c>
      <c r="F400">
        <v>8</v>
      </c>
      <c r="G400">
        <v>5.2</v>
      </c>
      <c r="H400">
        <v>1.5384616</v>
      </c>
      <c r="I400">
        <v>-0.53846156999999994</v>
      </c>
      <c r="J400">
        <v>0.39393938000000001</v>
      </c>
    </row>
    <row r="401" spans="1:10" x14ac:dyDescent="0.3">
      <c r="A401">
        <v>399</v>
      </c>
      <c r="B401">
        <v>6352</v>
      </c>
      <c r="C401" t="b">
        <v>1</v>
      </c>
      <c r="D401">
        <v>8042</v>
      </c>
      <c r="E401">
        <v>8129</v>
      </c>
      <c r="F401">
        <v>8</v>
      </c>
      <c r="G401">
        <v>6</v>
      </c>
      <c r="H401">
        <v>1.3333333999999999</v>
      </c>
      <c r="I401">
        <v>-0.33333333999999998</v>
      </c>
      <c r="J401">
        <v>0.42857142999999998</v>
      </c>
    </row>
    <row r="402" spans="1:10" x14ac:dyDescent="0.3">
      <c r="A402">
        <v>400</v>
      </c>
      <c r="B402">
        <v>6368</v>
      </c>
      <c r="C402" t="b">
        <v>1</v>
      </c>
      <c r="D402">
        <v>8042</v>
      </c>
      <c r="E402">
        <v>8129</v>
      </c>
      <c r="F402">
        <v>7.6</v>
      </c>
      <c r="G402">
        <v>6.4</v>
      </c>
      <c r="H402">
        <v>1.1875</v>
      </c>
      <c r="I402">
        <v>-0.18749996999999999</v>
      </c>
      <c r="J402">
        <v>0.45714285999999998</v>
      </c>
    </row>
    <row r="403" spans="1:10" x14ac:dyDescent="0.3">
      <c r="A403">
        <v>401</v>
      </c>
      <c r="B403">
        <v>6384</v>
      </c>
      <c r="C403" t="b">
        <v>1</v>
      </c>
      <c r="D403">
        <v>8048</v>
      </c>
      <c r="E403">
        <v>8129</v>
      </c>
      <c r="F403">
        <v>7.2</v>
      </c>
      <c r="G403">
        <v>6.8</v>
      </c>
      <c r="H403">
        <v>1.0588234999999999</v>
      </c>
      <c r="I403">
        <v>-5.8823470000000003E-2</v>
      </c>
      <c r="J403">
        <v>0.48571429999999999</v>
      </c>
    </row>
    <row r="404" spans="1:10" x14ac:dyDescent="0.3">
      <c r="A404">
        <v>402</v>
      </c>
      <c r="B404">
        <v>6400</v>
      </c>
      <c r="C404" t="b">
        <v>1</v>
      </c>
      <c r="D404">
        <v>8042</v>
      </c>
      <c r="E404">
        <v>8117</v>
      </c>
      <c r="F404">
        <v>6.8</v>
      </c>
      <c r="G404">
        <v>7.2</v>
      </c>
      <c r="H404">
        <v>0.94444450000000002</v>
      </c>
      <c r="I404">
        <v>5.5555503999999999E-2</v>
      </c>
      <c r="J404">
        <v>0.51428569999999996</v>
      </c>
    </row>
    <row r="405" spans="1:10" x14ac:dyDescent="0.3">
      <c r="A405">
        <v>403</v>
      </c>
      <c r="B405">
        <v>6416</v>
      </c>
      <c r="C405" t="b">
        <v>1</v>
      </c>
      <c r="D405">
        <v>8048</v>
      </c>
      <c r="E405">
        <v>8123</v>
      </c>
      <c r="F405">
        <v>6.4</v>
      </c>
      <c r="G405">
        <v>7.6</v>
      </c>
      <c r="H405">
        <v>0.84210527000000002</v>
      </c>
      <c r="I405">
        <v>0.15789471999999999</v>
      </c>
      <c r="J405">
        <v>0.54285709999999998</v>
      </c>
    </row>
    <row r="406" spans="1:10" x14ac:dyDescent="0.3">
      <c r="A406">
        <v>404</v>
      </c>
      <c r="B406">
        <v>6432</v>
      </c>
      <c r="C406" t="b">
        <v>1</v>
      </c>
      <c r="D406">
        <v>8048</v>
      </c>
      <c r="E406">
        <v>8117</v>
      </c>
      <c r="F406">
        <v>6.4</v>
      </c>
      <c r="G406">
        <v>7.6</v>
      </c>
      <c r="H406">
        <v>0.84210527000000002</v>
      </c>
      <c r="I406">
        <v>0.15789471999999999</v>
      </c>
      <c r="J406">
        <v>0.54285709999999998</v>
      </c>
    </row>
    <row r="407" spans="1:10" x14ac:dyDescent="0.3">
      <c r="A407">
        <v>405</v>
      </c>
      <c r="B407">
        <v>6448</v>
      </c>
      <c r="C407" t="b">
        <v>1</v>
      </c>
      <c r="D407">
        <v>8048</v>
      </c>
      <c r="E407">
        <v>8123</v>
      </c>
      <c r="F407">
        <v>6.4</v>
      </c>
      <c r="G407">
        <v>7.6</v>
      </c>
      <c r="H407">
        <v>0.84210527000000002</v>
      </c>
      <c r="I407">
        <v>0.15789471999999999</v>
      </c>
      <c r="J407">
        <v>0.54285709999999998</v>
      </c>
    </row>
    <row r="408" spans="1:10" x14ac:dyDescent="0.3">
      <c r="A408">
        <v>406</v>
      </c>
      <c r="B408">
        <v>6464</v>
      </c>
      <c r="C408" t="b">
        <v>1</v>
      </c>
      <c r="D408">
        <v>8048</v>
      </c>
      <c r="E408">
        <v>8123</v>
      </c>
      <c r="F408">
        <v>6.4</v>
      </c>
      <c r="G408">
        <v>8</v>
      </c>
      <c r="H408">
        <v>0.8</v>
      </c>
      <c r="I408">
        <v>0.19999998999999999</v>
      </c>
      <c r="J408">
        <v>0.55555560000000004</v>
      </c>
    </row>
    <row r="409" spans="1:10" x14ac:dyDescent="0.3">
      <c r="A409">
        <v>407</v>
      </c>
      <c r="B409">
        <v>6480</v>
      </c>
      <c r="C409" t="b">
        <v>1</v>
      </c>
      <c r="D409">
        <v>8048</v>
      </c>
      <c r="E409">
        <v>8117</v>
      </c>
      <c r="F409">
        <v>6.4</v>
      </c>
      <c r="G409">
        <v>8.4</v>
      </c>
      <c r="H409">
        <v>0.76190484000000003</v>
      </c>
      <c r="I409">
        <v>0.23809520000000001</v>
      </c>
      <c r="J409">
        <v>0.56756759999999995</v>
      </c>
    </row>
    <row r="410" spans="1:10" x14ac:dyDescent="0.3">
      <c r="A410">
        <v>408</v>
      </c>
      <c r="B410">
        <v>6496</v>
      </c>
      <c r="C410" t="b">
        <v>1</v>
      </c>
      <c r="D410">
        <v>8042</v>
      </c>
      <c r="E410">
        <v>8123</v>
      </c>
      <c r="F410">
        <v>6.4</v>
      </c>
      <c r="G410">
        <v>8.8000000000000007</v>
      </c>
      <c r="H410">
        <v>0.72727275000000002</v>
      </c>
      <c r="I410">
        <v>0.27272728000000002</v>
      </c>
      <c r="J410">
        <v>0.57894736999999996</v>
      </c>
    </row>
    <row r="411" spans="1:10" x14ac:dyDescent="0.3">
      <c r="A411">
        <v>409</v>
      </c>
      <c r="B411">
        <v>6512</v>
      </c>
      <c r="C411" t="b">
        <v>1</v>
      </c>
      <c r="D411">
        <v>8042</v>
      </c>
      <c r="E411">
        <v>8123</v>
      </c>
      <c r="F411">
        <v>6.4</v>
      </c>
      <c r="G411">
        <v>9.1999999999999993</v>
      </c>
      <c r="H411">
        <v>0.69565220000000005</v>
      </c>
      <c r="I411">
        <v>0.3043478</v>
      </c>
      <c r="J411">
        <v>0.58974355000000001</v>
      </c>
    </row>
    <row r="412" spans="1:10" x14ac:dyDescent="0.3">
      <c r="A412">
        <v>410</v>
      </c>
      <c r="B412">
        <v>6527</v>
      </c>
      <c r="C412" t="b">
        <v>1</v>
      </c>
      <c r="D412">
        <v>8037</v>
      </c>
      <c r="E412">
        <v>8129</v>
      </c>
      <c r="F412">
        <v>6</v>
      </c>
      <c r="G412">
        <v>9.6</v>
      </c>
      <c r="H412">
        <v>0.625</v>
      </c>
      <c r="I412">
        <v>0.37500002999999998</v>
      </c>
      <c r="J412">
        <v>0.61538464000000004</v>
      </c>
    </row>
    <row r="413" spans="1:10" x14ac:dyDescent="0.3">
      <c r="A413">
        <v>411</v>
      </c>
      <c r="B413">
        <v>6543</v>
      </c>
      <c r="C413" t="b">
        <v>1</v>
      </c>
      <c r="D413">
        <v>8037</v>
      </c>
      <c r="E413">
        <v>8129</v>
      </c>
      <c r="F413">
        <v>5.6</v>
      </c>
      <c r="G413">
        <v>10</v>
      </c>
      <c r="H413">
        <v>0.56000000000000005</v>
      </c>
      <c r="I413">
        <v>0.44</v>
      </c>
      <c r="J413">
        <v>0.64102559999999997</v>
      </c>
    </row>
    <row r="414" spans="1:10" x14ac:dyDescent="0.3">
      <c r="A414">
        <v>412</v>
      </c>
      <c r="B414">
        <v>6559</v>
      </c>
      <c r="C414" t="b">
        <v>1</v>
      </c>
      <c r="D414">
        <v>8037</v>
      </c>
      <c r="E414">
        <v>8129</v>
      </c>
      <c r="F414">
        <v>4.8666669999999996</v>
      </c>
      <c r="G414">
        <v>10.8</v>
      </c>
      <c r="H414">
        <v>0.45061728000000001</v>
      </c>
      <c r="I414">
        <v>0.5493827</v>
      </c>
      <c r="J414">
        <v>0.68936169999999997</v>
      </c>
    </row>
    <row r="415" spans="1:10" x14ac:dyDescent="0.3">
      <c r="A415">
        <v>413</v>
      </c>
      <c r="B415">
        <v>6575</v>
      </c>
      <c r="C415" t="b">
        <v>1</v>
      </c>
      <c r="D415">
        <v>8042</v>
      </c>
      <c r="E415">
        <v>8123</v>
      </c>
      <c r="F415">
        <v>4.1333330000000004</v>
      </c>
      <c r="G415">
        <v>10.8</v>
      </c>
      <c r="H415">
        <v>0.38271602999999998</v>
      </c>
      <c r="I415">
        <v>0.61728393999999998</v>
      </c>
      <c r="J415">
        <v>0.72321427000000005</v>
      </c>
    </row>
    <row r="416" spans="1:10" x14ac:dyDescent="0.3">
      <c r="A416">
        <v>414</v>
      </c>
      <c r="B416">
        <v>6590</v>
      </c>
      <c r="C416" t="b">
        <v>1</v>
      </c>
      <c r="D416">
        <v>8048</v>
      </c>
      <c r="E416">
        <v>8117</v>
      </c>
      <c r="F416">
        <v>3.4</v>
      </c>
      <c r="G416">
        <v>10.8</v>
      </c>
      <c r="H416">
        <v>0.31481480000000001</v>
      </c>
      <c r="I416">
        <v>0.68518520000000005</v>
      </c>
      <c r="J416">
        <v>0.7605634</v>
      </c>
    </row>
    <row r="417" spans="1:10" x14ac:dyDescent="0.3">
      <c r="A417">
        <v>415</v>
      </c>
      <c r="B417">
        <v>6606</v>
      </c>
      <c r="C417" t="b">
        <v>1</v>
      </c>
      <c r="D417">
        <v>8042</v>
      </c>
      <c r="E417">
        <v>8117</v>
      </c>
      <c r="F417">
        <v>3.4</v>
      </c>
      <c r="G417">
        <v>10.4</v>
      </c>
      <c r="H417">
        <v>0.32692310000000002</v>
      </c>
      <c r="I417">
        <v>0.67307689999999998</v>
      </c>
      <c r="J417">
        <v>0.75362320000000005</v>
      </c>
    </row>
    <row r="418" spans="1:10" x14ac:dyDescent="0.3">
      <c r="A418">
        <v>416</v>
      </c>
      <c r="B418">
        <v>6622</v>
      </c>
      <c r="C418" t="b">
        <v>1</v>
      </c>
      <c r="D418">
        <v>8048</v>
      </c>
      <c r="E418">
        <v>8117</v>
      </c>
      <c r="F418">
        <v>3.4</v>
      </c>
      <c r="G418">
        <v>9.6</v>
      </c>
      <c r="H418">
        <v>0.35416666000000002</v>
      </c>
      <c r="I418">
        <v>0.64583330000000005</v>
      </c>
      <c r="J418">
        <v>0.73846155000000002</v>
      </c>
    </row>
    <row r="419" spans="1:10" x14ac:dyDescent="0.3">
      <c r="A419">
        <v>417</v>
      </c>
      <c r="B419">
        <v>6638</v>
      </c>
      <c r="C419" t="b">
        <v>1</v>
      </c>
      <c r="D419">
        <v>8048</v>
      </c>
      <c r="E419">
        <v>8117</v>
      </c>
      <c r="F419">
        <v>3.8</v>
      </c>
      <c r="G419">
        <v>8.8000000000000007</v>
      </c>
      <c r="H419">
        <v>0.43181816000000001</v>
      </c>
      <c r="I419">
        <v>0.56818179999999996</v>
      </c>
      <c r="J419">
        <v>0.6984127</v>
      </c>
    </row>
    <row r="420" spans="1:10" x14ac:dyDescent="0.3">
      <c r="A420">
        <v>418</v>
      </c>
      <c r="B420">
        <v>6654</v>
      </c>
      <c r="C420" t="b">
        <v>1</v>
      </c>
      <c r="D420">
        <v>8048</v>
      </c>
      <c r="E420">
        <v>8117</v>
      </c>
      <c r="F420">
        <v>4.2</v>
      </c>
      <c r="G420">
        <v>8</v>
      </c>
      <c r="H420">
        <v>0.52500000000000002</v>
      </c>
      <c r="I420">
        <v>0.47500002000000002</v>
      </c>
      <c r="J420">
        <v>0.65573769999999998</v>
      </c>
    </row>
    <row r="421" spans="1:10" x14ac:dyDescent="0.3">
      <c r="A421">
        <v>419</v>
      </c>
      <c r="B421">
        <v>6670</v>
      </c>
      <c r="C421" t="b">
        <v>1</v>
      </c>
      <c r="D421">
        <v>8042</v>
      </c>
      <c r="E421">
        <v>8123</v>
      </c>
      <c r="F421">
        <v>4.2</v>
      </c>
      <c r="G421">
        <v>7.6</v>
      </c>
      <c r="H421">
        <v>0.55263156000000002</v>
      </c>
      <c r="I421">
        <v>0.44736843999999998</v>
      </c>
      <c r="J421">
        <v>0.64406779999999997</v>
      </c>
    </row>
    <row r="422" spans="1:10" x14ac:dyDescent="0.3">
      <c r="A422">
        <v>420</v>
      </c>
      <c r="B422">
        <v>6685</v>
      </c>
      <c r="C422" t="b">
        <v>1</v>
      </c>
      <c r="D422">
        <v>8048</v>
      </c>
      <c r="E422">
        <v>8129</v>
      </c>
      <c r="F422">
        <v>4.2</v>
      </c>
      <c r="G422">
        <v>7.2</v>
      </c>
      <c r="H422">
        <v>0.58333330000000005</v>
      </c>
      <c r="I422">
        <v>0.4166667</v>
      </c>
      <c r="J422">
        <v>0.63157890000000005</v>
      </c>
    </row>
    <row r="423" spans="1:10" x14ac:dyDescent="0.3">
      <c r="A423">
        <v>421</v>
      </c>
      <c r="B423">
        <v>6701</v>
      </c>
      <c r="C423" t="b">
        <v>1</v>
      </c>
      <c r="D423">
        <v>8042</v>
      </c>
      <c r="E423">
        <v>8123</v>
      </c>
      <c r="F423">
        <v>4.2</v>
      </c>
      <c r="G423">
        <v>7.2</v>
      </c>
      <c r="H423">
        <v>0.58333330000000005</v>
      </c>
      <c r="I423">
        <v>0.4166667</v>
      </c>
      <c r="J423">
        <v>0.63157890000000005</v>
      </c>
    </row>
    <row r="424" spans="1:10" x14ac:dyDescent="0.3">
      <c r="A424">
        <v>422</v>
      </c>
      <c r="B424">
        <v>6717</v>
      </c>
      <c r="C424" t="b">
        <v>1</v>
      </c>
      <c r="D424">
        <v>8042</v>
      </c>
      <c r="E424">
        <v>8123</v>
      </c>
      <c r="F424">
        <v>3.8</v>
      </c>
      <c r="G424">
        <v>7.2</v>
      </c>
      <c r="H424">
        <v>0.52777779999999996</v>
      </c>
      <c r="I424">
        <v>0.47222219999999998</v>
      </c>
      <c r="J424">
        <v>0.65454540000000005</v>
      </c>
    </row>
    <row r="425" spans="1:10" x14ac:dyDescent="0.3">
      <c r="A425">
        <v>423</v>
      </c>
      <c r="B425">
        <v>6733</v>
      </c>
      <c r="C425" t="b">
        <v>1</v>
      </c>
      <c r="D425">
        <v>8048</v>
      </c>
      <c r="E425">
        <v>8123</v>
      </c>
      <c r="F425">
        <v>3.4</v>
      </c>
      <c r="G425">
        <v>7.2</v>
      </c>
      <c r="H425">
        <v>0.47222224000000002</v>
      </c>
      <c r="I425">
        <v>0.52777772999999994</v>
      </c>
      <c r="J425">
        <v>0.67924523000000003</v>
      </c>
    </row>
    <row r="426" spans="1:10" x14ac:dyDescent="0.3">
      <c r="A426">
        <v>424</v>
      </c>
      <c r="B426">
        <v>6749</v>
      </c>
      <c r="C426" t="b">
        <v>1</v>
      </c>
      <c r="D426">
        <v>8042</v>
      </c>
      <c r="E426">
        <v>8129</v>
      </c>
      <c r="F426">
        <v>3</v>
      </c>
      <c r="G426">
        <v>7.2</v>
      </c>
      <c r="H426">
        <v>0.4166667</v>
      </c>
      <c r="I426">
        <v>0.58333330000000005</v>
      </c>
      <c r="J426">
        <v>0.70588240000000002</v>
      </c>
    </row>
    <row r="427" spans="1:10" x14ac:dyDescent="0.3">
      <c r="A427">
        <v>425</v>
      </c>
      <c r="B427">
        <v>6764</v>
      </c>
      <c r="C427" t="b">
        <v>1</v>
      </c>
      <c r="D427">
        <v>8048</v>
      </c>
      <c r="E427">
        <v>8117</v>
      </c>
      <c r="F427">
        <v>3</v>
      </c>
      <c r="G427">
        <v>7.2</v>
      </c>
      <c r="H427">
        <v>0.4166667</v>
      </c>
      <c r="I427">
        <v>0.58333330000000005</v>
      </c>
      <c r="J427">
        <v>0.70588240000000002</v>
      </c>
    </row>
    <row r="428" spans="1:10" x14ac:dyDescent="0.3">
      <c r="A428">
        <v>426</v>
      </c>
      <c r="B428">
        <v>6780</v>
      </c>
      <c r="C428" t="b">
        <v>1</v>
      </c>
      <c r="D428">
        <v>8048</v>
      </c>
      <c r="E428">
        <v>8123</v>
      </c>
      <c r="F428">
        <v>3.4</v>
      </c>
      <c r="G428">
        <v>7.2</v>
      </c>
      <c r="H428">
        <v>0.47222224000000002</v>
      </c>
      <c r="I428">
        <v>0.52777772999999994</v>
      </c>
      <c r="J428">
        <v>0.67924523000000003</v>
      </c>
    </row>
    <row r="429" spans="1:10" x14ac:dyDescent="0.3">
      <c r="A429">
        <v>427</v>
      </c>
      <c r="B429">
        <v>6796</v>
      </c>
      <c r="C429" t="b">
        <v>1</v>
      </c>
      <c r="D429">
        <v>8048</v>
      </c>
      <c r="E429">
        <v>8123</v>
      </c>
      <c r="F429">
        <v>4.1333330000000004</v>
      </c>
      <c r="G429">
        <v>6.8</v>
      </c>
      <c r="H429">
        <v>0.60784309999999997</v>
      </c>
      <c r="I429">
        <v>0.39215689999999997</v>
      </c>
      <c r="J429">
        <v>0.62195120000000004</v>
      </c>
    </row>
    <row r="430" spans="1:10" x14ac:dyDescent="0.3">
      <c r="A430">
        <v>428</v>
      </c>
      <c r="B430">
        <v>6812</v>
      </c>
      <c r="C430" t="b">
        <v>1</v>
      </c>
      <c r="D430">
        <v>8048</v>
      </c>
      <c r="E430">
        <v>8123</v>
      </c>
      <c r="F430">
        <v>4.8666669999999996</v>
      </c>
      <c r="G430">
        <v>6.4</v>
      </c>
      <c r="H430">
        <v>0.76041669999999995</v>
      </c>
      <c r="I430">
        <v>0.23958333000000001</v>
      </c>
      <c r="J430">
        <v>0.56804734000000001</v>
      </c>
    </row>
    <row r="431" spans="1:10" x14ac:dyDescent="0.3">
      <c r="A431">
        <v>429</v>
      </c>
      <c r="B431">
        <v>6828</v>
      </c>
      <c r="C431" t="b">
        <v>1</v>
      </c>
      <c r="D431">
        <v>8048</v>
      </c>
      <c r="E431">
        <v>8129</v>
      </c>
      <c r="F431">
        <v>5.6</v>
      </c>
      <c r="G431">
        <v>6</v>
      </c>
      <c r="H431">
        <v>0.93333334000000001</v>
      </c>
      <c r="I431">
        <v>6.6666685000000003E-2</v>
      </c>
      <c r="J431">
        <v>0.51724135999999998</v>
      </c>
    </row>
    <row r="432" spans="1:10" x14ac:dyDescent="0.3">
      <c r="A432">
        <v>430</v>
      </c>
      <c r="B432">
        <v>6844</v>
      </c>
      <c r="C432" t="b">
        <v>1</v>
      </c>
      <c r="D432">
        <v>8048</v>
      </c>
      <c r="E432">
        <v>8123</v>
      </c>
      <c r="F432">
        <v>6</v>
      </c>
      <c r="G432">
        <v>6</v>
      </c>
      <c r="H432">
        <v>1</v>
      </c>
      <c r="I432">
        <v>0</v>
      </c>
      <c r="J432">
        <v>0.5</v>
      </c>
    </row>
    <row r="433" spans="1:10" x14ac:dyDescent="0.3">
      <c r="A433">
        <v>431</v>
      </c>
      <c r="B433">
        <v>6860</v>
      </c>
      <c r="C433" t="b">
        <v>1</v>
      </c>
      <c r="D433">
        <v>8048</v>
      </c>
      <c r="E433">
        <v>8123</v>
      </c>
      <c r="F433">
        <v>6.4</v>
      </c>
      <c r="G433">
        <v>6.4</v>
      </c>
      <c r="H433">
        <v>1</v>
      </c>
      <c r="I433">
        <v>0</v>
      </c>
      <c r="J433">
        <v>0.5</v>
      </c>
    </row>
    <row r="434" spans="1:10" x14ac:dyDescent="0.3">
      <c r="A434">
        <v>432</v>
      </c>
      <c r="B434">
        <v>6876</v>
      </c>
      <c r="C434" t="b">
        <v>1</v>
      </c>
      <c r="D434">
        <v>8048</v>
      </c>
      <c r="E434">
        <v>8117</v>
      </c>
      <c r="F434">
        <v>6.4</v>
      </c>
      <c r="G434">
        <v>6.8</v>
      </c>
      <c r="H434">
        <v>0.94117649999999997</v>
      </c>
      <c r="I434">
        <v>5.8823540000000001E-2</v>
      </c>
      <c r="J434">
        <v>0.51515149999999998</v>
      </c>
    </row>
    <row r="435" spans="1:10" x14ac:dyDescent="0.3">
      <c r="A435">
        <v>433</v>
      </c>
      <c r="B435">
        <v>6891</v>
      </c>
      <c r="C435" t="b">
        <v>1</v>
      </c>
      <c r="D435">
        <v>8048</v>
      </c>
      <c r="E435">
        <v>8129</v>
      </c>
      <c r="F435">
        <v>6.4</v>
      </c>
      <c r="G435">
        <v>7.2</v>
      </c>
      <c r="H435">
        <v>0.88888895999999995</v>
      </c>
      <c r="I435">
        <v>0.111111075</v>
      </c>
      <c r="J435">
        <v>0.52941172999999997</v>
      </c>
    </row>
    <row r="436" spans="1:10" x14ac:dyDescent="0.3">
      <c r="A436">
        <v>434</v>
      </c>
      <c r="B436">
        <v>6907</v>
      </c>
      <c r="C436" t="b">
        <v>1</v>
      </c>
      <c r="D436">
        <v>8048</v>
      </c>
      <c r="E436">
        <v>8134</v>
      </c>
      <c r="F436">
        <v>6.4</v>
      </c>
      <c r="G436">
        <v>7.6</v>
      </c>
      <c r="H436">
        <v>0.84210527000000002</v>
      </c>
      <c r="I436">
        <v>0.15789471999999999</v>
      </c>
      <c r="J436">
        <v>0.54285709999999998</v>
      </c>
    </row>
    <row r="437" spans="1:10" x14ac:dyDescent="0.3">
      <c r="A437">
        <v>435</v>
      </c>
      <c r="B437">
        <v>6923</v>
      </c>
      <c r="C437" t="b">
        <v>1</v>
      </c>
      <c r="D437">
        <v>8048</v>
      </c>
      <c r="E437">
        <v>8123</v>
      </c>
      <c r="F437">
        <v>6.4</v>
      </c>
      <c r="G437">
        <v>8</v>
      </c>
      <c r="H437">
        <v>0.8</v>
      </c>
      <c r="I437">
        <v>0.19999998999999999</v>
      </c>
      <c r="J437">
        <v>0.55555560000000004</v>
      </c>
    </row>
    <row r="438" spans="1:10" x14ac:dyDescent="0.3">
      <c r="A438">
        <v>436</v>
      </c>
      <c r="B438">
        <v>6938</v>
      </c>
      <c r="C438" t="b">
        <v>1</v>
      </c>
      <c r="D438">
        <v>8042</v>
      </c>
      <c r="E438">
        <v>8123</v>
      </c>
      <c r="F438">
        <v>6.4</v>
      </c>
      <c r="G438">
        <v>8</v>
      </c>
      <c r="H438">
        <v>0.8</v>
      </c>
      <c r="I438">
        <v>0.19999998999999999</v>
      </c>
      <c r="J438">
        <v>0.55555560000000004</v>
      </c>
    </row>
    <row r="439" spans="1:10" x14ac:dyDescent="0.3">
      <c r="A439">
        <v>437</v>
      </c>
      <c r="B439">
        <v>6954</v>
      </c>
      <c r="C439" t="b">
        <v>1</v>
      </c>
      <c r="D439">
        <v>8048</v>
      </c>
      <c r="E439">
        <v>8123</v>
      </c>
      <c r="F439">
        <v>6.8</v>
      </c>
      <c r="G439">
        <v>8</v>
      </c>
      <c r="H439">
        <v>0.85</v>
      </c>
      <c r="I439">
        <v>0.14999998</v>
      </c>
      <c r="J439">
        <v>0.54054049999999998</v>
      </c>
    </row>
    <row r="440" spans="1:10" x14ac:dyDescent="0.3">
      <c r="A440">
        <v>438</v>
      </c>
      <c r="B440">
        <v>6970</v>
      </c>
      <c r="C440" t="b">
        <v>1</v>
      </c>
      <c r="D440">
        <v>8048</v>
      </c>
      <c r="E440">
        <v>8123</v>
      </c>
      <c r="F440">
        <v>7.2</v>
      </c>
      <c r="G440">
        <v>8</v>
      </c>
      <c r="H440">
        <v>0.9</v>
      </c>
      <c r="I440">
        <v>0.10000002400000001</v>
      </c>
      <c r="J440">
        <v>0.5263158</v>
      </c>
    </row>
    <row r="441" spans="1:10" x14ac:dyDescent="0.3">
      <c r="A441">
        <v>439</v>
      </c>
      <c r="B441">
        <v>6986</v>
      </c>
      <c r="C441" t="b">
        <v>1</v>
      </c>
      <c r="D441">
        <v>8042</v>
      </c>
      <c r="E441">
        <v>8123</v>
      </c>
      <c r="F441">
        <v>7.6</v>
      </c>
      <c r="G441">
        <v>8</v>
      </c>
      <c r="H441">
        <v>0.95</v>
      </c>
      <c r="I441">
        <v>5.0000012000000003E-2</v>
      </c>
      <c r="J441">
        <v>0.51282050000000001</v>
      </c>
    </row>
    <row r="442" spans="1:10" x14ac:dyDescent="0.3">
      <c r="A442">
        <v>440</v>
      </c>
      <c r="B442">
        <v>7002</v>
      </c>
      <c r="C442" t="b">
        <v>1</v>
      </c>
      <c r="D442">
        <v>8048</v>
      </c>
      <c r="E442">
        <v>8123</v>
      </c>
      <c r="F442">
        <v>8</v>
      </c>
      <c r="G442">
        <v>8</v>
      </c>
      <c r="H442">
        <v>1</v>
      </c>
      <c r="I442">
        <v>0</v>
      </c>
      <c r="J442">
        <v>0.5</v>
      </c>
    </row>
    <row r="443" spans="1:10" x14ac:dyDescent="0.3">
      <c r="A443">
        <v>441</v>
      </c>
      <c r="B443">
        <v>7018</v>
      </c>
      <c r="C443" t="b">
        <v>1</v>
      </c>
      <c r="D443">
        <v>8048</v>
      </c>
      <c r="E443">
        <v>8123</v>
      </c>
      <c r="F443">
        <v>8</v>
      </c>
      <c r="G443">
        <v>8</v>
      </c>
      <c r="H443">
        <v>1</v>
      </c>
      <c r="I443">
        <v>0</v>
      </c>
      <c r="J443">
        <v>0.5</v>
      </c>
    </row>
    <row r="444" spans="1:10" x14ac:dyDescent="0.3">
      <c r="A444">
        <v>442</v>
      </c>
      <c r="B444">
        <v>7034</v>
      </c>
      <c r="C444" t="b">
        <v>1</v>
      </c>
      <c r="D444">
        <v>8042</v>
      </c>
      <c r="E444">
        <v>8123</v>
      </c>
      <c r="F444">
        <v>8</v>
      </c>
      <c r="G444">
        <v>8</v>
      </c>
      <c r="H444">
        <v>1</v>
      </c>
      <c r="I444">
        <v>0</v>
      </c>
      <c r="J444">
        <v>0.5</v>
      </c>
    </row>
    <row r="445" spans="1:10" x14ac:dyDescent="0.3">
      <c r="A445">
        <v>443</v>
      </c>
      <c r="B445">
        <v>7049</v>
      </c>
      <c r="C445" t="b">
        <v>1</v>
      </c>
      <c r="D445">
        <v>8048</v>
      </c>
      <c r="E445">
        <v>8123</v>
      </c>
      <c r="F445">
        <v>8</v>
      </c>
      <c r="G445">
        <v>8</v>
      </c>
      <c r="H445">
        <v>1</v>
      </c>
      <c r="I445">
        <v>0</v>
      </c>
      <c r="J445">
        <v>0.5</v>
      </c>
    </row>
    <row r="446" spans="1:10" x14ac:dyDescent="0.3">
      <c r="A446">
        <v>444</v>
      </c>
      <c r="B446">
        <v>7065</v>
      </c>
      <c r="C446" t="b">
        <v>1</v>
      </c>
      <c r="D446">
        <v>8042</v>
      </c>
      <c r="E446">
        <v>8123</v>
      </c>
      <c r="F446">
        <v>8</v>
      </c>
      <c r="G446">
        <v>8</v>
      </c>
      <c r="H446">
        <v>1</v>
      </c>
      <c r="I446">
        <v>0</v>
      </c>
      <c r="J446">
        <v>0.5</v>
      </c>
    </row>
    <row r="447" spans="1:10" x14ac:dyDescent="0.3">
      <c r="A447">
        <v>445</v>
      </c>
      <c r="B447">
        <v>7081</v>
      </c>
      <c r="C447" t="b">
        <v>1</v>
      </c>
      <c r="D447">
        <v>8048</v>
      </c>
      <c r="E447">
        <v>8129</v>
      </c>
      <c r="F447">
        <v>8</v>
      </c>
      <c r="G447">
        <v>8</v>
      </c>
      <c r="H447">
        <v>1</v>
      </c>
      <c r="I447">
        <v>0</v>
      </c>
      <c r="J447">
        <v>0.5</v>
      </c>
    </row>
    <row r="448" spans="1:10" x14ac:dyDescent="0.3">
      <c r="A448">
        <v>446</v>
      </c>
      <c r="B448">
        <v>7097</v>
      </c>
      <c r="C448" t="b">
        <v>1</v>
      </c>
      <c r="D448">
        <v>8048</v>
      </c>
      <c r="E448">
        <v>8129</v>
      </c>
      <c r="F448">
        <v>8</v>
      </c>
      <c r="G448">
        <v>8</v>
      </c>
      <c r="H448">
        <v>1</v>
      </c>
      <c r="I448">
        <v>0</v>
      </c>
      <c r="J448">
        <v>0.5</v>
      </c>
    </row>
    <row r="449" spans="1:10" x14ac:dyDescent="0.3">
      <c r="A449">
        <v>447</v>
      </c>
      <c r="B449">
        <v>7113</v>
      </c>
      <c r="C449" t="b">
        <v>1</v>
      </c>
      <c r="D449">
        <v>8048</v>
      </c>
      <c r="E449">
        <v>8134</v>
      </c>
      <c r="F449">
        <v>8</v>
      </c>
      <c r="G449">
        <v>8.4</v>
      </c>
      <c r="H449">
        <v>0.95238100000000003</v>
      </c>
      <c r="I449">
        <v>4.7619003999999999E-2</v>
      </c>
      <c r="J449">
        <v>0.51219510000000001</v>
      </c>
    </row>
    <row r="450" spans="1:10" x14ac:dyDescent="0.3">
      <c r="A450">
        <v>448</v>
      </c>
      <c r="B450">
        <v>7129</v>
      </c>
      <c r="C450" t="b">
        <v>1</v>
      </c>
      <c r="D450">
        <v>8048</v>
      </c>
      <c r="E450">
        <v>8129</v>
      </c>
      <c r="F450">
        <v>8</v>
      </c>
      <c r="G450">
        <v>8.8000000000000007</v>
      </c>
      <c r="H450">
        <v>0.90909090000000004</v>
      </c>
      <c r="I450">
        <v>9.0909110000000001E-2</v>
      </c>
      <c r="J450">
        <v>0.52380954999999996</v>
      </c>
    </row>
    <row r="451" spans="1:10" x14ac:dyDescent="0.3">
      <c r="A451">
        <v>449</v>
      </c>
      <c r="B451">
        <v>7145</v>
      </c>
      <c r="C451" t="b">
        <v>1</v>
      </c>
      <c r="D451">
        <v>8054</v>
      </c>
      <c r="E451">
        <v>8123</v>
      </c>
      <c r="F451">
        <v>8</v>
      </c>
      <c r="G451">
        <v>9.1999999999999993</v>
      </c>
      <c r="H451">
        <v>0.86956524999999996</v>
      </c>
      <c r="I451">
        <v>0.13043477000000001</v>
      </c>
      <c r="J451">
        <v>0.53488369999999996</v>
      </c>
    </row>
    <row r="452" spans="1:10" x14ac:dyDescent="0.3">
      <c r="A452">
        <v>450</v>
      </c>
      <c r="B452">
        <v>7160</v>
      </c>
      <c r="C452" t="b">
        <v>1</v>
      </c>
      <c r="D452">
        <v>8048</v>
      </c>
      <c r="E452">
        <v>8129</v>
      </c>
      <c r="F452">
        <v>8</v>
      </c>
      <c r="G452">
        <v>9.6</v>
      </c>
      <c r="H452">
        <v>0.83333330000000005</v>
      </c>
      <c r="I452">
        <v>0.1666667</v>
      </c>
      <c r="J452">
        <v>0.54545456000000003</v>
      </c>
    </row>
    <row r="453" spans="1:10" x14ac:dyDescent="0.3">
      <c r="A453">
        <v>451</v>
      </c>
      <c r="B453">
        <v>7176</v>
      </c>
      <c r="C453" t="b">
        <v>1</v>
      </c>
      <c r="D453">
        <v>8042</v>
      </c>
      <c r="E453">
        <v>8129</v>
      </c>
      <c r="F453">
        <v>8</v>
      </c>
      <c r="G453">
        <v>10</v>
      </c>
      <c r="H453">
        <v>0.8</v>
      </c>
      <c r="I453">
        <v>0.2</v>
      </c>
      <c r="J453">
        <v>0.55555560000000004</v>
      </c>
    </row>
    <row r="454" spans="1:10" x14ac:dyDescent="0.3">
      <c r="A454">
        <v>452</v>
      </c>
      <c r="B454">
        <v>7192</v>
      </c>
      <c r="C454" t="b">
        <v>1</v>
      </c>
      <c r="D454">
        <v>8048</v>
      </c>
      <c r="E454">
        <v>8129</v>
      </c>
      <c r="F454">
        <v>8</v>
      </c>
      <c r="G454">
        <v>10.4</v>
      </c>
      <c r="H454">
        <v>0.76923079999999999</v>
      </c>
      <c r="I454">
        <v>0.23076920000000001</v>
      </c>
      <c r="J454">
        <v>0.56521739999999998</v>
      </c>
    </row>
    <row r="455" spans="1:10" x14ac:dyDescent="0.3">
      <c r="A455">
        <v>453</v>
      </c>
      <c r="B455">
        <v>7208</v>
      </c>
      <c r="C455" t="b">
        <v>1</v>
      </c>
      <c r="D455">
        <v>8048</v>
      </c>
      <c r="E455">
        <v>8123</v>
      </c>
      <c r="F455">
        <v>8</v>
      </c>
      <c r="G455">
        <v>10.8</v>
      </c>
      <c r="H455">
        <v>0.74074070000000003</v>
      </c>
      <c r="I455">
        <v>0.25925927999999998</v>
      </c>
      <c r="J455">
        <v>0.57446814000000002</v>
      </c>
    </row>
    <row r="456" spans="1:10" x14ac:dyDescent="0.3">
      <c r="A456">
        <v>454</v>
      </c>
      <c r="B456">
        <v>7223</v>
      </c>
      <c r="C456" t="b">
        <v>1</v>
      </c>
      <c r="D456">
        <v>8048</v>
      </c>
      <c r="E456">
        <v>8123</v>
      </c>
      <c r="F456">
        <v>8</v>
      </c>
      <c r="G456">
        <v>11.2</v>
      </c>
      <c r="H456">
        <v>0.71428572999999995</v>
      </c>
      <c r="I456">
        <v>0.28571426999999999</v>
      </c>
      <c r="J456">
        <v>0.58333330000000005</v>
      </c>
    </row>
    <row r="457" spans="1:10" x14ac:dyDescent="0.3">
      <c r="A457">
        <v>455</v>
      </c>
      <c r="B457">
        <v>7239</v>
      </c>
      <c r="C457" t="b">
        <v>1</v>
      </c>
      <c r="D457">
        <v>8048</v>
      </c>
      <c r="E457">
        <v>8123</v>
      </c>
      <c r="F457">
        <v>8</v>
      </c>
      <c r="G457">
        <v>11.2</v>
      </c>
      <c r="H457">
        <v>0.71428572999999995</v>
      </c>
      <c r="I457">
        <v>0.28571426999999999</v>
      </c>
      <c r="J457">
        <v>0.58333330000000005</v>
      </c>
    </row>
    <row r="458" spans="1:10" x14ac:dyDescent="0.3">
      <c r="A458">
        <v>456</v>
      </c>
      <c r="B458">
        <v>7254</v>
      </c>
      <c r="C458" t="b">
        <v>1</v>
      </c>
      <c r="D458">
        <v>8048</v>
      </c>
      <c r="E458">
        <v>8123</v>
      </c>
      <c r="F458">
        <v>8</v>
      </c>
      <c r="G458">
        <v>11.2</v>
      </c>
      <c r="H458">
        <v>0.71428572999999995</v>
      </c>
      <c r="I458">
        <v>0.28571426999999999</v>
      </c>
      <c r="J458">
        <v>0.58333330000000005</v>
      </c>
    </row>
    <row r="459" spans="1:10" x14ac:dyDescent="0.3">
      <c r="A459">
        <v>457</v>
      </c>
      <c r="B459">
        <v>7270</v>
      </c>
      <c r="C459" t="b">
        <v>1</v>
      </c>
      <c r="D459">
        <v>8048</v>
      </c>
      <c r="E459">
        <v>8123</v>
      </c>
      <c r="F459">
        <v>8</v>
      </c>
      <c r="G459">
        <v>11.2</v>
      </c>
      <c r="H459">
        <v>0.71428572999999995</v>
      </c>
      <c r="I459">
        <v>0.28571426999999999</v>
      </c>
      <c r="J459">
        <v>0.58333330000000005</v>
      </c>
    </row>
    <row r="460" spans="1:10" x14ac:dyDescent="0.3">
      <c r="A460">
        <v>458</v>
      </c>
      <c r="B460">
        <v>7286</v>
      </c>
      <c r="C460" t="b">
        <v>1</v>
      </c>
      <c r="D460">
        <v>8048</v>
      </c>
      <c r="E460">
        <v>8123</v>
      </c>
      <c r="F460">
        <v>8</v>
      </c>
      <c r="G460">
        <v>11.2</v>
      </c>
      <c r="H460">
        <v>0.71428572999999995</v>
      </c>
      <c r="I460">
        <v>0.28571426999999999</v>
      </c>
      <c r="J460">
        <v>0.58333330000000005</v>
      </c>
    </row>
    <row r="461" spans="1:10" x14ac:dyDescent="0.3">
      <c r="A461">
        <v>459</v>
      </c>
      <c r="B461">
        <v>7302</v>
      </c>
      <c r="C461" t="b">
        <v>1</v>
      </c>
      <c r="D461">
        <v>8048</v>
      </c>
      <c r="E461">
        <v>8123</v>
      </c>
      <c r="F461">
        <v>8</v>
      </c>
      <c r="G461">
        <v>11.2</v>
      </c>
      <c r="H461">
        <v>0.71428572999999995</v>
      </c>
      <c r="I461">
        <v>0.28571426999999999</v>
      </c>
      <c r="J461">
        <v>0.58333330000000005</v>
      </c>
    </row>
    <row r="462" spans="1:10" x14ac:dyDescent="0.3">
      <c r="A462">
        <v>460</v>
      </c>
      <c r="B462">
        <v>7318</v>
      </c>
      <c r="C462" t="b">
        <v>1</v>
      </c>
      <c r="D462">
        <v>8048</v>
      </c>
      <c r="E462">
        <v>8123</v>
      </c>
      <c r="F462">
        <v>8</v>
      </c>
      <c r="G462">
        <v>11.2</v>
      </c>
      <c r="H462">
        <v>0.71428572999999995</v>
      </c>
      <c r="I462">
        <v>0.28571426999999999</v>
      </c>
      <c r="J462">
        <v>0.58333330000000005</v>
      </c>
    </row>
    <row r="463" spans="1:10" x14ac:dyDescent="0.3">
      <c r="A463">
        <v>461</v>
      </c>
      <c r="B463">
        <v>7333</v>
      </c>
      <c r="C463" t="b">
        <v>1</v>
      </c>
      <c r="D463">
        <v>8048</v>
      </c>
      <c r="E463">
        <v>8123</v>
      </c>
      <c r="F463">
        <v>8</v>
      </c>
      <c r="G463">
        <v>11.2</v>
      </c>
      <c r="H463">
        <v>0.71428572999999995</v>
      </c>
      <c r="I463">
        <v>0.28571426999999999</v>
      </c>
      <c r="J463">
        <v>0.58333330000000005</v>
      </c>
    </row>
    <row r="464" spans="1:10" x14ac:dyDescent="0.3">
      <c r="A464">
        <v>462</v>
      </c>
      <c r="B464">
        <v>7349</v>
      </c>
      <c r="C464" t="b">
        <v>1</v>
      </c>
      <c r="D464">
        <v>8048</v>
      </c>
      <c r="E464">
        <v>8129</v>
      </c>
      <c r="F464">
        <v>8</v>
      </c>
      <c r="G464">
        <v>10.8</v>
      </c>
      <c r="H464">
        <v>0.74074070000000003</v>
      </c>
      <c r="I464">
        <v>0.25925927999999998</v>
      </c>
      <c r="J464">
        <v>0.57446814000000002</v>
      </c>
    </row>
    <row r="465" spans="1:10" x14ac:dyDescent="0.3">
      <c r="A465">
        <v>463</v>
      </c>
      <c r="B465">
        <v>7365</v>
      </c>
      <c r="C465" t="b">
        <v>1</v>
      </c>
      <c r="D465">
        <v>8048</v>
      </c>
      <c r="E465">
        <v>8129</v>
      </c>
      <c r="F465">
        <v>8</v>
      </c>
      <c r="G465">
        <v>10.4</v>
      </c>
      <c r="H465">
        <v>0.76923079999999999</v>
      </c>
      <c r="I465">
        <v>0.23076920000000001</v>
      </c>
      <c r="J465">
        <v>0.56521739999999998</v>
      </c>
    </row>
    <row r="466" spans="1:10" x14ac:dyDescent="0.3">
      <c r="A466">
        <v>464</v>
      </c>
      <c r="B466">
        <v>7381</v>
      </c>
      <c r="C466" t="b">
        <v>1</v>
      </c>
      <c r="D466">
        <v>8048</v>
      </c>
      <c r="E466">
        <v>8129</v>
      </c>
      <c r="F466">
        <v>8</v>
      </c>
      <c r="G466">
        <v>10.4</v>
      </c>
      <c r="H466">
        <v>0.76923079999999999</v>
      </c>
      <c r="I466">
        <v>0.23076920000000001</v>
      </c>
      <c r="J466">
        <v>0.56521739999999998</v>
      </c>
    </row>
    <row r="467" spans="1:10" x14ac:dyDescent="0.3">
      <c r="A467">
        <v>465</v>
      </c>
      <c r="B467">
        <v>7397</v>
      </c>
      <c r="C467" t="b">
        <v>1</v>
      </c>
      <c r="D467">
        <v>8048</v>
      </c>
      <c r="E467">
        <v>8123</v>
      </c>
      <c r="F467">
        <v>8</v>
      </c>
      <c r="G467">
        <v>10.4</v>
      </c>
      <c r="H467">
        <v>0.76923079999999999</v>
      </c>
      <c r="I467">
        <v>0.23076920000000001</v>
      </c>
      <c r="J467">
        <v>0.56521739999999998</v>
      </c>
    </row>
    <row r="468" spans="1:10" x14ac:dyDescent="0.3">
      <c r="A468">
        <v>466</v>
      </c>
      <c r="B468">
        <v>7413</v>
      </c>
      <c r="C468" t="b">
        <v>1</v>
      </c>
      <c r="D468">
        <v>8048</v>
      </c>
      <c r="E468">
        <v>8123</v>
      </c>
      <c r="F468">
        <v>8</v>
      </c>
      <c r="G468">
        <v>10.4</v>
      </c>
      <c r="H468">
        <v>0.76923079999999999</v>
      </c>
      <c r="I468">
        <v>0.23076920000000001</v>
      </c>
      <c r="J468">
        <v>0.56521739999999998</v>
      </c>
    </row>
    <row r="469" spans="1:10" x14ac:dyDescent="0.3">
      <c r="A469">
        <v>467</v>
      </c>
      <c r="B469">
        <v>7429</v>
      </c>
      <c r="C469" t="b">
        <v>1</v>
      </c>
      <c r="D469">
        <v>8048</v>
      </c>
      <c r="E469">
        <v>8123</v>
      </c>
      <c r="F469">
        <v>8</v>
      </c>
      <c r="G469">
        <v>10</v>
      </c>
      <c r="H469">
        <v>0.8</v>
      </c>
      <c r="I469">
        <v>0.2</v>
      </c>
      <c r="J469">
        <v>0.55555560000000004</v>
      </c>
    </row>
    <row r="470" spans="1:10" x14ac:dyDescent="0.3">
      <c r="A470">
        <v>468</v>
      </c>
      <c r="B470">
        <v>7445</v>
      </c>
      <c r="C470" t="b">
        <v>1</v>
      </c>
      <c r="D470">
        <v>8048</v>
      </c>
      <c r="E470">
        <v>8123</v>
      </c>
      <c r="F470">
        <v>8</v>
      </c>
      <c r="G470">
        <v>9.6</v>
      </c>
      <c r="H470">
        <v>0.83333330000000005</v>
      </c>
      <c r="I470">
        <v>0.1666667</v>
      </c>
      <c r="J470">
        <v>0.54545456000000003</v>
      </c>
    </row>
    <row r="471" spans="1:10" x14ac:dyDescent="0.3">
      <c r="A471">
        <v>469</v>
      </c>
      <c r="B471">
        <v>7461</v>
      </c>
      <c r="C471" t="b">
        <v>1</v>
      </c>
      <c r="D471">
        <v>8048</v>
      </c>
      <c r="E471">
        <v>8129</v>
      </c>
      <c r="F471">
        <v>8</v>
      </c>
      <c r="G471">
        <v>9.1999999999999993</v>
      </c>
      <c r="H471">
        <v>0.86956524999999996</v>
      </c>
      <c r="I471">
        <v>0.13043477000000001</v>
      </c>
      <c r="J471">
        <v>0.53488369999999996</v>
      </c>
    </row>
    <row r="472" spans="1:10" x14ac:dyDescent="0.3">
      <c r="A472">
        <v>470</v>
      </c>
      <c r="B472">
        <v>7477</v>
      </c>
      <c r="C472" t="b">
        <v>1</v>
      </c>
      <c r="D472">
        <v>8048</v>
      </c>
      <c r="E472">
        <v>8129</v>
      </c>
      <c r="F472">
        <v>8</v>
      </c>
      <c r="G472">
        <v>9.1999999999999993</v>
      </c>
      <c r="H472">
        <v>0.86956524999999996</v>
      </c>
      <c r="I472">
        <v>0.13043477000000001</v>
      </c>
      <c r="J472">
        <v>0.53488369999999996</v>
      </c>
    </row>
    <row r="473" spans="1:10" x14ac:dyDescent="0.3">
      <c r="A473">
        <v>471</v>
      </c>
      <c r="B473">
        <v>7493</v>
      </c>
      <c r="C473" t="b">
        <v>1</v>
      </c>
      <c r="D473">
        <v>8054</v>
      </c>
      <c r="E473">
        <v>8129</v>
      </c>
      <c r="F473">
        <v>8</v>
      </c>
      <c r="G473">
        <v>9.6</v>
      </c>
      <c r="H473">
        <v>0.83333330000000005</v>
      </c>
      <c r="I473">
        <v>0.1666667</v>
      </c>
      <c r="J473">
        <v>0.54545456000000003</v>
      </c>
    </row>
    <row r="474" spans="1:10" x14ac:dyDescent="0.3">
      <c r="A474">
        <v>472</v>
      </c>
      <c r="B474">
        <v>7509</v>
      </c>
      <c r="C474" t="b">
        <v>1</v>
      </c>
      <c r="D474">
        <v>8042</v>
      </c>
      <c r="E474">
        <v>8129</v>
      </c>
      <c r="F474">
        <v>8</v>
      </c>
      <c r="G474">
        <v>10</v>
      </c>
      <c r="H474">
        <v>0.8</v>
      </c>
      <c r="I474">
        <v>0.2</v>
      </c>
      <c r="J474">
        <v>0.55555560000000004</v>
      </c>
    </row>
    <row r="475" spans="1:10" x14ac:dyDescent="0.3">
      <c r="A475">
        <v>473</v>
      </c>
      <c r="B475">
        <v>7525</v>
      </c>
      <c r="C475" t="b">
        <v>1</v>
      </c>
      <c r="D475">
        <v>8042</v>
      </c>
      <c r="E475">
        <v>8123</v>
      </c>
      <c r="F475">
        <v>8</v>
      </c>
      <c r="G475">
        <v>10.4</v>
      </c>
      <c r="H475">
        <v>0.76923079999999999</v>
      </c>
      <c r="I475">
        <v>0.23076920000000001</v>
      </c>
      <c r="J475">
        <v>0.56521739999999998</v>
      </c>
    </row>
    <row r="476" spans="1:10" x14ac:dyDescent="0.3">
      <c r="A476">
        <v>474</v>
      </c>
      <c r="B476">
        <v>7540</v>
      </c>
      <c r="C476" t="b">
        <v>1</v>
      </c>
      <c r="D476">
        <v>8042</v>
      </c>
      <c r="E476">
        <v>8129</v>
      </c>
      <c r="F476">
        <v>7.6</v>
      </c>
      <c r="G476">
        <v>10.8</v>
      </c>
      <c r="H476">
        <v>0.70370370000000004</v>
      </c>
      <c r="I476">
        <v>0.29629633</v>
      </c>
      <c r="J476">
        <v>0.58695655999999996</v>
      </c>
    </row>
    <row r="477" spans="1:10" x14ac:dyDescent="0.3">
      <c r="A477">
        <v>475</v>
      </c>
      <c r="B477">
        <v>7556</v>
      </c>
      <c r="C477" t="b">
        <v>1</v>
      </c>
      <c r="D477">
        <v>8042</v>
      </c>
      <c r="E477">
        <v>8123</v>
      </c>
      <c r="F477">
        <v>7.2</v>
      </c>
      <c r="G477">
        <v>11.2</v>
      </c>
      <c r="H477">
        <v>0.64285713</v>
      </c>
      <c r="I477">
        <v>0.35714287</v>
      </c>
      <c r="J477">
        <v>0.6086956</v>
      </c>
    </row>
    <row r="478" spans="1:10" x14ac:dyDescent="0.3">
      <c r="A478">
        <v>476</v>
      </c>
      <c r="B478">
        <v>7572</v>
      </c>
      <c r="C478" t="b">
        <v>1</v>
      </c>
      <c r="D478">
        <v>8042</v>
      </c>
      <c r="E478">
        <v>8123</v>
      </c>
      <c r="F478">
        <v>6.8</v>
      </c>
      <c r="G478">
        <v>11.2</v>
      </c>
      <c r="H478">
        <v>0.60714287</v>
      </c>
      <c r="I478">
        <v>0.39285710000000001</v>
      </c>
      <c r="J478">
        <v>0.62222219999999995</v>
      </c>
    </row>
    <row r="479" spans="1:10" x14ac:dyDescent="0.3">
      <c r="A479">
        <v>477</v>
      </c>
      <c r="B479">
        <v>7587</v>
      </c>
      <c r="C479" t="b">
        <v>1</v>
      </c>
      <c r="D479">
        <v>8042</v>
      </c>
      <c r="E479">
        <v>8129</v>
      </c>
      <c r="F479">
        <v>6.4</v>
      </c>
      <c r="G479">
        <v>11.2</v>
      </c>
      <c r="H479">
        <v>0.57142859999999995</v>
      </c>
      <c r="I479">
        <v>0.42857139999999999</v>
      </c>
      <c r="J479">
        <v>0.63636360000000003</v>
      </c>
    </row>
    <row r="480" spans="1:10" x14ac:dyDescent="0.3">
      <c r="A480">
        <v>478</v>
      </c>
      <c r="B480">
        <v>7604</v>
      </c>
      <c r="C480" t="b">
        <v>1</v>
      </c>
      <c r="D480">
        <v>8042</v>
      </c>
      <c r="E480">
        <v>8123</v>
      </c>
      <c r="F480">
        <v>6</v>
      </c>
      <c r="G480">
        <v>11.2</v>
      </c>
      <c r="H480">
        <v>0.53571427000000005</v>
      </c>
      <c r="I480">
        <v>0.46428570000000002</v>
      </c>
      <c r="J480">
        <v>0.65116273999999996</v>
      </c>
    </row>
    <row r="481" spans="1:10" x14ac:dyDescent="0.3">
      <c r="A481">
        <v>479</v>
      </c>
      <c r="B481">
        <v>7620</v>
      </c>
      <c r="C481" t="b">
        <v>1</v>
      </c>
      <c r="D481">
        <v>8042</v>
      </c>
      <c r="E481">
        <v>8123</v>
      </c>
      <c r="F481">
        <v>5.6</v>
      </c>
      <c r="G481">
        <v>10.8</v>
      </c>
      <c r="H481">
        <v>0.51851849999999999</v>
      </c>
      <c r="I481">
        <v>0.48148150000000001</v>
      </c>
      <c r="J481">
        <v>0.65853660000000003</v>
      </c>
    </row>
    <row r="482" spans="1:10" x14ac:dyDescent="0.3">
      <c r="A482">
        <v>480</v>
      </c>
      <c r="B482">
        <v>7635</v>
      </c>
      <c r="C482" t="b">
        <v>1</v>
      </c>
      <c r="D482">
        <v>8042</v>
      </c>
      <c r="E482">
        <v>8123</v>
      </c>
      <c r="F482">
        <v>5.2</v>
      </c>
      <c r="G482">
        <v>10.4</v>
      </c>
      <c r="H482">
        <v>0.5</v>
      </c>
      <c r="I482">
        <v>0.5</v>
      </c>
      <c r="J482">
        <v>0.66666669999999995</v>
      </c>
    </row>
    <row r="483" spans="1:10" x14ac:dyDescent="0.3">
      <c r="A483">
        <v>481</v>
      </c>
      <c r="B483">
        <v>7651</v>
      </c>
      <c r="C483" t="b">
        <v>1</v>
      </c>
      <c r="D483">
        <v>8042</v>
      </c>
      <c r="E483">
        <v>8123</v>
      </c>
      <c r="F483">
        <v>4.8</v>
      </c>
      <c r="G483">
        <v>10</v>
      </c>
      <c r="H483">
        <v>0.48000002000000003</v>
      </c>
      <c r="I483">
        <v>0.52</v>
      </c>
      <c r="J483">
        <v>0.67567569999999999</v>
      </c>
    </row>
    <row r="484" spans="1:10" x14ac:dyDescent="0.3">
      <c r="A484">
        <v>482</v>
      </c>
      <c r="B484">
        <v>7667</v>
      </c>
      <c r="C484" t="b">
        <v>1</v>
      </c>
      <c r="D484">
        <v>8048</v>
      </c>
      <c r="E484">
        <v>8123</v>
      </c>
      <c r="F484">
        <v>4.4000000000000004</v>
      </c>
      <c r="G484">
        <v>10</v>
      </c>
      <c r="H484">
        <v>0.44</v>
      </c>
      <c r="I484">
        <v>0.56000000000000005</v>
      </c>
      <c r="J484">
        <v>0.69444450000000002</v>
      </c>
    </row>
    <row r="485" spans="1:10" x14ac:dyDescent="0.3">
      <c r="A485">
        <v>483</v>
      </c>
      <c r="B485">
        <v>7683</v>
      </c>
      <c r="C485" t="b">
        <v>1</v>
      </c>
      <c r="D485">
        <v>8042</v>
      </c>
      <c r="E485">
        <v>8123</v>
      </c>
      <c r="F485">
        <v>4</v>
      </c>
      <c r="G485">
        <v>10</v>
      </c>
      <c r="H485">
        <v>0.4</v>
      </c>
      <c r="I485">
        <v>0.6</v>
      </c>
      <c r="J485">
        <v>0.71428572999999995</v>
      </c>
    </row>
    <row r="486" spans="1:10" x14ac:dyDescent="0.3">
      <c r="A486">
        <v>484</v>
      </c>
      <c r="B486">
        <v>7699</v>
      </c>
      <c r="C486" t="b">
        <v>1</v>
      </c>
      <c r="D486">
        <v>8048</v>
      </c>
      <c r="E486">
        <v>8123</v>
      </c>
      <c r="F486">
        <v>3.6</v>
      </c>
      <c r="G486">
        <v>10</v>
      </c>
      <c r="H486">
        <v>0.35999998</v>
      </c>
      <c r="I486">
        <v>0.64</v>
      </c>
      <c r="J486">
        <v>0.73529409999999995</v>
      </c>
    </row>
    <row r="487" spans="1:10" x14ac:dyDescent="0.3">
      <c r="A487">
        <v>485</v>
      </c>
      <c r="B487">
        <v>7715</v>
      </c>
      <c r="C487" t="b">
        <v>1</v>
      </c>
      <c r="D487">
        <v>8048</v>
      </c>
      <c r="E487">
        <v>8123</v>
      </c>
      <c r="F487">
        <v>3.6</v>
      </c>
      <c r="G487">
        <v>10</v>
      </c>
      <c r="H487">
        <v>0.35999998</v>
      </c>
      <c r="I487">
        <v>0.64</v>
      </c>
      <c r="J487">
        <v>0.73529409999999995</v>
      </c>
    </row>
    <row r="488" spans="1:10" x14ac:dyDescent="0.3">
      <c r="A488">
        <v>486</v>
      </c>
      <c r="B488">
        <v>7731</v>
      </c>
      <c r="C488" t="b">
        <v>1</v>
      </c>
      <c r="D488">
        <v>8048</v>
      </c>
      <c r="E488">
        <v>8123</v>
      </c>
      <c r="F488">
        <v>3.6</v>
      </c>
      <c r="G488">
        <v>9.6</v>
      </c>
      <c r="H488">
        <v>0.37499997000000002</v>
      </c>
      <c r="I488">
        <v>0.625</v>
      </c>
      <c r="J488">
        <v>0.72727269999999999</v>
      </c>
    </row>
    <row r="489" spans="1:10" x14ac:dyDescent="0.3">
      <c r="A489">
        <v>487</v>
      </c>
      <c r="B489">
        <v>7747</v>
      </c>
      <c r="C489" t="b">
        <v>1</v>
      </c>
      <c r="D489">
        <v>8042</v>
      </c>
      <c r="E489">
        <v>8123</v>
      </c>
      <c r="F489">
        <v>3.6</v>
      </c>
      <c r="G489">
        <v>9.1999999999999993</v>
      </c>
      <c r="H489">
        <v>0.39130433999999997</v>
      </c>
      <c r="I489">
        <v>0.6086956</v>
      </c>
      <c r="J489">
        <v>0.71875</v>
      </c>
    </row>
    <row r="490" spans="1:10" x14ac:dyDescent="0.3">
      <c r="A490">
        <v>488</v>
      </c>
      <c r="B490">
        <v>7763</v>
      </c>
      <c r="C490" t="b">
        <v>1</v>
      </c>
      <c r="D490">
        <v>8048</v>
      </c>
      <c r="E490">
        <v>8123</v>
      </c>
      <c r="F490">
        <v>3.6</v>
      </c>
      <c r="G490">
        <v>8.8000000000000007</v>
      </c>
      <c r="H490">
        <v>0.40909087999999999</v>
      </c>
      <c r="I490">
        <v>0.59090909999999996</v>
      </c>
      <c r="J490">
        <v>0.70967745999999998</v>
      </c>
    </row>
    <row r="491" spans="1:10" x14ac:dyDescent="0.3">
      <c r="A491">
        <v>489</v>
      </c>
      <c r="B491">
        <v>7779</v>
      </c>
      <c r="C491" t="b">
        <v>1</v>
      </c>
      <c r="D491">
        <v>8048</v>
      </c>
      <c r="E491">
        <v>8123</v>
      </c>
      <c r="F491">
        <v>4</v>
      </c>
      <c r="G491">
        <v>8.4</v>
      </c>
      <c r="H491">
        <v>0.47619050000000002</v>
      </c>
      <c r="I491">
        <v>0.52380950000000004</v>
      </c>
      <c r="J491">
        <v>0.67741936000000003</v>
      </c>
    </row>
    <row r="492" spans="1:10" x14ac:dyDescent="0.3">
      <c r="A492">
        <v>490</v>
      </c>
      <c r="B492">
        <v>7795</v>
      </c>
      <c r="C492" t="b">
        <v>1</v>
      </c>
      <c r="D492">
        <v>8048</v>
      </c>
      <c r="E492">
        <v>8123</v>
      </c>
      <c r="F492">
        <v>4.4000000000000004</v>
      </c>
      <c r="G492">
        <v>8</v>
      </c>
      <c r="H492">
        <v>0.55000000000000004</v>
      </c>
      <c r="I492">
        <v>0.45</v>
      </c>
      <c r="J492">
        <v>0.64516132999999998</v>
      </c>
    </row>
    <row r="493" spans="1:10" x14ac:dyDescent="0.3">
      <c r="A493">
        <v>491</v>
      </c>
      <c r="B493">
        <v>7811</v>
      </c>
      <c r="C493" t="b">
        <v>1</v>
      </c>
      <c r="D493">
        <v>8048</v>
      </c>
      <c r="E493">
        <v>8129</v>
      </c>
      <c r="F493">
        <v>4.8</v>
      </c>
      <c r="G493">
        <v>8</v>
      </c>
      <c r="H493">
        <v>0.6</v>
      </c>
      <c r="I493">
        <v>0.39999997999999998</v>
      </c>
      <c r="J493">
        <v>0.625</v>
      </c>
    </row>
    <row r="494" spans="1:10" x14ac:dyDescent="0.3">
      <c r="A494">
        <v>492</v>
      </c>
      <c r="B494">
        <v>7826</v>
      </c>
      <c r="C494" t="b">
        <v>1</v>
      </c>
      <c r="D494">
        <v>8054</v>
      </c>
      <c r="E494">
        <v>8123</v>
      </c>
      <c r="F494">
        <v>5.2</v>
      </c>
      <c r="G494">
        <v>8</v>
      </c>
      <c r="H494">
        <v>0.65</v>
      </c>
      <c r="I494">
        <v>0.35000002000000002</v>
      </c>
      <c r="J494">
        <v>0.60606059999999995</v>
      </c>
    </row>
    <row r="495" spans="1:10" x14ac:dyDescent="0.3">
      <c r="A495">
        <v>493</v>
      </c>
      <c r="B495">
        <v>7843</v>
      </c>
      <c r="C495" t="b">
        <v>1</v>
      </c>
      <c r="D495">
        <v>8048</v>
      </c>
      <c r="E495">
        <v>8123</v>
      </c>
      <c r="F495">
        <v>5.6</v>
      </c>
      <c r="G495">
        <v>8</v>
      </c>
      <c r="H495">
        <v>0.7</v>
      </c>
      <c r="I495">
        <v>0.3</v>
      </c>
      <c r="J495">
        <v>0.58823526000000004</v>
      </c>
    </row>
    <row r="496" spans="1:10" x14ac:dyDescent="0.3">
      <c r="A496">
        <v>494</v>
      </c>
      <c r="B496">
        <v>7858</v>
      </c>
      <c r="C496" t="b">
        <v>1</v>
      </c>
      <c r="D496">
        <v>8048</v>
      </c>
      <c r="E496">
        <v>8123</v>
      </c>
      <c r="F496">
        <v>6</v>
      </c>
      <c r="G496">
        <v>8</v>
      </c>
      <c r="H496">
        <v>0.75</v>
      </c>
      <c r="I496">
        <v>0.25</v>
      </c>
      <c r="J496">
        <v>0.57142859999999995</v>
      </c>
    </row>
    <row r="497" spans="1:10" x14ac:dyDescent="0.3">
      <c r="A497">
        <v>495</v>
      </c>
      <c r="B497">
        <v>7874</v>
      </c>
      <c r="C497" t="b">
        <v>1</v>
      </c>
      <c r="D497">
        <v>8048</v>
      </c>
      <c r="E497">
        <v>8129</v>
      </c>
      <c r="F497">
        <v>6.4</v>
      </c>
      <c r="G497">
        <v>8</v>
      </c>
      <c r="H497">
        <v>0.8</v>
      </c>
      <c r="I497">
        <v>0.19999998999999999</v>
      </c>
      <c r="J497">
        <v>0.55555560000000004</v>
      </c>
    </row>
    <row r="498" spans="1:10" x14ac:dyDescent="0.3">
      <c r="A498">
        <v>496</v>
      </c>
      <c r="B498">
        <v>7890</v>
      </c>
      <c r="C498" t="b">
        <v>1</v>
      </c>
      <c r="D498">
        <v>8048</v>
      </c>
      <c r="E498">
        <v>8123</v>
      </c>
      <c r="F498">
        <v>6.8</v>
      </c>
      <c r="G498">
        <v>8</v>
      </c>
      <c r="H498">
        <v>0.85</v>
      </c>
      <c r="I498">
        <v>0.14999998</v>
      </c>
      <c r="J498">
        <v>0.54054049999999998</v>
      </c>
    </row>
    <row r="499" spans="1:10" x14ac:dyDescent="0.3">
      <c r="A499">
        <v>497</v>
      </c>
      <c r="B499">
        <v>7905</v>
      </c>
      <c r="C499" t="b">
        <v>1</v>
      </c>
      <c r="D499">
        <v>8048</v>
      </c>
      <c r="E499">
        <v>8123</v>
      </c>
      <c r="F499">
        <v>7.2</v>
      </c>
      <c r="G499">
        <v>8</v>
      </c>
      <c r="H499">
        <v>0.9</v>
      </c>
      <c r="I499">
        <v>0.10000002400000001</v>
      </c>
      <c r="J499">
        <v>0.5263158</v>
      </c>
    </row>
    <row r="500" spans="1:10" x14ac:dyDescent="0.3">
      <c r="A500">
        <v>498</v>
      </c>
      <c r="B500">
        <v>7921</v>
      </c>
      <c r="C500" t="b">
        <v>1</v>
      </c>
      <c r="D500">
        <v>8048</v>
      </c>
      <c r="E500">
        <v>8123</v>
      </c>
      <c r="F500">
        <v>7.6</v>
      </c>
      <c r="G500">
        <v>8</v>
      </c>
      <c r="H500">
        <v>0.95</v>
      </c>
      <c r="I500">
        <v>5.0000012000000003E-2</v>
      </c>
      <c r="J500">
        <v>0.51282050000000001</v>
      </c>
    </row>
    <row r="501" spans="1:10" x14ac:dyDescent="0.3">
      <c r="A501">
        <v>499</v>
      </c>
      <c r="B501">
        <v>7937</v>
      </c>
      <c r="C501" t="b">
        <v>1</v>
      </c>
      <c r="D501">
        <v>8048</v>
      </c>
      <c r="E501">
        <v>8134</v>
      </c>
      <c r="F501">
        <v>8</v>
      </c>
      <c r="G501">
        <v>8</v>
      </c>
      <c r="H501">
        <v>1</v>
      </c>
      <c r="I501">
        <v>0</v>
      </c>
      <c r="J501">
        <v>0.5</v>
      </c>
    </row>
    <row r="502" spans="1:10" x14ac:dyDescent="0.3">
      <c r="A502">
        <v>500</v>
      </c>
      <c r="B502">
        <v>7953</v>
      </c>
      <c r="C502" t="b">
        <v>1</v>
      </c>
      <c r="D502">
        <v>8048</v>
      </c>
      <c r="E502">
        <v>8123</v>
      </c>
      <c r="F502">
        <v>8</v>
      </c>
      <c r="G502">
        <v>8</v>
      </c>
      <c r="H502">
        <v>1</v>
      </c>
      <c r="I502">
        <v>0</v>
      </c>
      <c r="J502">
        <v>0.5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B637-8E8E-4ED8-B7C6-DCBA0DE51A6A}">
  <dimension ref="A1:J502"/>
  <sheetViews>
    <sheetView topLeftCell="A481" workbookViewId="0">
      <selection activeCell="A2" sqref="A2:J502"/>
    </sheetView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8083</v>
      </c>
      <c r="E2">
        <v>8140</v>
      </c>
      <c r="F2">
        <v>43</v>
      </c>
      <c r="G2">
        <v>25</v>
      </c>
      <c r="H2">
        <v>1.72</v>
      </c>
      <c r="I2">
        <v>-0.72</v>
      </c>
      <c r="J2">
        <v>0.36764704999999998</v>
      </c>
    </row>
    <row r="3" spans="1:10" x14ac:dyDescent="0.3">
      <c r="A3">
        <v>1</v>
      </c>
      <c r="B3">
        <v>27</v>
      </c>
      <c r="C3" t="b">
        <v>1</v>
      </c>
      <c r="D3">
        <v>8088</v>
      </c>
      <c r="E3">
        <v>8140</v>
      </c>
      <c r="F3">
        <v>45.5</v>
      </c>
      <c r="G3">
        <v>25</v>
      </c>
      <c r="H3">
        <v>1.82</v>
      </c>
      <c r="I3">
        <v>-0.82</v>
      </c>
      <c r="J3">
        <v>0.35460994000000001</v>
      </c>
    </row>
    <row r="4" spans="1:10" x14ac:dyDescent="0.3">
      <c r="A4">
        <v>2</v>
      </c>
      <c r="B4">
        <v>43</v>
      </c>
      <c r="C4" t="b">
        <v>1</v>
      </c>
      <c r="D4">
        <v>8088</v>
      </c>
      <c r="E4">
        <v>8146</v>
      </c>
      <c r="F4">
        <v>46.333331999999999</v>
      </c>
      <c r="G4">
        <v>25</v>
      </c>
      <c r="H4">
        <v>1.8533332</v>
      </c>
      <c r="I4">
        <v>-0.85333329999999996</v>
      </c>
      <c r="J4">
        <v>0.35046732000000003</v>
      </c>
    </row>
    <row r="5" spans="1:10" x14ac:dyDescent="0.3">
      <c r="A5">
        <v>3</v>
      </c>
      <c r="B5">
        <v>59</v>
      </c>
      <c r="C5" t="b">
        <v>1</v>
      </c>
      <c r="D5">
        <v>8083</v>
      </c>
      <c r="E5">
        <v>8140</v>
      </c>
      <c r="F5">
        <v>46.75</v>
      </c>
      <c r="G5">
        <v>25</v>
      </c>
      <c r="H5">
        <v>1.87</v>
      </c>
      <c r="I5">
        <v>-0.87</v>
      </c>
      <c r="J5">
        <v>0.34843205999999999</v>
      </c>
    </row>
    <row r="6" spans="1:10" x14ac:dyDescent="0.3">
      <c r="A6">
        <v>4</v>
      </c>
      <c r="B6">
        <v>75</v>
      </c>
      <c r="C6" t="b">
        <v>1</v>
      </c>
      <c r="D6">
        <v>8077</v>
      </c>
      <c r="E6">
        <v>8134</v>
      </c>
      <c r="F6">
        <v>46</v>
      </c>
      <c r="G6">
        <v>25</v>
      </c>
      <c r="H6">
        <v>1.84</v>
      </c>
      <c r="I6">
        <v>-0.84</v>
      </c>
      <c r="J6">
        <v>0.35211268000000001</v>
      </c>
    </row>
    <row r="7" spans="1:10" x14ac:dyDescent="0.3">
      <c r="A7">
        <v>5</v>
      </c>
      <c r="B7">
        <v>90</v>
      </c>
      <c r="C7" t="b">
        <v>1</v>
      </c>
      <c r="D7">
        <v>8088</v>
      </c>
      <c r="E7">
        <v>8140</v>
      </c>
      <c r="F7">
        <v>46.333331999999999</v>
      </c>
      <c r="G7">
        <v>25</v>
      </c>
      <c r="H7">
        <v>1.8533332</v>
      </c>
      <c r="I7">
        <v>-0.85333329999999996</v>
      </c>
      <c r="J7">
        <v>0.35046732000000003</v>
      </c>
    </row>
    <row r="8" spans="1:10" x14ac:dyDescent="0.3">
      <c r="A8">
        <v>6</v>
      </c>
      <c r="B8">
        <v>106</v>
      </c>
      <c r="C8" t="b">
        <v>1</v>
      </c>
      <c r="D8">
        <v>8088</v>
      </c>
      <c r="E8">
        <v>8140</v>
      </c>
      <c r="F8">
        <v>46.571429999999999</v>
      </c>
      <c r="G8">
        <v>25</v>
      </c>
      <c r="H8">
        <v>1.8628572000000001</v>
      </c>
      <c r="I8">
        <v>-0.86285719999999999</v>
      </c>
      <c r="J8">
        <v>0.34930139999999998</v>
      </c>
    </row>
    <row r="9" spans="1:10" x14ac:dyDescent="0.3">
      <c r="A9">
        <v>7</v>
      </c>
      <c r="B9">
        <v>122</v>
      </c>
      <c r="C9" t="b">
        <v>1</v>
      </c>
      <c r="D9">
        <v>8088</v>
      </c>
      <c r="E9">
        <v>8140</v>
      </c>
      <c r="F9">
        <v>46.75</v>
      </c>
      <c r="G9">
        <v>25</v>
      </c>
      <c r="H9">
        <v>1.87</v>
      </c>
      <c r="I9">
        <v>-0.87</v>
      </c>
      <c r="J9">
        <v>0.34843205999999999</v>
      </c>
    </row>
    <row r="10" spans="1:10" x14ac:dyDescent="0.3">
      <c r="A10">
        <v>8</v>
      </c>
      <c r="B10">
        <v>138</v>
      </c>
      <c r="C10" t="b">
        <v>1</v>
      </c>
      <c r="D10">
        <v>8083</v>
      </c>
      <c r="E10">
        <v>8140</v>
      </c>
      <c r="F10">
        <v>46.888890000000004</v>
      </c>
      <c r="G10">
        <v>25</v>
      </c>
      <c r="H10">
        <v>1.8755554999999999</v>
      </c>
      <c r="I10">
        <v>-0.87555559999999999</v>
      </c>
      <c r="J10">
        <v>0.34775889999999998</v>
      </c>
    </row>
    <row r="11" spans="1:10" x14ac:dyDescent="0.3">
      <c r="A11">
        <v>9</v>
      </c>
      <c r="B11">
        <v>154</v>
      </c>
      <c r="C11" t="b">
        <v>1</v>
      </c>
      <c r="D11">
        <v>8088</v>
      </c>
      <c r="E11">
        <v>8134</v>
      </c>
      <c r="F11">
        <v>47</v>
      </c>
      <c r="G11">
        <v>25</v>
      </c>
      <c r="H11">
        <v>1.88</v>
      </c>
      <c r="I11">
        <v>-0.88</v>
      </c>
      <c r="J11">
        <v>0.34722219999999998</v>
      </c>
    </row>
    <row r="12" spans="1:10" x14ac:dyDescent="0.3">
      <c r="A12">
        <v>10</v>
      </c>
      <c r="B12">
        <v>170</v>
      </c>
      <c r="C12" t="b">
        <v>1</v>
      </c>
      <c r="D12">
        <v>8088</v>
      </c>
      <c r="E12">
        <v>8140</v>
      </c>
      <c r="F12">
        <v>47.090907999999999</v>
      </c>
      <c r="G12">
        <v>25</v>
      </c>
      <c r="H12">
        <v>1.8836364000000001</v>
      </c>
      <c r="I12">
        <v>-0.88363630000000004</v>
      </c>
      <c r="J12">
        <v>0.34678435000000002</v>
      </c>
    </row>
    <row r="13" spans="1:10" x14ac:dyDescent="0.3">
      <c r="A13">
        <v>11</v>
      </c>
      <c r="B13">
        <v>186</v>
      </c>
      <c r="C13" t="b">
        <v>1</v>
      </c>
      <c r="D13">
        <v>8094</v>
      </c>
      <c r="E13">
        <v>8146</v>
      </c>
      <c r="F13">
        <v>47.166668000000001</v>
      </c>
      <c r="G13">
        <v>25</v>
      </c>
      <c r="H13">
        <v>1.8866668</v>
      </c>
      <c r="I13">
        <v>-0.88666670000000003</v>
      </c>
      <c r="J13">
        <v>0.34642030000000001</v>
      </c>
    </row>
    <row r="14" spans="1:10" x14ac:dyDescent="0.3">
      <c r="A14">
        <v>12</v>
      </c>
      <c r="B14">
        <v>202</v>
      </c>
      <c r="C14" t="b">
        <v>1</v>
      </c>
      <c r="D14">
        <v>8083</v>
      </c>
      <c r="E14">
        <v>8146</v>
      </c>
      <c r="F14">
        <v>47.23077</v>
      </c>
      <c r="G14">
        <v>25</v>
      </c>
      <c r="H14">
        <v>1.8892308</v>
      </c>
      <c r="I14">
        <v>-0.88923079999999999</v>
      </c>
      <c r="J14">
        <v>0.34611288000000001</v>
      </c>
    </row>
    <row r="15" spans="1:10" x14ac:dyDescent="0.3">
      <c r="A15">
        <v>13</v>
      </c>
      <c r="B15">
        <v>218</v>
      </c>
      <c r="C15" t="b">
        <v>1</v>
      </c>
      <c r="D15">
        <v>8088</v>
      </c>
      <c r="E15">
        <v>8140</v>
      </c>
      <c r="F15">
        <v>47.285713000000001</v>
      </c>
      <c r="G15">
        <v>25</v>
      </c>
      <c r="H15">
        <v>1.8914285</v>
      </c>
      <c r="I15">
        <v>-0.89142853</v>
      </c>
      <c r="J15">
        <v>0.34584979999999999</v>
      </c>
    </row>
    <row r="16" spans="1:10" x14ac:dyDescent="0.3">
      <c r="A16">
        <v>14</v>
      </c>
      <c r="B16">
        <v>250</v>
      </c>
      <c r="C16" t="b">
        <v>1</v>
      </c>
      <c r="D16">
        <v>8094</v>
      </c>
      <c r="E16">
        <v>8134</v>
      </c>
      <c r="F16">
        <v>47.333331999999999</v>
      </c>
      <c r="G16">
        <v>25</v>
      </c>
      <c r="H16">
        <v>1.8933333000000001</v>
      </c>
      <c r="I16">
        <v>-0.89333326000000002</v>
      </c>
      <c r="J16">
        <v>0.34562215000000002</v>
      </c>
    </row>
    <row r="17" spans="1:10" x14ac:dyDescent="0.3">
      <c r="A17">
        <v>15</v>
      </c>
      <c r="B17">
        <v>266</v>
      </c>
      <c r="C17" t="b">
        <v>1</v>
      </c>
      <c r="D17">
        <v>8088</v>
      </c>
      <c r="E17">
        <v>8140</v>
      </c>
      <c r="F17">
        <v>47.666668000000001</v>
      </c>
      <c r="G17">
        <v>25</v>
      </c>
      <c r="H17">
        <v>1.9066668</v>
      </c>
      <c r="I17">
        <v>-0.90666670000000005</v>
      </c>
      <c r="J17">
        <v>0.34403666999999999</v>
      </c>
    </row>
    <row r="18" spans="1:10" x14ac:dyDescent="0.3">
      <c r="A18">
        <v>16</v>
      </c>
      <c r="B18">
        <v>281</v>
      </c>
      <c r="C18" t="b">
        <v>1</v>
      </c>
      <c r="D18">
        <v>8088</v>
      </c>
      <c r="E18">
        <v>8140</v>
      </c>
      <c r="F18">
        <v>47.666668000000001</v>
      </c>
      <c r="G18">
        <v>25</v>
      </c>
      <c r="H18">
        <v>1.9066668</v>
      </c>
      <c r="I18">
        <v>-0.90666670000000005</v>
      </c>
      <c r="J18">
        <v>0.34403666999999999</v>
      </c>
    </row>
    <row r="19" spans="1:10" x14ac:dyDescent="0.3">
      <c r="A19">
        <v>17</v>
      </c>
      <c r="B19">
        <v>297</v>
      </c>
      <c r="C19" t="b">
        <v>1</v>
      </c>
      <c r="D19">
        <v>8088</v>
      </c>
      <c r="E19">
        <v>8140</v>
      </c>
      <c r="F19">
        <v>47.666668000000001</v>
      </c>
      <c r="G19">
        <v>25</v>
      </c>
      <c r="H19">
        <v>1.9066668</v>
      </c>
      <c r="I19">
        <v>-0.90666670000000005</v>
      </c>
      <c r="J19">
        <v>0.34403666999999999</v>
      </c>
    </row>
    <row r="20" spans="1:10" x14ac:dyDescent="0.3">
      <c r="A20">
        <v>18</v>
      </c>
      <c r="B20">
        <v>313</v>
      </c>
      <c r="C20" t="b">
        <v>1</v>
      </c>
      <c r="D20">
        <v>8083</v>
      </c>
      <c r="E20">
        <v>8140</v>
      </c>
      <c r="F20">
        <v>47.666668000000001</v>
      </c>
      <c r="G20">
        <v>25</v>
      </c>
      <c r="H20">
        <v>1.9066668</v>
      </c>
      <c r="I20">
        <v>-0.90666670000000005</v>
      </c>
      <c r="J20">
        <v>0.34403666999999999</v>
      </c>
    </row>
    <row r="21" spans="1:10" x14ac:dyDescent="0.3">
      <c r="A21">
        <v>19</v>
      </c>
      <c r="B21">
        <v>329</v>
      </c>
      <c r="C21" t="b">
        <v>1</v>
      </c>
      <c r="D21">
        <v>8094</v>
      </c>
      <c r="E21">
        <v>8140</v>
      </c>
      <c r="F21">
        <v>48</v>
      </c>
      <c r="G21">
        <v>25</v>
      </c>
      <c r="H21">
        <v>1.92</v>
      </c>
      <c r="I21">
        <v>-0.92</v>
      </c>
      <c r="J21">
        <v>0.34246576000000001</v>
      </c>
    </row>
    <row r="22" spans="1:10" x14ac:dyDescent="0.3">
      <c r="A22">
        <v>20</v>
      </c>
      <c r="B22">
        <v>345</v>
      </c>
      <c r="C22" t="b">
        <v>1</v>
      </c>
      <c r="D22">
        <v>8071</v>
      </c>
      <c r="E22">
        <v>8140</v>
      </c>
      <c r="F22">
        <v>48</v>
      </c>
      <c r="G22">
        <v>25</v>
      </c>
      <c r="H22">
        <v>1.92</v>
      </c>
      <c r="I22">
        <v>-0.92</v>
      </c>
      <c r="J22">
        <v>0.34246576000000001</v>
      </c>
    </row>
    <row r="23" spans="1:10" x14ac:dyDescent="0.3">
      <c r="A23">
        <v>21</v>
      </c>
      <c r="B23">
        <v>361</v>
      </c>
      <c r="C23" t="b">
        <v>1</v>
      </c>
      <c r="D23">
        <v>8077</v>
      </c>
      <c r="E23">
        <v>8146</v>
      </c>
      <c r="F23">
        <v>47.666668000000001</v>
      </c>
      <c r="G23">
        <v>25</v>
      </c>
      <c r="H23">
        <v>1.9066668</v>
      </c>
      <c r="I23">
        <v>-0.90666670000000005</v>
      </c>
      <c r="J23">
        <v>0.34403666999999999</v>
      </c>
    </row>
    <row r="24" spans="1:10" x14ac:dyDescent="0.3">
      <c r="A24">
        <v>22</v>
      </c>
      <c r="B24">
        <v>376</v>
      </c>
      <c r="C24" t="b">
        <v>1</v>
      </c>
      <c r="D24">
        <v>8083</v>
      </c>
      <c r="E24">
        <v>8140</v>
      </c>
      <c r="F24">
        <v>47.333331999999999</v>
      </c>
      <c r="G24">
        <v>25</v>
      </c>
      <c r="H24">
        <v>1.8933333000000001</v>
      </c>
      <c r="I24">
        <v>-0.89333326000000002</v>
      </c>
      <c r="J24">
        <v>0.34562215000000002</v>
      </c>
    </row>
    <row r="25" spans="1:10" x14ac:dyDescent="0.3">
      <c r="A25">
        <v>23</v>
      </c>
      <c r="B25">
        <v>392</v>
      </c>
      <c r="C25" t="b">
        <v>1</v>
      </c>
      <c r="D25">
        <v>8083</v>
      </c>
      <c r="E25">
        <v>8140</v>
      </c>
      <c r="F25">
        <v>47</v>
      </c>
      <c r="G25">
        <v>25</v>
      </c>
      <c r="H25">
        <v>1.88</v>
      </c>
      <c r="I25">
        <v>-0.88</v>
      </c>
      <c r="J25">
        <v>0.34722219999999998</v>
      </c>
    </row>
    <row r="26" spans="1:10" x14ac:dyDescent="0.3">
      <c r="A26">
        <v>24</v>
      </c>
      <c r="B26">
        <v>408</v>
      </c>
      <c r="C26" t="b">
        <v>1</v>
      </c>
      <c r="D26">
        <v>8083</v>
      </c>
      <c r="E26">
        <v>8129</v>
      </c>
      <c r="F26">
        <v>46.666668000000001</v>
      </c>
      <c r="G26">
        <v>25</v>
      </c>
      <c r="H26">
        <v>1.8666666999999999</v>
      </c>
      <c r="I26">
        <v>-0.86666673000000005</v>
      </c>
      <c r="J26">
        <v>0.34883720000000001</v>
      </c>
    </row>
    <row r="27" spans="1:10" x14ac:dyDescent="0.3">
      <c r="A27">
        <v>25</v>
      </c>
      <c r="B27">
        <v>424</v>
      </c>
      <c r="C27" t="b">
        <v>1</v>
      </c>
      <c r="D27">
        <v>8083</v>
      </c>
      <c r="E27">
        <v>8134</v>
      </c>
      <c r="F27">
        <v>46.333331999999999</v>
      </c>
      <c r="G27">
        <v>25</v>
      </c>
      <c r="H27">
        <v>1.8533332</v>
      </c>
      <c r="I27">
        <v>-0.85333329999999996</v>
      </c>
      <c r="J27">
        <v>0.35046732000000003</v>
      </c>
    </row>
    <row r="28" spans="1:10" x14ac:dyDescent="0.3">
      <c r="A28">
        <v>26</v>
      </c>
      <c r="B28">
        <v>440</v>
      </c>
      <c r="C28" t="b">
        <v>1</v>
      </c>
      <c r="D28">
        <v>8077</v>
      </c>
      <c r="E28">
        <v>8129</v>
      </c>
      <c r="F28">
        <v>46</v>
      </c>
      <c r="G28">
        <v>24.6</v>
      </c>
      <c r="H28">
        <v>1.8699186999999999</v>
      </c>
      <c r="I28">
        <v>-0.86991863999999997</v>
      </c>
      <c r="J28">
        <v>0.34844193000000001</v>
      </c>
    </row>
    <row r="29" spans="1:10" x14ac:dyDescent="0.3">
      <c r="A29">
        <v>27</v>
      </c>
      <c r="B29">
        <v>456</v>
      </c>
      <c r="C29" t="b">
        <v>1</v>
      </c>
      <c r="D29">
        <v>8065</v>
      </c>
      <c r="E29">
        <v>8129</v>
      </c>
      <c r="F29">
        <v>45.666668000000001</v>
      </c>
      <c r="G29">
        <v>23.866667</v>
      </c>
      <c r="H29">
        <v>1.9134078999999999</v>
      </c>
      <c r="I29">
        <v>-0.91340785999999996</v>
      </c>
      <c r="J29">
        <v>0.34324064999999998</v>
      </c>
    </row>
    <row r="30" spans="1:10" x14ac:dyDescent="0.3">
      <c r="A30">
        <v>28</v>
      </c>
      <c r="B30">
        <v>472</v>
      </c>
      <c r="C30" t="b">
        <v>1</v>
      </c>
      <c r="D30">
        <v>8083</v>
      </c>
      <c r="E30">
        <v>8129</v>
      </c>
      <c r="F30">
        <v>45.333331999999999</v>
      </c>
      <c r="G30">
        <v>23.133333</v>
      </c>
      <c r="H30">
        <v>1.9596541000000001</v>
      </c>
      <c r="I30">
        <v>-0.95965414999999998</v>
      </c>
      <c r="J30">
        <v>0.33787729999999999</v>
      </c>
    </row>
    <row r="31" spans="1:10" x14ac:dyDescent="0.3">
      <c r="A31">
        <v>29</v>
      </c>
      <c r="B31">
        <v>487</v>
      </c>
      <c r="C31" t="b">
        <v>1</v>
      </c>
      <c r="D31">
        <v>8083</v>
      </c>
      <c r="E31">
        <v>8134</v>
      </c>
      <c r="F31">
        <v>45</v>
      </c>
      <c r="G31">
        <v>22.4</v>
      </c>
      <c r="H31">
        <v>2.0089285000000001</v>
      </c>
      <c r="I31">
        <v>-1.0089287</v>
      </c>
      <c r="J31">
        <v>0.33234419999999998</v>
      </c>
    </row>
    <row r="32" spans="1:10" x14ac:dyDescent="0.3">
      <c r="A32">
        <v>30</v>
      </c>
      <c r="B32">
        <v>503</v>
      </c>
      <c r="C32" t="b">
        <v>1</v>
      </c>
      <c r="D32">
        <v>8071</v>
      </c>
      <c r="E32">
        <v>8140</v>
      </c>
      <c r="F32">
        <v>44.266666000000001</v>
      </c>
      <c r="G32">
        <v>21.666665999999999</v>
      </c>
      <c r="H32">
        <v>2.0430769999999998</v>
      </c>
      <c r="I32">
        <v>-1.043077</v>
      </c>
      <c r="J32">
        <v>0.32861474000000002</v>
      </c>
    </row>
    <row r="33" spans="1:10" x14ac:dyDescent="0.3">
      <c r="A33">
        <v>31</v>
      </c>
      <c r="B33">
        <v>519</v>
      </c>
      <c r="C33" t="b">
        <v>1</v>
      </c>
      <c r="D33">
        <v>8077</v>
      </c>
      <c r="E33">
        <v>8146</v>
      </c>
      <c r="F33">
        <v>43.533332999999999</v>
      </c>
      <c r="G33">
        <v>21.266666000000001</v>
      </c>
      <c r="H33">
        <v>2.0470218999999998</v>
      </c>
      <c r="I33">
        <v>-1.0470219999999999</v>
      </c>
      <c r="J33">
        <v>0.32818928000000003</v>
      </c>
    </row>
    <row r="34" spans="1:10" x14ac:dyDescent="0.3">
      <c r="A34">
        <v>32</v>
      </c>
      <c r="B34">
        <v>535</v>
      </c>
      <c r="C34" t="b">
        <v>1</v>
      </c>
      <c r="D34">
        <v>8077</v>
      </c>
      <c r="E34">
        <v>8146</v>
      </c>
      <c r="F34">
        <v>42.8</v>
      </c>
      <c r="G34">
        <v>21.266666000000001</v>
      </c>
      <c r="H34">
        <v>2.0125391000000001</v>
      </c>
      <c r="I34">
        <v>-1.0125390999999999</v>
      </c>
      <c r="J34">
        <v>0.33194590000000002</v>
      </c>
    </row>
    <row r="35" spans="1:10" x14ac:dyDescent="0.3">
      <c r="A35">
        <v>33</v>
      </c>
      <c r="B35">
        <v>551</v>
      </c>
      <c r="C35" t="b">
        <v>1</v>
      </c>
      <c r="D35">
        <v>8083</v>
      </c>
      <c r="E35">
        <v>8140</v>
      </c>
      <c r="F35">
        <v>42.066665999999998</v>
      </c>
      <c r="G35">
        <v>21.266666000000001</v>
      </c>
      <c r="H35">
        <v>1.9780564</v>
      </c>
      <c r="I35">
        <v>-0.97805642999999998</v>
      </c>
      <c r="J35">
        <v>0.33578946999999998</v>
      </c>
    </row>
    <row r="36" spans="1:10" x14ac:dyDescent="0.3">
      <c r="A36">
        <v>34</v>
      </c>
      <c r="B36">
        <v>567</v>
      </c>
      <c r="C36" t="b">
        <v>1</v>
      </c>
      <c r="D36">
        <v>8083</v>
      </c>
      <c r="E36">
        <v>8146</v>
      </c>
      <c r="F36">
        <v>41.333331999999999</v>
      </c>
      <c r="G36">
        <v>21.666665999999999</v>
      </c>
      <c r="H36">
        <v>1.9076922999999999</v>
      </c>
      <c r="I36">
        <v>-0.90769230000000001</v>
      </c>
      <c r="J36">
        <v>0.34391534000000001</v>
      </c>
    </row>
    <row r="37" spans="1:10" x14ac:dyDescent="0.3">
      <c r="A37">
        <v>35</v>
      </c>
      <c r="B37">
        <v>583</v>
      </c>
      <c r="C37" t="b">
        <v>1</v>
      </c>
      <c r="D37">
        <v>8088</v>
      </c>
      <c r="E37">
        <v>8146</v>
      </c>
      <c r="F37">
        <v>41</v>
      </c>
      <c r="G37">
        <v>22.066668</v>
      </c>
      <c r="H37">
        <v>1.858006</v>
      </c>
      <c r="I37">
        <v>-0.85800593999999997</v>
      </c>
      <c r="J37">
        <v>0.34989431999999998</v>
      </c>
    </row>
    <row r="38" spans="1:10" x14ac:dyDescent="0.3">
      <c r="A38">
        <v>36</v>
      </c>
      <c r="B38">
        <v>599</v>
      </c>
      <c r="C38" t="b">
        <v>1</v>
      </c>
      <c r="D38">
        <v>8077</v>
      </c>
      <c r="E38">
        <v>8140</v>
      </c>
      <c r="F38">
        <v>41</v>
      </c>
      <c r="G38">
        <v>22.466667000000001</v>
      </c>
      <c r="H38">
        <v>1.8249257999999999</v>
      </c>
      <c r="I38">
        <v>-0.82492580000000004</v>
      </c>
      <c r="J38">
        <v>0.35399160000000002</v>
      </c>
    </row>
    <row r="39" spans="1:10" x14ac:dyDescent="0.3">
      <c r="A39">
        <v>37</v>
      </c>
      <c r="B39">
        <v>615</v>
      </c>
      <c r="C39" t="b">
        <v>1</v>
      </c>
      <c r="D39">
        <v>8088</v>
      </c>
      <c r="E39">
        <v>8134</v>
      </c>
      <c r="F39">
        <v>41</v>
      </c>
      <c r="G39">
        <v>22.466667000000001</v>
      </c>
      <c r="H39">
        <v>1.8249257999999999</v>
      </c>
      <c r="I39">
        <v>-0.82492580000000004</v>
      </c>
      <c r="J39">
        <v>0.35399160000000002</v>
      </c>
    </row>
    <row r="40" spans="1:10" x14ac:dyDescent="0.3">
      <c r="A40">
        <v>38</v>
      </c>
      <c r="B40">
        <v>631</v>
      </c>
      <c r="C40" t="b">
        <v>1</v>
      </c>
      <c r="D40">
        <v>8094</v>
      </c>
      <c r="E40">
        <v>8134</v>
      </c>
      <c r="F40">
        <v>41.333331999999999</v>
      </c>
      <c r="G40">
        <v>22.466667000000001</v>
      </c>
      <c r="H40">
        <v>1.8397626</v>
      </c>
      <c r="I40">
        <v>-0.83976249999999997</v>
      </c>
      <c r="J40">
        <v>0.35214213</v>
      </c>
    </row>
    <row r="41" spans="1:10" x14ac:dyDescent="0.3">
      <c r="A41">
        <v>39</v>
      </c>
      <c r="B41">
        <v>647</v>
      </c>
      <c r="C41" t="b">
        <v>1</v>
      </c>
      <c r="D41">
        <v>8088</v>
      </c>
      <c r="E41">
        <v>8134</v>
      </c>
      <c r="F41">
        <v>41.666668000000001</v>
      </c>
      <c r="G41">
        <v>22.066668</v>
      </c>
      <c r="H41">
        <v>1.8882174</v>
      </c>
      <c r="I41">
        <v>-0.88821749999999999</v>
      </c>
      <c r="J41">
        <v>0.34623429999999999</v>
      </c>
    </row>
    <row r="42" spans="1:10" x14ac:dyDescent="0.3">
      <c r="A42">
        <v>40</v>
      </c>
      <c r="B42">
        <v>663</v>
      </c>
      <c r="C42" t="b">
        <v>1</v>
      </c>
      <c r="D42">
        <v>8077</v>
      </c>
      <c r="E42">
        <v>8134</v>
      </c>
      <c r="F42">
        <v>42</v>
      </c>
      <c r="G42">
        <v>21.666665999999999</v>
      </c>
      <c r="H42">
        <v>1.9384615000000001</v>
      </c>
      <c r="I42">
        <v>-0.93846160000000001</v>
      </c>
      <c r="J42">
        <v>0.34031414999999998</v>
      </c>
    </row>
    <row r="43" spans="1:10" x14ac:dyDescent="0.3">
      <c r="A43">
        <v>41</v>
      </c>
      <c r="B43">
        <v>679</v>
      </c>
      <c r="C43" t="b">
        <v>1</v>
      </c>
      <c r="D43">
        <v>8077</v>
      </c>
      <c r="E43">
        <v>8140</v>
      </c>
      <c r="F43">
        <v>42.333331999999999</v>
      </c>
      <c r="G43">
        <v>21.666665999999999</v>
      </c>
      <c r="H43">
        <v>1.9538461</v>
      </c>
      <c r="I43">
        <v>-0.95384616</v>
      </c>
      <c r="J43">
        <v>0.33854166000000002</v>
      </c>
    </row>
    <row r="44" spans="1:10" x14ac:dyDescent="0.3">
      <c r="A44">
        <v>42</v>
      </c>
      <c r="B44">
        <v>695</v>
      </c>
      <c r="C44" t="b">
        <v>1</v>
      </c>
      <c r="D44">
        <v>8077</v>
      </c>
      <c r="E44">
        <v>8134</v>
      </c>
      <c r="F44">
        <v>41.933334000000002</v>
      </c>
      <c r="G44">
        <v>22</v>
      </c>
      <c r="H44">
        <v>1.9060607000000001</v>
      </c>
      <c r="I44">
        <v>-0.90606063999999997</v>
      </c>
      <c r="J44">
        <v>0.34410843000000002</v>
      </c>
    </row>
    <row r="45" spans="1:10" x14ac:dyDescent="0.3">
      <c r="A45">
        <v>43</v>
      </c>
      <c r="B45">
        <v>710</v>
      </c>
      <c r="C45" t="b">
        <v>1</v>
      </c>
      <c r="D45">
        <v>8083</v>
      </c>
      <c r="E45">
        <v>8146</v>
      </c>
      <c r="F45">
        <v>41.533332999999999</v>
      </c>
      <c r="G45">
        <v>22.333334000000001</v>
      </c>
      <c r="H45">
        <v>1.8597014000000001</v>
      </c>
      <c r="I45">
        <v>-0.85970139999999995</v>
      </c>
      <c r="J45">
        <v>0.34968685999999999</v>
      </c>
    </row>
    <row r="46" spans="1:10" x14ac:dyDescent="0.3">
      <c r="A46">
        <v>44</v>
      </c>
      <c r="B46">
        <v>726</v>
      </c>
      <c r="C46" t="b">
        <v>1</v>
      </c>
      <c r="D46">
        <v>8094</v>
      </c>
      <c r="E46">
        <v>8140</v>
      </c>
      <c r="F46">
        <v>41.133335000000002</v>
      </c>
      <c r="G46">
        <v>23.066668</v>
      </c>
      <c r="H46">
        <v>1.783237</v>
      </c>
      <c r="I46">
        <v>-0.78323699999999996</v>
      </c>
      <c r="J46">
        <v>0.35929385000000003</v>
      </c>
    </row>
    <row r="47" spans="1:10" x14ac:dyDescent="0.3">
      <c r="A47">
        <v>45</v>
      </c>
      <c r="B47">
        <v>742</v>
      </c>
      <c r="C47" t="b">
        <v>1</v>
      </c>
      <c r="D47">
        <v>8094</v>
      </c>
      <c r="E47">
        <v>8140</v>
      </c>
      <c r="F47">
        <v>41.533332999999999</v>
      </c>
      <c r="G47">
        <v>23.8</v>
      </c>
      <c r="H47">
        <v>1.7450981000000001</v>
      </c>
      <c r="I47">
        <v>-0.74509804999999996</v>
      </c>
      <c r="J47">
        <v>0.36428574000000002</v>
      </c>
    </row>
    <row r="48" spans="1:10" x14ac:dyDescent="0.3">
      <c r="A48">
        <v>46</v>
      </c>
      <c r="B48">
        <v>758</v>
      </c>
      <c r="C48" t="b">
        <v>1</v>
      </c>
      <c r="D48">
        <v>8083</v>
      </c>
      <c r="E48">
        <v>8140</v>
      </c>
      <c r="F48">
        <v>41.933334000000002</v>
      </c>
      <c r="G48">
        <v>24.2</v>
      </c>
      <c r="H48">
        <v>1.7327824000000001</v>
      </c>
      <c r="I48">
        <v>-0.73278235999999997</v>
      </c>
      <c r="J48">
        <v>0.36592743</v>
      </c>
    </row>
    <row r="49" spans="1:10" x14ac:dyDescent="0.3">
      <c r="A49">
        <v>47</v>
      </c>
      <c r="B49">
        <v>774</v>
      </c>
      <c r="C49" t="b">
        <v>1</v>
      </c>
      <c r="D49">
        <v>8083</v>
      </c>
      <c r="E49">
        <v>8146</v>
      </c>
      <c r="F49">
        <v>42.333331999999999</v>
      </c>
      <c r="G49">
        <v>24.2</v>
      </c>
      <c r="H49">
        <v>1.7493112</v>
      </c>
      <c r="I49">
        <v>-0.74931119999999996</v>
      </c>
      <c r="J49">
        <v>0.36372747999999999</v>
      </c>
    </row>
    <row r="50" spans="1:10" x14ac:dyDescent="0.3">
      <c r="A50">
        <v>48</v>
      </c>
      <c r="B50">
        <v>790</v>
      </c>
      <c r="C50" t="b">
        <v>1</v>
      </c>
      <c r="D50">
        <v>8077</v>
      </c>
      <c r="E50">
        <v>8140</v>
      </c>
      <c r="F50">
        <v>42.733333999999999</v>
      </c>
      <c r="G50">
        <v>24.2</v>
      </c>
      <c r="H50">
        <v>1.7658402</v>
      </c>
      <c r="I50">
        <v>-0.76584019999999997</v>
      </c>
      <c r="J50">
        <v>0.36155379999999998</v>
      </c>
    </row>
    <row r="51" spans="1:10" x14ac:dyDescent="0.3">
      <c r="A51">
        <v>49</v>
      </c>
      <c r="B51">
        <v>806</v>
      </c>
      <c r="C51" t="b">
        <v>1</v>
      </c>
      <c r="D51">
        <v>8083</v>
      </c>
      <c r="E51">
        <v>8129</v>
      </c>
      <c r="F51">
        <v>43.133335000000002</v>
      </c>
      <c r="G51">
        <v>23.8</v>
      </c>
      <c r="H51">
        <v>1.8123251</v>
      </c>
      <c r="I51">
        <v>-0.81232506000000004</v>
      </c>
      <c r="J51">
        <v>0.35557768000000001</v>
      </c>
    </row>
    <row r="52" spans="1:10" x14ac:dyDescent="0.3">
      <c r="A52">
        <v>50</v>
      </c>
      <c r="B52">
        <v>821</v>
      </c>
      <c r="C52" t="b">
        <v>1</v>
      </c>
      <c r="D52">
        <v>8083</v>
      </c>
      <c r="E52">
        <v>8134</v>
      </c>
      <c r="F52">
        <v>43.133335000000002</v>
      </c>
      <c r="G52">
        <v>23.4</v>
      </c>
      <c r="H52">
        <v>1.843305</v>
      </c>
      <c r="I52">
        <v>-0.84330492999999995</v>
      </c>
      <c r="J52">
        <v>0.3517034</v>
      </c>
    </row>
    <row r="53" spans="1:10" x14ac:dyDescent="0.3">
      <c r="A53">
        <v>51</v>
      </c>
      <c r="B53">
        <v>837</v>
      </c>
      <c r="C53" t="b">
        <v>1</v>
      </c>
      <c r="D53">
        <v>8077</v>
      </c>
      <c r="E53">
        <v>8140</v>
      </c>
      <c r="F53">
        <v>43.133335000000002</v>
      </c>
      <c r="G53">
        <v>23</v>
      </c>
      <c r="H53">
        <v>1.8753624</v>
      </c>
      <c r="I53">
        <v>-0.87536239999999998</v>
      </c>
      <c r="J53">
        <v>0.34778225000000001</v>
      </c>
    </row>
    <row r="54" spans="1:10" x14ac:dyDescent="0.3">
      <c r="A54">
        <v>52</v>
      </c>
      <c r="B54">
        <v>853</v>
      </c>
      <c r="C54" t="b">
        <v>1</v>
      </c>
      <c r="D54">
        <v>8088</v>
      </c>
      <c r="E54">
        <v>8140</v>
      </c>
      <c r="F54">
        <v>43.133335000000002</v>
      </c>
      <c r="G54">
        <v>23</v>
      </c>
      <c r="H54">
        <v>1.8753624</v>
      </c>
      <c r="I54">
        <v>-0.87536239999999998</v>
      </c>
      <c r="J54">
        <v>0.34778225000000001</v>
      </c>
    </row>
    <row r="55" spans="1:10" x14ac:dyDescent="0.3">
      <c r="A55">
        <v>53</v>
      </c>
      <c r="B55">
        <v>869</v>
      </c>
      <c r="C55" t="b">
        <v>1</v>
      </c>
      <c r="D55">
        <v>8094</v>
      </c>
      <c r="E55">
        <v>8134</v>
      </c>
      <c r="F55">
        <v>42.8</v>
      </c>
      <c r="G55">
        <v>22.6</v>
      </c>
      <c r="H55">
        <v>1.8938052999999999</v>
      </c>
      <c r="I55">
        <v>-0.89380526999999999</v>
      </c>
      <c r="J55">
        <v>0.34556574000000001</v>
      </c>
    </row>
    <row r="56" spans="1:10" x14ac:dyDescent="0.3">
      <c r="A56">
        <v>54</v>
      </c>
      <c r="B56">
        <v>885</v>
      </c>
      <c r="C56" t="b">
        <v>1</v>
      </c>
      <c r="D56">
        <v>8100</v>
      </c>
      <c r="E56">
        <v>8140</v>
      </c>
      <c r="F56">
        <v>42.8</v>
      </c>
      <c r="G56">
        <v>23</v>
      </c>
      <c r="H56">
        <v>1.8608695</v>
      </c>
      <c r="I56">
        <v>-0.86086949999999995</v>
      </c>
      <c r="J56">
        <v>0.34954405</v>
      </c>
    </row>
    <row r="57" spans="1:10" x14ac:dyDescent="0.3">
      <c r="A57">
        <v>55</v>
      </c>
      <c r="B57">
        <v>901</v>
      </c>
      <c r="C57" t="b">
        <v>1</v>
      </c>
      <c r="D57">
        <v>8100</v>
      </c>
      <c r="E57">
        <v>8146</v>
      </c>
      <c r="F57">
        <v>43.2</v>
      </c>
      <c r="G57">
        <v>23.4</v>
      </c>
      <c r="H57">
        <v>1.8461539</v>
      </c>
      <c r="I57">
        <v>-0.84615390000000001</v>
      </c>
      <c r="J57">
        <v>0.35135135000000001</v>
      </c>
    </row>
    <row r="58" spans="1:10" x14ac:dyDescent="0.3">
      <c r="A58">
        <v>56</v>
      </c>
      <c r="B58">
        <v>917</v>
      </c>
      <c r="C58" t="b">
        <v>1</v>
      </c>
      <c r="D58">
        <v>8100</v>
      </c>
      <c r="E58">
        <v>8140</v>
      </c>
      <c r="F58">
        <v>44</v>
      </c>
      <c r="G58">
        <v>23.8</v>
      </c>
      <c r="H58">
        <v>1.8487395</v>
      </c>
      <c r="I58">
        <v>-0.84873955999999995</v>
      </c>
      <c r="J58">
        <v>0.35103244</v>
      </c>
    </row>
    <row r="59" spans="1:10" x14ac:dyDescent="0.3">
      <c r="A59">
        <v>57</v>
      </c>
      <c r="B59">
        <v>932</v>
      </c>
      <c r="C59" t="b">
        <v>1</v>
      </c>
      <c r="D59">
        <v>8088</v>
      </c>
      <c r="E59">
        <v>8140</v>
      </c>
      <c r="F59">
        <v>45.533332999999999</v>
      </c>
      <c r="G59">
        <v>24.2</v>
      </c>
      <c r="H59">
        <v>1.8815426</v>
      </c>
      <c r="I59">
        <v>-0.88154259999999995</v>
      </c>
      <c r="J59">
        <v>0.34703633</v>
      </c>
    </row>
    <row r="60" spans="1:10" x14ac:dyDescent="0.3">
      <c r="A60">
        <v>58</v>
      </c>
      <c r="B60">
        <v>948</v>
      </c>
      <c r="C60" t="b">
        <v>1</v>
      </c>
      <c r="D60">
        <v>8100</v>
      </c>
      <c r="E60">
        <v>8146</v>
      </c>
      <c r="F60">
        <v>47.066665999999998</v>
      </c>
      <c r="G60">
        <v>24.6</v>
      </c>
      <c r="H60">
        <v>1.913279</v>
      </c>
      <c r="I60">
        <v>-0.91327906000000003</v>
      </c>
      <c r="J60">
        <v>0.34325581999999999</v>
      </c>
    </row>
    <row r="61" spans="1:10" x14ac:dyDescent="0.3">
      <c r="A61">
        <v>59</v>
      </c>
      <c r="B61">
        <v>964</v>
      </c>
      <c r="C61" t="b">
        <v>1</v>
      </c>
      <c r="D61">
        <v>8083</v>
      </c>
      <c r="E61">
        <v>8140</v>
      </c>
      <c r="F61">
        <v>48.6</v>
      </c>
      <c r="G61">
        <v>24.6</v>
      </c>
      <c r="H61">
        <v>1.9756096999999999</v>
      </c>
      <c r="I61">
        <v>-0.97560966000000005</v>
      </c>
      <c r="J61">
        <v>0.33606560000000002</v>
      </c>
    </row>
    <row r="62" spans="1:10" x14ac:dyDescent="0.3">
      <c r="A62">
        <v>60</v>
      </c>
      <c r="B62">
        <v>980</v>
      </c>
      <c r="C62" t="b">
        <v>1</v>
      </c>
      <c r="D62">
        <v>8083</v>
      </c>
      <c r="E62">
        <v>8140</v>
      </c>
      <c r="F62">
        <v>48.933334000000002</v>
      </c>
      <c r="G62">
        <v>24.6</v>
      </c>
      <c r="H62">
        <v>1.98916</v>
      </c>
      <c r="I62">
        <v>-0.98915989999999998</v>
      </c>
      <c r="J62">
        <v>0.33454215999999998</v>
      </c>
    </row>
    <row r="63" spans="1:10" x14ac:dyDescent="0.3">
      <c r="A63">
        <v>61</v>
      </c>
      <c r="B63">
        <v>996</v>
      </c>
      <c r="C63" t="b">
        <v>1</v>
      </c>
      <c r="D63">
        <v>8083</v>
      </c>
      <c r="E63">
        <v>8140</v>
      </c>
      <c r="F63">
        <v>48.933334000000002</v>
      </c>
      <c r="G63">
        <v>24.6</v>
      </c>
      <c r="H63">
        <v>1.98916</v>
      </c>
      <c r="I63">
        <v>-0.98915989999999998</v>
      </c>
      <c r="J63">
        <v>0.33454215999999998</v>
      </c>
    </row>
    <row r="64" spans="1:10" x14ac:dyDescent="0.3">
      <c r="A64">
        <v>62</v>
      </c>
      <c r="B64">
        <v>1012</v>
      </c>
      <c r="C64" t="b">
        <v>1</v>
      </c>
      <c r="D64">
        <v>8083</v>
      </c>
      <c r="E64">
        <v>8134</v>
      </c>
      <c r="F64">
        <v>48.933334000000002</v>
      </c>
      <c r="G64">
        <v>24.6</v>
      </c>
      <c r="H64">
        <v>1.98916</v>
      </c>
      <c r="I64">
        <v>-0.98915989999999998</v>
      </c>
      <c r="J64">
        <v>0.33454215999999998</v>
      </c>
    </row>
    <row r="65" spans="1:10" x14ac:dyDescent="0.3">
      <c r="A65">
        <v>63</v>
      </c>
      <c r="B65">
        <v>1027</v>
      </c>
      <c r="C65" t="b">
        <v>1</v>
      </c>
      <c r="D65">
        <v>8077</v>
      </c>
      <c r="E65">
        <v>8140</v>
      </c>
      <c r="F65">
        <v>48.933334000000002</v>
      </c>
      <c r="G65">
        <v>24.6</v>
      </c>
      <c r="H65">
        <v>1.98916</v>
      </c>
      <c r="I65">
        <v>-0.98915989999999998</v>
      </c>
      <c r="J65">
        <v>0.33454215999999998</v>
      </c>
    </row>
    <row r="66" spans="1:10" x14ac:dyDescent="0.3">
      <c r="A66">
        <v>64</v>
      </c>
      <c r="B66">
        <v>1044</v>
      </c>
      <c r="C66" t="b">
        <v>1</v>
      </c>
      <c r="D66">
        <v>8077</v>
      </c>
      <c r="E66">
        <v>8140</v>
      </c>
      <c r="F66">
        <v>48.933334000000002</v>
      </c>
      <c r="G66">
        <v>24.6</v>
      </c>
      <c r="H66">
        <v>1.98916</v>
      </c>
      <c r="I66">
        <v>-0.98915989999999998</v>
      </c>
      <c r="J66">
        <v>0.33454215999999998</v>
      </c>
    </row>
    <row r="67" spans="1:10" x14ac:dyDescent="0.3">
      <c r="A67">
        <v>65</v>
      </c>
      <c r="B67">
        <v>1059</v>
      </c>
      <c r="C67" t="b">
        <v>1</v>
      </c>
      <c r="D67">
        <v>8065</v>
      </c>
      <c r="E67">
        <v>8134</v>
      </c>
      <c r="F67">
        <v>48.533332999999999</v>
      </c>
      <c r="G67">
        <v>24.6</v>
      </c>
      <c r="H67">
        <v>1.9728996999999999</v>
      </c>
      <c r="I67">
        <v>-0.97289970000000003</v>
      </c>
      <c r="J67">
        <v>0.33637192999999999</v>
      </c>
    </row>
    <row r="68" spans="1:10" x14ac:dyDescent="0.3">
      <c r="A68">
        <v>66</v>
      </c>
      <c r="B68">
        <v>1075</v>
      </c>
      <c r="C68" t="b">
        <v>1</v>
      </c>
      <c r="D68">
        <v>8077</v>
      </c>
      <c r="E68">
        <v>8134</v>
      </c>
      <c r="F68">
        <v>48.133335000000002</v>
      </c>
      <c r="G68">
        <v>24.2</v>
      </c>
      <c r="H68">
        <v>1.9889808</v>
      </c>
      <c r="I68">
        <v>-0.98898070000000005</v>
      </c>
      <c r="J68">
        <v>0.33456219999999998</v>
      </c>
    </row>
    <row r="69" spans="1:10" x14ac:dyDescent="0.3">
      <c r="A69">
        <v>67</v>
      </c>
      <c r="B69">
        <v>1091</v>
      </c>
      <c r="C69" t="b">
        <v>1</v>
      </c>
      <c r="D69">
        <v>8077</v>
      </c>
      <c r="E69">
        <v>8140</v>
      </c>
      <c r="F69">
        <v>47.733333999999999</v>
      </c>
      <c r="G69">
        <v>24.2</v>
      </c>
      <c r="H69">
        <v>1.9724516999999999</v>
      </c>
      <c r="I69">
        <v>-0.97245174999999995</v>
      </c>
      <c r="J69">
        <v>0.33642262000000001</v>
      </c>
    </row>
    <row r="70" spans="1:10" x14ac:dyDescent="0.3">
      <c r="A70">
        <v>68</v>
      </c>
      <c r="B70">
        <v>1107</v>
      </c>
      <c r="C70" t="b">
        <v>1</v>
      </c>
      <c r="D70">
        <v>8083</v>
      </c>
      <c r="E70">
        <v>8129</v>
      </c>
      <c r="F70">
        <v>47.333331999999999</v>
      </c>
      <c r="G70">
        <v>24.2</v>
      </c>
      <c r="H70">
        <v>1.9559226999999999</v>
      </c>
      <c r="I70">
        <v>-0.95592270000000001</v>
      </c>
      <c r="J70">
        <v>0.33830383000000003</v>
      </c>
    </row>
    <row r="71" spans="1:10" x14ac:dyDescent="0.3">
      <c r="A71">
        <v>69</v>
      </c>
      <c r="B71">
        <v>1122</v>
      </c>
      <c r="C71" t="b">
        <v>1</v>
      </c>
      <c r="D71">
        <v>8083</v>
      </c>
      <c r="E71">
        <v>8140</v>
      </c>
      <c r="F71">
        <v>46.6</v>
      </c>
      <c r="G71">
        <v>23.8</v>
      </c>
      <c r="H71">
        <v>1.9579831000000001</v>
      </c>
      <c r="I71">
        <v>-0.95798320000000003</v>
      </c>
      <c r="J71">
        <v>0.33806819999999999</v>
      </c>
    </row>
    <row r="72" spans="1:10" x14ac:dyDescent="0.3">
      <c r="A72">
        <v>70</v>
      </c>
      <c r="B72">
        <v>1138</v>
      </c>
      <c r="C72" t="b">
        <v>1</v>
      </c>
      <c r="D72">
        <v>8077</v>
      </c>
      <c r="E72">
        <v>8134</v>
      </c>
      <c r="F72">
        <v>45.466667000000001</v>
      </c>
      <c r="G72">
        <v>23.4</v>
      </c>
      <c r="H72">
        <v>1.94302</v>
      </c>
      <c r="I72">
        <v>-0.94301999999999997</v>
      </c>
      <c r="J72">
        <v>0.33978700000000001</v>
      </c>
    </row>
    <row r="73" spans="1:10" x14ac:dyDescent="0.3">
      <c r="A73">
        <v>71</v>
      </c>
      <c r="B73">
        <v>1155</v>
      </c>
      <c r="C73" t="b">
        <v>1</v>
      </c>
      <c r="D73">
        <v>8083</v>
      </c>
      <c r="E73">
        <v>8134</v>
      </c>
      <c r="F73">
        <v>44.333331999999999</v>
      </c>
      <c r="G73">
        <v>23</v>
      </c>
      <c r="H73">
        <v>1.9275361</v>
      </c>
      <c r="I73">
        <v>-0.92753620000000003</v>
      </c>
      <c r="J73">
        <v>0.34158418000000002</v>
      </c>
    </row>
    <row r="74" spans="1:10" x14ac:dyDescent="0.3">
      <c r="A74">
        <v>72</v>
      </c>
      <c r="B74">
        <v>1170</v>
      </c>
      <c r="C74" t="b">
        <v>1</v>
      </c>
      <c r="D74">
        <v>8083</v>
      </c>
      <c r="E74">
        <v>8134</v>
      </c>
      <c r="F74">
        <v>43.2</v>
      </c>
      <c r="G74">
        <v>22.6</v>
      </c>
      <c r="H74">
        <v>1.9115044000000001</v>
      </c>
      <c r="I74">
        <v>-0.91150445000000002</v>
      </c>
      <c r="J74">
        <v>0.34346503</v>
      </c>
    </row>
    <row r="75" spans="1:10" x14ac:dyDescent="0.3">
      <c r="A75">
        <v>73</v>
      </c>
      <c r="B75">
        <v>1186</v>
      </c>
      <c r="C75" t="b">
        <v>1</v>
      </c>
      <c r="D75">
        <v>8071</v>
      </c>
      <c r="E75">
        <v>8129</v>
      </c>
      <c r="F75">
        <v>42.066665999999998</v>
      </c>
      <c r="G75">
        <v>22.2</v>
      </c>
      <c r="H75">
        <v>1.8948948000000001</v>
      </c>
      <c r="I75">
        <v>-0.89489479999999999</v>
      </c>
      <c r="J75">
        <v>0.34543570000000001</v>
      </c>
    </row>
    <row r="76" spans="1:10" x14ac:dyDescent="0.3">
      <c r="A76">
        <v>74</v>
      </c>
      <c r="B76">
        <v>1202</v>
      </c>
      <c r="C76" t="b">
        <v>1</v>
      </c>
      <c r="D76">
        <v>8065</v>
      </c>
      <c r="E76">
        <v>8146</v>
      </c>
      <c r="F76">
        <v>40.533332999999999</v>
      </c>
      <c r="G76">
        <v>21.8</v>
      </c>
      <c r="H76">
        <v>1.8593272999999999</v>
      </c>
      <c r="I76">
        <v>-0.85932726000000004</v>
      </c>
      <c r="J76">
        <v>0.3497326</v>
      </c>
    </row>
    <row r="77" spans="1:10" x14ac:dyDescent="0.3">
      <c r="A77">
        <v>75</v>
      </c>
      <c r="B77">
        <v>1218</v>
      </c>
      <c r="C77" t="b">
        <v>1</v>
      </c>
      <c r="D77">
        <v>8071</v>
      </c>
      <c r="E77">
        <v>8140</v>
      </c>
      <c r="F77">
        <v>39.4</v>
      </c>
      <c r="G77">
        <v>21.4</v>
      </c>
      <c r="H77">
        <v>1.8411215999999999</v>
      </c>
      <c r="I77">
        <v>-0.84112160000000002</v>
      </c>
      <c r="J77">
        <v>0.35197365000000003</v>
      </c>
    </row>
    <row r="78" spans="1:10" x14ac:dyDescent="0.3">
      <c r="A78">
        <v>76</v>
      </c>
      <c r="B78">
        <v>1234</v>
      </c>
      <c r="C78" t="b">
        <v>1</v>
      </c>
      <c r="D78">
        <v>8077</v>
      </c>
      <c r="E78">
        <v>8140</v>
      </c>
      <c r="F78">
        <v>38.6</v>
      </c>
      <c r="G78">
        <v>21.4</v>
      </c>
      <c r="H78">
        <v>1.8037382</v>
      </c>
      <c r="I78">
        <v>-0.80373830000000002</v>
      </c>
      <c r="J78">
        <v>0.35666664999999997</v>
      </c>
    </row>
    <row r="79" spans="1:10" x14ac:dyDescent="0.3">
      <c r="A79">
        <v>77</v>
      </c>
      <c r="B79">
        <v>1250</v>
      </c>
      <c r="C79" t="b">
        <v>1</v>
      </c>
      <c r="D79">
        <v>8077</v>
      </c>
      <c r="E79">
        <v>8152</v>
      </c>
      <c r="F79">
        <v>37.799999999999997</v>
      </c>
      <c r="G79">
        <v>21.4</v>
      </c>
      <c r="H79">
        <v>1.7663552</v>
      </c>
      <c r="I79">
        <v>-0.76635516000000004</v>
      </c>
      <c r="J79">
        <v>0.36148649999999999</v>
      </c>
    </row>
    <row r="80" spans="1:10" x14ac:dyDescent="0.3">
      <c r="A80">
        <v>78</v>
      </c>
      <c r="B80">
        <v>1265</v>
      </c>
      <c r="C80" t="b">
        <v>1</v>
      </c>
      <c r="D80">
        <v>8077</v>
      </c>
      <c r="E80">
        <v>8146</v>
      </c>
      <c r="F80">
        <v>37.4</v>
      </c>
      <c r="G80">
        <v>21.8</v>
      </c>
      <c r="H80">
        <v>1.7155963999999999</v>
      </c>
      <c r="I80">
        <v>-0.71559644</v>
      </c>
      <c r="J80">
        <v>0.36824321999999998</v>
      </c>
    </row>
    <row r="81" spans="1:10" x14ac:dyDescent="0.3">
      <c r="A81">
        <v>79</v>
      </c>
      <c r="B81">
        <v>1281</v>
      </c>
      <c r="C81" t="b">
        <v>1</v>
      </c>
      <c r="D81">
        <v>8083</v>
      </c>
      <c r="E81">
        <v>8146</v>
      </c>
      <c r="F81">
        <v>37</v>
      </c>
      <c r="G81">
        <v>22.2</v>
      </c>
      <c r="H81">
        <v>1.6666666000000001</v>
      </c>
      <c r="I81">
        <v>-0.6666666</v>
      </c>
      <c r="J81">
        <v>0.375</v>
      </c>
    </row>
    <row r="82" spans="1:10" x14ac:dyDescent="0.3">
      <c r="A82">
        <v>80</v>
      </c>
      <c r="B82">
        <v>1297</v>
      </c>
      <c r="C82" t="b">
        <v>1</v>
      </c>
      <c r="D82">
        <v>8088</v>
      </c>
      <c r="E82">
        <v>8134</v>
      </c>
      <c r="F82">
        <v>37</v>
      </c>
      <c r="G82">
        <v>22.6</v>
      </c>
      <c r="H82">
        <v>1.6371682000000001</v>
      </c>
      <c r="I82">
        <v>-0.63716810000000002</v>
      </c>
      <c r="J82">
        <v>0.37919465000000002</v>
      </c>
    </row>
    <row r="83" spans="1:10" x14ac:dyDescent="0.3">
      <c r="A83">
        <v>81</v>
      </c>
      <c r="B83">
        <v>1313</v>
      </c>
      <c r="C83" t="b">
        <v>1</v>
      </c>
      <c r="D83">
        <v>8094</v>
      </c>
      <c r="E83">
        <v>8134</v>
      </c>
      <c r="F83">
        <v>37.4</v>
      </c>
      <c r="G83">
        <v>23.4</v>
      </c>
      <c r="H83">
        <v>1.5982907</v>
      </c>
      <c r="I83">
        <v>-0.59829069999999995</v>
      </c>
      <c r="J83">
        <v>0.38486838000000001</v>
      </c>
    </row>
    <row r="84" spans="1:10" x14ac:dyDescent="0.3">
      <c r="A84">
        <v>82</v>
      </c>
      <c r="B84">
        <v>1329</v>
      </c>
      <c r="C84" t="b">
        <v>1</v>
      </c>
      <c r="D84">
        <v>8088</v>
      </c>
      <c r="E84">
        <v>8134</v>
      </c>
      <c r="F84">
        <v>38.133335000000002</v>
      </c>
      <c r="G84">
        <v>23</v>
      </c>
      <c r="H84">
        <v>1.6579710999999999</v>
      </c>
      <c r="I84">
        <v>-0.65797110000000003</v>
      </c>
      <c r="J84">
        <v>0.37622679999999997</v>
      </c>
    </row>
    <row r="85" spans="1:10" x14ac:dyDescent="0.3">
      <c r="A85">
        <v>83</v>
      </c>
      <c r="B85">
        <v>1345</v>
      </c>
      <c r="C85" t="b">
        <v>1</v>
      </c>
      <c r="D85">
        <v>8094</v>
      </c>
      <c r="E85">
        <v>8134</v>
      </c>
      <c r="F85">
        <v>38.866664999999998</v>
      </c>
      <c r="G85">
        <v>23</v>
      </c>
      <c r="H85">
        <v>1.6898550000000001</v>
      </c>
      <c r="I85">
        <v>-0.689855</v>
      </c>
      <c r="J85">
        <v>0.37176724999999999</v>
      </c>
    </row>
    <row r="86" spans="1:10" x14ac:dyDescent="0.3">
      <c r="A86">
        <v>84</v>
      </c>
      <c r="B86">
        <v>1361</v>
      </c>
      <c r="C86" t="b">
        <v>1</v>
      </c>
      <c r="D86">
        <v>8106</v>
      </c>
      <c r="E86">
        <v>8134</v>
      </c>
      <c r="F86">
        <v>40</v>
      </c>
      <c r="G86">
        <v>23</v>
      </c>
      <c r="H86">
        <v>1.7391304000000001</v>
      </c>
      <c r="I86">
        <v>-0.73913044000000006</v>
      </c>
      <c r="J86">
        <v>0.36507937000000001</v>
      </c>
    </row>
    <row r="87" spans="1:10" x14ac:dyDescent="0.3">
      <c r="A87">
        <v>85</v>
      </c>
      <c r="B87">
        <v>1377</v>
      </c>
      <c r="C87" t="b">
        <v>1</v>
      </c>
      <c r="D87">
        <v>8088</v>
      </c>
      <c r="E87">
        <v>8134</v>
      </c>
      <c r="F87">
        <v>41.133335000000002</v>
      </c>
      <c r="G87">
        <v>23</v>
      </c>
      <c r="H87">
        <v>1.7884059000000001</v>
      </c>
      <c r="I87">
        <v>-0.78840589999999999</v>
      </c>
      <c r="J87">
        <v>0.35862786000000002</v>
      </c>
    </row>
    <row r="88" spans="1:10" x14ac:dyDescent="0.3">
      <c r="A88">
        <v>86</v>
      </c>
      <c r="B88">
        <v>1393</v>
      </c>
      <c r="C88" t="b">
        <v>1</v>
      </c>
      <c r="D88">
        <v>8083</v>
      </c>
      <c r="E88">
        <v>8140</v>
      </c>
      <c r="F88">
        <v>41.466667000000001</v>
      </c>
      <c r="G88">
        <v>23</v>
      </c>
      <c r="H88">
        <v>1.8028985</v>
      </c>
      <c r="I88">
        <v>-0.80289860000000002</v>
      </c>
      <c r="J88">
        <v>0.35677353000000001</v>
      </c>
    </row>
    <row r="89" spans="1:10" x14ac:dyDescent="0.3">
      <c r="A89">
        <v>87</v>
      </c>
      <c r="B89">
        <v>1409</v>
      </c>
      <c r="C89" t="b">
        <v>1</v>
      </c>
      <c r="D89">
        <v>8083</v>
      </c>
      <c r="E89">
        <v>8134</v>
      </c>
      <c r="F89">
        <v>41.8</v>
      </c>
      <c r="G89">
        <v>23</v>
      </c>
      <c r="H89">
        <v>1.8173912999999999</v>
      </c>
      <c r="I89">
        <v>-0.81739130000000004</v>
      </c>
      <c r="J89">
        <v>0.35493827</v>
      </c>
    </row>
    <row r="90" spans="1:10" x14ac:dyDescent="0.3">
      <c r="A90">
        <v>88</v>
      </c>
      <c r="B90">
        <v>1425</v>
      </c>
      <c r="C90" t="b">
        <v>1</v>
      </c>
      <c r="D90">
        <v>8088</v>
      </c>
      <c r="E90">
        <v>8134</v>
      </c>
      <c r="F90">
        <v>42.133335000000002</v>
      </c>
      <c r="G90">
        <v>23</v>
      </c>
      <c r="H90">
        <v>1.8318840999999999</v>
      </c>
      <c r="I90">
        <v>-0.83188415000000004</v>
      </c>
      <c r="J90">
        <v>0.35312181999999998</v>
      </c>
    </row>
    <row r="91" spans="1:10" x14ac:dyDescent="0.3">
      <c r="A91">
        <v>89</v>
      </c>
      <c r="B91">
        <v>1440</v>
      </c>
      <c r="C91" t="b">
        <v>1</v>
      </c>
      <c r="D91">
        <v>8088</v>
      </c>
      <c r="E91">
        <v>8134</v>
      </c>
      <c r="F91">
        <v>42.866664999999998</v>
      </c>
      <c r="G91">
        <v>23</v>
      </c>
      <c r="H91">
        <v>1.8637680000000001</v>
      </c>
      <c r="I91">
        <v>-0.86376803999999996</v>
      </c>
      <c r="J91">
        <v>0.34919025999999997</v>
      </c>
    </row>
    <row r="92" spans="1:10" x14ac:dyDescent="0.3">
      <c r="A92">
        <v>90</v>
      </c>
      <c r="B92">
        <v>1456</v>
      </c>
      <c r="C92" t="b">
        <v>1</v>
      </c>
      <c r="D92">
        <v>8077</v>
      </c>
      <c r="E92">
        <v>8140</v>
      </c>
      <c r="F92">
        <v>43.666668000000001</v>
      </c>
      <c r="G92">
        <v>23</v>
      </c>
      <c r="H92">
        <v>1.8985506999999999</v>
      </c>
      <c r="I92">
        <v>-0.89855079999999998</v>
      </c>
      <c r="J92">
        <v>0.34499996999999999</v>
      </c>
    </row>
    <row r="93" spans="1:10" x14ac:dyDescent="0.3">
      <c r="A93">
        <v>91</v>
      </c>
      <c r="B93">
        <v>1472</v>
      </c>
      <c r="C93" t="b">
        <v>1</v>
      </c>
      <c r="D93">
        <v>8077</v>
      </c>
      <c r="E93">
        <v>8140</v>
      </c>
      <c r="F93">
        <v>44.466667000000001</v>
      </c>
      <c r="G93">
        <v>22.6</v>
      </c>
      <c r="H93">
        <v>1.9675516</v>
      </c>
      <c r="I93">
        <v>-0.96755159999999996</v>
      </c>
      <c r="J93">
        <v>0.33697813999999998</v>
      </c>
    </row>
    <row r="94" spans="1:10" x14ac:dyDescent="0.3">
      <c r="A94">
        <v>92</v>
      </c>
      <c r="B94">
        <v>1488</v>
      </c>
      <c r="C94" t="b">
        <v>1</v>
      </c>
      <c r="D94">
        <v>8083</v>
      </c>
      <c r="E94">
        <v>8140</v>
      </c>
      <c r="F94">
        <v>45.266666000000001</v>
      </c>
      <c r="G94">
        <v>22.6</v>
      </c>
      <c r="H94">
        <v>2.0029496999999998</v>
      </c>
      <c r="I94">
        <v>-1.0029497999999999</v>
      </c>
      <c r="J94">
        <v>0.33300587999999998</v>
      </c>
    </row>
    <row r="95" spans="1:10" x14ac:dyDescent="0.3">
      <c r="A95">
        <v>93</v>
      </c>
      <c r="B95">
        <v>1504</v>
      </c>
      <c r="C95" t="b">
        <v>1</v>
      </c>
      <c r="D95">
        <v>8083</v>
      </c>
      <c r="E95">
        <v>8140</v>
      </c>
      <c r="F95">
        <v>45.666668000000001</v>
      </c>
      <c r="G95">
        <v>22.2</v>
      </c>
      <c r="H95">
        <v>2.0570571000000002</v>
      </c>
      <c r="I95">
        <v>-1.0570569999999999</v>
      </c>
      <c r="J95">
        <v>0.32711200000000001</v>
      </c>
    </row>
    <row r="96" spans="1:10" x14ac:dyDescent="0.3">
      <c r="A96">
        <v>94</v>
      </c>
      <c r="B96">
        <v>1520</v>
      </c>
      <c r="C96" t="b">
        <v>1</v>
      </c>
      <c r="D96">
        <v>8077</v>
      </c>
      <c r="E96">
        <v>8140</v>
      </c>
      <c r="F96">
        <v>45.666668000000001</v>
      </c>
      <c r="G96">
        <v>21.8</v>
      </c>
      <c r="H96">
        <v>2.0948014000000001</v>
      </c>
      <c r="I96">
        <v>-1.0948013000000001</v>
      </c>
      <c r="J96">
        <v>0.32312249999999998</v>
      </c>
    </row>
    <row r="97" spans="1:10" x14ac:dyDescent="0.3">
      <c r="A97">
        <v>95</v>
      </c>
      <c r="B97">
        <v>1536</v>
      </c>
      <c r="C97" t="b">
        <v>1</v>
      </c>
      <c r="D97">
        <v>8077</v>
      </c>
      <c r="E97">
        <v>8140</v>
      </c>
      <c r="F97">
        <v>45.666668000000001</v>
      </c>
      <c r="G97">
        <v>21.4</v>
      </c>
      <c r="H97">
        <v>2.1339564000000002</v>
      </c>
      <c r="I97">
        <v>-1.1339564</v>
      </c>
      <c r="J97">
        <v>0.31908547999999998</v>
      </c>
    </row>
    <row r="98" spans="1:10" x14ac:dyDescent="0.3">
      <c r="A98">
        <v>96</v>
      </c>
      <c r="B98">
        <v>1551</v>
      </c>
      <c r="C98" t="b">
        <v>1</v>
      </c>
      <c r="D98">
        <v>8077</v>
      </c>
      <c r="E98">
        <v>8140</v>
      </c>
      <c r="F98">
        <v>45.266666000000001</v>
      </c>
      <c r="G98">
        <v>21</v>
      </c>
      <c r="H98">
        <v>2.1555555000000002</v>
      </c>
      <c r="I98">
        <v>-1.1555555</v>
      </c>
      <c r="J98">
        <v>0.31690141999999999</v>
      </c>
    </row>
    <row r="99" spans="1:10" x14ac:dyDescent="0.3">
      <c r="A99">
        <v>97</v>
      </c>
      <c r="B99">
        <v>1567</v>
      </c>
      <c r="C99" t="b">
        <v>1</v>
      </c>
      <c r="D99">
        <v>8077</v>
      </c>
      <c r="E99">
        <v>8140</v>
      </c>
      <c r="F99">
        <v>44.533332999999999</v>
      </c>
      <c r="G99">
        <v>21.4</v>
      </c>
      <c r="H99">
        <v>2.080997</v>
      </c>
      <c r="I99">
        <v>-1.0809968999999999</v>
      </c>
      <c r="J99">
        <v>0.32457026999999999</v>
      </c>
    </row>
    <row r="100" spans="1:10" x14ac:dyDescent="0.3">
      <c r="A100">
        <v>98</v>
      </c>
      <c r="B100">
        <v>1583</v>
      </c>
      <c r="C100" t="b">
        <v>1</v>
      </c>
      <c r="D100">
        <v>8083</v>
      </c>
      <c r="E100">
        <v>8146</v>
      </c>
      <c r="F100">
        <v>43.8</v>
      </c>
      <c r="G100">
        <v>21.8</v>
      </c>
      <c r="H100">
        <v>2.0091743000000002</v>
      </c>
      <c r="I100">
        <v>-1.0091743</v>
      </c>
      <c r="J100">
        <v>0.33231707999999999</v>
      </c>
    </row>
    <row r="101" spans="1:10" x14ac:dyDescent="0.3">
      <c r="A101">
        <v>99</v>
      </c>
      <c r="B101">
        <v>1599</v>
      </c>
      <c r="C101" t="b">
        <v>1</v>
      </c>
      <c r="D101">
        <v>8088</v>
      </c>
      <c r="E101">
        <v>8134</v>
      </c>
      <c r="F101">
        <v>42.666668000000001</v>
      </c>
      <c r="G101">
        <v>22.2</v>
      </c>
      <c r="H101">
        <v>1.9219219999999999</v>
      </c>
      <c r="I101">
        <v>-0.92192189999999996</v>
      </c>
      <c r="J101">
        <v>0.34224048000000001</v>
      </c>
    </row>
    <row r="102" spans="1:10" x14ac:dyDescent="0.3">
      <c r="A102">
        <v>100</v>
      </c>
      <c r="B102">
        <v>1615</v>
      </c>
      <c r="C102" t="b">
        <v>1</v>
      </c>
      <c r="D102">
        <v>8083</v>
      </c>
      <c r="E102">
        <v>8146</v>
      </c>
      <c r="F102">
        <v>41.933334000000002</v>
      </c>
      <c r="G102">
        <v>22.6</v>
      </c>
      <c r="H102">
        <v>1.8554572</v>
      </c>
      <c r="I102">
        <v>-0.85545724999999995</v>
      </c>
      <c r="J102">
        <v>0.35020659999999998</v>
      </c>
    </row>
    <row r="103" spans="1:10" x14ac:dyDescent="0.3">
      <c r="A103">
        <v>101</v>
      </c>
      <c r="B103">
        <v>1631</v>
      </c>
      <c r="C103" t="b">
        <v>1</v>
      </c>
      <c r="D103">
        <v>8071</v>
      </c>
      <c r="E103">
        <v>8140</v>
      </c>
      <c r="F103">
        <v>41.6</v>
      </c>
      <c r="G103">
        <v>23</v>
      </c>
      <c r="H103">
        <v>1.8086956000000001</v>
      </c>
      <c r="I103">
        <v>-0.80869559999999996</v>
      </c>
      <c r="J103">
        <v>0.35603717000000001</v>
      </c>
    </row>
    <row r="104" spans="1:10" x14ac:dyDescent="0.3">
      <c r="A104">
        <v>102</v>
      </c>
      <c r="B104">
        <v>1647</v>
      </c>
      <c r="C104" t="b">
        <v>1</v>
      </c>
      <c r="D104">
        <v>8083</v>
      </c>
      <c r="E104">
        <v>8140</v>
      </c>
      <c r="F104">
        <v>41.266666000000001</v>
      </c>
      <c r="G104">
        <v>23.4</v>
      </c>
      <c r="H104">
        <v>1.7635327999999999</v>
      </c>
      <c r="I104">
        <v>-0.76353276000000003</v>
      </c>
      <c r="J104">
        <v>0.3618557</v>
      </c>
    </row>
    <row r="105" spans="1:10" x14ac:dyDescent="0.3">
      <c r="A105">
        <v>103</v>
      </c>
      <c r="B105">
        <v>1663</v>
      </c>
      <c r="C105" t="b">
        <v>1</v>
      </c>
      <c r="D105">
        <v>8083</v>
      </c>
      <c r="E105">
        <v>8140</v>
      </c>
      <c r="F105">
        <v>40.933334000000002</v>
      </c>
      <c r="G105">
        <v>23.8</v>
      </c>
      <c r="H105">
        <v>1.7198880999999999</v>
      </c>
      <c r="I105">
        <v>-0.71988803000000001</v>
      </c>
      <c r="J105">
        <v>0.36766216000000002</v>
      </c>
    </row>
    <row r="106" spans="1:10" x14ac:dyDescent="0.3">
      <c r="A106">
        <v>104</v>
      </c>
      <c r="B106">
        <v>1679</v>
      </c>
      <c r="C106" t="b">
        <v>1</v>
      </c>
      <c r="D106">
        <v>8083</v>
      </c>
      <c r="E106">
        <v>8140</v>
      </c>
      <c r="F106">
        <v>40.6</v>
      </c>
      <c r="G106">
        <v>24.2</v>
      </c>
      <c r="H106">
        <v>1.6776859</v>
      </c>
      <c r="I106">
        <v>-0.67768585999999997</v>
      </c>
      <c r="J106">
        <v>0.37345677999999999</v>
      </c>
    </row>
    <row r="107" spans="1:10" x14ac:dyDescent="0.3">
      <c r="A107">
        <v>105</v>
      </c>
      <c r="B107">
        <v>1695</v>
      </c>
      <c r="C107" t="b">
        <v>1</v>
      </c>
      <c r="D107">
        <v>8088</v>
      </c>
      <c r="E107">
        <v>8134</v>
      </c>
      <c r="F107">
        <v>40.6</v>
      </c>
      <c r="G107">
        <v>24.6</v>
      </c>
      <c r="H107">
        <v>1.6504064000000001</v>
      </c>
      <c r="I107">
        <v>-0.65040640000000005</v>
      </c>
      <c r="J107">
        <v>0.37730065000000002</v>
      </c>
    </row>
    <row r="108" spans="1:10" x14ac:dyDescent="0.3">
      <c r="A108">
        <v>106</v>
      </c>
      <c r="B108">
        <v>1711</v>
      </c>
      <c r="C108" t="b">
        <v>1</v>
      </c>
      <c r="D108">
        <v>8083</v>
      </c>
      <c r="E108">
        <v>8140</v>
      </c>
      <c r="F108">
        <v>40.6</v>
      </c>
      <c r="G108">
        <v>25</v>
      </c>
      <c r="H108">
        <v>1.6240000000000001</v>
      </c>
      <c r="I108">
        <v>-0.62399994999999997</v>
      </c>
      <c r="J108">
        <v>0.38109756</v>
      </c>
    </row>
    <row r="109" spans="1:10" x14ac:dyDescent="0.3">
      <c r="A109">
        <v>107</v>
      </c>
      <c r="B109">
        <v>1726</v>
      </c>
      <c r="C109" t="b">
        <v>1</v>
      </c>
      <c r="D109">
        <v>8088</v>
      </c>
      <c r="E109">
        <v>8140</v>
      </c>
      <c r="F109">
        <v>40.6</v>
      </c>
      <c r="G109">
        <v>25</v>
      </c>
      <c r="H109">
        <v>1.6240000000000001</v>
      </c>
      <c r="I109">
        <v>-0.62399994999999997</v>
      </c>
      <c r="J109">
        <v>0.38109756</v>
      </c>
    </row>
    <row r="110" spans="1:10" x14ac:dyDescent="0.3">
      <c r="A110">
        <v>108</v>
      </c>
      <c r="B110">
        <v>1742</v>
      </c>
      <c r="C110" t="b">
        <v>1</v>
      </c>
      <c r="D110">
        <v>8083</v>
      </c>
      <c r="E110">
        <v>8129</v>
      </c>
      <c r="F110">
        <v>40.6</v>
      </c>
      <c r="G110">
        <v>25</v>
      </c>
      <c r="H110">
        <v>1.6240000000000001</v>
      </c>
      <c r="I110">
        <v>-0.62399994999999997</v>
      </c>
      <c r="J110">
        <v>0.38109756</v>
      </c>
    </row>
    <row r="111" spans="1:10" x14ac:dyDescent="0.3">
      <c r="A111">
        <v>109</v>
      </c>
      <c r="B111">
        <v>1758</v>
      </c>
      <c r="C111" t="b">
        <v>1</v>
      </c>
      <c r="D111">
        <v>8077</v>
      </c>
      <c r="E111">
        <v>8134</v>
      </c>
      <c r="F111">
        <v>41</v>
      </c>
      <c r="G111">
        <v>24.6</v>
      </c>
      <c r="H111">
        <v>1.6666666000000001</v>
      </c>
      <c r="I111">
        <v>-0.6666666</v>
      </c>
      <c r="J111">
        <v>0.375</v>
      </c>
    </row>
    <row r="112" spans="1:10" x14ac:dyDescent="0.3">
      <c r="A112">
        <v>110</v>
      </c>
      <c r="B112">
        <v>1774</v>
      </c>
      <c r="C112" t="b">
        <v>1</v>
      </c>
      <c r="D112">
        <v>8083</v>
      </c>
      <c r="E112">
        <v>8134</v>
      </c>
      <c r="F112">
        <v>41.4</v>
      </c>
      <c r="G112">
        <v>24.2</v>
      </c>
      <c r="H112">
        <v>1.7107437999999999</v>
      </c>
      <c r="I112">
        <v>-0.71074380000000004</v>
      </c>
      <c r="J112">
        <v>0.36890242000000001</v>
      </c>
    </row>
    <row r="113" spans="1:10" x14ac:dyDescent="0.3">
      <c r="A113">
        <v>111</v>
      </c>
      <c r="B113">
        <v>1790</v>
      </c>
      <c r="C113" t="b">
        <v>1</v>
      </c>
      <c r="D113">
        <v>8083</v>
      </c>
      <c r="E113">
        <v>8140</v>
      </c>
      <c r="F113">
        <v>41.8</v>
      </c>
      <c r="G113">
        <v>23.8</v>
      </c>
      <c r="H113">
        <v>1.7563025999999999</v>
      </c>
      <c r="I113">
        <v>-0.75630253999999997</v>
      </c>
      <c r="J113">
        <v>0.36280489999999999</v>
      </c>
    </row>
    <row r="114" spans="1:10" x14ac:dyDescent="0.3">
      <c r="A114">
        <v>112</v>
      </c>
      <c r="B114">
        <v>1806</v>
      </c>
      <c r="C114" t="b">
        <v>1</v>
      </c>
      <c r="D114">
        <v>8083</v>
      </c>
      <c r="E114">
        <v>8146</v>
      </c>
      <c r="F114">
        <v>42.2</v>
      </c>
      <c r="G114">
        <v>23.4</v>
      </c>
      <c r="H114">
        <v>1.8034189</v>
      </c>
      <c r="I114">
        <v>-0.80341890000000005</v>
      </c>
      <c r="J114">
        <v>0.3567073</v>
      </c>
    </row>
    <row r="115" spans="1:10" x14ac:dyDescent="0.3">
      <c r="A115">
        <v>113</v>
      </c>
      <c r="B115">
        <v>1822</v>
      </c>
      <c r="C115" t="b">
        <v>1</v>
      </c>
      <c r="D115">
        <v>8088</v>
      </c>
      <c r="E115">
        <v>8140</v>
      </c>
      <c r="F115">
        <v>42.6</v>
      </c>
      <c r="G115">
        <v>23.4</v>
      </c>
      <c r="H115">
        <v>1.8205127999999999</v>
      </c>
      <c r="I115">
        <v>-0.82051280000000004</v>
      </c>
      <c r="J115">
        <v>0.35454543999999999</v>
      </c>
    </row>
    <row r="116" spans="1:10" x14ac:dyDescent="0.3">
      <c r="A116">
        <v>114</v>
      </c>
      <c r="B116">
        <v>1838</v>
      </c>
      <c r="C116" t="b">
        <v>1</v>
      </c>
      <c r="D116">
        <v>8083</v>
      </c>
      <c r="E116">
        <v>8140</v>
      </c>
      <c r="F116">
        <v>43</v>
      </c>
      <c r="G116">
        <v>23.4</v>
      </c>
      <c r="H116">
        <v>1.8376068999999999</v>
      </c>
      <c r="I116">
        <v>-0.83760685000000001</v>
      </c>
      <c r="J116">
        <v>0.35240962999999997</v>
      </c>
    </row>
    <row r="117" spans="1:10" x14ac:dyDescent="0.3">
      <c r="A117">
        <v>115</v>
      </c>
      <c r="B117">
        <v>1853</v>
      </c>
      <c r="C117" t="b">
        <v>1</v>
      </c>
      <c r="D117">
        <v>8083</v>
      </c>
      <c r="E117">
        <v>8140</v>
      </c>
      <c r="F117">
        <v>43</v>
      </c>
      <c r="G117">
        <v>23.4</v>
      </c>
      <c r="H117">
        <v>1.8376068999999999</v>
      </c>
      <c r="I117">
        <v>-0.83760685000000001</v>
      </c>
      <c r="J117">
        <v>0.35240962999999997</v>
      </c>
    </row>
    <row r="118" spans="1:10" x14ac:dyDescent="0.3">
      <c r="A118">
        <v>116</v>
      </c>
      <c r="B118">
        <v>1869</v>
      </c>
      <c r="C118" t="b">
        <v>1</v>
      </c>
      <c r="D118">
        <v>8083</v>
      </c>
      <c r="E118">
        <v>8140</v>
      </c>
      <c r="F118">
        <v>43</v>
      </c>
      <c r="G118">
        <v>23.4</v>
      </c>
      <c r="H118">
        <v>1.8376068999999999</v>
      </c>
      <c r="I118">
        <v>-0.83760685000000001</v>
      </c>
      <c r="J118">
        <v>0.35240962999999997</v>
      </c>
    </row>
    <row r="119" spans="1:10" x14ac:dyDescent="0.3">
      <c r="A119">
        <v>117</v>
      </c>
      <c r="B119">
        <v>1885</v>
      </c>
      <c r="C119" t="b">
        <v>1</v>
      </c>
      <c r="D119">
        <v>8077</v>
      </c>
      <c r="E119">
        <v>8140</v>
      </c>
      <c r="F119">
        <v>43</v>
      </c>
      <c r="G119">
        <v>23.4</v>
      </c>
      <c r="H119">
        <v>1.8376068999999999</v>
      </c>
      <c r="I119">
        <v>-0.83760685000000001</v>
      </c>
      <c r="J119">
        <v>0.35240962999999997</v>
      </c>
    </row>
    <row r="120" spans="1:10" x14ac:dyDescent="0.3">
      <c r="A120">
        <v>118</v>
      </c>
      <c r="B120">
        <v>1901</v>
      </c>
      <c r="C120" t="b">
        <v>1</v>
      </c>
      <c r="D120">
        <v>8088</v>
      </c>
      <c r="E120">
        <v>8140</v>
      </c>
      <c r="F120">
        <v>43</v>
      </c>
      <c r="G120">
        <v>23.4</v>
      </c>
      <c r="H120">
        <v>1.8376068999999999</v>
      </c>
      <c r="I120">
        <v>-0.83760685000000001</v>
      </c>
      <c r="J120">
        <v>0.35240962999999997</v>
      </c>
    </row>
    <row r="121" spans="1:10" x14ac:dyDescent="0.3">
      <c r="A121">
        <v>119</v>
      </c>
      <c r="B121">
        <v>1917</v>
      </c>
      <c r="C121" t="b">
        <v>1</v>
      </c>
      <c r="D121">
        <v>8094</v>
      </c>
      <c r="E121">
        <v>8140</v>
      </c>
      <c r="F121">
        <v>43</v>
      </c>
      <c r="G121">
        <v>23.4</v>
      </c>
      <c r="H121">
        <v>1.8376068999999999</v>
      </c>
      <c r="I121">
        <v>-0.83760685000000001</v>
      </c>
      <c r="J121">
        <v>0.35240962999999997</v>
      </c>
    </row>
    <row r="122" spans="1:10" x14ac:dyDescent="0.3">
      <c r="A122">
        <v>120</v>
      </c>
      <c r="B122">
        <v>1933</v>
      </c>
      <c r="C122" t="b">
        <v>1</v>
      </c>
      <c r="D122">
        <v>8083</v>
      </c>
      <c r="E122">
        <v>8140</v>
      </c>
      <c r="F122">
        <v>43</v>
      </c>
      <c r="G122">
        <v>23.4</v>
      </c>
      <c r="H122">
        <v>1.8376068999999999</v>
      </c>
      <c r="I122">
        <v>-0.83760685000000001</v>
      </c>
      <c r="J122">
        <v>0.35240962999999997</v>
      </c>
    </row>
    <row r="123" spans="1:10" x14ac:dyDescent="0.3">
      <c r="A123">
        <v>121</v>
      </c>
      <c r="B123">
        <v>1949</v>
      </c>
      <c r="C123" t="b">
        <v>1</v>
      </c>
      <c r="D123">
        <v>8094</v>
      </c>
      <c r="E123">
        <v>8140</v>
      </c>
      <c r="F123">
        <v>43.333331999999999</v>
      </c>
      <c r="G123">
        <v>23.4</v>
      </c>
      <c r="H123">
        <v>1.8518517999999999</v>
      </c>
      <c r="I123">
        <v>-0.85185180000000005</v>
      </c>
      <c r="J123">
        <v>0.35064936000000002</v>
      </c>
    </row>
    <row r="124" spans="1:10" x14ac:dyDescent="0.3">
      <c r="A124">
        <v>122</v>
      </c>
      <c r="B124">
        <v>1965</v>
      </c>
      <c r="C124" t="b">
        <v>1</v>
      </c>
      <c r="D124">
        <v>8088</v>
      </c>
      <c r="E124">
        <v>8140</v>
      </c>
      <c r="F124">
        <v>43.666668000000001</v>
      </c>
      <c r="G124">
        <v>23.4</v>
      </c>
      <c r="H124">
        <v>1.8660969999999999</v>
      </c>
      <c r="I124">
        <v>-0.86609700000000001</v>
      </c>
      <c r="J124">
        <v>0.34890654999999998</v>
      </c>
    </row>
    <row r="125" spans="1:10" x14ac:dyDescent="0.3">
      <c r="A125">
        <v>123</v>
      </c>
      <c r="B125">
        <v>1981</v>
      </c>
      <c r="C125" t="b">
        <v>1</v>
      </c>
      <c r="D125">
        <v>8088</v>
      </c>
      <c r="E125">
        <v>8134</v>
      </c>
      <c r="F125">
        <v>44</v>
      </c>
      <c r="G125">
        <v>23.4</v>
      </c>
      <c r="H125">
        <v>1.8803418999999999</v>
      </c>
      <c r="I125">
        <v>-0.88034190000000001</v>
      </c>
      <c r="J125">
        <v>0.34718100000000002</v>
      </c>
    </row>
    <row r="126" spans="1:10" x14ac:dyDescent="0.3">
      <c r="A126">
        <v>124</v>
      </c>
      <c r="B126">
        <v>1997</v>
      </c>
      <c r="C126" t="b">
        <v>1</v>
      </c>
      <c r="D126">
        <v>8094</v>
      </c>
      <c r="E126">
        <v>8134</v>
      </c>
      <c r="F126">
        <v>44.333331999999999</v>
      </c>
      <c r="G126">
        <v>23.8</v>
      </c>
      <c r="H126">
        <v>1.8627450000000001</v>
      </c>
      <c r="I126">
        <v>-0.86274510000000004</v>
      </c>
      <c r="J126">
        <v>0.34931508</v>
      </c>
    </row>
    <row r="127" spans="1:10" x14ac:dyDescent="0.3">
      <c r="A127">
        <v>125</v>
      </c>
      <c r="B127">
        <v>2013</v>
      </c>
      <c r="C127" t="b">
        <v>1</v>
      </c>
      <c r="D127">
        <v>8100</v>
      </c>
      <c r="E127">
        <v>8134</v>
      </c>
      <c r="F127">
        <v>45.066665999999998</v>
      </c>
      <c r="G127">
        <v>23.8</v>
      </c>
      <c r="H127">
        <v>1.8935573999999999</v>
      </c>
      <c r="I127">
        <v>-0.89355739999999995</v>
      </c>
      <c r="J127">
        <v>0.34559532999999998</v>
      </c>
    </row>
    <row r="128" spans="1:10" x14ac:dyDescent="0.3">
      <c r="A128">
        <v>126</v>
      </c>
      <c r="B128">
        <v>2028</v>
      </c>
      <c r="C128" t="b">
        <v>1</v>
      </c>
      <c r="D128">
        <v>8100</v>
      </c>
      <c r="E128">
        <v>8134</v>
      </c>
      <c r="F128">
        <v>45.8</v>
      </c>
      <c r="G128">
        <v>23.8</v>
      </c>
      <c r="H128">
        <v>1.9243698</v>
      </c>
      <c r="I128">
        <v>-0.92436974999999999</v>
      </c>
      <c r="J128">
        <v>0.34195402000000003</v>
      </c>
    </row>
    <row r="129" spans="1:10" x14ac:dyDescent="0.3">
      <c r="A129">
        <v>127</v>
      </c>
      <c r="B129">
        <v>2044</v>
      </c>
      <c r="C129" t="b">
        <v>1</v>
      </c>
      <c r="D129">
        <v>8094</v>
      </c>
      <c r="E129">
        <v>8134</v>
      </c>
      <c r="F129">
        <v>46.533332999999999</v>
      </c>
      <c r="G129">
        <v>23.8</v>
      </c>
      <c r="H129">
        <v>1.9551821</v>
      </c>
      <c r="I129">
        <v>-0.95518214000000001</v>
      </c>
      <c r="J129">
        <v>0.33838865000000001</v>
      </c>
    </row>
    <row r="130" spans="1:10" x14ac:dyDescent="0.3">
      <c r="A130">
        <v>128</v>
      </c>
      <c r="B130">
        <v>2060</v>
      </c>
      <c r="C130" t="b">
        <v>1</v>
      </c>
      <c r="D130">
        <v>8088</v>
      </c>
      <c r="E130">
        <v>8134</v>
      </c>
      <c r="F130">
        <v>47.266666000000001</v>
      </c>
      <c r="G130">
        <v>23.4</v>
      </c>
      <c r="H130">
        <v>2.019943</v>
      </c>
      <c r="I130">
        <v>-1.019943</v>
      </c>
      <c r="J130">
        <v>0.33113208</v>
      </c>
    </row>
    <row r="131" spans="1:10" x14ac:dyDescent="0.3">
      <c r="A131">
        <v>129</v>
      </c>
      <c r="B131">
        <v>2076</v>
      </c>
      <c r="C131" t="b">
        <v>1</v>
      </c>
      <c r="D131">
        <v>8094</v>
      </c>
      <c r="E131">
        <v>8134</v>
      </c>
      <c r="F131">
        <v>48</v>
      </c>
      <c r="G131">
        <v>23</v>
      </c>
      <c r="H131">
        <v>2.0869564999999999</v>
      </c>
      <c r="I131">
        <v>-1.0869565000000001</v>
      </c>
      <c r="J131">
        <v>0.32394367000000002</v>
      </c>
    </row>
    <row r="132" spans="1:10" x14ac:dyDescent="0.3">
      <c r="A132">
        <v>130</v>
      </c>
      <c r="B132">
        <v>2092</v>
      </c>
      <c r="C132" t="b">
        <v>1</v>
      </c>
      <c r="D132">
        <v>8094</v>
      </c>
      <c r="E132">
        <v>8140</v>
      </c>
      <c r="F132">
        <v>48.733333999999999</v>
      </c>
      <c r="G132">
        <v>22.6</v>
      </c>
      <c r="H132">
        <v>2.1563422999999999</v>
      </c>
      <c r="I132">
        <v>-1.1563421</v>
      </c>
      <c r="J132">
        <v>0.3168224</v>
      </c>
    </row>
    <row r="133" spans="1:10" x14ac:dyDescent="0.3">
      <c r="A133">
        <v>131</v>
      </c>
      <c r="B133">
        <v>2107</v>
      </c>
      <c r="C133" t="b">
        <v>1</v>
      </c>
      <c r="D133">
        <v>8088</v>
      </c>
      <c r="E133">
        <v>8146</v>
      </c>
      <c r="F133">
        <v>49.466667000000001</v>
      </c>
      <c r="G133">
        <v>22.2</v>
      </c>
      <c r="H133">
        <v>2.2282280000000001</v>
      </c>
      <c r="I133">
        <v>-1.2282282</v>
      </c>
      <c r="J133">
        <v>0.30976743000000001</v>
      </c>
    </row>
    <row r="134" spans="1:10" x14ac:dyDescent="0.3">
      <c r="A134">
        <v>132</v>
      </c>
      <c r="B134">
        <v>2123</v>
      </c>
      <c r="C134" t="b">
        <v>1</v>
      </c>
      <c r="D134">
        <v>8077</v>
      </c>
      <c r="E134">
        <v>8140</v>
      </c>
      <c r="F134">
        <v>49.8</v>
      </c>
      <c r="G134">
        <v>22.2</v>
      </c>
      <c r="H134">
        <v>2.2432432000000002</v>
      </c>
      <c r="I134">
        <v>-1.2432430999999999</v>
      </c>
      <c r="J134">
        <v>0.30833334000000001</v>
      </c>
    </row>
    <row r="135" spans="1:10" x14ac:dyDescent="0.3">
      <c r="A135">
        <v>133</v>
      </c>
      <c r="B135">
        <v>2139</v>
      </c>
      <c r="C135" t="b">
        <v>1</v>
      </c>
      <c r="D135">
        <v>8077</v>
      </c>
      <c r="E135">
        <v>8140</v>
      </c>
      <c r="F135">
        <v>50.133335000000002</v>
      </c>
      <c r="G135">
        <v>22.2</v>
      </c>
      <c r="H135">
        <v>2.2582583000000001</v>
      </c>
      <c r="I135">
        <v>-1.2582582</v>
      </c>
      <c r="J135">
        <v>0.30691245</v>
      </c>
    </row>
    <row r="136" spans="1:10" x14ac:dyDescent="0.3">
      <c r="A136">
        <v>134</v>
      </c>
      <c r="B136">
        <v>2155</v>
      </c>
      <c r="C136" t="b">
        <v>1</v>
      </c>
      <c r="D136">
        <v>8100</v>
      </c>
      <c r="E136">
        <v>8140</v>
      </c>
      <c r="F136">
        <v>50.466667000000001</v>
      </c>
      <c r="G136">
        <v>22.2</v>
      </c>
      <c r="H136">
        <v>2.2732732000000002</v>
      </c>
      <c r="I136">
        <v>-1.2732732</v>
      </c>
      <c r="J136">
        <v>0.30550460000000002</v>
      </c>
    </row>
    <row r="137" spans="1:10" x14ac:dyDescent="0.3">
      <c r="A137">
        <v>135</v>
      </c>
      <c r="B137">
        <v>2171</v>
      </c>
      <c r="C137" t="b">
        <v>1</v>
      </c>
      <c r="D137">
        <v>8088</v>
      </c>
      <c r="E137">
        <v>8140</v>
      </c>
      <c r="F137">
        <v>50.8</v>
      </c>
      <c r="G137">
        <v>22.2</v>
      </c>
      <c r="H137">
        <v>2.2882880000000001</v>
      </c>
      <c r="I137">
        <v>-1.2882880999999999</v>
      </c>
      <c r="J137">
        <v>0.30410959999999998</v>
      </c>
    </row>
    <row r="138" spans="1:10" x14ac:dyDescent="0.3">
      <c r="A138">
        <v>136</v>
      </c>
      <c r="B138">
        <v>2187</v>
      </c>
      <c r="C138" t="b">
        <v>1</v>
      </c>
      <c r="D138">
        <v>8083</v>
      </c>
      <c r="E138">
        <v>8134</v>
      </c>
      <c r="F138">
        <v>50.466667000000001</v>
      </c>
      <c r="G138">
        <v>22.2</v>
      </c>
      <c r="H138">
        <v>2.2732732000000002</v>
      </c>
      <c r="I138">
        <v>-1.2732732</v>
      </c>
      <c r="J138">
        <v>0.30550460000000002</v>
      </c>
    </row>
    <row r="139" spans="1:10" x14ac:dyDescent="0.3">
      <c r="A139">
        <v>137</v>
      </c>
      <c r="B139">
        <v>2203</v>
      </c>
      <c r="C139" t="b">
        <v>1</v>
      </c>
      <c r="D139">
        <v>8083</v>
      </c>
      <c r="E139">
        <v>8129</v>
      </c>
      <c r="F139">
        <v>50.133335000000002</v>
      </c>
      <c r="G139">
        <v>22.2</v>
      </c>
      <c r="H139">
        <v>2.2582583000000001</v>
      </c>
      <c r="I139">
        <v>-1.2582582</v>
      </c>
      <c r="J139">
        <v>0.30691245</v>
      </c>
    </row>
    <row r="140" spans="1:10" x14ac:dyDescent="0.3">
      <c r="A140">
        <v>138</v>
      </c>
      <c r="B140">
        <v>2218</v>
      </c>
      <c r="C140" t="b">
        <v>1</v>
      </c>
      <c r="D140">
        <v>8083</v>
      </c>
      <c r="E140">
        <v>8134</v>
      </c>
      <c r="F140">
        <v>49.8</v>
      </c>
      <c r="G140">
        <v>21.8</v>
      </c>
      <c r="H140">
        <v>2.2844038000000002</v>
      </c>
      <c r="I140">
        <v>-1.2844036999999999</v>
      </c>
      <c r="J140">
        <v>0.30446926000000002</v>
      </c>
    </row>
    <row r="141" spans="1:10" x14ac:dyDescent="0.3">
      <c r="A141">
        <v>139</v>
      </c>
      <c r="B141">
        <v>2234</v>
      </c>
      <c r="C141" t="b">
        <v>1</v>
      </c>
      <c r="D141">
        <v>8083</v>
      </c>
      <c r="E141">
        <v>8134</v>
      </c>
      <c r="F141">
        <v>49.466667000000001</v>
      </c>
      <c r="G141">
        <v>21.4</v>
      </c>
      <c r="H141">
        <v>2.3115264999999998</v>
      </c>
      <c r="I141">
        <v>-1.3115265</v>
      </c>
      <c r="J141">
        <v>0.30197552</v>
      </c>
    </row>
    <row r="142" spans="1:10" x14ac:dyDescent="0.3">
      <c r="A142">
        <v>140</v>
      </c>
      <c r="B142">
        <v>2250</v>
      </c>
      <c r="C142" t="b">
        <v>1</v>
      </c>
      <c r="D142">
        <v>8083</v>
      </c>
      <c r="E142">
        <v>8134</v>
      </c>
      <c r="F142">
        <v>48.733333999999999</v>
      </c>
      <c r="G142">
        <v>21.4</v>
      </c>
      <c r="H142">
        <v>2.2772586000000001</v>
      </c>
      <c r="I142">
        <v>-1.2772585999999999</v>
      </c>
      <c r="J142">
        <v>0.30513307000000001</v>
      </c>
    </row>
    <row r="143" spans="1:10" x14ac:dyDescent="0.3">
      <c r="A143">
        <v>141</v>
      </c>
      <c r="B143">
        <v>2267</v>
      </c>
      <c r="C143" t="b">
        <v>1</v>
      </c>
      <c r="D143">
        <v>8071</v>
      </c>
      <c r="E143">
        <v>8134</v>
      </c>
      <c r="F143">
        <v>48</v>
      </c>
      <c r="G143">
        <v>21.4</v>
      </c>
      <c r="H143">
        <v>2.2429907</v>
      </c>
      <c r="I143">
        <v>-1.2429907</v>
      </c>
      <c r="J143">
        <v>0.30835732999999999</v>
      </c>
    </row>
    <row r="144" spans="1:10" x14ac:dyDescent="0.3">
      <c r="A144">
        <v>142</v>
      </c>
      <c r="B144">
        <v>2283</v>
      </c>
      <c r="C144" t="b">
        <v>1</v>
      </c>
      <c r="D144">
        <v>8083</v>
      </c>
      <c r="E144">
        <v>8140</v>
      </c>
      <c r="F144">
        <v>47.266666000000001</v>
      </c>
      <c r="G144">
        <v>21.4</v>
      </c>
      <c r="H144">
        <v>2.2087227999999999</v>
      </c>
      <c r="I144">
        <v>-1.2087227</v>
      </c>
      <c r="J144">
        <v>0.31165048000000001</v>
      </c>
    </row>
    <row r="145" spans="1:10" x14ac:dyDescent="0.3">
      <c r="A145">
        <v>143</v>
      </c>
      <c r="B145">
        <v>2298</v>
      </c>
      <c r="C145" t="b">
        <v>1</v>
      </c>
      <c r="D145">
        <v>8065</v>
      </c>
      <c r="E145">
        <v>8140</v>
      </c>
      <c r="F145">
        <v>46.533332999999999</v>
      </c>
      <c r="G145">
        <v>21.4</v>
      </c>
      <c r="H145">
        <v>2.174455</v>
      </c>
      <c r="I145">
        <v>-1.1744547999999999</v>
      </c>
      <c r="J145">
        <v>0.31501472000000003</v>
      </c>
    </row>
    <row r="146" spans="1:10" x14ac:dyDescent="0.3">
      <c r="A146">
        <v>144</v>
      </c>
      <c r="B146">
        <v>2314</v>
      </c>
      <c r="C146" t="b">
        <v>1</v>
      </c>
      <c r="D146">
        <v>8083</v>
      </c>
      <c r="E146">
        <v>8140</v>
      </c>
      <c r="F146">
        <v>45.8</v>
      </c>
      <c r="G146">
        <v>21.8</v>
      </c>
      <c r="H146">
        <v>2.1009175999999998</v>
      </c>
      <c r="I146">
        <v>-1.1009175</v>
      </c>
      <c r="J146">
        <v>0.32248520000000003</v>
      </c>
    </row>
    <row r="147" spans="1:10" x14ac:dyDescent="0.3">
      <c r="A147">
        <v>145</v>
      </c>
      <c r="B147">
        <v>2330</v>
      </c>
      <c r="C147" t="b">
        <v>1</v>
      </c>
      <c r="D147">
        <v>8083</v>
      </c>
      <c r="E147">
        <v>8140</v>
      </c>
      <c r="F147">
        <v>45.066665999999998</v>
      </c>
      <c r="G147">
        <v>22.2</v>
      </c>
      <c r="H147">
        <v>2.03003</v>
      </c>
      <c r="I147">
        <v>-1.0300298999999999</v>
      </c>
      <c r="J147">
        <v>0.33002976000000001</v>
      </c>
    </row>
    <row r="148" spans="1:10" x14ac:dyDescent="0.3">
      <c r="A148">
        <v>146</v>
      </c>
      <c r="B148">
        <v>2346</v>
      </c>
      <c r="C148" t="b">
        <v>1</v>
      </c>
      <c r="D148">
        <v>8088</v>
      </c>
      <c r="E148">
        <v>8134</v>
      </c>
      <c r="F148">
        <v>44.333331999999999</v>
      </c>
      <c r="G148">
        <v>22.6</v>
      </c>
      <c r="H148">
        <v>1.9616518000000001</v>
      </c>
      <c r="I148">
        <v>-0.96165179999999995</v>
      </c>
      <c r="J148">
        <v>0.33764939999999999</v>
      </c>
    </row>
    <row r="149" spans="1:10" x14ac:dyDescent="0.3">
      <c r="A149">
        <v>147</v>
      </c>
      <c r="B149">
        <v>2362</v>
      </c>
      <c r="C149" t="b">
        <v>1</v>
      </c>
      <c r="D149">
        <v>8094</v>
      </c>
      <c r="E149">
        <v>8146</v>
      </c>
      <c r="F149">
        <v>44</v>
      </c>
      <c r="G149">
        <v>22.6</v>
      </c>
      <c r="H149">
        <v>1.9469026</v>
      </c>
      <c r="I149">
        <v>-0.94690262999999997</v>
      </c>
      <c r="J149">
        <v>0.33933934999999998</v>
      </c>
    </row>
    <row r="150" spans="1:10" x14ac:dyDescent="0.3">
      <c r="A150">
        <v>148</v>
      </c>
      <c r="B150">
        <v>2378</v>
      </c>
      <c r="C150" t="b">
        <v>1</v>
      </c>
      <c r="D150">
        <v>8094</v>
      </c>
      <c r="E150">
        <v>8134</v>
      </c>
      <c r="F150">
        <v>44</v>
      </c>
      <c r="G150">
        <v>22.6</v>
      </c>
      <c r="H150">
        <v>1.9469026</v>
      </c>
      <c r="I150">
        <v>-0.94690262999999997</v>
      </c>
      <c r="J150">
        <v>0.33933934999999998</v>
      </c>
    </row>
    <row r="151" spans="1:10" x14ac:dyDescent="0.3">
      <c r="A151">
        <v>149</v>
      </c>
      <c r="B151">
        <v>2394</v>
      </c>
      <c r="C151" t="b">
        <v>1</v>
      </c>
      <c r="D151">
        <v>8088</v>
      </c>
      <c r="E151">
        <v>8134</v>
      </c>
      <c r="F151">
        <v>44</v>
      </c>
      <c r="G151">
        <v>22.2</v>
      </c>
      <c r="H151">
        <v>1.9819819000000001</v>
      </c>
      <c r="I151">
        <v>-0.98198193</v>
      </c>
      <c r="J151">
        <v>0.33534746999999998</v>
      </c>
    </row>
    <row r="152" spans="1:10" x14ac:dyDescent="0.3">
      <c r="A152">
        <v>150</v>
      </c>
      <c r="B152">
        <v>2410</v>
      </c>
      <c r="C152" t="b">
        <v>1</v>
      </c>
      <c r="D152">
        <v>8083</v>
      </c>
      <c r="E152">
        <v>8134</v>
      </c>
      <c r="F152">
        <v>44</v>
      </c>
      <c r="G152">
        <v>21.8</v>
      </c>
      <c r="H152">
        <v>2.0183487000000002</v>
      </c>
      <c r="I152">
        <v>-1.0183487</v>
      </c>
      <c r="J152">
        <v>0.33130695999999998</v>
      </c>
    </row>
    <row r="153" spans="1:10" x14ac:dyDescent="0.3">
      <c r="A153">
        <v>151</v>
      </c>
      <c r="B153">
        <v>2426</v>
      </c>
      <c r="C153" t="b">
        <v>1</v>
      </c>
      <c r="D153">
        <v>8083</v>
      </c>
      <c r="E153">
        <v>8134</v>
      </c>
      <c r="F153">
        <v>44.333331999999999</v>
      </c>
      <c r="G153">
        <v>21.4</v>
      </c>
      <c r="H153">
        <v>2.0716510000000001</v>
      </c>
      <c r="I153">
        <v>-1.0716511</v>
      </c>
      <c r="J153">
        <v>0.32555782999999999</v>
      </c>
    </row>
    <row r="154" spans="1:10" x14ac:dyDescent="0.3">
      <c r="A154">
        <v>152</v>
      </c>
      <c r="B154">
        <v>2442</v>
      </c>
      <c r="C154" t="b">
        <v>1</v>
      </c>
      <c r="D154">
        <v>8083</v>
      </c>
      <c r="E154">
        <v>8134</v>
      </c>
      <c r="F154">
        <v>44.333331999999999</v>
      </c>
      <c r="G154">
        <v>21</v>
      </c>
      <c r="H154">
        <v>2.1111111999999999</v>
      </c>
      <c r="I154">
        <v>-1.111111</v>
      </c>
      <c r="J154">
        <v>0.32142860000000001</v>
      </c>
    </row>
    <row r="155" spans="1:10" x14ac:dyDescent="0.3">
      <c r="A155">
        <v>153</v>
      </c>
      <c r="B155">
        <v>2458</v>
      </c>
      <c r="C155" t="b">
        <v>1</v>
      </c>
      <c r="D155">
        <v>8094</v>
      </c>
      <c r="E155">
        <v>8129</v>
      </c>
      <c r="F155">
        <v>44.333331999999999</v>
      </c>
      <c r="G155">
        <v>21</v>
      </c>
      <c r="H155">
        <v>2.1111111999999999</v>
      </c>
      <c r="I155">
        <v>-1.111111</v>
      </c>
      <c r="J155">
        <v>0.32142860000000001</v>
      </c>
    </row>
    <row r="156" spans="1:10" x14ac:dyDescent="0.3">
      <c r="A156">
        <v>154</v>
      </c>
      <c r="B156">
        <v>2474</v>
      </c>
      <c r="C156" t="b">
        <v>1</v>
      </c>
      <c r="D156">
        <v>8100</v>
      </c>
      <c r="E156">
        <v>8146</v>
      </c>
      <c r="F156">
        <v>44.333331999999999</v>
      </c>
      <c r="G156">
        <v>21</v>
      </c>
      <c r="H156">
        <v>2.1111111999999999</v>
      </c>
      <c r="I156">
        <v>-1.111111</v>
      </c>
      <c r="J156">
        <v>0.32142860000000001</v>
      </c>
    </row>
    <row r="157" spans="1:10" x14ac:dyDescent="0.3">
      <c r="A157">
        <v>155</v>
      </c>
      <c r="B157">
        <v>2489</v>
      </c>
      <c r="C157" t="b">
        <v>1</v>
      </c>
      <c r="D157">
        <v>8088</v>
      </c>
      <c r="E157">
        <v>8140</v>
      </c>
      <c r="F157">
        <v>44.666668000000001</v>
      </c>
      <c r="G157">
        <v>21</v>
      </c>
      <c r="H157">
        <v>2.1269841</v>
      </c>
      <c r="I157">
        <v>-1.1269842000000001</v>
      </c>
      <c r="J157">
        <v>0.31979691999999998</v>
      </c>
    </row>
    <row r="158" spans="1:10" x14ac:dyDescent="0.3">
      <c r="A158">
        <v>156</v>
      </c>
      <c r="B158">
        <v>2505</v>
      </c>
      <c r="C158" t="b">
        <v>1</v>
      </c>
      <c r="D158">
        <v>8083</v>
      </c>
      <c r="E158">
        <v>8140</v>
      </c>
      <c r="F158">
        <v>45</v>
      </c>
      <c r="G158">
        <v>21.4</v>
      </c>
      <c r="H158">
        <v>2.1028036999999999</v>
      </c>
      <c r="I158">
        <v>-1.1028038</v>
      </c>
      <c r="J158">
        <v>0.32228913999999997</v>
      </c>
    </row>
    <row r="159" spans="1:10" x14ac:dyDescent="0.3">
      <c r="A159">
        <v>157</v>
      </c>
      <c r="B159">
        <v>2521</v>
      </c>
      <c r="C159" t="b">
        <v>1</v>
      </c>
      <c r="D159">
        <v>8083</v>
      </c>
      <c r="E159">
        <v>8140</v>
      </c>
      <c r="F159">
        <v>45.333331999999999</v>
      </c>
      <c r="G159">
        <v>21.8</v>
      </c>
      <c r="H159">
        <v>2.0795107000000002</v>
      </c>
      <c r="I159">
        <v>-1.0795106999999999</v>
      </c>
      <c r="J159">
        <v>0.32472689999999999</v>
      </c>
    </row>
    <row r="160" spans="1:10" x14ac:dyDescent="0.3">
      <c r="A160">
        <v>158</v>
      </c>
      <c r="B160">
        <v>2537</v>
      </c>
      <c r="C160" t="b">
        <v>1</v>
      </c>
      <c r="D160">
        <v>8083</v>
      </c>
      <c r="E160">
        <v>8140</v>
      </c>
      <c r="F160">
        <v>45.333331999999999</v>
      </c>
      <c r="G160">
        <v>22.2</v>
      </c>
      <c r="H160">
        <v>2.0420419999999999</v>
      </c>
      <c r="I160">
        <v>-1.0420419000000001</v>
      </c>
      <c r="J160">
        <v>0.32872656</v>
      </c>
    </row>
    <row r="161" spans="1:10" x14ac:dyDescent="0.3">
      <c r="A161">
        <v>159</v>
      </c>
      <c r="B161">
        <v>2553</v>
      </c>
      <c r="C161" t="b">
        <v>1</v>
      </c>
      <c r="D161">
        <v>8088</v>
      </c>
      <c r="E161">
        <v>8146</v>
      </c>
      <c r="F161">
        <v>45.333331999999999</v>
      </c>
      <c r="G161">
        <v>22.2</v>
      </c>
      <c r="H161">
        <v>2.0420419999999999</v>
      </c>
      <c r="I161">
        <v>-1.0420419000000001</v>
      </c>
      <c r="J161">
        <v>0.32872656</v>
      </c>
    </row>
    <row r="162" spans="1:10" x14ac:dyDescent="0.3">
      <c r="A162">
        <v>160</v>
      </c>
      <c r="B162">
        <v>2568</v>
      </c>
      <c r="C162" t="b">
        <v>1</v>
      </c>
      <c r="D162">
        <v>8094</v>
      </c>
      <c r="E162">
        <v>8140</v>
      </c>
      <c r="F162">
        <v>45.333331999999999</v>
      </c>
      <c r="G162">
        <v>22.2</v>
      </c>
      <c r="H162">
        <v>2.0420419999999999</v>
      </c>
      <c r="I162">
        <v>-1.0420419000000001</v>
      </c>
      <c r="J162">
        <v>0.32872656</v>
      </c>
    </row>
    <row r="163" spans="1:10" x14ac:dyDescent="0.3">
      <c r="A163">
        <v>161</v>
      </c>
      <c r="B163">
        <v>2584</v>
      </c>
      <c r="C163" t="b">
        <v>1</v>
      </c>
      <c r="D163">
        <v>8083</v>
      </c>
      <c r="E163">
        <v>8134</v>
      </c>
      <c r="F163">
        <v>45.333331999999999</v>
      </c>
      <c r="G163">
        <v>22.2</v>
      </c>
      <c r="H163">
        <v>2.0420419999999999</v>
      </c>
      <c r="I163">
        <v>-1.0420419000000001</v>
      </c>
      <c r="J163">
        <v>0.32872656</v>
      </c>
    </row>
    <row r="164" spans="1:10" x14ac:dyDescent="0.3">
      <c r="A164">
        <v>162</v>
      </c>
      <c r="B164">
        <v>2600</v>
      </c>
      <c r="C164" t="b">
        <v>1</v>
      </c>
      <c r="D164">
        <v>8071</v>
      </c>
      <c r="E164">
        <v>8134</v>
      </c>
      <c r="F164">
        <v>45.333331999999999</v>
      </c>
      <c r="G164">
        <v>22.2</v>
      </c>
      <c r="H164">
        <v>2.0420419999999999</v>
      </c>
      <c r="I164">
        <v>-1.0420419000000001</v>
      </c>
      <c r="J164">
        <v>0.32872656</v>
      </c>
    </row>
    <row r="165" spans="1:10" x14ac:dyDescent="0.3">
      <c r="A165">
        <v>163</v>
      </c>
      <c r="B165">
        <v>2616</v>
      </c>
      <c r="C165" t="b">
        <v>1</v>
      </c>
      <c r="D165">
        <v>8077</v>
      </c>
      <c r="E165">
        <v>8134</v>
      </c>
      <c r="F165">
        <v>45</v>
      </c>
      <c r="G165">
        <v>21.8</v>
      </c>
      <c r="H165">
        <v>2.0642201999999998</v>
      </c>
      <c r="I165">
        <v>-1.0642202999999999</v>
      </c>
      <c r="J165">
        <v>0.32634730000000001</v>
      </c>
    </row>
    <row r="166" spans="1:10" x14ac:dyDescent="0.3">
      <c r="A166">
        <v>164</v>
      </c>
      <c r="B166">
        <v>2632</v>
      </c>
      <c r="C166" t="b">
        <v>1</v>
      </c>
      <c r="D166">
        <v>8083</v>
      </c>
      <c r="E166">
        <v>8129</v>
      </c>
      <c r="F166">
        <v>44.666668000000001</v>
      </c>
      <c r="G166">
        <v>21.8</v>
      </c>
      <c r="H166">
        <v>2.0489297</v>
      </c>
      <c r="I166">
        <v>-1.0489298</v>
      </c>
      <c r="J166">
        <v>0.32798395000000002</v>
      </c>
    </row>
    <row r="167" spans="1:10" x14ac:dyDescent="0.3">
      <c r="A167">
        <v>165</v>
      </c>
      <c r="B167">
        <v>2648</v>
      </c>
      <c r="C167" t="b">
        <v>1</v>
      </c>
      <c r="D167">
        <v>8083</v>
      </c>
      <c r="E167">
        <v>8134</v>
      </c>
      <c r="F167">
        <v>44.333331999999999</v>
      </c>
      <c r="G167">
        <v>21.8</v>
      </c>
      <c r="H167">
        <v>2.0336392000000001</v>
      </c>
      <c r="I167">
        <v>-1.0336392000000001</v>
      </c>
      <c r="J167">
        <v>0.32963710000000002</v>
      </c>
    </row>
    <row r="168" spans="1:10" x14ac:dyDescent="0.3">
      <c r="A168">
        <v>166</v>
      </c>
      <c r="B168">
        <v>2663</v>
      </c>
      <c r="C168" t="b">
        <v>1</v>
      </c>
      <c r="D168">
        <v>8083</v>
      </c>
      <c r="E168">
        <v>8134</v>
      </c>
      <c r="F168">
        <v>44</v>
      </c>
      <c r="G168">
        <v>21.8</v>
      </c>
      <c r="H168">
        <v>2.0183487000000002</v>
      </c>
      <c r="I168">
        <v>-1.0183487</v>
      </c>
      <c r="J168">
        <v>0.33130695999999998</v>
      </c>
    </row>
    <row r="169" spans="1:10" x14ac:dyDescent="0.3">
      <c r="A169">
        <v>167</v>
      </c>
      <c r="B169">
        <v>2679</v>
      </c>
      <c r="C169" t="b">
        <v>1</v>
      </c>
      <c r="D169">
        <v>8071</v>
      </c>
      <c r="E169">
        <v>8140</v>
      </c>
      <c r="F169">
        <v>44</v>
      </c>
      <c r="G169">
        <v>21.8</v>
      </c>
      <c r="H169">
        <v>2.0183487000000002</v>
      </c>
      <c r="I169">
        <v>-1.0183487</v>
      </c>
      <c r="J169">
        <v>0.33130695999999998</v>
      </c>
    </row>
    <row r="170" spans="1:10" x14ac:dyDescent="0.3">
      <c r="A170">
        <v>168</v>
      </c>
      <c r="B170">
        <v>2695</v>
      </c>
      <c r="C170" t="b">
        <v>1</v>
      </c>
      <c r="D170">
        <v>8083</v>
      </c>
      <c r="E170">
        <v>8140</v>
      </c>
      <c r="F170">
        <v>44</v>
      </c>
      <c r="G170">
        <v>21.8</v>
      </c>
      <c r="H170">
        <v>2.0183487000000002</v>
      </c>
      <c r="I170">
        <v>-1.0183487</v>
      </c>
      <c r="J170">
        <v>0.33130695999999998</v>
      </c>
    </row>
    <row r="171" spans="1:10" x14ac:dyDescent="0.3">
      <c r="A171">
        <v>169</v>
      </c>
      <c r="B171">
        <v>2711</v>
      </c>
      <c r="C171" t="b">
        <v>1</v>
      </c>
      <c r="D171">
        <v>8088</v>
      </c>
      <c r="E171">
        <v>8134</v>
      </c>
      <c r="F171">
        <v>44</v>
      </c>
      <c r="G171">
        <v>21.8</v>
      </c>
      <c r="H171">
        <v>2.0183487000000002</v>
      </c>
      <c r="I171">
        <v>-1.0183487</v>
      </c>
      <c r="J171">
        <v>0.33130695999999998</v>
      </c>
    </row>
    <row r="172" spans="1:10" x14ac:dyDescent="0.3">
      <c r="A172">
        <v>170</v>
      </c>
      <c r="B172">
        <v>2727</v>
      </c>
      <c r="C172" t="b">
        <v>1</v>
      </c>
      <c r="D172">
        <v>8088</v>
      </c>
      <c r="E172">
        <v>8134</v>
      </c>
      <c r="F172">
        <v>43.666668000000001</v>
      </c>
      <c r="G172">
        <v>21.8</v>
      </c>
      <c r="H172">
        <v>2.0030581999999999</v>
      </c>
      <c r="I172">
        <v>-1.0030581999999999</v>
      </c>
      <c r="J172">
        <v>0.33299387000000003</v>
      </c>
    </row>
    <row r="173" spans="1:10" x14ac:dyDescent="0.3">
      <c r="A173">
        <v>171</v>
      </c>
      <c r="B173">
        <v>2743</v>
      </c>
      <c r="C173" t="b">
        <v>1</v>
      </c>
      <c r="D173">
        <v>8094</v>
      </c>
      <c r="E173">
        <v>8134</v>
      </c>
      <c r="F173">
        <v>43.666668000000001</v>
      </c>
      <c r="G173">
        <v>21.4</v>
      </c>
      <c r="H173">
        <v>2.0404985</v>
      </c>
      <c r="I173">
        <v>-1.0404985</v>
      </c>
      <c r="J173">
        <v>0.32889344999999998</v>
      </c>
    </row>
    <row r="174" spans="1:10" x14ac:dyDescent="0.3">
      <c r="A174">
        <v>172</v>
      </c>
      <c r="B174">
        <v>2759</v>
      </c>
      <c r="C174" t="b">
        <v>1</v>
      </c>
      <c r="D174">
        <v>8083</v>
      </c>
      <c r="E174">
        <v>8134</v>
      </c>
      <c r="F174">
        <v>43.666668000000001</v>
      </c>
      <c r="G174">
        <v>21</v>
      </c>
      <c r="H174">
        <v>2.0793653000000001</v>
      </c>
      <c r="I174">
        <v>-1.0793651</v>
      </c>
      <c r="J174">
        <v>0.32474223000000002</v>
      </c>
    </row>
    <row r="175" spans="1:10" x14ac:dyDescent="0.3">
      <c r="A175">
        <v>173</v>
      </c>
      <c r="B175">
        <v>2775</v>
      </c>
      <c r="C175" t="b">
        <v>1</v>
      </c>
      <c r="D175">
        <v>8077</v>
      </c>
      <c r="E175">
        <v>8134</v>
      </c>
      <c r="F175">
        <v>44</v>
      </c>
      <c r="G175">
        <v>20.6</v>
      </c>
      <c r="H175">
        <v>2.1359222</v>
      </c>
      <c r="I175">
        <v>-1.1359223000000001</v>
      </c>
      <c r="J175">
        <v>0.31888548</v>
      </c>
    </row>
    <row r="176" spans="1:10" x14ac:dyDescent="0.3">
      <c r="A176">
        <v>174</v>
      </c>
      <c r="B176">
        <v>2791</v>
      </c>
      <c r="C176" t="b">
        <v>1</v>
      </c>
      <c r="D176">
        <v>8083</v>
      </c>
      <c r="E176">
        <v>8140</v>
      </c>
      <c r="F176">
        <v>44</v>
      </c>
      <c r="G176">
        <v>20.2</v>
      </c>
      <c r="H176">
        <v>2.1782176</v>
      </c>
      <c r="I176">
        <v>-1.1782178000000001</v>
      </c>
      <c r="J176">
        <v>0.31464176999999999</v>
      </c>
    </row>
    <row r="177" spans="1:10" x14ac:dyDescent="0.3">
      <c r="A177">
        <v>175</v>
      </c>
      <c r="B177">
        <v>2807</v>
      </c>
      <c r="C177" t="b">
        <v>1</v>
      </c>
      <c r="D177">
        <v>8088</v>
      </c>
      <c r="E177">
        <v>8140</v>
      </c>
      <c r="F177">
        <v>44</v>
      </c>
      <c r="G177">
        <v>19.8</v>
      </c>
      <c r="H177">
        <v>2.2222222999999999</v>
      </c>
      <c r="I177">
        <v>-1.2222223000000001</v>
      </c>
      <c r="J177">
        <v>0.31034482000000002</v>
      </c>
    </row>
    <row r="178" spans="1:10" x14ac:dyDescent="0.3">
      <c r="A178">
        <v>176</v>
      </c>
      <c r="B178">
        <v>2822</v>
      </c>
      <c r="C178" t="b">
        <v>1</v>
      </c>
      <c r="D178">
        <v>8077</v>
      </c>
      <c r="E178">
        <v>8140</v>
      </c>
      <c r="F178">
        <v>44</v>
      </c>
      <c r="G178">
        <v>19.8</v>
      </c>
      <c r="H178">
        <v>2.2222222999999999</v>
      </c>
      <c r="I178">
        <v>-1.2222223000000001</v>
      </c>
      <c r="J178">
        <v>0.31034482000000002</v>
      </c>
    </row>
    <row r="179" spans="1:10" x14ac:dyDescent="0.3">
      <c r="A179">
        <v>177</v>
      </c>
      <c r="B179">
        <v>2838</v>
      </c>
      <c r="C179" t="b">
        <v>1</v>
      </c>
      <c r="D179">
        <v>8083</v>
      </c>
      <c r="E179">
        <v>8140</v>
      </c>
      <c r="F179">
        <v>44</v>
      </c>
      <c r="G179">
        <v>19.8</v>
      </c>
      <c r="H179">
        <v>2.2222222999999999</v>
      </c>
      <c r="I179">
        <v>-1.2222223000000001</v>
      </c>
      <c r="J179">
        <v>0.31034482000000002</v>
      </c>
    </row>
    <row r="180" spans="1:10" x14ac:dyDescent="0.3">
      <c r="A180">
        <v>178</v>
      </c>
      <c r="B180">
        <v>2854</v>
      </c>
      <c r="C180" t="b">
        <v>1</v>
      </c>
      <c r="D180">
        <v>8083</v>
      </c>
      <c r="E180">
        <v>8140</v>
      </c>
      <c r="F180">
        <v>44</v>
      </c>
      <c r="G180">
        <v>20.2</v>
      </c>
      <c r="H180">
        <v>2.1782176</v>
      </c>
      <c r="I180">
        <v>-1.1782178000000001</v>
      </c>
      <c r="J180">
        <v>0.31464176999999999</v>
      </c>
    </row>
    <row r="181" spans="1:10" x14ac:dyDescent="0.3">
      <c r="A181">
        <v>179</v>
      </c>
      <c r="B181">
        <v>2870</v>
      </c>
      <c r="C181" t="b">
        <v>1</v>
      </c>
      <c r="D181">
        <v>8077</v>
      </c>
      <c r="E181">
        <v>8140</v>
      </c>
      <c r="F181">
        <v>44</v>
      </c>
      <c r="G181">
        <v>20.6</v>
      </c>
      <c r="H181">
        <v>2.1359222</v>
      </c>
      <c r="I181">
        <v>-1.1359223000000001</v>
      </c>
      <c r="J181">
        <v>0.31888548</v>
      </c>
    </row>
    <row r="182" spans="1:10" x14ac:dyDescent="0.3">
      <c r="A182">
        <v>180</v>
      </c>
      <c r="B182">
        <v>2886</v>
      </c>
      <c r="C182" t="b">
        <v>1</v>
      </c>
      <c r="D182">
        <v>8094</v>
      </c>
      <c r="E182">
        <v>8140</v>
      </c>
      <c r="F182">
        <v>44</v>
      </c>
      <c r="G182">
        <v>21</v>
      </c>
      <c r="H182">
        <v>2.0952381999999998</v>
      </c>
      <c r="I182">
        <v>-1.0952381</v>
      </c>
      <c r="J182">
        <v>0.32307692999999998</v>
      </c>
    </row>
    <row r="183" spans="1:10" x14ac:dyDescent="0.3">
      <c r="A183">
        <v>181</v>
      </c>
      <c r="B183">
        <v>2902</v>
      </c>
      <c r="C183" t="b">
        <v>1</v>
      </c>
      <c r="D183">
        <v>8094</v>
      </c>
      <c r="E183">
        <v>8146</v>
      </c>
      <c r="F183">
        <v>44</v>
      </c>
      <c r="G183">
        <v>21.4</v>
      </c>
      <c r="H183">
        <v>2.0560749</v>
      </c>
      <c r="I183">
        <v>-1.0560749</v>
      </c>
      <c r="J183">
        <v>0.32721709999999998</v>
      </c>
    </row>
    <row r="184" spans="1:10" x14ac:dyDescent="0.3">
      <c r="A184">
        <v>182</v>
      </c>
      <c r="B184">
        <v>2918</v>
      </c>
      <c r="C184" t="b">
        <v>1</v>
      </c>
      <c r="D184">
        <v>8094</v>
      </c>
      <c r="E184">
        <v>8140</v>
      </c>
      <c r="F184">
        <v>44.733333999999999</v>
      </c>
      <c r="G184">
        <v>21.8</v>
      </c>
      <c r="H184">
        <v>2.0519880000000001</v>
      </c>
      <c r="I184">
        <v>-1.0519879000000001</v>
      </c>
      <c r="J184">
        <v>0.32765532000000003</v>
      </c>
    </row>
    <row r="185" spans="1:10" x14ac:dyDescent="0.3">
      <c r="A185">
        <v>183</v>
      </c>
      <c r="B185">
        <v>2934</v>
      </c>
      <c r="C185" t="b">
        <v>1</v>
      </c>
      <c r="D185">
        <v>8088</v>
      </c>
      <c r="E185">
        <v>8146</v>
      </c>
      <c r="F185">
        <v>45.466667000000001</v>
      </c>
      <c r="G185">
        <v>22.2</v>
      </c>
      <c r="H185">
        <v>2.0480480000000001</v>
      </c>
      <c r="I185">
        <v>-1.0480480000000001</v>
      </c>
      <c r="J185">
        <v>0.3280788</v>
      </c>
    </row>
    <row r="186" spans="1:10" x14ac:dyDescent="0.3">
      <c r="A186">
        <v>184</v>
      </c>
      <c r="B186">
        <v>2950</v>
      </c>
      <c r="C186" t="b">
        <v>1</v>
      </c>
      <c r="D186">
        <v>8083</v>
      </c>
      <c r="E186">
        <v>8140</v>
      </c>
      <c r="F186">
        <v>46.2</v>
      </c>
      <c r="G186">
        <v>22.6</v>
      </c>
      <c r="H186">
        <v>2.0442478999999998</v>
      </c>
      <c r="I186">
        <v>-1.0442476999999999</v>
      </c>
      <c r="J186">
        <v>0.32848834999999998</v>
      </c>
    </row>
    <row r="187" spans="1:10" x14ac:dyDescent="0.3">
      <c r="A187">
        <v>185</v>
      </c>
      <c r="B187">
        <v>2966</v>
      </c>
      <c r="C187" t="b">
        <v>1</v>
      </c>
      <c r="D187">
        <v>8088</v>
      </c>
      <c r="E187">
        <v>8134</v>
      </c>
      <c r="F187">
        <v>46.533332999999999</v>
      </c>
      <c r="G187">
        <v>23</v>
      </c>
      <c r="H187">
        <v>2.0231884</v>
      </c>
      <c r="I187">
        <v>-1.0231884</v>
      </c>
      <c r="J187">
        <v>0.33077659999999998</v>
      </c>
    </row>
    <row r="188" spans="1:10" x14ac:dyDescent="0.3">
      <c r="A188">
        <v>186</v>
      </c>
      <c r="B188">
        <v>2982</v>
      </c>
      <c r="C188" t="b">
        <v>1</v>
      </c>
      <c r="D188">
        <v>8088</v>
      </c>
      <c r="E188">
        <v>8134</v>
      </c>
      <c r="F188">
        <v>46.533332999999999</v>
      </c>
      <c r="G188">
        <v>23.4</v>
      </c>
      <c r="H188">
        <v>1.988604</v>
      </c>
      <c r="I188">
        <v>-0.98860400000000004</v>
      </c>
      <c r="J188">
        <v>0.33460437999999998</v>
      </c>
    </row>
    <row r="189" spans="1:10" x14ac:dyDescent="0.3">
      <c r="A189">
        <v>187</v>
      </c>
      <c r="B189">
        <v>2998</v>
      </c>
      <c r="C189" t="b">
        <v>1</v>
      </c>
      <c r="D189">
        <v>8077</v>
      </c>
      <c r="E189">
        <v>8140</v>
      </c>
      <c r="F189">
        <v>46.533332999999999</v>
      </c>
      <c r="G189">
        <v>23.8</v>
      </c>
      <c r="H189">
        <v>1.9551821</v>
      </c>
      <c r="I189">
        <v>-0.95518214000000001</v>
      </c>
      <c r="J189">
        <v>0.33838865000000001</v>
      </c>
    </row>
    <row r="190" spans="1:10" x14ac:dyDescent="0.3">
      <c r="A190">
        <v>188</v>
      </c>
      <c r="B190">
        <v>3029</v>
      </c>
      <c r="C190" t="b">
        <v>1</v>
      </c>
      <c r="D190">
        <v>8077</v>
      </c>
      <c r="E190">
        <v>8129</v>
      </c>
      <c r="F190">
        <v>46.2</v>
      </c>
      <c r="G190">
        <v>23.8</v>
      </c>
      <c r="H190">
        <v>1.9411765000000001</v>
      </c>
      <c r="I190">
        <v>-0.94117660000000003</v>
      </c>
      <c r="J190">
        <v>0.34</v>
      </c>
    </row>
    <row r="191" spans="1:10" x14ac:dyDescent="0.3">
      <c r="A191">
        <v>189</v>
      </c>
      <c r="B191">
        <v>3045</v>
      </c>
      <c r="C191" t="b">
        <v>1</v>
      </c>
      <c r="D191">
        <v>8065</v>
      </c>
      <c r="E191">
        <v>8134</v>
      </c>
      <c r="F191">
        <v>45.8</v>
      </c>
      <c r="G191">
        <v>23.8</v>
      </c>
      <c r="H191">
        <v>1.9243698</v>
      </c>
      <c r="I191">
        <v>-0.92436974999999999</v>
      </c>
      <c r="J191">
        <v>0.34195402000000003</v>
      </c>
    </row>
    <row r="192" spans="1:10" x14ac:dyDescent="0.3">
      <c r="A192">
        <v>190</v>
      </c>
      <c r="B192">
        <v>3061</v>
      </c>
      <c r="C192" t="b">
        <v>1</v>
      </c>
      <c r="D192">
        <v>8077</v>
      </c>
      <c r="E192">
        <v>8134</v>
      </c>
      <c r="F192">
        <v>45.4</v>
      </c>
      <c r="G192">
        <v>23.8</v>
      </c>
      <c r="H192">
        <v>1.9075632</v>
      </c>
      <c r="I192">
        <v>-0.90756314999999999</v>
      </c>
      <c r="J192">
        <v>0.34393063000000001</v>
      </c>
    </row>
    <row r="193" spans="1:10" x14ac:dyDescent="0.3">
      <c r="A193">
        <v>191</v>
      </c>
      <c r="B193">
        <v>3077</v>
      </c>
      <c r="C193" t="b">
        <v>1</v>
      </c>
      <c r="D193">
        <v>8083</v>
      </c>
      <c r="E193">
        <v>8140</v>
      </c>
      <c r="F193">
        <v>45</v>
      </c>
      <c r="G193">
        <v>23.4</v>
      </c>
      <c r="H193">
        <v>1.9230769999999999</v>
      </c>
      <c r="I193">
        <v>-0.92307689999999998</v>
      </c>
      <c r="J193">
        <v>0.34210523999999998</v>
      </c>
    </row>
    <row r="194" spans="1:10" x14ac:dyDescent="0.3">
      <c r="A194">
        <v>192</v>
      </c>
      <c r="B194">
        <v>3092</v>
      </c>
      <c r="C194" t="b">
        <v>1</v>
      </c>
      <c r="D194">
        <v>8083</v>
      </c>
      <c r="E194">
        <v>8146</v>
      </c>
      <c r="F194">
        <v>44.6</v>
      </c>
      <c r="G194">
        <v>23</v>
      </c>
      <c r="H194">
        <v>1.9391304</v>
      </c>
      <c r="I194">
        <v>-0.93913036999999999</v>
      </c>
      <c r="J194">
        <v>0.3402367</v>
      </c>
    </row>
    <row r="195" spans="1:10" x14ac:dyDescent="0.3">
      <c r="A195">
        <v>193</v>
      </c>
      <c r="B195">
        <v>3108</v>
      </c>
      <c r="C195" t="b">
        <v>1</v>
      </c>
      <c r="D195">
        <v>8077</v>
      </c>
      <c r="E195">
        <v>8140</v>
      </c>
      <c r="F195">
        <v>44.2</v>
      </c>
      <c r="G195">
        <v>23</v>
      </c>
      <c r="H195">
        <v>1.9217392</v>
      </c>
      <c r="I195">
        <v>-0.92173916</v>
      </c>
      <c r="J195">
        <v>0.34226190000000001</v>
      </c>
    </row>
    <row r="196" spans="1:10" x14ac:dyDescent="0.3">
      <c r="A196">
        <v>194</v>
      </c>
      <c r="B196">
        <v>3124</v>
      </c>
      <c r="C196" t="b">
        <v>1</v>
      </c>
      <c r="D196">
        <v>8077</v>
      </c>
      <c r="E196">
        <v>8140</v>
      </c>
      <c r="F196">
        <v>43.8</v>
      </c>
      <c r="G196">
        <v>23</v>
      </c>
      <c r="H196">
        <v>1.9043478</v>
      </c>
      <c r="I196">
        <v>-0.90434780000000003</v>
      </c>
      <c r="J196">
        <v>0.34431136000000001</v>
      </c>
    </row>
    <row r="197" spans="1:10" x14ac:dyDescent="0.3">
      <c r="A197">
        <v>195</v>
      </c>
      <c r="B197">
        <v>3140</v>
      </c>
      <c r="C197" t="b">
        <v>1</v>
      </c>
      <c r="D197">
        <v>8077</v>
      </c>
      <c r="E197">
        <v>8140</v>
      </c>
      <c r="F197">
        <v>43.4</v>
      </c>
      <c r="G197">
        <v>23</v>
      </c>
      <c r="H197">
        <v>1.8869566</v>
      </c>
      <c r="I197">
        <v>-0.88695659999999998</v>
      </c>
      <c r="J197">
        <v>0.34638553999999999</v>
      </c>
    </row>
    <row r="198" spans="1:10" x14ac:dyDescent="0.3">
      <c r="A198">
        <v>196</v>
      </c>
      <c r="B198">
        <v>3155</v>
      </c>
      <c r="C198" t="b">
        <v>1</v>
      </c>
      <c r="D198">
        <v>8083</v>
      </c>
      <c r="E198">
        <v>8140</v>
      </c>
      <c r="F198">
        <v>43</v>
      </c>
      <c r="G198">
        <v>23</v>
      </c>
      <c r="H198">
        <v>1.8695652</v>
      </c>
      <c r="I198">
        <v>-0.86956520000000004</v>
      </c>
      <c r="J198">
        <v>0.34848484000000002</v>
      </c>
    </row>
    <row r="199" spans="1:10" x14ac:dyDescent="0.3">
      <c r="A199">
        <v>197</v>
      </c>
      <c r="B199">
        <v>3172</v>
      </c>
      <c r="C199" t="b">
        <v>1</v>
      </c>
      <c r="D199">
        <v>8083</v>
      </c>
      <c r="E199">
        <v>8134</v>
      </c>
      <c r="F199">
        <v>41.866664999999998</v>
      </c>
      <c r="G199">
        <v>23</v>
      </c>
      <c r="H199">
        <v>1.8202897</v>
      </c>
      <c r="I199">
        <v>-0.82028979999999996</v>
      </c>
      <c r="J199">
        <v>0.35457346000000001</v>
      </c>
    </row>
    <row r="200" spans="1:10" x14ac:dyDescent="0.3">
      <c r="A200">
        <v>198</v>
      </c>
      <c r="B200">
        <v>3188</v>
      </c>
      <c r="C200" t="b">
        <v>1</v>
      </c>
      <c r="D200">
        <v>8077</v>
      </c>
      <c r="E200">
        <v>8134</v>
      </c>
      <c r="F200">
        <v>40.733333999999999</v>
      </c>
      <c r="G200">
        <v>23</v>
      </c>
      <c r="H200">
        <v>1.7710144999999999</v>
      </c>
      <c r="I200">
        <v>-0.77101450000000005</v>
      </c>
      <c r="J200">
        <v>0.36087865000000002</v>
      </c>
    </row>
    <row r="201" spans="1:10" x14ac:dyDescent="0.3">
      <c r="A201">
        <v>199</v>
      </c>
      <c r="B201">
        <v>3203</v>
      </c>
      <c r="C201" t="b">
        <v>1</v>
      </c>
      <c r="D201">
        <v>8077</v>
      </c>
      <c r="E201">
        <v>8134</v>
      </c>
      <c r="F201">
        <v>39.6</v>
      </c>
      <c r="G201">
        <v>22.6</v>
      </c>
      <c r="H201">
        <v>1.7522123000000001</v>
      </c>
      <c r="I201">
        <v>-0.75221229999999994</v>
      </c>
      <c r="J201">
        <v>0.36334407000000002</v>
      </c>
    </row>
    <row r="202" spans="1:10" x14ac:dyDescent="0.3">
      <c r="A202">
        <v>200</v>
      </c>
      <c r="B202">
        <v>3219</v>
      </c>
      <c r="C202" t="b">
        <v>1</v>
      </c>
      <c r="D202">
        <v>8083</v>
      </c>
      <c r="E202">
        <v>8134</v>
      </c>
      <c r="F202">
        <v>39.266666000000001</v>
      </c>
      <c r="G202">
        <v>22.2</v>
      </c>
      <c r="H202">
        <v>1.7687687000000001</v>
      </c>
      <c r="I202">
        <v>-0.76876867000000004</v>
      </c>
      <c r="J202">
        <v>0.36117136</v>
      </c>
    </row>
    <row r="203" spans="1:10" x14ac:dyDescent="0.3">
      <c r="A203">
        <v>201</v>
      </c>
      <c r="B203">
        <v>3235</v>
      </c>
      <c r="C203" t="b">
        <v>1</v>
      </c>
      <c r="D203">
        <v>8077</v>
      </c>
      <c r="E203">
        <v>8134</v>
      </c>
      <c r="F203">
        <v>38.533332999999999</v>
      </c>
      <c r="G203">
        <v>21.8</v>
      </c>
      <c r="H203">
        <v>1.7675841000000001</v>
      </c>
      <c r="I203">
        <v>-0.76758415000000002</v>
      </c>
      <c r="J203">
        <v>0.36132595000000001</v>
      </c>
    </row>
    <row r="204" spans="1:10" x14ac:dyDescent="0.3">
      <c r="A204">
        <v>202</v>
      </c>
      <c r="B204">
        <v>3251</v>
      </c>
      <c r="C204" t="b">
        <v>1</v>
      </c>
      <c r="D204">
        <v>8083</v>
      </c>
      <c r="E204">
        <v>8134</v>
      </c>
      <c r="F204">
        <v>37.799999999999997</v>
      </c>
      <c r="G204">
        <v>21.4</v>
      </c>
      <c r="H204">
        <v>1.7663552</v>
      </c>
      <c r="I204">
        <v>-0.76635516000000004</v>
      </c>
      <c r="J204">
        <v>0.36148649999999999</v>
      </c>
    </row>
    <row r="205" spans="1:10" x14ac:dyDescent="0.3">
      <c r="A205">
        <v>203</v>
      </c>
      <c r="B205">
        <v>3267</v>
      </c>
      <c r="C205" t="b">
        <v>1</v>
      </c>
      <c r="D205">
        <v>8071</v>
      </c>
      <c r="E205">
        <v>8140</v>
      </c>
      <c r="F205">
        <v>37.4</v>
      </c>
      <c r="G205">
        <v>21.4</v>
      </c>
      <c r="H205">
        <v>1.7476636000000001</v>
      </c>
      <c r="I205">
        <v>-0.74766370000000004</v>
      </c>
      <c r="J205">
        <v>0.36394554000000001</v>
      </c>
    </row>
    <row r="206" spans="1:10" x14ac:dyDescent="0.3">
      <c r="A206">
        <v>204</v>
      </c>
      <c r="B206">
        <v>3283</v>
      </c>
      <c r="C206" t="b">
        <v>1</v>
      </c>
      <c r="D206">
        <v>8071</v>
      </c>
      <c r="E206">
        <v>8140</v>
      </c>
      <c r="F206">
        <v>37.4</v>
      </c>
      <c r="G206">
        <v>21.4</v>
      </c>
      <c r="H206">
        <v>1.7476636000000001</v>
      </c>
      <c r="I206">
        <v>-0.74766370000000004</v>
      </c>
      <c r="J206">
        <v>0.36394554000000001</v>
      </c>
    </row>
    <row r="207" spans="1:10" x14ac:dyDescent="0.3">
      <c r="A207">
        <v>205</v>
      </c>
      <c r="B207">
        <v>3299</v>
      </c>
      <c r="C207" t="b">
        <v>1</v>
      </c>
      <c r="D207">
        <v>8083</v>
      </c>
      <c r="E207">
        <v>8140</v>
      </c>
      <c r="F207">
        <v>37.4</v>
      </c>
      <c r="G207">
        <v>21.8</v>
      </c>
      <c r="H207">
        <v>1.7155963999999999</v>
      </c>
      <c r="I207">
        <v>-0.71559644</v>
      </c>
      <c r="J207">
        <v>0.36824321999999998</v>
      </c>
    </row>
    <row r="208" spans="1:10" x14ac:dyDescent="0.3">
      <c r="A208">
        <v>206</v>
      </c>
      <c r="B208">
        <v>3315</v>
      </c>
      <c r="C208" t="b">
        <v>1</v>
      </c>
      <c r="D208">
        <v>8088</v>
      </c>
      <c r="E208">
        <v>8140</v>
      </c>
      <c r="F208">
        <v>37.799999999999997</v>
      </c>
      <c r="G208">
        <v>22.2</v>
      </c>
      <c r="H208">
        <v>1.7027026000000001</v>
      </c>
      <c r="I208">
        <v>-0.70270259999999996</v>
      </c>
      <c r="J208">
        <v>0.37</v>
      </c>
    </row>
    <row r="209" spans="1:10" x14ac:dyDescent="0.3">
      <c r="A209">
        <v>207</v>
      </c>
      <c r="B209">
        <v>3331</v>
      </c>
      <c r="C209" t="b">
        <v>1</v>
      </c>
      <c r="D209">
        <v>8088</v>
      </c>
      <c r="E209">
        <v>8140</v>
      </c>
      <c r="F209">
        <v>38.200000000000003</v>
      </c>
      <c r="G209">
        <v>22.6</v>
      </c>
      <c r="H209">
        <v>1.6902655</v>
      </c>
      <c r="I209">
        <v>-0.69026549999999998</v>
      </c>
      <c r="J209">
        <v>0.3717105</v>
      </c>
    </row>
    <row r="210" spans="1:10" x14ac:dyDescent="0.3">
      <c r="A210">
        <v>208</v>
      </c>
      <c r="B210">
        <v>3347</v>
      </c>
      <c r="C210" t="b">
        <v>1</v>
      </c>
      <c r="D210">
        <v>8088</v>
      </c>
      <c r="E210">
        <v>8140</v>
      </c>
      <c r="F210">
        <v>38.933334000000002</v>
      </c>
      <c r="G210">
        <v>22.6</v>
      </c>
      <c r="H210">
        <v>1.7227138</v>
      </c>
      <c r="I210">
        <v>-0.72271390000000002</v>
      </c>
      <c r="J210">
        <v>0.36728060000000001</v>
      </c>
    </row>
    <row r="211" spans="1:10" x14ac:dyDescent="0.3">
      <c r="A211">
        <v>209</v>
      </c>
      <c r="B211">
        <v>3363</v>
      </c>
      <c r="C211" t="b">
        <v>1</v>
      </c>
      <c r="D211">
        <v>8088</v>
      </c>
      <c r="E211">
        <v>8134</v>
      </c>
      <c r="F211">
        <v>39.666668000000001</v>
      </c>
      <c r="G211">
        <v>22.6</v>
      </c>
      <c r="H211">
        <v>1.7551622</v>
      </c>
      <c r="I211">
        <v>-0.75516223999999998</v>
      </c>
      <c r="J211">
        <v>0.36295500000000003</v>
      </c>
    </row>
    <row r="212" spans="1:10" x14ac:dyDescent="0.3">
      <c r="A212">
        <v>210</v>
      </c>
      <c r="B212">
        <v>3379</v>
      </c>
      <c r="C212" t="b">
        <v>1</v>
      </c>
      <c r="D212">
        <v>8083</v>
      </c>
      <c r="E212">
        <v>8134</v>
      </c>
      <c r="F212">
        <v>40.4</v>
      </c>
      <c r="G212">
        <v>22.6</v>
      </c>
      <c r="H212">
        <v>1.7876107000000001</v>
      </c>
      <c r="I212">
        <v>-0.78761064999999997</v>
      </c>
      <c r="J212">
        <v>0.35873017000000001</v>
      </c>
    </row>
    <row r="213" spans="1:10" x14ac:dyDescent="0.3">
      <c r="A213">
        <v>211</v>
      </c>
      <c r="B213">
        <v>3395</v>
      </c>
      <c r="C213" t="b">
        <v>1</v>
      </c>
      <c r="D213">
        <v>8083</v>
      </c>
      <c r="E213">
        <v>8140</v>
      </c>
      <c r="F213">
        <v>41.133335000000002</v>
      </c>
      <c r="G213">
        <v>22.6</v>
      </c>
      <c r="H213">
        <v>1.8200590999999999</v>
      </c>
      <c r="I213">
        <v>-0.82005905999999995</v>
      </c>
      <c r="J213">
        <v>0.35460249999999999</v>
      </c>
    </row>
    <row r="214" spans="1:10" x14ac:dyDescent="0.3">
      <c r="A214">
        <v>212</v>
      </c>
      <c r="B214">
        <v>3411</v>
      </c>
      <c r="C214" t="b">
        <v>1</v>
      </c>
      <c r="D214">
        <v>8083</v>
      </c>
      <c r="E214">
        <v>8134</v>
      </c>
      <c r="F214">
        <v>41.533332999999999</v>
      </c>
      <c r="G214">
        <v>22.2</v>
      </c>
      <c r="H214">
        <v>1.8708708000000001</v>
      </c>
      <c r="I214">
        <v>-0.87087077000000002</v>
      </c>
      <c r="J214">
        <v>0.34832638999999999</v>
      </c>
    </row>
    <row r="215" spans="1:10" x14ac:dyDescent="0.3">
      <c r="A215">
        <v>213</v>
      </c>
      <c r="B215">
        <v>3427</v>
      </c>
      <c r="C215" t="b">
        <v>1</v>
      </c>
      <c r="D215">
        <v>8083</v>
      </c>
      <c r="E215">
        <v>8140</v>
      </c>
      <c r="F215">
        <v>41.933334000000002</v>
      </c>
      <c r="G215">
        <v>21.8</v>
      </c>
      <c r="H215">
        <v>1.9235475</v>
      </c>
      <c r="I215">
        <v>-0.92354749999999997</v>
      </c>
      <c r="J215">
        <v>0.34205020000000003</v>
      </c>
    </row>
    <row r="216" spans="1:10" x14ac:dyDescent="0.3">
      <c r="A216">
        <v>214</v>
      </c>
      <c r="B216">
        <v>3443</v>
      </c>
      <c r="C216" t="b">
        <v>1</v>
      </c>
      <c r="D216">
        <v>8088</v>
      </c>
      <c r="E216">
        <v>8134</v>
      </c>
      <c r="F216">
        <v>42.333331999999999</v>
      </c>
      <c r="G216">
        <v>21.8</v>
      </c>
      <c r="H216">
        <v>1.9418960999999999</v>
      </c>
      <c r="I216">
        <v>-0.94189599999999996</v>
      </c>
      <c r="J216">
        <v>0.33991683</v>
      </c>
    </row>
    <row r="217" spans="1:10" x14ac:dyDescent="0.3">
      <c r="A217">
        <v>215</v>
      </c>
      <c r="B217">
        <v>3459</v>
      </c>
      <c r="C217" t="b">
        <v>1</v>
      </c>
      <c r="D217">
        <v>8083</v>
      </c>
      <c r="E217">
        <v>8140</v>
      </c>
      <c r="F217">
        <v>42.333331999999999</v>
      </c>
      <c r="G217">
        <v>22.2</v>
      </c>
      <c r="H217">
        <v>1.9069068</v>
      </c>
      <c r="I217">
        <v>-0.90690680000000001</v>
      </c>
      <c r="J217">
        <v>0.34400827</v>
      </c>
    </row>
    <row r="218" spans="1:10" x14ac:dyDescent="0.3">
      <c r="A218">
        <v>216</v>
      </c>
      <c r="B218">
        <v>3475</v>
      </c>
      <c r="C218" t="b">
        <v>1</v>
      </c>
      <c r="D218">
        <v>8083</v>
      </c>
      <c r="E218">
        <v>8140</v>
      </c>
      <c r="F218">
        <v>42.733333999999999</v>
      </c>
      <c r="G218">
        <v>22.6</v>
      </c>
      <c r="H218">
        <v>1.8908554</v>
      </c>
      <c r="I218">
        <v>-0.89085543</v>
      </c>
      <c r="J218">
        <v>0.34591835999999998</v>
      </c>
    </row>
    <row r="219" spans="1:10" x14ac:dyDescent="0.3">
      <c r="A219">
        <v>217</v>
      </c>
      <c r="B219">
        <v>3490</v>
      </c>
      <c r="C219" t="b">
        <v>1</v>
      </c>
      <c r="D219">
        <v>8083</v>
      </c>
      <c r="E219">
        <v>8140</v>
      </c>
      <c r="F219">
        <v>43.133335000000002</v>
      </c>
      <c r="G219">
        <v>23</v>
      </c>
      <c r="H219">
        <v>1.8753624</v>
      </c>
      <c r="I219">
        <v>-0.87536239999999998</v>
      </c>
      <c r="J219">
        <v>0.34778225000000001</v>
      </c>
    </row>
    <row r="220" spans="1:10" x14ac:dyDescent="0.3">
      <c r="A220">
        <v>218</v>
      </c>
      <c r="B220">
        <v>3506</v>
      </c>
      <c r="C220" t="b">
        <v>1</v>
      </c>
      <c r="D220">
        <v>8094</v>
      </c>
      <c r="E220">
        <v>8140</v>
      </c>
      <c r="F220">
        <v>43.533332999999999</v>
      </c>
      <c r="G220">
        <v>23.4</v>
      </c>
      <c r="H220">
        <v>1.8603989000000001</v>
      </c>
      <c r="I220">
        <v>-0.86039889999999997</v>
      </c>
      <c r="J220">
        <v>0.34960160000000001</v>
      </c>
    </row>
    <row r="221" spans="1:10" x14ac:dyDescent="0.3">
      <c r="A221">
        <v>219</v>
      </c>
      <c r="B221">
        <v>3522</v>
      </c>
      <c r="C221" t="b">
        <v>1</v>
      </c>
      <c r="D221">
        <v>8088</v>
      </c>
      <c r="E221">
        <v>8140</v>
      </c>
      <c r="F221">
        <v>43.933334000000002</v>
      </c>
      <c r="G221">
        <v>23.8</v>
      </c>
      <c r="H221">
        <v>1.8459384000000001</v>
      </c>
      <c r="I221">
        <v>-0.84593850000000004</v>
      </c>
      <c r="J221">
        <v>0.35137793</v>
      </c>
    </row>
    <row r="222" spans="1:10" x14ac:dyDescent="0.3">
      <c r="A222">
        <v>220</v>
      </c>
      <c r="B222">
        <v>3538</v>
      </c>
      <c r="C222" t="b">
        <v>1</v>
      </c>
      <c r="D222">
        <v>8083</v>
      </c>
      <c r="E222">
        <v>8140</v>
      </c>
      <c r="F222">
        <v>44.333331999999999</v>
      </c>
      <c r="G222">
        <v>23.8</v>
      </c>
      <c r="H222">
        <v>1.8627450000000001</v>
      </c>
      <c r="I222">
        <v>-0.86274510000000004</v>
      </c>
      <c r="J222">
        <v>0.34931508</v>
      </c>
    </row>
    <row r="223" spans="1:10" x14ac:dyDescent="0.3">
      <c r="A223">
        <v>221</v>
      </c>
      <c r="B223">
        <v>3554</v>
      </c>
      <c r="C223" t="b">
        <v>1</v>
      </c>
      <c r="D223">
        <v>8094</v>
      </c>
      <c r="E223">
        <v>8140</v>
      </c>
      <c r="F223">
        <v>44.666668000000001</v>
      </c>
      <c r="G223">
        <v>23.8</v>
      </c>
      <c r="H223">
        <v>1.8767507999999999</v>
      </c>
      <c r="I223">
        <v>-0.87675080000000005</v>
      </c>
      <c r="J223">
        <v>0.34761439999999999</v>
      </c>
    </row>
    <row r="224" spans="1:10" x14ac:dyDescent="0.3">
      <c r="A224">
        <v>222</v>
      </c>
      <c r="B224">
        <v>3570</v>
      </c>
      <c r="C224" t="b">
        <v>1</v>
      </c>
      <c r="D224">
        <v>8106</v>
      </c>
      <c r="E224">
        <v>8140</v>
      </c>
      <c r="F224">
        <v>45.4</v>
      </c>
      <c r="G224">
        <v>23.8</v>
      </c>
      <c r="H224">
        <v>1.9075632</v>
      </c>
      <c r="I224">
        <v>-0.90756314999999999</v>
      </c>
      <c r="J224">
        <v>0.34393063000000001</v>
      </c>
    </row>
    <row r="225" spans="1:10" x14ac:dyDescent="0.3">
      <c r="A225">
        <v>223</v>
      </c>
      <c r="B225">
        <v>3586</v>
      </c>
      <c r="C225" t="b">
        <v>1</v>
      </c>
      <c r="D225">
        <v>8094</v>
      </c>
      <c r="E225">
        <v>8134</v>
      </c>
      <c r="F225">
        <v>45.8</v>
      </c>
      <c r="G225">
        <v>23.8</v>
      </c>
      <c r="H225">
        <v>1.9243698</v>
      </c>
      <c r="I225">
        <v>-0.92436974999999999</v>
      </c>
      <c r="J225">
        <v>0.34195402000000003</v>
      </c>
    </row>
    <row r="226" spans="1:10" x14ac:dyDescent="0.3">
      <c r="A226">
        <v>224</v>
      </c>
      <c r="B226">
        <v>3601</v>
      </c>
      <c r="C226" t="b">
        <v>1</v>
      </c>
      <c r="D226">
        <v>8077</v>
      </c>
      <c r="E226">
        <v>8140</v>
      </c>
      <c r="F226">
        <v>46.2</v>
      </c>
      <c r="G226">
        <v>23.8</v>
      </c>
      <c r="H226">
        <v>1.9411765000000001</v>
      </c>
      <c r="I226">
        <v>-0.94117660000000003</v>
      </c>
      <c r="J226">
        <v>0.34</v>
      </c>
    </row>
    <row r="227" spans="1:10" x14ac:dyDescent="0.3">
      <c r="A227">
        <v>225</v>
      </c>
      <c r="B227">
        <v>3618</v>
      </c>
      <c r="C227" t="b">
        <v>1</v>
      </c>
      <c r="D227">
        <v>8071</v>
      </c>
      <c r="E227">
        <v>8134</v>
      </c>
      <c r="F227">
        <v>46.6</v>
      </c>
      <c r="G227">
        <v>23.8</v>
      </c>
      <c r="H227">
        <v>1.9579831000000001</v>
      </c>
      <c r="I227">
        <v>-0.95798320000000003</v>
      </c>
      <c r="J227">
        <v>0.33806819999999999</v>
      </c>
    </row>
    <row r="228" spans="1:10" x14ac:dyDescent="0.3">
      <c r="A228">
        <v>226</v>
      </c>
      <c r="B228">
        <v>3633</v>
      </c>
      <c r="C228" t="b">
        <v>1</v>
      </c>
      <c r="D228">
        <v>8077</v>
      </c>
      <c r="E228">
        <v>8140</v>
      </c>
      <c r="F228">
        <v>45.866664999999998</v>
      </c>
      <c r="G228">
        <v>23.8</v>
      </c>
      <c r="H228">
        <v>1.9271708999999999</v>
      </c>
      <c r="I228">
        <v>-0.92717090000000002</v>
      </c>
      <c r="J228">
        <v>0.34162680000000001</v>
      </c>
    </row>
    <row r="229" spans="1:10" x14ac:dyDescent="0.3">
      <c r="A229">
        <v>227</v>
      </c>
      <c r="B229">
        <v>3649</v>
      </c>
      <c r="C229" t="b">
        <v>1</v>
      </c>
      <c r="D229">
        <v>8088</v>
      </c>
      <c r="E229">
        <v>8140</v>
      </c>
      <c r="F229">
        <v>45.466667000000001</v>
      </c>
      <c r="G229">
        <v>24.2</v>
      </c>
      <c r="H229">
        <v>1.8787879000000001</v>
      </c>
      <c r="I229">
        <v>-0.87878780000000001</v>
      </c>
      <c r="J229">
        <v>0.34736842000000001</v>
      </c>
    </row>
    <row r="230" spans="1:10" x14ac:dyDescent="0.3">
      <c r="A230">
        <v>228</v>
      </c>
      <c r="B230">
        <v>3665</v>
      </c>
      <c r="C230" t="b">
        <v>1</v>
      </c>
      <c r="D230">
        <v>8088</v>
      </c>
      <c r="E230">
        <v>8140</v>
      </c>
      <c r="F230">
        <v>45.066665999999998</v>
      </c>
      <c r="G230">
        <v>24.6</v>
      </c>
      <c r="H230">
        <v>1.8319782</v>
      </c>
      <c r="I230">
        <v>-0.83197825999999997</v>
      </c>
      <c r="J230">
        <v>0.35311007</v>
      </c>
    </row>
    <row r="231" spans="1:10" x14ac:dyDescent="0.3">
      <c r="A231">
        <v>229</v>
      </c>
      <c r="B231">
        <v>3681</v>
      </c>
      <c r="C231" t="b">
        <v>1</v>
      </c>
      <c r="D231">
        <v>8077</v>
      </c>
      <c r="E231">
        <v>8140</v>
      </c>
      <c r="F231">
        <v>44.666668000000001</v>
      </c>
      <c r="G231">
        <v>25</v>
      </c>
      <c r="H231">
        <v>1.7866668000000001</v>
      </c>
      <c r="I231">
        <v>-0.78666670000000005</v>
      </c>
      <c r="J231">
        <v>0.35885164000000003</v>
      </c>
    </row>
    <row r="232" spans="1:10" x14ac:dyDescent="0.3">
      <c r="A232">
        <v>230</v>
      </c>
      <c r="B232">
        <v>3697</v>
      </c>
      <c r="C232" t="b">
        <v>1</v>
      </c>
      <c r="D232">
        <v>8083</v>
      </c>
      <c r="E232">
        <v>8140</v>
      </c>
      <c r="F232">
        <v>44.666668000000001</v>
      </c>
      <c r="G232">
        <v>25</v>
      </c>
      <c r="H232">
        <v>1.7866668000000001</v>
      </c>
      <c r="I232">
        <v>-0.78666670000000005</v>
      </c>
      <c r="J232">
        <v>0.35885164000000003</v>
      </c>
    </row>
    <row r="233" spans="1:10" x14ac:dyDescent="0.3">
      <c r="A233">
        <v>231</v>
      </c>
      <c r="B233">
        <v>3712</v>
      </c>
      <c r="C233" t="b">
        <v>1</v>
      </c>
      <c r="D233">
        <v>8088</v>
      </c>
      <c r="E233">
        <v>8140</v>
      </c>
      <c r="F233">
        <v>45</v>
      </c>
      <c r="G233">
        <v>25</v>
      </c>
      <c r="H233">
        <v>1.8</v>
      </c>
      <c r="I233">
        <v>-0.8</v>
      </c>
      <c r="J233">
        <v>0.35714287</v>
      </c>
    </row>
    <row r="234" spans="1:10" x14ac:dyDescent="0.3">
      <c r="A234">
        <v>232</v>
      </c>
      <c r="B234">
        <v>3728</v>
      </c>
      <c r="C234" t="b">
        <v>1</v>
      </c>
      <c r="D234">
        <v>8083</v>
      </c>
      <c r="E234">
        <v>8140</v>
      </c>
      <c r="F234">
        <v>45</v>
      </c>
      <c r="G234">
        <v>25</v>
      </c>
      <c r="H234">
        <v>1.8</v>
      </c>
      <c r="I234">
        <v>-0.8</v>
      </c>
      <c r="J234">
        <v>0.35714287</v>
      </c>
    </row>
    <row r="235" spans="1:10" x14ac:dyDescent="0.3">
      <c r="A235">
        <v>233</v>
      </c>
      <c r="B235">
        <v>3745</v>
      </c>
      <c r="C235" t="b">
        <v>1</v>
      </c>
      <c r="D235">
        <v>8083</v>
      </c>
      <c r="E235">
        <v>8140</v>
      </c>
      <c r="F235">
        <v>45</v>
      </c>
      <c r="G235">
        <v>25</v>
      </c>
      <c r="H235">
        <v>1.8</v>
      </c>
      <c r="I235">
        <v>-0.8</v>
      </c>
      <c r="J235">
        <v>0.35714287</v>
      </c>
    </row>
    <row r="236" spans="1:10" x14ac:dyDescent="0.3">
      <c r="A236">
        <v>234</v>
      </c>
      <c r="B236">
        <v>3761</v>
      </c>
      <c r="C236" t="b">
        <v>1</v>
      </c>
      <c r="D236">
        <v>8088</v>
      </c>
      <c r="E236">
        <v>8134</v>
      </c>
      <c r="F236">
        <v>45</v>
      </c>
      <c r="G236">
        <v>25</v>
      </c>
      <c r="H236">
        <v>1.8</v>
      </c>
      <c r="I236">
        <v>-0.8</v>
      </c>
      <c r="J236">
        <v>0.35714287</v>
      </c>
    </row>
    <row r="237" spans="1:10" x14ac:dyDescent="0.3">
      <c r="A237">
        <v>235</v>
      </c>
      <c r="B237">
        <v>3776</v>
      </c>
      <c r="C237" t="b">
        <v>1</v>
      </c>
      <c r="D237">
        <v>8083</v>
      </c>
      <c r="E237">
        <v>8134</v>
      </c>
      <c r="F237">
        <v>45</v>
      </c>
      <c r="G237">
        <v>25</v>
      </c>
      <c r="H237">
        <v>1.8</v>
      </c>
      <c r="I237">
        <v>-0.8</v>
      </c>
      <c r="J237">
        <v>0.35714287</v>
      </c>
    </row>
    <row r="238" spans="1:10" x14ac:dyDescent="0.3">
      <c r="A238">
        <v>236</v>
      </c>
      <c r="B238">
        <v>3792</v>
      </c>
      <c r="C238" t="b">
        <v>1</v>
      </c>
      <c r="D238">
        <v>8083</v>
      </c>
      <c r="E238">
        <v>8140</v>
      </c>
      <c r="F238">
        <v>44.666668000000001</v>
      </c>
      <c r="G238">
        <v>25</v>
      </c>
      <c r="H238">
        <v>1.7866668000000001</v>
      </c>
      <c r="I238">
        <v>-0.78666670000000005</v>
      </c>
      <c r="J238">
        <v>0.35885164000000003</v>
      </c>
    </row>
    <row r="239" spans="1:10" x14ac:dyDescent="0.3">
      <c r="A239">
        <v>237</v>
      </c>
      <c r="B239">
        <v>3808</v>
      </c>
      <c r="C239" t="b">
        <v>1</v>
      </c>
      <c r="D239">
        <v>8077</v>
      </c>
      <c r="E239">
        <v>8134</v>
      </c>
      <c r="F239">
        <v>43.933334000000002</v>
      </c>
      <c r="G239">
        <v>24.6</v>
      </c>
      <c r="H239">
        <v>1.7859079</v>
      </c>
      <c r="I239">
        <v>-0.78590786000000001</v>
      </c>
      <c r="J239">
        <v>0.35894942000000002</v>
      </c>
    </row>
    <row r="240" spans="1:10" x14ac:dyDescent="0.3">
      <c r="A240">
        <v>238</v>
      </c>
      <c r="B240">
        <v>3824</v>
      </c>
      <c r="C240" t="b">
        <v>1</v>
      </c>
      <c r="D240">
        <v>8077</v>
      </c>
      <c r="E240">
        <v>8129</v>
      </c>
      <c r="F240">
        <v>43.2</v>
      </c>
      <c r="G240">
        <v>24.2</v>
      </c>
      <c r="H240">
        <v>1.7851239999999999</v>
      </c>
      <c r="I240">
        <v>-0.78512393999999996</v>
      </c>
      <c r="J240">
        <v>0.35905045000000002</v>
      </c>
    </row>
    <row r="241" spans="1:10" x14ac:dyDescent="0.3">
      <c r="A241">
        <v>239</v>
      </c>
      <c r="B241">
        <v>3839</v>
      </c>
      <c r="C241" t="b">
        <v>1</v>
      </c>
      <c r="D241">
        <v>8083</v>
      </c>
      <c r="E241">
        <v>8129</v>
      </c>
      <c r="F241">
        <v>42.466667000000001</v>
      </c>
      <c r="G241">
        <v>23.8</v>
      </c>
      <c r="H241">
        <v>1.7843138000000001</v>
      </c>
      <c r="I241">
        <v>-0.78431379999999995</v>
      </c>
      <c r="J241">
        <v>0.35915493999999998</v>
      </c>
    </row>
    <row r="242" spans="1:10" x14ac:dyDescent="0.3">
      <c r="A242">
        <v>240</v>
      </c>
      <c r="B242">
        <v>3855</v>
      </c>
      <c r="C242" t="b">
        <v>1</v>
      </c>
      <c r="D242">
        <v>8088</v>
      </c>
      <c r="E242">
        <v>8134</v>
      </c>
      <c r="F242">
        <v>41.733333999999999</v>
      </c>
      <c r="G242">
        <v>23.4</v>
      </c>
      <c r="H242">
        <v>1.7834759</v>
      </c>
      <c r="I242">
        <v>-0.78347579999999994</v>
      </c>
      <c r="J242">
        <v>0.35926306000000002</v>
      </c>
    </row>
    <row r="243" spans="1:10" x14ac:dyDescent="0.3">
      <c r="A243">
        <v>241</v>
      </c>
      <c r="B243">
        <v>3871</v>
      </c>
      <c r="C243" t="b">
        <v>1</v>
      </c>
      <c r="D243">
        <v>8083</v>
      </c>
      <c r="E243">
        <v>8134</v>
      </c>
      <c r="F243">
        <v>42.133335000000002</v>
      </c>
      <c r="G243">
        <v>23</v>
      </c>
      <c r="H243">
        <v>1.8318840999999999</v>
      </c>
      <c r="I243">
        <v>-0.83188415000000004</v>
      </c>
      <c r="J243">
        <v>0.35312181999999998</v>
      </c>
    </row>
    <row r="244" spans="1:10" x14ac:dyDescent="0.3">
      <c r="A244">
        <v>242</v>
      </c>
      <c r="B244">
        <v>3887</v>
      </c>
      <c r="C244" t="b">
        <v>1</v>
      </c>
      <c r="D244">
        <v>8083</v>
      </c>
      <c r="E244">
        <v>8134</v>
      </c>
      <c r="F244">
        <v>42.533332999999999</v>
      </c>
      <c r="G244">
        <v>22.6</v>
      </c>
      <c r="H244">
        <v>1.8820058</v>
      </c>
      <c r="I244">
        <v>-0.88200590000000001</v>
      </c>
      <c r="J244">
        <v>0.34698056999999999</v>
      </c>
    </row>
    <row r="245" spans="1:10" x14ac:dyDescent="0.3">
      <c r="A245">
        <v>243</v>
      </c>
      <c r="B245">
        <v>3903</v>
      </c>
      <c r="C245" t="b">
        <v>1</v>
      </c>
      <c r="D245">
        <v>8083</v>
      </c>
      <c r="E245">
        <v>8140</v>
      </c>
      <c r="F245">
        <v>42.933334000000002</v>
      </c>
      <c r="G245">
        <v>22.2</v>
      </c>
      <c r="H245">
        <v>1.9339339</v>
      </c>
      <c r="I245">
        <v>-0.93393389999999998</v>
      </c>
      <c r="J245">
        <v>0.34083933</v>
      </c>
    </row>
    <row r="246" spans="1:10" x14ac:dyDescent="0.3">
      <c r="A246">
        <v>244</v>
      </c>
      <c r="B246">
        <v>3919</v>
      </c>
      <c r="C246" t="b">
        <v>1</v>
      </c>
      <c r="D246">
        <v>8088</v>
      </c>
      <c r="E246">
        <v>8129</v>
      </c>
      <c r="F246">
        <v>43.333331999999999</v>
      </c>
      <c r="G246">
        <v>21.8</v>
      </c>
      <c r="H246">
        <v>1.9877676</v>
      </c>
      <c r="I246">
        <v>-0.98776759999999997</v>
      </c>
      <c r="J246">
        <v>0.33469805000000002</v>
      </c>
    </row>
    <row r="247" spans="1:10" x14ac:dyDescent="0.3">
      <c r="A247">
        <v>245</v>
      </c>
      <c r="B247">
        <v>3935</v>
      </c>
      <c r="C247" t="b">
        <v>1</v>
      </c>
      <c r="D247">
        <v>8088</v>
      </c>
      <c r="E247">
        <v>8140</v>
      </c>
      <c r="F247">
        <v>43.333331999999999</v>
      </c>
      <c r="G247">
        <v>21.4</v>
      </c>
      <c r="H247">
        <v>2.0249220999999999</v>
      </c>
      <c r="I247">
        <v>-1.0249220999999999</v>
      </c>
      <c r="J247">
        <v>0.33058703</v>
      </c>
    </row>
    <row r="248" spans="1:10" x14ac:dyDescent="0.3">
      <c r="A248">
        <v>246</v>
      </c>
      <c r="B248">
        <v>3951</v>
      </c>
      <c r="C248" t="b">
        <v>1</v>
      </c>
      <c r="D248">
        <v>8094</v>
      </c>
      <c r="E248">
        <v>8134</v>
      </c>
      <c r="F248">
        <v>43.333331999999999</v>
      </c>
      <c r="G248">
        <v>21</v>
      </c>
      <c r="H248">
        <v>2.0634920000000001</v>
      </c>
      <c r="I248">
        <v>-1.0634920999999999</v>
      </c>
      <c r="J248">
        <v>0.32642490000000002</v>
      </c>
    </row>
    <row r="249" spans="1:10" x14ac:dyDescent="0.3">
      <c r="A249">
        <v>247</v>
      </c>
      <c r="B249">
        <v>3967</v>
      </c>
      <c r="C249" t="b">
        <v>1</v>
      </c>
      <c r="D249">
        <v>8088</v>
      </c>
      <c r="E249">
        <v>8134</v>
      </c>
      <c r="F249">
        <v>43.666668000000001</v>
      </c>
      <c r="G249">
        <v>20.6</v>
      </c>
      <c r="H249">
        <v>2.1197412</v>
      </c>
      <c r="I249">
        <v>-1.1197410999999999</v>
      </c>
      <c r="J249">
        <v>0.32053939999999997</v>
      </c>
    </row>
    <row r="250" spans="1:10" x14ac:dyDescent="0.3">
      <c r="A250">
        <v>248</v>
      </c>
      <c r="B250">
        <v>3983</v>
      </c>
      <c r="C250" t="b">
        <v>1</v>
      </c>
      <c r="D250">
        <v>8083</v>
      </c>
      <c r="E250">
        <v>8134</v>
      </c>
      <c r="F250">
        <v>44</v>
      </c>
      <c r="G250">
        <v>20.2</v>
      </c>
      <c r="H250">
        <v>2.1782176</v>
      </c>
      <c r="I250">
        <v>-1.1782178000000001</v>
      </c>
      <c r="J250">
        <v>0.31464176999999999</v>
      </c>
    </row>
    <row r="251" spans="1:10" x14ac:dyDescent="0.3">
      <c r="A251">
        <v>249</v>
      </c>
      <c r="B251">
        <v>3999</v>
      </c>
      <c r="C251" t="b">
        <v>1</v>
      </c>
      <c r="D251">
        <v>8088</v>
      </c>
      <c r="E251">
        <v>8134</v>
      </c>
      <c r="F251">
        <v>44.333331999999999</v>
      </c>
      <c r="G251">
        <v>19.8</v>
      </c>
      <c r="H251">
        <v>2.2390572999999998</v>
      </c>
      <c r="I251">
        <v>-1.2390573</v>
      </c>
      <c r="J251">
        <v>0.3087318</v>
      </c>
    </row>
    <row r="252" spans="1:10" x14ac:dyDescent="0.3">
      <c r="A252">
        <v>250</v>
      </c>
      <c r="B252">
        <v>4015</v>
      </c>
      <c r="C252" t="b">
        <v>1</v>
      </c>
      <c r="D252">
        <v>8088</v>
      </c>
      <c r="E252">
        <v>8134</v>
      </c>
      <c r="F252">
        <v>44.666668000000001</v>
      </c>
      <c r="G252">
        <v>19.399999999999999</v>
      </c>
      <c r="H252">
        <v>2.3024056000000002</v>
      </c>
      <c r="I252">
        <v>-1.3024055999999999</v>
      </c>
      <c r="J252">
        <v>0.30280956999999997</v>
      </c>
    </row>
    <row r="253" spans="1:10" x14ac:dyDescent="0.3">
      <c r="A253">
        <v>251</v>
      </c>
      <c r="B253">
        <v>4031</v>
      </c>
      <c r="C253" t="b">
        <v>1</v>
      </c>
      <c r="D253">
        <v>8088</v>
      </c>
      <c r="E253">
        <v>8134</v>
      </c>
      <c r="F253">
        <v>45</v>
      </c>
      <c r="G253">
        <v>19</v>
      </c>
      <c r="H253">
        <v>2.3684210000000001</v>
      </c>
      <c r="I253">
        <v>-1.3684210999999999</v>
      </c>
      <c r="J253">
        <v>0.296875</v>
      </c>
    </row>
    <row r="254" spans="1:10" x14ac:dyDescent="0.3">
      <c r="A254">
        <v>252</v>
      </c>
      <c r="B254">
        <v>4047</v>
      </c>
      <c r="C254" t="b">
        <v>1</v>
      </c>
      <c r="D254">
        <v>8094</v>
      </c>
      <c r="E254">
        <v>8129</v>
      </c>
      <c r="F254">
        <v>45.333331999999999</v>
      </c>
      <c r="G254">
        <v>19</v>
      </c>
      <c r="H254">
        <v>2.3859648999999998</v>
      </c>
      <c r="I254">
        <v>-1.3859649000000001</v>
      </c>
      <c r="J254">
        <v>0.29533680000000001</v>
      </c>
    </row>
    <row r="255" spans="1:10" x14ac:dyDescent="0.3">
      <c r="A255">
        <v>253</v>
      </c>
      <c r="B255">
        <v>4063</v>
      </c>
      <c r="C255" t="b">
        <v>1</v>
      </c>
      <c r="D255">
        <v>8088</v>
      </c>
      <c r="E255">
        <v>8140</v>
      </c>
      <c r="F255">
        <v>45.666668000000001</v>
      </c>
      <c r="G255">
        <v>19</v>
      </c>
      <c r="H255">
        <v>2.4035090000000001</v>
      </c>
      <c r="I255">
        <v>-1.4035088</v>
      </c>
      <c r="J255">
        <v>0.29381442000000002</v>
      </c>
    </row>
    <row r="256" spans="1:10" x14ac:dyDescent="0.3">
      <c r="A256">
        <v>254</v>
      </c>
      <c r="B256">
        <v>4079</v>
      </c>
      <c r="C256" t="b">
        <v>1</v>
      </c>
      <c r="D256">
        <v>8083</v>
      </c>
      <c r="E256">
        <v>8140</v>
      </c>
      <c r="F256">
        <v>46</v>
      </c>
      <c r="G256">
        <v>19</v>
      </c>
      <c r="H256">
        <v>2.4210527000000002</v>
      </c>
      <c r="I256">
        <v>-1.4210526000000001</v>
      </c>
      <c r="J256">
        <v>0.2923077</v>
      </c>
    </row>
    <row r="257" spans="1:10" x14ac:dyDescent="0.3">
      <c r="A257">
        <v>255</v>
      </c>
      <c r="B257">
        <v>4095</v>
      </c>
      <c r="C257" t="b">
        <v>1</v>
      </c>
      <c r="D257">
        <v>8077</v>
      </c>
      <c r="E257">
        <v>8146</v>
      </c>
      <c r="F257">
        <v>46.333331999999999</v>
      </c>
      <c r="G257">
        <v>19.399999999999999</v>
      </c>
      <c r="H257">
        <v>2.3883161999999998</v>
      </c>
      <c r="I257">
        <v>-1.3883162</v>
      </c>
      <c r="J257">
        <v>0.29513186000000002</v>
      </c>
    </row>
    <row r="258" spans="1:10" x14ac:dyDescent="0.3">
      <c r="A258">
        <v>256</v>
      </c>
      <c r="B258">
        <v>4110</v>
      </c>
      <c r="C258" t="b">
        <v>1</v>
      </c>
      <c r="D258">
        <v>8077</v>
      </c>
      <c r="E258">
        <v>8146</v>
      </c>
      <c r="F258">
        <v>46.333331999999999</v>
      </c>
      <c r="G258">
        <v>19.8</v>
      </c>
      <c r="H258">
        <v>2.3400674000000001</v>
      </c>
      <c r="I258">
        <v>-1.3400673999999999</v>
      </c>
      <c r="J258">
        <v>0.29939516999999999</v>
      </c>
    </row>
    <row r="259" spans="1:10" x14ac:dyDescent="0.3">
      <c r="A259">
        <v>257</v>
      </c>
      <c r="B259">
        <v>4126</v>
      </c>
      <c r="C259" t="b">
        <v>1</v>
      </c>
      <c r="D259">
        <v>8088</v>
      </c>
      <c r="E259">
        <v>8134</v>
      </c>
      <c r="F259">
        <v>46.333331999999999</v>
      </c>
      <c r="G259">
        <v>20.2</v>
      </c>
      <c r="H259">
        <v>2.2937292999999999</v>
      </c>
      <c r="I259">
        <v>-1.2937292</v>
      </c>
      <c r="J259">
        <v>0.30360723000000001</v>
      </c>
    </row>
    <row r="260" spans="1:10" x14ac:dyDescent="0.3">
      <c r="A260">
        <v>258</v>
      </c>
      <c r="B260">
        <v>4142</v>
      </c>
      <c r="C260" t="b">
        <v>1</v>
      </c>
      <c r="D260">
        <v>8088</v>
      </c>
      <c r="E260">
        <v>8140</v>
      </c>
      <c r="F260">
        <v>46.333331999999999</v>
      </c>
      <c r="G260">
        <v>20.6</v>
      </c>
      <c r="H260">
        <v>2.2491908</v>
      </c>
      <c r="I260">
        <v>-1.2491908</v>
      </c>
      <c r="J260">
        <v>0.30776890000000001</v>
      </c>
    </row>
    <row r="261" spans="1:10" x14ac:dyDescent="0.3">
      <c r="A261">
        <v>259</v>
      </c>
      <c r="B261">
        <v>4158</v>
      </c>
      <c r="C261" t="b">
        <v>1</v>
      </c>
      <c r="D261">
        <v>8088</v>
      </c>
      <c r="E261">
        <v>8134</v>
      </c>
      <c r="F261">
        <v>46.666668000000001</v>
      </c>
      <c r="G261">
        <v>21</v>
      </c>
      <c r="H261">
        <v>2.2222222999999999</v>
      </c>
      <c r="I261">
        <v>-1.2222223000000001</v>
      </c>
      <c r="J261">
        <v>0.31034482000000002</v>
      </c>
    </row>
    <row r="262" spans="1:10" x14ac:dyDescent="0.3">
      <c r="A262">
        <v>260</v>
      </c>
      <c r="B262">
        <v>4174</v>
      </c>
      <c r="C262" t="b">
        <v>1</v>
      </c>
      <c r="D262">
        <v>8088</v>
      </c>
      <c r="E262">
        <v>8140</v>
      </c>
      <c r="F262">
        <v>47</v>
      </c>
      <c r="G262">
        <v>21.4</v>
      </c>
      <c r="H262">
        <v>2.1962616000000001</v>
      </c>
      <c r="I262">
        <v>-1.1962618</v>
      </c>
      <c r="J262">
        <v>0.31286550000000002</v>
      </c>
    </row>
    <row r="263" spans="1:10" x14ac:dyDescent="0.3">
      <c r="A263">
        <v>261</v>
      </c>
      <c r="B263">
        <v>4189</v>
      </c>
      <c r="C263" t="b">
        <v>1</v>
      </c>
      <c r="D263">
        <v>8083</v>
      </c>
      <c r="E263">
        <v>8129</v>
      </c>
      <c r="F263">
        <v>47</v>
      </c>
      <c r="G263">
        <v>21.4</v>
      </c>
      <c r="H263">
        <v>2.1962616000000001</v>
      </c>
      <c r="I263">
        <v>-1.1962618</v>
      </c>
      <c r="J263">
        <v>0.31286550000000002</v>
      </c>
    </row>
    <row r="264" spans="1:10" x14ac:dyDescent="0.3">
      <c r="A264">
        <v>262</v>
      </c>
      <c r="B264">
        <v>4205</v>
      </c>
      <c r="C264" t="b">
        <v>1</v>
      </c>
      <c r="D264">
        <v>8088</v>
      </c>
      <c r="E264">
        <v>8134</v>
      </c>
      <c r="F264">
        <v>47</v>
      </c>
      <c r="G264">
        <v>21.4</v>
      </c>
      <c r="H264">
        <v>2.1962616000000001</v>
      </c>
      <c r="I264">
        <v>-1.1962618</v>
      </c>
      <c r="J264">
        <v>0.31286550000000002</v>
      </c>
    </row>
    <row r="265" spans="1:10" x14ac:dyDescent="0.3">
      <c r="A265">
        <v>263</v>
      </c>
      <c r="B265">
        <v>4221</v>
      </c>
      <c r="C265" t="b">
        <v>1</v>
      </c>
      <c r="D265">
        <v>8083</v>
      </c>
      <c r="E265">
        <v>8134</v>
      </c>
      <c r="F265">
        <v>47</v>
      </c>
      <c r="G265">
        <v>21.4</v>
      </c>
      <c r="H265">
        <v>2.1962616000000001</v>
      </c>
      <c r="I265">
        <v>-1.1962618</v>
      </c>
      <c r="J265">
        <v>0.31286550000000002</v>
      </c>
    </row>
    <row r="266" spans="1:10" x14ac:dyDescent="0.3">
      <c r="A266">
        <v>264</v>
      </c>
      <c r="B266">
        <v>4237</v>
      </c>
      <c r="C266" t="b">
        <v>1</v>
      </c>
      <c r="D266">
        <v>8077</v>
      </c>
      <c r="E266">
        <v>8134</v>
      </c>
      <c r="F266">
        <v>46.666668000000001</v>
      </c>
      <c r="G266">
        <v>21.4</v>
      </c>
      <c r="H266">
        <v>2.1806855000000001</v>
      </c>
      <c r="I266">
        <v>-1.1806854</v>
      </c>
      <c r="J266">
        <v>0.31439766000000002</v>
      </c>
    </row>
    <row r="267" spans="1:10" x14ac:dyDescent="0.3">
      <c r="A267">
        <v>265</v>
      </c>
      <c r="B267">
        <v>4253</v>
      </c>
      <c r="C267" t="b">
        <v>1</v>
      </c>
      <c r="D267">
        <v>8083</v>
      </c>
      <c r="E267">
        <v>8140</v>
      </c>
      <c r="F267">
        <v>46.333331999999999</v>
      </c>
      <c r="G267">
        <v>21.4</v>
      </c>
      <c r="H267">
        <v>2.1651090000000002</v>
      </c>
      <c r="I267">
        <v>-1.165109</v>
      </c>
      <c r="J267">
        <v>0.31594487999999998</v>
      </c>
    </row>
    <row r="268" spans="1:10" x14ac:dyDescent="0.3">
      <c r="A268">
        <v>266</v>
      </c>
      <c r="B268">
        <v>4269</v>
      </c>
      <c r="C268" t="b">
        <v>1</v>
      </c>
      <c r="D268">
        <v>8094</v>
      </c>
      <c r="E268">
        <v>8146</v>
      </c>
      <c r="F268">
        <v>46</v>
      </c>
      <c r="G268">
        <v>21.4</v>
      </c>
      <c r="H268">
        <v>2.1495327999999998</v>
      </c>
      <c r="I268">
        <v>-1.1495328</v>
      </c>
      <c r="J268">
        <v>0.31750741999999998</v>
      </c>
    </row>
    <row r="269" spans="1:10" x14ac:dyDescent="0.3">
      <c r="A269">
        <v>267</v>
      </c>
      <c r="B269">
        <v>4285</v>
      </c>
      <c r="C269" t="b">
        <v>1</v>
      </c>
      <c r="D269">
        <v>8088</v>
      </c>
      <c r="E269">
        <v>8140</v>
      </c>
      <c r="F269">
        <v>45.666668000000001</v>
      </c>
      <c r="G269">
        <v>21.8</v>
      </c>
      <c r="H269">
        <v>2.0948014000000001</v>
      </c>
      <c r="I269">
        <v>-1.0948013000000001</v>
      </c>
      <c r="J269">
        <v>0.32312249999999998</v>
      </c>
    </row>
    <row r="270" spans="1:10" x14ac:dyDescent="0.3">
      <c r="A270">
        <v>268</v>
      </c>
      <c r="B270">
        <v>4301</v>
      </c>
      <c r="C270" t="b">
        <v>1</v>
      </c>
      <c r="D270">
        <v>8088</v>
      </c>
      <c r="E270">
        <v>8140</v>
      </c>
      <c r="F270">
        <v>45.666668000000001</v>
      </c>
      <c r="G270">
        <v>22.2</v>
      </c>
      <c r="H270">
        <v>2.0570571000000002</v>
      </c>
      <c r="I270">
        <v>-1.0570569999999999</v>
      </c>
      <c r="J270">
        <v>0.32711200000000001</v>
      </c>
    </row>
    <row r="271" spans="1:10" x14ac:dyDescent="0.3">
      <c r="A271">
        <v>269</v>
      </c>
      <c r="B271">
        <v>4317</v>
      </c>
      <c r="C271" t="b">
        <v>1</v>
      </c>
      <c r="D271">
        <v>8083</v>
      </c>
      <c r="E271">
        <v>8140</v>
      </c>
      <c r="F271">
        <v>45.666668000000001</v>
      </c>
      <c r="G271">
        <v>22.6</v>
      </c>
      <c r="H271">
        <v>2.0206490000000001</v>
      </c>
      <c r="I271">
        <v>-1.0206489999999999</v>
      </c>
      <c r="J271">
        <v>0.33105469999999998</v>
      </c>
    </row>
    <row r="272" spans="1:10" x14ac:dyDescent="0.3">
      <c r="A272">
        <v>270</v>
      </c>
      <c r="B272">
        <v>4333</v>
      </c>
      <c r="C272" t="b">
        <v>1</v>
      </c>
      <c r="D272">
        <v>8088</v>
      </c>
      <c r="E272">
        <v>8140</v>
      </c>
      <c r="F272">
        <v>45.666668000000001</v>
      </c>
      <c r="G272">
        <v>22.6</v>
      </c>
      <c r="H272">
        <v>2.0206490000000001</v>
      </c>
      <c r="I272">
        <v>-1.0206489999999999</v>
      </c>
      <c r="J272">
        <v>0.33105469999999998</v>
      </c>
    </row>
    <row r="273" spans="1:10" x14ac:dyDescent="0.3">
      <c r="A273">
        <v>271</v>
      </c>
      <c r="B273">
        <v>4348</v>
      </c>
      <c r="C273" t="b">
        <v>1</v>
      </c>
      <c r="D273">
        <v>8100</v>
      </c>
      <c r="E273">
        <v>8140</v>
      </c>
      <c r="F273">
        <v>46</v>
      </c>
      <c r="G273">
        <v>22.6</v>
      </c>
      <c r="H273">
        <v>2.0353981999999999</v>
      </c>
      <c r="I273">
        <v>-1.0353981999999999</v>
      </c>
      <c r="J273">
        <v>0.32944607999999997</v>
      </c>
    </row>
    <row r="274" spans="1:10" x14ac:dyDescent="0.3">
      <c r="A274">
        <v>272</v>
      </c>
      <c r="B274">
        <v>4364</v>
      </c>
      <c r="C274" t="b">
        <v>1</v>
      </c>
      <c r="D274">
        <v>8094</v>
      </c>
      <c r="E274">
        <v>8140</v>
      </c>
      <c r="F274">
        <v>46.333331999999999</v>
      </c>
      <c r="G274">
        <v>22.6</v>
      </c>
      <c r="H274">
        <v>2.0501472999999999</v>
      </c>
      <c r="I274">
        <v>-1.0501474</v>
      </c>
      <c r="J274">
        <v>0.32785300000000001</v>
      </c>
    </row>
    <row r="275" spans="1:10" x14ac:dyDescent="0.3">
      <c r="A275">
        <v>273</v>
      </c>
      <c r="B275">
        <v>4381</v>
      </c>
      <c r="C275" t="b">
        <v>1</v>
      </c>
      <c r="D275">
        <v>8083</v>
      </c>
      <c r="E275">
        <v>8146</v>
      </c>
      <c r="F275">
        <v>46.666668000000001</v>
      </c>
      <c r="G275">
        <v>22.6</v>
      </c>
      <c r="H275">
        <v>2.0648968000000001</v>
      </c>
      <c r="I275">
        <v>-1.0648968000000001</v>
      </c>
      <c r="J275">
        <v>0.32627526000000001</v>
      </c>
    </row>
    <row r="276" spans="1:10" x14ac:dyDescent="0.3">
      <c r="A276">
        <v>274</v>
      </c>
      <c r="B276">
        <v>4396</v>
      </c>
      <c r="C276" t="b">
        <v>1</v>
      </c>
      <c r="D276">
        <v>8077</v>
      </c>
      <c r="E276">
        <v>8134</v>
      </c>
      <c r="F276">
        <v>46.666668000000001</v>
      </c>
      <c r="G276">
        <v>22.6</v>
      </c>
      <c r="H276">
        <v>2.0648968000000001</v>
      </c>
      <c r="I276">
        <v>-1.0648968000000001</v>
      </c>
      <c r="J276">
        <v>0.32627526000000001</v>
      </c>
    </row>
    <row r="277" spans="1:10" x14ac:dyDescent="0.3">
      <c r="A277">
        <v>275</v>
      </c>
      <c r="B277">
        <v>4413</v>
      </c>
      <c r="C277" t="b">
        <v>1</v>
      </c>
      <c r="D277">
        <v>8083</v>
      </c>
      <c r="E277">
        <v>8140</v>
      </c>
      <c r="F277">
        <v>46.333331999999999</v>
      </c>
      <c r="G277">
        <v>22.6</v>
      </c>
      <c r="H277">
        <v>2.0501472999999999</v>
      </c>
      <c r="I277">
        <v>-1.0501474</v>
      </c>
      <c r="J277">
        <v>0.32785300000000001</v>
      </c>
    </row>
    <row r="278" spans="1:10" x14ac:dyDescent="0.3">
      <c r="A278">
        <v>276</v>
      </c>
      <c r="B278">
        <v>4428</v>
      </c>
      <c r="C278" t="b">
        <v>1</v>
      </c>
      <c r="D278">
        <v>8088</v>
      </c>
      <c r="E278">
        <v>8134</v>
      </c>
      <c r="F278">
        <v>46</v>
      </c>
      <c r="G278">
        <v>23</v>
      </c>
      <c r="H278">
        <v>2</v>
      </c>
      <c r="I278">
        <v>-1</v>
      </c>
      <c r="J278">
        <v>0.33333333999999998</v>
      </c>
    </row>
    <row r="279" spans="1:10" x14ac:dyDescent="0.3">
      <c r="A279">
        <v>277</v>
      </c>
      <c r="B279">
        <v>4444</v>
      </c>
      <c r="C279" t="b">
        <v>1</v>
      </c>
      <c r="D279">
        <v>8088</v>
      </c>
      <c r="E279">
        <v>8146</v>
      </c>
      <c r="F279">
        <v>45.666668000000001</v>
      </c>
      <c r="G279">
        <v>23.4</v>
      </c>
      <c r="H279">
        <v>1.9515670000000001</v>
      </c>
      <c r="I279">
        <v>-0.95156704999999997</v>
      </c>
      <c r="J279">
        <v>0.33880307999999998</v>
      </c>
    </row>
    <row r="280" spans="1:10" x14ac:dyDescent="0.3">
      <c r="A280">
        <v>278</v>
      </c>
      <c r="B280">
        <v>4460</v>
      </c>
      <c r="C280" t="b">
        <v>1</v>
      </c>
      <c r="D280">
        <v>8094</v>
      </c>
      <c r="E280">
        <v>8140</v>
      </c>
      <c r="F280">
        <v>45.666668000000001</v>
      </c>
      <c r="G280">
        <v>23.8</v>
      </c>
      <c r="H280">
        <v>1.9187676</v>
      </c>
      <c r="I280">
        <v>-0.91876762999999995</v>
      </c>
      <c r="J280">
        <v>0.34261036</v>
      </c>
    </row>
    <row r="281" spans="1:10" x14ac:dyDescent="0.3">
      <c r="A281">
        <v>279</v>
      </c>
      <c r="B281">
        <v>4475</v>
      </c>
      <c r="C281" t="b">
        <v>1</v>
      </c>
      <c r="D281">
        <v>8094</v>
      </c>
      <c r="E281">
        <v>8140</v>
      </c>
      <c r="F281">
        <v>46</v>
      </c>
      <c r="G281">
        <v>24.2</v>
      </c>
      <c r="H281">
        <v>1.9008263000000001</v>
      </c>
      <c r="I281">
        <v>-0.90082640000000003</v>
      </c>
      <c r="J281">
        <v>0.34472935999999998</v>
      </c>
    </row>
    <row r="282" spans="1:10" x14ac:dyDescent="0.3">
      <c r="A282">
        <v>280</v>
      </c>
      <c r="B282">
        <v>4491</v>
      </c>
      <c r="C282" t="b">
        <v>1</v>
      </c>
      <c r="D282">
        <v>8083</v>
      </c>
      <c r="E282">
        <v>8140</v>
      </c>
      <c r="F282">
        <v>46.333331999999999</v>
      </c>
      <c r="G282">
        <v>24.6</v>
      </c>
      <c r="H282">
        <v>1.8834687000000001</v>
      </c>
      <c r="I282">
        <v>-0.88346875000000002</v>
      </c>
      <c r="J282">
        <v>0.34680450000000002</v>
      </c>
    </row>
    <row r="283" spans="1:10" x14ac:dyDescent="0.3">
      <c r="A283">
        <v>281</v>
      </c>
      <c r="B283">
        <v>4507</v>
      </c>
      <c r="C283" t="b">
        <v>1</v>
      </c>
      <c r="D283">
        <v>8071</v>
      </c>
      <c r="E283">
        <v>8146</v>
      </c>
      <c r="F283">
        <v>46.666668000000001</v>
      </c>
      <c r="G283">
        <v>25</v>
      </c>
      <c r="H283">
        <v>1.8666666999999999</v>
      </c>
      <c r="I283">
        <v>-0.86666673000000005</v>
      </c>
      <c r="J283">
        <v>0.34883720000000001</v>
      </c>
    </row>
    <row r="284" spans="1:10" x14ac:dyDescent="0.3">
      <c r="A284">
        <v>282</v>
      </c>
      <c r="B284">
        <v>4523</v>
      </c>
      <c r="C284" t="b">
        <v>1</v>
      </c>
      <c r="D284">
        <v>8071</v>
      </c>
      <c r="E284">
        <v>8140</v>
      </c>
      <c r="F284">
        <v>46.666668000000001</v>
      </c>
      <c r="G284">
        <v>25</v>
      </c>
      <c r="H284">
        <v>1.8666666999999999</v>
      </c>
      <c r="I284">
        <v>-0.86666673000000005</v>
      </c>
      <c r="J284">
        <v>0.34883720000000001</v>
      </c>
    </row>
    <row r="285" spans="1:10" x14ac:dyDescent="0.3">
      <c r="A285">
        <v>283</v>
      </c>
      <c r="B285">
        <v>4539</v>
      </c>
      <c r="C285" t="b">
        <v>1</v>
      </c>
      <c r="D285">
        <v>8077</v>
      </c>
      <c r="E285">
        <v>8140</v>
      </c>
      <c r="F285">
        <v>45.933334000000002</v>
      </c>
      <c r="G285">
        <v>25</v>
      </c>
      <c r="H285">
        <v>1.8373333000000001</v>
      </c>
      <c r="I285">
        <v>-0.83733340000000001</v>
      </c>
      <c r="J285">
        <v>0.35244360000000002</v>
      </c>
    </row>
    <row r="286" spans="1:10" x14ac:dyDescent="0.3">
      <c r="A286">
        <v>284</v>
      </c>
      <c r="B286">
        <v>4554</v>
      </c>
      <c r="C286" t="b">
        <v>1</v>
      </c>
      <c r="D286">
        <v>8077</v>
      </c>
      <c r="E286">
        <v>8146</v>
      </c>
      <c r="F286">
        <v>45.2</v>
      </c>
      <c r="G286">
        <v>25</v>
      </c>
      <c r="H286">
        <v>1.8080001000000001</v>
      </c>
      <c r="I286">
        <v>-0.80800000000000005</v>
      </c>
      <c r="J286">
        <v>0.35612537999999999</v>
      </c>
    </row>
    <row r="287" spans="1:10" x14ac:dyDescent="0.3">
      <c r="A287">
        <v>285</v>
      </c>
      <c r="B287">
        <v>4570</v>
      </c>
      <c r="C287" t="b">
        <v>1</v>
      </c>
      <c r="D287">
        <v>8077</v>
      </c>
      <c r="E287">
        <v>8140</v>
      </c>
      <c r="F287">
        <v>44.466667000000001</v>
      </c>
      <c r="G287">
        <v>25</v>
      </c>
      <c r="H287">
        <v>1.7786667</v>
      </c>
      <c r="I287">
        <v>-0.77866670000000004</v>
      </c>
      <c r="J287">
        <v>0.35988482999999999</v>
      </c>
    </row>
    <row r="288" spans="1:10" x14ac:dyDescent="0.3">
      <c r="A288">
        <v>286</v>
      </c>
      <c r="B288">
        <v>4587</v>
      </c>
      <c r="C288" t="b">
        <v>1</v>
      </c>
      <c r="D288">
        <v>8083</v>
      </c>
      <c r="E288">
        <v>8140</v>
      </c>
      <c r="F288">
        <v>43.733333999999999</v>
      </c>
      <c r="G288">
        <v>25</v>
      </c>
      <c r="H288">
        <v>1.7493334</v>
      </c>
      <c r="I288">
        <v>-0.74933329999999998</v>
      </c>
      <c r="J288">
        <v>0.36372452999999999</v>
      </c>
    </row>
    <row r="289" spans="1:10" x14ac:dyDescent="0.3">
      <c r="A289">
        <v>287</v>
      </c>
      <c r="B289">
        <v>4602</v>
      </c>
      <c r="C289" t="b">
        <v>1</v>
      </c>
      <c r="D289">
        <v>8083</v>
      </c>
      <c r="E289">
        <v>8134</v>
      </c>
      <c r="F289">
        <v>43</v>
      </c>
      <c r="G289">
        <v>25</v>
      </c>
      <c r="H289">
        <v>1.72</v>
      </c>
      <c r="I289">
        <v>-0.72</v>
      </c>
      <c r="J289">
        <v>0.36764704999999998</v>
      </c>
    </row>
    <row r="290" spans="1:10" x14ac:dyDescent="0.3">
      <c r="A290">
        <v>288</v>
      </c>
      <c r="B290">
        <v>4618</v>
      </c>
      <c r="C290" t="b">
        <v>1</v>
      </c>
      <c r="D290">
        <v>8077</v>
      </c>
      <c r="E290">
        <v>8140</v>
      </c>
      <c r="F290">
        <v>42.266666000000001</v>
      </c>
      <c r="G290">
        <v>25</v>
      </c>
      <c r="H290">
        <v>1.6906667</v>
      </c>
      <c r="I290">
        <v>-0.69066669999999997</v>
      </c>
      <c r="J290">
        <v>0.37165513999999999</v>
      </c>
    </row>
    <row r="291" spans="1:10" x14ac:dyDescent="0.3">
      <c r="A291">
        <v>289</v>
      </c>
      <c r="B291">
        <v>4634</v>
      </c>
      <c r="C291" t="b">
        <v>1</v>
      </c>
      <c r="D291">
        <v>8094</v>
      </c>
      <c r="E291">
        <v>8140</v>
      </c>
      <c r="F291">
        <v>41.933334000000002</v>
      </c>
      <c r="G291">
        <v>25</v>
      </c>
      <c r="H291">
        <v>1.6773334</v>
      </c>
      <c r="I291">
        <v>-0.67733334999999995</v>
      </c>
      <c r="J291">
        <v>0.37350598000000002</v>
      </c>
    </row>
    <row r="292" spans="1:10" x14ac:dyDescent="0.3">
      <c r="A292">
        <v>290</v>
      </c>
      <c r="B292">
        <v>4650</v>
      </c>
      <c r="C292" t="b">
        <v>1</v>
      </c>
      <c r="D292">
        <v>8088</v>
      </c>
      <c r="E292">
        <v>8140</v>
      </c>
      <c r="F292">
        <v>41.933334000000002</v>
      </c>
      <c r="G292">
        <v>25</v>
      </c>
      <c r="H292">
        <v>1.6773334</v>
      </c>
      <c r="I292">
        <v>-0.67733334999999995</v>
      </c>
      <c r="J292">
        <v>0.37350598000000002</v>
      </c>
    </row>
    <row r="293" spans="1:10" x14ac:dyDescent="0.3">
      <c r="A293">
        <v>291</v>
      </c>
      <c r="B293">
        <v>4665</v>
      </c>
      <c r="C293" t="b">
        <v>1</v>
      </c>
      <c r="D293">
        <v>8083</v>
      </c>
      <c r="E293">
        <v>8140</v>
      </c>
      <c r="F293">
        <v>41.933334000000002</v>
      </c>
      <c r="G293">
        <v>25</v>
      </c>
      <c r="H293">
        <v>1.6773334</v>
      </c>
      <c r="I293">
        <v>-0.67733334999999995</v>
      </c>
      <c r="J293">
        <v>0.37350598000000002</v>
      </c>
    </row>
    <row r="294" spans="1:10" x14ac:dyDescent="0.3">
      <c r="A294">
        <v>292</v>
      </c>
      <c r="B294">
        <v>4681</v>
      </c>
      <c r="C294" t="b">
        <v>1</v>
      </c>
      <c r="D294">
        <v>8088</v>
      </c>
      <c r="E294">
        <v>8140</v>
      </c>
      <c r="F294">
        <v>42.266666000000001</v>
      </c>
      <c r="G294">
        <v>25</v>
      </c>
      <c r="H294">
        <v>1.6906667</v>
      </c>
      <c r="I294">
        <v>-0.69066669999999997</v>
      </c>
      <c r="J294">
        <v>0.37165513999999999</v>
      </c>
    </row>
    <row r="295" spans="1:10" x14ac:dyDescent="0.3">
      <c r="A295">
        <v>293</v>
      </c>
      <c r="B295">
        <v>4697</v>
      </c>
      <c r="C295" t="b">
        <v>1</v>
      </c>
      <c r="D295">
        <v>8088</v>
      </c>
      <c r="E295">
        <v>8146</v>
      </c>
      <c r="F295">
        <v>42.266666000000001</v>
      </c>
      <c r="G295">
        <v>25</v>
      </c>
      <c r="H295">
        <v>1.6906667</v>
      </c>
      <c r="I295">
        <v>-0.69066669999999997</v>
      </c>
      <c r="J295">
        <v>0.37165513999999999</v>
      </c>
    </row>
    <row r="296" spans="1:10" x14ac:dyDescent="0.3">
      <c r="A296">
        <v>294</v>
      </c>
      <c r="B296">
        <v>4713</v>
      </c>
      <c r="C296" t="b">
        <v>1</v>
      </c>
      <c r="D296">
        <v>8088</v>
      </c>
      <c r="E296">
        <v>8140</v>
      </c>
      <c r="F296">
        <v>42.266666000000001</v>
      </c>
      <c r="G296">
        <v>25</v>
      </c>
      <c r="H296">
        <v>1.6906667</v>
      </c>
      <c r="I296">
        <v>-0.69066669999999997</v>
      </c>
      <c r="J296">
        <v>0.37165513999999999</v>
      </c>
    </row>
    <row r="297" spans="1:10" x14ac:dyDescent="0.3">
      <c r="A297">
        <v>295</v>
      </c>
      <c r="B297">
        <v>4729</v>
      </c>
      <c r="C297" t="b">
        <v>1</v>
      </c>
      <c r="D297">
        <v>8083</v>
      </c>
      <c r="E297">
        <v>8140</v>
      </c>
      <c r="F297">
        <v>42.266666000000001</v>
      </c>
      <c r="G297">
        <v>25</v>
      </c>
      <c r="H297">
        <v>1.6906667</v>
      </c>
      <c r="I297">
        <v>-0.69066669999999997</v>
      </c>
      <c r="J297">
        <v>0.37165513999999999</v>
      </c>
    </row>
    <row r="298" spans="1:10" x14ac:dyDescent="0.3">
      <c r="A298">
        <v>296</v>
      </c>
      <c r="B298">
        <v>4745</v>
      </c>
      <c r="C298" t="b">
        <v>1</v>
      </c>
      <c r="D298">
        <v>8083</v>
      </c>
      <c r="E298">
        <v>8140</v>
      </c>
      <c r="F298">
        <v>42.266666000000001</v>
      </c>
      <c r="G298">
        <v>25</v>
      </c>
      <c r="H298">
        <v>1.6906667</v>
      </c>
      <c r="I298">
        <v>-0.69066669999999997</v>
      </c>
      <c r="J298">
        <v>0.37165513999999999</v>
      </c>
    </row>
    <row r="299" spans="1:10" x14ac:dyDescent="0.3">
      <c r="A299">
        <v>297</v>
      </c>
      <c r="B299">
        <v>4761</v>
      </c>
      <c r="C299" t="b">
        <v>1</v>
      </c>
      <c r="D299">
        <v>8083</v>
      </c>
      <c r="E299">
        <v>8140</v>
      </c>
      <c r="F299">
        <v>42.266666000000001</v>
      </c>
      <c r="G299">
        <v>25</v>
      </c>
      <c r="H299">
        <v>1.6906667</v>
      </c>
      <c r="I299">
        <v>-0.69066669999999997</v>
      </c>
      <c r="J299">
        <v>0.37165513999999999</v>
      </c>
    </row>
    <row r="300" spans="1:10" x14ac:dyDescent="0.3">
      <c r="A300">
        <v>298</v>
      </c>
      <c r="B300">
        <v>4777</v>
      </c>
      <c r="C300" t="b">
        <v>1</v>
      </c>
      <c r="D300">
        <v>8083</v>
      </c>
      <c r="E300">
        <v>8140</v>
      </c>
      <c r="F300">
        <v>42.666668000000001</v>
      </c>
      <c r="G300">
        <v>25</v>
      </c>
      <c r="H300">
        <v>1.7066667</v>
      </c>
      <c r="I300">
        <v>-0.70666669999999998</v>
      </c>
      <c r="J300">
        <v>0.36945810000000001</v>
      </c>
    </row>
    <row r="301" spans="1:10" x14ac:dyDescent="0.3">
      <c r="A301">
        <v>299</v>
      </c>
      <c r="B301">
        <v>4793</v>
      </c>
      <c r="C301" t="b">
        <v>1</v>
      </c>
      <c r="D301">
        <v>8083</v>
      </c>
      <c r="E301">
        <v>8140</v>
      </c>
      <c r="F301">
        <v>43.066665999999998</v>
      </c>
      <c r="G301">
        <v>25</v>
      </c>
      <c r="H301">
        <v>1.7226665999999999</v>
      </c>
      <c r="I301">
        <v>-0.72266660000000005</v>
      </c>
      <c r="J301">
        <v>0.36728697999999999</v>
      </c>
    </row>
    <row r="302" spans="1:10" x14ac:dyDescent="0.3">
      <c r="A302">
        <v>300</v>
      </c>
      <c r="B302">
        <v>4809</v>
      </c>
      <c r="C302" t="b">
        <v>1</v>
      </c>
      <c r="D302">
        <v>8088</v>
      </c>
      <c r="E302">
        <v>8134</v>
      </c>
      <c r="F302">
        <v>43.466667000000001</v>
      </c>
      <c r="G302">
        <v>25</v>
      </c>
      <c r="H302">
        <v>1.7386667</v>
      </c>
      <c r="I302">
        <v>-0.73866670000000001</v>
      </c>
      <c r="J302">
        <v>0.36514118000000001</v>
      </c>
    </row>
    <row r="303" spans="1:10" x14ac:dyDescent="0.3">
      <c r="A303">
        <v>301</v>
      </c>
      <c r="B303">
        <v>4825</v>
      </c>
      <c r="C303" t="b">
        <v>1</v>
      </c>
      <c r="D303">
        <v>8088</v>
      </c>
      <c r="E303">
        <v>8140</v>
      </c>
      <c r="F303">
        <v>43.866664999999998</v>
      </c>
      <c r="G303">
        <v>25</v>
      </c>
      <c r="H303">
        <v>1.7546666</v>
      </c>
      <c r="I303">
        <v>-0.75466657000000004</v>
      </c>
      <c r="J303">
        <v>0.36302033</v>
      </c>
    </row>
    <row r="304" spans="1:10" x14ac:dyDescent="0.3">
      <c r="A304">
        <v>302</v>
      </c>
      <c r="B304">
        <v>4841</v>
      </c>
      <c r="C304" t="b">
        <v>1</v>
      </c>
      <c r="D304">
        <v>8088</v>
      </c>
      <c r="E304">
        <v>8146</v>
      </c>
      <c r="F304">
        <v>44.6</v>
      </c>
      <c r="G304">
        <v>25</v>
      </c>
      <c r="H304">
        <v>1.7839999</v>
      </c>
      <c r="I304">
        <v>-0.78399989999999997</v>
      </c>
      <c r="J304">
        <v>0.3591954</v>
      </c>
    </row>
    <row r="305" spans="1:10" x14ac:dyDescent="0.3">
      <c r="A305">
        <v>303</v>
      </c>
      <c r="B305">
        <v>4857</v>
      </c>
      <c r="C305" t="b">
        <v>1</v>
      </c>
      <c r="D305">
        <v>8094</v>
      </c>
      <c r="E305">
        <v>8146</v>
      </c>
      <c r="F305">
        <v>45.333331999999999</v>
      </c>
      <c r="G305">
        <v>25</v>
      </c>
      <c r="H305">
        <v>1.8133333</v>
      </c>
      <c r="I305">
        <v>-0.81333330000000004</v>
      </c>
      <c r="J305">
        <v>0.35545027000000001</v>
      </c>
    </row>
    <row r="306" spans="1:10" x14ac:dyDescent="0.3">
      <c r="A306">
        <v>304</v>
      </c>
      <c r="B306">
        <v>4873</v>
      </c>
      <c r="C306" t="b">
        <v>1</v>
      </c>
      <c r="D306">
        <v>8088</v>
      </c>
      <c r="E306">
        <v>8140</v>
      </c>
      <c r="F306">
        <v>45.666668000000001</v>
      </c>
      <c r="G306">
        <v>25</v>
      </c>
      <c r="H306">
        <v>1.8266667000000001</v>
      </c>
      <c r="I306">
        <v>-0.82666669999999998</v>
      </c>
      <c r="J306">
        <v>0.35377355999999999</v>
      </c>
    </row>
    <row r="307" spans="1:10" x14ac:dyDescent="0.3">
      <c r="A307">
        <v>305</v>
      </c>
      <c r="B307">
        <v>4889</v>
      </c>
      <c r="C307" t="b">
        <v>1</v>
      </c>
      <c r="D307">
        <v>8083</v>
      </c>
      <c r="E307">
        <v>8140</v>
      </c>
      <c r="F307">
        <v>46</v>
      </c>
      <c r="G307">
        <v>25</v>
      </c>
      <c r="H307">
        <v>1.84</v>
      </c>
      <c r="I307">
        <v>-0.84</v>
      </c>
      <c r="J307">
        <v>0.35211268000000001</v>
      </c>
    </row>
    <row r="308" spans="1:10" x14ac:dyDescent="0.3">
      <c r="A308">
        <v>306</v>
      </c>
      <c r="B308">
        <v>4904</v>
      </c>
      <c r="C308" t="b">
        <v>1</v>
      </c>
      <c r="D308">
        <v>8088</v>
      </c>
      <c r="E308">
        <v>8140</v>
      </c>
      <c r="F308">
        <v>46.333331999999999</v>
      </c>
      <c r="G308">
        <v>25</v>
      </c>
      <c r="H308">
        <v>1.8533332</v>
      </c>
      <c r="I308">
        <v>-0.85333329999999996</v>
      </c>
      <c r="J308">
        <v>0.35046732000000003</v>
      </c>
    </row>
    <row r="309" spans="1:10" x14ac:dyDescent="0.3">
      <c r="A309">
        <v>307</v>
      </c>
      <c r="B309">
        <v>4920</v>
      </c>
      <c r="C309" t="b">
        <v>1</v>
      </c>
      <c r="D309">
        <v>8088</v>
      </c>
      <c r="E309">
        <v>8146</v>
      </c>
      <c r="F309">
        <v>46.333331999999999</v>
      </c>
      <c r="G309">
        <v>25</v>
      </c>
      <c r="H309">
        <v>1.8533332</v>
      </c>
      <c r="I309">
        <v>-0.85333329999999996</v>
      </c>
      <c r="J309">
        <v>0.35046732000000003</v>
      </c>
    </row>
    <row r="310" spans="1:10" x14ac:dyDescent="0.3">
      <c r="A310">
        <v>308</v>
      </c>
      <c r="B310">
        <v>4936</v>
      </c>
      <c r="C310" t="b">
        <v>1</v>
      </c>
      <c r="D310">
        <v>8088</v>
      </c>
      <c r="E310">
        <v>8134</v>
      </c>
      <c r="F310">
        <v>46.333331999999999</v>
      </c>
      <c r="G310">
        <v>25</v>
      </c>
      <c r="H310">
        <v>1.8533332</v>
      </c>
      <c r="I310">
        <v>-0.85333329999999996</v>
      </c>
      <c r="J310">
        <v>0.35046732000000003</v>
      </c>
    </row>
    <row r="311" spans="1:10" x14ac:dyDescent="0.3">
      <c r="A311">
        <v>309</v>
      </c>
      <c r="B311">
        <v>4953</v>
      </c>
      <c r="C311" t="b">
        <v>1</v>
      </c>
      <c r="D311">
        <v>8088</v>
      </c>
      <c r="E311">
        <v>8134</v>
      </c>
      <c r="F311">
        <v>46.333331999999999</v>
      </c>
      <c r="G311">
        <v>25</v>
      </c>
      <c r="H311">
        <v>1.8533332</v>
      </c>
      <c r="I311">
        <v>-0.85333329999999996</v>
      </c>
      <c r="J311">
        <v>0.35046732000000003</v>
      </c>
    </row>
    <row r="312" spans="1:10" x14ac:dyDescent="0.3">
      <c r="A312">
        <v>310</v>
      </c>
      <c r="B312">
        <v>4968</v>
      </c>
      <c r="C312" t="b">
        <v>1</v>
      </c>
      <c r="D312">
        <v>8083</v>
      </c>
      <c r="E312">
        <v>8134</v>
      </c>
      <c r="F312">
        <v>46.333331999999999</v>
      </c>
      <c r="G312">
        <v>24.6</v>
      </c>
      <c r="H312">
        <v>1.8834687000000001</v>
      </c>
      <c r="I312">
        <v>-0.88346875000000002</v>
      </c>
      <c r="J312">
        <v>0.34680450000000002</v>
      </c>
    </row>
    <row r="313" spans="1:10" x14ac:dyDescent="0.3">
      <c r="A313">
        <v>311</v>
      </c>
      <c r="B313">
        <v>4984</v>
      </c>
      <c r="C313" t="b">
        <v>1</v>
      </c>
      <c r="D313">
        <v>8094</v>
      </c>
      <c r="E313">
        <v>8134</v>
      </c>
      <c r="F313">
        <v>46.333331999999999</v>
      </c>
      <c r="G313">
        <v>24.2</v>
      </c>
      <c r="H313">
        <v>1.9146004999999999</v>
      </c>
      <c r="I313">
        <v>-0.91460043000000002</v>
      </c>
      <c r="J313">
        <v>0.34310020000000002</v>
      </c>
    </row>
    <row r="314" spans="1:10" x14ac:dyDescent="0.3">
      <c r="A314">
        <v>312</v>
      </c>
      <c r="B314">
        <v>5000</v>
      </c>
      <c r="C314" t="b">
        <v>1</v>
      </c>
      <c r="D314">
        <v>8088</v>
      </c>
      <c r="E314">
        <v>8134</v>
      </c>
      <c r="F314">
        <v>46.666668000000001</v>
      </c>
      <c r="G314">
        <v>23.8</v>
      </c>
      <c r="H314">
        <v>1.9607844000000001</v>
      </c>
      <c r="I314">
        <v>-0.96078443999999996</v>
      </c>
      <c r="J314">
        <v>0.33774831999999999</v>
      </c>
    </row>
    <row r="315" spans="1:10" x14ac:dyDescent="0.3">
      <c r="A315">
        <v>313</v>
      </c>
      <c r="B315">
        <v>5016</v>
      </c>
      <c r="C315" t="b">
        <v>1</v>
      </c>
      <c r="D315">
        <v>8083</v>
      </c>
      <c r="E315">
        <v>8134</v>
      </c>
      <c r="F315">
        <v>47</v>
      </c>
      <c r="G315">
        <v>23.4</v>
      </c>
      <c r="H315">
        <v>2.0085470000000001</v>
      </c>
      <c r="I315">
        <v>-1.0085470999999999</v>
      </c>
      <c r="J315">
        <v>0.33238634</v>
      </c>
    </row>
    <row r="316" spans="1:10" x14ac:dyDescent="0.3">
      <c r="A316">
        <v>314</v>
      </c>
      <c r="B316">
        <v>5032</v>
      </c>
      <c r="C316" t="b">
        <v>1</v>
      </c>
      <c r="D316">
        <v>8071</v>
      </c>
      <c r="E316">
        <v>8129</v>
      </c>
      <c r="F316">
        <v>47</v>
      </c>
      <c r="G316">
        <v>23</v>
      </c>
      <c r="H316">
        <v>2.0434782999999999</v>
      </c>
      <c r="I316">
        <v>-1.0434783000000001</v>
      </c>
      <c r="J316">
        <v>0.32857143999999999</v>
      </c>
    </row>
    <row r="317" spans="1:10" x14ac:dyDescent="0.3">
      <c r="A317">
        <v>315</v>
      </c>
      <c r="B317">
        <v>5048</v>
      </c>
      <c r="C317" t="b">
        <v>1</v>
      </c>
      <c r="D317">
        <v>8071</v>
      </c>
      <c r="E317">
        <v>8146</v>
      </c>
      <c r="F317">
        <v>47</v>
      </c>
      <c r="G317">
        <v>22.6</v>
      </c>
      <c r="H317">
        <v>2.0796459</v>
      </c>
      <c r="I317">
        <v>-1.0796460000000001</v>
      </c>
      <c r="J317">
        <v>0.32471265999999999</v>
      </c>
    </row>
    <row r="318" spans="1:10" x14ac:dyDescent="0.3">
      <c r="A318">
        <v>316</v>
      </c>
      <c r="B318">
        <v>5064</v>
      </c>
      <c r="C318" t="b">
        <v>1</v>
      </c>
      <c r="D318">
        <v>8077</v>
      </c>
      <c r="E318">
        <v>8140</v>
      </c>
      <c r="F318">
        <v>46.6</v>
      </c>
      <c r="G318">
        <v>22.2</v>
      </c>
      <c r="H318">
        <v>2.0990989999999998</v>
      </c>
      <c r="I318">
        <v>-1.0990989</v>
      </c>
      <c r="J318">
        <v>0.32267442000000002</v>
      </c>
    </row>
    <row r="319" spans="1:10" x14ac:dyDescent="0.3">
      <c r="A319">
        <v>317</v>
      </c>
      <c r="B319">
        <v>5080</v>
      </c>
      <c r="C319" t="b">
        <v>1</v>
      </c>
      <c r="D319">
        <v>8088</v>
      </c>
      <c r="E319">
        <v>8140</v>
      </c>
      <c r="F319">
        <v>45.866664999999998</v>
      </c>
      <c r="G319">
        <v>22.2</v>
      </c>
      <c r="H319">
        <v>2.0660660000000002</v>
      </c>
      <c r="I319">
        <v>-1.0660658999999999</v>
      </c>
      <c r="J319">
        <v>0.32615083</v>
      </c>
    </row>
    <row r="320" spans="1:10" x14ac:dyDescent="0.3">
      <c r="A320">
        <v>318</v>
      </c>
      <c r="B320">
        <v>5096</v>
      </c>
      <c r="C320" t="b">
        <v>1</v>
      </c>
      <c r="D320">
        <v>8088</v>
      </c>
      <c r="E320">
        <v>8140</v>
      </c>
      <c r="F320">
        <v>45.133335000000002</v>
      </c>
      <c r="G320">
        <v>22.2</v>
      </c>
      <c r="H320">
        <v>2.0330330999999999</v>
      </c>
      <c r="I320">
        <v>-1.0330330000000001</v>
      </c>
      <c r="J320">
        <v>0.32970296999999998</v>
      </c>
    </row>
    <row r="321" spans="1:10" x14ac:dyDescent="0.3">
      <c r="A321">
        <v>319</v>
      </c>
      <c r="B321">
        <v>5112</v>
      </c>
      <c r="C321" t="b">
        <v>1</v>
      </c>
      <c r="D321">
        <v>8083</v>
      </c>
      <c r="E321">
        <v>8146</v>
      </c>
      <c r="F321">
        <v>44.8</v>
      </c>
      <c r="G321">
        <v>22.2</v>
      </c>
      <c r="H321">
        <v>2.0180180000000001</v>
      </c>
      <c r="I321">
        <v>-1.0180179</v>
      </c>
      <c r="J321">
        <v>0.33134330000000001</v>
      </c>
    </row>
    <row r="322" spans="1:10" x14ac:dyDescent="0.3">
      <c r="A322">
        <v>320</v>
      </c>
      <c r="B322">
        <v>5127</v>
      </c>
      <c r="C322" t="b">
        <v>1</v>
      </c>
      <c r="D322">
        <v>8094</v>
      </c>
      <c r="E322">
        <v>8146</v>
      </c>
      <c r="F322">
        <v>44.8</v>
      </c>
      <c r="G322">
        <v>22.2</v>
      </c>
      <c r="H322">
        <v>2.0180180000000001</v>
      </c>
      <c r="I322">
        <v>-1.0180179</v>
      </c>
      <c r="J322">
        <v>0.33134330000000001</v>
      </c>
    </row>
    <row r="323" spans="1:10" x14ac:dyDescent="0.3">
      <c r="A323">
        <v>321</v>
      </c>
      <c r="B323">
        <v>5143</v>
      </c>
      <c r="C323" t="b">
        <v>1</v>
      </c>
      <c r="D323">
        <v>8100</v>
      </c>
      <c r="E323">
        <v>8146</v>
      </c>
      <c r="F323">
        <v>44.8</v>
      </c>
      <c r="G323">
        <v>22.6</v>
      </c>
      <c r="H323">
        <v>1.9823008</v>
      </c>
      <c r="I323">
        <v>-0.98230079999999997</v>
      </c>
      <c r="J323">
        <v>0.33531156000000001</v>
      </c>
    </row>
    <row r="324" spans="1:10" x14ac:dyDescent="0.3">
      <c r="A324">
        <v>322</v>
      </c>
      <c r="B324">
        <v>5159</v>
      </c>
      <c r="C324" t="b">
        <v>1</v>
      </c>
      <c r="D324">
        <v>8094</v>
      </c>
      <c r="E324">
        <v>8134</v>
      </c>
      <c r="F324">
        <v>45.2</v>
      </c>
      <c r="G324">
        <v>23</v>
      </c>
      <c r="H324">
        <v>1.9652175000000001</v>
      </c>
      <c r="I324">
        <v>-0.9652174</v>
      </c>
      <c r="J324">
        <v>0.33724340000000003</v>
      </c>
    </row>
    <row r="325" spans="1:10" x14ac:dyDescent="0.3">
      <c r="A325">
        <v>323</v>
      </c>
      <c r="B325">
        <v>5175</v>
      </c>
      <c r="C325" t="b">
        <v>1</v>
      </c>
      <c r="D325">
        <v>8083</v>
      </c>
      <c r="E325">
        <v>8140</v>
      </c>
      <c r="F325">
        <v>45.6</v>
      </c>
      <c r="G325">
        <v>23.4</v>
      </c>
      <c r="H325">
        <v>1.948718</v>
      </c>
      <c r="I325">
        <v>-0.9487179</v>
      </c>
      <c r="J325">
        <v>0.33913042999999998</v>
      </c>
    </row>
    <row r="326" spans="1:10" x14ac:dyDescent="0.3">
      <c r="A326">
        <v>324</v>
      </c>
      <c r="B326">
        <v>5191</v>
      </c>
      <c r="C326" t="b">
        <v>1</v>
      </c>
      <c r="D326">
        <v>8088</v>
      </c>
      <c r="E326">
        <v>8140</v>
      </c>
      <c r="F326">
        <v>46</v>
      </c>
      <c r="G326">
        <v>23.4</v>
      </c>
      <c r="H326">
        <v>1.9658119999999999</v>
      </c>
      <c r="I326">
        <v>-0.965812</v>
      </c>
      <c r="J326">
        <v>0.33717580000000003</v>
      </c>
    </row>
    <row r="327" spans="1:10" x14ac:dyDescent="0.3">
      <c r="A327">
        <v>325</v>
      </c>
      <c r="B327">
        <v>5207</v>
      </c>
      <c r="C327" t="b">
        <v>1</v>
      </c>
      <c r="D327">
        <v>8088</v>
      </c>
      <c r="E327">
        <v>8140</v>
      </c>
      <c r="F327">
        <v>46</v>
      </c>
      <c r="G327">
        <v>23.8</v>
      </c>
      <c r="H327">
        <v>1.9327730999999999</v>
      </c>
      <c r="I327">
        <v>-0.93277319999999997</v>
      </c>
      <c r="J327">
        <v>0.34097418000000002</v>
      </c>
    </row>
    <row r="328" spans="1:10" x14ac:dyDescent="0.3">
      <c r="A328">
        <v>326</v>
      </c>
      <c r="B328">
        <v>5223</v>
      </c>
      <c r="C328" t="b">
        <v>1</v>
      </c>
      <c r="D328">
        <v>8088</v>
      </c>
      <c r="E328">
        <v>8146</v>
      </c>
      <c r="F328">
        <v>46</v>
      </c>
      <c r="G328">
        <v>24.2</v>
      </c>
      <c r="H328">
        <v>1.9008263000000001</v>
      </c>
      <c r="I328">
        <v>-0.90082640000000003</v>
      </c>
      <c r="J328">
        <v>0.34472935999999998</v>
      </c>
    </row>
    <row r="329" spans="1:10" x14ac:dyDescent="0.3">
      <c r="A329">
        <v>327</v>
      </c>
      <c r="B329">
        <v>5239</v>
      </c>
      <c r="C329" t="b">
        <v>1</v>
      </c>
      <c r="D329">
        <v>8088</v>
      </c>
      <c r="E329">
        <v>8140</v>
      </c>
      <c r="F329">
        <v>46</v>
      </c>
      <c r="G329">
        <v>24.6</v>
      </c>
      <c r="H329">
        <v>1.8699186999999999</v>
      </c>
      <c r="I329">
        <v>-0.86991863999999997</v>
      </c>
      <c r="J329">
        <v>0.34844193000000001</v>
      </c>
    </row>
    <row r="330" spans="1:10" x14ac:dyDescent="0.3">
      <c r="A330">
        <v>328</v>
      </c>
      <c r="B330">
        <v>5255</v>
      </c>
      <c r="C330" t="b">
        <v>1</v>
      </c>
      <c r="D330">
        <v>8088</v>
      </c>
      <c r="E330">
        <v>8146</v>
      </c>
      <c r="F330">
        <v>46</v>
      </c>
      <c r="G330">
        <v>25</v>
      </c>
      <c r="H330">
        <v>1.84</v>
      </c>
      <c r="I330">
        <v>-0.84</v>
      </c>
      <c r="J330">
        <v>0.35211268000000001</v>
      </c>
    </row>
    <row r="331" spans="1:10" x14ac:dyDescent="0.3">
      <c r="A331">
        <v>329</v>
      </c>
      <c r="B331">
        <v>5270</v>
      </c>
      <c r="C331" t="b">
        <v>1</v>
      </c>
      <c r="D331">
        <v>8083</v>
      </c>
      <c r="E331">
        <v>8140</v>
      </c>
      <c r="F331">
        <v>46.333331999999999</v>
      </c>
      <c r="G331">
        <v>25.4</v>
      </c>
      <c r="H331">
        <v>1.824147</v>
      </c>
      <c r="I331">
        <v>-0.82414699999999996</v>
      </c>
      <c r="J331">
        <v>0.35408922999999998</v>
      </c>
    </row>
    <row r="332" spans="1:10" x14ac:dyDescent="0.3">
      <c r="A332">
        <v>330</v>
      </c>
      <c r="B332">
        <v>5286</v>
      </c>
      <c r="C332" t="b">
        <v>1</v>
      </c>
      <c r="D332">
        <v>8083</v>
      </c>
      <c r="E332">
        <v>8140</v>
      </c>
      <c r="F332">
        <v>46.666668000000001</v>
      </c>
      <c r="G332">
        <v>25.8</v>
      </c>
      <c r="H332">
        <v>1.8087857000000001</v>
      </c>
      <c r="I332">
        <v>-0.80878559999999999</v>
      </c>
      <c r="J332">
        <v>0.35602576000000002</v>
      </c>
    </row>
    <row r="333" spans="1:10" x14ac:dyDescent="0.3">
      <c r="A333">
        <v>331</v>
      </c>
      <c r="B333">
        <v>5302</v>
      </c>
      <c r="C333" t="b">
        <v>1</v>
      </c>
      <c r="D333">
        <v>8083</v>
      </c>
      <c r="E333">
        <v>8146</v>
      </c>
      <c r="F333">
        <v>47.066665999999998</v>
      </c>
      <c r="G333">
        <v>26.2</v>
      </c>
      <c r="H333">
        <v>1.7964376</v>
      </c>
      <c r="I333">
        <v>-0.79643755999999999</v>
      </c>
      <c r="J333">
        <v>0.35759785999999999</v>
      </c>
    </row>
    <row r="334" spans="1:10" x14ac:dyDescent="0.3">
      <c r="A334">
        <v>332</v>
      </c>
      <c r="B334">
        <v>5319</v>
      </c>
      <c r="C334" t="b">
        <v>1</v>
      </c>
      <c r="D334">
        <v>8071</v>
      </c>
      <c r="E334">
        <v>8140</v>
      </c>
      <c r="F334">
        <v>47.466667000000001</v>
      </c>
      <c r="G334">
        <v>26.2</v>
      </c>
      <c r="H334">
        <v>1.8117048</v>
      </c>
      <c r="I334">
        <v>-0.8117048</v>
      </c>
      <c r="J334">
        <v>0.35565609999999998</v>
      </c>
    </row>
    <row r="335" spans="1:10" x14ac:dyDescent="0.3">
      <c r="A335">
        <v>333</v>
      </c>
      <c r="B335">
        <v>5335</v>
      </c>
      <c r="C335" t="b">
        <v>1</v>
      </c>
      <c r="D335">
        <v>8083</v>
      </c>
      <c r="E335">
        <v>8146</v>
      </c>
      <c r="F335">
        <v>47.866664999999998</v>
      </c>
      <c r="G335">
        <v>26.2</v>
      </c>
      <c r="H335">
        <v>1.8269719</v>
      </c>
      <c r="I335">
        <v>-0.82697189999999998</v>
      </c>
      <c r="J335">
        <v>0.35373539999999998</v>
      </c>
    </row>
    <row r="336" spans="1:10" x14ac:dyDescent="0.3">
      <c r="A336">
        <v>334</v>
      </c>
      <c r="B336">
        <v>5351</v>
      </c>
      <c r="C336" t="b">
        <v>1</v>
      </c>
      <c r="D336">
        <v>8083</v>
      </c>
      <c r="E336">
        <v>8140</v>
      </c>
      <c r="F336">
        <v>47.866664999999998</v>
      </c>
      <c r="G336">
        <v>26.2</v>
      </c>
      <c r="H336">
        <v>1.8269719</v>
      </c>
      <c r="I336">
        <v>-0.82697189999999998</v>
      </c>
      <c r="J336">
        <v>0.35373539999999998</v>
      </c>
    </row>
    <row r="337" spans="1:10" x14ac:dyDescent="0.3">
      <c r="A337">
        <v>335</v>
      </c>
      <c r="B337">
        <v>5367</v>
      </c>
      <c r="C337" t="b">
        <v>1</v>
      </c>
      <c r="D337">
        <v>8088</v>
      </c>
      <c r="E337">
        <v>8140</v>
      </c>
      <c r="F337">
        <v>47.533332999999999</v>
      </c>
      <c r="G337">
        <v>26.2</v>
      </c>
      <c r="H337">
        <v>1.8142493</v>
      </c>
      <c r="I337">
        <v>-0.81424929999999995</v>
      </c>
      <c r="J337">
        <v>0.35533451999999999</v>
      </c>
    </row>
    <row r="338" spans="1:10" x14ac:dyDescent="0.3">
      <c r="A338">
        <v>336</v>
      </c>
      <c r="B338">
        <v>5382</v>
      </c>
      <c r="C338" t="b">
        <v>1</v>
      </c>
      <c r="D338">
        <v>8088</v>
      </c>
      <c r="E338">
        <v>8140</v>
      </c>
      <c r="F338">
        <v>47.2</v>
      </c>
      <c r="G338">
        <v>25.8</v>
      </c>
      <c r="H338">
        <v>1.8294573999999999</v>
      </c>
      <c r="I338">
        <v>-0.82945745999999998</v>
      </c>
      <c r="J338">
        <v>0.35342464000000001</v>
      </c>
    </row>
    <row r="339" spans="1:10" x14ac:dyDescent="0.3">
      <c r="A339">
        <v>337</v>
      </c>
      <c r="B339">
        <v>5398</v>
      </c>
      <c r="C339" t="b">
        <v>1</v>
      </c>
      <c r="D339">
        <v>8088</v>
      </c>
      <c r="E339">
        <v>8140</v>
      </c>
      <c r="F339">
        <v>46.8</v>
      </c>
      <c r="G339">
        <v>25.4</v>
      </c>
      <c r="H339">
        <v>1.8425195999999999</v>
      </c>
      <c r="I339">
        <v>-0.84251969999999998</v>
      </c>
      <c r="J339">
        <v>0.35180055999999998</v>
      </c>
    </row>
    <row r="340" spans="1:10" x14ac:dyDescent="0.3">
      <c r="A340">
        <v>338</v>
      </c>
      <c r="B340">
        <v>5414</v>
      </c>
      <c r="C340" t="b">
        <v>1</v>
      </c>
      <c r="D340">
        <v>8083</v>
      </c>
      <c r="E340">
        <v>8140</v>
      </c>
      <c r="F340">
        <v>46.4</v>
      </c>
      <c r="G340">
        <v>25</v>
      </c>
      <c r="H340">
        <v>1.8560000999999999</v>
      </c>
      <c r="I340">
        <v>-0.85600007</v>
      </c>
      <c r="J340">
        <v>0.35014003999999999</v>
      </c>
    </row>
    <row r="341" spans="1:10" x14ac:dyDescent="0.3">
      <c r="A341">
        <v>339</v>
      </c>
      <c r="B341">
        <v>5430</v>
      </c>
      <c r="C341" t="b">
        <v>1</v>
      </c>
      <c r="D341">
        <v>8077</v>
      </c>
      <c r="E341">
        <v>8140</v>
      </c>
      <c r="F341">
        <v>46</v>
      </c>
      <c r="G341">
        <v>25</v>
      </c>
      <c r="H341">
        <v>1.84</v>
      </c>
      <c r="I341">
        <v>-0.84</v>
      </c>
      <c r="J341">
        <v>0.35211268000000001</v>
      </c>
    </row>
    <row r="342" spans="1:10" x14ac:dyDescent="0.3">
      <c r="A342">
        <v>340</v>
      </c>
      <c r="B342">
        <v>5446</v>
      </c>
      <c r="C342" t="b">
        <v>1</v>
      </c>
      <c r="D342">
        <v>8071</v>
      </c>
      <c r="E342">
        <v>8140</v>
      </c>
      <c r="F342">
        <v>45.666668000000001</v>
      </c>
      <c r="G342">
        <v>25</v>
      </c>
      <c r="H342">
        <v>1.8266667000000001</v>
      </c>
      <c r="I342">
        <v>-0.82666669999999998</v>
      </c>
      <c r="J342">
        <v>0.35377355999999999</v>
      </c>
    </row>
    <row r="343" spans="1:10" x14ac:dyDescent="0.3">
      <c r="A343">
        <v>341</v>
      </c>
      <c r="B343">
        <v>5462</v>
      </c>
      <c r="C343" t="b">
        <v>1</v>
      </c>
      <c r="D343">
        <v>8088</v>
      </c>
      <c r="E343">
        <v>8146</v>
      </c>
      <c r="F343">
        <v>45.333331999999999</v>
      </c>
      <c r="G343">
        <v>25</v>
      </c>
      <c r="H343">
        <v>1.8133333</v>
      </c>
      <c r="I343">
        <v>-0.81333330000000004</v>
      </c>
      <c r="J343">
        <v>0.35545027000000001</v>
      </c>
    </row>
    <row r="344" spans="1:10" x14ac:dyDescent="0.3">
      <c r="A344">
        <v>342</v>
      </c>
      <c r="B344">
        <v>5478</v>
      </c>
      <c r="C344" t="b">
        <v>1</v>
      </c>
      <c r="D344">
        <v>8088</v>
      </c>
      <c r="E344">
        <v>8140</v>
      </c>
      <c r="F344">
        <v>45</v>
      </c>
      <c r="G344">
        <v>25</v>
      </c>
      <c r="H344">
        <v>1.8</v>
      </c>
      <c r="I344">
        <v>-0.8</v>
      </c>
      <c r="J344">
        <v>0.35714287</v>
      </c>
    </row>
    <row r="345" spans="1:10" x14ac:dyDescent="0.3">
      <c r="A345">
        <v>343</v>
      </c>
      <c r="B345">
        <v>5494</v>
      </c>
      <c r="C345" t="b">
        <v>1</v>
      </c>
      <c r="D345">
        <v>8094</v>
      </c>
      <c r="E345">
        <v>8146</v>
      </c>
      <c r="F345">
        <v>45</v>
      </c>
      <c r="G345">
        <v>25</v>
      </c>
      <c r="H345">
        <v>1.8</v>
      </c>
      <c r="I345">
        <v>-0.8</v>
      </c>
      <c r="J345">
        <v>0.35714287</v>
      </c>
    </row>
    <row r="346" spans="1:10" x14ac:dyDescent="0.3">
      <c r="A346">
        <v>344</v>
      </c>
      <c r="B346">
        <v>5510</v>
      </c>
      <c r="C346" t="b">
        <v>1</v>
      </c>
      <c r="D346">
        <v>8088</v>
      </c>
      <c r="E346">
        <v>8152</v>
      </c>
      <c r="F346">
        <v>45</v>
      </c>
      <c r="G346">
        <v>25.4</v>
      </c>
      <c r="H346">
        <v>1.7716535</v>
      </c>
      <c r="I346">
        <v>-0.77165360000000005</v>
      </c>
      <c r="J346">
        <v>0.36079544000000002</v>
      </c>
    </row>
    <row r="347" spans="1:10" x14ac:dyDescent="0.3">
      <c r="A347">
        <v>345</v>
      </c>
      <c r="B347">
        <v>5526</v>
      </c>
      <c r="C347" t="b">
        <v>1</v>
      </c>
      <c r="D347">
        <v>8088</v>
      </c>
      <c r="E347">
        <v>8146</v>
      </c>
      <c r="F347">
        <v>45</v>
      </c>
      <c r="G347">
        <v>25.8</v>
      </c>
      <c r="H347">
        <v>1.744186</v>
      </c>
      <c r="I347">
        <v>-0.74418609999999996</v>
      </c>
      <c r="J347">
        <v>0.36440676</v>
      </c>
    </row>
    <row r="348" spans="1:10" x14ac:dyDescent="0.3">
      <c r="A348">
        <v>346</v>
      </c>
      <c r="B348">
        <v>5542</v>
      </c>
      <c r="C348" t="b">
        <v>1</v>
      </c>
      <c r="D348">
        <v>8083</v>
      </c>
      <c r="E348">
        <v>8146</v>
      </c>
      <c r="F348">
        <v>45.333331999999999</v>
      </c>
      <c r="G348">
        <v>26.2</v>
      </c>
      <c r="H348">
        <v>1.7302797999999999</v>
      </c>
      <c r="I348">
        <v>-0.73027980000000003</v>
      </c>
      <c r="J348">
        <v>0.36626281999999999</v>
      </c>
    </row>
    <row r="349" spans="1:10" x14ac:dyDescent="0.3">
      <c r="A349">
        <v>347</v>
      </c>
      <c r="B349">
        <v>5557</v>
      </c>
      <c r="C349" t="b">
        <v>1</v>
      </c>
      <c r="D349">
        <v>8083</v>
      </c>
      <c r="E349">
        <v>8140</v>
      </c>
      <c r="F349">
        <v>45.666668000000001</v>
      </c>
      <c r="G349">
        <v>26.6</v>
      </c>
      <c r="H349">
        <v>1.7167920000000001</v>
      </c>
      <c r="I349">
        <v>-0.71679199999999998</v>
      </c>
      <c r="J349">
        <v>0.36808118000000001</v>
      </c>
    </row>
    <row r="350" spans="1:10" x14ac:dyDescent="0.3">
      <c r="A350">
        <v>348</v>
      </c>
      <c r="B350">
        <v>5573</v>
      </c>
      <c r="C350" t="b">
        <v>1</v>
      </c>
      <c r="D350">
        <v>8077</v>
      </c>
      <c r="E350">
        <v>8146</v>
      </c>
      <c r="F350">
        <v>45.666668000000001</v>
      </c>
      <c r="G350">
        <v>27</v>
      </c>
      <c r="H350">
        <v>1.6913581</v>
      </c>
      <c r="I350">
        <v>-0.69135809999999998</v>
      </c>
      <c r="J350">
        <v>0.37155961999999998</v>
      </c>
    </row>
    <row r="351" spans="1:10" x14ac:dyDescent="0.3">
      <c r="A351">
        <v>349</v>
      </c>
      <c r="B351">
        <v>5589</v>
      </c>
      <c r="C351" t="b">
        <v>1</v>
      </c>
      <c r="D351">
        <v>8071</v>
      </c>
      <c r="E351">
        <v>8140</v>
      </c>
      <c r="F351">
        <v>45.666668000000001</v>
      </c>
      <c r="G351">
        <v>27.4</v>
      </c>
      <c r="H351">
        <v>1.6666666999999999</v>
      </c>
      <c r="I351">
        <v>-0.66666674999999997</v>
      </c>
      <c r="J351">
        <v>0.375</v>
      </c>
    </row>
    <row r="352" spans="1:10" x14ac:dyDescent="0.3">
      <c r="A352">
        <v>350</v>
      </c>
      <c r="B352">
        <v>5605</v>
      </c>
      <c r="C352" t="b">
        <v>1</v>
      </c>
      <c r="D352">
        <v>8083</v>
      </c>
      <c r="E352">
        <v>8140</v>
      </c>
      <c r="F352">
        <v>45.666668000000001</v>
      </c>
      <c r="G352">
        <v>27.4</v>
      </c>
      <c r="H352">
        <v>1.6666666999999999</v>
      </c>
      <c r="I352">
        <v>-0.66666674999999997</v>
      </c>
      <c r="J352">
        <v>0.375</v>
      </c>
    </row>
    <row r="353" spans="1:10" x14ac:dyDescent="0.3">
      <c r="A353">
        <v>351</v>
      </c>
      <c r="B353">
        <v>5621</v>
      </c>
      <c r="C353" t="b">
        <v>1</v>
      </c>
      <c r="D353">
        <v>8088</v>
      </c>
      <c r="E353">
        <v>8146</v>
      </c>
      <c r="F353">
        <v>45.666668000000001</v>
      </c>
      <c r="G353">
        <v>27.4</v>
      </c>
      <c r="H353">
        <v>1.6666666999999999</v>
      </c>
      <c r="I353">
        <v>-0.66666674999999997</v>
      </c>
      <c r="J353">
        <v>0.375</v>
      </c>
    </row>
    <row r="354" spans="1:10" x14ac:dyDescent="0.3">
      <c r="A354">
        <v>352</v>
      </c>
      <c r="B354">
        <v>5637</v>
      </c>
      <c r="C354" t="b">
        <v>1</v>
      </c>
      <c r="D354">
        <v>8088</v>
      </c>
      <c r="E354">
        <v>8134</v>
      </c>
      <c r="F354">
        <v>45.333331999999999</v>
      </c>
      <c r="G354">
        <v>27.4</v>
      </c>
      <c r="H354">
        <v>1.6545011999999999</v>
      </c>
      <c r="I354">
        <v>-0.65450120000000001</v>
      </c>
      <c r="J354">
        <v>0.37671860000000001</v>
      </c>
    </row>
    <row r="355" spans="1:10" x14ac:dyDescent="0.3">
      <c r="A355">
        <v>353</v>
      </c>
      <c r="B355">
        <v>5653</v>
      </c>
      <c r="C355" t="b">
        <v>1</v>
      </c>
      <c r="D355">
        <v>8083</v>
      </c>
      <c r="E355">
        <v>8146</v>
      </c>
      <c r="F355">
        <v>45</v>
      </c>
      <c r="G355">
        <v>27.4</v>
      </c>
      <c r="H355">
        <v>1.6423357999999999</v>
      </c>
      <c r="I355">
        <v>-0.64233580000000001</v>
      </c>
      <c r="J355">
        <v>0.37845301999999997</v>
      </c>
    </row>
    <row r="356" spans="1:10" x14ac:dyDescent="0.3">
      <c r="A356">
        <v>354</v>
      </c>
      <c r="B356">
        <v>5669</v>
      </c>
      <c r="C356" t="b">
        <v>1</v>
      </c>
      <c r="D356">
        <v>8088</v>
      </c>
      <c r="E356">
        <v>8140</v>
      </c>
      <c r="F356">
        <v>45</v>
      </c>
      <c r="G356">
        <v>27.4</v>
      </c>
      <c r="H356">
        <v>1.6423357999999999</v>
      </c>
      <c r="I356">
        <v>-0.64233580000000001</v>
      </c>
      <c r="J356">
        <v>0.37845301999999997</v>
      </c>
    </row>
    <row r="357" spans="1:10" x14ac:dyDescent="0.3">
      <c r="A357">
        <v>355</v>
      </c>
      <c r="B357">
        <v>5685</v>
      </c>
      <c r="C357" t="b">
        <v>1</v>
      </c>
      <c r="D357">
        <v>8077</v>
      </c>
      <c r="E357">
        <v>8140</v>
      </c>
      <c r="F357">
        <v>45.333331999999999</v>
      </c>
      <c r="G357">
        <v>27.4</v>
      </c>
      <c r="H357">
        <v>1.6545011999999999</v>
      </c>
      <c r="I357">
        <v>-0.65450120000000001</v>
      </c>
      <c r="J357">
        <v>0.37671860000000001</v>
      </c>
    </row>
    <row r="358" spans="1:10" x14ac:dyDescent="0.3">
      <c r="A358">
        <v>356</v>
      </c>
      <c r="B358">
        <v>5700</v>
      </c>
      <c r="C358" t="b">
        <v>1</v>
      </c>
      <c r="D358">
        <v>8077</v>
      </c>
      <c r="E358">
        <v>8140</v>
      </c>
      <c r="F358">
        <v>45.333331999999999</v>
      </c>
      <c r="G358">
        <v>27.4</v>
      </c>
      <c r="H358">
        <v>1.6545011999999999</v>
      </c>
      <c r="I358">
        <v>-0.65450120000000001</v>
      </c>
      <c r="J358">
        <v>0.37671860000000001</v>
      </c>
    </row>
    <row r="359" spans="1:10" x14ac:dyDescent="0.3">
      <c r="A359">
        <v>357</v>
      </c>
      <c r="B359">
        <v>5716</v>
      </c>
      <c r="C359" t="b">
        <v>1</v>
      </c>
      <c r="D359">
        <v>8088</v>
      </c>
      <c r="E359">
        <v>8140</v>
      </c>
      <c r="F359">
        <v>45.333331999999999</v>
      </c>
      <c r="G359">
        <v>27.4</v>
      </c>
      <c r="H359">
        <v>1.6545011999999999</v>
      </c>
      <c r="I359">
        <v>-0.65450120000000001</v>
      </c>
      <c r="J359">
        <v>0.37671860000000001</v>
      </c>
    </row>
    <row r="360" spans="1:10" x14ac:dyDescent="0.3">
      <c r="A360">
        <v>358</v>
      </c>
      <c r="B360">
        <v>5732</v>
      </c>
      <c r="C360" t="b">
        <v>1</v>
      </c>
      <c r="D360">
        <v>8083</v>
      </c>
      <c r="E360">
        <v>8134</v>
      </c>
      <c r="F360">
        <v>45</v>
      </c>
      <c r="G360">
        <v>27.4</v>
      </c>
      <c r="H360">
        <v>1.6423357999999999</v>
      </c>
      <c r="I360">
        <v>-0.64233580000000001</v>
      </c>
      <c r="J360">
        <v>0.37845301999999997</v>
      </c>
    </row>
    <row r="361" spans="1:10" x14ac:dyDescent="0.3">
      <c r="A361">
        <v>359</v>
      </c>
      <c r="B361">
        <v>5748</v>
      </c>
      <c r="C361" t="b">
        <v>1</v>
      </c>
      <c r="D361">
        <v>8077</v>
      </c>
      <c r="E361">
        <v>8134</v>
      </c>
      <c r="F361">
        <v>44.266666000000001</v>
      </c>
      <c r="G361">
        <v>27</v>
      </c>
      <c r="H361">
        <v>1.6395062</v>
      </c>
      <c r="I361">
        <v>-0.63950616000000005</v>
      </c>
      <c r="J361">
        <v>0.37885877000000001</v>
      </c>
    </row>
    <row r="362" spans="1:10" x14ac:dyDescent="0.3">
      <c r="A362">
        <v>360</v>
      </c>
      <c r="B362">
        <v>5764</v>
      </c>
      <c r="C362" t="b">
        <v>1</v>
      </c>
      <c r="D362">
        <v>8071</v>
      </c>
      <c r="E362">
        <v>8134</v>
      </c>
      <c r="F362">
        <v>43.533332999999999</v>
      </c>
      <c r="G362">
        <v>26.2</v>
      </c>
      <c r="H362">
        <v>1.6615776</v>
      </c>
      <c r="I362">
        <v>-0.66157750000000004</v>
      </c>
      <c r="J362">
        <v>0.37571700000000002</v>
      </c>
    </row>
    <row r="363" spans="1:10" x14ac:dyDescent="0.3">
      <c r="A363">
        <v>361</v>
      </c>
      <c r="B363">
        <v>5780</v>
      </c>
      <c r="C363" t="b">
        <v>1</v>
      </c>
      <c r="D363">
        <v>8077</v>
      </c>
      <c r="E363">
        <v>8134</v>
      </c>
      <c r="F363">
        <v>42.8</v>
      </c>
      <c r="G363">
        <v>25.4</v>
      </c>
      <c r="H363">
        <v>1.6850394</v>
      </c>
      <c r="I363">
        <v>-0.68503934</v>
      </c>
      <c r="J363">
        <v>0.37243401999999998</v>
      </c>
    </row>
    <row r="364" spans="1:10" x14ac:dyDescent="0.3">
      <c r="A364">
        <v>362</v>
      </c>
      <c r="B364">
        <v>5796</v>
      </c>
      <c r="C364" t="b">
        <v>1</v>
      </c>
      <c r="D364">
        <v>8083</v>
      </c>
      <c r="E364">
        <v>8134</v>
      </c>
      <c r="F364">
        <v>42.066665999999998</v>
      </c>
      <c r="G364">
        <v>24.6</v>
      </c>
      <c r="H364">
        <v>1.710027</v>
      </c>
      <c r="I364">
        <v>-0.71002704000000005</v>
      </c>
      <c r="J364">
        <v>0.36900001999999998</v>
      </c>
    </row>
    <row r="365" spans="1:10" x14ac:dyDescent="0.3">
      <c r="A365">
        <v>363</v>
      </c>
      <c r="B365">
        <v>5812</v>
      </c>
      <c r="C365" t="b">
        <v>1</v>
      </c>
      <c r="D365">
        <v>8088</v>
      </c>
      <c r="E365">
        <v>8134</v>
      </c>
      <c r="F365">
        <v>41.666668000000001</v>
      </c>
      <c r="G365">
        <v>23.8</v>
      </c>
      <c r="H365">
        <v>1.7507003999999999</v>
      </c>
      <c r="I365">
        <v>-0.75070040000000005</v>
      </c>
      <c r="J365">
        <v>0.36354377999999998</v>
      </c>
    </row>
    <row r="366" spans="1:10" x14ac:dyDescent="0.3">
      <c r="A366">
        <v>364</v>
      </c>
      <c r="B366">
        <v>5828</v>
      </c>
      <c r="C366" t="b">
        <v>1</v>
      </c>
      <c r="D366">
        <v>8088</v>
      </c>
      <c r="E366">
        <v>8146</v>
      </c>
      <c r="F366">
        <v>41.666668000000001</v>
      </c>
      <c r="G366">
        <v>23</v>
      </c>
      <c r="H366">
        <v>1.8115942</v>
      </c>
      <c r="I366">
        <v>-0.81159424999999996</v>
      </c>
      <c r="J366">
        <v>0.35567006000000001</v>
      </c>
    </row>
    <row r="367" spans="1:10" x14ac:dyDescent="0.3">
      <c r="A367">
        <v>365</v>
      </c>
      <c r="B367">
        <v>5844</v>
      </c>
      <c r="C367" t="b">
        <v>1</v>
      </c>
      <c r="D367">
        <v>8083</v>
      </c>
      <c r="E367">
        <v>8140</v>
      </c>
      <c r="F367">
        <v>41.666668000000001</v>
      </c>
      <c r="G367">
        <v>22.6</v>
      </c>
      <c r="H367">
        <v>1.8436579</v>
      </c>
      <c r="I367">
        <v>-0.84365785000000004</v>
      </c>
      <c r="J367">
        <v>0.35165974</v>
      </c>
    </row>
    <row r="368" spans="1:10" x14ac:dyDescent="0.3">
      <c r="A368">
        <v>366</v>
      </c>
      <c r="B368">
        <v>5860</v>
      </c>
      <c r="C368" t="b">
        <v>1</v>
      </c>
      <c r="D368">
        <v>8083</v>
      </c>
      <c r="E368">
        <v>8146</v>
      </c>
      <c r="F368">
        <v>41.666668000000001</v>
      </c>
      <c r="G368">
        <v>22.6</v>
      </c>
      <c r="H368">
        <v>1.8436579</v>
      </c>
      <c r="I368">
        <v>-0.84365785000000004</v>
      </c>
      <c r="J368">
        <v>0.35165974</v>
      </c>
    </row>
    <row r="369" spans="1:10" x14ac:dyDescent="0.3">
      <c r="A369">
        <v>367</v>
      </c>
      <c r="B369">
        <v>5876</v>
      </c>
      <c r="C369" t="b">
        <v>1</v>
      </c>
      <c r="D369">
        <v>8083</v>
      </c>
      <c r="E369">
        <v>8134</v>
      </c>
      <c r="F369">
        <v>41.666668000000001</v>
      </c>
      <c r="G369">
        <v>22.6</v>
      </c>
      <c r="H369">
        <v>1.8436579</v>
      </c>
      <c r="I369">
        <v>-0.84365785000000004</v>
      </c>
      <c r="J369">
        <v>0.35165974</v>
      </c>
    </row>
    <row r="370" spans="1:10" x14ac:dyDescent="0.3">
      <c r="A370">
        <v>368</v>
      </c>
      <c r="B370">
        <v>5892</v>
      </c>
      <c r="C370" t="b">
        <v>1</v>
      </c>
      <c r="D370">
        <v>8094</v>
      </c>
      <c r="E370">
        <v>8140</v>
      </c>
      <c r="F370">
        <v>41.666668000000001</v>
      </c>
      <c r="G370">
        <v>22.6</v>
      </c>
      <c r="H370">
        <v>1.8436579</v>
      </c>
      <c r="I370">
        <v>-0.84365785000000004</v>
      </c>
      <c r="J370">
        <v>0.35165974</v>
      </c>
    </row>
    <row r="371" spans="1:10" x14ac:dyDescent="0.3">
      <c r="A371">
        <v>369</v>
      </c>
      <c r="B371">
        <v>5907</v>
      </c>
      <c r="C371" t="b">
        <v>1</v>
      </c>
      <c r="D371">
        <v>8094</v>
      </c>
      <c r="E371">
        <v>8140</v>
      </c>
      <c r="F371">
        <v>41.333331999999999</v>
      </c>
      <c r="G371">
        <v>22.6</v>
      </c>
      <c r="H371">
        <v>1.8289084</v>
      </c>
      <c r="I371">
        <v>-0.82890843999999997</v>
      </c>
      <c r="J371">
        <v>0.35349320000000001</v>
      </c>
    </row>
    <row r="372" spans="1:10" x14ac:dyDescent="0.3">
      <c r="A372">
        <v>370</v>
      </c>
      <c r="B372">
        <v>5923</v>
      </c>
      <c r="C372" t="b">
        <v>1</v>
      </c>
      <c r="D372">
        <v>8088</v>
      </c>
      <c r="E372">
        <v>8140</v>
      </c>
      <c r="F372">
        <v>41.333331999999999</v>
      </c>
      <c r="G372">
        <v>22.6</v>
      </c>
      <c r="H372">
        <v>1.8289084</v>
      </c>
      <c r="I372">
        <v>-0.82890843999999997</v>
      </c>
      <c r="J372">
        <v>0.35349320000000001</v>
      </c>
    </row>
    <row r="373" spans="1:10" x14ac:dyDescent="0.3">
      <c r="A373">
        <v>371</v>
      </c>
      <c r="B373">
        <v>5939</v>
      </c>
      <c r="C373" t="b">
        <v>1</v>
      </c>
      <c r="D373">
        <v>8088</v>
      </c>
      <c r="E373">
        <v>8146</v>
      </c>
      <c r="F373">
        <v>41.666668000000001</v>
      </c>
      <c r="G373">
        <v>22.6</v>
      </c>
      <c r="H373">
        <v>1.8436579</v>
      </c>
      <c r="I373">
        <v>-0.84365785000000004</v>
      </c>
      <c r="J373">
        <v>0.35165974</v>
      </c>
    </row>
    <row r="374" spans="1:10" x14ac:dyDescent="0.3">
      <c r="A374">
        <v>372</v>
      </c>
      <c r="B374">
        <v>5955</v>
      </c>
      <c r="C374" t="b">
        <v>1</v>
      </c>
      <c r="D374">
        <v>8083</v>
      </c>
      <c r="E374">
        <v>8140</v>
      </c>
      <c r="F374">
        <v>42</v>
      </c>
      <c r="G374">
        <v>22.6</v>
      </c>
      <c r="H374">
        <v>1.8584069999999999</v>
      </c>
      <c r="I374">
        <v>-0.85840700000000003</v>
      </c>
      <c r="J374">
        <v>0.34984520000000002</v>
      </c>
    </row>
    <row r="375" spans="1:10" x14ac:dyDescent="0.3">
      <c r="A375">
        <v>373</v>
      </c>
      <c r="B375">
        <v>5971</v>
      </c>
      <c r="C375" t="b">
        <v>1</v>
      </c>
      <c r="D375">
        <v>8083</v>
      </c>
      <c r="E375">
        <v>8146</v>
      </c>
      <c r="F375">
        <v>42.333331999999999</v>
      </c>
      <c r="G375">
        <v>22.6</v>
      </c>
      <c r="H375">
        <v>1.8731563</v>
      </c>
      <c r="I375">
        <v>-0.87315624999999997</v>
      </c>
      <c r="J375">
        <v>0.34804928000000002</v>
      </c>
    </row>
    <row r="376" spans="1:10" x14ac:dyDescent="0.3">
      <c r="A376">
        <v>374</v>
      </c>
      <c r="B376">
        <v>5987</v>
      </c>
      <c r="C376" t="b">
        <v>1</v>
      </c>
      <c r="D376">
        <v>8083</v>
      </c>
      <c r="E376">
        <v>8140</v>
      </c>
      <c r="F376">
        <v>42.733333999999999</v>
      </c>
      <c r="G376">
        <v>22.6</v>
      </c>
      <c r="H376">
        <v>1.8908554</v>
      </c>
      <c r="I376">
        <v>-0.89085543</v>
      </c>
      <c r="J376">
        <v>0.34591835999999998</v>
      </c>
    </row>
    <row r="377" spans="1:10" x14ac:dyDescent="0.3">
      <c r="A377">
        <v>375</v>
      </c>
      <c r="B377">
        <v>6002</v>
      </c>
      <c r="C377" t="b">
        <v>1</v>
      </c>
      <c r="D377">
        <v>8088</v>
      </c>
      <c r="E377">
        <v>8140</v>
      </c>
      <c r="F377">
        <v>43.133335000000002</v>
      </c>
      <c r="G377">
        <v>23</v>
      </c>
      <c r="H377">
        <v>1.8753624</v>
      </c>
      <c r="I377">
        <v>-0.87536239999999998</v>
      </c>
      <c r="J377">
        <v>0.34778225000000001</v>
      </c>
    </row>
    <row r="378" spans="1:10" x14ac:dyDescent="0.3">
      <c r="A378">
        <v>376</v>
      </c>
      <c r="B378">
        <v>6018</v>
      </c>
      <c r="C378" t="b">
        <v>1</v>
      </c>
      <c r="D378">
        <v>8094</v>
      </c>
      <c r="E378">
        <v>8146</v>
      </c>
      <c r="F378">
        <v>43.533332999999999</v>
      </c>
      <c r="G378">
        <v>23.4</v>
      </c>
      <c r="H378">
        <v>1.8603989000000001</v>
      </c>
      <c r="I378">
        <v>-0.86039889999999997</v>
      </c>
      <c r="J378">
        <v>0.34960160000000001</v>
      </c>
    </row>
    <row r="379" spans="1:10" x14ac:dyDescent="0.3">
      <c r="A379">
        <v>377</v>
      </c>
      <c r="B379">
        <v>6035</v>
      </c>
      <c r="C379" t="b">
        <v>1</v>
      </c>
      <c r="D379">
        <v>8088</v>
      </c>
      <c r="E379">
        <v>8140</v>
      </c>
      <c r="F379">
        <v>44.266666000000001</v>
      </c>
      <c r="G379">
        <v>23.8</v>
      </c>
      <c r="H379">
        <v>1.859944</v>
      </c>
      <c r="I379">
        <v>-0.85994404999999996</v>
      </c>
      <c r="J379">
        <v>0.3496572</v>
      </c>
    </row>
    <row r="380" spans="1:10" x14ac:dyDescent="0.3">
      <c r="A380">
        <v>378</v>
      </c>
      <c r="B380">
        <v>6051</v>
      </c>
      <c r="C380" t="b">
        <v>1</v>
      </c>
      <c r="D380">
        <v>8088</v>
      </c>
      <c r="E380">
        <v>8140</v>
      </c>
      <c r="F380">
        <v>45</v>
      </c>
      <c r="G380">
        <v>24.2</v>
      </c>
      <c r="H380">
        <v>1.8595041000000001</v>
      </c>
      <c r="I380">
        <v>-0.85950404000000002</v>
      </c>
      <c r="J380">
        <v>0.34971099999999999</v>
      </c>
    </row>
    <row r="381" spans="1:10" x14ac:dyDescent="0.3">
      <c r="A381">
        <v>379</v>
      </c>
      <c r="B381">
        <v>6066</v>
      </c>
      <c r="C381" t="b">
        <v>1</v>
      </c>
      <c r="D381">
        <v>8083</v>
      </c>
      <c r="E381">
        <v>8146</v>
      </c>
      <c r="F381">
        <v>45.333331999999999</v>
      </c>
      <c r="G381">
        <v>24.6</v>
      </c>
      <c r="H381">
        <v>1.8428184000000001</v>
      </c>
      <c r="I381">
        <v>-0.84281830000000002</v>
      </c>
      <c r="J381">
        <v>0.35176358000000002</v>
      </c>
    </row>
    <row r="382" spans="1:10" x14ac:dyDescent="0.3">
      <c r="A382">
        <v>380</v>
      </c>
      <c r="B382">
        <v>6082</v>
      </c>
      <c r="C382" t="b">
        <v>1</v>
      </c>
      <c r="D382">
        <v>8083</v>
      </c>
      <c r="E382">
        <v>8146</v>
      </c>
      <c r="F382">
        <v>45.666668000000001</v>
      </c>
      <c r="G382">
        <v>25.4</v>
      </c>
      <c r="H382">
        <v>1.7979003</v>
      </c>
      <c r="I382">
        <v>-0.79790030000000001</v>
      </c>
      <c r="J382">
        <v>0.35741087999999999</v>
      </c>
    </row>
    <row r="383" spans="1:10" x14ac:dyDescent="0.3">
      <c r="A383">
        <v>381</v>
      </c>
      <c r="B383">
        <v>6098</v>
      </c>
      <c r="C383" t="b">
        <v>1</v>
      </c>
      <c r="D383">
        <v>8083</v>
      </c>
      <c r="E383">
        <v>8146</v>
      </c>
      <c r="F383">
        <v>45.666668000000001</v>
      </c>
      <c r="G383">
        <v>25.8</v>
      </c>
      <c r="H383">
        <v>1.7700260000000001</v>
      </c>
      <c r="I383">
        <v>-0.77002596999999995</v>
      </c>
      <c r="J383">
        <v>0.36100745000000001</v>
      </c>
    </row>
    <row r="384" spans="1:10" x14ac:dyDescent="0.3">
      <c r="A384">
        <v>382</v>
      </c>
      <c r="B384">
        <v>6114</v>
      </c>
      <c r="C384" t="b">
        <v>1</v>
      </c>
      <c r="D384">
        <v>8077</v>
      </c>
      <c r="E384">
        <v>8140</v>
      </c>
      <c r="F384">
        <v>45.666668000000001</v>
      </c>
      <c r="G384">
        <v>26.2</v>
      </c>
      <c r="H384">
        <v>1.7430025</v>
      </c>
      <c r="I384">
        <v>-0.74300253000000005</v>
      </c>
      <c r="J384">
        <v>0.364564</v>
      </c>
    </row>
    <row r="385" spans="1:10" x14ac:dyDescent="0.3">
      <c r="A385">
        <v>383</v>
      </c>
      <c r="B385">
        <v>6130</v>
      </c>
      <c r="C385" t="b">
        <v>1</v>
      </c>
      <c r="D385">
        <v>8088</v>
      </c>
      <c r="E385">
        <v>8134</v>
      </c>
      <c r="F385">
        <v>45.666668000000001</v>
      </c>
      <c r="G385">
        <v>26.6</v>
      </c>
      <c r="H385">
        <v>1.7167920000000001</v>
      </c>
      <c r="I385">
        <v>-0.71679199999999998</v>
      </c>
      <c r="J385">
        <v>0.36808118000000001</v>
      </c>
    </row>
    <row r="386" spans="1:10" x14ac:dyDescent="0.3">
      <c r="A386">
        <v>384</v>
      </c>
      <c r="B386">
        <v>6146</v>
      </c>
      <c r="C386" t="b">
        <v>1</v>
      </c>
      <c r="D386">
        <v>8083</v>
      </c>
      <c r="E386">
        <v>8134</v>
      </c>
      <c r="F386">
        <v>45.666668000000001</v>
      </c>
      <c r="G386">
        <v>26.6</v>
      </c>
      <c r="H386">
        <v>1.7167920000000001</v>
      </c>
      <c r="I386">
        <v>-0.71679199999999998</v>
      </c>
      <c r="J386">
        <v>0.36808118000000001</v>
      </c>
    </row>
    <row r="387" spans="1:10" x14ac:dyDescent="0.3">
      <c r="A387">
        <v>385</v>
      </c>
      <c r="B387">
        <v>6162</v>
      </c>
      <c r="C387" t="b">
        <v>1</v>
      </c>
      <c r="D387">
        <v>8088</v>
      </c>
      <c r="E387">
        <v>8129</v>
      </c>
      <c r="F387">
        <v>45.333331999999999</v>
      </c>
      <c r="G387">
        <v>26.2</v>
      </c>
      <c r="H387">
        <v>1.7302797999999999</v>
      </c>
      <c r="I387">
        <v>-0.73027980000000003</v>
      </c>
      <c r="J387">
        <v>0.36626281999999999</v>
      </c>
    </row>
    <row r="388" spans="1:10" x14ac:dyDescent="0.3">
      <c r="A388">
        <v>386</v>
      </c>
      <c r="B388">
        <v>6178</v>
      </c>
      <c r="C388" t="b">
        <v>1</v>
      </c>
      <c r="D388">
        <v>8088</v>
      </c>
      <c r="E388">
        <v>8134</v>
      </c>
      <c r="F388">
        <v>45.333331999999999</v>
      </c>
      <c r="G388">
        <v>25.8</v>
      </c>
      <c r="H388">
        <v>1.7571060000000001</v>
      </c>
      <c r="I388">
        <v>-0.75710595000000003</v>
      </c>
      <c r="J388">
        <v>0.36269915000000003</v>
      </c>
    </row>
    <row r="389" spans="1:10" x14ac:dyDescent="0.3">
      <c r="A389">
        <v>387</v>
      </c>
      <c r="B389">
        <v>6194</v>
      </c>
      <c r="C389" t="b">
        <v>1</v>
      </c>
      <c r="D389">
        <v>8083</v>
      </c>
      <c r="E389">
        <v>8140</v>
      </c>
      <c r="F389">
        <v>45.333331999999999</v>
      </c>
      <c r="G389">
        <v>25.4</v>
      </c>
      <c r="H389">
        <v>1.7847769</v>
      </c>
      <c r="I389">
        <v>-0.78477686999999996</v>
      </c>
      <c r="J389">
        <v>0.35909521999999999</v>
      </c>
    </row>
    <row r="390" spans="1:10" x14ac:dyDescent="0.3">
      <c r="A390">
        <v>388</v>
      </c>
      <c r="B390">
        <v>6210</v>
      </c>
      <c r="C390" t="b">
        <v>1</v>
      </c>
      <c r="D390">
        <v>8088</v>
      </c>
      <c r="E390">
        <v>8140</v>
      </c>
      <c r="F390">
        <v>45.333331999999999</v>
      </c>
      <c r="G390">
        <v>25</v>
      </c>
      <c r="H390">
        <v>1.8133333</v>
      </c>
      <c r="I390">
        <v>-0.81333330000000004</v>
      </c>
      <c r="J390">
        <v>0.35545027000000001</v>
      </c>
    </row>
    <row r="391" spans="1:10" x14ac:dyDescent="0.3">
      <c r="A391">
        <v>389</v>
      </c>
      <c r="B391">
        <v>6226</v>
      </c>
      <c r="C391" t="b">
        <v>1</v>
      </c>
      <c r="D391">
        <v>8088</v>
      </c>
      <c r="E391">
        <v>8134</v>
      </c>
      <c r="F391">
        <v>45.666668000000001</v>
      </c>
      <c r="G391">
        <v>24.6</v>
      </c>
      <c r="H391">
        <v>1.8563685000000001</v>
      </c>
      <c r="I391">
        <v>-0.85636860000000004</v>
      </c>
      <c r="J391">
        <v>0.35009485000000001</v>
      </c>
    </row>
    <row r="392" spans="1:10" x14ac:dyDescent="0.3">
      <c r="A392">
        <v>390</v>
      </c>
      <c r="B392">
        <v>6241</v>
      </c>
      <c r="C392" t="b">
        <v>1</v>
      </c>
      <c r="D392">
        <v>8088</v>
      </c>
      <c r="E392">
        <v>8140</v>
      </c>
      <c r="F392">
        <v>46</v>
      </c>
      <c r="G392">
        <v>24.6</v>
      </c>
      <c r="H392">
        <v>1.8699186999999999</v>
      </c>
      <c r="I392">
        <v>-0.86991863999999997</v>
      </c>
      <c r="J392">
        <v>0.34844193000000001</v>
      </c>
    </row>
    <row r="393" spans="1:10" x14ac:dyDescent="0.3">
      <c r="A393">
        <v>391</v>
      </c>
      <c r="B393">
        <v>6257</v>
      </c>
      <c r="C393" t="b">
        <v>1</v>
      </c>
      <c r="D393">
        <v>8094</v>
      </c>
      <c r="E393">
        <v>8140</v>
      </c>
      <c r="F393">
        <v>46.333331999999999</v>
      </c>
      <c r="G393">
        <v>24.6</v>
      </c>
      <c r="H393">
        <v>1.8834687000000001</v>
      </c>
      <c r="I393">
        <v>-0.88346875000000002</v>
      </c>
      <c r="J393">
        <v>0.34680450000000002</v>
      </c>
    </row>
    <row r="394" spans="1:10" x14ac:dyDescent="0.3">
      <c r="A394">
        <v>392</v>
      </c>
      <c r="B394">
        <v>6273</v>
      </c>
      <c r="C394" t="b">
        <v>1</v>
      </c>
      <c r="D394">
        <v>8083</v>
      </c>
      <c r="E394">
        <v>8140</v>
      </c>
      <c r="F394">
        <v>46.333331999999999</v>
      </c>
      <c r="G394">
        <v>24.6</v>
      </c>
      <c r="H394">
        <v>1.8834687000000001</v>
      </c>
      <c r="I394">
        <v>-0.88346875000000002</v>
      </c>
      <c r="J394">
        <v>0.34680450000000002</v>
      </c>
    </row>
    <row r="395" spans="1:10" x14ac:dyDescent="0.3">
      <c r="A395">
        <v>393</v>
      </c>
      <c r="B395">
        <v>6289</v>
      </c>
      <c r="C395" t="b">
        <v>1</v>
      </c>
      <c r="D395">
        <v>8077</v>
      </c>
      <c r="E395">
        <v>8140</v>
      </c>
      <c r="F395">
        <v>46.333331999999999</v>
      </c>
      <c r="G395">
        <v>24.6</v>
      </c>
      <c r="H395">
        <v>1.8834687000000001</v>
      </c>
      <c r="I395">
        <v>-0.88346875000000002</v>
      </c>
      <c r="J395">
        <v>0.34680450000000002</v>
      </c>
    </row>
    <row r="396" spans="1:10" x14ac:dyDescent="0.3">
      <c r="A396">
        <v>394</v>
      </c>
      <c r="B396">
        <v>6305</v>
      </c>
      <c r="C396" t="b">
        <v>1</v>
      </c>
      <c r="D396">
        <v>8077</v>
      </c>
      <c r="E396">
        <v>8134</v>
      </c>
      <c r="F396">
        <v>46</v>
      </c>
      <c r="G396">
        <v>24.6</v>
      </c>
      <c r="H396">
        <v>1.8699186999999999</v>
      </c>
      <c r="I396">
        <v>-0.86991863999999997</v>
      </c>
      <c r="J396">
        <v>0.34844193000000001</v>
      </c>
    </row>
    <row r="397" spans="1:10" x14ac:dyDescent="0.3">
      <c r="A397">
        <v>395</v>
      </c>
      <c r="B397">
        <v>6321</v>
      </c>
      <c r="C397" t="b">
        <v>1</v>
      </c>
      <c r="D397">
        <v>8083</v>
      </c>
      <c r="E397">
        <v>8134</v>
      </c>
      <c r="F397">
        <v>45.666668000000001</v>
      </c>
      <c r="G397">
        <v>24.2</v>
      </c>
      <c r="H397">
        <v>1.8870522999999999</v>
      </c>
      <c r="I397">
        <v>-0.88705235999999998</v>
      </c>
      <c r="J397">
        <v>0.34637403</v>
      </c>
    </row>
    <row r="398" spans="1:10" x14ac:dyDescent="0.3">
      <c r="A398">
        <v>396</v>
      </c>
      <c r="B398">
        <v>6336</v>
      </c>
      <c r="C398" t="b">
        <v>1</v>
      </c>
      <c r="D398">
        <v>8083</v>
      </c>
      <c r="E398">
        <v>8140</v>
      </c>
      <c r="F398">
        <v>45.666668000000001</v>
      </c>
      <c r="G398">
        <v>23.8</v>
      </c>
      <c r="H398">
        <v>1.9187676</v>
      </c>
      <c r="I398">
        <v>-0.91876762999999995</v>
      </c>
      <c r="J398">
        <v>0.34261036</v>
      </c>
    </row>
    <row r="399" spans="1:10" x14ac:dyDescent="0.3">
      <c r="A399">
        <v>397</v>
      </c>
      <c r="B399">
        <v>6352</v>
      </c>
      <c r="C399" t="b">
        <v>1</v>
      </c>
      <c r="D399">
        <v>8088</v>
      </c>
      <c r="E399">
        <v>8140</v>
      </c>
      <c r="F399">
        <v>45.666668000000001</v>
      </c>
      <c r="G399">
        <v>23.4</v>
      </c>
      <c r="H399">
        <v>1.9515670000000001</v>
      </c>
      <c r="I399">
        <v>-0.95156704999999997</v>
      </c>
      <c r="J399">
        <v>0.33880307999999998</v>
      </c>
    </row>
    <row r="400" spans="1:10" x14ac:dyDescent="0.3">
      <c r="A400">
        <v>398</v>
      </c>
      <c r="B400">
        <v>6368</v>
      </c>
      <c r="C400" t="b">
        <v>1</v>
      </c>
      <c r="D400">
        <v>8100</v>
      </c>
      <c r="E400">
        <v>8134</v>
      </c>
      <c r="F400">
        <v>45.666668000000001</v>
      </c>
      <c r="G400">
        <v>22.6</v>
      </c>
      <c r="H400">
        <v>2.0206490000000001</v>
      </c>
      <c r="I400">
        <v>-1.0206489999999999</v>
      </c>
      <c r="J400">
        <v>0.33105469999999998</v>
      </c>
    </row>
    <row r="401" spans="1:10" x14ac:dyDescent="0.3">
      <c r="A401">
        <v>399</v>
      </c>
      <c r="B401">
        <v>6384</v>
      </c>
      <c r="C401" t="b">
        <v>1</v>
      </c>
      <c r="D401">
        <v>8094</v>
      </c>
      <c r="E401">
        <v>8134</v>
      </c>
      <c r="F401">
        <v>46</v>
      </c>
      <c r="G401">
        <v>22.2</v>
      </c>
      <c r="H401">
        <v>2.0720719999999999</v>
      </c>
      <c r="I401">
        <v>-1.0720719999999999</v>
      </c>
      <c r="J401">
        <v>0.3255132</v>
      </c>
    </row>
    <row r="402" spans="1:10" x14ac:dyDescent="0.3">
      <c r="A402">
        <v>400</v>
      </c>
      <c r="B402">
        <v>6400</v>
      </c>
      <c r="C402" t="b">
        <v>1</v>
      </c>
      <c r="D402">
        <v>8088</v>
      </c>
      <c r="E402">
        <v>8134</v>
      </c>
      <c r="F402">
        <v>46.333331999999999</v>
      </c>
      <c r="G402">
        <v>22.2</v>
      </c>
      <c r="H402">
        <v>2.0870869999999999</v>
      </c>
      <c r="I402">
        <v>-1.0870869000000001</v>
      </c>
      <c r="J402">
        <v>0.32392997000000001</v>
      </c>
    </row>
    <row r="403" spans="1:10" x14ac:dyDescent="0.3">
      <c r="A403">
        <v>401</v>
      </c>
      <c r="B403">
        <v>6416</v>
      </c>
      <c r="C403" t="b">
        <v>1</v>
      </c>
      <c r="D403">
        <v>8083</v>
      </c>
      <c r="E403">
        <v>8134</v>
      </c>
      <c r="F403">
        <v>46.333331999999999</v>
      </c>
      <c r="G403">
        <v>22.2</v>
      </c>
      <c r="H403">
        <v>2.0870869999999999</v>
      </c>
      <c r="I403">
        <v>-1.0870869000000001</v>
      </c>
      <c r="J403">
        <v>0.32392997000000001</v>
      </c>
    </row>
    <row r="404" spans="1:10" x14ac:dyDescent="0.3">
      <c r="A404">
        <v>402</v>
      </c>
      <c r="B404">
        <v>6431</v>
      </c>
      <c r="C404" t="b">
        <v>1</v>
      </c>
      <c r="D404">
        <v>8100</v>
      </c>
      <c r="E404">
        <v>8134</v>
      </c>
      <c r="F404">
        <v>46.733333999999999</v>
      </c>
      <c r="G404">
        <v>22.2</v>
      </c>
      <c r="H404">
        <v>2.1051052000000001</v>
      </c>
      <c r="I404">
        <v>-1.105105</v>
      </c>
      <c r="J404">
        <v>0.32205030000000001</v>
      </c>
    </row>
    <row r="405" spans="1:10" x14ac:dyDescent="0.3">
      <c r="A405">
        <v>403</v>
      </c>
      <c r="B405">
        <v>6447</v>
      </c>
      <c r="C405" t="b">
        <v>1</v>
      </c>
      <c r="D405">
        <v>8083</v>
      </c>
      <c r="E405">
        <v>8134</v>
      </c>
      <c r="F405">
        <v>46.733333999999999</v>
      </c>
      <c r="G405">
        <v>22.2</v>
      </c>
      <c r="H405">
        <v>2.1051052000000001</v>
      </c>
      <c r="I405">
        <v>-1.105105</v>
      </c>
      <c r="J405">
        <v>0.32205030000000001</v>
      </c>
    </row>
    <row r="406" spans="1:10" x14ac:dyDescent="0.3">
      <c r="A406">
        <v>404</v>
      </c>
      <c r="B406">
        <v>6463</v>
      </c>
      <c r="C406" t="b">
        <v>1</v>
      </c>
      <c r="D406">
        <v>8077</v>
      </c>
      <c r="E406">
        <v>8134</v>
      </c>
      <c r="F406">
        <v>46.4</v>
      </c>
      <c r="G406">
        <v>22.2</v>
      </c>
      <c r="H406">
        <v>2.09009</v>
      </c>
      <c r="I406">
        <v>-1.09009</v>
      </c>
      <c r="J406">
        <v>0.32361512999999997</v>
      </c>
    </row>
    <row r="407" spans="1:10" x14ac:dyDescent="0.3">
      <c r="A407">
        <v>405</v>
      </c>
      <c r="B407">
        <v>6479</v>
      </c>
      <c r="C407" t="b">
        <v>1</v>
      </c>
      <c r="D407">
        <v>8083</v>
      </c>
      <c r="E407">
        <v>8140</v>
      </c>
      <c r="F407">
        <v>46.066665999999998</v>
      </c>
      <c r="G407">
        <v>21.8</v>
      </c>
      <c r="H407">
        <v>2.1131500000000001</v>
      </c>
      <c r="I407">
        <v>-1.1131499</v>
      </c>
      <c r="J407">
        <v>0.32121803999999998</v>
      </c>
    </row>
    <row r="408" spans="1:10" x14ac:dyDescent="0.3">
      <c r="A408">
        <v>406</v>
      </c>
      <c r="B408">
        <v>6495</v>
      </c>
      <c r="C408" t="b">
        <v>1</v>
      </c>
      <c r="D408">
        <v>8077</v>
      </c>
      <c r="E408">
        <v>8146</v>
      </c>
      <c r="F408">
        <v>45.733333999999999</v>
      </c>
      <c r="G408">
        <v>21.4</v>
      </c>
      <c r="H408">
        <v>2.1370716000000001</v>
      </c>
      <c r="I408">
        <v>-1.1370716999999999</v>
      </c>
      <c r="J408">
        <v>0.31876862</v>
      </c>
    </row>
    <row r="409" spans="1:10" x14ac:dyDescent="0.3">
      <c r="A409">
        <v>407</v>
      </c>
      <c r="B409">
        <v>6510</v>
      </c>
      <c r="C409" t="b">
        <v>1</v>
      </c>
      <c r="D409">
        <v>8077</v>
      </c>
      <c r="E409">
        <v>8134</v>
      </c>
      <c r="F409">
        <v>45</v>
      </c>
      <c r="G409">
        <v>21</v>
      </c>
      <c r="H409">
        <v>2.1428569999999998</v>
      </c>
      <c r="I409">
        <v>-1.1428571999999999</v>
      </c>
      <c r="J409">
        <v>0.31818180000000001</v>
      </c>
    </row>
    <row r="410" spans="1:10" x14ac:dyDescent="0.3">
      <c r="A410">
        <v>408</v>
      </c>
      <c r="B410">
        <v>6526</v>
      </c>
      <c r="C410" t="b">
        <v>1</v>
      </c>
      <c r="D410">
        <v>8077</v>
      </c>
      <c r="E410">
        <v>8140</v>
      </c>
      <c r="F410">
        <v>44.266666000000001</v>
      </c>
      <c r="G410">
        <v>21</v>
      </c>
      <c r="H410">
        <v>2.1079363999999998</v>
      </c>
      <c r="I410">
        <v>-1.1079365000000001</v>
      </c>
      <c r="J410">
        <v>0.32175693</v>
      </c>
    </row>
    <row r="411" spans="1:10" x14ac:dyDescent="0.3">
      <c r="A411">
        <v>409</v>
      </c>
      <c r="B411">
        <v>6542</v>
      </c>
      <c r="C411" t="b">
        <v>1</v>
      </c>
      <c r="D411">
        <v>8083</v>
      </c>
      <c r="E411">
        <v>8146</v>
      </c>
      <c r="F411">
        <v>43.866664999999998</v>
      </c>
      <c r="G411">
        <v>21</v>
      </c>
      <c r="H411">
        <v>2.088889</v>
      </c>
      <c r="I411">
        <v>-1.0888888000000001</v>
      </c>
      <c r="J411">
        <v>0.323741</v>
      </c>
    </row>
    <row r="412" spans="1:10" x14ac:dyDescent="0.3">
      <c r="A412">
        <v>410</v>
      </c>
      <c r="B412">
        <v>6558</v>
      </c>
      <c r="C412" t="b">
        <v>1</v>
      </c>
      <c r="D412">
        <v>8088</v>
      </c>
      <c r="E412">
        <v>8134</v>
      </c>
      <c r="F412">
        <v>43.466667000000001</v>
      </c>
      <c r="G412">
        <v>21</v>
      </c>
      <c r="H412">
        <v>2.0698414000000001</v>
      </c>
      <c r="I412">
        <v>-1.0698413</v>
      </c>
      <c r="J412">
        <v>0.32574973000000002</v>
      </c>
    </row>
    <row r="413" spans="1:10" x14ac:dyDescent="0.3">
      <c r="A413">
        <v>411</v>
      </c>
      <c r="B413">
        <v>6573</v>
      </c>
      <c r="C413" t="b">
        <v>1</v>
      </c>
      <c r="D413">
        <v>8100</v>
      </c>
      <c r="E413">
        <v>8140</v>
      </c>
      <c r="F413">
        <v>43.466667000000001</v>
      </c>
      <c r="G413">
        <v>21</v>
      </c>
      <c r="H413">
        <v>2.0698414000000001</v>
      </c>
      <c r="I413">
        <v>-1.0698413</v>
      </c>
      <c r="J413">
        <v>0.32574973000000002</v>
      </c>
    </row>
    <row r="414" spans="1:10" x14ac:dyDescent="0.3">
      <c r="A414">
        <v>412</v>
      </c>
      <c r="B414">
        <v>6589</v>
      </c>
      <c r="C414" t="b">
        <v>1</v>
      </c>
      <c r="D414">
        <v>8094</v>
      </c>
      <c r="E414">
        <v>8140</v>
      </c>
      <c r="F414">
        <v>43.8</v>
      </c>
      <c r="G414">
        <v>21</v>
      </c>
      <c r="H414">
        <v>2.0857142999999998</v>
      </c>
      <c r="I414">
        <v>-1.0857142</v>
      </c>
      <c r="J414">
        <v>0.32407406</v>
      </c>
    </row>
    <row r="415" spans="1:10" x14ac:dyDescent="0.3">
      <c r="A415">
        <v>413</v>
      </c>
      <c r="B415">
        <v>6605</v>
      </c>
      <c r="C415" t="b">
        <v>1</v>
      </c>
      <c r="D415">
        <v>8083</v>
      </c>
      <c r="E415">
        <v>8140</v>
      </c>
      <c r="F415">
        <v>44.133335000000002</v>
      </c>
      <c r="G415">
        <v>21.4</v>
      </c>
      <c r="H415">
        <v>2.0623054999999999</v>
      </c>
      <c r="I415">
        <v>-1.0623054999999999</v>
      </c>
      <c r="J415">
        <v>0.32655138</v>
      </c>
    </row>
    <row r="416" spans="1:10" x14ac:dyDescent="0.3">
      <c r="A416">
        <v>414</v>
      </c>
      <c r="B416">
        <v>6621</v>
      </c>
      <c r="C416" t="b">
        <v>1</v>
      </c>
      <c r="D416">
        <v>8077</v>
      </c>
      <c r="E416">
        <v>8134</v>
      </c>
      <c r="F416">
        <v>44.133335000000002</v>
      </c>
      <c r="G416">
        <v>21.8</v>
      </c>
      <c r="H416">
        <v>2.0244650000000002</v>
      </c>
      <c r="I416">
        <v>-1.024465</v>
      </c>
      <c r="J416">
        <v>0.33063698000000002</v>
      </c>
    </row>
    <row r="417" spans="1:10" x14ac:dyDescent="0.3">
      <c r="A417">
        <v>415</v>
      </c>
      <c r="B417">
        <v>6637</v>
      </c>
      <c r="C417" t="b">
        <v>1</v>
      </c>
      <c r="D417">
        <v>8083</v>
      </c>
      <c r="E417">
        <v>8134</v>
      </c>
      <c r="F417">
        <v>43.8</v>
      </c>
      <c r="G417">
        <v>22.2</v>
      </c>
      <c r="H417">
        <v>1.9729729</v>
      </c>
      <c r="I417">
        <v>-0.97297286999999999</v>
      </c>
      <c r="J417">
        <v>0.33636364000000002</v>
      </c>
    </row>
    <row r="418" spans="1:10" x14ac:dyDescent="0.3">
      <c r="A418">
        <v>416</v>
      </c>
      <c r="B418">
        <v>6653</v>
      </c>
      <c r="C418" t="b">
        <v>1</v>
      </c>
      <c r="D418">
        <v>8077</v>
      </c>
      <c r="E418">
        <v>8140</v>
      </c>
      <c r="F418">
        <v>43.466667000000001</v>
      </c>
      <c r="G418">
        <v>22.6</v>
      </c>
      <c r="H418">
        <v>1.9233038</v>
      </c>
      <c r="I418">
        <v>-0.92330383999999999</v>
      </c>
      <c r="J418">
        <v>0.34207872</v>
      </c>
    </row>
    <row r="419" spans="1:10" x14ac:dyDescent="0.3">
      <c r="A419">
        <v>417</v>
      </c>
      <c r="B419">
        <v>6669</v>
      </c>
      <c r="C419" t="b">
        <v>1</v>
      </c>
      <c r="D419">
        <v>8077</v>
      </c>
      <c r="E419">
        <v>8140</v>
      </c>
      <c r="F419">
        <v>42.333331999999999</v>
      </c>
      <c r="G419">
        <v>23</v>
      </c>
      <c r="H419">
        <v>1.8405796000000001</v>
      </c>
      <c r="I419">
        <v>-0.84057959999999998</v>
      </c>
      <c r="J419">
        <v>0.35204086000000001</v>
      </c>
    </row>
    <row r="420" spans="1:10" x14ac:dyDescent="0.3">
      <c r="A420">
        <v>418</v>
      </c>
      <c r="B420">
        <v>6684</v>
      </c>
      <c r="C420" t="b">
        <v>1</v>
      </c>
      <c r="D420">
        <v>8077</v>
      </c>
      <c r="E420">
        <v>8140</v>
      </c>
      <c r="F420">
        <v>41.6</v>
      </c>
      <c r="G420">
        <v>23.4</v>
      </c>
      <c r="H420">
        <v>1.7777778</v>
      </c>
      <c r="I420">
        <v>-0.77777772999999994</v>
      </c>
      <c r="J420">
        <v>0.35999998</v>
      </c>
    </row>
    <row r="421" spans="1:10" x14ac:dyDescent="0.3">
      <c r="A421">
        <v>419</v>
      </c>
      <c r="B421">
        <v>6701</v>
      </c>
      <c r="C421" t="b">
        <v>1</v>
      </c>
      <c r="D421">
        <v>8088</v>
      </c>
      <c r="E421">
        <v>8129</v>
      </c>
      <c r="F421">
        <v>41.2</v>
      </c>
      <c r="G421">
        <v>23.8</v>
      </c>
      <c r="H421">
        <v>1.7310926</v>
      </c>
      <c r="I421">
        <v>-0.73109250000000003</v>
      </c>
      <c r="J421">
        <v>0.36615384000000001</v>
      </c>
    </row>
    <row r="422" spans="1:10" x14ac:dyDescent="0.3">
      <c r="A422">
        <v>420</v>
      </c>
      <c r="B422">
        <v>6717</v>
      </c>
      <c r="C422" t="b">
        <v>1</v>
      </c>
      <c r="D422">
        <v>8088</v>
      </c>
      <c r="E422">
        <v>8134</v>
      </c>
      <c r="F422">
        <v>40.799999999999997</v>
      </c>
      <c r="G422">
        <v>24.2</v>
      </c>
      <c r="H422">
        <v>1.6859503</v>
      </c>
      <c r="I422">
        <v>-0.68595033999999999</v>
      </c>
      <c r="J422">
        <v>0.37230772000000001</v>
      </c>
    </row>
    <row r="423" spans="1:10" x14ac:dyDescent="0.3">
      <c r="A423">
        <v>421</v>
      </c>
      <c r="B423">
        <v>6733</v>
      </c>
      <c r="C423" t="b">
        <v>1</v>
      </c>
      <c r="D423">
        <v>8094</v>
      </c>
      <c r="E423">
        <v>8134</v>
      </c>
      <c r="F423">
        <v>41.133335000000002</v>
      </c>
      <c r="G423">
        <v>24.2</v>
      </c>
      <c r="H423">
        <v>1.6997245999999999</v>
      </c>
      <c r="I423">
        <v>-0.69972456000000005</v>
      </c>
      <c r="J423">
        <v>0.37040814999999999</v>
      </c>
    </row>
    <row r="424" spans="1:10" x14ac:dyDescent="0.3">
      <c r="A424">
        <v>422</v>
      </c>
      <c r="B424">
        <v>6749</v>
      </c>
      <c r="C424" t="b">
        <v>1</v>
      </c>
      <c r="D424">
        <v>8088</v>
      </c>
      <c r="E424">
        <v>8134</v>
      </c>
      <c r="F424">
        <v>41.866664999999998</v>
      </c>
      <c r="G424">
        <v>24.2</v>
      </c>
      <c r="H424">
        <v>1.7300274</v>
      </c>
      <c r="I424">
        <v>-0.73002743999999997</v>
      </c>
      <c r="J424">
        <v>0.36629667999999999</v>
      </c>
    </row>
    <row r="425" spans="1:10" x14ac:dyDescent="0.3">
      <c r="A425">
        <v>423</v>
      </c>
      <c r="B425">
        <v>6765</v>
      </c>
      <c r="C425" t="b">
        <v>1</v>
      </c>
      <c r="D425">
        <v>8083</v>
      </c>
      <c r="E425">
        <v>8134</v>
      </c>
      <c r="F425">
        <v>42.6</v>
      </c>
      <c r="G425">
        <v>23.8</v>
      </c>
      <c r="H425">
        <v>1.7899159</v>
      </c>
      <c r="I425">
        <v>-0.78991599999999995</v>
      </c>
      <c r="J425">
        <v>0.35843375</v>
      </c>
    </row>
    <row r="426" spans="1:10" x14ac:dyDescent="0.3">
      <c r="A426">
        <v>424</v>
      </c>
      <c r="B426">
        <v>6781</v>
      </c>
      <c r="C426" t="b">
        <v>1</v>
      </c>
      <c r="D426">
        <v>8083</v>
      </c>
      <c r="E426">
        <v>8134</v>
      </c>
      <c r="F426">
        <v>43.333331999999999</v>
      </c>
      <c r="G426">
        <v>23.4</v>
      </c>
      <c r="H426">
        <v>1.8518517999999999</v>
      </c>
      <c r="I426">
        <v>-0.85185180000000005</v>
      </c>
      <c r="J426">
        <v>0.35064936000000002</v>
      </c>
    </row>
    <row r="427" spans="1:10" x14ac:dyDescent="0.3">
      <c r="A427">
        <v>425</v>
      </c>
      <c r="B427">
        <v>6797</v>
      </c>
      <c r="C427" t="b">
        <v>1</v>
      </c>
      <c r="D427">
        <v>8077</v>
      </c>
      <c r="E427">
        <v>8140</v>
      </c>
      <c r="F427">
        <v>43.733333999999999</v>
      </c>
      <c r="G427">
        <v>23</v>
      </c>
      <c r="H427">
        <v>1.9014492999999999</v>
      </c>
      <c r="I427">
        <v>-0.90144926000000003</v>
      </c>
      <c r="J427">
        <v>0.34465532999999998</v>
      </c>
    </row>
    <row r="428" spans="1:10" x14ac:dyDescent="0.3">
      <c r="A428">
        <v>426</v>
      </c>
      <c r="B428">
        <v>6813</v>
      </c>
      <c r="C428" t="b">
        <v>1</v>
      </c>
      <c r="D428">
        <v>8077</v>
      </c>
      <c r="E428">
        <v>8134</v>
      </c>
      <c r="F428">
        <v>43.733333999999999</v>
      </c>
      <c r="G428">
        <v>22.6</v>
      </c>
      <c r="H428">
        <v>1.9351031999999999</v>
      </c>
      <c r="I428">
        <v>-0.93510324</v>
      </c>
      <c r="J428">
        <v>0.34070351999999998</v>
      </c>
    </row>
    <row r="429" spans="1:10" x14ac:dyDescent="0.3">
      <c r="A429">
        <v>427</v>
      </c>
      <c r="B429">
        <v>6829</v>
      </c>
      <c r="C429" t="b">
        <v>1</v>
      </c>
      <c r="D429">
        <v>8077</v>
      </c>
      <c r="E429">
        <v>8134</v>
      </c>
      <c r="F429">
        <v>43</v>
      </c>
      <c r="G429">
        <v>22.2</v>
      </c>
      <c r="H429">
        <v>1.9369369000000001</v>
      </c>
      <c r="I429">
        <v>-0.93693685999999998</v>
      </c>
      <c r="J429">
        <v>0.34049082000000003</v>
      </c>
    </row>
    <row r="430" spans="1:10" x14ac:dyDescent="0.3">
      <c r="A430">
        <v>428</v>
      </c>
      <c r="B430">
        <v>6845</v>
      </c>
      <c r="C430" t="b">
        <v>1</v>
      </c>
      <c r="D430">
        <v>8088</v>
      </c>
      <c r="E430">
        <v>8140</v>
      </c>
      <c r="F430">
        <v>42.266666000000001</v>
      </c>
      <c r="G430">
        <v>21.8</v>
      </c>
      <c r="H430">
        <v>1.9388380000000001</v>
      </c>
      <c r="I430">
        <v>-0.93883799999999995</v>
      </c>
      <c r="J430">
        <v>0.34027055</v>
      </c>
    </row>
    <row r="431" spans="1:10" x14ac:dyDescent="0.3">
      <c r="A431">
        <v>429</v>
      </c>
      <c r="B431">
        <v>6860</v>
      </c>
      <c r="C431" t="b">
        <v>1</v>
      </c>
      <c r="D431">
        <v>8083</v>
      </c>
      <c r="E431">
        <v>8140</v>
      </c>
      <c r="F431">
        <v>41.533332999999999</v>
      </c>
      <c r="G431">
        <v>21.8</v>
      </c>
      <c r="H431">
        <v>1.9051988</v>
      </c>
      <c r="I431">
        <v>-0.90519879999999997</v>
      </c>
      <c r="J431">
        <v>0.34421054000000001</v>
      </c>
    </row>
    <row r="432" spans="1:10" x14ac:dyDescent="0.3">
      <c r="A432">
        <v>430</v>
      </c>
      <c r="B432">
        <v>6876</v>
      </c>
      <c r="C432" t="b">
        <v>1</v>
      </c>
      <c r="D432">
        <v>8077</v>
      </c>
      <c r="E432">
        <v>8134</v>
      </c>
      <c r="F432">
        <v>41.133335000000002</v>
      </c>
      <c r="G432">
        <v>21.4</v>
      </c>
      <c r="H432">
        <v>1.9221185000000001</v>
      </c>
      <c r="I432">
        <v>-0.92211849999999995</v>
      </c>
      <c r="J432">
        <v>0.34221748000000002</v>
      </c>
    </row>
    <row r="433" spans="1:10" x14ac:dyDescent="0.3">
      <c r="A433">
        <v>431</v>
      </c>
      <c r="B433">
        <v>6892</v>
      </c>
      <c r="C433" t="b">
        <v>1</v>
      </c>
      <c r="D433">
        <v>8083</v>
      </c>
      <c r="E433">
        <v>8134</v>
      </c>
      <c r="F433">
        <v>41.133335000000002</v>
      </c>
      <c r="G433">
        <v>21</v>
      </c>
      <c r="H433">
        <v>1.9587302</v>
      </c>
      <c r="I433">
        <v>-0.95873019999999998</v>
      </c>
      <c r="J433">
        <v>0.33798283000000001</v>
      </c>
    </row>
    <row r="434" spans="1:10" x14ac:dyDescent="0.3">
      <c r="A434">
        <v>432</v>
      </c>
      <c r="B434">
        <v>6908</v>
      </c>
      <c r="C434" t="b">
        <v>1</v>
      </c>
      <c r="D434">
        <v>8094</v>
      </c>
      <c r="E434">
        <v>8134</v>
      </c>
      <c r="F434">
        <v>41.533332999999999</v>
      </c>
      <c r="G434">
        <v>20.6</v>
      </c>
      <c r="H434">
        <v>2.0161812000000001</v>
      </c>
      <c r="I434">
        <v>-1.0161811000000001</v>
      </c>
      <c r="J434">
        <v>0.33154507999999999</v>
      </c>
    </row>
    <row r="435" spans="1:10" x14ac:dyDescent="0.3">
      <c r="A435">
        <v>433</v>
      </c>
      <c r="B435">
        <v>6924</v>
      </c>
      <c r="C435" t="b">
        <v>1</v>
      </c>
      <c r="D435">
        <v>8088</v>
      </c>
      <c r="E435">
        <v>8140</v>
      </c>
      <c r="F435">
        <v>41.933334000000002</v>
      </c>
      <c r="G435">
        <v>20.2</v>
      </c>
      <c r="H435">
        <v>2.0759075</v>
      </c>
      <c r="I435">
        <v>-1.0759076000000001</v>
      </c>
      <c r="J435">
        <v>0.32510729999999999</v>
      </c>
    </row>
    <row r="436" spans="1:10" x14ac:dyDescent="0.3">
      <c r="A436">
        <v>434</v>
      </c>
      <c r="B436">
        <v>6939</v>
      </c>
      <c r="C436" t="b">
        <v>1</v>
      </c>
      <c r="D436">
        <v>8088</v>
      </c>
      <c r="E436">
        <v>8134</v>
      </c>
      <c r="F436">
        <v>42.666668000000001</v>
      </c>
      <c r="G436">
        <v>19.8</v>
      </c>
      <c r="H436">
        <v>2.1548821999999999</v>
      </c>
      <c r="I436">
        <v>-1.1548822999999999</v>
      </c>
      <c r="J436">
        <v>0.31696903999999998</v>
      </c>
    </row>
    <row r="437" spans="1:10" x14ac:dyDescent="0.3">
      <c r="A437">
        <v>435</v>
      </c>
      <c r="B437">
        <v>6955</v>
      </c>
      <c r="C437" t="b">
        <v>1</v>
      </c>
      <c r="D437">
        <v>8094</v>
      </c>
      <c r="E437">
        <v>8134</v>
      </c>
      <c r="F437">
        <v>43.4</v>
      </c>
      <c r="G437">
        <v>19.399999999999999</v>
      </c>
      <c r="H437">
        <v>2.2371135</v>
      </c>
      <c r="I437">
        <v>-1.2371135</v>
      </c>
      <c r="J437">
        <v>0.30891716000000002</v>
      </c>
    </row>
    <row r="438" spans="1:10" x14ac:dyDescent="0.3">
      <c r="A438">
        <v>436</v>
      </c>
      <c r="B438">
        <v>6971</v>
      </c>
      <c r="C438" t="b">
        <v>1</v>
      </c>
      <c r="D438">
        <v>8100</v>
      </c>
      <c r="E438">
        <v>8140</v>
      </c>
      <c r="F438">
        <v>43.8</v>
      </c>
      <c r="G438">
        <v>19.399999999999999</v>
      </c>
      <c r="H438">
        <v>2.2577319999999999</v>
      </c>
      <c r="I438">
        <v>-1.2577319</v>
      </c>
      <c r="J438">
        <v>0.30696203999999999</v>
      </c>
    </row>
    <row r="439" spans="1:10" x14ac:dyDescent="0.3">
      <c r="A439">
        <v>437</v>
      </c>
      <c r="B439">
        <v>6987</v>
      </c>
      <c r="C439" t="b">
        <v>1</v>
      </c>
      <c r="D439">
        <v>8100</v>
      </c>
      <c r="E439">
        <v>8134</v>
      </c>
      <c r="F439">
        <v>44.2</v>
      </c>
      <c r="G439">
        <v>19.399999999999999</v>
      </c>
      <c r="H439">
        <v>2.2783506</v>
      </c>
      <c r="I439">
        <v>-1.2783506</v>
      </c>
      <c r="J439">
        <v>0.30503144999999998</v>
      </c>
    </row>
    <row r="440" spans="1:10" x14ac:dyDescent="0.3">
      <c r="A440">
        <v>438</v>
      </c>
      <c r="B440">
        <v>7003</v>
      </c>
      <c r="C440" t="b">
        <v>1</v>
      </c>
      <c r="D440">
        <v>8094</v>
      </c>
      <c r="E440">
        <v>8134</v>
      </c>
      <c r="F440">
        <v>44.6</v>
      </c>
      <c r="G440">
        <v>19.399999999999999</v>
      </c>
      <c r="H440">
        <v>2.298969</v>
      </c>
      <c r="I440">
        <v>-1.298969</v>
      </c>
      <c r="J440">
        <v>0.30312499999999998</v>
      </c>
    </row>
    <row r="441" spans="1:10" x14ac:dyDescent="0.3">
      <c r="A441">
        <v>439</v>
      </c>
      <c r="B441">
        <v>7019</v>
      </c>
      <c r="C441" t="b">
        <v>1</v>
      </c>
      <c r="D441">
        <v>8083</v>
      </c>
      <c r="E441">
        <v>8134</v>
      </c>
      <c r="F441">
        <v>45</v>
      </c>
      <c r="G441">
        <v>19.399999999999999</v>
      </c>
      <c r="H441">
        <v>2.3195877</v>
      </c>
      <c r="I441">
        <v>-1.3195877</v>
      </c>
      <c r="J441">
        <v>0.30124223</v>
      </c>
    </row>
    <row r="442" spans="1:10" x14ac:dyDescent="0.3">
      <c r="A442">
        <v>440</v>
      </c>
      <c r="B442">
        <v>7035</v>
      </c>
      <c r="C442" t="b">
        <v>1</v>
      </c>
      <c r="D442">
        <v>8094</v>
      </c>
      <c r="E442">
        <v>8134</v>
      </c>
      <c r="F442">
        <v>45.733333999999999</v>
      </c>
      <c r="G442">
        <v>19.399999999999999</v>
      </c>
      <c r="H442">
        <v>2.3573883000000002</v>
      </c>
      <c r="I442">
        <v>-1.3573884000000001</v>
      </c>
      <c r="J442">
        <v>0.29785057999999998</v>
      </c>
    </row>
    <row r="443" spans="1:10" x14ac:dyDescent="0.3">
      <c r="A443">
        <v>441</v>
      </c>
      <c r="B443">
        <v>7051</v>
      </c>
      <c r="C443" t="b">
        <v>1</v>
      </c>
      <c r="D443">
        <v>8088</v>
      </c>
      <c r="E443">
        <v>8134</v>
      </c>
      <c r="F443">
        <v>46.466667000000001</v>
      </c>
      <c r="G443">
        <v>19.399999999999999</v>
      </c>
      <c r="H443">
        <v>2.3951889999999998</v>
      </c>
      <c r="I443">
        <v>-1.395189</v>
      </c>
      <c r="J443">
        <v>0.29453439999999997</v>
      </c>
    </row>
    <row r="444" spans="1:10" x14ac:dyDescent="0.3">
      <c r="A444">
        <v>442</v>
      </c>
      <c r="B444">
        <v>7067</v>
      </c>
      <c r="C444" t="b">
        <v>1</v>
      </c>
      <c r="D444">
        <v>8083</v>
      </c>
      <c r="E444">
        <v>8134</v>
      </c>
      <c r="F444">
        <v>47.2</v>
      </c>
      <c r="G444">
        <v>19.399999999999999</v>
      </c>
      <c r="H444">
        <v>2.4329898000000001</v>
      </c>
      <c r="I444">
        <v>-1.4329898000000001</v>
      </c>
      <c r="J444">
        <v>0.29129129999999998</v>
      </c>
    </row>
    <row r="445" spans="1:10" x14ac:dyDescent="0.3">
      <c r="A445">
        <v>443</v>
      </c>
      <c r="B445">
        <v>7083</v>
      </c>
      <c r="C445" t="b">
        <v>1</v>
      </c>
      <c r="D445">
        <v>8083</v>
      </c>
      <c r="E445">
        <v>8134</v>
      </c>
      <c r="F445">
        <v>47.6</v>
      </c>
      <c r="G445">
        <v>19.399999999999999</v>
      </c>
      <c r="H445">
        <v>2.4536083</v>
      </c>
      <c r="I445">
        <v>-1.4536083</v>
      </c>
      <c r="J445">
        <v>0.28955224000000002</v>
      </c>
    </row>
    <row r="446" spans="1:10" x14ac:dyDescent="0.3">
      <c r="A446">
        <v>444</v>
      </c>
      <c r="B446">
        <v>7099</v>
      </c>
      <c r="C446" t="b">
        <v>1</v>
      </c>
      <c r="D446">
        <v>8083</v>
      </c>
      <c r="E446">
        <v>8140</v>
      </c>
      <c r="F446">
        <v>48</v>
      </c>
      <c r="G446">
        <v>19</v>
      </c>
      <c r="H446">
        <v>2.5263157000000001</v>
      </c>
      <c r="I446">
        <v>-1.5263157999999999</v>
      </c>
      <c r="J446">
        <v>0.2835821</v>
      </c>
    </row>
    <row r="447" spans="1:10" x14ac:dyDescent="0.3">
      <c r="A447">
        <v>445</v>
      </c>
      <c r="B447">
        <v>7115</v>
      </c>
      <c r="C447" t="b">
        <v>1</v>
      </c>
      <c r="D447">
        <v>8083</v>
      </c>
      <c r="E447">
        <v>8140</v>
      </c>
      <c r="F447">
        <v>48.4</v>
      </c>
      <c r="G447">
        <v>19</v>
      </c>
      <c r="H447">
        <v>2.5473685000000001</v>
      </c>
      <c r="I447">
        <v>-1.5473684999999999</v>
      </c>
      <c r="J447">
        <v>0.28189910000000001</v>
      </c>
    </row>
    <row r="448" spans="1:10" x14ac:dyDescent="0.3">
      <c r="A448">
        <v>446</v>
      </c>
      <c r="B448">
        <v>7131</v>
      </c>
      <c r="C448" t="b">
        <v>1</v>
      </c>
      <c r="D448">
        <v>8077</v>
      </c>
      <c r="E448">
        <v>8146</v>
      </c>
      <c r="F448">
        <v>48.4</v>
      </c>
      <c r="G448">
        <v>19.399999999999999</v>
      </c>
      <c r="H448">
        <v>2.4948454</v>
      </c>
      <c r="I448">
        <v>-1.4948455</v>
      </c>
      <c r="J448">
        <v>0.28613567000000001</v>
      </c>
    </row>
    <row r="449" spans="1:10" x14ac:dyDescent="0.3">
      <c r="A449">
        <v>447</v>
      </c>
      <c r="B449">
        <v>7147</v>
      </c>
      <c r="C449" t="b">
        <v>1</v>
      </c>
      <c r="D449">
        <v>8083</v>
      </c>
      <c r="E449">
        <v>8146</v>
      </c>
      <c r="F449">
        <v>48.4</v>
      </c>
      <c r="G449">
        <v>19.8</v>
      </c>
      <c r="H449">
        <v>2.4444447</v>
      </c>
      <c r="I449">
        <v>-1.4444447</v>
      </c>
      <c r="J449">
        <v>0.29032257</v>
      </c>
    </row>
    <row r="450" spans="1:10" x14ac:dyDescent="0.3">
      <c r="A450">
        <v>448</v>
      </c>
      <c r="B450">
        <v>7163</v>
      </c>
      <c r="C450" t="b">
        <v>1</v>
      </c>
      <c r="D450">
        <v>8088</v>
      </c>
      <c r="E450">
        <v>8146</v>
      </c>
      <c r="F450">
        <v>48.4</v>
      </c>
      <c r="G450">
        <v>20.6</v>
      </c>
      <c r="H450">
        <v>2.3495145000000002</v>
      </c>
      <c r="I450">
        <v>-1.3495146</v>
      </c>
      <c r="J450">
        <v>0.29855071999999999</v>
      </c>
    </row>
    <row r="451" spans="1:10" x14ac:dyDescent="0.3">
      <c r="A451">
        <v>449</v>
      </c>
      <c r="B451">
        <v>7179</v>
      </c>
      <c r="C451" t="b">
        <v>1</v>
      </c>
      <c r="D451">
        <v>8094</v>
      </c>
      <c r="E451">
        <v>8146</v>
      </c>
      <c r="F451">
        <v>48.066665999999998</v>
      </c>
      <c r="G451">
        <v>21.4</v>
      </c>
      <c r="H451">
        <v>2.2461060000000002</v>
      </c>
      <c r="I451">
        <v>-1.2461059000000001</v>
      </c>
      <c r="J451">
        <v>0.30806141999999997</v>
      </c>
    </row>
    <row r="452" spans="1:10" x14ac:dyDescent="0.3">
      <c r="A452">
        <v>450</v>
      </c>
      <c r="B452">
        <v>7195</v>
      </c>
      <c r="C452" t="b">
        <v>1</v>
      </c>
      <c r="D452">
        <v>8088</v>
      </c>
      <c r="E452">
        <v>8146</v>
      </c>
      <c r="F452">
        <v>48.066665999999998</v>
      </c>
      <c r="G452">
        <v>22.2</v>
      </c>
      <c r="H452">
        <v>2.165165</v>
      </c>
      <c r="I452">
        <v>-1.1651651000000001</v>
      </c>
      <c r="J452">
        <v>0.31593929999999998</v>
      </c>
    </row>
    <row r="453" spans="1:10" x14ac:dyDescent="0.3">
      <c r="A453">
        <v>451</v>
      </c>
      <c r="B453">
        <v>7210</v>
      </c>
      <c r="C453" t="b">
        <v>1</v>
      </c>
      <c r="D453">
        <v>8094</v>
      </c>
      <c r="E453">
        <v>8134</v>
      </c>
      <c r="F453">
        <v>47.666668000000001</v>
      </c>
      <c r="G453">
        <v>23</v>
      </c>
      <c r="H453">
        <v>2.0724638</v>
      </c>
      <c r="I453">
        <v>-1.0724639</v>
      </c>
      <c r="J453">
        <v>0.32547166999999999</v>
      </c>
    </row>
    <row r="454" spans="1:10" x14ac:dyDescent="0.3">
      <c r="A454">
        <v>452</v>
      </c>
      <c r="B454">
        <v>7226</v>
      </c>
      <c r="C454" t="b">
        <v>1</v>
      </c>
      <c r="D454">
        <v>8083</v>
      </c>
      <c r="E454">
        <v>8140</v>
      </c>
      <c r="F454">
        <v>47.266666000000001</v>
      </c>
      <c r="G454">
        <v>23.8</v>
      </c>
      <c r="H454">
        <v>1.9859945000000001</v>
      </c>
      <c r="I454">
        <v>-0.98599446000000002</v>
      </c>
      <c r="J454">
        <v>0.33489679999999999</v>
      </c>
    </row>
    <row r="455" spans="1:10" x14ac:dyDescent="0.3">
      <c r="A455">
        <v>453</v>
      </c>
      <c r="B455">
        <v>7242</v>
      </c>
      <c r="C455" t="b">
        <v>1</v>
      </c>
      <c r="D455">
        <v>8083</v>
      </c>
      <c r="E455">
        <v>8146</v>
      </c>
      <c r="F455">
        <v>46.866664999999998</v>
      </c>
      <c r="G455">
        <v>24.6</v>
      </c>
      <c r="H455">
        <v>1.905149</v>
      </c>
      <c r="I455">
        <v>-0.90514890000000003</v>
      </c>
      <c r="J455">
        <v>0.34421639999999998</v>
      </c>
    </row>
    <row r="456" spans="1:10" x14ac:dyDescent="0.3">
      <c r="A456">
        <v>454</v>
      </c>
      <c r="B456">
        <v>7258</v>
      </c>
      <c r="C456" t="b">
        <v>1</v>
      </c>
      <c r="D456">
        <v>8094</v>
      </c>
      <c r="E456">
        <v>8134</v>
      </c>
      <c r="F456">
        <v>46.466667000000001</v>
      </c>
      <c r="G456">
        <v>25</v>
      </c>
      <c r="H456">
        <v>1.8586666999999999</v>
      </c>
      <c r="I456">
        <v>-0.85866666000000003</v>
      </c>
      <c r="J456">
        <v>0.34981342999999998</v>
      </c>
    </row>
    <row r="457" spans="1:10" x14ac:dyDescent="0.3">
      <c r="A457">
        <v>455</v>
      </c>
      <c r="B457">
        <v>7273</v>
      </c>
      <c r="C457" t="b">
        <v>1</v>
      </c>
      <c r="D457">
        <v>8088</v>
      </c>
      <c r="E457">
        <v>8134</v>
      </c>
      <c r="F457">
        <v>46.066665999999998</v>
      </c>
      <c r="G457">
        <v>25</v>
      </c>
      <c r="H457">
        <v>1.8426666</v>
      </c>
      <c r="I457">
        <v>-0.84266660000000004</v>
      </c>
      <c r="J457">
        <v>0.35178238000000001</v>
      </c>
    </row>
    <row r="458" spans="1:10" x14ac:dyDescent="0.3">
      <c r="A458">
        <v>456</v>
      </c>
      <c r="B458">
        <v>7289</v>
      </c>
      <c r="C458" t="b">
        <v>1</v>
      </c>
      <c r="D458">
        <v>8088</v>
      </c>
      <c r="E458">
        <v>8134</v>
      </c>
      <c r="F458">
        <v>45.666668000000001</v>
      </c>
      <c r="G458">
        <v>25</v>
      </c>
      <c r="H458">
        <v>1.8266667000000001</v>
      </c>
      <c r="I458">
        <v>-0.82666669999999998</v>
      </c>
      <c r="J458">
        <v>0.35377355999999999</v>
      </c>
    </row>
    <row r="459" spans="1:10" x14ac:dyDescent="0.3">
      <c r="A459">
        <v>457</v>
      </c>
      <c r="B459">
        <v>7305</v>
      </c>
      <c r="C459" t="b">
        <v>1</v>
      </c>
      <c r="D459">
        <v>8083</v>
      </c>
      <c r="E459">
        <v>8134</v>
      </c>
      <c r="F459">
        <v>45.666668000000001</v>
      </c>
      <c r="G459">
        <v>25</v>
      </c>
      <c r="H459">
        <v>1.8266667000000001</v>
      </c>
      <c r="I459">
        <v>-0.82666669999999998</v>
      </c>
      <c r="J459">
        <v>0.35377355999999999</v>
      </c>
    </row>
    <row r="460" spans="1:10" x14ac:dyDescent="0.3">
      <c r="A460">
        <v>458</v>
      </c>
      <c r="B460">
        <v>7321</v>
      </c>
      <c r="C460" t="b">
        <v>1</v>
      </c>
      <c r="D460">
        <v>8094</v>
      </c>
      <c r="E460">
        <v>8134</v>
      </c>
      <c r="F460">
        <v>46</v>
      </c>
      <c r="G460">
        <v>25</v>
      </c>
      <c r="H460">
        <v>1.84</v>
      </c>
      <c r="I460">
        <v>-0.84</v>
      </c>
      <c r="J460">
        <v>0.35211268000000001</v>
      </c>
    </row>
    <row r="461" spans="1:10" x14ac:dyDescent="0.3">
      <c r="A461">
        <v>459</v>
      </c>
      <c r="B461">
        <v>7337</v>
      </c>
      <c r="C461" t="b">
        <v>1</v>
      </c>
      <c r="D461">
        <v>8077</v>
      </c>
      <c r="E461">
        <v>8134</v>
      </c>
      <c r="F461">
        <v>46.333331999999999</v>
      </c>
      <c r="G461">
        <v>25</v>
      </c>
      <c r="H461">
        <v>1.8533332</v>
      </c>
      <c r="I461">
        <v>-0.85333329999999996</v>
      </c>
      <c r="J461">
        <v>0.35046732000000003</v>
      </c>
    </row>
    <row r="462" spans="1:10" x14ac:dyDescent="0.3">
      <c r="A462">
        <v>460</v>
      </c>
      <c r="B462">
        <v>7353</v>
      </c>
      <c r="C462" t="b">
        <v>1</v>
      </c>
      <c r="D462">
        <v>8088</v>
      </c>
      <c r="E462">
        <v>8134</v>
      </c>
      <c r="F462">
        <v>46.666668000000001</v>
      </c>
      <c r="G462">
        <v>25</v>
      </c>
      <c r="H462">
        <v>1.8666666999999999</v>
      </c>
      <c r="I462">
        <v>-0.86666673000000005</v>
      </c>
      <c r="J462">
        <v>0.34883720000000001</v>
      </c>
    </row>
    <row r="463" spans="1:10" x14ac:dyDescent="0.3">
      <c r="A463">
        <v>461</v>
      </c>
      <c r="B463">
        <v>7369</v>
      </c>
      <c r="C463" t="b">
        <v>1</v>
      </c>
      <c r="D463">
        <v>8083</v>
      </c>
      <c r="E463">
        <v>8134</v>
      </c>
      <c r="F463">
        <v>46.666668000000001</v>
      </c>
      <c r="G463">
        <v>24.6</v>
      </c>
      <c r="H463">
        <v>1.897019</v>
      </c>
      <c r="I463">
        <v>-0.89701896999999997</v>
      </c>
      <c r="J463">
        <v>0.3451824</v>
      </c>
    </row>
    <row r="464" spans="1:10" x14ac:dyDescent="0.3">
      <c r="A464">
        <v>462</v>
      </c>
      <c r="B464">
        <v>7384</v>
      </c>
      <c r="C464" t="b">
        <v>1</v>
      </c>
      <c r="D464">
        <v>8071</v>
      </c>
      <c r="E464">
        <v>8134</v>
      </c>
      <c r="F464">
        <v>46.666668000000001</v>
      </c>
      <c r="G464">
        <v>24.2</v>
      </c>
      <c r="H464">
        <v>1.9283745999999999</v>
      </c>
      <c r="I464">
        <v>-0.92837464999999997</v>
      </c>
      <c r="J464">
        <v>0.34148635999999999</v>
      </c>
    </row>
    <row r="465" spans="1:10" x14ac:dyDescent="0.3">
      <c r="A465">
        <v>463</v>
      </c>
      <c r="B465">
        <v>7400</v>
      </c>
      <c r="C465" t="b">
        <v>1</v>
      </c>
      <c r="D465">
        <v>8077</v>
      </c>
      <c r="E465">
        <v>8140</v>
      </c>
      <c r="F465">
        <v>46.266666000000001</v>
      </c>
      <c r="G465">
        <v>23.4</v>
      </c>
      <c r="H465">
        <v>1.9772080000000001</v>
      </c>
      <c r="I465">
        <v>-0.97720799999999997</v>
      </c>
      <c r="J465">
        <v>0.33588517000000001</v>
      </c>
    </row>
    <row r="466" spans="1:10" x14ac:dyDescent="0.3">
      <c r="A466">
        <v>464</v>
      </c>
      <c r="B466">
        <v>7416</v>
      </c>
      <c r="C466" t="b">
        <v>1</v>
      </c>
      <c r="D466">
        <v>8088</v>
      </c>
      <c r="E466">
        <v>8140</v>
      </c>
      <c r="F466">
        <v>46.266666000000001</v>
      </c>
      <c r="G466">
        <v>22.6</v>
      </c>
      <c r="H466">
        <v>2.0471976000000001</v>
      </c>
      <c r="I466">
        <v>-1.0471976000000001</v>
      </c>
      <c r="J466">
        <v>0.32817035999999999</v>
      </c>
    </row>
    <row r="467" spans="1:10" x14ac:dyDescent="0.3">
      <c r="A467">
        <v>465</v>
      </c>
      <c r="B467">
        <v>7432</v>
      </c>
      <c r="C467" t="b">
        <v>1</v>
      </c>
      <c r="D467">
        <v>8088</v>
      </c>
      <c r="E467">
        <v>8140</v>
      </c>
      <c r="F467">
        <v>45.933334000000002</v>
      </c>
      <c r="G467">
        <v>22.2</v>
      </c>
      <c r="H467">
        <v>2.0690691000000001</v>
      </c>
      <c r="I467">
        <v>-1.069069</v>
      </c>
      <c r="J467">
        <v>0.3258317</v>
      </c>
    </row>
    <row r="468" spans="1:10" x14ac:dyDescent="0.3">
      <c r="A468">
        <v>466</v>
      </c>
      <c r="B468">
        <v>7447</v>
      </c>
      <c r="C468" t="b">
        <v>1</v>
      </c>
      <c r="D468">
        <v>8088</v>
      </c>
      <c r="E468">
        <v>8140</v>
      </c>
      <c r="F468">
        <v>45.933334000000002</v>
      </c>
      <c r="G468">
        <v>21.8</v>
      </c>
      <c r="H468">
        <v>2.1070337000000001</v>
      </c>
      <c r="I468">
        <v>-1.1070336999999999</v>
      </c>
      <c r="J468">
        <v>0.32185036</v>
      </c>
    </row>
    <row r="469" spans="1:10" x14ac:dyDescent="0.3">
      <c r="A469">
        <v>467</v>
      </c>
      <c r="B469">
        <v>7463</v>
      </c>
      <c r="C469" t="b">
        <v>1</v>
      </c>
      <c r="D469">
        <v>8094</v>
      </c>
      <c r="E469">
        <v>8140</v>
      </c>
      <c r="F469">
        <v>45.933334000000002</v>
      </c>
      <c r="G469">
        <v>21.4</v>
      </c>
      <c r="H469">
        <v>2.1464175999999999</v>
      </c>
      <c r="I469">
        <v>-1.1464175000000001</v>
      </c>
      <c r="J469">
        <v>0.31782177</v>
      </c>
    </row>
    <row r="470" spans="1:10" x14ac:dyDescent="0.3">
      <c r="A470">
        <v>468</v>
      </c>
      <c r="B470">
        <v>7479</v>
      </c>
      <c r="C470" t="b">
        <v>1</v>
      </c>
      <c r="D470">
        <v>8088</v>
      </c>
      <c r="E470">
        <v>8140</v>
      </c>
      <c r="F470">
        <v>45.933334000000002</v>
      </c>
      <c r="G470">
        <v>21</v>
      </c>
      <c r="H470">
        <v>2.1873016000000001</v>
      </c>
      <c r="I470">
        <v>-1.1873016000000001</v>
      </c>
      <c r="J470">
        <v>0.31374501999999999</v>
      </c>
    </row>
    <row r="471" spans="1:10" x14ac:dyDescent="0.3">
      <c r="A471">
        <v>469</v>
      </c>
      <c r="B471">
        <v>7495</v>
      </c>
      <c r="C471" t="b">
        <v>1</v>
      </c>
      <c r="D471">
        <v>8094</v>
      </c>
      <c r="E471">
        <v>8140</v>
      </c>
      <c r="F471">
        <v>45.933334000000002</v>
      </c>
      <c r="G471">
        <v>21</v>
      </c>
      <c r="H471">
        <v>2.1873016000000001</v>
      </c>
      <c r="I471">
        <v>-1.1873016000000001</v>
      </c>
      <c r="J471">
        <v>0.31374501999999999</v>
      </c>
    </row>
    <row r="472" spans="1:10" x14ac:dyDescent="0.3">
      <c r="A472">
        <v>470</v>
      </c>
      <c r="B472">
        <v>7511</v>
      </c>
      <c r="C472" t="b">
        <v>1</v>
      </c>
      <c r="D472">
        <v>8088</v>
      </c>
      <c r="E472">
        <v>8140</v>
      </c>
      <c r="F472">
        <v>45.933334000000002</v>
      </c>
      <c r="G472">
        <v>21.4</v>
      </c>
      <c r="H472">
        <v>2.1464175999999999</v>
      </c>
      <c r="I472">
        <v>-1.1464175000000001</v>
      </c>
      <c r="J472">
        <v>0.31782177</v>
      </c>
    </row>
    <row r="473" spans="1:10" x14ac:dyDescent="0.3">
      <c r="A473">
        <v>471</v>
      </c>
      <c r="B473">
        <v>7527</v>
      </c>
      <c r="C473" t="b">
        <v>1</v>
      </c>
      <c r="D473">
        <v>8088</v>
      </c>
      <c r="E473">
        <v>8146</v>
      </c>
      <c r="F473">
        <v>45.933334000000002</v>
      </c>
      <c r="G473">
        <v>21.8</v>
      </c>
      <c r="H473">
        <v>2.1070337000000001</v>
      </c>
      <c r="I473">
        <v>-1.1070336999999999</v>
      </c>
      <c r="J473">
        <v>0.32185036</v>
      </c>
    </row>
    <row r="474" spans="1:10" x14ac:dyDescent="0.3">
      <c r="A474">
        <v>472</v>
      </c>
      <c r="B474">
        <v>7543</v>
      </c>
      <c r="C474" t="b">
        <v>1</v>
      </c>
      <c r="D474">
        <v>8088</v>
      </c>
      <c r="E474">
        <v>8134</v>
      </c>
      <c r="F474">
        <v>45.933334000000002</v>
      </c>
      <c r="G474">
        <v>22.2</v>
      </c>
      <c r="H474">
        <v>2.0690691000000001</v>
      </c>
      <c r="I474">
        <v>-1.069069</v>
      </c>
      <c r="J474">
        <v>0.3258317</v>
      </c>
    </row>
    <row r="475" spans="1:10" x14ac:dyDescent="0.3">
      <c r="A475">
        <v>473</v>
      </c>
      <c r="B475">
        <v>7559</v>
      </c>
      <c r="C475" t="b">
        <v>1</v>
      </c>
      <c r="D475">
        <v>8088</v>
      </c>
      <c r="E475">
        <v>8140</v>
      </c>
      <c r="F475">
        <v>45.933334000000002</v>
      </c>
      <c r="G475">
        <v>22.6</v>
      </c>
      <c r="H475">
        <v>2.0324483</v>
      </c>
      <c r="I475">
        <v>-1.0324484</v>
      </c>
      <c r="J475">
        <v>0.32976654</v>
      </c>
    </row>
    <row r="476" spans="1:10" x14ac:dyDescent="0.3">
      <c r="A476">
        <v>474</v>
      </c>
      <c r="B476">
        <v>7575</v>
      </c>
      <c r="C476" t="b">
        <v>1</v>
      </c>
      <c r="D476">
        <v>8077</v>
      </c>
      <c r="E476">
        <v>8140</v>
      </c>
      <c r="F476">
        <v>45.933334000000002</v>
      </c>
      <c r="G476">
        <v>23</v>
      </c>
      <c r="H476">
        <v>1.9971015000000001</v>
      </c>
      <c r="I476">
        <v>-0.99710149999999997</v>
      </c>
      <c r="J476">
        <v>0.33365570999999999</v>
      </c>
    </row>
    <row r="477" spans="1:10" x14ac:dyDescent="0.3">
      <c r="A477">
        <v>475</v>
      </c>
      <c r="B477">
        <v>7590</v>
      </c>
      <c r="C477" t="b">
        <v>1</v>
      </c>
      <c r="D477">
        <v>8071</v>
      </c>
      <c r="E477">
        <v>8140</v>
      </c>
      <c r="F477">
        <v>45.933334000000002</v>
      </c>
      <c r="G477">
        <v>23.4</v>
      </c>
      <c r="H477">
        <v>1.962963</v>
      </c>
      <c r="I477">
        <v>-0.96296303999999999</v>
      </c>
      <c r="J477">
        <v>0.33749997999999998</v>
      </c>
    </row>
    <row r="478" spans="1:10" x14ac:dyDescent="0.3">
      <c r="A478">
        <v>476</v>
      </c>
      <c r="B478">
        <v>7606</v>
      </c>
      <c r="C478" t="b">
        <v>1</v>
      </c>
      <c r="D478">
        <v>8077</v>
      </c>
      <c r="E478">
        <v>8140</v>
      </c>
      <c r="F478">
        <v>45.533332999999999</v>
      </c>
      <c r="G478">
        <v>23.8</v>
      </c>
      <c r="H478">
        <v>1.9131653</v>
      </c>
      <c r="I478">
        <v>-0.91316533</v>
      </c>
      <c r="J478">
        <v>0.34326926000000002</v>
      </c>
    </row>
    <row r="479" spans="1:10" x14ac:dyDescent="0.3">
      <c r="A479">
        <v>477</v>
      </c>
      <c r="B479">
        <v>7622</v>
      </c>
      <c r="C479" t="b">
        <v>1</v>
      </c>
      <c r="D479">
        <v>8077</v>
      </c>
      <c r="E479">
        <v>8140</v>
      </c>
      <c r="F479">
        <v>45.133335000000002</v>
      </c>
      <c r="G479">
        <v>24.2</v>
      </c>
      <c r="H479">
        <v>1.8650138000000001</v>
      </c>
      <c r="I479">
        <v>-0.86501380000000005</v>
      </c>
      <c r="J479">
        <v>0.34903845</v>
      </c>
    </row>
    <row r="480" spans="1:10" x14ac:dyDescent="0.3">
      <c r="A480">
        <v>478</v>
      </c>
      <c r="B480">
        <v>7638</v>
      </c>
      <c r="C480" t="b">
        <v>1</v>
      </c>
      <c r="D480">
        <v>8071</v>
      </c>
      <c r="E480">
        <v>8140</v>
      </c>
      <c r="F480">
        <v>45.133335000000002</v>
      </c>
      <c r="G480">
        <v>24.6</v>
      </c>
      <c r="H480">
        <v>1.8346884000000001</v>
      </c>
      <c r="I480">
        <v>-0.83468836999999996</v>
      </c>
      <c r="J480">
        <v>0.35277244000000002</v>
      </c>
    </row>
    <row r="481" spans="1:10" x14ac:dyDescent="0.3">
      <c r="A481">
        <v>479</v>
      </c>
      <c r="B481">
        <v>7654</v>
      </c>
      <c r="C481" t="b">
        <v>1</v>
      </c>
      <c r="D481">
        <v>8077</v>
      </c>
      <c r="E481">
        <v>8140</v>
      </c>
      <c r="F481">
        <v>44.733333999999999</v>
      </c>
      <c r="G481">
        <v>25</v>
      </c>
      <c r="H481">
        <v>1.7893333</v>
      </c>
      <c r="I481">
        <v>-0.78933333999999999</v>
      </c>
      <c r="J481">
        <v>0.35850860000000001</v>
      </c>
    </row>
    <row r="482" spans="1:10" x14ac:dyDescent="0.3">
      <c r="A482">
        <v>480</v>
      </c>
      <c r="B482">
        <v>7670</v>
      </c>
      <c r="C482" t="b">
        <v>1</v>
      </c>
      <c r="D482">
        <v>8083</v>
      </c>
      <c r="E482">
        <v>8140</v>
      </c>
      <c r="F482">
        <v>44.333331999999999</v>
      </c>
      <c r="G482">
        <v>25</v>
      </c>
      <c r="H482">
        <v>1.7733333</v>
      </c>
      <c r="I482">
        <v>-0.7733333</v>
      </c>
      <c r="J482">
        <v>0.36057696</v>
      </c>
    </row>
    <row r="483" spans="1:10" x14ac:dyDescent="0.3">
      <c r="A483">
        <v>481</v>
      </c>
      <c r="B483">
        <v>7685</v>
      </c>
      <c r="C483" t="b">
        <v>1</v>
      </c>
      <c r="D483">
        <v>8088</v>
      </c>
      <c r="E483">
        <v>8140</v>
      </c>
      <c r="F483">
        <v>43.6</v>
      </c>
      <c r="G483">
        <v>25</v>
      </c>
      <c r="H483">
        <v>1.744</v>
      </c>
      <c r="I483">
        <v>-0.74399996000000002</v>
      </c>
      <c r="J483">
        <v>0.36443150000000002</v>
      </c>
    </row>
    <row r="484" spans="1:10" x14ac:dyDescent="0.3">
      <c r="A484">
        <v>482</v>
      </c>
      <c r="B484">
        <v>7701</v>
      </c>
      <c r="C484" t="b">
        <v>1</v>
      </c>
      <c r="D484">
        <v>8083</v>
      </c>
      <c r="E484">
        <v>8134</v>
      </c>
      <c r="F484">
        <v>43.266666000000001</v>
      </c>
      <c r="G484">
        <v>25</v>
      </c>
      <c r="H484">
        <v>1.7306665999999999</v>
      </c>
      <c r="I484">
        <v>-0.73066664000000003</v>
      </c>
      <c r="J484">
        <v>0.36621097000000002</v>
      </c>
    </row>
    <row r="485" spans="1:10" x14ac:dyDescent="0.3">
      <c r="A485">
        <v>483</v>
      </c>
      <c r="B485">
        <v>7717</v>
      </c>
      <c r="C485" t="b">
        <v>1</v>
      </c>
      <c r="D485">
        <v>8083</v>
      </c>
      <c r="E485">
        <v>8129</v>
      </c>
      <c r="F485">
        <v>42.933334000000002</v>
      </c>
      <c r="G485">
        <v>25</v>
      </c>
      <c r="H485">
        <v>1.7173333</v>
      </c>
      <c r="I485">
        <v>-0.71733340000000001</v>
      </c>
      <c r="J485">
        <v>0.36800783999999997</v>
      </c>
    </row>
    <row r="486" spans="1:10" x14ac:dyDescent="0.3">
      <c r="A486">
        <v>484</v>
      </c>
      <c r="B486">
        <v>7733</v>
      </c>
      <c r="C486" t="b">
        <v>1</v>
      </c>
      <c r="D486">
        <v>8083</v>
      </c>
      <c r="E486">
        <v>8134</v>
      </c>
      <c r="F486">
        <v>42.6</v>
      </c>
      <c r="G486">
        <v>24.6</v>
      </c>
      <c r="H486">
        <v>1.7317072</v>
      </c>
      <c r="I486">
        <v>-0.7317072</v>
      </c>
      <c r="J486">
        <v>0.36607146000000002</v>
      </c>
    </row>
    <row r="487" spans="1:10" x14ac:dyDescent="0.3">
      <c r="A487">
        <v>485</v>
      </c>
      <c r="B487">
        <v>7749</v>
      </c>
      <c r="C487" t="b">
        <v>1</v>
      </c>
      <c r="D487">
        <v>8083</v>
      </c>
      <c r="E487">
        <v>8134</v>
      </c>
      <c r="F487">
        <v>42.266666000000001</v>
      </c>
      <c r="G487">
        <v>24.2</v>
      </c>
      <c r="H487">
        <v>1.7465564</v>
      </c>
      <c r="I487">
        <v>-0.74655640000000001</v>
      </c>
      <c r="J487">
        <v>0.36409229999999998</v>
      </c>
    </row>
    <row r="488" spans="1:10" x14ac:dyDescent="0.3">
      <c r="A488">
        <v>486</v>
      </c>
      <c r="B488">
        <v>7765</v>
      </c>
      <c r="C488" t="b">
        <v>1</v>
      </c>
      <c r="D488">
        <v>8083</v>
      </c>
      <c r="E488">
        <v>8134</v>
      </c>
      <c r="F488">
        <v>41.933334000000002</v>
      </c>
      <c r="G488">
        <v>23.8</v>
      </c>
      <c r="H488">
        <v>1.7619047999999999</v>
      </c>
      <c r="I488">
        <v>-0.76190484000000003</v>
      </c>
      <c r="J488">
        <v>0.36206892000000002</v>
      </c>
    </row>
    <row r="489" spans="1:10" x14ac:dyDescent="0.3">
      <c r="A489">
        <v>487</v>
      </c>
      <c r="B489">
        <v>7781</v>
      </c>
      <c r="C489" t="b">
        <v>1</v>
      </c>
      <c r="D489">
        <v>8083</v>
      </c>
      <c r="E489">
        <v>8129</v>
      </c>
      <c r="F489">
        <v>41.6</v>
      </c>
      <c r="G489">
        <v>23.4</v>
      </c>
      <c r="H489">
        <v>1.7777778</v>
      </c>
      <c r="I489">
        <v>-0.77777772999999994</v>
      </c>
      <c r="J489">
        <v>0.35999998</v>
      </c>
    </row>
    <row r="490" spans="1:10" x14ac:dyDescent="0.3">
      <c r="A490">
        <v>488</v>
      </c>
      <c r="B490">
        <v>7796</v>
      </c>
      <c r="C490" t="b">
        <v>1</v>
      </c>
      <c r="D490">
        <v>8088</v>
      </c>
      <c r="E490">
        <v>8134</v>
      </c>
      <c r="F490">
        <v>41.266666000000001</v>
      </c>
      <c r="G490">
        <v>23</v>
      </c>
      <c r="H490">
        <v>1.7942028999999999</v>
      </c>
      <c r="I490">
        <v>-0.79420285999999995</v>
      </c>
      <c r="J490">
        <v>0.35788384000000001</v>
      </c>
    </row>
    <row r="491" spans="1:10" x14ac:dyDescent="0.3">
      <c r="A491">
        <v>489</v>
      </c>
      <c r="B491">
        <v>7812</v>
      </c>
      <c r="C491" t="b">
        <v>1</v>
      </c>
      <c r="D491">
        <v>8077</v>
      </c>
      <c r="E491">
        <v>8140</v>
      </c>
      <c r="F491">
        <v>40.933334000000002</v>
      </c>
      <c r="G491">
        <v>22.6</v>
      </c>
      <c r="H491">
        <v>1.8112094000000001</v>
      </c>
      <c r="I491">
        <v>-0.81120943999999995</v>
      </c>
      <c r="J491">
        <v>0.3557188</v>
      </c>
    </row>
    <row r="492" spans="1:10" x14ac:dyDescent="0.3">
      <c r="A492">
        <v>490</v>
      </c>
      <c r="B492">
        <v>7828</v>
      </c>
      <c r="C492" t="b">
        <v>1</v>
      </c>
      <c r="D492">
        <v>8083</v>
      </c>
      <c r="E492">
        <v>8134</v>
      </c>
      <c r="F492">
        <v>40.6</v>
      </c>
      <c r="G492">
        <v>22.2</v>
      </c>
      <c r="H492">
        <v>1.8288287000000001</v>
      </c>
      <c r="I492">
        <v>-0.82882869999999997</v>
      </c>
      <c r="J492">
        <v>0.35350320000000002</v>
      </c>
    </row>
    <row r="493" spans="1:10" x14ac:dyDescent="0.3">
      <c r="A493">
        <v>491</v>
      </c>
      <c r="B493">
        <v>7844</v>
      </c>
      <c r="C493" t="b">
        <v>1</v>
      </c>
      <c r="D493">
        <v>8083</v>
      </c>
      <c r="E493">
        <v>8140</v>
      </c>
      <c r="F493">
        <v>41</v>
      </c>
      <c r="G493">
        <v>21.8</v>
      </c>
      <c r="H493">
        <v>1.8807339999999999</v>
      </c>
      <c r="I493">
        <v>-0.88073400000000002</v>
      </c>
      <c r="J493">
        <v>0.34713376000000001</v>
      </c>
    </row>
    <row r="494" spans="1:10" x14ac:dyDescent="0.3">
      <c r="A494">
        <v>492</v>
      </c>
      <c r="B494">
        <v>7860</v>
      </c>
      <c r="C494" t="b">
        <v>1</v>
      </c>
      <c r="D494">
        <v>8088</v>
      </c>
      <c r="E494">
        <v>8134</v>
      </c>
      <c r="F494">
        <v>41.4</v>
      </c>
      <c r="G494">
        <v>21.4</v>
      </c>
      <c r="H494">
        <v>1.9345794999999999</v>
      </c>
      <c r="I494">
        <v>-0.93457955000000004</v>
      </c>
      <c r="J494">
        <v>0.34076430000000002</v>
      </c>
    </row>
    <row r="495" spans="1:10" x14ac:dyDescent="0.3">
      <c r="A495">
        <v>493</v>
      </c>
      <c r="B495">
        <v>7875</v>
      </c>
      <c r="C495" t="b">
        <v>1</v>
      </c>
      <c r="D495">
        <v>8083</v>
      </c>
      <c r="E495">
        <v>8140</v>
      </c>
      <c r="F495">
        <v>41.8</v>
      </c>
      <c r="G495">
        <v>21.4</v>
      </c>
      <c r="H495">
        <v>1.953271</v>
      </c>
      <c r="I495">
        <v>-0.95327103000000002</v>
      </c>
      <c r="J495">
        <v>0.33860760000000001</v>
      </c>
    </row>
    <row r="496" spans="1:10" x14ac:dyDescent="0.3">
      <c r="A496">
        <v>494</v>
      </c>
      <c r="B496">
        <v>7891</v>
      </c>
      <c r="C496" t="b">
        <v>1</v>
      </c>
      <c r="D496">
        <v>8083</v>
      </c>
      <c r="E496">
        <v>8140</v>
      </c>
      <c r="F496">
        <v>42.2</v>
      </c>
      <c r="G496">
        <v>21.4</v>
      </c>
      <c r="H496">
        <v>1.9719627</v>
      </c>
      <c r="I496">
        <v>-0.97196269999999996</v>
      </c>
      <c r="J496">
        <v>0.336478</v>
      </c>
    </row>
    <row r="497" spans="1:10" x14ac:dyDescent="0.3">
      <c r="A497">
        <v>495</v>
      </c>
      <c r="B497">
        <v>7907</v>
      </c>
      <c r="C497" t="b">
        <v>1</v>
      </c>
      <c r="D497">
        <v>8088</v>
      </c>
      <c r="E497">
        <v>8134</v>
      </c>
      <c r="F497">
        <v>42.6</v>
      </c>
      <c r="G497">
        <v>21.4</v>
      </c>
      <c r="H497">
        <v>1.9906541</v>
      </c>
      <c r="I497">
        <v>-0.99065420000000004</v>
      </c>
      <c r="J497">
        <v>0.33437499999999998</v>
      </c>
    </row>
    <row r="498" spans="1:10" x14ac:dyDescent="0.3">
      <c r="A498">
        <v>496</v>
      </c>
      <c r="B498">
        <v>7923</v>
      </c>
      <c r="C498" t="b">
        <v>1</v>
      </c>
      <c r="D498">
        <v>8083</v>
      </c>
      <c r="E498">
        <v>8134</v>
      </c>
      <c r="F498">
        <v>43</v>
      </c>
      <c r="G498">
        <v>21</v>
      </c>
      <c r="H498">
        <v>2.0476190000000001</v>
      </c>
      <c r="I498">
        <v>-1.0476190999999999</v>
      </c>
      <c r="J498">
        <v>0.328125</v>
      </c>
    </row>
    <row r="499" spans="1:10" x14ac:dyDescent="0.3">
      <c r="A499">
        <v>497</v>
      </c>
      <c r="B499">
        <v>7939</v>
      </c>
      <c r="C499" t="b">
        <v>1</v>
      </c>
      <c r="D499">
        <v>8088</v>
      </c>
      <c r="E499">
        <v>8134</v>
      </c>
      <c r="F499">
        <v>43</v>
      </c>
      <c r="G499">
        <v>20.6</v>
      </c>
      <c r="H499">
        <v>2.0873784999999998</v>
      </c>
      <c r="I499">
        <v>-1.0873786000000001</v>
      </c>
      <c r="J499">
        <v>0.3238994</v>
      </c>
    </row>
    <row r="500" spans="1:10" x14ac:dyDescent="0.3">
      <c r="A500">
        <v>498</v>
      </c>
      <c r="B500">
        <v>7955</v>
      </c>
      <c r="C500" t="b">
        <v>1</v>
      </c>
      <c r="D500">
        <v>8083</v>
      </c>
      <c r="E500">
        <v>8134</v>
      </c>
      <c r="F500">
        <v>43</v>
      </c>
      <c r="G500">
        <v>20.2</v>
      </c>
      <c r="H500">
        <v>2.1287129999999999</v>
      </c>
      <c r="I500">
        <v>-1.1287128</v>
      </c>
      <c r="J500">
        <v>0.31962024999999999</v>
      </c>
    </row>
    <row r="501" spans="1:10" x14ac:dyDescent="0.3">
      <c r="A501">
        <v>499</v>
      </c>
      <c r="B501">
        <v>7971</v>
      </c>
      <c r="C501" t="b">
        <v>1</v>
      </c>
      <c r="D501">
        <v>8071</v>
      </c>
      <c r="E501">
        <v>8134</v>
      </c>
      <c r="F501">
        <v>43</v>
      </c>
      <c r="G501">
        <v>20.2</v>
      </c>
      <c r="H501">
        <v>2.1287129999999999</v>
      </c>
      <c r="I501">
        <v>-1.1287128</v>
      </c>
      <c r="J501">
        <v>0.31962024999999999</v>
      </c>
    </row>
    <row r="502" spans="1:10" x14ac:dyDescent="0.3">
      <c r="A502">
        <v>500</v>
      </c>
      <c r="B502">
        <v>7987</v>
      </c>
      <c r="C502" t="b">
        <v>1</v>
      </c>
      <c r="D502">
        <v>8083</v>
      </c>
      <c r="E502">
        <v>8134</v>
      </c>
      <c r="F502">
        <v>43</v>
      </c>
      <c r="G502">
        <v>20.2</v>
      </c>
      <c r="H502">
        <v>2.1287129999999999</v>
      </c>
      <c r="I502">
        <v>-1.1287128</v>
      </c>
      <c r="J502">
        <v>0.31962024999999999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F203-26C2-42EF-A2A9-2F7C60CEE08A}">
  <dimension ref="A1:J502"/>
  <sheetViews>
    <sheetView topLeftCell="A47" workbookViewId="0"/>
  </sheetViews>
  <sheetFormatPr defaultRowHeight="14.4" x14ac:dyDescent="0.3"/>
  <cols>
    <col min="1" max="1" width="7.88671875" bestFit="1" customWidth="1"/>
    <col min="2" max="2" width="15.88671875" bestFit="1" customWidth="1"/>
    <col min="3" max="3" width="11.109375" bestFit="1" customWidth="1"/>
    <col min="4" max="4" width="9.77734375" bestFit="1" customWidth="1"/>
    <col min="5" max="5" width="10.109375" bestFit="1" customWidth="1"/>
    <col min="6" max="6" width="10.44140625" bestFit="1" customWidth="1"/>
    <col min="7" max="7" width="10" bestFit="1" customWidth="1"/>
    <col min="8" max="8" width="11" bestFit="1" customWidth="1"/>
    <col min="9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 t="b">
        <v>1</v>
      </c>
      <c r="D2">
        <v>8042</v>
      </c>
      <c r="E2">
        <v>8134</v>
      </c>
      <c r="F2">
        <v>2</v>
      </c>
      <c r="G2">
        <v>19</v>
      </c>
      <c r="H2">
        <v>0.10526315999999999</v>
      </c>
      <c r="I2">
        <v>0.8947368</v>
      </c>
      <c r="J2">
        <v>0.90476190000000001</v>
      </c>
    </row>
    <row r="3" spans="1:10" x14ac:dyDescent="0.3">
      <c r="A3">
        <v>1</v>
      </c>
      <c r="B3">
        <v>25</v>
      </c>
      <c r="C3" t="b">
        <v>1</v>
      </c>
      <c r="D3">
        <v>8048</v>
      </c>
      <c r="E3">
        <v>8129</v>
      </c>
      <c r="F3">
        <v>5</v>
      </c>
      <c r="G3">
        <v>19</v>
      </c>
      <c r="H3">
        <v>0.2631579</v>
      </c>
      <c r="I3">
        <v>0.73684210000000006</v>
      </c>
      <c r="J3">
        <v>0.79166669999999995</v>
      </c>
    </row>
    <row r="4" spans="1:10" x14ac:dyDescent="0.3">
      <c r="A4">
        <v>2</v>
      </c>
      <c r="B4">
        <v>41</v>
      </c>
      <c r="C4" t="b">
        <v>1</v>
      </c>
      <c r="D4">
        <v>8042</v>
      </c>
      <c r="E4">
        <v>8123</v>
      </c>
      <c r="F4">
        <v>4</v>
      </c>
      <c r="G4">
        <v>17.333334000000001</v>
      </c>
      <c r="H4">
        <v>0.23076922</v>
      </c>
      <c r="I4">
        <v>0.76923079999999999</v>
      </c>
      <c r="J4">
        <v>0.8125</v>
      </c>
    </row>
    <row r="5" spans="1:10" x14ac:dyDescent="0.3">
      <c r="A5">
        <v>3</v>
      </c>
      <c r="B5">
        <v>57</v>
      </c>
      <c r="C5" t="b">
        <v>1</v>
      </c>
      <c r="D5">
        <v>8048</v>
      </c>
      <c r="E5">
        <v>8123</v>
      </c>
      <c r="F5">
        <v>5</v>
      </c>
      <c r="G5">
        <v>16.5</v>
      </c>
      <c r="H5">
        <v>0.30303029999999997</v>
      </c>
      <c r="I5">
        <v>0.69696970000000003</v>
      </c>
      <c r="J5">
        <v>0.76744186999999997</v>
      </c>
    </row>
    <row r="6" spans="1:10" x14ac:dyDescent="0.3">
      <c r="A6">
        <v>4</v>
      </c>
      <c r="B6">
        <v>73</v>
      </c>
      <c r="C6" t="b">
        <v>1</v>
      </c>
      <c r="D6">
        <v>8042</v>
      </c>
      <c r="E6">
        <v>8123</v>
      </c>
      <c r="F6">
        <v>4.4000000000000004</v>
      </c>
      <c r="G6">
        <v>14.8</v>
      </c>
      <c r="H6">
        <v>0.29729729999999999</v>
      </c>
      <c r="I6">
        <v>0.70270264000000005</v>
      </c>
      <c r="J6">
        <v>0.77083330000000005</v>
      </c>
    </row>
    <row r="7" spans="1:10" x14ac:dyDescent="0.3">
      <c r="A7">
        <v>5</v>
      </c>
      <c r="B7">
        <v>89</v>
      </c>
      <c r="C7" t="b">
        <v>1</v>
      </c>
      <c r="D7">
        <v>8042</v>
      </c>
      <c r="E7">
        <v>8123</v>
      </c>
      <c r="F7">
        <v>4</v>
      </c>
      <c r="G7">
        <v>13.666667</v>
      </c>
      <c r="H7">
        <v>0.29268292000000001</v>
      </c>
      <c r="I7">
        <v>0.70731705</v>
      </c>
      <c r="J7">
        <v>0.77358484000000005</v>
      </c>
    </row>
    <row r="8" spans="1:10" x14ac:dyDescent="0.3">
      <c r="A8">
        <v>6</v>
      </c>
      <c r="B8">
        <v>105</v>
      </c>
      <c r="C8" t="b">
        <v>1</v>
      </c>
      <c r="D8">
        <v>8042</v>
      </c>
      <c r="E8">
        <v>8123</v>
      </c>
      <c r="F8">
        <v>3.7142856000000002</v>
      </c>
      <c r="G8">
        <v>12.857142</v>
      </c>
      <c r="H8">
        <v>0.2888889</v>
      </c>
      <c r="I8">
        <v>0.71111106999999996</v>
      </c>
      <c r="J8">
        <v>0.77586204000000003</v>
      </c>
    </row>
    <row r="9" spans="1:10" x14ac:dyDescent="0.3">
      <c r="A9">
        <v>7</v>
      </c>
      <c r="B9">
        <v>120</v>
      </c>
      <c r="C9" t="b">
        <v>1</v>
      </c>
      <c r="D9">
        <v>8048</v>
      </c>
      <c r="E9">
        <v>8123</v>
      </c>
      <c r="F9">
        <v>3.5</v>
      </c>
      <c r="G9">
        <v>12.25</v>
      </c>
      <c r="H9">
        <v>0.28571429999999998</v>
      </c>
      <c r="I9">
        <v>0.71428572999999995</v>
      </c>
      <c r="J9">
        <v>0.77777779999999996</v>
      </c>
    </row>
    <row r="10" spans="1:10" x14ac:dyDescent="0.3">
      <c r="A10">
        <v>8</v>
      </c>
      <c r="B10">
        <v>136</v>
      </c>
      <c r="C10" t="b">
        <v>1</v>
      </c>
      <c r="D10">
        <v>8048</v>
      </c>
      <c r="E10">
        <v>8123</v>
      </c>
      <c r="F10">
        <v>3.3333333000000001</v>
      </c>
      <c r="G10">
        <v>11.777778</v>
      </c>
      <c r="H10">
        <v>0.28301885999999998</v>
      </c>
      <c r="I10">
        <v>0.71698119999999999</v>
      </c>
      <c r="J10">
        <v>0.77941179999999999</v>
      </c>
    </row>
    <row r="11" spans="1:10" x14ac:dyDescent="0.3">
      <c r="A11">
        <v>9</v>
      </c>
      <c r="B11">
        <v>152</v>
      </c>
      <c r="C11" t="b">
        <v>1</v>
      </c>
      <c r="D11">
        <v>8042</v>
      </c>
      <c r="E11">
        <v>8134</v>
      </c>
      <c r="F11">
        <v>3.2</v>
      </c>
      <c r="G11">
        <v>11.4</v>
      </c>
      <c r="H11">
        <v>0.28070176000000002</v>
      </c>
      <c r="I11">
        <v>0.71929823999999998</v>
      </c>
      <c r="J11">
        <v>0.78082189999999996</v>
      </c>
    </row>
    <row r="12" spans="1:10" x14ac:dyDescent="0.3">
      <c r="A12">
        <v>10</v>
      </c>
      <c r="B12">
        <v>168</v>
      </c>
      <c r="C12" t="b">
        <v>1</v>
      </c>
      <c r="D12">
        <v>8042</v>
      </c>
      <c r="E12">
        <v>8129</v>
      </c>
      <c r="F12">
        <v>3.0909089999999999</v>
      </c>
      <c r="G12">
        <v>11.090909</v>
      </c>
      <c r="H12">
        <v>0.27868852</v>
      </c>
      <c r="I12">
        <v>0.72131149999999999</v>
      </c>
      <c r="J12">
        <v>0.78205126999999997</v>
      </c>
    </row>
    <row r="13" spans="1:10" x14ac:dyDescent="0.3">
      <c r="A13">
        <v>11</v>
      </c>
      <c r="B13">
        <v>183</v>
      </c>
      <c r="C13" t="b">
        <v>1</v>
      </c>
      <c r="D13">
        <v>8048</v>
      </c>
      <c r="E13">
        <v>8123</v>
      </c>
      <c r="F13">
        <v>3.5</v>
      </c>
      <c r="G13">
        <v>10.833333</v>
      </c>
      <c r="H13">
        <v>0.32307692999999998</v>
      </c>
      <c r="I13">
        <v>0.6769231</v>
      </c>
      <c r="J13">
        <v>0.75581396000000001</v>
      </c>
    </row>
    <row r="14" spans="1:10" x14ac:dyDescent="0.3">
      <c r="A14">
        <v>12</v>
      </c>
      <c r="B14">
        <v>199</v>
      </c>
      <c r="C14" t="b">
        <v>1</v>
      </c>
      <c r="D14">
        <v>8048</v>
      </c>
      <c r="E14">
        <v>8123</v>
      </c>
      <c r="F14">
        <v>3.8461536999999999</v>
      </c>
      <c r="G14">
        <v>10.615385</v>
      </c>
      <c r="H14">
        <v>0.3623188</v>
      </c>
      <c r="I14">
        <v>0.63768119999999995</v>
      </c>
      <c r="J14">
        <v>0.73404259999999999</v>
      </c>
    </row>
    <row r="15" spans="1:10" x14ac:dyDescent="0.3">
      <c r="A15">
        <v>13</v>
      </c>
      <c r="B15">
        <v>215</v>
      </c>
      <c r="C15" t="b">
        <v>1</v>
      </c>
      <c r="D15">
        <v>8048</v>
      </c>
      <c r="E15">
        <v>8129</v>
      </c>
      <c r="F15">
        <v>4.1428570000000002</v>
      </c>
      <c r="G15">
        <v>10.857142</v>
      </c>
      <c r="H15">
        <v>0.38157894999999997</v>
      </c>
      <c r="I15">
        <v>0.618421</v>
      </c>
      <c r="J15">
        <v>0.72380949999999999</v>
      </c>
    </row>
    <row r="16" spans="1:10" x14ac:dyDescent="0.3">
      <c r="A16">
        <v>14</v>
      </c>
      <c r="B16">
        <v>231</v>
      </c>
      <c r="C16" t="b">
        <v>1</v>
      </c>
      <c r="D16">
        <v>8042</v>
      </c>
      <c r="E16">
        <v>8134</v>
      </c>
      <c r="F16">
        <v>4.4000000000000004</v>
      </c>
      <c r="G16">
        <v>11.066667000000001</v>
      </c>
      <c r="H16">
        <v>0.39759037000000003</v>
      </c>
      <c r="I16">
        <v>0.60240959999999999</v>
      </c>
      <c r="J16">
        <v>0.71551719999999996</v>
      </c>
    </row>
    <row r="17" spans="1:10" x14ac:dyDescent="0.3">
      <c r="A17">
        <v>15</v>
      </c>
      <c r="B17">
        <v>247</v>
      </c>
      <c r="C17" t="b">
        <v>1</v>
      </c>
      <c r="D17">
        <v>8042</v>
      </c>
      <c r="E17">
        <v>8129</v>
      </c>
      <c r="F17">
        <v>4.8</v>
      </c>
      <c r="G17">
        <v>10.733333999999999</v>
      </c>
      <c r="H17">
        <v>0.44720497999999997</v>
      </c>
      <c r="I17">
        <v>0.55279504999999995</v>
      </c>
      <c r="J17">
        <v>0.69098709999999997</v>
      </c>
    </row>
    <row r="18" spans="1:10" x14ac:dyDescent="0.3">
      <c r="A18">
        <v>16</v>
      </c>
      <c r="B18">
        <v>263</v>
      </c>
      <c r="C18" t="b">
        <v>1</v>
      </c>
      <c r="D18">
        <v>8042</v>
      </c>
      <c r="E18">
        <v>8123</v>
      </c>
      <c r="F18">
        <v>4.4000000000000004</v>
      </c>
      <c r="G18">
        <v>10.4</v>
      </c>
      <c r="H18">
        <v>0.42307696</v>
      </c>
      <c r="I18">
        <v>0.57692310000000002</v>
      </c>
      <c r="J18">
        <v>0.70270270000000001</v>
      </c>
    </row>
    <row r="19" spans="1:10" x14ac:dyDescent="0.3">
      <c r="A19">
        <v>17</v>
      </c>
      <c r="B19">
        <v>279</v>
      </c>
      <c r="C19" t="b">
        <v>1</v>
      </c>
      <c r="D19">
        <v>8048</v>
      </c>
      <c r="E19">
        <v>8134</v>
      </c>
      <c r="F19">
        <v>4.4000000000000004</v>
      </c>
      <c r="G19">
        <v>10.4</v>
      </c>
      <c r="H19">
        <v>0.42307696</v>
      </c>
      <c r="I19">
        <v>0.57692310000000002</v>
      </c>
      <c r="J19">
        <v>0.70270270000000001</v>
      </c>
    </row>
    <row r="20" spans="1:10" x14ac:dyDescent="0.3">
      <c r="A20">
        <v>18</v>
      </c>
      <c r="B20">
        <v>295</v>
      </c>
      <c r="C20" t="b">
        <v>1</v>
      </c>
      <c r="D20">
        <v>8042</v>
      </c>
      <c r="E20">
        <v>8129</v>
      </c>
      <c r="F20">
        <v>4</v>
      </c>
      <c r="G20">
        <v>10.4</v>
      </c>
      <c r="H20">
        <v>0.3846154</v>
      </c>
      <c r="I20">
        <v>0.61538459999999995</v>
      </c>
      <c r="J20">
        <v>0.72222220000000004</v>
      </c>
    </row>
    <row r="21" spans="1:10" x14ac:dyDescent="0.3">
      <c r="A21">
        <v>19</v>
      </c>
      <c r="B21">
        <v>311</v>
      </c>
      <c r="C21" t="b">
        <v>1</v>
      </c>
      <c r="D21">
        <v>8042</v>
      </c>
      <c r="E21">
        <v>8129</v>
      </c>
      <c r="F21">
        <v>4</v>
      </c>
      <c r="G21">
        <v>10.8</v>
      </c>
      <c r="H21">
        <v>0.37037036000000001</v>
      </c>
      <c r="I21">
        <v>0.62962960000000001</v>
      </c>
      <c r="J21">
        <v>0.72972970000000004</v>
      </c>
    </row>
    <row r="22" spans="1:10" x14ac:dyDescent="0.3">
      <c r="A22">
        <v>20</v>
      </c>
      <c r="B22">
        <v>327</v>
      </c>
      <c r="C22" t="b">
        <v>1</v>
      </c>
      <c r="D22">
        <v>8048</v>
      </c>
      <c r="E22">
        <v>8123</v>
      </c>
      <c r="F22">
        <v>4</v>
      </c>
      <c r="G22">
        <v>11.2</v>
      </c>
      <c r="H22">
        <v>0.35714287</v>
      </c>
      <c r="I22">
        <v>0.64285713</v>
      </c>
      <c r="J22">
        <v>0.73684210000000006</v>
      </c>
    </row>
    <row r="23" spans="1:10" x14ac:dyDescent="0.3">
      <c r="A23">
        <v>21</v>
      </c>
      <c r="B23">
        <v>342</v>
      </c>
      <c r="C23" t="b">
        <v>1</v>
      </c>
      <c r="D23">
        <v>8048</v>
      </c>
      <c r="E23">
        <v>8123</v>
      </c>
      <c r="F23">
        <v>4.4000000000000004</v>
      </c>
      <c r="G23">
        <v>11.6</v>
      </c>
      <c r="H23">
        <v>0.37931034000000002</v>
      </c>
      <c r="I23">
        <v>0.62068962999999999</v>
      </c>
      <c r="J23">
        <v>0.72499999999999998</v>
      </c>
    </row>
    <row r="24" spans="1:10" x14ac:dyDescent="0.3">
      <c r="A24">
        <v>22</v>
      </c>
      <c r="B24">
        <v>359</v>
      </c>
      <c r="C24" t="b">
        <v>1</v>
      </c>
      <c r="D24">
        <v>8048</v>
      </c>
      <c r="E24">
        <v>8123</v>
      </c>
      <c r="F24">
        <v>4.8</v>
      </c>
      <c r="G24">
        <v>11.6</v>
      </c>
      <c r="H24">
        <v>0.41379312000000001</v>
      </c>
      <c r="I24">
        <v>0.58620689999999998</v>
      </c>
      <c r="J24">
        <v>0.70731705</v>
      </c>
    </row>
    <row r="25" spans="1:10" x14ac:dyDescent="0.3">
      <c r="A25">
        <v>23</v>
      </c>
      <c r="B25">
        <v>374</v>
      </c>
      <c r="C25" t="b">
        <v>1</v>
      </c>
      <c r="D25">
        <v>8048</v>
      </c>
      <c r="E25">
        <v>8123</v>
      </c>
      <c r="F25">
        <v>5.2</v>
      </c>
      <c r="G25">
        <v>11.6</v>
      </c>
      <c r="H25">
        <v>0.44827582999999999</v>
      </c>
      <c r="I25">
        <v>0.5517242</v>
      </c>
      <c r="J25">
        <v>0.69047623999999996</v>
      </c>
    </row>
    <row r="26" spans="1:10" x14ac:dyDescent="0.3">
      <c r="A26">
        <v>24</v>
      </c>
      <c r="B26">
        <v>390</v>
      </c>
      <c r="C26" t="b">
        <v>1</v>
      </c>
      <c r="D26">
        <v>8042</v>
      </c>
      <c r="E26">
        <v>8129</v>
      </c>
      <c r="F26">
        <v>5.6</v>
      </c>
      <c r="G26">
        <v>11.6</v>
      </c>
      <c r="H26">
        <v>0.48275859999999998</v>
      </c>
      <c r="I26">
        <v>0.51724139999999996</v>
      </c>
      <c r="J26">
        <v>0.67441857000000005</v>
      </c>
    </row>
    <row r="27" spans="1:10" x14ac:dyDescent="0.3">
      <c r="A27">
        <v>25</v>
      </c>
      <c r="B27">
        <v>406</v>
      </c>
      <c r="C27" t="b">
        <v>1</v>
      </c>
      <c r="D27">
        <v>8048</v>
      </c>
      <c r="E27">
        <v>8123</v>
      </c>
      <c r="F27">
        <v>6</v>
      </c>
      <c r="G27">
        <v>11.6</v>
      </c>
      <c r="H27">
        <v>0.51724135999999998</v>
      </c>
      <c r="I27">
        <v>0.48275864000000002</v>
      </c>
      <c r="J27">
        <v>0.65909094000000001</v>
      </c>
    </row>
    <row r="28" spans="1:10" x14ac:dyDescent="0.3">
      <c r="A28">
        <v>26</v>
      </c>
      <c r="B28">
        <v>422</v>
      </c>
      <c r="C28" t="b">
        <v>1</v>
      </c>
      <c r="D28">
        <v>8048</v>
      </c>
      <c r="E28">
        <v>8123</v>
      </c>
      <c r="F28">
        <v>6</v>
      </c>
      <c r="G28">
        <v>11.6</v>
      </c>
      <c r="H28">
        <v>0.51724135999999998</v>
      </c>
      <c r="I28">
        <v>0.48275864000000002</v>
      </c>
      <c r="J28">
        <v>0.65909094000000001</v>
      </c>
    </row>
    <row r="29" spans="1:10" x14ac:dyDescent="0.3">
      <c r="A29">
        <v>27</v>
      </c>
      <c r="B29">
        <v>438</v>
      </c>
      <c r="C29" t="b">
        <v>1</v>
      </c>
      <c r="D29">
        <v>8048</v>
      </c>
      <c r="E29">
        <v>8129</v>
      </c>
      <c r="F29">
        <v>6</v>
      </c>
      <c r="G29">
        <v>11.6</v>
      </c>
      <c r="H29">
        <v>0.51724135999999998</v>
      </c>
      <c r="I29">
        <v>0.48275864000000002</v>
      </c>
      <c r="J29">
        <v>0.65909094000000001</v>
      </c>
    </row>
    <row r="30" spans="1:10" x14ac:dyDescent="0.3">
      <c r="A30">
        <v>28</v>
      </c>
      <c r="B30">
        <v>454</v>
      </c>
      <c r="C30" t="b">
        <v>1</v>
      </c>
      <c r="D30">
        <v>8048</v>
      </c>
      <c r="E30">
        <v>8123</v>
      </c>
      <c r="F30">
        <v>6</v>
      </c>
      <c r="G30">
        <v>11.2</v>
      </c>
      <c r="H30">
        <v>0.53571427000000005</v>
      </c>
      <c r="I30">
        <v>0.46428570000000002</v>
      </c>
      <c r="J30">
        <v>0.65116273999999996</v>
      </c>
    </row>
    <row r="31" spans="1:10" x14ac:dyDescent="0.3">
      <c r="A31">
        <v>29</v>
      </c>
      <c r="B31">
        <v>469</v>
      </c>
      <c r="C31" t="b">
        <v>1</v>
      </c>
      <c r="D31">
        <v>8048</v>
      </c>
      <c r="E31">
        <v>8123</v>
      </c>
      <c r="F31">
        <v>6</v>
      </c>
      <c r="G31">
        <v>10.8</v>
      </c>
      <c r="H31">
        <v>0.55555549999999998</v>
      </c>
      <c r="I31">
        <v>0.44444444999999999</v>
      </c>
      <c r="J31">
        <v>0.64285720000000002</v>
      </c>
    </row>
    <row r="32" spans="1:10" x14ac:dyDescent="0.3">
      <c r="A32">
        <v>30</v>
      </c>
      <c r="B32">
        <v>485</v>
      </c>
      <c r="C32" t="b">
        <v>1</v>
      </c>
      <c r="D32">
        <v>8048</v>
      </c>
      <c r="E32">
        <v>8123</v>
      </c>
      <c r="F32">
        <v>6</v>
      </c>
      <c r="G32">
        <v>10.4</v>
      </c>
      <c r="H32">
        <v>0.57692310000000002</v>
      </c>
      <c r="I32">
        <v>0.42307689999999998</v>
      </c>
      <c r="J32">
        <v>0.63414632999999998</v>
      </c>
    </row>
    <row r="33" spans="1:10" x14ac:dyDescent="0.3">
      <c r="A33">
        <v>31</v>
      </c>
      <c r="B33">
        <v>501</v>
      </c>
      <c r="C33" t="b">
        <v>1</v>
      </c>
      <c r="D33">
        <v>8042</v>
      </c>
      <c r="E33">
        <v>8123</v>
      </c>
      <c r="F33">
        <v>6.4</v>
      </c>
      <c r="G33">
        <v>10</v>
      </c>
      <c r="H33">
        <v>0.64</v>
      </c>
      <c r="I33">
        <v>0.35999998</v>
      </c>
      <c r="J33">
        <v>0.60975610000000002</v>
      </c>
    </row>
    <row r="34" spans="1:10" x14ac:dyDescent="0.3">
      <c r="A34">
        <v>32</v>
      </c>
      <c r="B34">
        <v>517</v>
      </c>
      <c r="C34" t="b">
        <v>1</v>
      </c>
      <c r="D34">
        <v>8048</v>
      </c>
      <c r="E34">
        <v>8129</v>
      </c>
      <c r="F34">
        <v>6.8</v>
      </c>
      <c r="G34">
        <v>9.6</v>
      </c>
      <c r="H34">
        <v>0.70833330000000005</v>
      </c>
      <c r="I34">
        <v>0.2916667</v>
      </c>
      <c r="J34">
        <v>0.58536582999999998</v>
      </c>
    </row>
    <row r="35" spans="1:10" x14ac:dyDescent="0.3">
      <c r="A35">
        <v>33</v>
      </c>
      <c r="B35">
        <v>533</v>
      </c>
      <c r="C35" t="b">
        <v>1</v>
      </c>
      <c r="D35">
        <v>8048</v>
      </c>
      <c r="E35">
        <v>8134</v>
      </c>
      <c r="F35">
        <v>7.2</v>
      </c>
      <c r="G35">
        <v>9.1999999999999993</v>
      </c>
      <c r="H35">
        <v>0.78260870000000005</v>
      </c>
      <c r="I35">
        <v>0.21739131</v>
      </c>
      <c r="J35">
        <v>0.56097560000000002</v>
      </c>
    </row>
    <row r="36" spans="1:10" x14ac:dyDescent="0.3">
      <c r="A36">
        <v>34</v>
      </c>
      <c r="B36">
        <v>549</v>
      </c>
      <c r="C36" t="b">
        <v>1</v>
      </c>
      <c r="D36">
        <v>8042</v>
      </c>
      <c r="E36">
        <v>8129</v>
      </c>
      <c r="F36">
        <v>7.6</v>
      </c>
      <c r="G36">
        <v>9.1999999999999993</v>
      </c>
      <c r="H36">
        <v>0.82608694000000005</v>
      </c>
      <c r="I36">
        <v>0.17391303</v>
      </c>
      <c r="J36">
        <v>0.54761903999999995</v>
      </c>
    </row>
    <row r="37" spans="1:10" x14ac:dyDescent="0.3">
      <c r="A37">
        <v>35</v>
      </c>
      <c r="B37">
        <v>565</v>
      </c>
      <c r="C37" t="b">
        <v>1</v>
      </c>
      <c r="D37">
        <v>8048</v>
      </c>
      <c r="E37">
        <v>8129</v>
      </c>
      <c r="F37">
        <v>8</v>
      </c>
      <c r="G37">
        <v>9.1999999999999993</v>
      </c>
      <c r="H37">
        <v>0.86956524999999996</v>
      </c>
      <c r="I37">
        <v>0.13043477000000001</v>
      </c>
      <c r="J37">
        <v>0.53488369999999996</v>
      </c>
    </row>
    <row r="38" spans="1:10" x14ac:dyDescent="0.3">
      <c r="A38">
        <v>36</v>
      </c>
      <c r="B38">
        <v>581</v>
      </c>
      <c r="C38" t="b">
        <v>1</v>
      </c>
      <c r="D38">
        <v>8042</v>
      </c>
      <c r="E38">
        <v>8129</v>
      </c>
      <c r="F38">
        <v>8</v>
      </c>
      <c r="G38">
        <v>9.1999999999999993</v>
      </c>
      <c r="H38">
        <v>0.86956524999999996</v>
      </c>
      <c r="I38">
        <v>0.13043477000000001</v>
      </c>
      <c r="J38">
        <v>0.53488369999999996</v>
      </c>
    </row>
    <row r="39" spans="1:10" x14ac:dyDescent="0.3">
      <c r="A39">
        <v>37</v>
      </c>
      <c r="B39">
        <v>597</v>
      </c>
      <c r="C39" t="b">
        <v>1</v>
      </c>
      <c r="D39">
        <v>8042</v>
      </c>
      <c r="E39">
        <v>8123</v>
      </c>
      <c r="F39">
        <v>7.6</v>
      </c>
      <c r="G39">
        <v>9.6</v>
      </c>
      <c r="H39">
        <v>0.7916666</v>
      </c>
      <c r="I39">
        <v>0.20833336999999999</v>
      </c>
      <c r="J39">
        <v>0.55813950000000001</v>
      </c>
    </row>
    <row r="40" spans="1:10" x14ac:dyDescent="0.3">
      <c r="A40">
        <v>38</v>
      </c>
      <c r="B40">
        <v>612</v>
      </c>
      <c r="C40" t="b">
        <v>1</v>
      </c>
      <c r="D40">
        <v>8042</v>
      </c>
      <c r="E40">
        <v>8117</v>
      </c>
      <c r="F40">
        <v>7.2</v>
      </c>
      <c r="G40">
        <v>10</v>
      </c>
      <c r="H40">
        <v>0.71999997000000004</v>
      </c>
      <c r="I40">
        <v>0.28000003000000001</v>
      </c>
      <c r="J40">
        <v>0.58139529999999995</v>
      </c>
    </row>
    <row r="41" spans="1:10" x14ac:dyDescent="0.3">
      <c r="A41">
        <v>39</v>
      </c>
      <c r="B41">
        <v>628</v>
      </c>
      <c r="C41" t="b">
        <v>1</v>
      </c>
      <c r="D41">
        <v>8048</v>
      </c>
      <c r="E41">
        <v>8117</v>
      </c>
      <c r="F41">
        <v>6.8</v>
      </c>
      <c r="G41">
        <v>10</v>
      </c>
      <c r="H41">
        <v>0.68</v>
      </c>
      <c r="I41">
        <v>0.32</v>
      </c>
      <c r="J41">
        <v>0.59523815000000002</v>
      </c>
    </row>
    <row r="42" spans="1:10" x14ac:dyDescent="0.3">
      <c r="A42">
        <v>40</v>
      </c>
      <c r="B42">
        <v>643</v>
      </c>
      <c r="C42" t="b">
        <v>1</v>
      </c>
      <c r="D42">
        <v>8042</v>
      </c>
      <c r="E42">
        <v>8117</v>
      </c>
      <c r="F42">
        <v>6.4</v>
      </c>
      <c r="G42">
        <v>9.6</v>
      </c>
      <c r="H42">
        <v>0.6666666</v>
      </c>
      <c r="I42">
        <v>0.33333333999999998</v>
      </c>
      <c r="J42">
        <v>0.6</v>
      </c>
    </row>
    <row r="43" spans="1:10" x14ac:dyDescent="0.3">
      <c r="A43">
        <v>41</v>
      </c>
      <c r="B43">
        <v>659</v>
      </c>
      <c r="C43" t="b">
        <v>1</v>
      </c>
      <c r="D43">
        <v>8042</v>
      </c>
      <c r="E43">
        <v>8117</v>
      </c>
      <c r="F43">
        <v>6</v>
      </c>
      <c r="G43">
        <v>9.1999999999999993</v>
      </c>
      <c r="H43">
        <v>0.65217393999999995</v>
      </c>
      <c r="I43">
        <v>0.34782605999999999</v>
      </c>
      <c r="J43">
        <v>0.6052632</v>
      </c>
    </row>
    <row r="44" spans="1:10" x14ac:dyDescent="0.3">
      <c r="A44">
        <v>42</v>
      </c>
      <c r="B44">
        <v>675</v>
      </c>
      <c r="C44" t="b">
        <v>1</v>
      </c>
      <c r="D44">
        <v>8042</v>
      </c>
      <c r="E44">
        <v>8123</v>
      </c>
      <c r="F44">
        <v>5.6</v>
      </c>
      <c r="G44">
        <v>8.8000000000000007</v>
      </c>
      <c r="H44">
        <v>0.63636360000000003</v>
      </c>
      <c r="I44">
        <v>0.36363636999999999</v>
      </c>
      <c r="J44">
        <v>0.61111115999999999</v>
      </c>
    </row>
    <row r="45" spans="1:10" x14ac:dyDescent="0.3">
      <c r="A45">
        <v>43</v>
      </c>
      <c r="B45">
        <v>691</v>
      </c>
      <c r="C45" t="b">
        <v>1</v>
      </c>
      <c r="D45">
        <v>8042</v>
      </c>
      <c r="E45">
        <v>8129</v>
      </c>
      <c r="F45">
        <v>5.2</v>
      </c>
      <c r="G45">
        <v>8.4</v>
      </c>
      <c r="H45">
        <v>0.61904764000000001</v>
      </c>
      <c r="I45">
        <v>0.38095240000000002</v>
      </c>
      <c r="J45">
        <v>0.61764704999999998</v>
      </c>
    </row>
    <row r="46" spans="1:10" x14ac:dyDescent="0.3">
      <c r="A46">
        <v>44</v>
      </c>
      <c r="B46">
        <v>707</v>
      </c>
      <c r="C46" t="b">
        <v>1</v>
      </c>
      <c r="D46">
        <v>8042</v>
      </c>
      <c r="E46">
        <v>8134</v>
      </c>
      <c r="F46">
        <v>4.8</v>
      </c>
      <c r="G46">
        <v>8.4</v>
      </c>
      <c r="H46">
        <v>0.57142859999999995</v>
      </c>
      <c r="I46">
        <v>0.42857137000000001</v>
      </c>
      <c r="J46">
        <v>0.63636360000000003</v>
      </c>
    </row>
    <row r="47" spans="1:10" x14ac:dyDescent="0.3">
      <c r="A47">
        <v>45</v>
      </c>
      <c r="B47">
        <v>723</v>
      </c>
      <c r="C47" t="b">
        <v>1</v>
      </c>
      <c r="D47">
        <v>8048</v>
      </c>
      <c r="E47">
        <v>8123</v>
      </c>
      <c r="F47">
        <v>4.4000000000000004</v>
      </c>
      <c r="G47">
        <v>8.4</v>
      </c>
      <c r="H47">
        <v>0.52380954999999996</v>
      </c>
      <c r="I47">
        <v>0.47619044999999999</v>
      </c>
      <c r="J47">
        <v>0.65625</v>
      </c>
    </row>
    <row r="48" spans="1:10" x14ac:dyDescent="0.3">
      <c r="A48">
        <v>46</v>
      </c>
      <c r="B48">
        <v>738</v>
      </c>
      <c r="C48" t="b">
        <v>1</v>
      </c>
      <c r="D48">
        <v>8048</v>
      </c>
      <c r="E48">
        <v>8123</v>
      </c>
      <c r="F48">
        <v>4</v>
      </c>
      <c r="G48">
        <v>8.4</v>
      </c>
      <c r="H48">
        <v>0.47619050000000002</v>
      </c>
      <c r="I48">
        <v>0.52380950000000004</v>
      </c>
      <c r="J48">
        <v>0.67741936000000003</v>
      </c>
    </row>
    <row r="49" spans="1:10" x14ac:dyDescent="0.3">
      <c r="A49">
        <v>47</v>
      </c>
      <c r="B49">
        <v>754</v>
      </c>
      <c r="C49" t="b">
        <v>1</v>
      </c>
      <c r="D49">
        <v>8048</v>
      </c>
      <c r="E49">
        <v>8134</v>
      </c>
      <c r="F49">
        <v>4</v>
      </c>
      <c r="G49">
        <v>8.8000000000000007</v>
      </c>
      <c r="H49">
        <v>0.45454544000000002</v>
      </c>
      <c r="I49">
        <v>0.54545456000000003</v>
      </c>
      <c r="J49">
        <v>0.6875</v>
      </c>
    </row>
    <row r="50" spans="1:10" x14ac:dyDescent="0.3">
      <c r="A50">
        <v>48</v>
      </c>
      <c r="B50">
        <v>769</v>
      </c>
      <c r="C50" t="b">
        <v>1</v>
      </c>
      <c r="D50">
        <v>8042</v>
      </c>
      <c r="E50">
        <v>8123</v>
      </c>
      <c r="F50">
        <v>4</v>
      </c>
      <c r="G50">
        <v>8.8000000000000007</v>
      </c>
      <c r="H50">
        <v>0.45454544000000002</v>
      </c>
      <c r="I50">
        <v>0.54545456000000003</v>
      </c>
      <c r="J50">
        <v>0.6875</v>
      </c>
    </row>
    <row r="51" spans="1:10" x14ac:dyDescent="0.3">
      <c r="A51">
        <v>49</v>
      </c>
      <c r="B51">
        <v>785</v>
      </c>
      <c r="C51" t="b">
        <v>1</v>
      </c>
      <c r="D51">
        <v>8048</v>
      </c>
      <c r="E51">
        <v>8129</v>
      </c>
      <c r="F51">
        <v>4</v>
      </c>
      <c r="G51">
        <v>8.4</v>
      </c>
      <c r="H51">
        <v>0.47619050000000002</v>
      </c>
      <c r="I51">
        <v>0.52380950000000004</v>
      </c>
      <c r="J51">
        <v>0.67741936000000003</v>
      </c>
    </row>
    <row r="52" spans="1:10" x14ac:dyDescent="0.3">
      <c r="A52">
        <v>50</v>
      </c>
      <c r="B52">
        <v>801</v>
      </c>
      <c r="C52" t="b">
        <v>1</v>
      </c>
      <c r="D52">
        <v>8048</v>
      </c>
      <c r="E52">
        <v>8123</v>
      </c>
      <c r="F52">
        <v>4</v>
      </c>
      <c r="G52">
        <v>8</v>
      </c>
      <c r="H52">
        <v>0.5</v>
      </c>
      <c r="I52">
        <v>0.5</v>
      </c>
      <c r="J52">
        <v>0.66666669999999995</v>
      </c>
    </row>
    <row r="53" spans="1:10" x14ac:dyDescent="0.3">
      <c r="A53">
        <v>51</v>
      </c>
      <c r="B53">
        <v>817</v>
      </c>
      <c r="C53" t="b">
        <v>1</v>
      </c>
      <c r="D53">
        <v>8042</v>
      </c>
      <c r="E53">
        <v>8123</v>
      </c>
      <c r="F53">
        <v>4</v>
      </c>
      <c r="G53">
        <v>7.6</v>
      </c>
      <c r="H53">
        <v>0.5263158</v>
      </c>
      <c r="I53">
        <v>0.4736842</v>
      </c>
      <c r="J53">
        <v>0.65517239999999999</v>
      </c>
    </row>
    <row r="54" spans="1:10" x14ac:dyDescent="0.3">
      <c r="A54">
        <v>52</v>
      </c>
      <c r="B54">
        <v>833</v>
      </c>
      <c r="C54" t="b">
        <v>1</v>
      </c>
      <c r="D54">
        <v>8048</v>
      </c>
      <c r="E54">
        <v>8129</v>
      </c>
      <c r="F54">
        <v>4.4000000000000004</v>
      </c>
      <c r="G54">
        <v>7.2</v>
      </c>
      <c r="H54">
        <v>0.61111115999999999</v>
      </c>
      <c r="I54">
        <v>0.38888887</v>
      </c>
      <c r="J54">
        <v>0.62068962999999999</v>
      </c>
    </row>
    <row r="55" spans="1:10" x14ac:dyDescent="0.3">
      <c r="A55">
        <v>53</v>
      </c>
      <c r="B55">
        <v>849</v>
      </c>
      <c r="C55" t="b">
        <v>1</v>
      </c>
      <c r="D55">
        <v>8048</v>
      </c>
      <c r="E55">
        <v>8123</v>
      </c>
      <c r="F55">
        <v>4.8</v>
      </c>
      <c r="G55">
        <v>6.8</v>
      </c>
      <c r="H55">
        <v>0.70588240000000002</v>
      </c>
      <c r="I55">
        <v>0.29411763000000002</v>
      </c>
      <c r="J55">
        <v>0.58620689999999998</v>
      </c>
    </row>
    <row r="56" spans="1:10" x14ac:dyDescent="0.3">
      <c r="A56">
        <v>54</v>
      </c>
      <c r="B56">
        <v>865</v>
      </c>
      <c r="C56" t="b">
        <v>1</v>
      </c>
      <c r="D56">
        <v>8048</v>
      </c>
      <c r="E56">
        <v>8123</v>
      </c>
      <c r="F56">
        <v>5.2</v>
      </c>
      <c r="G56">
        <v>6.8</v>
      </c>
      <c r="H56">
        <v>0.76470583999999997</v>
      </c>
      <c r="I56">
        <v>0.23529416</v>
      </c>
      <c r="J56">
        <v>0.56666665999999999</v>
      </c>
    </row>
    <row r="57" spans="1:10" x14ac:dyDescent="0.3">
      <c r="A57">
        <v>55</v>
      </c>
      <c r="B57">
        <v>880</v>
      </c>
      <c r="C57" t="b">
        <v>1</v>
      </c>
      <c r="D57">
        <v>8048</v>
      </c>
      <c r="E57">
        <v>8134</v>
      </c>
      <c r="F57">
        <v>5.6</v>
      </c>
      <c r="G57">
        <v>7.2</v>
      </c>
      <c r="H57">
        <v>0.77777779999999996</v>
      </c>
      <c r="I57">
        <v>0.22222221</v>
      </c>
      <c r="J57">
        <v>0.5625</v>
      </c>
    </row>
    <row r="58" spans="1:10" x14ac:dyDescent="0.3">
      <c r="A58">
        <v>56</v>
      </c>
      <c r="B58">
        <v>896</v>
      </c>
      <c r="C58" t="b">
        <v>1</v>
      </c>
      <c r="D58">
        <v>8042</v>
      </c>
      <c r="E58">
        <v>8123</v>
      </c>
      <c r="F58">
        <v>6</v>
      </c>
      <c r="G58">
        <v>7.6</v>
      </c>
      <c r="H58">
        <v>0.78947369999999994</v>
      </c>
      <c r="I58">
        <v>0.2105263</v>
      </c>
      <c r="J58">
        <v>0.55882350000000003</v>
      </c>
    </row>
    <row r="59" spans="1:10" x14ac:dyDescent="0.3">
      <c r="A59">
        <v>57</v>
      </c>
      <c r="B59">
        <v>912</v>
      </c>
      <c r="C59" t="b">
        <v>1</v>
      </c>
      <c r="D59">
        <v>8042</v>
      </c>
      <c r="E59">
        <v>8134</v>
      </c>
      <c r="F59">
        <v>6.4</v>
      </c>
      <c r="G59">
        <v>8</v>
      </c>
      <c r="H59">
        <v>0.8</v>
      </c>
      <c r="I59">
        <v>0.19999998999999999</v>
      </c>
      <c r="J59">
        <v>0.55555560000000004</v>
      </c>
    </row>
    <row r="60" spans="1:10" x14ac:dyDescent="0.3">
      <c r="A60">
        <v>58</v>
      </c>
      <c r="B60">
        <v>928</v>
      </c>
      <c r="C60" t="b">
        <v>1</v>
      </c>
      <c r="D60">
        <v>8048</v>
      </c>
      <c r="E60">
        <v>8123</v>
      </c>
      <c r="F60">
        <v>6.8</v>
      </c>
      <c r="G60">
        <v>8.4</v>
      </c>
      <c r="H60">
        <v>0.80952389999999996</v>
      </c>
      <c r="I60">
        <v>0.19047612999999999</v>
      </c>
      <c r="J60">
        <v>0.55263156000000002</v>
      </c>
    </row>
    <row r="61" spans="1:10" x14ac:dyDescent="0.3">
      <c r="A61">
        <v>59</v>
      </c>
      <c r="B61">
        <v>943</v>
      </c>
      <c r="C61" t="b">
        <v>1</v>
      </c>
      <c r="D61">
        <v>8048</v>
      </c>
      <c r="E61">
        <v>8129</v>
      </c>
      <c r="F61">
        <v>7.2</v>
      </c>
      <c r="G61">
        <v>8.8000000000000007</v>
      </c>
      <c r="H61">
        <v>0.81818175000000004</v>
      </c>
      <c r="I61">
        <v>0.18181822</v>
      </c>
      <c r="J61">
        <v>0.55000000000000004</v>
      </c>
    </row>
    <row r="62" spans="1:10" x14ac:dyDescent="0.3">
      <c r="A62">
        <v>60</v>
      </c>
      <c r="B62">
        <v>959</v>
      </c>
      <c r="C62" t="b">
        <v>1</v>
      </c>
      <c r="D62">
        <v>8048</v>
      </c>
      <c r="E62">
        <v>8123</v>
      </c>
      <c r="F62">
        <v>7.6</v>
      </c>
      <c r="G62">
        <v>8.8000000000000007</v>
      </c>
      <c r="H62">
        <v>0.86363630000000002</v>
      </c>
      <c r="I62">
        <v>0.13636366999999999</v>
      </c>
      <c r="J62">
        <v>0.53658539999999999</v>
      </c>
    </row>
    <row r="63" spans="1:10" x14ac:dyDescent="0.3">
      <c r="A63">
        <v>61</v>
      </c>
      <c r="B63">
        <v>975</v>
      </c>
      <c r="C63" t="b">
        <v>1</v>
      </c>
      <c r="D63">
        <v>8048</v>
      </c>
      <c r="E63">
        <v>8134</v>
      </c>
      <c r="F63">
        <v>8</v>
      </c>
      <c r="G63">
        <v>9.1999999999999993</v>
      </c>
      <c r="H63">
        <v>0.86956524999999996</v>
      </c>
      <c r="I63">
        <v>0.13043477000000001</v>
      </c>
      <c r="J63">
        <v>0.53488369999999996</v>
      </c>
    </row>
    <row r="64" spans="1:10" x14ac:dyDescent="0.3">
      <c r="A64">
        <v>62</v>
      </c>
      <c r="B64">
        <v>991</v>
      </c>
      <c r="C64" t="b">
        <v>1</v>
      </c>
      <c r="D64">
        <v>8048</v>
      </c>
      <c r="E64">
        <v>8129</v>
      </c>
      <c r="F64">
        <v>8</v>
      </c>
      <c r="G64">
        <v>9.1999999999999993</v>
      </c>
      <c r="H64">
        <v>0.86956524999999996</v>
      </c>
      <c r="I64">
        <v>0.13043477000000001</v>
      </c>
      <c r="J64">
        <v>0.53488369999999996</v>
      </c>
    </row>
    <row r="65" spans="1:10" x14ac:dyDescent="0.3">
      <c r="A65">
        <v>63</v>
      </c>
      <c r="B65">
        <v>1007</v>
      </c>
      <c r="C65" t="b">
        <v>1</v>
      </c>
      <c r="D65">
        <v>8048</v>
      </c>
      <c r="E65">
        <v>8117</v>
      </c>
      <c r="F65">
        <v>8</v>
      </c>
      <c r="G65">
        <v>9.6</v>
      </c>
      <c r="H65">
        <v>0.83333330000000005</v>
      </c>
      <c r="I65">
        <v>0.1666667</v>
      </c>
      <c r="J65">
        <v>0.54545456000000003</v>
      </c>
    </row>
    <row r="66" spans="1:10" x14ac:dyDescent="0.3">
      <c r="A66">
        <v>64</v>
      </c>
      <c r="B66">
        <v>1022</v>
      </c>
      <c r="C66" t="b">
        <v>1</v>
      </c>
      <c r="D66">
        <v>8042</v>
      </c>
      <c r="E66">
        <v>8117</v>
      </c>
      <c r="F66">
        <v>8</v>
      </c>
      <c r="G66">
        <v>9.6</v>
      </c>
      <c r="H66">
        <v>0.83333330000000005</v>
      </c>
      <c r="I66">
        <v>0.1666667</v>
      </c>
      <c r="J66">
        <v>0.54545456000000003</v>
      </c>
    </row>
    <row r="67" spans="1:10" x14ac:dyDescent="0.3">
      <c r="A67">
        <v>65</v>
      </c>
      <c r="B67">
        <v>1038</v>
      </c>
      <c r="C67" t="b">
        <v>1</v>
      </c>
      <c r="D67">
        <v>8048</v>
      </c>
      <c r="E67">
        <v>8117</v>
      </c>
      <c r="F67">
        <v>8</v>
      </c>
      <c r="G67">
        <v>9.1999999999999993</v>
      </c>
      <c r="H67">
        <v>0.86956524999999996</v>
      </c>
      <c r="I67">
        <v>0.13043477000000001</v>
      </c>
      <c r="J67">
        <v>0.53488369999999996</v>
      </c>
    </row>
    <row r="68" spans="1:10" x14ac:dyDescent="0.3">
      <c r="A68">
        <v>66</v>
      </c>
      <c r="B68">
        <v>1054</v>
      </c>
      <c r="C68" t="b">
        <v>1</v>
      </c>
      <c r="D68">
        <v>8048</v>
      </c>
      <c r="E68">
        <v>8123</v>
      </c>
      <c r="F68">
        <v>8</v>
      </c>
      <c r="G68">
        <v>8.8000000000000007</v>
      </c>
      <c r="H68">
        <v>0.90909090000000004</v>
      </c>
      <c r="I68">
        <v>9.0909110000000001E-2</v>
      </c>
      <c r="J68">
        <v>0.52380954999999996</v>
      </c>
    </row>
    <row r="69" spans="1:10" x14ac:dyDescent="0.3">
      <c r="A69">
        <v>67</v>
      </c>
      <c r="B69">
        <v>1070</v>
      </c>
      <c r="C69" t="b">
        <v>1</v>
      </c>
      <c r="D69">
        <v>8048</v>
      </c>
      <c r="E69">
        <v>8129</v>
      </c>
      <c r="F69">
        <v>8</v>
      </c>
      <c r="G69">
        <v>8.4</v>
      </c>
      <c r="H69">
        <v>0.95238100000000003</v>
      </c>
      <c r="I69">
        <v>4.7619003999999999E-2</v>
      </c>
      <c r="J69">
        <v>0.51219510000000001</v>
      </c>
    </row>
    <row r="70" spans="1:10" x14ac:dyDescent="0.3">
      <c r="A70">
        <v>68</v>
      </c>
      <c r="B70">
        <v>1086</v>
      </c>
      <c r="C70" t="b">
        <v>1</v>
      </c>
      <c r="D70">
        <v>8042</v>
      </c>
      <c r="E70">
        <v>8123</v>
      </c>
      <c r="F70">
        <v>8</v>
      </c>
      <c r="G70">
        <v>8.4</v>
      </c>
      <c r="H70">
        <v>0.95238100000000003</v>
      </c>
      <c r="I70">
        <v>4.7619003999999999E-2</v>
      </c>
      <c r="J70">
        <v>0.51219510000000001</v>
      </c>
    </row>
    <row r="71" spans="1:10" x14ac:dyDescent="0.3">
      <c r="A71">
        <v>69</v>
      </c>
      <c r="B71">
        <v>1102</v>
      </c>
      <c r="C71" t="b">
        <v>1</v>
      </c>
      <c r="D71">
        <v>8042</v>
      </c>
      <c r="E71">
        <v>8134</v>
      </c>
      <c r="F71">
        <v>8</v>
      </c>
      <c r="G71">
        <v>8.4</v>
      </c>
      <c r="H71">
        <v>0.95238100000000003</v>
      </c>
      <c r="I71">
        <v>4.7619003999999999E-2</v>
      </c>
      <c r="J71">
        <v>0.51219510000000001</v>
      </c>
    </row>
    <row r="72" spans="1:10" x14ac:dyDescent="0.3">
      <c r="A72">
        <v>70</v>
      </c>
      <c r="B72">
        <v>1117</v>
      </c>
      <c r="C72" t="b">
        <v>1</v>
      </c>
      <c r="D72">
        <v>8048</v>
      </c>
      <c r="E72">
        <v>8123</v>
      </c>
      <c r="F72">
        <v>8</v>
      </c>
      <c r="G72">
        <v>8.4</v>
      </c>
      <c r="H72">
        <v>0.95238100000000003</v>
      </c>
      <c r="I72">
        <v>4.7619003999999999E-2</v>
      </c>
      <c r="J72">
        <v>0.51219510000000001</v>
      </c>
    </row>
    <row r="73" spans="1:10" x14ac:dyDescent="0.3">
      <c r="A73">
        <v>71</v>
      </c>
      <c r="B73">
        <v>1133</v>
      </c>
      <c r="C73" t="b">
        <v>1</v>
      </c>
      <c r="D73">
        <v>8042</v>
      </c>
      <c r="E73">
        <v>8129</v>
      </c>
      <c r="F73">
        <v>7.6</v>
      </c>
      <c r="G73">
        <v>8.8000000000000007</v>
      </c>
      <c r="H73">
        <v>0.86363630000000002</v>
      </c>
      <c r="I73">
        <v>0.13636366999999999</v>
      </c>
      <c r="J73">
        <v>0.53658539999999999</v>
      </c>
    </row>
    <row r="74" spans="1:10" x14ac:dyDescent="0.3">
      <c r="A74">
        <v>72</v>
      </c>
      <c r="B74">
        <v>1149</v>
      </c>
      <c r="C74" t="b">
        <v>1</v>
      </c>
      <c r="D74">
        <v>8048</v>
      </c>
      <c r="E74">
        <v>8129</v>
      </c>
      <c r="F74">
        <v>7.2</v>
      </c>
      <c r="G74">
        <v>9.1999999999999993</v>
      </c>
      <c r="H74">
        <v>0.78260870000000005</v>
      </c>
      <c r="I74">
        <v>0.21739131</v>
      </c>
      <c r="J74">
        <v>0.56097560000000002</v>
      </c>
    </row>
    <row r="75" spans="1:10" x14ac:dyDescent="0.3">
      <c r="A75">
        <v>73</v>
      </c>
      <c r="B75">
        <v>1164</v>
      </c>
      <c r="C75" t="b">
        <v>1</v>
      </c>
      <c r="D75">
        <v>8048</v>
      </c>
      <c r="E75">
        <v>8129</v>
      </c>
      <c r="F75">
        <v>7.2</v>
      </c>
      <c r="G75">
        <v>9.6</v>
      </c>
      <c r="H75">
        <v>0.74999994000000003</v>
      </c>
      <c r="I75">
        <v>0.25000006000000002</v>
      </c>
      <c r="J75">
        <v>0.57142859999999995</v>
      </c>
    </row>
    <row r="76" spans="1:10" x14ac:dyDescent="0.3">
      <c r="A76">
        <v>74</v>
      </c>
      <c r="B76">
        <v>1180</v>
      </c>
      <c r="C76" t="b">
        <v>1</v>
      </c>
      <c r="D76">
        <v>8048</v>
      </c>
      <c r="E76">
        <v>8129</v>
      </c>
      <c r="F76">
        <v>7.2</v>
      </c>
      <c r="G76">
        <v>9.6</v>
      </c>
      <c r="H76">
        <v>0.74999994000000003</v>
      </c>
      <c r="I76">
        <v>0.25000006000000002</v>
      </c>
      <c r="J76">
        <v>0.57142859999999995</v>
      </c>
    </row>
    <row r="77" spans="1:10" x14ac:dyDescent="0.3">
      <c r="A77">
        <v>75</v>
      </c>
      <c r="B77">
        <v>1196</v>
      </c>
      <c r="C77" t="b">
        <v>1</v>
      </c>
      <c r="D77">
        <v>8048</v>
      </c>
      <c r="E77">
        <v>8123</v>
      </c>
      <c r="F77">
        <v>7.2</v>
      </c>
      <c r="G77">
        <v>10</v>
      </c>
      <c r="H77">
        <v>0.71999997000000004</v>
      </c>
      <c r="I77">
        <v>0.28000003000000001</v>
      </c>
      <c r="J77">
        <v>0.58139529999999995</v>
      </c>
    </row>
    <row r="78" spans="1:10" x14ac:dyDescent="0.3">
      <c r="A78">
        <v>76</v>
      </c>
      <c r="B78">
        <v>1212</v>
      </c>
      <c r="C78" t="b">
        <v>1</v>
      </c>
      <c r="D78">
        <v>8048</v>
      </c>
      <c r="E78">
        <v>8129</v>
      </c>
      <c r="F78">
        <v>7.2</v>
      </c>
      <c r="G78">
        <v>10</v>
      </c>
      <c r="H78">
        <v>0.71999997000000004</v>
      </c>
      <c r="I78">
        <v>0.28000003000000001</v>
      </c>
      <c r="J78">
        <v>0.58139529999999995</v>
      </c>
    </row>
    <row r="79" spans="1:10" x14ac:dyDescent="0.3">
      <c r="A79">
        <v>77</v>
      </c>
      <c r="B79">
        <v>1228</v>
      </c>
      <c r="C79" t="b">
        <v>1</v>
      </c>
      <c r="D79">
        <v>8048</v>
      </c>
      <c r="E79">
        <v>8129</v>
      </c>
      <c r="F79">
        <v>7.2</v>
      </c>
      <c r="G79">
        <v>10</v>
      </c>
      <c r="H79">
        <v>0.71999997000000004</v>
      </c>
      <c r="I79">
        <v>0.28000003000000001</v>
      </c>
      <c r="J79">
        <v>0.58139529999999995</v>
      </c>
    </row>
    <row r="80" spans="1:10" x14ac:dyDescent="0.3">
      <c r="A80">
        <v>78</v>
      </c>
      <c r="B80">
        <v>1244</v>
      </c>
      <c r="C80" t="b">
        <v>1</v>
      </c>
      <c r="D80">
        <v>8048</v>
      </c>
      <c r="E80">
        <v>8129</v>
      </c>
      <c r="F80">
        <v>7.2</v>
      </c>
      <c r="G80">
        <v>10</v>
      </c>
      <c r="H80">
        <v>0.71999997000000004</v>
      </c>
      <c r="I80">
        <v>0.28000003000000001</v>
      </c>
      <c r="J80">
        <v>0.58139529999999995</v>
      </c>
    </row>
    <row r="81" spans="1:10" x14ac:dyDescent="0.3">
      <c r="A81">
        <v>79</v>
      </c>
      <c r="B81">
        <v>1260</v>
      </c>
      <c r="C81" t="b">
        <v>1</v>
      </c>
      <c r="D81">
        <v>8048</v>
      </c>
      <c r="E81">
        <v>8134</v>
      </c>
      <c r="F81">
        <v>7.2</v>
      </c>
      <c r="G81">
        <v>10.4</v>
      </c>
      <c r="H81">
        <v>0.69230769999999997</v>
      </c>
      <c r="I81">
        <v>0.30769229999999997</v>
      </c>
      <c r="J81">
        <v>0.59090909999999996</v>
      </c>
    </row>
    <row r="82" spans="1:10" x14ac:dyDescent="0.3">
      <c r="A82">
        <v>80</v>
      </c>
      <c r="B82">
        <v>1276</v>
      </c>
      <c r="C82" t="b">
        <v>1</v>
      </c>
      <c r="D82">
        <v>8048</v>
      </c>
      <c r="E82">
        <v>8123</v>
      </c>
      <c r="F82">
        <v>7.2</v>
      </c>
      <c r="G82">
        <v>11.2</v>
      </c>
      <c r="H82">
        <v>0.64285713</v>
      </c>
      <c r="I82">
        <v>0.35714287</v>
      </c>
      <c r="J82">
        <v>0.6086956</v>
      </c>
    </row>
    <row r="83" spans="1:10" x14ac:dyDescent="0.3">
      <c r="A83">
        <v>81</v>
      </c>
      <c r="B83">
        <v>1292</v>
      </c>
      <c r="C83" t="b">
        <v>1</v>
      </c>
      <c r="D83">
        <v>8042</v>
      </c>
      <c r="E83">
        <v>8134</v>
      </c>
      <c r="F83">
        <v>7.2</v>
      </c>
      <c r="G83">
        <v>12</v>
      </c>
      <c r="H83">
        <v>0.59999996</v>
      </c>
      <c r="I83">
        <v>0.4</v>
      </c>
      <c r="J83">
        <v>0.625</v>
      </c>
    </row>
    <row r="84" spans="1:10" x14ac:dyDescent="0.3">
      <c r="A84">
        <v>82</v>
      </c>
      <c r="B84">
        <v>1308</v>
      </c>
      <c r="C84" t="b">
        <v>1</v>
      </c>
      <c r="D84">
        <v>8042</v>
      </c>
      <c r="E84">
        <v>8123</v>
      </c>
      <c r="F84">
        <v>7.2</v>
      </c>
      <c r="G84">
        <v>12.8</v>
      </c>
      <c r="H84">
        <v>0.5625</v>
      </c>
      <c r="I84">
        <v>0.43750002999999998</v>
      </c>
      <c r="J84">
        <v>0.64</v>
      </c>
    </row>
    <row r="85" spans="1:10" x14ac:dyDescent="0.3">
      <c r="A85">
        <v>83</v>
      </c>
      <c r="B85">
        <v>1324</v>
      </c>
      <c r="C85" t="b">
        <v>1</v>
      </c>
      <c r="D85">
        <v>8048</v>
      </c>
      <c r="E85">
        <v>8123</v>
      </c>
      <c r="F85">
        <v>7.2</v>
      </c>
      <c r="G85">
        <v>12.8</v>
      </c>
      <c r="H85">
        <v>0.5625</v>
      </c>
      <c r="I85">
        <v>0.43750002999999998</v>
      </c>
      <c r="J85">
        <v>0.64</v>
      </c>
    </row>
    <row r="86" spans="1:10" x14ac:dyDescent="0.3">
      <c r="A86">
        <v>84</v>
      </c>
      <c r="B86">
        <v>1340</v>
      </c>
      <c r="C86" t="b">
        <v>1</v>
      </c>
      <c r="D86">
        <v>8048</v>
      </c>
      <c r="E86">
        <v>8129</v>
      </c>
      <c r="F86">
        <v>7.2</v>
      </c>
      <c r="G86">
        <v>12.8</v>
      </c>
      <c r="H86">
        <v>0.5625</v>
      </c>
      <c r="I86">
        <v>0.43750002999999998</v>
      </c>
      <c r="J86">
        <v>0.64</v>
      </c>
    </row>
    <row r="87" spans="1:10" x14ac:dyDescent="0.3">
      <c r="A87">
        <v>85</v>
      </c>
      <c r="B87">
        <v>1356</v>
      </c>
      <c r="C87" t="b">
        <v>1</v>
      </c>
      <c r="D87">
        <v>8048</v>
      </c>
      <c r="E87">
        <v>8123</v>
      </c>
      <c r="F87">
        <v>7.2</v>
      </c>
      <c r="G87">
        <v>12.8</v>
      </c>
      <c r="H87">
        <v>0.5625</v>
      </c>
      <c r="I87">
        <v>0.43750002999999998</v>
      </c>
      <c r="J87">
        <v>0.64</v>
      </c>
    </row>
    <row r="88" spans="1:10" x14ac:dyDescent="0.3">
      <c r="A88">
        <v>86</v>
      </c>
      <c r="B88">
        <v>1371</v>
      </c>
      <c r="C88" t="b">
        <v>1</v>
      </c>
      <c r="D88">
        <v>8048</v>
      </c>
      <c r="E88">
        <v>8123</v>
      </c>
      <c r="F88">
        <v>7.6</v>
      </c>
      <c r="G88">
        <v>12.4</v>
      </c>
      <c r="H88">
        <v>0.61290323999999996</v>
      </c>
      <c r="I88">
        <v>0.38709675999999998</v>
      </c>
      <c r="J88">
        <v>0.62</v>
      </c>
    </row>
    <row r="89" spans="1:10" x14ac:dyDescent="0.3">
      <c r="A89">
        <v>87</v>
      </c>
      <c r="B89">
        <v>1387</v>
      </c>
      <c r="C89" t="b">
        <v>1</v>
      </c>
      <c r="D89">
        <v>8042</v>
      </c>
      <c r="E89">
        <v>8134</v>
      </c>
      <c r="F89">
        <v>8</v>
      </c>
      <c r="G89">
        <v>12</v>
      </c>
      <c r="H89">
        <v>0.66666669999999995</v>
      </c>
      <c r="I89">
        <v>0.33333333999999998</v>
      </c>
      <c r="J89">
        <v>0.6</v>
      </c>
    </row>
    <row r="90" spans="1:10" x14ac:dyDescent="0.3">
      <c r="A90">
        <v>88</v>
      </c>
      <c r="B90">
        <v>1403</v>
      </c>
      <c r="C90" t="b">
        <v>1</v>
      </c>
      <c r="D90">
        <v>8042</v>
      </c>
      <c r="E90">
        <v>8129</v>
      </c>
      <c r="F90">
        <v>8</v>
      </c>
      <c r="G90">
        <v>12</v>
      </c>
      <c r="H90">
        <v>0.66666669999999995</v>
      </c>
      <c r="I90">
        <v>0.33333333999999998</v>
      </c>
      <c r="J90">
        <v>0.6</v>
      </c>
    </row>
    <row r="91" spans="1:10" x14ac:dyDescent="0.3">
      <c r="A91">
        <v>89</v>
      </c>
      <c r="B91">
        <v>1419</v>
      </c>
      <c r="C91" t="b">
        <v>1</v>
      </c>
      <c r="D91">
        <v>8048</v>
      </c>
      <c r="E91">
        <v>8123</v>
      </c>
      <c r="F91">
        <v>8</v>
      </c>
      <c r="G91">
        <v>11.6</v>
      </c>
      <c r="H91">
        <v>0.68965509999999997</v>
      </c>
      <c r="I91">
        <v>0.31034485000000001</v>
      </c>
      <c r="J91">
        <v>0.59183675000000002</v>
      </c>
    </row>
    <row r="92" spans="1:10" x14ac:dyDescent="0.3">
      <c r="A92">
        <v>90</v>
      </c>
      <c r="B92">
        <v>1435</v>
      </c>
      <c r="C92" t="b">
        <v>1</v>
      </c>
      <c r="D92">
        <v>8042</v>
      </c>
      <c r="E92">
        <v>8123</v>
      </c>
      <c r="F92">
        <v>7.6</v>
      </c>
      <c r="G92">
        <v>11.2</v>
      </c>
      <c r="H92">
        <v>0.67857140000000005</v>
      </c>
      <c r="I92">
        <v>0.32142857000000002</v>
      </c>
      <c r="J92">
        <v>0.59574466999999998</v>
      </c>
    </row>
    <row r="93" spans="1:10" x14ac:dyDescent="0.3">
      <c r="A93">
        <v>91</v>
      </c>
      <c r="B93">
        <v>1451</v>
      </c>
      <c r="C93" t="b">
        <v>1</v>
      </c>
      <c r="D93">
        <v>8048</v>
      </c>
      <c r="E93">
        <v>8123</v>
      </c>
      <c r="F93">
        <v>7.2</v>
      </c>
      <c r="G93">
        <v>10.8</v>
      </c>
      <c r="H93">
        <v>0.6666666</v>
      </c>
      <c r="I93">
        <v>0.33333337000000002</v>
      </c>
      <c r="J93">
        <v>0.6</v>
      </c>
    </row>
    <row r="94" spans="1:10" x14ac:dyDescent="0.3">
      <c r="A94">
        <v>92</v>
      </c>
      <c r="B94">
        <v>1466</v>
      </c>
      <c r="C94" t="b">
        <v>1</v>
      </c>
      <c r="D94">
        <v>8042</v>
      </c>
      <c r="E94">
        <v>8123</v>
      </c>
      <c r="F94">
        <v>6.8</v>
      </c>
      <c r="G94">
        <v>10.4</v>
      </c>
      <c r="H94">
        <v>0.65384620000000004</v>
      </c>
      <c r="I94">
        <v>0.34615380000000001</v>
      </c>
      <c r="J94">
        <v>0.6046511</v>
      </c>
    </row>
    <row r="95" spans="1:10" x14ac:dyDescent="0.3">
      <c r="A95">
        <v>93</v>
      </c>
      <c r="B95">
        <v>1482</v>
      </c>
      <c r="C95" t="b">
        <v>1</v>
      </c>
      <c r="D95">
        <v>8042</v>
      </c>
      <c r="E95">
        <v>8123</v>
      </c>
      <c r="F95">
        <v>6.4</v>
      </c>
      <c r="G95">
        <v>10</v>
      </c>
      <c r="H95">
        <v>0.64</v>
      </c>
      <c r="I95">
        <v>0.35999998</v>
      </c>
      <c r="J95">
        <v>0.60975610000000002</v>
      </c>
    </row>
    <row r="96" spans="1:10" x14ac:dyDescent="0.3">
      <c r="A96">
        <v>94</v>
      </c>
      <c r="B96">
        <v>1498</v>
      </c>
      <c r="C96" t="b">
        <v>1</v>
      </c>
      <c r="D96">
        <v>8048</v>
      </c>
      <c r="E96">
        <v>8123</v>
      </c>
      <c r="F96">
        <v>6</v>
      </c>
      <c r="G96">
        <v>9.6</v>
      </c>
      <c r="H96">
        <v>0.625</v>
      </c>
      <c r="I96">
        <v>0.37500002999999998</v>
      </c>
      <c r="J96">
        <v>0.61538464000000004</v>
      </c>
    </row>
    <row r="97" spans="1:10" x14ac:dyDescent="0.3">
      <c r="A97">
        <v>95</v>
      </c>
      <c r="B97">
        <v>1514</v>
      </c>
      <c r="C97" t="b">
        <v>1</v>
      </c>
      <c r="D97">
        <v>8048</v>
      </c>
      <c r="E97">
        <v>8129</v>
      </c>
      <c r="F97">
        <v>6</v>
      </c>
      <c r="G97">
        <v>9.1999999999999993</v>
      </c>
      <c r="H97">
        <v>0.65217393999999995</v>
      </c>
      <c r="I97">
        <v>0.34782605999999999</v>
      </c>
      <c r="J97">
        <v>0.6052632</v>
      </c>
    </row>
    <row r="98" spans="1:10" x14ac:dyDescent="0.3">
      <c r="A98">
        <v>96</v>
      </c>
      <c r="B98">
        <v>1530</v>
      </c>
      <c r="C98" t="b">
        <v>1</v>
      </c>
      <c r="D98">
        <v>8048</v>
      </c>
      <c r="E98">
        <v>8123</v>
      </c>
      <c r="F98">
        <v>6</v>
      </c>
      <c r="G98">
        <v>8.8000000000000007</v>
      </c>
      <c r="H98">
        <v>0.68181820000000004</v>
      </c>
      <c r="I98">
        <v>0.31818183999999999</v>
      </c>
      <c r="J98">
        <v>0.59459459999999997</v>
      </c>
    </row>
    <row r="99" spans="1:10" x14ac:dyDescent="0.3">
      <c r="A99">
        <v>97</v>
      </c>
      <c r="B99">
        <v>1546</v>
      </c>
      <c r="C99" t="b">
        <v>1</v>
      </c>
      <c r="D99">
        <v>8042</v>
      </c>
      <c r="E99">
        <v>8123</v>
      </c>
      <c r="F99">
        <v>6</v>
      </c>
      <c r="G99">
        <v>8.4</v>
      </c>
      <c r="H99">
        <v>0.71428572999999995</v>
      </c>
      <c r="I99">
        <v>0.28571424000000001</v>
      </c>
      <c r="J99">
        <v>0.58333330000000005</v>
      </c>
    </row>
    <row r="100" spans="1:10" x14ac:dyDescent="0.3">
      <c r="A100">
        <v>98</v>
      </c>
      <c r="B100">
        <v>1562</v>
      </c>
      <c r="C100" t="b">
        <v>1</v>
      </c>
      <c r="D100">
        <v>8048</v>
      </c>
      <c r="E100">
        <v>8123</v>
      </c>
      <c r="F100">
        <v>6</v>
      </c>
      <c r="G100">
        <v>8.4</v>
      </c>
      <c r="H100">
        <v>0.71428572999999995</v>
      </c>
      <c r="I100">
        <v>0.28571424000000001</v>
      </c>
      <c r="J100">
        <v>0.58333330000000005</v>
      </c>
    </row>
    <row r="101" spans="1:10" x14ac:dyDescent="0.3">
      <c r="A101">
        <v>99</v>
      </c>
      <c r="B101">
        <v>1578</v>
      </c>
      <c r="C101" t="b">
        <v>1</v>
      </c>
      <c r="D101">
        <v>8048</v>
      </c>
      <c r="E101">
        <v>8123</v>
      </c>
      <c r="F101">
        <v>6</v>
      </c>
      <c r="G101">
        <v>8.4</v>
      </c>
      <c r="H101">
        <v>0.71428572999999995</v>
      </c>
      <c r="I101">
        <v>0.28571424000000001</v>
      </c>
      <c r="J101">
        <v>0.58333330000000005</v>
      </c>
    </row>
    <row r="102" spans="1:10" x14ac:dyDescent="0.3">
      <c r="A102">
        <v>100</v>
      </c>
      <c r="B102">
        <v>1594</v>
      </c>
      <c r="C102" t="b">
        <v>1</v>
      </c>
      <c r="D102">
        <v>8048</v>
      </c>
      <c r="E102">
        <v>8129</v>
      </c>
      <c r="F102">
        <v>6</v>
      </c>
      <c r="G102">
        <v>8.4</v>
      </c>
      <c r="H102">
        <v>0.71428572999999995</v>
      </c>
      <c r="I102">
        <v>0.28571424000000001</v>
      </c>
      <c r="J102">
        <v>0.58333330000000005</v>
      </c>
    </row>
    <row r="103" spans="1:10" x14ac:dyDescent="0.3">
      <c r="A103">
        <v>101</v>
      </c>
      <c r="B103">
        <v>1610</v>
      </c>
      <c r="C103" t="b">
        <v>1</v>
      </c>
      <c r="D103">
        <v>8042</v>
      </c>
      <c r="E103">
        <v>8123</v>
      </c>
      <c r="F103">
        <v>6</v>
      </c>
      <c r="G103">
        <v>8.4</v>
      </c>
      <c r="H103">
        <v>0.71428572999999995</v>
      </c>
      <c r="I103">
        <v>0.28571424000000001</v>
      </c>
      <c r="J103">
        <v>0.58333330000000005</v>
      </c>
    </row>
    <row r="104" spans="1:10" x14ac:dyDescent="0.3">
      <c r="A104">
        <v>102</v>
      </c>
      <c r="B104">
        <v>1626</v>
      </c>
      <c r="C104" t="b">
        <v>1</v>
      </c>
      <c r="D104">
        <v>8042</v>
      </c>
      <c r="E104">
        <v>8123</v>
      </c>
      <c r="F104">
        <v>6</v>
      </c>
      <c r="G104">
        <v>8.4</v>
      </c>
      <c r="H104">
        <v>0.71428572999999995</v>
      </c>
      <c r="I104">
        <v>0.28571424000000001</v>
      </c>
      <c r="J104">
        <v>0.58333330000000005</v>
      </c>
    </row>
    <row r="105" spans="1:10" x14ac:dyDescent="0.3">
      <c r="A105">
        <v>103</v>
      </c>
      <c r="B105">
        <v>1642</v>
      </c>
      <c r="C105" t="b">
        <v>1</v>
      </c>
      <c r="D105">
        <v>8042</v>
      </c>
      <c r="E105">
        <v>8134</v>
      </c>
      <c r="F105">
        <v>5.6</v>
      </c>
      <c r="G105">
        <v>8</v>
      </c>
      <c r="H105">
        <v>0.7</v>
      </c>
      <c r="I105">
        <v>0.3</v>
      </c>
      <c r="J105">
        <v>0.58823526000000004</v>
      </c>
    </row>
    <row r="106" spans="1:10" x14ac:dyDescent="0.3">
      <c r="A106">
        <v>104</v>
      </c>
      <c r="B106">
        <v>1658</v>
      </c>
      <c r="C106" t="b">
        <v>1</v>
      </c>
      <c r="D106">
        <v>8042</v>
      </c>
      <c r="E106">
        <v>8123</v>
      </c>
      <c r="F106">
        <v>5.2</v>
      </c>
      <c r="G106">
        <v>8</v>
      </c>
      <c r="H106">
        <v>0.65</v>
      </c>
      <c r="I106">
        <v>0.35000002000000002</v>
      </c>
      <c r="J106">
        <v>0.60606059999999995</v>
      </c>
    </row>
    <row r="107" spans="1:10" x14ac:dyDescent="0.3">
      <c r="A107">
        <v>105</v>
      </c>
      <c r="B107">
        <v>1674</v>
      </c>
      <c r="C107" t="b">
        <v>1</v>
      </c>
      <c r="D107">
        <v>8042</v>
      </c>
      <c r="E107">
        <v>8123</v>
      </c>
      <c r="F107">
        <v>5.2</v>
      </c>
      <c r="G107">
        <v>8</v>
      </c>
      <c r="H107">
        <v>0.65</v>
      </c>
      <c r="I107">
        <v>0.35000002000000002</v>
      </c>
      <c r="J107">
        <v>0.60606059999999995</v>
      </c>
    </row>
    <row r="108" spans="1:10" x14ac:dyDescent="0.3">
      <c r="A108">
        <v>106</v>
      </c>
      <c r="B108">
        <v>1689</v>
      </c>
      <c r="C108" t="b">
        <v>1</v>
      </c>
      <c r="D108">
        <v>8042</v>
      </c>
      <c r="E108">
        <v>8123</v>
      </c>
      <c r="F108">
        <v>5.2</v>
      </c>
      <c r="G108">
        <v>8</v>
      </c>
      <c r="H108">
        <v>0.65</v>
      </c>
      <c r="I108">
        <v>0.35000002000000002</v>
      </c>
      <c r="J108">
        <v>0.60606059999999995</v>
      </c>
    </row>
    <row r="109" spans="1:10" x14ac:dyDescent="0.3">
      <c r="A109">
        <v>107</v>
      </c>
      <c r="B109">
        <v>1706</v>
      </c>
      <c r="C109" t="b">
        <v>1</v>
      </c>
      <c r="D109">
        <v>8042</v>
      </c>
      <c r="E109">
        <v>8117</v>
      </c>
      <c r="F109">
        <v>5.2</v>
      </c>
      <c r="G109">
        <v>8</v>
      </c>
      <c r="H109">
        <v>0.65</v>
      </c>
      <c r="I109">
        <v>0.35000002000000002</v>
      </c>
      <c r="J109">
        <v>0.60606059999999995</v>
      </c>
    </row>
    <row r="110" spans="1:10" x14ac:dyDescent="0.3">
      <c r="A110">
        <v>108</v>
      </c>
      <c r="B110">
        <v>1721</v>
      </c>
      <c r="C110" t="b">
        <v>1</v>
      </c>
      <c r="D110">
        <v>8048</v>
      </c>
      <c r="E110">
        <v>8129</v>
      </c>
      <c r="F110">
        <v>5.2</v>
      </c>
      <c r="G110">
        <v>8</v>
      </c>
      <c r="H110">
        <v>0.65</v>
      </c>
      <c r="I110">
        <v>0.35000002000000002</v>
      </c>
      <c r="J110">
        <v>0.60606059999999995</v>
      </c>
    </row>
    <row r="111" spans="1:10" x14ac:dyDescent="0.3">
      <c r="A111">
        <v>109</v>
      </c>
      <c r="B111">
        <v>1738</v>
      </c>
      <c r="C111" t="b">
        <v>1</v>
      </c>
      <c r="D111">
        <v>8048</v>
      </c>
      <c r="E111">
        <v>8117</v>
      </c>
      <c r="F111">
        <v>5.2</v>
      </c>
      <c r="G111">
        <v>8</v>
      </c>
      <c r="H111">
        <v>0.65</v>
      </c>
      <c r="I111">
        <v>0.35000002000000002</v>
      </c>
      <c r="J111">
        <v>0.60606059999999995</v>
      </c>
    </row>
    <row r="112" spans="1:10" x14ac:dyDescent="0.3">
      <c r="A112">
        <v>110</v>
      </c>
      <c r="B112">
        <v>1754</v>
      </c>
      <c r="C112" t="b">
        <v>1</v>
      </c>
      <c r="D112">
        <v>8048</v>
      </c>
      <c r="E112">
        <v>8117</v>
      </c>
      <c r="F112">
        <v>5.2</v>
      </c>
      <c r="G112">
        <v>7.6</v>
      </c>
      <c r="H112">
        <v>0.68421054000000003</v>
      </c>
      <c r="I112">
        <v>0.3157895</v>
      </c>
      <c r="J112">
        <v>0.59375</v>
      </c>
    </row>
    <row r="113" spans="1:10" x14ac:dyDescent="0.3">
      <c r="A113">
        <v>111</v>
      </c>
      <c r="B113">
        <v>1769</v>
      </c>
      <c r="C113" t="b">
        <v>1</v>
      </c>
      <c r="D113">
        <v>8048</v>
      </c>
      <c r="E113">
        <v>8117</v>
      </c>
      <c r="F113">
        <v>5.2</v>
      </c>
      <c r="G113">
        <v>7.2</v>
      </c>
      <c r="H113">
        <v>0.72222220000000004</v>
      </c>
      <c r="I113">
        <v>0.27777780000000002</v>
      </c>
      <c r="J113">
        <v>0.58064514</v>
      </c>
    </row>
    <row r="114" spans="1:10" x14ac:dyDescent="0.3">
      <c r="A114">
        <v>112</v>
      </c>
      <c r="B114">
        <v>1785</v>
      </c>
      <c r="C114" t="b">
        <v>1</v>
      </c>
      <c r="D114">
        <v>8048</v>
      </c>
      <c r="E114">
        <v>8123</v>
      </c>
      <c r="F114">
        <v>5.2</v>
      </c>
      <c r="G114">
        <v>6.8</v>
      </c>
      <c r="H114">
        <v>0.76470583999999997</v>
      </c>
      <c r="I114">
        <v>0.23529416</v>
      </c>
      <c r="J114">
        <v>0.56666665999999999</v>
      </c>
    </row>
    <row r="115" spans="1:10" x14ac:dyDescent="0.3">
      <c r="A115">
        <v>113</v>
      </c>
      <c r="B115">
        <v>1801</v>
      </c>
      <c r="C115" t="b">
        <v>1</v>
      </c>
      <c r="D115">
        <v>8048</v>
      </c>
      <c r="E115">
        <v>8129</v>
      </c>
      <c r="F115">
        <v>5.2</v>
      </c>
      <c r="G115">
        <v>6.4</v>
      </c>
      <c r="H115">
        <v>0.81249994000000003</v>
      </c>
      <c r="I115">
        <v>0.18750004000000001</v>
      </c>
      <c r="J115">
        <v>0.55172414000000003</v>
      </c>
    </row>
    <row r="116" spans="1:10" x14ac:dyDescent="0.3">
      <c r="A116">
        <v>114</v>
      </c>
      <c r="B116">
        <v>1817</v>
      </c>
      <c r="C116" t="b">
        <v>1</v>
      </c>
      <c r="D116">
        <v>8048</v>
      </c>
      <c r="E116">
        <v>8123</v>
      </c>
      <c r="F116">
        <v>5.2</v>
      </c>
      <c r="G116">
        <v>6.4</v>
      </c>
      <c r="H116">
        <v>0.81249994000000003</v>
      </c>
      <c r="I116">
        <v>0.18750004000000001</v>
      </c>
      <c r="J116">
        <v>0.55172414000000003</v>
      </c>
    </row>
    <row r="117" spans="1:10" x14ac:dyDescent="0.3">
      <c r="A117">
        <v>115</v>
      </c>
      <c r="B117">
        <v>1833</v>
      </c>
      <c r="C117" t="b">
        <v>1</v>
      </c>
      <c r="D117">
        <v>8042</v>
      </c>
      <c r="E117">
        <v>8129</v>
      </c>
      <c r="F117">
        <v>5.2</v>
      </c>
      <c r="G117">
        <v>6.4</v>
      </c>
      <c r="H117">
        <v>0.81249994000000003</v>
      </c>
      <c r="I117">
        <v>0.18750004000000001</v>
      </c>
      <c r="J117">
        <v>0.55172414000000003</v>
      </c>
    </row>
    <row r="118" spans="1:10" x14ac:dyDescent="0.3">
      <c r="A118">
        <v>116</v>
      </c>
      <c r="B118">
        <v>1849</v>
      </c>
      <c r="C118" t="b">
        <v>1</v>
      </c>
      <c r="D118">
        <v>8048</v>
      </c>
      <c r="E118">
        <v>8123</v>
      </c>
      <c r="F118">
        <v>5.2</v>
      </c>
      <c r="G118">
        <v>6.4</v>
      </c>
      <c r="H118">
        <v>0.81249994000000003</v>
      </c>
      <c r="I118">
        <v>0.18750004000000001</v>
      </c>
      <c r="J118">
        <v>0.55172414000000003</v>
      </c>
    </row>
    <row r="119" spans="1:10" x14ac:dyDescent="0.3">
      <c r="A119">
        <v>117</v>
      </c>
      <c r="B119">
        <v>1864</v>
      </c>
      <c r="C119" t="b">
        <v>1</v>
      </c>
      <c r="D119">
        <v>8042</v>
      </c>
      <c r="E119">
        <v>8123</v>
      </c>
      <c r="F119">
        <v>5.2</v>
      </c>
      <c r="G119">
        <v>6.4</v>
      </c>
      <c r="H119">
        <v>0.81249994000000003</v>
      </c>
      <c r="I119">
        <v>0.18750004000000001</v>
      </c>
      <c r="J119">
        <v>0.55172414000000003</v>
      </c>
    </row>
    <row r="120" spans="1:10" x14ac:dyDescent="0.3">
      <c r="A120">
        <v>118</v>
      </c>
      <c r="B120">
        <v>1880</v>
      </c>
      <c r="C120" t="b">
        <v>1</v>
      </c>
      <c r="D120">
        <v>8048</v>
      </c>
      <c r="E120">
        <v>8123</v>
      </c>
      <c r="F120">
        <v>5.6</v>
      </c>
      <c r="G120">
        <v>6.4</v>
      </c>
      <c r="H120">
        <v>0.875</v>
      </c>
      <c r="I120">
        <v>0.12500003000000001</v>
      </c>
      <c r="J120">
        <v>0.53333335999999998</v>
      </c>
    </row>
    <row r="121" spans="1:10" x14ac:dyDescent="0.3">
      <c r="A121">
        <v>119</v>
      </c>
      <c r="B121">
        <v>1896</v>
      </c>
      <c r="C121" t="b">
        <v>1</v>
      </c>
      <c r="D121">
        <v>8042</v>
      </c>
      <c r="E121">
        <v>8129</v>
      </c>
      <c r="F121">
        <v>5.6</v>
      </c>
      <c r="G121">
        <v>6.4</v>
      </c>
      <c r="H121">
        <v>0.875</v>
      </c>
      <c r="I121">
        <v>0.12500003000000001</v>
      </c>
      <c r="J121">
        <v>0.53333335999999998</v>
      </c>
    </row>
    <row r="122" spans="1:10" x14ac:dyDescent="0.3">
      <c r="A122">
        <v>120</v>
      </c>
      <c r="B122">
        <v>1912</v>
      </c>
      <c r="C122" t="b">
        <v>1</v>
      </c>
      <c r="D122">
        <v>8048</v>
      </c>
      <c r="E122">
        <v>8134</v>
      </c>
      <c r="F122">
        <v>6</v>
      </c>
      <c r="G122">
        <v>6.4</v>
      </c>
      <c r="H122">
        <v>0.9375</v>
      </c>
      <c r="I122">
        <v>6.2500015000000006E-2</v>
      </c>
      <c r="J122">
        <v>0.51612910000000001</v>
      </c>
    </row>
    <row r="123" spans="1:10" x14ac:dyDescent="0.3">
      <c r="A123">
        <v>121</v>
      </c>
      <c r="B123">
        <v>1928</v>
      </c>
      <c r="C123" t="b">
        <v>1</v>
      </c>
      <c r="D123">
        <v>8048</v>
      </c>
      <c r="E123">
        <v>8123</v>
      </c>
      <c r="F123">
        <v>6.4</v>
      </c>
      <c r="G123">
        <v>6.4</v>
      </c>
      <c r="H123">
        <v>1</v>
      </c>
      <c r="I123">
        <v>0</v>
      </c>
      <c r="J123">
        <v>0.5</v>
      </c>
    </row>
    <row r="124" spans="1:10" x14ac:dyDescent="0.3">
      <c r="A124">
        <v>122</v>
      </c>
      <c r="B124">
        <v>1944</v>
      </c>
      <c r="C124" t="b">
        <v>1</v>
      </c>
      <c r="D124">
        <v>8048</v>
      </c>
      <c r="E124">
        <v>8123</v>
      </c>
      <c r="F124">
        <v>6.8</v>
      </c>
      <c r="G124">
        <v>6.4</v>
      </c>
      <c r="H124">
        <v>1.0625</v>
      </c>
      <c r="I124">
        <v>-6.2500015000000006E-2</v>
      </c>
      <c r="J124">
        <v>0.48484846999999998</v>
      </c>
    </row>
    <row r="125" spans="1:10" x14ac:dyDescent="0.3">
      <c r="A125">
        <v>123</v>
      </c>
      <c r="B125">
        <v>1960</v>
      </c>
      <c r="C125" t="b">
        <v>1</v>
      </c>
      <c r="D125">
        <v>8048</v>
      </c>
      <c r="E125">
        <v>8123</v>
      </c>
      <c r="F125">
        <v>7.2</v>
      </c>
      <c r="G125">
        <v>6.4</v>
      </c>
      <c r="H125">
        <v>1.125</v>
      </c>
      <c r="I125">
        <v>-0.124999955</v>
      </c>
      <c r="J125">
        <v>0.47058823999999999</v>
      </c>
    </row>
    <row r="126" spans="1:10" x14ac:dyDescent="0.3">
      <c r="A126">
        <v>124</v>
      </c>
      <c r="B126">
        <v>1976</v>
      </c>
      <c r="C126" t="b">
        <v>1</v>
      </c>
      <c r="D126">
        <v>8048</v>
      </c>
      <c r="E126">
        <v>8123</v>
      </c>
      <c r="F126">
        <v>7.6</v>
      </c>
      <c r="G126">
        <v>6.4</v>
      </c>
      <c r="H126">
        <v>1.1875</v>
      </c>
      <c r="I126">
        <v>-0.18749996999999999</v>
      </c>
      <c r="J126">
        <v>0.45714285999999998</v>
      </c>
    </row>
    <row r="127" spans="1:10" x14ac:dyDescent="0.3">
      <c r="A127">
        <v>125</v>
      </c>
      <c r="B127">
        <v>1992</v>
      </c>
      <c r="C127" t="b">
        <v>1</v>
      </c>
      <c r="D127">
        <v>8042</v>
      </c>
      <c r="E127">
        <v>8123</v>
      </c>
      <c r="F127">
        <v>7.6</v>
      </c>
      <c r="G127">
        <v>6.8</v>
      </c>
      <c r="H127">
        <v>1.1176470000000001</v>
      </c>
      <c r="I127">
        <v>-0.11764701499999999</v>
      </c>
      <c r="J127">
        <v>0.47222224000000002</v>
      </c>
    </row>
    <row r="128" spans="1:10" x14ac:dyDescent="0.3">
      <c r="A128">
        <v>126</v>
      </c>
      <c r="B128">
        <v>2008</v>
      </c>
      <c r="C128" t="b">
        <v>1</v>
      </c>
      <c r="D128">
        <v>8048</v>
      </c>
      <c r="E128">
        <v>8123</v>
      </c>
      <c r="F128">
        <v>7.6</v>
      </c>
      <c r="G128">
        <v>7.2</v>
      </c>
      <c r="H128">
        <v>1.0555555999999999</v>
      </c>
      <c r="I128">
        <v>-5.5555569999999999E-2</v>
      </c>
      <c r="J128">
        <v>0.48648649999999999</v>
      </c>
    </row>
    <row r="129" spans="1:10" x14ac:dyDescent="0.3">
      <c r="A129">
        <v>127</v>
      </c>
      <c r="B129">
        <v>2023</v>
      </c>
      <c r="C129" t="b">
        <v>1</v>
      </c>
      <c r="D129">
        <v>8048</v>
      </c>
      <c r="E129">
        <v>8129</v>
      </c>
      <c r="F129">
        <v>7.6</v>
      </c>
      <c r="G129">
        <v>7.6</v>
      </c>
      <c r="H129">
        <v>1</v>
      </c>
      <c r="I129">
        <v>0</v>
      </c>
      <c r="J129">
        <v>0.5</v>
      </c>
    </row>
    <row r="130" spans="1:10" x14ac:dyDescent="0.3">
      <c r="A130">
        <v>128</v>
      </c>
      <c r="B130">
        <v>2039</v>
      </c>
      <c r="C130" t="b">
        <v>1</v>
      </c>
      <c r="D130">
        <v>8042</v>
      </c>
      <c r="E130">
        <v>8123</v>
      </c>
      <c r="F130">
        <v>7.6</v>
      </c>
      <c r="G130">
        <v>8</v>
      </c>
      <c r="H130">
        <v>0.95</v>
      </c>
      <c r="I130">
        <v>5.0000012000000003E-2</v>
      </c>
      <c r="J130">
        <v>0.51282050000000001</v>
      </c>
    </row>
    <row r="131" spans="1:10" x14ac:dyDescent="0.3">
      <c r="A131">
        <v>129</v>
      </c>
      <c r="B131">
        <v>2055</v>
      </c>
      <c r="C131" t="b">
        <v>1</v>
      </c>
      <c r="D131">
        <v>8048</v>
      </c>
      <c r="E131">
        <v>8123</v>
      </c>
      <c r="F131">
        <v>7.6</v>
      </c>
      <c r="G131">
        <v>8</v>
      </c>
      <c r="H131">
        <v>0.95</v>
      </c>
      <c r="I131">
        <v>5.0000012000000003E-2</v>
      </c>
      <c r="J131">
        <v>0.51282050000000001</v>
      </c>
    </row>
    <row r="132" spans="1:10" x14ac:dyDescent="0.3">
      <c r="A132">
        <v>130</v>
      </c>
      <c r="B132">
        <v>2071</v>
      </c>
      <c r="C132" t="b">
        <v>1</v>
      </c>
      <c r="D132">
        <v>8042</v>
      </c>
      <c r="E132">
        <v>8134</v>
      </c>
      <c r="F132">
        <v>7.6</v>
      </c>
      <c r="G132">
        <v>8</v>
      </c>
      <c r="H132">
        <v>0.95</v>
      </c>
      <c r="I132">
        <v>5.0000012000000003E-2</v>
      </c>
      <c r="J132">
        <v>0.51282050000000001</v>
      </c>
    </row>
    <row r="133" spans="1:10" x14ac:dyDescent="0.3">
      <c r="A133">
        <v>131</v>
      </c>
      <c r="B133">
        <v>2087</v>
      </c>
      <c r="C133" t="b">
        <v>1</v>
      </c>
      <c r="D133">
        <v>8042</v>
      </c>
      <c r="E133">
        <v>8123</v>
      </c>
      <c r="F133">
        <v>7.2</v>
      </c>
      <c r="G133">
        <v>8</v>
      </c>
      <c r="H133">
        <v>0.9</v>
      </c>
      <c r="I133">
        <v>0.10000002400000001</v>
      </c>
      <c r="J133">
        <v>0.5263158</v>
      </c>
    </row>
    <row r="134" spans="1:10" x14ac:dyDescent="0.3">
      <c r="A134">
        <v>132</v>
      </c>
      <c r="B134">
        <v>2102</v>
      </c>
      <c r="C134" t="b">
        <v>1</v>
      </c>
      <c r="D134">
        <v>8042</v>
      </c>
      <c r="E134">
        <v>8123</v>
      </c>
      <c r="F134">
        <v>6.8</v>
      </c>
      <c r="G134">
        <v>8</v>
      </c>
      <c r="H134">
        <v>0.85</v>
      </c>
      <c r="I134">
        <v>0.14999998</v>
      </c>
      <c r="J134">
        <v>0.54054049999999998</v>
      </c>
    </row>
    <row r="135" spans="1:10" x14ac:dyDescent="0.3">
      <c r="A135">
        <v>133</v>
      </c>
      <c r="B135">
        <v>2118</v>
      </c>
      <c r="C135" t="b">
        <v>1</v>
      </c>
      <c r="D135">
        <v>8042</v>
      </c>
      <c r="E135">
        <v>8129</v>
      </c>
      <c r="F135">
        <v>6.4</v>
      </c>
      <c r="G135">
        <v>8</v>
      </c>
      <c r="H135">
        <v>0.8</v>
      </c>
      <c r="I135">
        <v>0.19999998999999999</v>
      </c>
      <c r="J135">
        <v>0.55555560000000004</v>
      </c>
    </row>
    <row r="136" spans="1:10" x14ac:dyDescent="0.3">
      <c r="A136">
        <v>134</v>
      </c>
      <c r="B136">
        <v>2134</v>
      </c>
      <c r="C136" t="b">
        <v>1</v>
      </c>
      <c r="D136">
        <v>8048</v>
      </c>
      <c r="E136">
        <v>8129</v>
      </c>
      <c r="F136">
        <v>6.4</v>
      </c>
      <c r="G136">
        <v>8.4</v>
      </c>
      <c r="H136">
        <v>0.76190484000000003</v>
      </c>
      <c r="I136">
        <v>0.23809520000000001</v>
      </c>
      <c r="J136">
        <v>0.56756759999999995</v>
      </c>
    </row>
    <row r="137" spans="1:10" x14ac:dyDescent="0.3">
      <c r="A137">
        <v>135</v>
      </c>
      <c r="B137">
        <v>2150</v>
      </c>
      <c r="C137" t="b">
        <v>1</v>
      </c>
      <c r="D137">
        <v>8042</v>
      </c>
      <c r="E137">
        <v>8123</v>
      </c>
      <c r="F137">
        <v>6</v>
      </c>
      <c r="G137">
        <v>8.4</v>
      </c>
      <c r="H137">
        <v>0.71428572999999995</v>
      </c>
      <c r="I137">
        <v>0.28571424000000001</v>
      </c>
      <c r="J137">
        <v>0.58333330000000005</v>
      </c>
    </row>
    <row r="138" spans="1:10" x14ac:dyDescent="0.3">
      <c r="A138">
        <v>136</v>
      </c>
      <c r="B138">
        <v>2166</v>
      </c>
      <c r="C138" t="b">
        <v>1</v>
      </c>
      <c r="D138">
        <v>8042</v>
      </c>
      <c r="E138">
        <v>8129</v>
      </c>
      <c r="F138">
        <v>5.6</v>
      </c>
      <c r="G138">
        <v>8.8000000000000007</v>
      </c>
      <c r="H138">
        <v>0.63636360000000003</v>
      </c>
      <c r="I138">
        <v>0.36363636999999999</v>
      </c>
      <c r="J138">
        <v>0.61111115999999999</v>
      </c>
    </row>
    <row r="139" spans="1:10" x14ac:dyDescent="0.3">
      <c r="A139">
        <v>137</v>
      </c>
      <c r="B139">
        <v>2182</v>
      </c>
      <c r="C139" t="b">
        <v>1</v>
      </c>
      <c r="D139">
        <v>8048</v>
      </c>
      <c r="E139">
        <v>8123</v>
      </c>
      <c r="F139">
        <v>5.2</v>
      </c>
      <c r="G139">
        <v>9.1999999999999993</v>
      </c>
      <c r="H139">
        <v>0.56521739999999998</v>
      </c>
      <c r="I139">
        <v>0.43478262000000001</v>
      </c>
      <c r="J139">
        <v>0.63888889999999998</v>
      </c>
    </row>
    <row r="140" spans="1:10" x14ac:dyDescent="0.3">
      <c r="A140">
        <v>138</v>
      </c>
      <c r="B140">
        <v>2198</v>
      </c>
      <c r="C140" t="b">
        <v>1</v>
      </c>
      <c r="D140">
        <v>8042</v>
      </c>
      <c r="E140">
        <v>8117</v>
      </c>
      <c r="F140">
        <v>4.8</v>
      </c>
      <c r="G140">
        <v>9.1999999999999993</v>
      </c>
      <c r="H140">
        <v>0.52173919999999996</v>
      </c>
      <c r="I140">
        <v>0.47826084000000002</v>
      </c>
      <c r="J140">
        <v>0.65714280000000003</v>
      </c>
    </row>
    <row r="141" spans="1:10" x14ac:dyDescent="0.3">
      <c r="A141">
        <v>139</v>
      </c>
      <c r="B141">
        <v>2214</v>
      </c>
      <c r="C141" t="b">
        <v>1</v>
      </c>
      <c r="D141">
        <v>8048</v>
      </c>
      <c r="E141">
        <v>8117</v>
      </c>
      <c r="F141">
        <v>4.4000000000000004</v>
      </c>
      <c r="G141">
        <v>9.1999999999999993</v>
      </c>
      <c r="H141">
        <v>0.47826089999999999</v>
      </c>
      <c r="I141">
        <v>0.52173910000000001</v>
      </c>
      <c r="J141">
        <v>0.67647060000000003</v>
      </c>
    </row>
    <row r="142" spans="1:10" x14ac:dyDescent="0.3">
      <c r="A142">
        <v>140</v>
      </c>
      <c r="B142">
        <v>2230</v>
      </c>
      <c r="C142" t="b">
        <v>1</v>
      </c>
      <c r="D142">
        <v>8042</v>
      </c>
      <c r="E142">
        <v>8123</v>
      </c>
      <c r="F142">
        <v>4</v>
      </c>
      <c r="G142">
        <v>9.1999999999999993</v>
      </c>
      <c r="H142">
        <v>0.43478262000000001</v>
      </c>
      <c r="I142">
        <v>0.56521739999999998</v>
      </c>
      <c r="J142">
        <v>0.69696970000000003</v>
      </c>
    </row>
    <row r="143" spans="1:10" x14ac:dyDescent="0.3">
      <c r="A143">
        <v>141</v>
      </c>
      <c r="B143">
        <v>2245</v>
      </c>
      <c r="C143" t="b">
        <v>1</v>
      </c>
      <c r="D143">
        <v>8042</v>
      </c>
      <c r="E143">
        <v>8123</v>
      </c>
      <c r="F143">
        <v>3.6</v>
      </c>
      <c r="G143">
        <v>9.1999999999999993</v>
      </c>
      <c r="H143">
        <v>0.39130433999999997</v>
      </c>
      <c r="I143">
        <v>0.6086956</v>
      </c>
      <c r="J143">
        <v>0.71875</v>
      </c>
    </row>
    <row r="144" spans="1:10" x14ac:dyDescent="0.3">
      <c r="A144">
        <v>142</v>
      </c>
      <c r="B144">
        <v>2260</v>
      </c>
      <c r="C144" t="b">
        <v>1</v>
      </c>
      <c r="D144">
        <v>8048</v>
      </c>
      <c r="E144">
        <v>8123</v>
      </c>
      <c r="F144">
        <v>3.2</v>
      </c>
      <c r="G144">
        <v>9.1999999999999993</v>
      </c>
      <c r="H144">
        <v>0.34782610000000003</v>
      </c>
      <c r="I144">
        <v>0.65217393999999995</v>
      </c>
      <c r="J144">
        <v>0.74193549999999997</v>
      </c>
    </row>
    <row r="145" spans="1:10" x14ac:dyDescent="0.3">
      <c r="A145">
        <v>143</v>
      </c>
      <c r="B145">
        <v>2276</v>
      </c>
      <c r="C145" t="b">
        <v>1</v>
      </c>
      <c r="D145">
        <v>8042</v>
      </c>
      <c r="E145">
        <v>8123</v>
      </c>
      <c r="F145">
        <v>2.8</v>
      </c>
      <c r="G145">
        <v>9.1999999999999993</v>
      </c>
      <c r="H145">
        <v>0.3043478</v>
      </c>
      <c r="I145">
        <v>0.6956521</v>
      </c>
      <c r="J145">
        <v>0.76666665000000001</v>
      </c>
    </row>
    <row r="146" spans="1:10" x14ac:dyDescent="0.3">
      <c r="A146">
        <v>144</v>
      </c>
      <c r="B146">
        <v>2292</v>
      </c>
      <c r="C146" t="b">
        <v>1</v>
      </c>
      <c r="D146">
        <v>8048</v>
      </c>
      <c r="E146">
        <v>8117</v>
      </c>
      <c r="F146">
        <v>2.4</v>
      </c>
      <c r="G146">
        <v>9.1999999999999993</v>
      </c>
      <c r="H146">
        <v>0.26086959999999998</v>
      </c>
      <c r="I146">
        <v>0.73913044000000006</v>
      </c>
      <c r="J146">
        <v>0.79310340000000001</v>
      </c>
    </row>
    <row r="147" spans="1:10" x14ac:dyDescent="0.3">
      <c r="A147">
        <v>145</v>
      </c>
      <c r="B147">
        <v>2308</v>
      </c>
      <c r="C147" t="b">
        <v>1</v>
      </c>
      <c r="D147">
        <v>8042</v>
      </c>
      <c r="E147">
        <v>8123</v>
      </c>
      <c r="F147">
        <v>2</v>
      </c>
      <c r="G147">
        <v>9.1999999999999993</v>
      </c>
      <c r="H147">
        <v>0.21739131</v>
      </c>
      <c r="I147">
        <v>0.78260870000000005</v>
      </c>
      <c r="J147">
        <v>0.82142859999999995</v>
      </c>
    </row>
    <row r="148" spans="1:10" x14ac:dyDescent="0.3">
      <c r="A148">
        <v>146</v>
      </c>
      <c r="B148">
        <v>2324</v>
      </c>
      <c r="C148" t="b">
        <v>1</v>
      </c>
      <c r="D148">
        <v>8048</v>
      </c>
      <c r="E148">
        <v>8129</v>
      </c>
      <c r="F148">
        <v>2.4</v>
      </c>
      <c r="G148">
        <v>9.1999999999999993</v>
      </c>
      <c r="H148">
        <v>0.26086959999999998</v>
      </c>
      <c r="I148">
        <v>0.73913044000000006</v>
      </c>
      <c r="J148">
        <v>0.79310340000000001</v>
      </c>
    </row>
    <row r="149" spans="1:10" x14ac:dyDescent="0.3">
      <c r="A149">
        <v>147</v>
      </c>
      <c r="B149">
        <v>2340</v>
      </c>
      <c r="C149" t="b">
        <v>1</v>
      </c>
      <c r="D149">
        <v>8042</v>
      </c>
      <c r="E149">
        <v>8123</v>
      </c>
      <c r="F149">
        <v>2.4</v>
      </c>
      <c r="G149">
        <v>9.1999999999999993</v>
      </c>
      <c r="H149">
        <v>0.26086959999999998</v>
      </c>
      <c r="I149">
        <v>0.73913044000000006</v>
      </c>
      <c r="J149">
        <v>0.79310340000000001</v>
      </c>
    </row>
    <row r="150" spans="1:10" x14ac:dyDescent="0.3">
      <c r="A150">
        <v>148</v>
      </c>
      <c r="B150">
        <v>2356</v>
      </c>
      <c r="C150" t="b">
        <v>1</v>
      </c>
      <c r="D150">
        <v>8048</v>
      </c>
      <c r="E150">
        <v>8123</v>
      </c>
      <c r="F150">
        <v>2.8</v>
      </c>
      <c r="G150">
        <v>9.1999999999999993</v>
      </c>
      <c r="H150">
        <v>0.3043478</v>
      </c>
      <c r="I150">
        <v>0.6956521</v>
      </c>
      <c r="J150">
        <v>0.76666665000000001</v>
      </c>
    </row>
    <row r="151" spans="1:10" x14ac:dyDescent="0.3">
      <c r="A151">
        <v>149</v>
      </c>
      <c r="B151">
        <v>2371</v>
      </c>
      <c r="C151" t="b">
        <v>1</v>
      </c>
      <c r="D151">
        <v>8048</v>
      </c>
      <c r="E151">
        <v>8123</v>
      </c>
      <c r="F151">
        <v>3.2</v>
      </c>
      <c r="G151">
        <v>8.8000000000000007</v>
      </c>
      <c r="H151">
        <v>0.36363636999999999</v>
      </c>
      <c r="I151">
        <v>0.63636369999999998</v>
      </c>
      <c r="J151">
        <v>0.73333334999999999</v>
      </c>
    </row>
    <row r="152" spans="1:10" x14ac:dyDescent="0.3">
      <c r="A152">
        <v>150</v>
      </c>
      <c r="B152">
        <v>2387</v>
      </c>
      <c r="C152" t="b">
        <v>1</v>
      </c>
      <c r="D152">
        <v>8048</v>
      </c>
      <c r="E152">
        <v>8123</v>
      </c>
      <c r="F152">
        <v>3.6</v>
      </c>
      <c r="G152">
        <v>8.8000000000000007</v>
      </c>
      <c r="H152">
        <v>0.40909087999999999</v>
      </c>
      <c r="I152">
        <v>0.59090909999999996</v>
      </c>
      <c r="J152">
        <v>0.70967745999999998</v>
      </c>
    </row>
    <row r="153" spans="1:10" x14ac:dyDescent="0.3">
      <c r="A153">
        <v>151</v>
      </c>
      <c r="B153">
        <v>2402</v>
      </c>
      <c r="C153" t="b">
        <v>1</v>
      </c>
      <c r="D153">
        <v>8048</v>
      </c>
      <c r="E153">
        <v>8123</v>
      </c>
      <c r="F153">
        <v>4</v>
      </c>
      <c r="G153">
        <v>8.4</v>
      </c>
      <c r="H153">
        <v>0.47619050000000002</v>
      </c>
      <c r="I153">
        <v>0.52380950000000004</v>
      </c>
      <c r="J153">
        <v>0.67741936000000003</v>
      </c>
    </row>
    <row r="154" spans="1:10" x14ac:dyDescent="0.3">
      <c r="A154">
        <v>152</v>
      </c>
      <c r="B154">
        <v>2418</v>
      </c>
      <c r="C154" t="b">
        <v>1</v>
      </c>
      <c r="D154">
        <v>8048</v>
      </c>
      <c r="E154">
        <v>8123</v>
      </c>
      <c r="F154">
        <v>4.4000000000000004</v>
      </c>
      <c r="G154">
        <v>8</v>
      </c>
      <c r="H154">
        <v>0.55000000000000004</v>
      </c>
      <c r="I154">
        <v>0.45</v>
      </c>
      <c r="J154">
        <v>0.64516132999999998</v>
      </c>
    </row>
    <row r="155" spans="1:10" x14ac:dyDescent="0.3">
      <c r="A155">
        <v>153</v>
      </c>
      <c r="B155">
        <v>2433</v>
      </c>
      <c r="C155" t="b">
        <v>1</v>
      </c>
      <c r="D155">
        <v>8048</v>
      </c>
      <c r="E155">
        <v>8123</v>
      </c>
      <c r="F155">
        <v>4.8</v>
      </c>
      <c r="G155">
        <v>8</v>
      </c>
      <c r="H155">
        <v>0.6</v>
      </c>
      <c r="I155">
        <v>0.39999997999999998</v>
      </c>
      <c r="J155">
        <v>0.625</v>
      </c>
    </row>
    <row r="156" spans="1:10" x14ac:dyDescent="0.3">
      <c r="A156">
        <v>154</v>
      </c>
      <c r="B156">
        <v>2449</v>
      </c>
      <c r="C156" t="b">
        <v>1</v>
      </c>
      <c r="D156">
        <v>8042</v>
      </c>
      <c r="E156">
        <v>8123</v>
      </c>
      <c r="F156">
        <v>5.2</v>
      </c>
      <c r="G156">
        <v>8</v>
      </c>
      <c r="H156">
        <v>0.65</v>
      </c>
      <c r="I156">
        <v>0.35000002000000002</v>
      </c>
      <c r="J156">
        <v>0.60606059999999995</v>
      </c>
    </row>
    <row r="157" spans="1:10" x14ac:dyDescent="0.3">
      <c r="A157">
        <v>155</v>
      </c>
      <c r="B157">
        <v>2465</v>
      </c>
      <c r="C157" t="b">
        <v>1</v>
      </c>
      <c r="D157">
        <v>8042</v>
      </c>
      <c r="E157">
        <v>8123</v>
      </c>
      <c r="F157">
        <v>5.6</v>
      </c>
      <c r="G157">
        <v>8</v>
      </c>
      <c r="H157">
        <v>0.7</v>
      </c>
      <c r="I157">
        <v>0.3</v>
      </c>
      <c r="J157">
        <v>0.58823526000000004</v>
      </c>
    </row>
    <row r="158" spans="1:10" x14ac:dyDescent="0.3">
      <c r="A158">
        <v>156</v>
      </c>
      <c r="B158">
        <v>2481</v>
      </c>
      <c r="C158" t="b">
        <v>1</v>
      </c>
      <c r="D158">
        <v>8042</v>
      </c>
      <c r="E158">
        <v>8123</v>
      </c>
      <c r="F158">
        <v>5.6</v>
      </c>
      <c r="G158">
        <v>8</v>
      </c>
      <c r="H158">
        <v>0.7</v>
      </c>
      <c r="I158">
        <v>0.3</v>
      </c>
      <c r="J158">
        <v>0.58823526000000004</v>
      </c>
    </row>
    <row r="159" spans="1:10" x14ac:dyDescent="0.3">
      <c r="A159">
        <v>157</v>
      </c>
      <c r="B159">
        <v>2497</v>
      </c>
      <c r="C159" t="b">
        <v>1</v>
      </c>
      <c r="D159">
        <v>8042</v>
      </c>
      <c r="E159">
        <v>8123</v>
      </c>
      <c r="F159">
        <v>5.6</v>
      </c>
      <c r="G159">
        <v>8</v>
      </c>
      <c r="H159">
        <v>0.7</v>
      </c>
      <c r="I159">
        <v>0.3</v>
      </c>
      <c r="J159">
        <v>0.58823526000000004</v>
      </c>
    </row>
    <row r="160" spans="1:10" x14ac:dyDescent="0.3">
      <c r="A160">
        <v>158</v>
      </c>
      <c r="B160">
        <v>2512</v>
      </c>
      <c r="C160" t="b">
        <v>1</v>
      </c>
      <c r="D160">
        <v>8048</v>
      </c>
      <c r="E160">
        <v>8129</v>
      </c>
      <c r="F160">
        <v>5.6</v>
      </c>
      <c r="G160">
        <v>8</v>
      </c>
      <c r="H160">
        <v>0.7</v>
      </c>
      <c r="I160">
        <v>0.3</v>
      </c>
      <c r="J160">
        <v>0.58823526000000004</v>
      </c>
    </row>
    <row r="161" spans="1:10" x14ac:dyDescent="0.3">
      <c r="A161">
        <v>159</v>
      </c>
      <c r="B161">
        <v>2528</v>
      </c>
      <c r="C161" t="b">
        <v>1</v>
      </c>
      <c r="D161">
        <v>8048</v>
      </c>
      <c r="E161">
        <v>8129</v>
      </c>
      <c r="F161">
        <v>5.6</v>
      </c>
      <c r="G161">
        <v>8</v>
      </c>
      <c r="H161">
        <v>0.7</v>
      </c>
      <c r="I161">
        <v>0.3</v>
      </c>
      <c r="J161">
        <v>0.58823526000000004</v>
      </c>
    </row>
    <row r="162" spans="1:10" x14ac:dyDescent="0.3">
      <c r="A162">
        <v>160</v>
      </c>
      <c r="B162">
        <v>2544</v>
      </c>
      <c r="C162" t="b">
        <v>1</v>
      </c>
      <c r="D162">
        <v>8042</v>
      </c>
      <c r="E162">
        <v>8123</v>
      </c>
      <c r="F162">
        <v>5.6</v>
      </c>
      <c r="G162">
        <v>8</v>
      </c>
      <c r="H162">
        <v>0.7</v>
      </c>
      <c r="I162">
        <v>0.3</v>
      </c>
      <c r="J162">
        <v>0.58823526000000004</v>
      </c>
    </row>
    <row r="163" spans="1:10" x14ac:dyDescent="0.3">
      <c r="A163">
        <v>161</v>
      </c>
      <c r="B163">
        <v>2560</v>
      </c>
      <c r="C163" t="b">
        <v>1</v>
      </c>
      <c r="D163">
        <v>8042</v>
      </c>
      <c r="E163">
        <v>8123</v>
      </c>
      <c r="F163">
        <v>5.2</v>
      </c>
      <c r="G163">
        <v>8</v>
      </c>
      <c r="H163">
        <v>0.65</v>
      </c>
      <c r="I163">
        <v>0.35000002000000002</v>
      </c>
      <c r="J163">
        <v>0.60606059999999995</v>
      </c>
    </row>
    <row r="164" spans="1:10" x14ac:dyDescent="0.3">
      <c r="A164">
        <v>162</v>
      </c>
      <c r="B164">
        <v>2575</v>
      </c>
      <c r="C164" t="b">
        <v>1</v>
      </c>
      <c r="D164">
        <v>8042</v>
      </c>
      <c r="E164">
        <v>8123</v>
      </c>
      <c r="F164">
        <v>5.2</v>
      </c>
      <c r="G164">
        <v>8</v>
      </c>
      <c r="H164">
        <v>0.65</v>
      </c>
      <c r="I164">
        <v>0.35000002000000002</v>
      </c>
      <c r="J164">
        <v>0.60606059999999995</v>
      </c>
    </row>
    <row r="165" spans="1:10" x14ac:dyDescent="0.3">
      <c r="A165">
        <v>163</v>
      </c>
      <c r="B165">
        <v>2591</v>
      </c>
      <c r="C165" t="b">
        <v>1</v>
      </c>
      <c r="D165">
        <v>8048</v>
      </c>
      <c r="E165">
        <v>8123</v>
      </c>
      <c r="F165">
        <v>4.8</v>
      </c>
      <c r="G165">
        <v>8</v>
      </c>
      <c r="H165">
        <v>0.6</v>
      </c>
      <c r="I165">
        <v>0.39999997999999998</v>
      </c>
      <c r="J165">
        <v>0.625</v>
      </c>
    </row>
    <row r="166" spans="1:10" x14ac:dyDescent="0.3">
      <c r="A166">
        <v>164</v>
      </c>
      <c r="B166">
        <v>2606</v>
      </c>
      <c r="C166" t="b">
        <v>1</v>
      </c>
      <c r="D166">
        <v>8048</v>
      </c>
      <c r="E166">
        <v>8123</v>
      </c>
      <c r="F166">
        <v>4.4000000000000004</v>
      </c>
      <c r="G166">
        <v>8</v>
      </c>
      <c r="H166">
        <v>0.55000000000000004</v>
      </c>
      <c r="I166">
        <v>0.45</v>
      </c>
      <c r="J166">
        <v>0.64516132999999998</v>
      </c>
    </row>
    <row r="167" spans="1:10" x14ac:dyDescent="0.3">
      <c r="A167">
        <v>165</v>
      </c>
      <c r="B167">
        <v>2623</v>
      </c>
      <c r="C167" t="b">
        <v>1</v>
      </c>
      <c r="D167">
        <v>8048</v>
      </c>
      <c r="E167">
        <v>8129</v>
      </c>
      <c r="F167">
        <v>4.4000000000000004</v>
      </c>
      <c r="G167">
        <v>8</v>
      </c>
      <c r="H167">
        <v>0.55000000000000004</v>
      </c>
      <c r="I167">
        <v>0.45</v>
      </c>
      <c r="J167">
        <v>0.64516132999999998</v>
      </c>
    </row>
    <row r="168" spans="1:10" x14ac:dyDescent="0.3">
      <c r="A168">
        <v>166</v>
      </c>
      <c r="B168">
        <v>2638</v>
      </c>
      <c r="C168" t="b">
        <v>1</v>
      </c>
      <c r="D168">
        <v>8042</v>
      </c>
      <c r="E168">
        <v>8129</v>
      </c>
      <c r="F168">
        <v>4.4000000000000004</v>
      </c>
      <c r="G168">
        <v>8</v>
      </c>
      <c r="H168">
        <v>0.55000000000000004</v>
      </c>
      <c r="I168">
        <v>0.45</v>
      </c>
      <c r="J168">
        <v>0.64516132999999998</v>
      </c>
    </row>
    <row r="169" spans="1:10" x14ac:dyDescent="0.3">
      <c r="A169">
        <v>167</v>
      </c>
      <c r="B169">
        <v>2654</v>
      </c>
      <c r="C169" t="b">
        <v>1</v>
      </c>
      <c r="D169">
        <v>8048</v>
      </c>
      <c r="E169">
        <v>8123</v>
      </c>
      <c r="F169">
        <v>4.4000000000000004</v>
      </c>
      <c r="G169">
        <v>8</v>
      </c>
      <c r="H169">
        <v>0.55000000000000004</v>
      </c>
      <c r="I169">
        <v>0.45</v>
      </c>
      <c r="J169">
        <v>0.64516132999999998</v>
      </c>
    </row>
    <row r="170" spans="1:10" x14ac:dyDescent="0.3">
      <c r="A170">
        <v>168</v>
      </c>
      <c r="B170">
        <v>2670</v>
      </c>
      <c r="C170" t="b">
        <v>1</v>
      </c>
      <c r="D170">
        <v>8048</v>
      </c>
      <c r="E170">
        <v>8117</v>
      </c>
      <c r="F170">
        <v>4.4000000000000004</v>
      </c>
      <c r="G170">
        <v>8</v>
      </c>
      <c r="H170">
        <v>0.55000000000000004</v>
      </c>
      <c r="I170">
        <v>0.45</v>
      </c>
      <c r="J170">
        <v>0.64516132999999998</v>
      </c>
    </row>
    <row r="171" spans="1:10" x14ac:dyDescent="0.3">
      <c r="A171">
        <v>169</v>
      </c>
      <c r="B171">
        <v>2686</v>
      </c>
      <c r="C171" t="b">
        <v>1</v>
      </c>
      <c r="D171">
        <v>8042</v>
      </c>
      <c r="E171">
        <v>8123</v>
      </c>
      <c r="F171">
        <v>4.4000000000000004</v>
      </c>
      <c r="G171">
        <v>8</v>
      </c>
      <c r="H171">
        <v>0.55000000000000004</v>
      </c>
      <c r="I171">
        <v>0.45</v>
      </c>
      <c r="J171">
        <v>0.64516132999999998</v>
      </c>
    </row>
    <row r="172" spans="1:10" x14ac:dyDescent="0.3">
      <c r="A172">
        <v>170</v>
      </c>
      <c r="B172">
        <v>2702</v>
      </c>
      <c r="C172" t="b">
        <v>1</v>
      </c>
      <c r="D172">
        <v>8048</v>
      </c>
      <c r="E172">
        <v>8123</v>
      </c>
      <c r="F172">
        <v>4.4000000000000004</v>
      </c>
      <c r="G172">
        <v>8</v>
      </c>
      <c r="H172">
        <v>0.55000000000000004</v>
      </c>
      <c r="I172">
        <v>0.45</v>
      </c>
      <c r="J172">
        <v>0.64516132999999998</v>
      </c>
    </row>
    <row r="173" spans="1:10" x14ac:dyDescent="0.3">
      <c r="A173">
        <v>171</v>
      </c>
      <c r="B173">
        <v>2718</v>
      </c>
      <c r="C173" t="b">
        <v>1</v>
      </c>
      <c r="D173">
        <v>8048</v>
      </c>
      <c r="E173">
        <v>8123</v>
      </c>
      <c r="F173">
        <v>4.8</v>
      </c>
      <c r="G173">
        <v>8</v>
      </c>
      <c r="H173">
        <v>0.6</v>
      </c>
      <c r="I173">
        <v>0.39999997999999998</v>
      </c>
      <c r="J173">
        <v>0.625</v>
      </c>
    </row>
    <row r="174" spans="1:10" x14ac:dyDescent="0.3">
      <c r="A174">
        <v>172</v>
      </c>
      <c r="B174">
        <v>2733</v>
      </c>
      <c r="C174" t="b">
        <v>1</v>
      </c>
      <c r="D174">
        <v>8048</v>
      </c>
      <c r="E174">
        <v>8134</v>
      </c>
      <c r="F174">
        <v>5.2</v>
      </c>
      <c r="G174">
        <v>8</v>
      </c>
      <c r="H174">
        <v>0.65</v>
      </c>
      <c r="I174">
        <v>0.35000002000000002</v>
      </c>
      <c r="J174">
        <v>0.60606059999999995</v>
      </c>
    </row>
    <row r="175" spans="1:10" x14ac:dyDescent="0.3">
      <c r="A175">
        <v>173</v>
      </c>
      <c r="B175">
        <v>2749</v>
      </c>
      <c r="C175" t="b">
        <v>1</v>
      </c>
      <c r="D175">
        <v>8048</v>
      </c>
      <c r="E175">
        <v>8129</v>
      </c>
      <c r="F175">
        <v>5.6</v>
      </c>
      <c r="G175">
        <v>8</v>
      </c>
      <c r="H175">
        <v>0.7</v>
      </c>
      <c r="I175">
        <v>0.3</v>
      </c>
      <c r="J175">
        <v>0.58823526000000004</v>
      </c>
    </row>
    <row r="176" spans="1:10" x14ac:dyDescent="0.3">
      <c r="A176">
        <v>174</v>
      </c>
      <c r="B176">
        <v>2765</v>
      </c>
      <c r="C176" t="b">
        <v>1</v>
      </c>
      <c r="D176">
        <v>8048</v>
      </c>
      <c r="E176">
        <v>8123</v>
      </c>
      <c r="F176">
        <v>6</v>
      </c>
      <c r="G176">
        <v>8</v>
      </c>
      <c r="H176">
        <v>0.75</v>
      </c>
      <c r="I176">
        <v>0.25</v>
      </c>
      <c r="J176">
        <v>0.57142859999999995</v>
      </c>
    </row>
    <row r="177" spans="1:10" x14ac:dyDescent="0.3">
      <c r="A177">
        <v>175</v>
      </c>
      <c r="B177">
        <v>2781</v>
      </c>
      <c r="C177" t="b">
        <v>1</v>
      </c>
      <c r="D177">
        <v>8048</v>
      </c>
      <c r="E177">
        <v>8123</v>
      </c>
      <c r="F177">
        <v>6.4</v>
      </c>
      <c r="G177">
        <v>8</v>
      </c>
      <c r="H177">
        <v>0.8</v>
      </c>
      <c r="I177">
        <v>0.19999998999999999</v>
      </c>
      <c r="J177">
        <v>0.55555560000000004</v>
      </c>
    </row>
    <row r="178" spans="1:10" x14ac:dyDescent="0.3">
      <c r="A178">
        <v>176</v>
      </c>
      <c r="B178">
        <v>2797</v>
      </c>
      <c r="C178" t="b">
        <v>1</v>
      </c>
      <c r="D178">
        <v>8042</v>
      </c>
      <c r="E178">
        <v>8123</v>
      </c>
      <c r="F178">
        <v>6.8</v>
      </c>
      <c r="G178">
        <v>8</v>
      </c>
      <c r="H178">
        <v>0.85</v>
      </c>
      <c r="I178">
        <v>0.14999998</v>
      </c>
      <c r="J178">
        <v>0.54054049999999998</v>
      </c>
    </row>
    <row r="179" spans="1:10" x14ac:dyDescent="0.3">
      <c r="A179">
        <v>177</v>
      </c>
      <c r="B179">
        <v>2813</v>
      </c>
      <c r="C179" t="b">
        <v>1</v>
      </c>
      <c r="D179">
        <v>8048</v>
      </c>
      <c r="E179">
        <v>8129</v>
      </c>
      <c r="F179">
        <v>7.2</v>
      </c>
      <c r="G179">
        <v>8</v>
      </c>
      <c r="H179">
        <v>0.9</v>
      </c>
      <c r="I179">
        <v>0.10000002400000001</v>
      </c>
      <c r="J179">
        <v>0.5263158</v>
      </c>
    </row>
    <row r="180" spans="1:10" x14ac:dyDescent="0.3">
      <c r="A180">
        <v>178</v>
      </c>
      <c r="B180">
        <v>2829</v>
      </c>
      <c r="C180" t="b">
        <v>1</v>
      </c>
      <c r="D180">
        <v>8048</v>
      </c>
      <c r="E180">
        <v>8129</v>
      </c>
      <c r="F180">
        <v>7.6</v>
      </c>
      <c r="G180">
        <v>8</v>
      </c>
      <c r="H180">
        <v>0.95</v>
      </c>
      <c r="I180">
        <v>5.0000012000000003E-2</v>
      </c>
      <c r="J180">
        <v>0.51282050000000001</v>
      </c>
    </row>
    <row r="181" spans="1:10" x14ac:dyDescent="0.3">
      <c r="A181">
        <v>179</v>
      </c>
      <c r="B181">
        <v>2844</v>
      </c>
      <c r="C181" t="b">
        <v>1</v>
      </c>
      <c r="D181">
        <v>8048</v>
      </c>
      <c r="E181">
        <v>8123</v>
      </c>
      <c r="F181">
        <v>8</v>
      </c>
      <c r="G181">
        <v>8</v>
      </c>
      <c r="H181">
        <v>1</v>
      </c>
      <c r="I181">
        <v>0</v>
      </c>
      <c r="J181">
        <v>0.5</v>
      </c>
    </row>
    <row r="182" spans="1:10" x14ac:dyDescent="0.3">
      <c r="A182">
        <v>180</v>
      </c>
      <c r="B182">
        <v>2861</v>
      </c>
      <c r="C182" t="b">
        <v>1</v>
      </c>
      <c r="D182">
        <v>8048</v>
      </c>
      <c r="E182">
        <v>8123</v>
      </c>
      <c r="F182">
        <v>8</v>
      </c>
      <c r="G182">
        <v>8</v>
      </c>
      <c r="H182">
        <v>1</v>
      </c>
      <c r="I182">
        <v>0</v>
      </c>
      <c r="J182">
        <v>0.5</v>
      </c>
    </row>
    <row r="183" spans="1:10" x14ac:dyDescent="0.3">
      <c r="A183">
        <v>181</v>
      </c>
      <c r="B183">
        <v>2876</v>
      </c>
      <c r="C183" t="b">
        <v>1</v>
      </c>
      <c r="D183">
        <v>8048</v>
      </c>
      <c r="E183">
        <v>8123</v>
      </c>
      <c r="F183">
        <v>8</v>
      </c>
      <c r="G183">
        <v>8</v>
      </c>
      <c r="H183">
        <v>1</v>
      </c>
      <c r="I183">
        <v>0</v>
      </c>
      <c r="J183">
        <v>0.5</v>
      </c>
    </row>
    <row r="184" spans="1:10" x14ac:dyDescent="0.3">
      <c r="A184">
        <v>182</v>
      </c>
      <c r="B184">
        <v>2892</v>
      </c>
      <c r="C184" t="b">
        <v>1</v>
      </c>
      <c r="D184">
        <v>8042</v>
      </c>
      <c r="E184">
        <v>8129</v>
      </c>
      <c r="F184">
        <v>8</v>
      </c>
      <c r="G184">
        <v>8</v>
      </c>
      <c r="H184">
        <v>1</v>
      </c>
      <c r="I184">
        <v>0</v>
      </c>
      <c r="J184">
        <v>0.5</v>
      </c>
    </row>
    <row r="185" spans="1:10" x14ac:dyDescent="0.3">
      <c r="A185">
        <v>183</v>
      </c>
      <c r="B185">
        <v>2908</v>
      </c>
      <c r="C185" t="b">
        <v>1</v>
      </c>
      <c r="D185">
        <v>8042</v>
      </c>
      <c r="E185">
        <v>8129</v>
      </c>
      <c r="F185">
        <v>8</v>
      </c>
      <c r="G185">
        <v>8</v>
      </c>
      <c r="H185">
        <v>1</v>
      </c>
      <c r="I185">
        <v>0</v>
      </c>
      <c r="J185">
        <v>0.5</v>
      </c>
    </row>
    <row r="186" spans="1:10" x14ac:dyDescent="0.3">
      <c r="A186">
        <v>184</v>
      </c>
      <c r="B186">
        <v>2932</v>
      </c>
      <c r="C186" t="b">
        <v>1</v>
      </c>
      <c r="D186">
        <v>8048</v>
      </c>
      <c r="E186">
        <v>8134</v>
      </c>
      <c r="F186">
        <v>8</v>
      </c>
      <c r="G186">
        <v>8.4</v>
      </c>
      <c r="H186">
        <v>0.95238100000000003</v>
      </c>
      <c r="I186">
        <v>4.7619003999999999E-2</v>
      </c>
      <c r="J186">
        <v>0.51219510000000001</v>
      </c>
    </row>
    <row r="187" spans="1:10" x14ac:dyDescent="0.3">
      <c r="A187">
        <v>185</v>
      </c>
      <c r="B187">
        <v>2948</v>
      </c>
      <c r="C187" t="b">
        <v>1</v>
      </c>
      <c r="D187">
        <v>8054</v>
      </c>
      <c r="E187">
        <v>8129</v>
      </c>
      <c r="F187">
        <v>8</v>
      </c>
      <c r="G187">
        <v>8.8000000000000007</v>
      </c>
      <c r="H187">
        <v>0.90909090000000004</v>
      </c>
      <c r="I187">
        <v>9.0909110000000001E-2</v>
      </c>
      <c r="J187">
        <v>0.52380954999999996</v>
      </c>
    </row>
    <row r="188" spans="1:10" x14ac:dyDescent="0.3">
      <c r="A188">
        <v>186</v>
      </c>
      <c r="B188">
        <v>2964</v>
      </c>
      <c r="C188" t="b">
        <v>1</v>
      </c>
      <c r="D188">
        <v>8048</v>
      </c>
      <c r="E188">
        <v>8123</v>
      </c>
      <c r="F188">
        <v>8</v>
      </c>
      <c r="G188">
        <v>9.1999999999999993</v>
      </c>
      <c r="H188">
        <v>0.86956524999999996</v>
      </c>
      <c r="I188">
        <v>0.13043477000000001</v>
      </c>
      <c r="J188">
        <v>0.53488369999999996</v>
      </c>
    </row>
    <row r="189" spans="1:10" x14ac:dyDescent="0.3">
      <c r="A189">
        <v>187</v>
      </c>
      <c r="B189">
        <v>2980</v>
      </c>
      <c r="C189" t="b">
        <v>1</v>
      </c>
      <c r="D189">
        <v>8048</v>
      </c>
      <c r="E189">
        <v>8123</v>
      </c>
      <c r="F189">
        <v>8</v>
      </c>
      <c r="G189">
        <v>9.6</v>
      </c>
      <c r="H189">
        <v>0.83333330000000005</v>
      </c>
      <c r="I189">
        <v>0.1666667</v>
      </c>
      <c r="J189">
        <v>0.54545456000000003</v>
      </c>
    </row>
    <row r="190" spans="1:10" x14ac:dyDescent="0.3">
      <c r="A190">
        <v>188</v>
      </c>
      <c r="B190">
        <v>2995</v>
      </c>
      <c r="C190" t="b">
        <v>1</v>
      </c>
      <c r="D190">
        <v>8048</v>
      </c>
      <c r="E190">
        <v>8123</v>
      </c>
      <c r="F190">
        <v>8</v>
      </c>
      <c r="G190">
        <v>9.6</v>
      </c>
      <c r="H190">
        <v>0.83333330000000005</v>
      </c>
      <c r="I190">
        <v>0.1666667</v>
      </c>
      <c r="J190">
        <v>0.54545456000000003</v>
      </c>
    </row>
    <row r="191" spans="1:10" x14ac:dyDescent="0.3">
      <c r="A191">
        <v>189</v>
      </c>
      <c r="B191">
        <v>3011</v>
      </c>
      <c r="C191" t="b">
        <v>1</v>
      </c>
      <c r="D191">
        <v>8048</v>
      </c>
      <c r="E191">
        <v>8123</v>
      </c>
      <c r="F191">
        <v>8</v>
      </c>
      <c r="G191">
        <v>9.6</v>
      </c>
      <c r="H191">
        <v>0.83333330000000005</v>
      </c>
      <c r="I191">
        <v>0.1666667</v>
      </c>
      <c r="J191">
        <v>0.54545456000000003</v>
      </c>
    </row>
    <row r="192" spans="1:10" x14ac:dyDescent="0.3">
      <c r="A192">
        <v>190</v>
      </c>
      <c r="B192">
        <v>3027</v>
      </c>
      <c r="C192" t="b">
        <v>1</v>
      </c>
      <c r="D192">
        <v>8048</v>
      </c>
      <c r="E192">
        <v>8123</v>
      </c>
      <c r="F192">
        <v>8</v>
      </c>
      <c r="G192">
        <v>9.6</v>
      </c>
      <c r="H192">
        <v>0.83333330000000005</v>
      </c>
      <c r="I192">
        <v>0.1666667</v>
      </c>
      <c r="J192">
        <v>0.54545456000000003</v>
      </c>
    </row>
    <row r="193" spans="1:10" x14ac:dyDescent="0.3">
      <c r="A193">
        <v>191</v>
      </c>
      <c r="B193">
        <v>3043</v>
      </c>
      <c r="C193" t="b">
        <v>1</v>
      </c>
      <c r="D193">
        <v>8048</v>
      </c>
      <c r="E193">
        <v>8123</v>
      </c>
      <c r="F193">
        <v>8</v>
      </c>
      <c r="G193">
        <v>9.6</v>
      </c>
      <c r="H193">
        <v>0.83333330000000005</v>
      </c>
      <c r="I193">
        <v>0.1666667</v>
      </c>
      <c r="J193">
        <v>0.54545456000000003</v>
      </c>
    </row>
    <row r="194" spans="1:10" x14ac:dyDescent="0.3">
      <c r="A194">
        <v>192</v>
      </c>
      <c r="B194">
        <v>3059</v>
      </c>
      <c r="C194" t="b">
        <v>1</v>
      </c>
      <c r="D194">
        <v>8042</v>
      </c>
      <c r="E194">
        <v>8123</v>
      </c>
      <c r="F194">
        <v>8</v>
      </c>
      <c r="G194">
        <v>9.6</v>
      </c>
      <c r="H194">
        <v>0.83333330000000005</v>
      </c>
      <c r="I194">
        <v>0.1666667</v>
      </c>
      <c r="J194">
        <v>0.54545456000000003</v>
      </c>
    </row>
    <row r="195" spans="1:10" x14ac:dyDescent="0.3">
      <c r="A195">
        <v>193</v>
      </c>
      <c r="B195">
        <v>3075</v>
      </c>
      <c r="C195" t="b">
        <v>1</v>
      </c>
      <c r="D195">
        <v>8048</v>
      </c>
      <c r="E195">
        <v>8123</v>
      </c>
      <c r="F195">
        <v>8</v>
      </c>
      <c r="G195">
        <v>9.6</v>
      </c>
      <c r="H195">
        <v>0.83333330000000005</v>
      </c>
      <c r="I195">
        <v>0.1666667</v>
      </c>
      <c r="J195">
        <v>0.54545456000000003</v>
      </c>
    </row>
    <row r="196" spans="1:10" x14ac:dyDescent="0.3">
      <c r="A196">
        <v>194</v>
      </c>
      <c r="B196">
        <v>3091</v>
      </c>
      <c r="C196" t="b">
        <v>1</v>
      </c>
      <c r="D196">
        <v>8042</v>
      </c>
      <c r="E196">
        <v>8123</v>
      </c>
      <c r="F196">
        <v>8</v>
      </c>
      <c r="G196">
        <v>9.6</v>
      </c>
      <c r="H196">
        <v>0.83333330000000005</v>
      </c>
      <c r="I196">
        <v>0.1666667</v>
      </c>
      <c r="J196">
        <v>0.54545456000000003</v>
      </c>
    </row>
    <row r="197" spans="1:10" x14ac:dyDescent="0.3">
      <c r="A197">
        <v>195</v>
      </c>
      <c r="B197">
        <v>3107</v>
      </c>
      <c r="C197" t="b">
        <v>1</v>
      </c>
      <c r="D197">
        <v>8042</v>
      </c>
      <c r="E197">
        <v>8123</v>
      </c>
      <c r="F197">
        <v>7.6</v>
      </c>
      <c r="G197">
        <v>9.6</v>
      </c>
      <c r="H197">
        <v>0.7916666</v>
      </c>
      <c r="I197">
        <v>0.20833336999999999</v>
      </c>
      <c r="J197">
        <v>0.55813950000000001</v>
      </c>
    </row>
    <row r="198" spans="1:10" x14ac:dyDescent="0.3">
      <c r="A198">
        <v>196</v>
      </c>
      <c r="B198">
        <v>3123</v>
      </c>
      <c r="C198" t="b">
        <v>1</v>
      </c>
      <c r="D198">
        <v>8048</v>
      </c>
      <c r="E198">
        <v>8123</v>
      </c>
      <c r="F198">
        <v>7.2</v>
      </c>
      <c r="G198">
        <v>9.6</v>
      </c>
      <c r="H198">
        <v>0.74999994000000003</v>
      </c>
      <c r="I198">
        <v>0.25000006000000002</v>
      </c>
      <c r="J198">
        <v>0.57142859999999995</v>
      </c>
    </row>
    <row r="199" spans="1:10" x14ac:dyDescent="0.3">
      <c r="A199">
        <v>197</v>
      </c>
      <c r="B199">
        <v>3139</v>
      </c>
      <c r="C199" t="b">
        <v>1</v>
      </c>
      <c r="D199">
        <v>8048</v>
      </c>
      <c r="E199">
        <v>8123</v>
      </c>
      <c r="F199">
        <v>7.2</v>
      </c>
      <c r="G199">
        <v>9.6</v>
      </c>
      <c r="H199">
        <v>0.74999994000000003</v>
      </c>
      <c r="I199">
        <v>0.25000006000000002</v>
      </c>
      <c r="J199">
        <v>0.57142859999999995</v>
      </c>
    </row>
    <row r="200" spans="1:10" x14ac:dyDescent="0.3">
      <c r="A200">
        <v>198</v>
      </c>
      <c r="B200">
        <v>3155</v>
      </c>
      <c r="C200" t="b">
        <v>1</v>
      </c>
      <c r="D200">
        <v>8048</v>
      </c>
      <c r="E200">
        <v>8123</v>
      </c>
      <c r="F200">
        <v>7.2</v>
      </c>
      <c r="G200">
        <v>9.6</v>
      </c>
      <c r="H200">
        <v>0.74999994000000003</v>
      </c>
      <c r="I200">
        <v>0.25000006000000002</v>
      </c>
      <c r="J200">
        <v>0.57142859999999995</v>
      </c>
    </row>
    <row r="201" spans="1:10" x14ac:dyDescent="0.3">
      <c r="A201">
        <v>199</v>
      </c>
      <c r="B201">
        <v>3170</v>
      </c>
      <c r="C201" t="b">
        <v>1</v>
      </c>
      <c r="D201">
        <v>8048</v>
      </c>
      <c r="E201">
        <v>8129</v>
      </c>
      <c r="F201">
        <v>7.2</v>
      </c>
      <c r="G201">
        <v>9.1999999999999993</v>
      </c>
      <c r="H201">
        <v>0.78260870000000005</v>
      </c>
      <c r="I201">
        <v>0.21739131</v>
      </c>
      <c r="J201">
        <v>0.56097560000000002</v>
      </c>
    </row>
    <row r="202" spans="1:10" x14ac:dyDescent="0.3">
      <c r="A202">
        <v>200</v>
      </c>
      <c r="B202">
        <v>3186</v>
      </c>
      <c r="C202" t="b">
        <v>1</v>
      </c>
      <c r="D202">
        <v>8048</v>
      </c>
      <c r="E202">
        <v>8117</v>
      </c>
      <c r="F202">
        <v>7.2</v>
      </c>
      <c r="G202">
        <v>8.8000000000000007</v>
      </c>
      <c r="H202">
        <v>0.81818175000000004</v>
      </c>
      <c r="I202">
        <v>0.18181822</v>
      </c>
      <c r="J202">
        <v>0.55000000000000004</v>
      </c>
    </row>
    <row r="203" spans="1:10" x14ac:dyDescent="0.3">
      <c r="A203">
        <v>201</v>
      </c>
      <c r="B203">
        <v>3202</v>
      </c>
      <c r="C203" t="b">
        <v>1</v>
      </c>
      <c r="D203">
        <v>8048</v>
      </c>
      <c r="E203">
        <v>8129</v>
      </c>
      <c r="F203">
        <v>7.2</v>
      </c>
      <c r="G203">
        <v>8.4</v>
      </c>
      <c r="H203">
        <v>0.85714287</v>
      </c>
      <c r="I203">
        <v>0.14285712</v>
      </c>
      <c r="J203">
        <v>0.53846150000000004</v>
      </c>
    </row>
    <row r="204" spans="1:10" x14ac:dyDescent="0.3">
      <c r="A204">
        <v>202</v>
      </c>
      <c r="B204">
        <v>3218</v>
      </c>
      <c r="C204" t="b">
        <v>1</v>
      </c>
      <c r="D204">
        <v>8048</v>
      </c>
      <c r="E204">
        <v>8123</v>
      </c>
      <c r="F204">
        <v>7.2</v>
      </c>
      <c r="G204">
        <v>8</v>
      </c>
      <c r="H204">
        <v>0.9</v>
      </c>
      <c r="I204">
        <v>0.10000002400000001</v>
      </c>
      <c r="J204">
        <v>0.5263158</v>
      </c>
    </row>
    <row r="205" spans="1:10" x14ac:dyDescent="0.3">
      <c r="A205">
        <v>203</v>
      </c>
      <c r="B205">
        <v>3234</v>
      </c>
      <c r="C205" t="b">
        <v>1</v>
      </c>
      <c r="D205">
        <v>8048</v>
      </c>
      <c r="E205">
        <v>8123</v>
      </c>
      <c r="F205">
        <v>7.2</v>
      </c>
      <c r="G205">
        <v>8</v>
      </c>
      <c r="H205">
        <v>0.9</v>
      </c>
      <c r="I205">
        <v>0.10000002400000001</v>
      </c>
      <c r="J205">
        <v>0.5263158</v>
      </c>
    </row>
    <row r="206" spans="1:10" x14ac:dyDescent="0.3">
      <c r="A206">
        <v>204</v>
      </c>
      <c r="B206">
        <v>3249</v>
      </c>
      <c r="C206" t="b">
        <v>1</v>
      </c>
      <c r="D206">
        <v>8048</v>
      </c>
      <c r="E206">
        <v>8123</v>
      </c>
      <c r="F206">
        <v>7.2</v>
      </c>
      <c r="G206">
        <v>8</v>
      </c>
      <c r="H206">
        <v>0.9</v>
      </c>
      <c r="I206">
        <v>0.10000002400000001</v>
      </c>
      <c r="J206">
        <v>0.5263158</v>
      </c>
    </row>
    <row r="207" spans="1:10" x14ac:dyDescent="0.3">
      <c r="A207">
        <v>205</v>
      </c>
      <c r="B207">
        <v>3265</v>
      </c>
      <c r="C207" t="b">
        <v>1</v>
      </c>
      <c r="D207">
        <v>8048</v>
      </c>
      <c r="E207">
        <v>8123</v>
      </c>
      <c r="F207">
        <v>7.2</v>
      </c>
      <c r="G207">
        <v>8</v>
      </c>
      <c r="H207">
        <v>0.9</v>
      </c>
      <c r="I207">
        <v>0.10000002400000001</v>
      </c>
      <c r="J207">
        <v>0.5263158</v>
      </c>
    </row>
    <row r="208" spans="1:10" x14ac:dyDescent="0.3">
      <c r="A208">
        <v>206</v>
      </c>
      <c r="B208">
        <v>3281</v>
      </c>
      <c r="C208" t="b">
        <v>1</v>
      </c>
      <c r="D208">
        <v>8042</v>
      </c>
      <c r="E208">
        <v>8123</v>
      </c>
      <c r="F208">
        <v>7.2</v>
      </c>
      <c r="G208">
        <v>8</v>
      </c>
      <c r="H208">
        <v>0.9</v>
      </c>
      <c r="I208">
        <v>0.10000002400000001</v>
      </c>
      <c r="J208">
        <v>0.5263158</v>
      </c>
    </row>
    <row r="209" spans="1:10" x14ac:dyDescent="0.3">
      <c r="A209">
        <v>207</v>
      </c>
      <c r="B209">
        <v>3297</v>
      </c>
      <c r="C209" t="b">
        <v>1</v>
      </c>
      <c r="D209">
        <v>8048</v>
      </c>
      <c r="E209">
        <v>8117</v>
      </c>
      <c r="F209">
        <v>7.2</v>
      </c>
      <c r="G209">
        <v>8</v>
      </c>
      <c r="H209">
        <v>0.9</v>
      </c>
      <c r="I209">
        <v>0.10000002400000001</v>
      </c>
      <c r="J209">
        <v>0.5263158</v>
      </c>
    </row>
    <row r="210" spans="1:10" x14ac:dyDescent="0.3">
      <c r="A210">
        <v>208</v>
      </c>
      <c r="B210">
        <v>3313</v>
      </c>
      <c r="C210" t="b">
        <v>1</v>
      </c>
      <c r="D210">
        <v>8048</v>
      </c>
      <c r="E210">
        <v>8123</v>
      </c>
      <c r="F210">
        <v>7.2</v>
      </c>
      <c r="G210">
        <v>8</v>
      </c>
      <c r="H210">
        <v>0.9</v>
      </c>
      <c r="I210">
        <v>0.10000002400000001</v>
      </c>
      <c r="J210">
        <v>0.5263158</v>
      </c>
    </row>
    <row r="211" spans="1:10" x14ac:dyDescent="0.3">
      <c r="A211">
        <v>209</v>
      </c>
      <c r="B211">
        <v>3329</v>
      </c>
      <c r="C211" t="b">
        <v>1</v>
      </c>
      <c r="D211">
        <v>8042</v>
      </c>
      <c r="E211">
        <v>8123</v>
      </c>
      <c r="F211">
        <v>7.2</v>
      </c>
      <c r="G211">
        <v>8</v>
      </c>
      <c r="H211">
        <v>0.9</v>
      </c>
      <c r="I211">
        <v>0.10000002400000001</v>
      </c>
      <c r="J211">
        <v>0.5263158</v>
      </c>
    </row>
    <row r="212" spans="1:10" x14ac:dyDescent="0.3">
      <c r="A212">
        <v>210</v>
      </c>
      <c r="B212">
        <v>3345</v>
      </c>
      <c r="C212" t="b">
        <v>1</v>
      </c>
      <c r="D212">
        <v>8048</v>
      </c>
      <c r="E212">
        <v>8123</v>
      </c>
      <c r="F212">
        <v>7.6</v>
      </c>
      <c r="G212">
        <v>8</v>
      </c>
      <c r="H212">
        <v>0.95</v>
      </c>
      <c r="I212">
        <v>5.0000012000000003E-2</v>
      </c>
      <c r="J212">
        <v>0.51282050000000001</v>
      </c>
    </row>
    <row r="213" spans="1:10" x14ac:dyDescent="0.3">
      <c r="A213">
        <v>211</v>
      </c>
      <c r="B213">
        <v>3361</v>
      </c>
      <c r="C213" t="b">
        <v>1</v>
      </c>
      <c r="D213">
        <v>8042</v>
      </c>
      <c r="E213">
        <v>8129</v>
      </c>
      <c r="F213">
        <v>8</v>
      </c>
      <c r="G213">
        <v>8</v>
      </c>
      <c r="H213">
        <v>1</v>
      </c>
      <c r="I213">
        <v>0</v>
      </c>
      <c r="J213">
        <v>0.5</v>
      </c>
    </row>
    <row r="214" spans="1:10" x14ac:dyDescent="0.3">
      <c r="A214">
        <v>212</v>
      </c>
      <c r="B214">
        <v>3377</v>
      </c>
      <c r="C214" t="b">
        <v>1</v>
      </c>
      <c r="D214">
        <v>8048</v>
      </c>
      <c r="E214">
        <v>8123</v>
      </c>
      <c r="F214">
        <v>8</v>
      </c>
      <c r="G214">
        <v>8</v>
      </c>
      <c r="H214">
        <v>1</v>
      </c>
      <c r="I214">
        <v>0</v>
      </c>
      <c r="J214">
        <v>0.5</v>
      </c>
    </row>
    <row r="215" spans="1:10" x14ac:dyDescent="0.3">
      <c r="A215">
        <v>213</v>
      </c>
      <c r="B215">
        <v>3393</v>
      </c>
      <c r="C215" t="b">
        <v>1</v>
      </c>
      <c r="D215">
        <v>8048</v>
      </c>
      <c r="E215">
        <v>8129</v>
      </c>
      <c r="F215">
        <v>8</v>
      </c>
      <c r="G215">
        <v>8</v>
      </c>
      <c r="H215">
        <v>1</v>
      </c>
      <c r="I215">
        <v>0</v>
      </c>
      <c r="J215">
        <v>0.5</v>
      </c>
    </row>
    <row r="216" spans="1:10" x14ac:dyDescent="0.3">
      <c r="A216">
        <v>214</v>
      </c>
      <c r="B216">
        <v>3409</v>
      </c>
      <c r="C216" t="b">
        <v>1</v>
      </c>
      <c r="D216">
        <v>8048</v>
      </c>
      <c r="E216">
        <v>8129</v>
      </c>
      <c r="F216">
        <v>8</v>
      </c>
      <c r="G216">
        <v>8.4</v>
      </c>
      <c r="H216">
        <v>0.95238100000000003</v>
      </c>
      <c r="I216">
        <v>4.7619003999999999E-2</v>
      </c>
      <c r="J216">
        <v>0.51219510000000001</v>
      </c>
    </row>
    <row r="217" spans="1:10" x14ac:dyDescent="0.3">
      <c r="A217">
        <v>215</v>
      </c>
      <c r="B217">
        <v>3425</v>
      </c>
      <c r="C217" t="b">
        <v>1</v>
      </c>
      <c r="D217">
        <v>8048</v>
      </c>
      <c r="E217">
        <v>8123</v>
      </c>
      <c r="F217">
        <v>8</v>
      </c>
      <c r="G217">
        <v>8.8000000000000007</v>
      </c>
      <c r="H217">
        <v>0.90909090000000004</v>
      </c>
      <c r="I217">
        <v>9.0909110000000001E-2</v>
      </c>
      <c r="J217">
        <v>0.52380954999999996</v>
      </c>
    </row>
    <row r="218" spans="1:10" x14ac:dyDescent="0.3">
      <c r="A218">
        <v>216</v>
      </c>
      <c r="B218">
        <v>3441</v>
      </c>
      <c r="C218" t="b">
        <v>1</v>
      </c>
      <c r="D218">
        <v>8048</v>
      </c>
      <c r="E218">
        <v>8123</v>
      </c>
      <c r="F218">
        <v>8</v>
      </c>
      <c r="G218">
        <v>8.8000000000000007</v>
      </c>
      <c r="H218">
        <v>0.90909090000000004</v>
      </c>
      <c r="I218">
        <v>9.0909110000000001E-2</v>
      </c>
      <c r="J218">
        <v>0.52380954999999996</v>
      </c>
    </row>
    <row r="219" spans="1:10" x14ac:dyDescent="0.3">
      <c r="A219">
        <v>217</v>
      </c>
      <c r="B219">
        <v>3457</v>
      </c>
      <c r="C219" t="b">
        <v>1</v>
      </c>
      <c r="D219">
        <v>8048</v>
      </c>
      <c r="E219">
        <v>8123</v>
      </c>
      <c r="F219">
        <v>8</v>
      </c>
      <c r="G219">
        <v>8.8000000000000007</v>
      </c>
      <c r="H219">
        <v>0.90909090000000004</v>
      </c>
      <c r="I219">
        <v>9.0909110000000001E-2</v>
      </c>
      <c r="J219">
        <v>0.52380954999999996</v>
      </c>
    </row>
    <row r="220" spans="1:10" x14ac:dyDescent="0.3">
      <c r="A220">
        <v>218</v>
      </c>
      <c r="B220">
        <v>3472</v>
      </c>
      <c r="C220" t="b">
        <v>1</v>
      </c>
      <c r="D220">
        <v>8048</v>
      </c>
      <c r="E220">
        <v>8123</v>
      </c>
      <c r="F220">
        <v>8</v>
      </c>
      <c r="G220">
        <v>8.8000000000000007</v>
      </c>
      <c r="H220">
        <v>0.90909090000000004</v>
      </c>
      <c r="I220">
        <v>9.0909110000000001E-2</v>
      </c>
      <c r="J220">
        <v>0.52380954999999996</v>
      </c>
    </row>
    <row r="221" spans="1:10" x14ac:dyDescent="0.3">
      <c r="A221">
        <v>219</v>
      </c>
      <c r="B221">
        <v>3488</v>
      </c>
      <c r="C221" t="b">
        <v>1</v>
      </c>
      <c r="D221">
        <v>8042</v>
      </c>
      <c r="E221">
        <v>8123</v>
      </c>
      <c r="F221">
        <v>8</v>
      </c>
      <c r="G221">
        <v>8.8000000000000007</v>
      </c>
      <c r="H221">
        <v>0.90909090000000004</v>
      </c>
      <c r="I221">
        <v>9.0909110000000001E-2</v>
      </c>
      <c r="J221">
        <v>0.52380954999999996</v>
      </c>
    </row>
    <row r="222" spans="1:10" x14ac:dyDescent="0.3">
      <c r="A222">
        <v>220</v>
      </c>
      <c r="B222">
        <v>3504</v>
      </c>
      <c r="C222" t="b">
        <v>1</v>
      </c>
      <c r="D222">
        <v>8048</v>
      </c>
      <c r="E222">
        <v>8123</v>
      </c>
      <c r="F222">
        <v>8</v>
      </c>
      <c r="G222">
        <v>8.8000000000000007</v>
      </c>
      <c r="H222">
        <v>0.90909090000000004</v>
      </c>
      <c r="I222">
        <v>9.0909110000000001E-2</v>
      </c>
      <c r="J222">
        <v>0.52380954999999996</v>
      </c>
    </row>
    <row r="223" spans="1:10" x14ac:dyDescent="0.3">
      <c r="A223">
        <v>221</v>
      </c>
      <c r="B223">
        <v>3520</v>
      </c>
      <c r="C223" t="b">
        <v>1</v>
      </c>
      <c r="D223">
        <v>8042</v>
      </c>
      <c r="E223">
        <v>8123</v>
      </c>
      <c r="F223">
        <v>8</v>
      </c>
      <c r="G223">
        <v>8.8000000000000007</v>
      </c>
      <c r="H223">
        <v>0.90909090000000004</v>
      </c>
      <c r="I223">
        <v>9.0909110000000001E-2</v>
      </c>
      <c r="J223">
        <v>0.52380954999999996</v>
      </c>
    </row>
    <row r="224" spans="1:10" x14ac:dyDescent="0.3">
      <c r="A224">
        <v>222</v>
      </c>
      <c r="B224">
        <v>3536</v>
      </c>
      <c r="C224" t="b">
        <v>1</v>
      </c>
      <c r="D224">
        <v>8048</v>
      </c>
      <c r="E224">
        <v>8123</v>
      </c>
      <c r="F224">
        <v>8</v>
      </c>
      <c r="G224">
        <v>8.8000000000000007</v>
      </c>
      <c r="H224">
        <v>0.90909090000000004</v>
      </c>
      <c r="I224">
        <v>9.0909110000000001E-2</v>
      </c>
      <c r="J224">
        <v>0.52380954999999996</v>
      </c>
    </row>
    <row r="225" spans="1:10" x14ac:dyDescent="0.3">
      <c r="A225">
        <v>223</v>
      </c>
      <c r="B225">
        <v>3552</v>
      </c>
      <c r="C225" t="b">
        <v>1</v>
      </c>
      <c r="D225">
        <v>8042</v>
      </c>
      <c r="E225">
        <v>8123</v>
      </c>
      <c r="F225">
        <v>7.6</v>
      </c>
      <c r="G225">
        <v>8.8000000000000007</v>
      </c>
      <c r="H225">
        <v>0.86363630000000002</v>
      </c>
      <c r="I225">
        <v>0.13636366999999999</v>
      </c>
      <c r="J225">
        <v>0.53658539999999999</v>
      </c>
    </row>
    <row r="226" spans="1:10" x14ac:dyDescent="0.3">
      <c r="A226">
        <v>224</v>
      </c>
      <c r="B226">
        <v>3568</v>
      </c>
      <c r="C226" t="b">
        <v>1</v>
      </c>
      <c r="D226">
        <v>8048</v>
      </c>
      <c r="E226">
        <v>8129</v>
      </c>
      <c r="F226">
        <v>7.6</v>
      </c>
      <c r="G226">
        <v>8.8000000000000007</v>
      </c>
      <c r="H226">
        <v>0.86363630000000002</v>
      </c>
      <c r="I226">
        <v>0.13636366999999999</v>
      </c>
      <c r="J226">
        <v>0.53658539999999999</v>
      </c>
    </row>
    <row r="227" spans="1:10" x14ac:dyDescent="0.3">
      <c r="A227">
        <v>225</v>
      </c>
      <c r="B227">
        <v>3584</v>
      </c>
      <c r="C227" t="b">
        <v>1</v>
      </c>
      <c r="D227">
        <v>8048</v>
      </c>
      <c r="E227">
        <v>8123</v>
      </c>
      <c r="F227">
        <v>7.6</v>
      </c>
      <c r="G227">
        <v>8.8000000000000007</v>
      </c>
      <c r="H227">
        <v>0.86363630000000002</v>
      </c>
      <c r="I227">
        <v>0.13636366999999999</v>
      </c>
      <c r="J227">
        <v>0.53658539999999999</v>
      </c>
    </row>
    <row r="228" spans="1:10" x14ac:dyDescent="0.3">
      <c r="A228">
        <v>226</v>
      </c>
      <c r="B228">
        <v>3599</v>
      </c>
      <c r="C228" t="b">
        <v>1</v>
      </c>
      <c r="D228">
        <v>8042</v>
      </c>
      <c r="E228">
        <v>8123</v>
      </c>
      <c r="F228">
        <v>7.6</v>
      </c>
      <c r="G228">
        <v>8.8000000000000007</v>
      </c>
      <c r="H228">
        <v>0.86363630000000002</v>
      </c>
      <c r="I228">
        <v>0.13636366999999999</v>
      </c>
      <c r="J228">
        <v>0.53658539999999999</v>
      </c>
    </row>
    <row r="229" spans="1:10" x14ac:dyDescent="0.3">
      <c r="A229">
        <v>227</v>
      </c>
      <c r="B229">
        <v>3615</v>
      </c>
      <c r="C229" t="b">
        <v>1</v>
      </c>
      <c r="D229">
        <v>8042</v>
      </c>
      <c r="E229">
        <v>8123</v>
      </c>
      <c r="F229">
        <v>7.2</v>
      </c>
      <c r="G229">
        <v>8.8000000000000007</v>
      </c>
      <c r="H229">
        <v>0.81818175000000004</v>
      </c>
      <c r="I229">
        <v>0.18181822</v>
      </c>
      <c r="J229">
        <v>0.55000000000000004</v>
      </c>
    </row>
    <row r="230" spans="1:10" x14ac:dyDescent="0.3">
      <c r="A230">
        <v>228</v>
      </c>
      <c r="B230">
        <v>3631</v>
      </c>
      <c r="C230" t="b">
        <v>1</v>
      </c>
      <c r="D230">
        <v>8042</v>
      </c>
      <c r="E230">
        <v>8123</v>
      </c>
      <c r="F230">
        <v>6.8</v>
      </c>
      <c r="G230">
        <v>8.8000000000000007</v>
      </c>
      <c r="H230">
        <v>0.77272724999999998</v>
      </c>
      <c r="I230">
        <v>0.22727272000000001</v>
      </c>
      <c r="J230">
        <v>0.56410260000000001</v>
      </c>
    </row>
    <row r="231" spans="1:10" x14ac:dyDescent="0.3">
      <c r="A231">
        <v>229</v>
      </c>
      <c r="B231">
        <v>3647</v>
      </c>
      <c r="C231" t="b">
        <v>1</v>
      </c>
      <c r="D231">
        <v>8048</v>
      </c>
      <c r="E231">
        <v>8123</v>
      </c>
      <c r="F231">
        <v>6.4</v>
      </c>
      <c r="G231">
        <v>8.4</v>
      </c>
      <c r="H231">
        <v>0.76190484000000003</v>
      </c>
      <c r="I231">
        <v>0.23809520000000001</v>
      </c>
      <c r="J231">
        <v>0.56756759999999995</v>
      </c>
    </row>
    <row r="232" spans="1:10" x14ac:dyDescent="0.3">
      <c r="A232">
        <v>230</v>
      </c>
      <c r="B232">
        <v>3663</v>
      </c>
      <c r="C232" t="b">
        <v>1</v>
      </c>
      <c r="D232">
        <v>8048</v>
      </c>
      <c r="E232">
        <v>8123</v>
      </c>
      <c r="F232">
        <v>6</v>
      </c>
      <c r="G232">
        <v>8</v>
      </c>
      <c r="H232">
        <v>0.75</v>
      </c>
      <c r="I232">
        <v>0.25</v>
      </c>
      <c r="J232">
        <v>0.57142859999999995</v>
      </c>
    </row>
    <row r="233" spans="1:10" x14ac:dyDescent="0.3">
      <c r="A233">
        <v>231</v>
      </c>
      <c r="B233">
        <v>3679</v>
      </c>
      <c r="C233" t="b">
        <v>1</v>
      </c>
      <c r="D233">
        <v>8048</v>
      </c>
      <c r="E233">
        <v>8123</v>
      </c>
      <c r="F233">
        <v>6</v>
      </c>
      <c r="G233">
        <v>8</v>
      </c>
      <c r="H233">
        <v>0.75</v>
      </c>
      <c r="I233">
        <v>0.25</v>
      </c>
      <c r="J233">
        <v>0.57142859999999995</v>
      </c>
    </row>
    <row r="234" spans="1:10" x14ac:dyDescent="0.3">
      <c r="A234">
        <v>232</v>
      </c>
      <c r="B234">
        <v>3695</v>
      </c>
      <c r="C234" t="b">
        <v>1</v>
      </c>
      <c r="D234">
        <v>8048</v>
      </c>
      <c r="E234">
        <v>8123</v>
      </c>
      <c r="F234">
        <v>6</v>
      </c>
      <c r="G234">
        <v>8</v>
      </c>
      <c r="H234">
        <v>0.75</v>
      </c>
      <c r="I234">
        <v>0.25</v>
      </c>
      <c r="J234">
        <v>0.57142859999999995</v>
      </c>
    </row>
    <row r="235" spans="1:10" x14ac:dyDescent="0.3">
      <c r="A235">
        <v>233</v>
      </c>
      <c r="B235">
        <v>3711</v>
      </c>
      <c r="C235" t="b">
        <v>1</v>
      </c>
      <c r="D235">
        <v>8048</v>
      </c>
      <c r="E235">
        <v>8123</v>
      </c>
      <c r="F235">
        <v>6</v>
      </c>
      <c r="G235">
        <v>8</v>
      </c>
      <c r="H235">
        <v>0.75</v>
      </c>
      <c r="I235">
        <v>0.25</v>
      </c>
      <c r="J235">
        <v>0.57142859999999995</v>
      </c>
    </row>
    <row r="236" spans="1:10" x14ac:dyDescent="0.3">
      <c r="A236">
        <v>234</v>
      </c>
      <c r="B236">
        <v>3727</v>
      </c>
      <c r="C236" t="b">
        <v>1</v>
      </c>
      <c r="D236">
        <v>8048</v>
      </c>
      <c r="E236">
        <v>8129</v>
      </c>
      <c r="F236">
        <v>6</v>
      </c>
      <c r="G236">
        <v>8</v>
      </c>
      <c r="H236">
        <v>0.75</v>
      </c>
      <c r="I236">
        <v>0.25</v>
      </c>
      <c r="J236">
        <v>0.57142859999999995</v>
      </c>
    </row>
    <row r="237" spans="1:10" x14ac:dyDescent="0.3">
      <c r="A237">
        <v>235</v>
      </c>
      <c r="B237">
        <v>3742</v>
      </c>
      <c r="C237" t="b">
        <v>1</v>
      </c>
      <c r="D237">
        <v>8048</v>
      </c>
      <c r="E237">
        <v>8123</v>
      </c>
      <c r="F237">
        <v>6</v>
      </c>
      <c r="G237">
        <v>8</v>
      </c>
      <c r="H237">
        <v>0.75</v>
      </c>
      <c r="I237">
        <v>0.25</v>
      </c>
      <c r="J237">
        <v>0.57142859999999995</v>
      </c>
    </row>
    <row r="238" spans="1:10" x14ac:dyDescent="0.3">
      <c r="A238">
        <v>236</v>
      </c>
      <c r="B238">
        <v>3758</v>
      </c>
      <c r="C238" t="b">
        <v>1</v>
      </c>
      <c r="D238">
        <v>8048</v>
      </c>
      <c r="E238">
        <v>8129</v>
      </c>
      <c r="F238">
        <v>6</v>
      </c>
      <c r="G238">
        <v>8</v>
      </c>
      <c r="H238">
        <v>0.75</v>
      </c>
      <c r="I238">
        <v>0.25</v>
      </c>
      <c r="J238">
        <v>0.57142859999999995</v>
      </c>
    </row>
    <row r="239" spans="1:10" x14ac:dyDescent="0.3">
      <c r="A239">
        <v>237</v>
      </c>
      <c r="B239">
        <v>3774</v>
      </c>
      <c r="C239" t="b">
        <v>1</v>
      </c>
      <c r="D239">
        <v>8042</v>
      </c>
      <c r="E239">
        <v>8134</v>
      </c>
      <c r="F239">
        <v>6</v>
      </c>
      <c r="G239">
        <v>8.4</v>
      </c>
      <c r="H239">
        <v>0.71428572999999995</v>
      </c>
      <c r="I239">
        <v>0.28571424000000001</v>
      </c>
      <c r="J239">
        <v>0.58333330000000005</v>
      </c>
    </row>
    <row r="240" spans="1:10" x14ac:dyDescent="0.3">
      <c r="A240">
        <v>238</v>
      </c>
      <c r="B240">
        <v>3790</v>
      </c>
      <c r="C240" t="b">
        <v>1</v>
      </c>
      <c r="D240">
        <v>8048</v>
      </c>
      <c r="E240">
        <v>8129</v>
      </c>
      <c r="F240">
        <v>6.4</v>
      </c>
      <c r="G240">
        <v>8.8000000000000007</v>
      </c>
      <c r="H240">
        <v>0.72727275000000002</v>
      </c>
      <c r="I240">
        <v>0.27272728000000002</v>
      </c>
      <c r="J240">
        <v>0.57894736999999996</v>
      </c>
    </row>
    <row r="241" spans="1:10" x14ac:dyDescent="0.3">
      <c r="A241">
        <v>239</v>
      </c>
      <c r="B241">
        <v>3806</v>
      </c>
      <c r="C241" t="b">
        <v>1</v>
      </c>
      <c r="D241">
        <v>8048</v>
      </c>
      <c r="E241">
        <v>8129</v>
      </c>
      <c r="F241">
        <v>6.4</v>
      </c>
      <c r="G241">
        <v>9.1999999999999993</v>
      </c>
      <c r="H241">
        <v>0.69565220000000005</v>
      </c>
      <c r="I241">
        <v>0.3043478</v>
      </c>
      <c r="J241">
        <v>0.58974355000000001</v>
      </c>
    </row>
    <row r="242" spans="1:10" x14ac:dyDescent="0.3">
      <c r="A242">
        <v>240</v>
      </c>
      <c r="B242">
        <v>3822</v>
      </c>
      <c r="C242" t="b">
        <v>1</v>
      </c>
      <c r="D242">
        <v>8048</v>
      </c>
      <c r="E242">
        <v>8129</v>
      </c>
      <c r="F242">
        <v>6.4</v>
      </c>
      <c r="G242">
        <v>9.6</v>
      </c>
      <c r="H242">
        <v>0.6666666</v>
      </c>
      <c r="I242">
        <v>0.33333333999999998</v>
      </c>
      <c r="J242">
        <v>0.6</v>
      </c>
    </row>
    <row r="243" spans="1:10" x14ac:dyDescent="0.3">
      <c r="A243">
        <v>241</v>
      </c>
      <c r="B243">
        <v>3838</v>
      </c>
      <c r="C243" t="b">
        <v>1</v>
      </c>
      <c r="D243">
        <v>8042</v>
      </c>
      <c r="E243">
        <v>8134</v>
      </c>
      <c r="F243">
        <v>6.4</v>
      </c>
      <c r="G243">
        <v>10</v>
      </c>
      <c r="H243">
        <v>0.64</v>
      </c>
      <c r="I243">
        <v>0.35999998</v>
      </c>
      <c r="J243">
        <v>0.60975610000000002</v>
      </c>
    </row>
    <row r="244" spans="1:10" x14ac:dyDescent="0.3">
      <c r="A244">
        <v>242</v>
      </c>
      <c r="B244">
        <v>3854</v>
      </c>
      <c r="C244" t="b">
        <v>1</v>
      </c>
      <c r="D244">
        <v>8048</v>
      </c>
      <c r="E244">
        <v>8123</v>
      </c>
      <c r="F244">
        <v>6.8</v>
      </c>
      <c r="G244">
        <v>10.4</v>
      </c>
      <c r="H244">
        <v>0.65384620000000004</v>
      </c>
      <c r="I244">
        <v>0.34615380000000001</v>
      </c>
      <c r="J244">
        <v>0.6046511</v>
      </c>
    </row>
    <row r="245" spans="1:10" x14ac:dyDescent="0.3">
      <c r="A245">
        <v>243</v>
      </c>
      <c r="B245">
        <v>3870</v>
      </c>
      <c r="C245" t="b">
        <v>1</v>
      </c>
      <c r="D245">
        <v>8048</v>
      </c>
      <c r="E245">
        <v>8123</v>
      </c>
      <c r="F245">
        <v>7.2</v>
      </c>
      <c r="G245">
        <v>10.8</v>
      </c>
      <c r="H245">
        <v>0.6666666</v>
      </c>
      <c r="I245">
        <v>0.33333337000000002</v>
      </c>
      <c r="J245">
        <v>0.6</v>
      </c>
    </row>
    <row r="246" spans="1:10" x14ac:dyDescent="0.3">
      <c r="A246">
        <v>244</v>
      </c>
      <c r="B246">
        <v>3886</v>
      </c>
      <c r="C246" t="b">
        <v>1</v>
      </c>
      <c r="D246">
        <v>8048</v>
      </c>
      <c r="E246">
        <v>8123</v>
      </c>
      <c r="F246">
        <v>7.6</v>
      </c>
      <c r="G246">
        <v>10.8</v>
      </c>
      <c r="H246">
        <v>0.70370370000000004</v>
      </c>
      <c r="I246">
        <v>0.29629633</v>
      </c>
      <c r="J246">
        <v>0.58695655999999996</v>
      </c>
    </row>
    <row r="247" spans="1:10" x14ac:dyDescent="0.3">
      <c r="A247">
        <v>245</v>
      </c>
      <c r="B247">
        <v>3902</v>
      </c>
      <c r="C247" t="b">
        <v>1</v>
      </c>
      <c r="D247">
        <v>8048</v>
      </c>
      <c r="E247">
        <v>8129</v>
      </c>
      <c r="F247">
        <v>8</v>
      </c>
      <c r="G247">
        <v>10.8</v>
      </c>
      <c r="H247">
        <v>0.74074070000000003</v>
      </c>
      <c r="I247">
        <v>0.25925927999999998</v>
      </c>
      <c r="J247">
        <v>0.57446814000000002</v>
      </c>
    </row>
    <row r="248" spans="1:10" x14ac:dyDescent="0.3">
      <c r="A248">
        <v>246</v>
      </c>
      <c r="B248">
        <v>3917</v>
      </c>
      <c r="C248" t="b">
        <v>1</v>
      </c>
      <c r="D248">
        <v>8042</v>
      </c>
      <c r="E248">
        <v>8123</v>
      </c>
      <c r="F248">
        <v>8</v>
      </c>
      <c r="G248">
        <v>10.8</v>
      </c>
      <c r="H248">
        <v>0.74074070000000003</v>
      </c>
      <c r="I248">
        <v>0.25925927999999998</v>
      </c>
      <c r="J248">
        <v>0.57446814000000002</v>
      </c>
    </row>
    <row r="249" spans="1:10" x14ac:dyDescent="0.3">
      <c r="A249">
        <v>247</v>
      </c>
      <c r="B249">
        <v>3933</v>
      </c>
      <c r="C249" t="b">
        <v>1</v>
      </c>
      <c r="D249">
        <v>8054</v>
      </c>
      <c r="E249">
        <v>8123</v>
      </c>
      <c r="F249">
        <v>8</v>
      </c>
      <c r="G249">
        <v>10.8</v>
      </c>
      <c r="H249">
        <v>0.74074070000000003</v>
      </c>
      <c r="I249">
        <v>0.25925927999999998</v>
      </c>
      <c r="J249">
        <v>0.57446814000000002</v>
      </c>
    </row>
    <row r="250" spans="1:10" x14ac:dyDescent="0.3">
      <c r="A250">
        <v>248</v>
      </c>
      <c r="B250">
        <v>3949</v>
      </c>
      <c r="C250" t="b">
        <v>1</v>
      </c>
      <c r="D250">
        <v>8042</v>
      </c>
      <c r="E250">
        <v>8123</v>
      </c>
      <c r="F250">
        <v>8</v>
      </c>
      <c r="G250">
        <v>10.8</v>
      </c>
      <c r="H250">
        <v>0.74074070000000003</v>
      </c>
      <c r="I250">
        <v>0.25925927999999998</v>
      </c>
      <c r="J250">
        <v>0.57446814000000002</v>
      </c>
    </row>
    <row r="251" spans="1:10" x14ac:dyDescent="0.3">
      <c r="A251">
        <v>249</v>
      </c>
      <c r="B251">
        <v>3965</v>
      </c>
      <c r="C251" t="b">
        <v>1</v>
      </c>
      <c r="D251">
        <v>8048</v>
      </c>
      <c r="E251">
        <v>8123</v>
      </c>
      <c r="F251">
        <v>8</v>
      </c>
      <c r="G251">
        <v>10.8</v>
      </c>
      <c r="H251">
        <v>0.74074070000000003</v>
      </c>
      <c r="I251">
        <v>0.25925927999999998</v>
      </c>
      <c r="J251">
        <v>0.57446814000000002</v>
      </c>
    </row>
    <row r="252" spans="1:10" x14ac:dyDescent="0.3">
      <c r="A252">
        <v>250</v>
      </c>
      <c r="B252">
        <v>3981</v>
      </c>
      <c r="C252" t="b">
        <v>1</v>
      </c>
      <c r="D252">
        <v>8048</v>
      </c>
      <c r="E252">
        <v>8123</v>
      </c>
      <c r="F252">
        <v>8</v>
      </c>
      <c r="G252">
        <v>10.8</v>
      </c>
      <c r="H252">
        <v>0.74074070000000003</v>
      </c>
      <c r="I252">
        <v>0.25925927999999998</v>
      </c>
      <c r="J252">
        <v>0.57446814000000002</v>
      </c>
    </row>
    <row r="253" spans="1:10" x14ac:dyDescent="0.3">
      <c r="A253">
        <v>251</v>
      </c>
      <c r="B253">
        <v>3997</v>
      </c>
      <c r="C253" t="b">
        <v>1</v>
      </c>
      <c r="D253">
        <v>8048</v>
      </c>
      <c r="E253">
        <v>8123</v>
      </c>
      <c r="F253">
        <v>8</v>
      </c>
      <c r="G253">
        <v>10.8</v>
      </c>
      <c r="H253">
        <v>0.74074070000000003</v>
      </c>
      <c r="I253">
        <v>0.25925927999999998</v>
      </c>
      <c r="J253">
        <v>0.57446814000000002</v>
      </c>
    </row>
    <row r="254" spans="1:10" x14ac:dyDescent="0.3">
      <c r="A254">
        <v>252</v>
      </c>
      <c r="B254">
        <v>4012</v>
      </c>
      <c r="C254" t="b">
        <v>1</v>
      </c>
      <c r="D254">
        <v>8048</v>
      </c>
      <c r="E254">
        <v>8123</v>
      </c>
      <c r="F254">
        <v>8</v>
      </c>
      <c r="G254">
        <v>10.4</v>
      </c>
      <c r="H254">
        <v>0.76923079999999999</v>
      </c>
      <c r="I254">
        <v>0.23076920000000001</v>
      </c>
      <c r="J254">
        <v>0.56521739999999998</v>
      </c>
    </row>
    <row r="255" spans="1:10" x14ac:dyDescent="0.3">
      <c r="A255">
        <v>253</v>
      </c>
      <c r="B255">
        <v>4028</v>
      </c>
      <c r="C255" t="b">
        <v>1</v>
      </c>
      <c r="D255">
        <v>8042</v>
      </c>
      <c r="E255">
        <v>8123</v>
      </c>
      <c r="F255">
        <v>8</v>
      </c>
      <c r="G255">
        <v>10</v>
      </c>
      <c r="H255">
        <v>0.8</v>
      </c>
      <c r="I255">
        <v>0.2</v>
      </c>
      <c r="J255">
        <v>0.55555560000000004</v>
      </c>
    </row>
    <row r="256" spans="1:10" x14ac:dyDescent="0.3">
      <c r="A256">
        <v>254</v>
      </c>
      <c r="B256">
        <v>4044</v>
      </c>
      <c r="C256" t="b">
        <v>1</v>
      </c>
      <c r="D256">
        <v>8048</v>
      </c>
      <c r="E256">
        <v>8129</v>
      </c>
      <c r="F256">
        <v>8</v>
      </c>
      <c r="G256">
        <v>9.6</v>
      </c>
      <c r="H256">
        <v>0.83333330000000005</v>
      </c>
      <c r="I256">
        <v>0.1666667</v>
      </c>
      <c r="J256">
        <v>0.54545456000000003</v>
      </c>
    </row>
    <row r="257" spans="1:10" x14ac:dyDescent="0.3">
      <c r="A257">
        <v>255</v>
      </c>
      <c r="B257">
        <v>4060</v>
      </c>
      <c r="C257" t="b">
        <v>1</v>
      </c>
      <c r="D257">
        <v>8042</v>
      </c>
      <c r="E257">
        <v>8123</v>
      </c>
      <c r="F257">
        <v>8</v>
      </c>
      <c r="G257">
        <v>9.1999999999999993</v>
      </c>
      <c r="H257">
        <v>0.86956524999999996</v>
      </c>
      <c r="I257">
        <v>0.13043477000000001</v>
      </c>
      <c r="J257">
        <v>0.53488369999999996</v>
      </c>
    </row>
    <row r="258" spans="1:10" x14ac:dyDescent="0.3">
      <c r="A258">
        <v>256</v>
      </c>
      <c r="B258">
        <v>4076</v>
      </c>
      <c r="C258" t="b">
        <v>1</v>
      </c>
      <c r="D258">
        <v>8048</v>
      </c>
      <c r="E258">
        <v>8123</v>
      </c>
      <c r="F258">
        <v>8</v>
      </c>
      <c r="G258">
        <v>8.8000000000000007</v>
      </c>
      <c r="H258">
        <v>0.90909090000000004</v>
      </c>
      <c r="I258">
        <v>9.0909110000000001E-2</v>
      </c>
      <c r="J258">
        <v>0.52380954999999996</v>
      </c>
    </row>
    <row r="259" spans="1:10" x14ac:dyDescent="0.3">
      <c r="A259">
        <v>257</v>
      </c>
      <c r="B259">
        <v>4092</v>
      </c>
      <c r="C259" t="b">
        <v>1</v>
      </c>
      <c r="D259">
        <v>8048</v>
      </c>
      <c r="E259">
        <v>8123</v>
      </c>
      <c r="F259">
        <v>8</v>
      </c>
      <c r="G259">
        <v>8.4</v>
      </c>
      <c r="H259">
        <v>0.95238100000000003</v>
      </c>
      <c r="I259">
        <v>4.7619003999999999E-2</v>
      </c>
      <c r="J259">
        <v>0.51219510000000001</v>
      </c>
    </row>
    <row r="260" spans="1:10" x14ac:dyDescent="0.3">
      <c r="A260">
        <v>258</v>
      </c>
      <c r="B260">
        <v>4108</v>
      </c>
      <c r="C260" t="b">
        <v>1</v>
      </c>
      <c r="D260">
        <v>8048</v>
      </c>
      <c r="E260">
        <v>8123</v>
      </c>
      <c r="F260">
        <v>8</v>
      </c>
      <c r="G260">
        <v>8</v>
      </c>
      <c r="H260">
        <v>1</v>
      </c>
      <c r="I260">
        <v>0</v>
      </c>
      <c r="J260">
        <v>0.5</v>
      </c>
    </row>
    <row r="261" spans="1:10" x14ac:dyDescent="0.3">
      <c r="A261">
        <v>259</v>
      </c>
      <c r="B261">
        <v>4124</v>
      </c>
      <c r="C261" t="b">
        <v>1</v>
      </c>
      <c r="D261">
        <v>8048</v>
      </c>
      <c r="E261">
        <v>8123</v>
      </c>
      <c r="F261">
        <v>8</v>
      </c>
      <c r="G261">
        <v>8</v>
      </c>
      <c r="H261">
        <v>1</v>
      </c>
      <c r="I261">
        <v>0</v>
      </c>
      <c r="J261">
        <v>0.5</v>
      </c>
    </row>
    <row r="262" spans="1:10" x14ac:dyDescent="0.3">
      <c r="A262">
        <v>260</v>
      </c>
      <c r="B262">
        <v>4140</v>
      </c>
      <c r="C262" t="b">
        <v>1</v>
      </c>
      <c r="D262">
        <v>8048</v>
      </c>
      <c r="E262">
        <v>8123</v>
      </c>
      <c r="F262">
        <v>8</v>
      </c>
      <c r="G262">
        <v>8</v>
      </c>
      <c r="H262">
        <v>1</v>
      </c>
      <c r="I262">
        <v>0</v>
      </c>
      <c r="J262">
        <v>0.5</v>
      </c>
    </row>
    <row r="263" spans="1:10" x14ac:dyDescent="0.3">
      <c r="A263">
        <v>261</v>
      </c>
      <c r="B263">
        <v>4156</v>
      </c>
      <c r="C263" t="b">
        <v>1</v>
      </c>
      <c r="D263">
        <v>8048</v>
      </c>
      <c r="E263">
        <v>8123</v>
      </c>
      <c r="F263">
        <v>8</v>
      </c>
      <c r="G263">
        <v>8</v>
      </c>
      <c r="H263">
        <v>1</v>
      </c>
      <c r="I263">
        <v>0</v>
      </c>
      <c r="J263">
        <v>0.5</v>
      </c>
    </row>
    <row r="264" spans="1:10" x14ac:dyDescent="0.3">
      <c r="A264">
        <v>262</v>
      </c>
      <c r="B264">
        <v>4172</v>
      </c>
      <c r="C264" t="b">
        <v>1</v>
      </c>
      <c r="D264">
        <v>8048</v>
      </c>
      <c r="E264">
        <v>8129</v>
      </c>
      <c r="F264">
        <v>8</v>
      </c>
      <c r="G264">
        <v>8</v>
      </c>
      <c r="H264">
        <v>1</v>
      </c>
      <c r="I264">
        <v>0</v>
      </c>
      <c r="J264">
        <v>0.5</v>
      </c>
    </row>
    <row r="265" spans="1:10" x14ac:dyDescent="0.3">
      <c r="A265">
        <v>263</v>
      </c>
      <c r="B265">
        <v>4188</v>
      </c>
      <c r="C265" t="b">
        <v>1</v>
      </c>
      <c r="D265">
        <v>8042</v>
      </c>
      <c r="E265">
        <v>8129</v>
      </c>
      <c r="F265">
        <v>8</v>
      </c>
      <c r="G265">
        <v>8</v>
      </c>
      <c r="H265">
        <v>1</v>
      </c>
      <c r="I265">
        <v>0</v>
      </c>
      <c r="J265">
        <v>0.5</v>
      </c>
    </row>
    <row r="266" spans="1:10" x14ac:dyDescent="0.3">
      <c r="A266">
        <v>264</v>
      </c>
      <c r="B266">
        <v>4204</v>
      </c>
      <c r="C266" t="b">
        <v>1</v>
      </c>
      <c r="D266">
        <v>8048</v>
      </c>
      <c r="E266">
        <v>8134</v>
      </c>
      <c r="F266">
        <v>8</v>
      </c>
      <c r="G266">
        <v>8.4</v>
      </c>
      <c r="H266">
        <v>0.95238100000000003</v>
      </c>
      <c r="I266">
        <v>4.7619003999999999E-2</v>
      </c>
      <c r="J266">
        <v>0.51219510000000001</v>
      </c>
    </row>
    <row r="267" spans="1:10" x14ac:dyDescent="0.3">
      <c r="A267">
        <v>265</v>
      </c>
      <c r="B267">
        <v>4220</v>
      </c>
      <c r="C267" t="b">
        <v>1</v>
      </c>
      <c r="D267">
        <v>8048</v>
      </c>
      <c r="E267">
        <v>8123</v>
      </c>
      <c r="F267">
        <v>8</v>
      </c>
      <c r="G267">
        <v>8.8000000000000007</v>
      </c>
      <c r="H267">
        <v>0.90909090000000004</v>
      </c>
      <c r="I267">
        <v>9.0909110000000001E-2</v>
      </c>
      <c r="J267">
        <v>0.52380954999999996</v>
      </c>
    </row>
    <row r="268" spans="1:10" x14ac:dyDescent="0.3">
      <c r="A268">
        <v>266</v>
      </c>
      <c r="B268">
        <v>4235</v>
      </c>
      <c r="C268" t="b">
        <v>1</v>
      </c>
      <c r="D268">
        <v>8048</v>
      </c>
      <c r="E268">
        <v>8123</v>
      </c>
      <c r="F268">
        <v>8</v>
      </c>
      <c r="G268">
        <v>9.1999999999999993</v>
      </c>
      <c r="H268">
        <v>0.86956524999999996</v>
      </c>
      <c r="I268">
        <v>0.13043477000000001</v>
      </c>
      <c r="J268">
        <v>0.53488369999999996</v>
      </c>
    </row>
    <row r="269" spans="1:10" x14ac:dyDescent="0.3">
      <c r="A269">
        <v>267</v>
      </c>
      <c r="B269">
        <v>4251</v>
      </c>
      <c r="C269" t="b">
        <v>1</v>
      </c>
      <c r="D269">
        <v>8048</v>
      </c>
      <c r="E269">
        <v>8123</v>
      </c>
      <c r="F269">
        <v>8</v>
      </c>
      <c r="G269">
        <v>9.1999999999999993</v>
      </c>
      <c r="H269">
        <v>0.86956524999999996</v>
      </c>
      <c r="I269">
        <v>0.13043477000000001</v>
      </c>
      <c r="J269">
        <v>0.53488369999999996</v>
      </c>
    </row>
    <row r="270" spans="1:10" x14ac:dyDescent="0.3">
      <c r="A270">
        <v>268</v>
      </c>
      <c r="B270">
        <v>4267</v>
      </c>
      <c r="C270" t="b">
        <v>1</v>
      </c>
      <c r="D270">
        <v>8048</v>
      </c>
      <c r="E270">
        <v>8123</v>
      </c>
      <c r="F270">
        <v>8</v>
      </c>
      <c r="G270">
        <v>9.1999999999999993</v>
      </c>
      <c r="H270">
        <v>0.86956524999999996</v>
      </c>
      <c r="I270">
        <v>0.13043477000000001</v>
      </c>
      <c r="J270">
        <v>0.53488369999999996</v>
      </c>
    </row>
    <row r="271" spans="1:10" x14ac:dyDescent="0.3">
      <c r="A271">
        <v>269</v>
      </c>
      <c r="B271">
        <v>4283</v>
      </c>
      <c r="C271" t="b">
        <v>1</v>
      </c>
      <c r="D271">
        <v>8048</v>
      </c>
      <c r="E271">
        <v>8123</v>
      </c>
      <c r="F271">
        <v>8</v>
      </c>
      <c r="G271">
        <v>9.1999999999999993</v>
      </c>
      <c r="H271">
        <v>0.86956524999999996</v>
      </c>
      <c r="I271">
        <v>0.13043477000000001</v>
      </c>
      <c r="J271">
        <v>0.53488369999999996</v>
      </c>
    </row>
    <row r="272" spans="1:10" x14ac:dyDescent="0.3">
      <c r="A272">
        <v>270</v>
      </c>
      <c r="B272">
        <v>4299</v>
      </c>
      <c r="C272" t="b">
        <v>1</v>
      </c>
      <c r="D272">
        <v>8048</v>
      </c>
      <c r="E272">
        <v>8123</v>
      </c>
      <c r="F272">
        <v>8</v>
      </c>
      <c r="G272">
        <v>9.1999999999999993</v>
      </c>
      <c r="H272">
        <v>0.86956524999999996</v>
      </c>
      <c r="I272">
        <v>0.13043477000000001</v>
      </c>
      <c r="J272">
        <v>0.53488369999999996</v>
      </c>
    </row>
    <row r="273" spans="1:10" x14ac:dyDescent="0.3">
      <c r="A273">
        <v>271</v>
      </c>
      <c r="B273">
        <v>4314</v>
      </c>
      <c r="C273" t="b">
        <v>1</v>
      </c>
      <c r="D273">
        <v>8048</v>
      </c>
      <c r="E273">
        <v>8123</v>
      </c>
      <c r="F273">
        <v>8</v>
      </c>
      <c r="G273">
        <v>9.1999999999999993</v>
      </c>
      <c r="H273">
        <v>0.86956524999999996</v>
      </c>
      <c r="I273">
        <v>0.13043477000000001</v>
      </c>
      <c r="J273">
        <v>0.53488369999999996</v>
      </c>
    </row>
    <row r="274" spans="1:10" x14ac:dyDescent="0.3">
      <c r="A274">
        <v>272</v>
      </c>
      <c r="B274">
        <v>4330</v>
      </c>
      <c r="C274" t="b">
        <v>1</v>
      </c>
      <c r="D274">
        <v>8048</v>
      </c>
      <c r="E274">
        <v>8123</v>
      </c>
      <c r="F274">
        <v>8</v>
      </c>
      <c r="G274">
        <v>9.1999999999999993</v>
      </c>
      <c r="H274">
        <v>0.86956524999999996</v>
      </c>
      <c r="I274">
        <v>0.13043477000000001</v>
      </c>
      <c r="J274">
        <v>0.53488369999999996</v>
      </c>
    </row>
    <row r="275" spans="1:10" x14ac:dyDescent="0.3">
      <c r="A275">
        <v>273</v>
      </c>
      <c r="B275">
        <v>4346</v>
      </c>
      <c r="C275" t="b">
        <v>1</v>
      </c>
      <c r="D275">
        <v>8048</v>
      </c>
      <c r="E275">
        <v>8123</v>
      </c>
      <c r="F275">
        <v>8</v>
      </c>
      <c r="G275">
        <v>9.1999999999999993</v>
      </c>
      <c r="H275">
        <v>0.86956524999999996</v>
      </c>
      <c r="I275">
        <v>0.13043477000000001</v>
      </c>
      <c r="J275">
        <v>0.53488369999999996</v>
      </c>
    </row>
    <row r="276" spans="1:10" x14ac:dyDescent="0.3">
      <c r="A276">
        <v>274</v>
      </c>
      <c r="B276">
        <v>4362</v>
      </c>
      <c r="C276" t="b">
        <v>1</v>
      </c>
      <c r="D276">
        <v>8042</v>
      </c>
      <c r="E276">
        <v>8123</v>
      </c>
      <c r="F276">
        <v>8</v>
      </c>
      <c r="G276">
        <v>9.1999999999999993</v>
      </c>
      <c r="H276">
        <v>0.86956524999999996</v>
      </c>
      <c r="I276">
        <v>0.13043477000000001</v>
      </c>
      <c r="J276">
        <v>0.53488369999999996</v>
      </c>
    </row>
    <row r="277" spans="1:10" x14ac:dyDescent="0.3">
      <c r="A277">
        <v>275</v>
      </c>
      <c r="B277">
        <v>4378</v>
      </c>
      <c r="C277" t="b">
        <v>1</v>
      </c>
      <c r="D277">
        <v>8042</v>
      </c>
      <c r="E277">
        <v>8123</v>
      </c>
      <c r="F277">
        <v>8</v>
      </c>
      <c r="G277">
        <v>9.1999999999999993</v>
      </c>
      <c r="H277">
        <v>0.86956524999999996</v>
      </c>
      <c r="I277">
        <v>0.13043477000000001</v>
      </c>
      <c r="J277">
        <v>0.53488369999999996</v>
      </c>
    </row>
    <row r="278" spans="1:10" x14ac:dyDescent="0.3">
      <c r="A278">
        <v>276</v>
      </c>
      <c r="B278">
        <v>4394</v>
      </c>
      <c r="C278" t="b">
        <v>1</v>
      </c>
      <c r="D278">
        <v>8048</v>
      </c>
      <c r="E278">
        <v>8123</v>
      </c>
      <c r="F278">
        <v>8</v>
      </c>
      <c r="G278">
        <v>9.1999999999999993</v>
      </c>
      <c r="H278">
        <v>0.86956524999999996</v>
      </c>
      <c r="I278">
        <v>0.13043477000000001</v>
      </c>
      <c r="J278">
        <v>0.53488369999999996</v>
      </c>
    </row>
    <row r="279" spans="1:10" x14ac:dyDescent="0.3">
      <c r="A279">
        <v>277</v>
      </c>
      <c r="B279">
        <v>4410</v>
      </c>
      <c r="C279" t="b">
        <v>1</v>
      </c>
      <c r="D279">
        <v>8048</v>
      </c>
      <c r="E279">
        <v>8134</v>
      </c>
      <c r="F279">
        <v>8</v>
      </c>
      <c r="G279">
        <v>9.1999999999999993</v>
      </c>
      <c r="H279">
        <v>0.86956524999999996</v>
      </c>
      <c r="I279">
        <v>0.13043477000000001</v>
      </c>
      <c r="J279">
        <v>0.53488369999999996</v>
      </c>
    </row>
    <row r="280" spans="1:10" x14ac:dyDescent="0.3">
      <c r="A280">
        <v>278</v>
      </c>
      <c r="B280">
        <v>4426</v>
      </c>
      <c r="C280" t="b">
        <v>1</v>
      </c>
      <c r="D280">
        <v>8048</v>
      </c>
      <c r="E280">
        <v>8117</v>
      </c>
      <c r="F280">
        <v>8</v>
      </c>
      <c r="G280">
        <v>9.1999999999999993</v>
      </c>
      <c r="H280">
        <v>0.86956524999999996</v>
      </c>
      <c r="I280">
        <v>0.13043477000000001</v>
      </c>
      <c r="J280">
        <v>0.53488369999999996</v>
      </c>
    </row>
    <row r="281" spans="1:10" x14ac:dyDescent="0.3">
      <c r="A281">
        <v>279</v>
      </c>
      <c r="B281">
        <v>4442</v>
      </c>
      <c r="C281" t="b">
        <v>1</v>
      </c>
      <c r="D281">
        <v>8048</v>
      </c>
      <c r="E281">
        <v>8123</v>
      </c>
      <c r="F281">
        <v>8</v>
      </c>
      <c r="G281">
        <v>8.8000000000000007</v>
      </c>
      <c r="H281">
        <v>0.90909090000000004</v>
      </c>
      <c r="I281">
        <v>9.0909110000000001E-2</v>
      </c>
      <c r="J281">
        <v>0.52380954999999996</v>
      </c>
    </row>
    <row r="282" spans="1:10" x14ac:dyDescent="0.3">
      <c r="A282">
        <v>280</v>
      </c>
      <c r="B282">
        <v>4458</v>
      </c>
      <c r="C282" t="b">
        <v>1</v>
      </c>
      <c r="D282">
        <v>8048</v>
      </c>
      <c r="E282">
        <v>8123</v>
      </c>
      <c r="F282">
        <v>8</v>
      </c>
      <c r="G282">
        <v>8.4</v>
      </c>
      <c r="H282">
        <v>0.95238100000000003</v>
      </c>
      <c r="I282">
        <v>4.7619003999999999E-2</v>
      </c>
      <c r="J282">
        <v>0.51219510000000001</v>
      </c>
    </row>
    <row r="283" spans="1:10" x14ac:dyDescent="0.3">
      <c r="A283">
        <v>281</v>
      </c>
      <c r="B283">
        <v>4473</v>
      </c>
      <c r="C283" t="b">
        <v>1</v>
      </c>
      <c r="D283">
        <v>8048</v>
      </c>
      <c r="E283">
        <v>8123</v>
      </c>
      <c r="F283">
        <v>8</v>
      </c>
      <c r="G283">
        <v>8</v>
      </c>
      <c r="H283">
        <v>1</v>
      </c>
      <c r="I283">
        <v>0</v>
      </c>
      <c r="J283">
        <v>0.5</v>
      </c>
    </row>
    <row r="284" spans="1:10" x14ac:dyDescent="0.3">
      <c r="A284">
        <v>282</v>
      </c>
      <c r="B284">
        <v>4489</v>
      </c>
      <c r="C284" t="b">
        <v>1</v>
      </c>
      <c r="D284">
        <v>8048</v>
      </c>
      <c r="E284">
        <v>8123</v>
      </c>
      <c r="F284">
        <v>8</v>
      </c>
      <c r="G284">
        <v>8</v>
      </c>
      <c r="H284">
        <v>1</v>
      </c>
      <c r="I284">
        <v>0</v>
      </c>
      <c r="J284">
        <v>0.5</v>
      </c>
    </row>
    <row r="285" spans="1:10" x14ac:dyDescent="0.3">
      <c r="A285">
        <v>283</v>
      </c>
      <c r="B285">
        <v>4505</v>
      </c>
      <c r="C285" t="b">
        <v>1</v>
      </c>
      <c r="D285">
        <v>8048</v>
      </c>
      <c r="E285">
        <v>8123</v>
      </c>
      <c r="F285">
        <v>8</v>
      </c>
      <c r="G285">
        <v>8</v>
      </c>
      <c r="H285">
        <v>1</v>
      </c>
      <c r="I285">
        <v>0</v>
      </c>
      <c r="J285">
        <v>0.5</v>
      </c>
    </row>
    <row r="286" spans="1:10" x14ac:dyDescent="0.3">
      <c r="A286">
        <v>284</v>
      </c>
      <c r="B286">
        <v>4520</v>
      </c>
      <c r="C286" t="b">
        <v>1</v>
      </c>
      <c r="D286">
        <v>8048</v>
      </c>
      <c r="E286">
        <v>8123</v>
      </c>
      <c r="F286">
        <v>8</v>
      </c>
      <c r="G286">
        <v>8</v>
      </c>
      <c r="H286">
        <v>1</v>
      </c>
      <c r="I286">
        <v>0</v>
      </c>
      <c r="J286">
        <v>0.5</v>
      </c>
    </row>
    <row r="287" spans="1:10" x14ac:dyDescent="0.3">
      <c r="A287">
        <v>285</v>
      </c>
      <c r="B287">
        <v>4536</v>
      </c>
      <c r="C287" t="b">
        <v>1</v>
      </c>
      <c r="D287">
        <v>8048</v>
      </c>
      <c r="E287">
        <v>8123</v>
      </c>
      <c r="F287">
        <v>8</v>
      </c>
      <c r="G287">
        <v>8</v>
      </c>
      <c r="H287">
        <v>1</v>
      </c>
      <c r="I287">
        <v>0</v>
      </c>
      <c r="J287">
        <v>0.5</v>
      </c>
    </row>
    <row r="288" spans="1:10" x14ac:dyDescent="0.3">
      <c r="A288">
        <v>286</v>
      </c>
      <c r="B288">
        <v>4552</v>
      </c>
      <c r="C288" t="b">
        <v>1</v>
      </c>
      <c r="D288">
        <v>8048</v>
      </c>
      <c r="E288">
        <v>8123</v>
      </c>
      <c r="F288">
        <v>8</v>
      </c>
      <c r="G288">
        <v>8</v>
      </c>
      <c r="H288">
        <v>1</v>
      </c>
      <c r="I288">
        <v>0</v>
      </c>
      <c r="J288">
        <v>0.5</v>
      </c>
    </row>
    <row r="289" spans="1:10" x14ac:dyDescent="0.3">
      <c r="A289">
        <v>287</v>
      </c>
      <c r="B289">
        <v>4568</v>
      </c>
      <c r="C289" t="b">
        <v>1</v>
      </c>
      <c r="D289">
        <v>8048</v>
      </c>
      <c r="E289">
        <v>8123</v>
      </c>
      <c r="F289">
        <v>8</v>
      </c>
      <c r="G289">
        <v>8</v>
      </c>
      <c r="H289">
        <v>1</v>
      </c>
      <c r="I289">
        <v>0</v>
      </c>
      <c r="J289">
        <v>0.5</v>
      </c>
    </row>
    <row r="290" spans="1:10" x14ac:dyDescent="0.3">
      <c r="A290">
        <v>288</v>
      </c>
      <c r="B290">
        <v>4584</v>
      </c>
      <c r="C290" t="b">
        <v>1</v>
      </c>
      <c r="D290">
        <v>8048</v>
      </c>
      <c r="E290">
        <v>8123</v>
      </c>
      <c r="F290">
        <v>8</v>
      </c>
      <c r="G290">
        <v>8</v>
      </c>
      <c r="H290">
        <v>1</v>
      </c>
      <c r="I290">
        <v>0</v>
      </c>
      <c r="J290">
        <v>0.5</v>
      </c>
    </row>
    <row r="291" spans="1:10" x14ac:dyDescent="0.3">
      <c r="A291">
        <v>289</v>
      </c>
      <c r="B291">
        <v>4600</v>
      </c>
      <c r="C291" t="b">
        <v>1</v>
      </c>
      <c r="D291">
        <v>8048</v>
      </c>
      <c r="E291">
        <v>8123</v>
      </c>
      <c r="F291">
        <v>8</v>
      </c>
      <c r="G291">
        <v>8</v>
      </c>
      <c r="H291">
        <v>1</v>
      </c>
      <c r="I291">
        <v>0</v>
      </c>
      <c r="J291">
        <v>0.5</v>
      </c>
    </row>
    <row r="292" spans="1:10" x14ac:dyDescent="0.3">
      <c r="A292">
        <v>290</v>
      </c>
      <c r="B292">
        <v>4616</v>
      </c>
      <c r="C292" t="b">
        <v>1</v>
      </c>
      <c r="D292">
        <v>8042</v>
      </c>
      <c r="E292">
        <v>8123</v>
      </c>
      <c r="F292">
        <v>8</v>
      </c>
      <c r="G292">
        <v>8</v>
      </c>
      <c r="H292">
        <v>1</v>
      </c>
      <c r="I292">
        <v>0</v>
      </c>
      <c r="J292">
        <v>0.5</v>
      </c>
    </row>
    <row r="293" spans="1:10" x14ac:dyDescent="0.3">
      <c r="A293">
        <v>291</v>
      </c>
      <c r="B293">
        <v>4631</v>
      </c>
      <c r="C293" t="b">
        <v>1</v>
      </c>
      <c r="D293">
        <v>8042</v>
      </c>
      <c r="E293">
        <v>8123</v>
      </c>
      <c r="F293">
        <v>8</v>
      </c>
      <c r="G293">
        <v>8</v>
      </c>
      <c r="H293">
        <v>1</v>
      </c>
      <c r="I293">
        <v>0</v>
      </c>
      <c r="J293">
        <v>0.5</v>
      </c>
    </row>
    <row r="294" spans="1:10" x14ac:dyDescent="0.3">
      <c r="A294">
        <v>292</v>
      </c>
      <c r="B294">
        <v>4647</v>
      </c>
      <c r="C294" t="b">
        <v>1</v>
      </c>
      <c r="D294">
        <v>8042</v>
      </c>
      <c r="E294">
        <v>8129</v>
      </c>
      <c r="F294">
        <v>7.6</v>
      </c>
      <c r="G294">
        <v>8</v>
      </c>
      <c r="H294">
        <v>0.95</v>
      </c>
      <c r="I294">
        <v>5.0000012000000003E-2</v>
      </c>
      <c r="J294">
        <v>0.51282050000000001</v>
      </c>
    </row>
    <row r="295" spans="1:10" x14ac:dyDescent="0.3">
      <c r="A295">
        <v>293</v>
      </c>
      <c r="B295">
        <v>4663</v>
      </c>
      <c r="C295" t="b">
        <v>1</v>
      </c>
      <c r="D295">
        <v>8048</v>
      </c>
      <c r="E295">
        <v>8129</v>
      </c>
      <c r="F295">
        <v>7.2</v>
      </c>
      <c r="G295">
        <v>8</v>
      </c>
      <c r="H295">
        <v>0.9</v>
      </c>
      <c r="I295">
        <v>0.10000002400000001</v>
      </c>
      <c r="J295">
        <v>0.5263158</v>
      </c>
    </row>
    <row r="296" spans="1:10" x14ac:dyDescent="0.3">
      <c r="A296">
        <v>294</v>
      </c>
      <c r="B296">
        <v>4679</v>
      </c>
      <c r="C296" t="b">
        <v>1</v>
      </c>
      <c r="D296">
        <v>8048</v>
      </c>
      <c r="E296">
        <v>8129</v>
      </c>
      <c r="F296">
        <v>6.8</v>
      </c>
      <c r="G296">
        <v>8.4</v>
      </c>
      <c r="H296">
        <v>0.80952389999999996</v>
      </c>
      <c r="I296">
        <v>0.19047612999999999</v>
      </c>
      <c r="J296">
        <v>0.55263156000000002</v>
      </c>
    </row>
    <row r="297" spans="1:10" x14ac:dyDescent="0.3">
      <c r="A297">
        <v>295</v>
      </c>
      <c r="B297">
        <v>4695</v>
      </c>
      <c r="C297" t="b">
        <v>1</v>
      </c>
      <c r="D297">
        <v>8048</v>
      </c>
      <c r="E297">
        <v>8129</v>
      </c>
      <c r="F297">
        <v>6.8</v>
      </c>
      <c r="G297">
        <v>8.8000000000000007</v>
      </c>
      <c r="H297">
        <v>0.77272724999999998</v>
      </c>
      <c r="I297">
        <v>0.22727272000000001</v>
      </c>
      <c r="J297">
        <v>0.56410260000000001</v>
      </c>
    </row>
    <row r="298" spans="1:10" x14ac:dyDescent="0.3">
      <c r="A298">
        <v>296</v>
      </c>
      <c r="B298">
        <v>4711</v>
      </c>
      <c r="C298" t="b">
        <v>1</v>
      </c>
      <c r="D298">
        <v>8048</v>
      </c>
      <c r="E298">
        <v>8123</v>
      </c>
      <c r="F298">
        <v>6.8</v>
      </c>
      <c r="G298">
        <v>9.1999999999999993</v>
      </c>
      <c r="H298">
        <v>0.73913050000000002</v>
      </c>
      <c r="I298">
        <v>0.26086953000000002</v>
      </c>
      <c r="J298">
        <v>0.57499999999999996</v>
      </c>
    </row>
    <row r="299" spans="1:10" x14ac:dyDescent="0.3">
      <c r="A299">
        <v>297</v>
      </c>
      <c r="B299">
        <v>4727</v>
      </c>
      <c r="C299" t="b">
        <v>1</v>
      </c>
      <c r="D299">
        <v>8048</v>
      </c>
      <c r="E299">
        <v>8123</v>
      </c>
      <c r="F299">
        <v>6.8</v>
      </c>
      <c r="G299">
        <v>9.6</v>
      </c>
      <c r="H299">
        <v>0.70833330000000005</v>
      </c>
      <c r="I299">
        <v>0.2916667</v>
      </c>
      <c r="J299">
        <v>0.58536582999999998</v>
      </c>
    </row>
    <row r="300" spans="1:10" x14ac:dyDescent="0.3">
      <c r="A300">
        <v>298</v>
      </c>
      <c r="B300">
        <v>4743</v>
      </c>
      <c r="C300" t="b">
        <v>1</v>
      </c>
      <c r="D300">
        <v>8048</v>
      </c>
      <c r="E300">
        <v>8129</v>
      </c>
      <c r="F300">
        <v>6.8</v>
      </c>
      <c r="G300">
        <v>10</v>
      </c>
      <c r="H300">
        <v>0.68</v>
      </c>
      <c r="I300">
        <v>0.32</v>
      </c>
      <c r="J300">
        <v>0.59523815000000002</v>
      </c>
    </row>
    <row r="301" spans="1:10" x14ac:dyDescent="0.3">
      <c r="A301">
        <v>299</v>
      </c>
      <c r="B301">
        <v>4759</v>
      </c>
      <c r="C301" t="b">
        <v>1</v>
      </c>
      <c r="D301">
        <v>8042</v>
      </c>
      <c r="E301">
        <v>8129</v>
      </c>
      <c r="F301">
        <v>6.8</v>
      </c>
      <c r="G301">
        <v>10.4</v>
      </c>
      <c r="H301">
        <v>0.65384620000000004</v>
      </c>
      <c r="I301">
        <v>0.34615380000000001</v>
      </c>
      <c r="J301">
        <v>0.6046511</v>
      </c>
    </row>
    <row r="302" spans="1:10" x14ac:dyDescent="0.3">
      <c r="A302">
        <v>300</v>
      </c>
      <c r="B302">
        <v>4775</v>
      </c>
      <c r="C302" t="b">
        <v>1</v>
      </c>
      <c r="D302">
        <v>8042</v>
      </c>
      <c r="E302">
        <v>8129</v>
      </c>
      <c r="F302">
        <v>6.8</v>
      </c>
      <c r="G302">
        <v>10.8</v>
      </c>
      <c r="H302">
        <v>0.62962960000000001</v>
      </c>
      <c r="I302">
        <v>0.37037036000000001</v>
      </c>
      <c r="J302">
        <v>0.61363639999999997</v>
      </c>
    </row>
    <row r="303" spans="1:10" x14ac:dyDescent="0.3">
      <c r="A303">
        <v>301</v>
      </c>
      <c r="B303">
        <v>4791</v>
      </c>
      <c r="C303" t="b">
        <v>1</v>
      </c>
      <c r="D303">
        <v>8042</v>
      </c>
      <c r="E303">
        <v>8123</v>
      </c>
      <c r="F303">
        <v>6.4</v>
      </c>
      <c r="G303">
        <v>11.2</v>
      </c>
      <c r="H303">
        <v>0.57142859999999995</v>
      </c>
      <c r="I303">
        <v>0.42857139999999999</v>
      </c>
      <c r="J303">
        <v>0.63636360000000003</v>
      </c>
    </row>
    <row r="304" spans="1:10" x14ac:dyDescent="0.3">
      <c r="A304">
        <v>302</v>
      </c>
      <c r="B304">
        <v>4806</v>
      </c>
      <c r="C304" t="b">
        <v>1</v>
      </c>
      <c r="D304">
        <v>8048</v>
      </c>
      <c r="E304">
        <v>8123</v>
      </c>
      <c r="F304">
        <v>6</v>
      </c>
      <c r="G304">
        <v>11.6</v>
      </c>
      <c r="H304">
        <v>0.51724135999999998</v>
      </c>
      <c r="I304">
        <v>0.48275864000000002</v>
      </c>
      <c r="J304">
        <v>0.65909094000000001</v>
      </c>
    </row>
    <row r="305" spans="1:10" x14ac:dyDescent="0.3">
      <c r="A305">
        <v>303</v>
      </c>
      <c r="B305">
        <v>4822</v>
      </c>
      <c r="C305" t="b">
        <v>1</v>
      </c>
      <c r="D305">
        <v>8048</v>
      </c>
      <c r="E305">
        <v>8123</v>
      </c>
      <c r="F305">
        <v>5.6</v>
      </c>
      <c r="G305">
        <v>11.6</v>
      </c>
      <c r="H305">
        <v>0.48275859999999998</v>
      </c>
      <c r="I305">
        <v>0.51724139999999996</v>
      </c>
      <c r="J305">
        <v>0.67441857000000005</v>
      </c>
    </row>
    <row r="306" spans="1:10" x14ac:dyDescent="0.3">
      <c r="A306">
        <v>304</v>
      </c>
      <c r="B306">
        <v>4838</v>
      </c>
      <c r="C306" t="b">
        <v>1</v>
      </c>
      <c r="D306">
        <v>8042</v>
      </c>
      <c r="E306">
        <v>8117</v>
      </c>
      <c r="F306">
        <v>5.2</v>
      </c>
      <c r="G306">
        <v>11.6</v>
      </c>
      <c r="H306">
        <v>0.44827582999999999</v>
      </c>
      <c r="I306">
        <v>0.5517242</v>
      </c>
      <c r="J306">
        <v>0.69047623999999996</v>
      </c>
    </row>
    <row r="307" spans="1:10" x14ac:dyDescent="0.3">
      <c r="A307">
        <v>305</v>
      </c>
      <c r="B307">
        <v>4854</v>
      </c>
      <c r="C307" t="b">
        <v>1</v>
      </c>
      <c r="D307">
        <v>8048</v>
      </c>
      <c r="E307">
        <v>8123</v>
      </c>
      <c r="F307">
        <v>5.2</v>
      </c>
      <c r="G307">
        <v>11.6</v>
      </c>
      <c r="H307">
        <v>0.44827582999999999</v>
      </c>
      <c r="I307">
        <v>0.5517242</v>
      </c>
      <c r="J307">
        <v>0.69047623999999996</v>
      </c>
    </row>
    <row r="308" spans="1:10" x14ac:dyDescent="0.3">
      <c r="A308">
        <v>306</v>
      </c>
      <c r="B308">
        <v>4869</v>
      </c>
      <c r="C308" t="b">
        <v>1</v>
      </c>
      <c r="D308">
        <v>8048</v>
      </c>
      <c r="E308">
        <v>8129</v>
      </c>
      <c r="F308">
        <v>5.2</v>
      </c>
      <c r="G308">
        <v>11.6</v>
      </c>
      <c r="H308">
        <v>0.44827582999999999</v>
      </c>
      <c r="I308">
        <v>0.5517242</v>
      </c>
      <c r="J308">
        <v>0.69047623999999996</v>
      </c>
    </row>
    <row r="309" spans="1:10" x14ac:dyDescent="0.3">
      <c r="A309">
        <v>307</v>
      </c>
      <c r="B309">
        <v>4885</v>
      </c>
      <c r="C309" t="b">
        <v>1</v>
      </c>
      <c r="D309">
        <v>8048</v>
      </c>
      <c r="E309">
        <v>8123</v>
      </c>
      <c r="F309">
        <v>5.6</v>
      </c>
      <c r="G309">
        <v>11.6</v>
      </c>
      <c r="H309">
        <v>0.48275859999999998</v>
      </c>
      <c r="I309">
        <v>0.51724139999999996</v>
      </c>
      <c r="J309">
        <v>0.67441857000000005</v>
      </c>
    </row>
    <row r="310" spans="1:10" x14ac:dyDescent="0.3">
      <c r="A310">
        <v>308</v>
      </c>
      <c r="B310">
        <v>4901</v>
      </c>
      <c r="C310" t="b">
        <v>1</v>
      </c>
      <c r="D310">
        <v>8048</v>
      </c>
      <c r="E310">
        <v>8129</v>
      </c>
      <c r="F310">
        <v>6</v>
      </c>
      <c r="G310">
        <v>11.6</v>
      </c>
      <c r="H310">
        <v>0.51724135999999998</v>
      </c>
      <c r="I310">
        <v>0.48275864000000002</v>
      </c>
      <c r="J310">
        <v>0.65909094000000001</v>
      </c>
    </row>
    <row r="311" spans="1:10" x14ac:dyDescent="0.3">
      <c r="A311">
        <v>309</v>
      </c>
      <c r="B311">
        <v>4917</v>
      </c>
      <c r="C311" t="b">
        <v>1</v>
      </c>
      <c r="D311">
        <v>8042</v>
      </c>
      <c r="E311">
        <v>8123</v>
      </c>
      <c r="F311">
        <v>6.4</v>
      </c>
      <c r="G311">
        <v>11.2</v>
      </c>
      <c r="H311">
        <v>0.57142859999999995</v>
      </c>
      <c r="I311">
        <v>0.42857139999999999</v>
      </c>
      <c r="J311">
        <v>0.63636360000000003</v>
      </c>
    </row>
    <row r="312" spans="1:10" x14ac:dyDescent="0.3">
      <c r="A312">
        <v>310</v>
      </c>
      <c r="B312">
        <v>4932</v>
      </c>
      <c r="C312" t="b">
        <v>1</v>
      </c>
      <c r="D312">
        <v>8048</v>
      </c>
      <c r="E312">
        <v>8117</v>
      </c>
      <c r="F312">
        <v>6.4</v>
      </c>
      <c r="G312">
        <v>10.8</v>
      </c>
      <c r="H312">
        <v>0.59259260000000002</v>
      </c>
      <c r="I312">
        <v>0.40740739999999998</v>
      </c>
      <c r="J312">
        <v>0.62790699999999999</v>
      </c>
    </row>
    <row r="313" spans="1:10" x14ac:dyDescent="0.3">
      <c r="A313">
        <v>311</v>
      </c>
      <c r="B313">
        <v>4948</v>
      </c>
      <c r="C313" t="b">
        <v>1</v>
      </c>
      <c r="D313">
        <v>8042</v>
      </c>
      <c r="E313">
        <v>8123</v>
      </c>
      <c r="F313">
        <v>6.4</v>
      </c>
      <c r="G313">
        <v>10.4</v>
      </c>
      <c r="H313">
        <v>0.61538464000000004</v>
      </c>
      <c r="I313">
        <v>0.38461536000000002</v>
      </c>
      <c r="J313">
        <v>0.61904764000000001</v>
      </c>
    </row>
    <row r="314" spans="1:10" x14ac:dyDescent="0.3">
      <c r="A314">
        <v>312</v>
      </c>
      <c r="B314">
        <v>4964</v>
      </c>
      <c r="C314" t="b">
        <v>1</v>
      </c>
      <c r="D314">
        <v>8048</v>
      </c>
      <c r="E314">
        <v>8123</v>
      </c>
      <c r="F314">
        <v>6.4</v>
      </c>
      <c r="G314">
        <v>10</v>
      </c>
      <c r="H314">
        <v>0.64</v>
      </c>
      <c r="I314">
        <v>0.35999998</v>
      </c>
      <c r="J314">
        <v>0.60975610000000002</v>
      </c>
    </row>
    <row r="315" spans="1:10" x14ac:dyDescent="0.3">
      <c r="A315">
        <v>313</v>
      </c>
      <c r="B315">
        <v>4980</v>
      </c>
      <c r="C315" t="b">
        <v>1</v>
      </c>
      <c r="D315">
        <v>8042</v>
      </c>
      <c r="E315">
        <v>8123</v>
      </c>
      <c r="F315">
        <v>6</v>
      </c>
      <c r="G315">
        <v>9.6</v>
      </c>
      <c r="H315">
        <v>0.625</v>
      </c>
      <c r="I315">
        <v>0.37500002999999998</v>
      </c>
      <c r="J315">
        <v>0.61538464000000004</v>
      </c>
    </row>
    <row r="316" spans="1:10" x14ac:dyDescent="0.3">
      <c r="A316">
        <v>314</v>
      </c>
      <c r="B316">
        <v>4996</v>
      </c>
      <c r="C316" t="b">
        <v>1</v>
      </c>
      <c r="D316">
        <v>8042</v>
      </c>
      <c r="E316">
        <v>8123</v>
      </c>
      <c r="F316">
        <v>5.6</v>
      </c>
      <c r="G316">
        <v>9.1999999999999993</v>
      </c>
      <c r="H316">
        <v>0.6086956</v>
      </c>
      <c r="I316">
        <v>0.39130433999999997</v>
      </c>
      <c r="J316">
        <v>0.62162167000000002</v>
      </c>
    </row>
    <row r="317" spans="1:10" x14ac:dyDescent="0.3">
      <c r="A317">
        <v>315</v>
      </c>
      <c r="B317">
        <v>5012</v>
      </c>
      <c r="C317" t="b">
        <v>1</v>
      </c>
      <c r="D317">
        <v>8048</v>
      </c>
      <c r="E317">
        <v>8129</v>
      </c>
      <c r="F317">
        <v>5.2</v>
      </c>
      <c r="G317">
        <v>8.8000000000000007</v>
      </c>
      <c r="H317">
        <v>0.59090905999999999</v>
      </c>
      <c r="I317">
        <v>0.40909094000000001</v>
      </c>
      <c r="J317">
        <v>0.62857145000000003</v>
      </c>
    </row>
    <row r="318" spans="1:10" x14ac:dyDescent="0.3">
      <c r="A318">
        <v>316</v>
      </c>
      <c r="B318">
        <v>5028</v>
      </c>
      <c r="C318" t="b">
        <v>1</v>
      </c>
      <c r="D318">
        <v>8048</v>
      </c>
      <c r="E318">
        <v>8123</v>
      </c>
      <c r="F318">
        <v>5.6</v>
      </c>
      <c r="G318">
        <v>8.4</v>
      </c>
      <c r="H318">
        <v>0.66666669999999995</v>
      </c>
      <c r="I318">
        <v>0.3333333</v>
      </c>
      <c r="J318">
        <v>0.59999996</v>
      </c>
    </row>
    <row r="319" spans="1:10" x14ac:dyDescent="0.3">
      <c r="A319">
        <v>317</v>
      </c>
      <c r="B319">
        <v>5044</v>
      </c>
      <c r="C319" t="b">
        <v>1</v>
      </c>
      <c r="D319">
        <v>8042</v>
      </c>
      <c r="E319">
        <v>8123</v>
      </c>
      <c r="F319">
        <v>5.6</v>
      </c>
      <c r="G319">
        <v>8</v>
      </c>
      <c r="H319">
        <v>0.7</v>
      </c>
      <c r="I319">
        <v>0.3</v>
      </c>
      <c r="J319">
        <v>0.58823526000000004</v>
      </c>
    </row>
    <row r="320" spans="1:10" x14ac:dyDescent="0.3">
      <c r="A320">
        <v>318</v>
      </c>
      <c r="B320">
        <v>5060</v>
      </c>
      <c r="C320" t="b">
        <v>1</v>
      </c>
      <c r="D320">
        <v>8048</v>
      </c>
      <c r="E320">
        <v>8123</v>
      </c>
      <c r="F320">
        <v>6</v>
      </c>
      <c r="G320">
        <v>8</v>
      </c>
      <c r="H320">
        <v>0.75</v>
      </c>
      <c r="I320">
        <v>0.25</v>
      </c>
      <c r="J320">
        <v>0.57142859999999995</v>
      </c>
    </row>
    <row r="321" spans="1:10" x14ac:dyDescent="0.3">
      <c r="A321">
        <v>319</v>
      </c>
      <c r="B321">
        <v>5076</v>
      </c>
      <c r="C321" t="b">
        <v>1</v>
      </c>
      <c r="D321">
        <v>8048</v>
      </c>
      <c r="E321">
        <v>8129</v>
      </c>
      <c r="F321">
        <v>6.4</v>
      </c>
      <c r="G321">
        <v>8</v>
      </c>
      <c r="H321">
        <v>0.8</v>
      </c>
      <c r="I321">
        <v>0.19999998999999999</v>
      </c>
      <c r="J321">
        <v>0.55555560000000004</v>
      </c>
    </row>
    <row r="322" spans="1:10" x14ac:dyDescent="0.3">
      <c r="A322">
        <v>320</v>
      </c>
      <c r="B322">
        <v>5092</v>
      </c>
      <c r="C322" t="b">
        <v>1</v>
      </c>
      <c r="D322">
        <v>8048</v>
      </c>
      <c r="E322">
        <v>8123</v>
      </c>
      <c r="F322">
        <v>6.4</v>
      </c>
      <c r="G322">
        <v>8</v>
      </c>
      <c r="H322">
        <v>0.8</v>
      </c>
      <c r="I322">
        <v>0.19999998999999999</v>
      </c>
      <c r="J322">
        <v>0.55555560000000004</v>
      </c>
    </row>
    <row r="323" spans="1:10" x14ac:dyDescent="0.3">
      <c r="A323">
        <v>321</v>
      </c>
      <c r="B323">
        <v>5108</v>
      </c>
      <c r="C323" t="b">
        <v>1</v>
      </c>
      <c r="D323">
        <v>8048</v>
      </c>
      <c r="E323">
        <v>8129</v>
      </c>
      <c r="F323">
        <v>6.4</v>
      </c>
      <c r="G323">
        <v>8</v>
      </c>
      <c r="H323">
        <v>0.8</v>
      </c>
      <c r="I323">
        <v>0.19999998999999999</v>
      </c>
      <c r="J323">
        <v>0.55555560000000004</v>
      </c>
    </row>
    <row r="324" spans="1:10" x14ac:dyDescent="0.3">
      <c r="A324">
        <v>322</v>
      </c>
      <c r="B324">
        <v>5124</v>
      </c>
      <c r="C324" t="b">
        <v>1</v>
      </c>
      <c r="D324">
        <v>8048</v>
      </c>
      <c r="E324">
        <v>8123</v>
      </c>
      <c r="F324">
        <v>6.4</v>
      </c>
      <c r="G324">
        <v>8</v>
      </c>
      <c r="H324">
        <v>0.8</v>
      </c>
      <c r="I324">
        <v>0.19999998999999999</v>
      </c>
      <c r="J324">
        <v>0.55555560000000004</v>
      </c>
    </row>
    <row r="325" spans="1:10" x14ac:dyDescent="0.3">
      <c r="A325">
        <v>323</v>
      </c>
      <c r="B325">
        <v>5139</v>
      </c>
      <c r="C325" t="b">
        <v>1</v>
      </c>
      <c r="D325">
        <v>8048</v>
      </c>
      <c r="E325">
        <v>8123</v>
      </c>
      <c r="F325">
        <v>6.4</v>
      </c>
      <c r="G325">
        <v>8</v>
      </c>
      <c r="H325">
        <v>0.8</v>
      </c>
      <c r="I325">
        <v>0.19999998999999999</v>
      </c>
      <c r="J325">
        <v>0.55555560000000004</v>
      </c>
    </row>
    <row r="326" spans="1:10" x14ac:dyDescent="0.3">
      <c r="A326">
        <v>324</v>
      </c>
      <c r="B326">
        <v>5155</v>
      </c>
      <c r="C326" t="b">
        <v>1</v>
      </c>
      <c r="D326">
        <v>8048</v>
      </c>
      <c r="E326">
        <v>8123</v>
      </c>
      <c r="F326">
        <v>6.4</v>
      </c>
      <c r="G326">
        <v>8</v>
      </c>
      <c r="H326">
        <v>0.8</v>
      </c>
      <c r="I326">
        <v>0.19999998999999999</v>
      </c>
      <c r="J326">
        <v>0.55555560000000004</v>
      </c>
    </row>
    <row r="327" spans="1:10" x14ac:dyDescent="0.3">
      <c r="A327">
        <v>325</v>
      </c>
      <c r="B327">
        <v>5171</v>
      </c>
      <c r="C327" t="b">
        <v>1</v>
      </c>
      <c r="D327">
        <v>8048</v>
      </c>
      <c r="E327">
        <v>8123</v>
      </c>
      <c r="F327">
        <v>6.4</v>
      </c>
      <c r="G327">
        <v>8</v>
      </c>
      <c r="H327">
        <v>0.8</v>
      </c>
      <c r="I327">
        <v>0.19999998999999999</v>
      </c>
      <c r="J327">
        <v>0.55555560000000004</v>
      </c>
    </row>
    <row r="328" spans="1:10" x14ac:dyDescent="0.3">
      <c r="A328">
        <v>326</v>
      </c>
      <c r="B328">
        <v>5187</v>
      </c>
      <c r="C328" t="b">
        <v>1</v>
      </c>
      <c r="D328">
        <v>8042</v>
      </c>
      <c r="E328">
        <v>8123</v>
      </c>
      <c r="F328">
        <v>6.4</v>
      </c>
      <c r="G328">
        <v>8</v>
      </c>
      <c r="H328">
        <v>0.8</v>
      </c>
      <c r="I328">
        <v>0.19999998999999999</v>
      </c>
      <c r="J328">
        <v>0.55555560000000004</v>
      </c>
    </row>
    <row r="329" spans="1:10" x14ac:dyDescent="0.3">
      <c r="A329">
        <v>327</v>
      </c>
      <c r="B329">
        <v>5203</v>
      </c>
      <c r="C329" t="b">
        <v>1</v>
      </c>
      <c r="D329">
        <v>8042</v>
      </c>
      <c r="E329">
        <v>8123</v>
      </c>
      <c r="F329">
        <v>6.4</v>
      </c>
      <c r="G329">
        <v>8</v>
      </c>
      <c r="H329">
        <v>0.8</v>
      </c>
      <c r="I329">
        <v>0.19999998999999999</v>
      </c>
      <c r="J329">
        <v>0.55555560000000004</v>
      </c>
    </row>
    <row r="330" spans="1:10" x14ac:dyDescent="0.3">
      <c r="A330">
        <v>328</v>
      </c>
      <c r="B330">
        <v>5219</v>
      </c>
      <c r="C330" t="b">
        <v>1</v>
      </c>
      <c r="D330">
        <v>8042</v>
      </c>
      <c r="E330">
        <v>8123</v>
      </c>
      <c r="F330">
        <v>6.4</v>
      </c>
      <c r="G330">
        <v>8</v>
      </c>
      <c r="H330">
        <v>0.8</v>
      </c>
      <c r="I330">
        <v>0.19999998999999999</v>
      </c>
      <c r="J330">
        <v>0.55555560000000004</v>
      </c>
    </row>
    <row r="331" spans="1:10" x14ac:dyDescent="0.3">
      <c r="A331">
        <v>329</v>
      </c>
      <c r="B331">
        <v>5234</v>
      </c>
      <c r="C331" t="b">
        <v>1</v>
      </c>
      <c r="D331">
        <v>8042</v>
      </c>
      <c r="E331">
        <v>8123</v>
      </c>
      <c r="F331">
        <v>6.4</v>
      </c>
      <c r="G331">
        <v>8</v>
      </c>
      <c r="H331">
        <v>0.8</v>
      </c>
      <c r="I331">
        <v>0.19999998999999999</v>
      </c>
      <c r="J331">
        <v>0.55555560000000004</v>
      </c>
    </row>
    <row r="332" spans="1:10" x14ac:dyDescent="0.3">
      <c r="A332">
        <v>330</v>
      </c>
      <c r="B332">
        <v>5250</v>
      </c>
      <c r="C332" t="b">
        <v>1</v>
      </c>
      <c r="D332">
        <v>8042</v>
      </c>
      <c r="E332">
        <v>8123</v>
      </c>
      <c r="F332">
        <v>6.4</v>
      </c>
      <c r="G332">
        <v>8</v>
      </c>
      <c r="H332">
        <v>0.8</v>
      </c>
      <c r="I332">
        <v>0.19999998999999999</v>
      </c>
      <c r="J332">
        <v>0.55555560000000004</v>
      </c>
    </row>
    <row r="333" spans="1:10" x14ac:dyDescent="0.3">
      <c r="A333">
        <v>331</v>
      </c>
      <c r="B333">
        <v>5266</v>
      </c>
      <c r="C333" t="b">
        <v>1</v>
      </c>
      <c r="D333">
        <v>8048</v>
      </c>
      <c r="E333">
        <v>8123</v>
      </c>
      <c r="F333">
        <v>6</v>
      </c>
      <c r="G333">
        <v>8</v>
      </c>
      <c r="H333">
        <v>0.75</v>
      </c>
      <c r="I333">
        <v>0.25</v>
      </c>
      <c r="J333">
        <v>0.57142859999999995</v>
      </c>
    </row>
    <row r="334" spans="1:10" x14ac:dyDescent="0.3">
      <c r="A334">
        <v>332</v>
      </c>
      <c r="B334">
        <v>5282</v>
      </c>
      <c r="C334" t="b">
        <v>1</v>
      </c>
      <c r="D334">
        <v>8048</v>
      </c>
      <c r="E334">
        <v>8123</v>
      </c>
      <c r="F334">
        <v>6</v>
      </c>
      <c r="G334">
        <v>8</v>
      </c>
      <c r="H334">
        <v>0.75</v>
      </c>
      <c r="I334">
        <v>0.25</v>
      </c>
      <c r="J334">
        <v>0.57142859999999995</v>
      </c>
    </row>
    <row r="335" spans="1:10" x14ac:dyDescent="0.3">
      <c r="A335">
        <v>333</v>
      </c>
      <c r="B335">
        <v>5297</v>
      </c>
      <c r="C335" t="b">
        <v>1</v>
      </c>
      <c r="D335">
        <v>8048</v>
      </c>
      <c r="E335">
        <v>8123</v>
      </c>
      <c r="F335">
        <v>6</v>
      </c>
      <c r="G335">
        <v>8</v>
      </c>
      <c r="H335">
        <v>0.75</v>
      </c>
      <c r="I335">
        <v>0.25</v>
      </c>
      <c r="J335">
        <v>0.57142859999999995</v>
      </c>
    </row>
    <row r="336" spans="1:10" x14ac:dyDescent="0.3">
      <c r="A336">
        <v>334</v>
      </c>
      <c r="B336">
        <v>5313</v>
      </c>
      <c r="C336" t="b">
        <v>1</v>
      </c>
      <c r="D336">
        <v>8054</v>
      </c>
      <c r="E336">
        <v>8123</v>
      </c>
      <c r="F336">
        <v>6</v>
      </c>
      <c r="G336">
        <v>8</v>
      </c>
      <c r="H336">
        <v>0.75</v>
      </c>
      <c r="I336">
        <v>0.25</v>
      </c>
      <c r="J336">
        <v>0.57142859999999995</v>
      </c>
    </row>
    <row r="337" spans="1:10" x14ac:dyDescent="0.3">
      <c r="A337">
        <v>335</v>
      </c>
      <c r="B337">
        <v>5329</v>
      </c>
      <c r="C337" t="b">
        <v>1</v>
      </c>
      <c r="D337">
        <v>8048</v>
      </c>
      <c r="E337">
        <v>8123</v>
      </c>
      <c r="F337">
        <v>6</v>
      </c>
      <c r="G337">
        <v>8</v>
      </c>
      <c r="H337">
        <v>0.75</v>
      </c>
      <c r="I337">
        <v>0.25</v>
      </c>
      <c r="J337">
        <v>0.57142859999999995</v>
      </c>
    </row>
    <row r="338" spans="1:10" x14ac:dyDescent="0.3">
      <c r="A338">
        <v>336</v>
      </c>
      <c r="B338">
        <v>5345</v>
      </c>
      <c r="C338" t="b">
        <v>1</v>
      </c>
      <c r="D338">
        <v>8048</v>
      </c>
      <c r="E338">
        <v>8117</v>
      </c>
      <c r="F338">
        <v>6</v>
      </c>
      <c r="G338">
        <v>8</v>
      </c>
      <c r="H338">
        <v>0.75</v>
      </c>
      <c r="I338">
        <v>0.25</v>
      </c>
      <c r="J338">
        <v>0.57142859999999995</v>
      </c>
    </row>
    <row r="339" spans="1:10" x14ac:dyDescent="0.3">
      <c r="A339">
        <v>337</v>
      </c>
      <c r="B339">
        <v>5361</v>
      </c>
      <c r="C339" t="b">
        <v>1</v>
      </c>
      <c r="D339">
        <v>8042</v>
      </c>
      <c r="E339">
        <v>8123</v>
      </c>
      <c r="F339">
        <v>6</v>
      </c>
      <c r="G339">
        <v>8</v>
      </c>
      <c r="H339">
        <v>0.75</v>
      </c>
      <c r="I339">
        <v>0.25</v>
      </c>
      <c r="J339">
        <v>0.57142859999999995</v>
      </c>
    </row>
    <row r="340" spans="1:10" x14ac:dyDescent="0.3">
      <c r="A340">
        <v>338</v>
      </c>
      <c r="B340">
        <v>5377</v>
      </c>
      <c r="C340" t="b">
        <v>1</v>
      </c>
      <c r="D340">
        <v>8048</v>
      </c>
      <c r="E340">
        <v>8134</v>
      </c>
      <c r="F340">
        <v>6</v>
      </c>
      <c r="G340">
        <v>8</v>
      </c>
      <c r="H340">
        <v>0.75</v>
      </c>
      <c r="I340">
        <v>0.25</v>
      </c>
      <c r="J340">
        <v>0.57142859999999995</v>
      </c>
    </row>
    <row r="341" spans="1:10" x14ac:dyDescent="0.3">
      <c r="A341">
        <v>339</v>
      </c>
      <c r="B341">
        <v>5393</v>
      </c>
      <c r="C341" t="b">
        <v>1</v>
      </c>
      <c r="D341">
        <v>8048</v>
      </c>
      <c r="E341">
        <v>8123</v>
      </c>
      <c r="F341">
        <v>6</v>
      </c>
      <c r="G341">
        <v>8</v>
      </c>
      <c r="H341">
        <v>0.75</v>
      </c>
      <c r="I341">
        <v>0.25</v>
      </c>
      <c r="J341">
        <v>0.57142859999999995</v>
      </c>
    </row>
    <row r="342" spans="1:10" x14ac:dyDescent="0.3">
      <c r="A342">
        <v>340</v>
      </c>
      <c r="B342">
        <v>5409</v>
      </c>
      <c r="C342" t="b">
        <v>1</v>
      </c>
      <c r="D342">
        <v>8048</v>
      </c>
      <c r="E342">
        <v>8123</v>
      </c>
      <c r="F342">
        <v>6</v>
      </c>
      <c r="G342">
        <v>8</v>
      </c>
      <c r="H342">
        <v>0.75</v>
      </c>
      <c r="I342">
        <v>0.25</v>
      </c>
      <c r="J342">
        <v>0.57142859999999995</v>
      </c>
    </row>
    <row r="343" spans="1:10" x14ac:dyDescent="0.3">
      <c r="A343">
        <v>341</v>
      </c>
      <c r="B343">
        <v>5425</v>
      </c>
      <c r="C343" t="b">
        <v>1</v>
      </c>
      <c r="D343">
        <v>8048</v>
      </c>
      <c r="E343">
        <v>8129</v>
      </c>
      <c r="F343">
        <v>6</v>
      </c>
      <c r="G343">
        <v>8</v>
      </c>
      <c r="H343">
        <v>0.75</v>
      </c>
      <c r="I343">
        <v>0.25</v>
      </c>
      <c r="J343">
        <v>0.57142859999999995</v>
      </c>
    </row>
    <row r="344" spans="1:10" x14ac:dyDescent="0.3">
      <c r="A344">
        <v>342</v>
      </c>
      <c r="B344">
        <v>5441</v>
      </c>
      <c r="C344" t="b">
        <v>1</v>
      </c>
      <c r="D344">
        <v>8042</v>
      </c>
      <c r="E344">
        <v>8129</v>
      </c>
      <c r="F344">
        <v>6</v>
      </c>
      <c r="G344">
        <v>8.4</v>
      </c>
      <c r="H344">
        <v>0.71428572999999995</v>
      </c>
      <c r="I344">
        <v>0.28571424000000001</v>
      </c>
      <c r="J344">
        <v>0.58333330000000005</v>
      </c>
    </row>
    <row r="345" spans="1:10" x14ac:dyDescent="0.3">
      <c r="A345">
        <v>343</v>
      </c>
      <c r="B345">
        <v>5457</v>
      </c>
      <c r="C345" t="b">
        <v>1</v>
      </c>
      <c r="D345">
        <v>8042</v>
      </c>
      <c r="E345">
        <v>8129</v>
      </c>
      <c r="F345">
        <v>6.4</v>
      </c>
      <c r="G345">
        <v>8.8000000000000007</v>
      </c>
      <c r="H345">
        <v>0.72727275000000002</v>
      </c>
      <c r="I345">
        <v>0.27272728000000002</v>
      </c>
      <c r="J345">
        <v>0.57894736999999996</v>
      </c>
    </row>
    <row r="346" spans="1:10" x14ac:dyDescent="0.3">
      <c r="A346">
        <v>344</v>
      </c>
      <c r="B346">
        <v>5473</v>
      </c>
      <c r="C346" t="b">
        <v>1</v>
      </c>
      <c r="D346">
        <v>8042</v>
      </c>
      <c r="E346">
        <v>8129</v>
      </c>
      <c r="F346">
        <v>6.4</v>
      </c>
      <c r="G346">
        <v>9.1999999999999993</v>
      </c>
      <c r="H346">
        <v>0.69565220000000005</v>
      </c>
      <c r="I346">
        <v>0.3043478</v>
      </c>
      <c r="J346">
        <v>0.58974355000000001</v>
      </c>
    </row>
    <row r="347" spans="1:10" x14ac:dyDescent="0.3">
      <c r="A347">
        <v>345</v>
      </c>
      <c r="B347">
        <v>5489</v>
      </c>
      <c r="C347" t="b">
        <v>1</v>
      </c>
      <c r="D347">
        <v>8048</v>
      </c>
      <c r="E347">
        <v>8129</v>
      </c>
      <c r="F347">
        <v>6.4</v>
      </c>
      <c r="G347">
        <v>9.6</v>
      </c>
      <c r="H347">
        <v>0.6666666</v>
      </c>
      <c r="I347">
        <v>0.33333333999999998</v>
      </c>
      <c r="J347">
        <v>0.6</v>
      </c>
    </row>
    <row r="348" spans="1:10" x14ac:dyDescent="0.3">
      <c r="A348">
        <v>346</v>
      </c>
      <c r="B348">
        <v>5505</v>
      </c>
      <c r="C348" t="b">
        <v>1</v>
      </c>
      <c r="D348">
        <v>8048</v>
      </c>
      <c r="E348">
        <v>8129</v>
      </c>
      <c r="F348">
        <v>6.4</v>
      </c>
      <c r="G348">
        <v>10</v>
      </c>
      <c r="H348">
        <v>0.64</v>
      </c>
      <c r="I348">
        <v>0.35999998</v>
      </c>
      <c r="J348">
        <v>0.60975610000000002</v>
      </c>
    </row>
    <row r="349" spans="1:10" x14ac:dyDescent="0.3">
      <c r="A349">
        <v>347</v>
      </c>
      <c r="B349">
        <v>5520</v>
      </c>
      <c r="C349" t="b">
        <v>1</v>
      </c>
      <c r="D349">
        <v>8048</v>
      </c>
      <c r="E349">
        <v>8129</v>
      </c>
      <c r="F349">
        <v>6.8</v>
      </c>
      <c r="G349">
        <v>10.4</v>
      </c>
      <c r="H349">
        <v>0.65384620000000004</v>
      </c>
      <c r="I349">
        <v>0.34615380000000001</v>
      </c>
      <c r="J349">
        <v>0.6046511</v>
      </c>
    </row>
    <row r="350" spans="1:10" x14ac:dyDescent="0.3">
      <c r="A350">
        <v>348</v>
      </c>
      <c r="B350">
        <v>5536</v>
      </c>
      <c r="C350" t="b">
        <v>1</v>
      </c>
      <c r="D350">
        <v>8048</v>
      </c>
      <c r="E350">
        <v>8123</v>
      </c>
      <c r="F350">
        <v>6.8</v>
      </c>
      <c r="G350">
        <v>10.8</v>
      </c>
      <c r="H350">
        <v>0.62962960000000001</v>
      </c>
      <c r="I350">
        <v>0.37037036000000001</v>
      </c>
      <c r="J350">
        <v>0.61363639999999997</v>
      </c>
    </row>
    <row r="351" spans="1:10" x14ac:dyDescent="0.3">
      <c r="A351">
        <v>349</v>
      </c>
      <c r="B351">
        <v>5552</v>
      </c>
      <c r="C351" t="b">
        <v>1</v>
      </c>
      <c r="D351">
        <v>8048</v>
      </c>
      <c r="E351">
        <v>8123</v>
      </c>
      <c r="F351">
        <v>6.8</v>
      </c>
      <c r="G351">
        <v>11.2</v>
      </c>
      <c r="H351">
        <v>0.60714287</v>
      </c>
      <c r="I351">
        <v>0.39285710000000001</v>
      </c>
      <c r="J351">
        <v>0.62222219999999995</v>
      </c>
    </row>
    <row r="352" spans="1:10" x14ac:dyDescent="0.3">
      <c r="A352">
        <v>350</v>
      </c>
      <c r="B352">
        <v>5568</v>
      </c>
      <c r="C352" t="b">
        <v>1</v>
      </c>
      <c r="D352">
        <v>8042</v>
      </c>
      <c r="E352">
        <v>8123</v>
      </c>
      <c r="F352">
        <v>6.8</v>
      </c>
      <c r="G352">
        <v>11.2</v>
      </c>
      <c r="H352">
        <v>0.60714287</v>
      </c>
      <c r="I352">
        <v>0.39285710000000001</v>
      </c>
      <c r="J352">
        <v>0.62222219999999995</v>
      </c>
    </row>
    <row r="353" spans="1:10" x14ac:dyDescent="0.3">
      <c r="A353">
        <v>351</v>
      </c>
      <c r="B353">
        <v>5583</v>
      </c>
      <c r="C353" t="b">
        <v>1</v>
      </c>
      <c r="D353">
        <v>8037</v>
      </c>
      <c r="E353">
        <v>8123</v>
      </c>
      <c r="F353">
        <v>6.8</v>
      </c>
      <c r="G353">
        <v>11.2</v>
      </c>
      <c r="H353">
        <v>0.60714287</v>
      </c>
      <c r="I353">
        <v>0.39285710000000001</v>
      </c>
      <c r="J353">
        <v>0.62222219999999995</v>
      </c>
    </row>
    <row r="354" spans="1:10" x14ac:dyDescent="0.3">
      <c r="A354">
        <v>352</v>
      </c>
      <c r="B354">
        <v>5599</v>
      </c>
      <c r="C354" t="b">
        <v>1</v>
      </c>
      <c r="D354">
        <v>8042</v>
      </c>
      <c r="E354">
        <v>8123</v>
      </c>
      <c r="F354">
        <v>6.4</v>
      </c>
      <c r="G354">
        <v>11.2</v>
      </c>
      <c r="H354">
        <v>0.57142859999999995</v>
      </c>
      <c r="I354">
        <v>0.42857139999999999</v>
      </c>
      <c r="J354">
        <v>0.63636360000000003</v>
      </c>
    </row>
    <row r="355" spans="1:10" x14ac:dyDescent="0.3">
      <c r="A355">
        <v>353</v>
      </c>
      <c r="B355">
        <v>5615</v>
      </c>
      <c r="C355" t="b">
        <v>1</v>
      </c>
      <c r="D355">
        <v>8042</v>
      </c>
      <c r="E355">
        <v>8123</v>
      </c>
      <c r="F355">
        <v>6</v>
      </c>
      <c r="G355">
        <v>11.2</v>
      </c>
      <c r="H355">
        <v>0.53571427000000005</v>
      </c>
      <c r="I355">
        <v>0.46428570000000002</v>
      </c>
      <c r="J355">
        <v>0.65116273999999996</v>
      </c>
    </row>
    <row r="356" spans="1:10" x14ac:dyDescent="0.3">
      <c r="A356">
        <v>354</v>
      </c>
      <c r="B356">
        <v>5630</v>
      </c>
      <c r="C356" t="b">
        <v>1</v>
      </c>
      <c r="D356">
        <v>8037</v>
      </c>
      <c r="E356">
        <v>8123</v>
      </c>
      <c r="F356">
        <v>5.6</v>
      </c>
      <c r="G356">
        <v>11.2</v>
      </c>
      <c r="H356">
        <v>0.5</v>
      </c>
      <c r="I356">
        <v>0.5</v>
      </c>
      <c r="J356">
        <v>0.66666669999999995</v>
      </c>
    </row>
    <row r="357" spans="1:10" x14ac:dyDescent="0.3">
      <c r="A357">
        <v>355</v>
      </c>
      <c r="B357">
        <v>5646</v>
      </c>
      <c r="C357" t="b">
        <v>1</v>
      </c>
      <c r="D357">
        <v>8042</v>
      </c>
      <c r="E357">
        <v>8123</v>
      </c>
      <c r="F357">
        <v>5.2</v>
      </c>
      <c r="G357">
        <v>11.2</v>
      </c>
      <c r="H357">
        <v>0.46428570000000002</v>
      </c>
      <c r="I357">
        <v>0.53571427000000005</v>
      </c>
      <c r="J357">
        <v>0.68292682999999998</v>
      </c>
    </row>
    <row r="358" spans="1:10" x14ac:dyDescent="0.3">
      <c r="A358">
        <v>356</v>
      </c>
      <c r="B358">
        <v>5662</v>
      </c>
      <c r="C358" t="b">
        <v>1</v>
      </c>
      <c r="D358">
        <v>8042</v>
      </c>
      <c r="E358">
        <v>8123</v>
      </c>
      <c r="F358">
        <v>4.8</v>
      </c>
      <c r="G358">
        <v>11.2</v>
      </c>
      <c r="H358">
        <v>0.42857146000000002</v>
      </c>
      <c r="I358">
        <v>0.57142853999999998</v>
      </c>
      <c r="J358">
        <v>0.7</v>
      </c>
    </row>
    <row r="359" spans="1:10" x14ac:dyDescent="0.3">
      <c r="A359">
        <v>357</v>
      </c>
      <c r="B359">
        <v>5678</v>
      </c>
      <c r="C359" t="b">
        <v>1</v>
      </c>
      <c r="D359">
        <v>8048</v>
      </c>
      <c r="E359">
        <v>8123</v>
      </c>
      <c r="F359">
        <v>4.4000000000000004</v>
      </c>
      <c r="G359">
        <v>10.8</v>
      </c>
      <c r="H359">
        <v>0.40740739999999998</v>
      </c>
      <c r="I359">
        <v>0.59259260000000002</v>
      </c>
      <c r="J359">
        <v>0.71052630000000006</v>
      </c>
    </row>
    <row r="360" spans="1:10" x14ac:dyDescent="0.3">
      <c r="A360">
        <v>358</v>
      </c>
      <c r="B360">
        <v>5694</v>
      </c>
      <c r="C360" t="b">
        <v>1</v>
      </c>
      <c r="D360">
        <v>8048</v>
      </c>
      <c r="E360">
        <v>8123</v>
      </c>
      <c r="F360">
        <v>4</v>
      </c>
      <c r="G360">
        <v>10.4</v>
      </c>
      <c r="H360">
        <v>0.3846154</v>
      </c>
      <c r="I360">
        <v>0.61538459999999995</v>
      </c>
      <c r="J360">
        <v>0.72222220000000004</v>
      </c>
    </row>
    <row r="361" spans="1:10" x14ac:dyDescent="0.3">
      <c r="A361">
        <v>359</v>
      </c>
      <c r="B361">
        <v>5710</v>
      </c>
      <c r="C361" t="b">
        <v>1</v>
      </c>
      <c r="D361">
        <v>8048</v>
      </c>
      <c r="E361">
        <v>8123</v>
      </c>
      <c r="F361">
        <v>4.4000000000000004</v>
      </c>
      <c r="G361">
        <v>10</v>
      </c>
      <c r="H361">
        <v>0.44</v>
      </c>
      <c r="I361">
        <v>0.56000000000000005</v>
      </c>
      <c r="J361">
        <v>0.69444450000000002</v>
      </c>
    </row>
    <row r="362" spans="1:10" x14ac:dyDescent="0.3">
      <c r="A362">
        <v>360</v>
      </c>
      <c r="B362">
        <v>5726</v>
      </c>
      <c r="C362" t="b">
        <v>1</v>
      </c>
      <c r="D362">
        <v>8042</v>
      </c>
      <c r="E362">
        <v>8123</v>
      </c>
      <c r="F362">
        <v>4.8</v>
      </c>
      <c r="G362">
        <v>9.6</v>
      </c>
      <c r="H362">
        <v>0.5</v>
      </c>
      <c r="I362">
        <v>0.5</v>
      </c>
      <c r="J362">
        <v>0.66666669999999995</v>
      </c>
    </row>
    <row r="363" spans="1:10" x14ac:dyDescent="0.3">
      <c r="A363">
        <v>361</v>
      </c>
      <c r="B363">
        <v>5742</v>
      </c>
      <c r="C363" t="b">
        <v>1</v>
      </c>
      <c r="D363">
        <v>8048</v>
      </c>
      <c r="E363">
        <v>8123</v>
      </c>
      <c r="F363">
        <v>5.2</v>
      </c>
      <c r="G363">
        <v>9.1999999999999993</v>
      </c>
      <c r="H363">
        <v>0.56521739999999998</v>
      </c>
      <c r="I363">
        <v>0.43478262000000001</v>
      </c>
      <c r="J363">
        <v>0.63888889999999998</v>
      </c>
    </row>
    <row r="364" spans="1:10" x14ac:dyDescent="0.3">
      <c r="A364">
        <v>362</v>
      </c>
      <c r="B364">
        <v>5757</v>
      </c>
      <c r="C364" t="b">
        <v>1</v>
      </c>
      <c r="D364">
        <v>8048</v>
      </c>
      <c r="E364">
        <v>8123</v>
      </c>
      <c r="F364">
        <v>5.2</v>
      </c>
      <c r="G364">
        <v>8.8000000000000007</v>
      </c>
      <c r="H364">
        <v>0.59090905999999999</v>
      </c>
      <c r="I364">
        <v>0.40909094000000001</v>
      </c>
      <c r="J364">
        <v>0.62857145000000003</v>
      </c>
    </row>
    <row r="365" spans="1:10" x14ac:dyDescent="0.3">
      <c r="A365">
        <v>363</v>
      </c>
      <c r="B365">
        <v>5773</v>
      </c>
      <c r="C365" t="b">
        <v>1</v>
      </c>
      <c r="D365">
        <v>8048</v>
      </c>
      <c r="E365">
        <v>8123</v>
      </c>
      <c r="F365">
        <v>5.2</v>
      </c>
      <c r="G365">
        <v>8.4</v>
      </c>
      <c r="H365">
        <v>0.61904764000000001</v>
      </c>
      <c r="I365">
        <v>0.38095240000000002</v>
      </c>
      <c r="J365">
        <v>0.61764704999999998</v>
      </c>
    </row>
    <row r="366" spans="1:10" x14ac:dyDescent="0.3">
      <c r="A366">
        <v>364</v>
      </c>
      <c r="B366">
        <v>5789</v>
      </c>
      <c r="C366" t="b">
        <v>1</v>
      </c>
      <c r="D366">
        <v>8048</v>
      </c>
      <c r="E366">
        <v>8123</v>
      </c>
      <c r="F366">
        <v>5.2</v>
      </c>
      <c r="G366">
        <v>8</v>
      </c>
      <c r="H366">
        <v>0.65</v>
      </c>
      <c r="I366">
        <v>0.35000002000000002</v>
      </c>
      <c r="J366">
        <v>0.60606059999999995</v>
      </c>
    </row>
    <row r="367" spans="1:10" x14ac:dyDescent="0.3">
      <c r="A367">
        <v>365</v>
      </c>
      <c r="B367">
        <v>5805</v>
      </c>
      <c r="C367" t="b">
        <v>1</v>
      </c>
      <c r="D367">
        <v>8048</v>
      </c>
      <c r="E367">
        <v>8129</v>
      </c>
      <c r="F367">
        <v>5.2</v>
      </c>
      <c r="G367">
        <v>8</v>
      </c>
      <c r="H367">
        <v>0.65</v>
      </c>
      <c r="I367">
        <v>0.35000002000000002</v>
      </c>
      <c r="J367">
        <v>0.60606059999999995</v>
      </c>
    </row>
    <row r="368" spans="1:10" x14ac:dyDescent="0.3">
      <c r="A368">
        <v>366</v>
      </c>
      <c r="B368">
        <v>5821</v>
      </c>
      <c r="C368" t="b">
        <v>1</v>
      </c>
      <c r="D368">
        <v>8048</v>
      </c>
      <c r="E368">
        <v>8134</v>
      </c>
      <c r="F368">
        <v>5.2</v>
      </c>
      <c r="G368">
        <v>8</v>
      </c>
      <c r="H368">
        <v>0.65</v>
      </c>
      <c r="I368">
        <v>0.35000002000000002</v>
      </c>
      <c r="J368">
        <v>0.60606059999999995</v>
      </c>
    </row>
    <row r="369" spans="1:10" x14ac:dyDescent="0.3">
      <c r="A369">
        <v>367</v>
      </c>
      <c r="B369">
        <v>5837</v>
      </c>
      <c r="C369" t="b">
        <v>1</v>
      </c>
      <c r="D369">
        <v>8048</v>
      </c>
      <c r="E369">
        <v>8134</v>
      </c>
      <c r="F369">
        <v>5.6</v>
      </c>
      <c r="G369">
        <v>8.4</v>
      </c>
      <c r="H369">
        <v>0.66666669999999995</v>
      </c>
      <c r="I369">
        <v>0.3333333</v>
      </c>
      <c r="J369">
        <v>0.59999996</v>
      </c>
    </row>
    <row r="370" spans="1:10" x14ac:dyDescent="0.3">
      <c r="A370">
        <v>368</v>
      </c>
      <c r="B370">
        <v>5853</v>
      </c>
      <c r="C370" t="b">
        <v>1</v>
      </c>
      <c r="D370">
        <v>8042</v>
      </c>
      <c r="E370">
        <v>8129</v>
      </c>
      <c r="F370">
        <v>6</v>
      </c>
      <c r="G370">
        <v>8.8000000000000007</v>
      </c>
      <c r="H370">
        <v>0.68181820000000004</v>
      </c>
      <c r="I370">
        <v>0.31818183999999999</v>
      </c>
      <c r="J370">
        <v>0.59459459999999997</v>
      </c>
    </row>
    <row r="371" spans="1:10" x14ac:dyDescent="0.3">
      <c r="A371">
        <v>369</v>
      </c>
      <c r="B371">
        <v>5868</v>
      </c>
      <c r="C371" t="b">
        <v>1</v>
      </c>
      <c r="D371">
        <v>8054</v>
      </c>
      <c r="E371">
        <v>8123</v>
      </c>
      <c r="F371">
        <v>6.4</v>
      </c>
      <c r="G371">
        <v>9.1999999999999993</v>
      </c>
      <c r="H371">
        <v>0.69565220000000005</v>
      </c>
      <c r="I371">
        <v>0.3043478</v>
      </c>
      <c r="J371">
        <v>0.58974355000000001</v>
      </c>
    </row>
    <row r="372" spans="1:10" x14ac:dyDescent="0.3">
      <c r="A372">
        <v>370</v>
      </c>
      <c r="B372">
        <v>5884</v>
      </c>
      <c r="C372" t="b">
        <v>1</v>
      </c>
      <c r="D372">
        <v>8054</v>
      </c>
      <c r="E372">
        <v>8123</v>
      </c>
      <c r="F372">
        <v>6.8</v>
      </c>
      <c r="G372">
        <v>9.6</v>
      </c>
      <c r="H372">
        <v>0.70833330000000005</v>
      </c>
      <c r="I372">
        <v>0.2916667</v>
      </c>
      <c r="J372">
        <v>0.58536582999999998</v>
      </c>
    </row>
    <row r="373" spans="1:10" x14ac:dyDescent="0.3">
      <c r="A373">
        <v>371</v>
      </c>
      <c r="B373">
        <v>5900</v>
      </c>
      <c r="C373" t="b">
        <v>1</v>
      </c>
      <c r="D373">
        <v>8048</v>
      </c>
      <c r="E373">
        <v>8129</v>
      </c>
      <c r="F373">
        <v>7.2</v>
      </c>
      <c r="G373">
        <v>10</v>
      </c>
      <c r="H373">
        <v>0.71999997000000004</v>
      </c>
      <c r="I373">
        <v>0.28000003000000001</v>
      </c>
      <c r="J373">
        <v>0.58139529999999995</v>
      </c>
    </row>
    <row r="374" spans="1:10" x14ac:dyDescent="0.3">
      <c r="A374">
        <v>372</v>
      </c>
      <c r="B374">
        <v>5916</v>
      </c>
      <c r="C374" t="b">
        <v>1</v>
      </c>
      <c r="D374">
        <v>8054</v>
      </c>
      <c r="E374">
        <v>8123</v>
      </c>
      <c r="F374">
        <v>8</v>
      </c>
      <c r="G374">
        <v>10</v>
      </c>
      <c r="H374">
        <v>0.8</v>
      </c>
      <c r="I374">
        <v>0.2</v>
      </c>
      <c r="J374">
        <v>0.55555560000000004</v>
      </c>
    </row>
    <row r="375" spans="1:10" x14ac:dyDescent="0.3">
      <c r="A375">
        <v>373</v>
      </c>
      <c r="B375">
        <v>5932</v>
      </c>
      <c r="C375" t="b">
        <v>1</v>
      </c>
      <c r="D375">
        <v>8054</v>
      </c>
      <c r="E375">
        <v>8123</v>
      </c>
      <c r="F375">
        <v>8.8000000000000007</v>
      </c>
      <c r="G375">
        <v>10</v>
      </c>
      <c r="H375">
        <v>0.88</v>
      </c>
      <c r="I375">
        <v>0.11999998000000001</v>
      </c>
      <c r="J375">
        <v>0.53191489999999997</v>
      </c>
    </row>
    <row r="376" spans="1:10" x14ac:dyDescent="0.3">
      <c r="A376">
        <v>374</v>
      </c>
      <c r="B376">
        <v>5948</v>
      </c>
      <c r="C376" t="b">
        <v>1</v>
      </c>
      <c r="D376">
        <v>8054</v>
      </c>
      <c r="E376">
        <v>8123</v>
      </c>
      <c r="F376">
        <v>9.1999999999999993</v>
      </c>
      <c r="G376">
        <v>10</v>
      </c>
      <c r="H376">
        <v>0.91999995999999995</v>
      </c>
      <c r="I376">
        <v>8.0000020000000005E-2</v>
      </c>
      <c r="J376">
        <v>0.52083330000000005</v>
      </c>
    </row>
    <row r="377" spans="1:10" x14ac:dyDescent="0.3">
      <c r="A377">
        <v>375</v>
      </c>
      <c r="B377">
        <v>5964</v>
      </c>
      <c r="C377" t="b">
        <v>1</v>
      </c>
      <c r="D377">
        <v>8054</v>
      </c>
      <c r="E377">
        <v>8123</v>
      </c>
      <c r="F377">
        <v>9.6</v>
      </c>
      <c r="G377">
        <v>10</v>
      </c>
      <c r="H377">
        <v>0.96000004000000005</v>
      </c>
      <c r="I377">
        <v>3.9999960000000001E-2</v>
      </c>
      <c r="J377">
        <v>0.51020410000000005</v>
      </c>
    </row>
    <row r="378" spans="1:10" x14ac:dyDescent="0.3">
      <c r="A378">
        <v>376</v>
      </c>
      <c r="B378">
        <v>5979</v>
      </c>
      <c r="C378" t="b">
        <v>1</v>
      </c>
      <c r="D378">
        <v>8042</v>
      </c>
      <c r="E378">
        <v>8123</v>
      </c>
      <c r="F378">
        <v>10</v>
      </c>
      <c r="G378">
        <v>10</v>
      </c>
      <c r="H378">
        <v>1</v>
      </c>
      <c r="I378">
        <v>0</v>
      </c>
      <c r="J378">
        <v>0.5</v>
      </c>
    </row>
    <row r="379" spans="1:10" x14ac:dyDescent="0.3">
      <c r="A379">
        <v>377</v>
      </c>
      <c r="B379">
        <v>5995</v>
      </c>
      <c r="C379" t="b">
        <v>1</v>
      </c>
      <c r="D379">
        <v>8042</v>
      </c>
      <c r="E379">
        <v>8123</v>
      </c>
      <c r="F379">
        <v>10.4</v>
      </c>
      <c r="G379">
        <v>10</v>
      </c>
      <c r="H379">
        <v>1.04</v>
      </c>
      <c r="I379">
        <v>-3.9999960000000001E-2</v>
      </c>
      <c r="J379">
        <v>0.49019607999999998</v>
      </c>
    </row>
    <row r="380" spans="1:10" x14ac:dyDescent="0.3">
      <c r="A380">
        <v>378</v>
      </c>
      <c r="B380">
        <v>6011</v>
      </c>
      <c r="C380" t="b">
        <v>1</v>
      </c>
      <c r="D380">
        <v>8048</v>
      </c>
      <c r="E380">
        <v>8123</v>
      </c>
      <c r="F380">
        <v>10.4</v>
      </c>
      <c r="G380">
        <v>10</v>
      </c>
      <c r="H380">
        <v>1.04</v>
      </c>
      <c r="I380">
        <v>-3.9999960000000001E-2</v>
      </c>
      <c r="J380">
        <v>0.49019607999999998</v>
      </c>
    </row>
    <row r="381" spans="1:10" x14ac:dyDescent="0.3">
      <c r="A381">
        <v>379</v>
      </c>
      <c r="B381">
        <v>6027</v>
      </c>
      <c r="C381" t="b">
        <v>1</v>
      </c>
      <c r="D381">
        <v>8042</v>
      </c>
      <c r="E381">
        <v>8117</v>
      </c>
      <c r="F381">
        <v>10</v>
      </c>
      <c r="G381">
        <v>10</v>
      </c>
      <c r="H381">
        <v>1</v>
      </c>
      <c r="I381">
        <v>0</v>
      </c>
      <c r="J381">
        <v>0.5</v>
      </c>
    </row>
    <row r="382" spans="1:10" x14ac:dyDescent="0.3">
      <c r="A382">
        <v>380</v>
      </c>
      <c r="B382">
        <v>6043</v>
      </c>
      <c r="C382" t="b">
        <v>1</v>
      </c>
      <c r="D382">
        <v>8048</v>
      </c>
      <c r="E382">
        <v>8129</v>
      </c>
      <c r="F382">
        <v>9.6</v>
      </c>
      <c r="G382">
        <v>10</v>
      </c>
      <c r="H382">
        <v>0.96000004000000005</v>
      </c>
      <c r="I382">
        <v>3.9999960000000001E-2</v>
      </c>
      <c r="J382">
        <v>0.51020410000000005</v>
      </c>
    </row>
    <row r="383" spans="1:10" x14ac:dyDescent="0.3">
      <c r="A383">
        <v>381</v>
      </c>
      <c r="B383">
        <v>6059</v>
      </c>
      <c r="C383" t="b">
        <v>1</v>
      </c>
      <c r="D383">
        <v>8048</v>
      </c>
      <c r="E383">
        <v>8117</v>
      </c>
      <c r="F383">
        <v>9.6</v>
      </c>
      <c r="G383">
        <v>10</v>
      </c>
      <c r="H383">
        <v>0.96000004000000005</v>
      </c>
      <c r="I383">
        <v>3.9999960000000001E-2</v>
      </c>
      <c r="J383">
        <v>0.51020410000000005</v>
      </c>
    </row>
    <row r="384" spans="1:10" x14ac:dyDescent="0.3">
      <c r="A384">
        <v>382</v>
      </c>
      <c r="B384">
        <v>6074</v>
      </c>
      <c r="C384" t="b">
        <v>1</v>
      </c>
      <c r="D384">
        <v>8048</v>
      </c>
      <c r="E384">
        <v>8129</v>
      </c>
      <c r="F384">
        <v>9.6</v>
      </c>
      <c r="G384">
        <v>9.6</v>
      </c>
      <c r="H384">
        <v>1</v>
      </c>
      <c r="I384">
        <v>0</v>
      </c>
      <c r="J384">
        <v>0.5</v>
      </c>
    </row>
    <row r="385" spans="1:10" x14ac:dyDescent="0.3">
      <c r="A385">
        <v>383</v>
      </c>
      <c r="B385">
        <v>6091</v>
      </c>
      <c r="C385" t="b">
        <v>1</v>
      </c>
      <c r="D385">
        <v>8048</v>
      </c>
      <c r="E385">
        <v>8117</v>
      </c>
      <c r="F385">
        <v>9.6</v>
      </c>
      <c r="G385">
        <v>8.8000000000000007</v>
      </c>
      <c r="H385">
        <v>1.0909091</v>
      </c>
      <c r="I385">
        <v>-9.0909110000000001E-2</v>
      </c>
      <c r="J385">
        <v>0.47826084000000002</v>
      </c>
    </row>
    <row r="386" spans="1:10" x14ac:dyDescent="0.3">
      <c r="A386">
        <v>384</v>
      </c>
      <c r="B386">
        <v>6107</v>
      </c>
      <c r="C386" t="b">
        <v>1</v>
      </c>
      <c r="D386">
        <v>8048</v>
      </c>
      <c r="E386">
        <v>8117</v>
      </c>
      <c r="F386">
        <v>9.6</v>
      </c>
      <c r="G386">
        <v>8</v>
      </c>
      <c r="H386">
        <v>1.2</v>
      </c>
      <c r="I386">
        <v>-0.20000005000000001</v>
      </c>
      <c r="J386">
        <v>0.45454544000000002</v>
      </c>
    </row>
    <row r="387" spans="1:10" x14ac:dyDescent="0.3">
      <c r="A387">
        <v>385</v>
      </c>
      <c r="B387">
        <v>6123</v>
      </c>
      <c r="C387" t="b">
        <v>1</v>
      </c>
      <c r="D387">
        <v>8048</v>
      </c>
      <c r="E387">
        <v>8123</v>
      </c>
      <c r="F387">
        <v>9.6</v>
      </c>
      <c r="G387">
        <v>7.2</v>
      </c>
      <c r="H387">
        <v>1.3333333999999999</v>
      </c>
      <c r="I387">
        <v>-0.33333342999999999</v>
      </c>
      <c r="J387">
        <v>0.42857142999999998</v>
      </c>
    </row>
    <row r="388" spans="1:10" x14ac:dyDescent="0.3">
      <c r="A388">
        <v>386</v>
      </c>
      <c r="B388">
        <v>6139</v>
      </c>
      <c r="C388" t="b">
        <v>1</v>
      </c>
      <c r="D388">
        <v>8048</v>
      </c>
      <c r="E388">
        <v>8129</v>
      </c>
      <c r="F388">
        <v>9.6</v>
      </c>
      <c r="G388">
        <v>6.8</v>
      </c>
      <c r="H388">
        <v>1.4117647</v>
      </c>
      <c r="I388">
        <v>-0.41176469999999998</v>
      </c>
      <c r="J388">
        <v>0.41463410000000001</v>
      </c>
    </row>
    <row r="389" spans="1:10" x14ac:dyDescent="0.3">
      <c r="A389">
        <v>387</v>
      </c>
      <c r="B389">
        <v>6155</v>
      </c>
      <c r="C389" t="b">
        <v>1</v>
      </c>
      <c r="D389">
        <v>8048</v>
      </c>
      <c r="E389">
        <v>8123</v>
      </c>
      <c r="F389">
        <v>9.1999999999999993</v>
      </c>
      <c r="G389">
        <v>6.8</v>
      </c>
      <c r="H389">
        <v>1.3529412000000001</v>
      </c>
      <c r="I389">
        <v>-0.35294110000000001</v>
      </c>
      <c r="J389">
        <v>0.42499999999999999</v>
      </c>
    </row>
    <row r="390" spans="1:10" x14ac:dyDescent="0.3">
      <c r="A390">
        <v>388</v>
      </c>
      <c r="B390">
        <v>6171</v>
      </c>
      <c r="C390" t="b">
        <v>1</v>
      </c>
      <c r="D390">
        <v>8048</v>
      </c>
      <c r="E390">
        <v>8129</v>
      </c>
      <c r="F390">
        <v>8.8000000000000007</v>
      </c>
      <c r="G390">
        <v>6.8</v>
      </c>
      <c r="H390">
        <v>1.2941176999999999</v>
      </c>
      <c r="I390">
        <v>-0.29411763000000002</v>
      </c>
      <c r="J390">
        <v>0.43589744000000002</v>
      </c>
    </row>
    <row r="391" spans="1:10" x14ac:dyDescent="0.3">
      <c r="A391">
        <v>389</v>
      </c>
      <c r="B391">
        <v>6186</v>
      </c>
      <c r="C391" t="b">
        <v>1</v>
      </c>
      <c r="D391">
        <v>8048</v>
      </c>
      <c r="E391">
        <v>8123</v>
      </c>
      <c r="F391">
        <v>8.4</v>
      </c>
      <c r="G391">
        <v>6.8</v>
      </c>
      <c r="H391">
        <v>1.2352939999999999</v>
      </c>
      <c r="I391">
        <v>-0.23529402999999999</v>
      </c>
      <c r="J391">
        <v>0.44736843999999998</v>
      </c>
    </row>
    <row r="392" spans="1:10" x14ac:dyDescent="0.3">
      <c r="A392">
        <v>390</v>
      </c>
      <c r="B392">
        <v>6202</v>
      </c>
      <c r="C392" t="b">
        <v>1</v>
      </c>
      <c r="D392">
        <v>8042</v>
      </c>
      <c r="E392">
        <v>8123</v>
      </c>
      <c r="F392">
        <v>8</v>
      </c>
      <c r="G392">
        <v>6.8</v>
      </c>
      <c r="H392">
        <v>1.1764705</v>
      </c>
      <c r="I392">
        <v>-0.17647055</v>
      </c>
      <c r="J392">
        <v>0.45945944999999999</v>
      </c>
    </row>
    <row r="393" spans="1:10" x14ac:dyDescent="0.3">
      <c r="A393">
        <v>391</v>
      </c>
      <c r="B393">
        <v>6218</v>
      </c>
      <c r="C393" t="b">
        <v>1</v>
      </c>
      <c r="D393">
        <v>8042</v>
      </c>
      <c r="E393">
        <v>8123</v>
      </c>
      <c r="F393">
        <v>7.6</v>
      </c>
      <c r="G393">
        <v>6.8</v>
      </c>
      <c r="H393">
        <v>1.1176470000000001</v>
      </c>
      <c r="I393">
        <v>-0.11764701499999999</v>
      </c>
      <c r="J393">
        <v>0.47222224000000002</v>
      </c>
    </row>
    <row r="394" spans="1:10" x14ac:dyDescent="0.3">
      <c r="A394">
        <v>392</v>
      </c>
      <c r="B394">
        <v>6234</v>
      </c>
      <c r="C394" t="b">
        <v>1</v>
      </c>
      <c r="D394">
        <v>8042</v>
      </c>
      <c r="E394">
        <v>8123</v>
      </c>
      <c r="F394">
        <v>6.8</v>
      </c>
      <c r="G394">
        <v>6.8</v>
      </c>
      <c r="H394">
        <v>1</v>
      </c>
      <c r="I394">
        <v>0</v>
      </c>
      <c r="J394">
        <v>0.5</v>
      </c>
    </row>
    <row r="395" spans="1:10" x14ac:dyDescent="0.3">
      <c r="A395">
        <v>393</v>
      </c>
      <c r="B395">
        <v>6250</v>
      </c>
      <c r="C395" t="b">
        <v>1</v>
      </c>
      <c r="D395">
        <v>8048</v>
      </c>
      <c r="E395">
        <v>8134</v>
      </c>
      <c r="F395">
        <v>6.4</v>
      </c>
      <c r="G395">
        <v>6.8</v>
      </c>
      <c r="H395">
        <v>0.94117649999999997</v>
      </c>
      <c r="I395">
        <v>5.8823540000000001E-2</v>
      </c>
      <c r="J395">
        <v>0.51515149999999998</v>
      </c>
    </row>
    <row r="396" spans="1:10" x14ac:dyDescent="0.3">
      <c r="A396">
        <v>394</v>
      </c>
      <c r="B396">
        <v>6266</v>
      </c>
      <c r="C396" t="b">
        <v>1</v>
      </c>
      <c r="D396">
        <v>8042</v>
      </c>
      <c r="E396">
        <v>8123</v>
      </c>
      <c r="F396">
        <v>6.4</v>
      </c>
      <c r="G396">
        <v>6.8</v>
      </c>
      <c r="H396">
        <v>0.94117649999999997</v>
      </c>
      <c r="I396">
        <v>5.8823540000000001E-2</v>
      </c>
      <c r="J396">
        <v>0.51515149999999998</v>
      </c>
    </row>
    <row r="397" spans="1:10" x14ac:dyDescent="0.3">
      <c r="A397">
        <v>395</v>
      </c>
      <c r="B397">
        <v>6282</v>
      </c>
      <c r="C397" t="b">
        <v>1</v>
      </c>
      <c r="D397">
        <v>8048</v>
      </c>
      <c r="E397">
        <v>8129</v>
      </c>
      <c r="F397">
        <v>6.4</v>
      </c>
      <c r="G397">
        <v>6.8</v>
      </c>
      <c r="H397">
        <v>0.94117649999999997</v>
      </c>
      <c r="I397">
        <v>5.8823540000000001E-2</v>
      </c>
      <c r="J397">
        <v>0.51515149999999998</v>
      </c>
    </row>
    <row r="398" spans="1:10" x14ac:dyDescent="0.3">
      <c r="A398">
        <v>396</v>
      </c>
      <c r="B398">
        <v>6298</v>
      </c>
      <c r="C398" t="b">
        <v>1</v>
      </c>
      <c r="D398">
        <v>8048</v>
      </c>
      <c r="E398">
        <v>8123</v>
      </c>
      <c r="F398">
        <v>6.4</v>
      </c>
      <c r="G398">
        <v>6.8</v>
      </c>
      <c r="H398">
        <v>0.94117649999999997</v>
      </c>
      <c r="I398">
        <v>5.8823540000000001E-2</v>
      </c>
      <c r="J398">
        <v>0.51515149999999998</v>
      </c>
    </row>
    <row r="399" spans="1:10" x14ac:dyDescent="0.3">
      <c r="A399">
        <v>397</v>
      </c>
      <c r="B399">
        <v>6314</v>
      </c>
      <c r="C399" t="b">
        <v>1</v>
      </c>
      <c r="D399">
        <v>8042</v>
      </c>
      <c r="E399">
        <v>8123</v>
      </c>
      <c r="F399">
        <v>6.4</v>
      </c>
      <c r="G399">
        <v>6.8</v>
      </c>
      <c r="H399">
        <v>0.94117649999999997</v>
      </c>
      <c r="I399">
        <v>5.8823540000000001E-2</v>
      </c>
      <c r="J399">
        <v>0.51515149999999998</v>
      </c>
    </row>
    <row r="400" spans="1:10" x14ac:dyDescent="0.3">
      <c r="A400">
        <v>398</v>
      </c>
      <c r="B400">
        <v>6329</v>
      </c>
      <c r="C400" t="b">
        <v>1</v>
      </c>
      <c r="D400">
        <v>8042</v>
      </c>
      <c r="E400">
        <v>8123</v>
      </c>
      <c r="F400">
        <v>6</v>
      </c>
      <c r="G400">
        <v>7.2</v>
      </c>
      <c r="H400">
        <v>0.8333334</v>
      </c>
      <c r="I400">
        <v>0.16666664</v>
      </c>
      <c r="J400">
        <v>0.54545456000000003</v>
      </c>
    </row>
    <row r="401" spans="1:10" x14ac:dyDescent="0.3">
      <c r="A401">
        <v>399</v>
      </c>
      <c r="B401">
        <v>6345</v>
      </c>
      <c r="C401" t="b">
        <v>1</v>
      </c>
      <c r="D401">
        <v>8048</v>
      </c>
      <c r="E401">
        <v>8123</v>
      </c>
      <c r="F401">
        <v>6</v>
      </c>
      <c r="G401">
        <v>7.6</v>
      </c>
      <c r="H401">
        <v>0.78947369999999994</v>
      </c>
      <c r="I401">
        <v>0.2105263</v>
      </c>
      <c r="J401">
        <v>0.55882350000000003</v>
      </c>
    </row>
    <row r="402" spans="1:10" x14ac:dyDescent="0.3">
      <c r="A402">
        <v>400</v>
      </c>
      <c r="B402">
        <v>6361</v>
      </c>
      <c r="C402" t="b">
        <v>1</v>
      </c>
      <c r="D402">
        <v>8048</v>
      </c>
      <c r="E402">
        <v>8123</v>
      </c>
      <c r="F402">
        <v>6</v>
      </c>
      <c r="G402">
        <v>8</v>
      </c>
      <c r="H402">
        <v>0.75</v>
      </c>
      <c r="I402">
        <v>0.25</v>
      </c>
      <c r="J402">
        <v>0.57142859999999995</v>
      </c>
    </row>
    <row r="403" spans="1:10" x14ac:dyDescent="0.3">
      <c r="A403">
        <v>401</v>
      </c>
      <c r="B403">
        <v>6377</v>
      </c>
      <c r="C403" t="b">
        <v>1</v>
      </c>
      <c r="D403">
        <v>8037</v>
      </c>
      <c r="E403">
        <v>8123</v>
      </c>
      <c r="F403">
        <v>5.6</v>
      </c>
      <c r="G403">
        <v>8</v>
      </c>
      <c r="H403">
        <v>0.7</v>
      </c>
      <c r="I403">
        <v>0.3</v>
      </c>
      <c r="J403">
        <v>0.58823526000000004</v>
      </c>
    </row>
    <row r="404" spans="1:10" x14ac:dyDescent="0.3">
      <c r="A404">
        <v>402</v>
      </c>
      <c r="B404">
        <v>6393</v>
      </c>
      <c r="C404" t="b">
        <v>1</v>
      </c>
      <c r="D404">
        <v>8042</v>
      </c>
      <c r="E404">
        <v>8123</v>
      </c>
      <c r="F404">
        <v>5.2</v>
      </c>
      <c r="G404">
        <v>8</v>
      </c>
      <c r="H404">
        <v>0.65</v>
      </c>
      <c r="I404">
        <v>0.35000002000000002</v>
      </c>
      <c r="J404">
        <v>0.60606059999999995</v>
      </c>
    </row>
    <row r="405" spans="1:10" x14ac:dyDescent="0.3">
      <c r="A405">
        <v>403</v>
      </c>
      <c r="B405">
        <v>6409</v>
      </c>
      <c r="C405" t="b">
        <v>1</v>
      </c>
      <c r="D405">
        <v>8042</v>
      </c>
      <c r="E405">
        <v>8123</v>
      </c>
      <c r="F405">
        <v>4.8</v>
      </c>
      <c r="G405">
        <v>8</v>
      </c>
      <c r="H405">
        <v>0.6</v>
      </c>
      <c r="I405">
        <v>0.39999997999999998</v>
      </c>
      <c r="J405">
        <v>0.625</v>
      </c>
    </row>
    <row r="406" spans="1:10" x14ac:dyDescent="0.3">
      <c r="A406">
        <v>404</v>
      </c>
      <c r="B406">
        <v>6425</v>
      </c>
      <c r="C406" t="b">
        <v>1</v>
      </c>
      <c r="D406">
        <v>8042</v>
      </c>
      <c r="E406">
        <v>8123</v>
      </c>
      <c r="F406">
        <v>4.4000000000000004</v>
      </c>
      <c r="G406">
        <v>8</v>
      </c>
      <c r="H406">
        <v>0.55000000000000004</v>
      </c>
      <c r="I406">
        <v>0.45</v>
      </c>
      <c r="J406">
        <v>0.64516132999999998</v>
      </c>
    </row>
    <row r="407" spans="1:10" x14ac:dyDescent="0.3">
      <c r="A407">
        <v>405</v>
      </c>
      <c r="B407">
        <v>6441</v>
      </c>
      <c r="C407" t="b">
        <v>1</v>
      </c>
      <c r="D407">
        <v>8037</v>
      </c>
      <c r="E407">
        <v>8129</v>
      </c>
      <c r="F407">
        <v>4</v>
      </c>
      <c r="G407">
        <v>8</v>
      </c>
      <c r="H407">
        <v>0.5</v>
      </c>
      <c r="I407">
        <v>0.5</v>
      </c>
      <c r="J407">
        <v>0.66666669999999995</v>
      </c>
    </row>
    <row r="408" spans="1:10" x14ac:dyDescent="0.3">
      <c r="A408">
        <v>406</v>
      </c>
      <c r="B408">
        <v>6457</v>
      </c>
      <c r="C408" t="b">
        <v>1</v>
      </c>
      <c r="D408">
        <v>8042</v>
      </c>
      <c r="E408">
        <v>8134</v>
      </c>
      <c r="F408">
        <v>3.6</v>
      </c>
      <c r="G408">
        <v>8</v>
      </c>
      <c r="H408">
        <v>0.45</v>
      </c>
      <c r="I408">
        <v>0.55000000000000004</v>
      </c>
      <c r="J408">
        <v>0.68965509999999997</v>
      </c>
    </row>
    <row r="409" spans="1:10" x14ac:dyDescent="0.3">
      <c r="A409">
        <v>407</v>
      </c>
      <c r="B409">
        <v>6473</v>
      </c>
      <c r="C409" t="b">
        <v>1</v>
      </c>
      <c r="D409">
        <v>8042</v>
      </c>
      <c r="E409">
        <v>8134</v>
      </c>
      <c r="F409">
        <v>3.6</v>
      </c>
      <c r="G409">
        <v>8.4</v>
      </c>
      <c r="H409">
        <v>0.42857142999999998</v>
      </c>
      <c r="I409">
        <v>0.57142853999999998</v>
      </c>
      <c r="J409">
        <v>0.7</v>
      </c>
    </row>
    <row r="410" spans="1:10" x14ac:dyDescent="0.3">
      <c r="A410">
        <v>408</v>
      </c>
      <c r="B410">
        <v>6488</v>
      </c>
      <c r="C410" t="b">
        <v>1</v>
      </c>
      <c r="D410">
        <v>8042</v>
      </c>
      <c r="E410">
        <v>8123</v>
      </c>
      <c r="F410">
        <v>3.6</v>
      </c>
      <c r="G410">
        <v>8.8000000000000007</v>
      </c>
      <c r="H410">
        <v>0.40909087999999999</v>
      </c>
      <c r="I410">
        <v>0.59090909999999996</v>
      </c>
      <c r="J410">
        <v>0.70967745999999998</v>
      </c>
    </row>
    <row r="411" spans="1:10" x14ac:dyDescent="0.3">
      <c r="A411">
        <v>409</v>
      </c>
      <c r="B411">
        <v>6504</v>
      </c>
      <c r="C411" t="b">
        <v>1</v>
      </c>
      <c r="D411">
        <v>8054</v>
      </c>
      <c r="E411">
        <v>8129</v>
      </c>
      <c r="F411">
        <v>3.6</v>
      </c>
      <c r="G411">
        <v>9.1999999999999993</v>
      </c>
      <c r="H411">
        <v>0.39130433999999997</v>
      </c>
      <c r="I411">
        <v>0.6086956</v>
      </c>
      <c r="J411">
        <v>0.71875</v>
      </c>
    </row>
    <row r="412" spans="1:10" x14ac:dyDescent="0.3">
      <c r="A412">
        <v>410</v>
      </c>
      <c r="B412">
        <v>6520</v>
      </c>
      <c r="C412" t="b">
        <v>1</v>
      </c>
      <c r="D412">
        <v>8048</v>
      </c>
      <c r="E412">
        <v>8129</v>
      </c>
      <c r="F412">
        <v>3.6</v>
      </c>
      <c r="G412">
        <v>9.6</v>
      </c>
      <c r="H412">
        <v>0.37499997000000002</v>
      </c>
      <c r="I412">
        <v>0.625</v>
      </c>
      <c r="J412">
        <v>0.72727269999999999</v>
      </c>
    </row>
    <row r="413" spans="1:10" x14ac:dyDescent="0.3">
      <c r="A413">
        <v>411</v>
      </c>
      <c r="B413">
        <v>6536</v>
      </c>
      <c r="C413" t="b">
        <v>1</v>
      </c>
      <c r="D413">
        <v>8048</v>
      </c>
      <c r="E413">
        <v>8123</v>
      </c>
      <c r="F413">
        <v>3.6</v>
      </c>
      <c r="G413">
        <v>10</v>
      </c>
      <c r="H413">
        <v>0.35999998</v>
      </c>
      <c r="I413">
        <v>0.64</v>
      </c>
      <c r="J413">
        <v>0.73529409999999995</v>
      </c>
    </row>
    <row r="414" spans="1:10" x14ac:dyDescent="0.3">
      <c r="A414">
        <v>412</v>
      </c>
      <c r="B414">
        <v>6552</v>
      </c>
      <c r="C414" t="b">
        <v>1</v>
      </c>
      <c r="D414">
        <v>8048</v>
      </c>
      <c r="E414">
        <v>8123</v>
      </c>
      <c r="F414">
        <v>3.6</v>
      </c>
      <c r="G414">
        <v>10</v>
      </c>
      <c r="H414">
        <v>0.35999998</v>
      </c>
      <c r="I414">
        <v>0.64</v>
      </c>
      <c r="J414">
        <v>0.73529409999999995</v>
      </c>
    </row>
    <row r="415" spans="1:10" x14ac:dyDescent="0.3">
      <c r="A415">
        <v>413</v>
      </c>
      <c r="B415">
        <v>6568</v>
      </c>
      <c r="C415" t="b">
        <v>1</v>
      </c>
      <c r="D415">
        <v>8042</v>
      </c>
      <c r="E415">
        <v>8123</v>
      </c>
      <c r="F415">
        <v>4</v>
      </c>
      <c r="G415">
        <v>10</v>
      </c>
      <c r="H415">
        <v>0.4</v>
      </c>
      <c r="I415">
        <v>0.6</v>
      </c>
      <c r="J415">
        <v>0.71428572999999995</v>
      </c>
    </row>
    <row r="416" spans="1:10" x14ac:dyDescent="0.3">
      <c r="A416">
        <v>414</v>
      </c>
      <c r="B416">
        <v>6584</v>
      </c>
      <c r="C416" t="b">
        <v>1</v>
      </c>
      <c r="D416">
        <v>8042</v>
      </c>
      <c r="E416">
        <v>8123</v>
      </c>
      <c r="F416">
        <v>4</v>
      </c>
      <c r="G416">
        <v>10</v>
      </c>
      <c r="H416">
        <v>0.4</v>
      </c>
      <c r="I416">
        <v>0.6</v>
      </c>
      <c r="J416">
        <v>0.71428572999999995</v>
      </c>
    </row>
    <row r="417" spans="1:10" x14ac:dyDescent="0.3">
      <c r="A417">
        <v>415</v>
      </c>
      <c r="B417">
        <v>6600</v>
      </c>
      <c r="C417" t="b">
        <v>1</v>
      </c>
      <c r="D417">
        <v>8048</v>
      </c>
      <c r="E417">
        <v>8129</v>
      </c>
      <c r="F417">
        <v>4</v>
      </c>
      <c r="G417">
        <v>10</v>
      </c>
      <c r="H417">
        <v>0.4</v>
      </c>
      <c r="I417">
        <v>0.6</v>
      </c>
      <c r="J417">
        <v>0.71428572999999995</v>
      </c>
    </row>
    <row r="418" spans="1:10" x14ac:dyDescent="0.3">
      <c r="A418">
        <v>416</v>
      </c>
      <c r="B418">
        <v>6616</v>
      </c>
      <c r="C418" t="b">
        <v>1</v>
      </c>
      <c r="D418">
        <v>8048</v>
      </c>
      <c r="E418">
        <v>8129</v>
      </c>
      <c r="F418">
        <v>4.4000000000000004</v>
      </c>
      <c r="G418">
        <v>10</v>
      </c>
      <c r="H418">
        <v>0.44</v>
      </c>
      <c r="I418">
        <v>0.56000000000000005</v>
      </c>
      <c r="J418">
        <v>0.69444450000000002</v>
      </c>
    </row>
    <row r="419" spans="1:10" x14ac:dyDescent="0.3">
      <c r="A419">
        <v>417</v>
      </c>
      <c r="B419">
        <v>6631</v>
      </c>
      <c r="C419" t="b">
        <v>1</v>
      </c>
      <c r="D419">
        <v>8048</v>
      </c>
      <c r="E419">
        <v>8129</v>
      </c>
      <c r="F419">
        <v>4.8</v>
      </c>
      <c r="G419">
        <v>10.4</v>
      </c>
      <c r="H419">
        <v>0.46153850000000002</v>
      </c>
      <c r="I419">
        <v>0.53846150000000004</v>
      </c>
      <c r="J419">
        <v>0.68421054000000003</v>
      </c>
    </row>
    <row r="420" spans="1:10" x14ac:dyDescent="0.3">
      <c r="A420">
        <v>418</v>
      </c>
      <c r="B420">
        <v>6647</v>
      </c>
      <c r="C420" t="b">
        <v>1</v>
      </c>
      <c r="D420">
        <v>8048</v>
      </c>
      <c r="E420">
        <v>8123</v>
      </c>
      <c r="F420">
        <v>5.2</v>
      </c>
      <c r="G420">
        <v>10.8</v>
      </c>
      <c r="H420">
        <v>0.48148146000000003</v>
      </c>
      <c r="I420">
        <v>0.51851857000000001</v>
      </c>
      <c r="J420">
        <v>0.67500000000000004</v>
      </c>
    </row>
    <row r="421" spans="1:10" x14ac:dyDescent="0.3">
      <c r="A421">
        <v>419</v>
      </c>
      <c r="B421">
        <v>6663</v>
      </c>
      <c r="C421" t="b">
        <v>1</v>
      </c>
      <c r="D421">
        <v>8048</v>
      </c>
      <c r="E421">
        <v>8129</v>
      </c>
      <c r="F421">
        <v>5.6</v>
      </c>
      <c r="G421">
        <v>11.2</v>
      </c>
      <c r="H421">
        <v>0.5</v>
      </c>
      <c r="I421">
        <v>0.5</v>
      </c>
      <c r="J421">
        <v>0.66666669999999995</v>
      </c>
    </row>
    <row r="422" spans="1:10" x14ac:dyDescent="0.3">
      <c r="A422">
        <v>420</v>
      </c>
      <c r="B422">
        <v>6679</v>
      </c>
      <c r="C422" t="b">
        <v>1</v>
      </c>
      <c r="D422">
        <v>8048</v>
      </c>
      <c r="E422">
        <v>8123</v>
      </c>
      <c r="F422">
        <v>6</v>
      </c>
      <c r="G422">
        <v>11.6</v>
      </c>
      <c r="H422">
        <v>0.51724135999999998</v>
      </c>
      <c r="I422">
        <v>0.48275864000000002</v>
      </c>
      <c r="J422">
        <v>0.65909094000000001</v>
      </c>
    </row>
    <row r="423" spans="1:10" x14ac:dyDescent="0.3">
      <c r="A423">
        <v>421</v>
      </c>
      <c r="B423">
        <v>6694</v>
      </c>
      <c r="C423" t="b">
        <v>1</v>
      </c>
      <c r="D423">
        <v>8048</v>
      </c>
      <c r="E423">
        <v>8129</v>
      </c>
      <c r="F423">
        <v>6.4</v>
      </c>
      <c r="G423">
        <v>12</v>
      </c>
      <c r="H423">
        <v>0.53333335999999998</v>
      </c>
      <c r="I423">
        <v>0.46666667000000001</v>
      </c>
      <c r="J423">
        <v>0.65217393999999995</v>
      </c>
    </row>
    <row r="424" spans="1:10" x14ac:dyDescent="0.3">
      <c r="A424">
        <v>422</v>
      </c>
      <c r="B424">
        <v>6710</v>
      </c>
      <c r="C424" t="b">
        <v>1</v>
      </c>
      <c r="D424">
        <v>8048</v>
      </c>
      <c r="E424">
        <v>8123</v>
      </c>
      <c r="F424">
        <v>6.8</v>
      </c>
      <c r="G424">
        <v>11.6</v>
      </c>
      <c r="H424">
        <v>0.58620689999999998</v>
      </c>
      <c r="I424">
        <v>0.41379312000000001</v>
      </c>
      <c r="J424">
        <v>0.63043475000000004</v>
      </c>
    </row>
    <row r="425" spans="1:10" x14ac:dyDescent="0.3">
      <c r="A425">
        <v>423</v>
      </c>
      <c r="B425">
        <v>6726</v>
      </c>
      <c r="C425" t="b">
        <v>1</v>
      </c>
      <c r="D425">
        <v>8048</v>
      </c>
      <c r="E425">
        <v>8129</v>
      </c>
      <c r="F425">
        <v>7.2</v>
      </c>
      <c r="G425">
        <v>11.6</v>
      </c>
      <c r="H425">
        <v>0.62068962999999999</v>
      </c>
      <c r="I425">
        <v>0.37931037000000001</v>
      </c>
      <c r="J425">
        <v>0.61702129999999999</v>
      </c>
    </row>
    <row r="426" spans="1:10" x14ac:dyDescent="0.3">
      <c r="A426">
        <v>424</v>
      </c>
      <c r="B426">
        <v>6742</v>
      </c>
      <c r="C426" t="b">
        <v>1</v>
      </c>
      <c r="D426">
        <v>8048</v>
      </c>
      <c r="E426">
        <v>8129</v>
      </c>
      <c r="F426">
        <v>7.6</v>
      </c>
      <c r="G426">
        <v>11.6</v>
      </c>
      <c r="H426">
        <v>0.65517239999999999</v>
      </c>
      <c r="I426">
        <v>0.34482762</v>
      </c>
      <c r="J426">
        <v>0.60416669999999995</v>
      </c>
    </row>
    <row r="427" spans="1:10" x14ac:dyDescent="0.3">
      <c r="A427">
        <v>425</v>
      </c>
      <c r="B427">
        <v>6758</v>
      </c>
      <c r="C427" t="b">
        <v>1</v>
      </c>
      <c r="D427">
        <v>8048</v>
      </c>
      <c r="E427">
        <v>8129</v>
      </c>
      <c r="F427">
        <v>8</v>
      </c>
      <c r="G427">
        <v>11.6</v>
      </c>
      <c r="H427">
        <v>0.68965509999999997</v>
      </c>
      <c r="I427">
        <v>0.31034485000000001</v>
      </c>
      <c r="J427">
        <v>0.59183675000000002</v>
      </c>
    </row>
    <row r="428" spans="1:10" x14ac:dyDescent="0.3">
      <c r="A428">
        <v>426</v>
      </c>
      <c r="B428">
        <v>6774</v>
      </c>
      <c r="C428" t="b">
        <v>1</v>
      </c>
      <c r="D428">
        <v>8048</v>
      </c>
      <c r="E428">
        <v>8123</v>
      </c>
      <c r="F428">
        <v>8</v>
      </c>
      <c r="G428">
        <v>11.6</v>
      </c>
      <c r="H428">
        <v>0.68965509999999997</v>
      </c>
      <c r="I428">
        <v>0.31034485000000001</v>
      </c>
      <c r="J428">
        <v>0.59183675000000002</v>
      </c>
    </row>
    <row r="429" spans="1:10" x14ac:dyDescent="0.3">
      <c r="A429">
        <v>427</v>
      </c>
      <c r="B429">
        <v>6790</v>
      </c>
      <c r="C429" t="b">
        <v>1</v>
      </c>
      <c r="D429">
        <v>8042</v>
      </c>
      <c r="E429">
        <v>8123</v>
      </c>
      <c r="F429">
        <v>8</v>
      </c>
      <c r="G429">
        <v>12</v>
      </c>
      <c r="H429">
        <v>0.66666669999999995</v>
      </c>
      <c r="I429">
        <v>0.33333333999999998</v>
      </c>
      <c r="J429">
        <v>0.6</v>
      </c>
    </row>
    <row r="430" spans="1:10" x14ac:dyDescent="0.3">
      <c r="A430">
        <v>428</v>
      </c>
      <c r="B430">
        <v>6806</v>
      </c>
      <c r="C430" t="b">
        <v>1</v>
      </c>
      <c r="D430">
        <v>8042</v>
      </c>
      <c r="E430">
        <v>8123</v>
      </c>
      <c r="F430">
        <v>8</v>
      </c>
      <c r="G430">
        <v>12</v>
      </c>
      <c r="H430">
        <v>0.66666669999999995</v>
      </c>
      <c r="I430">
        <v>0.33333333999999998</v>
      </c>
      <c r="J430">
        <v>0.6</v>
      </c>
    </row>
    <row r="431" spans="1:10" x14ac:dyDescent="0.3">
      <c r="A431">
        <v>429</v>
      </c>
      <c r="B431">
        <v>6822</v>
      </c>
      <c r="C431" t="b">
        <v>1</v>
      </c>
      <c r="D431">
        <v>8042</v>
      </c>
      <c r="E431">
        <v>8123</v>
      </c>
      <c r="F431">
        <v>7.6</v>
      </c>
      <c r="G431">
        <v>12</v>
      </c>
      <c r="H431">
        <v>0.63333329999999999</v>
      </c>
      <c r="I431">
        <v>0.36666666999999997</v>
      </c>
      <c r="J431">
        <v>0.61224489999999998</v>
      </c>
    </row>
    <row r="432" spans="1:10" x14ac:dyDescent="0.3">
      <c r="A432">
        <v>430</v>
      </c>
      <c r="B432">
        <v>6838</v>
      </c>
      <c r="C432" t="b">
        <v>1</v>
      </c>
      <c r="D432">
        <v>8042</v>
      </c>
      <c r="E432">
        <v>8117</v>
      </c>
      <c r="F432">
        <v>7.2</v>
      </c>
      <c r="G432">
        <v>12</v>
      </c>
      <c r="H432">
        <v>0.59999996</v>
      </c>
      <c r="I432">
        <v>0.4</v>
      </c>
      <c r="J432">
        <v>0.625</v>
      </c>
    </row>
    <row r="433" spans="1:10" x14ac:dyDescent="0.3">
      <c r="A433">
        <v>431</v>
      </c>
      <c r="B433">
        <v>6854</v>
      </c>
      <c r="C433" t="b">
        <v>1</v>
      </c>
      <c r="D433">
        <v>8042</v>
      </c>
      <c r="E433">
        <v>8123</v>
      </c>
      <c r="F433">
        <v>6.8</v>
      </c>
      <c r="G433">
        <v>12</v>
      </c>
      <c r="H433">
        <v>0.56666665999999999</v>
      </c>
      <c r="I433">
        <v>0.43333329999999998</v>
      </c>
      <c r="J433">
        <v>0.63829789999999997</v>
      </c>
    </row>
    <row r="434" spans="1:10" x14ac:dyDescent="0.3">
      <c r="A434">
        <v>432</v>
      </c>
      <c r="B434">
        <v>6870</v>
      </c>
      <c r="C434" t="b">
        <v>1</v>
      </c>
      <c r="D434">
        <v>8042</v>
      </c>
      <c r="E434">
        <v>8129</v>
      </c>
      <c r="F434">
        <v>6.4</v>
      </c>
      <c r="G434">
        <v>11.6</v>
      </c>
      <c r="H434">
        <v>0.55172414000000003</v>
      </c>
      <c r="I434">
        <v>0.44827586000000003</v>
      </c>
      <c r="J434">
        <v>0.64444447000000005</v>
      </c>
    </row>
    <row r="435" spans="1:10" x14ac:dyDescent="0.3">
      <c r="A435">
        <v>433</v>
      </c>
      <c r="B435">
        <v>6886</v>
      </c>
      <c r="C435" t="b">
        <v>1</v>
      </c>
      <c r="D435">
        <v>8042</v>
      </c>
      <c r="E435">
        <v>8129</v>
      </c>
      <c r="F435">
        <v>6</v>
      </c>
      <c r="G435">
        <v>11.2</v>
      </c>
      <c r="H435">
        <v>0.53571427000000005</v>
      </c>
      <c r="I435">
        <v>0.46428570000000002</v>
      </c>
      <c r="J435">
        <v>0.65116273999999996</v>
      </c>
    </row>
    <row r="436" spans="1:10" x14ac:dyDescent="0.3">
      <c r="A436">
        <v>434</v>
      </c>
      <c r="B436">
        <v>6902</v>
      </c>
      <c r="C436" t="b">
        <v>1</v>
      </c>
      <c r="D436">
        <v>8048</v>
      </c>
      <c r="E436">
        <v>8123</v>
      </c>
      <c r="F436">
        <v>5.6</v>
      </c>
      <c r="G436">
        <v>10.8</v>
      </c>
      <c r="H436">
        <v>0.51851849999999999</v>
      </c>
      <c r="I436">
        <v>0.48148150000000001</v>
      </c>
      <c r="J436">
        <v>0.65853660000000003</v>
      </c>
    </row>
    <row r="437" spans="1:10" x14ac:dyDescent="0.3">
      <c r="A437">
        <v>435</v>
      </c>
      <c r="B437">
        <v>6918</v>
      </c>
      <c r="C437" t="b">
        <v>1</v>
      </c>
      <c r="D437">
        <v>8048</v>
      </c>
      <c r="E437">
        <v>8129</v>
      </c>
      <c r="F437">
        <v>5.2</v>
      </c>
      <c r="G437">
        <v>10.8</v>
      </c>
      <c r="H437">
        <v>0.48148146000000003</v>
      </c>
      <c r="I437">
        <v>0.51851857000000001</v>
      </c>
      <c r="J437">
        <v>0.67500000000000004</v>
      </c>
    </row>
    <row r="438" spans="1:10" x14ac:dyDescent="0.3">
      <c r="A438">
        <v>436</v>
      </c>
      <c r="B438">
        <v>6934</v>
      </c>
      <c r="C438" t="b">
        <v>1</v>
      </c>
      <c r="D438">
        <v>8048</v>
      </c>
      <c r="E438">
        <v>8117</v>
      </c>
      <c r="F438">
        <v>5.2</v>
      </c>
      <c r="G438">
        <v>10.8</v>
      </c>
      <c r="H438">
        <v>0.48148146000000003</v>
      </c>
      <c r="I438">
        <v>0.51851857000000001</v>
      </c>
      <c r="J438">
        <v>0.67500000000000004</v>
      </c>
    </row>
    <row r="439" spans="1:10" x14ac:dyDescent="0.3">
      <c r="A439">
        <v>437</v>
      </c>
      <c r="B439">
        <v>6949</v>
      </c>
      <c r="C439" t="b">
        <v>1</v>
      </c>
      <c r="D439">
        <v>8048</v>
      </c>
      <c r="E439">
        <v>8117</v>
      </c>
      <c r="F439">
        <v>5.2</v>
      </c>
      <c r="G439">
        <v>10.8</v>
      </c>
      <c r="H439">
        <v>0.48148146000000003</v>
      </c>
      <c r="I439">
        <v>0.51851857000000001</v>
      </c>
      <c r="J439">
        <v>0.67500000000000004</v>
      </c>
    </row>
    <row r="440" spans="1:10" x14ac:dyDescent="0.3">
      <c r="A440">
        <v>438</v>
      </c>
      <c r="B440">
        <v>6965</v>
      </c>
      <c r="C440" t="b">
        <v>1</v>
      </c>
      <c r="D440">
        <v>8048</v>
      </c>
      <c r="E440">
        <v>8117</v>
      </c>
      <c r="F440">
        <v>5.2</v>
      </c>
      <c r="G440">
        <v>10</v>
      </c>
      <c r="H440">
        <v>0.52</v>
      </c>
      <c r="I440">
        <v>0.48000002000000003</v>
      </c>
      <c r="J440">
        <v>0.65789472999999998</v>
      </c>
    </row>
    <row r="441" spans="1:10" x14ac:dyDescent="0.3">
      <c r="A441">
        <v>439</v>
      </c>
      <c r="B441">
        <v>6981</v>
      </c>
      <c r="C441" t="b">
        <v>1</v>
      </c>
      <c r="D441">
        <v>8042</v>
      </c>
      <c r="E441">
        <v>8129</v>
      </c>
      <c r="F441">
        <v>5.2</v>
      </c>
      <c r="G441">
        <v>9.1999999999999993</v>
      </c>
      <c r="H441">
        <v>0.56521739999999998</v>
      </c>
      <c r="I441">
        <v>0.43478262000000001</v>
      </c>
      <c r="J441">
        <v>0.63888889999999998</v>
      </c>
    </row>
    <row r="442" spans="1:10" x14ac:dyDescent="0.3">
      <c r="A442">
        <v>440</v>
      </c>
      <c r="B442">
        <v>6997</v>
      </c>
      <c r="C442" t="b">
        <v>1</v>
      </c>
      <c r="D442">
        <v>8042</v>
      </c>
      <c r="E442">
        <v>8117</v>
      </c>
      <c r="F442">
        <v>5.2</v>
      </c>
      <c r="G442">
        <v>8.4</v>
      </c>
      <c r="H442">
        <v>0.61904764000000001</v>
      </c>
      <c r="I442">
        <v>0.38095240000000002</v>
      </c>
      <c r="J442">
        <v>0.61764704999999998</v>
      </c>
    </row>
    <row r="443" spans="1:10" x14ac:dyDescent="0.3">
      <c r="A443">
        <v>441</v>
      </c>
      <c r="B443">
        <v>7013</v>
      </c>
      <c r="C443" t="b">
        <v>1</v>
      </c>
      <c r="D443">
        <v>8048</v>
      </c>
      <c r="E443">
        <v>8117</v>
      </c>
      <c r="F443">
        <v>5.2</v>
      </c>
      <c r="G443">
        <v>7.6</v>
      </c>
      <c r="H443">
        <v>0.68421054000000003</v>
      </c>
      <c r="I443">
        <v>0.3157895</v>
      </c>
      <c r="J443">
        <v>0.59375</v>
      </c>
    </row>
    <row r="444" spans="1:10" x14ac:dyDescent="0.3">
      <c r="A444">
        <v>442</v>
      </c>
      <c r="B444">
        <v>7029</v>
      </c>
      <c r="C444" t="b">
        <v>1</v>
      </c>
      <c r="D444">
        <v>8048</v>
      </c>
      <c r="E444">
        <v>8117</v>
      </c>
      <c r="F444">
        <v>5.2</v>
      </c>
      <c r="G444">
        <v>6.8</v>
      </c>
      <c r="H444">
        <v>0.76470583999999997</v>
      </c>
      <c r="I444">
        <v>0.23529416</v>
      </c>
      <c r="J444">
        <v>0.56666665999999999</v>
      </c>
    </row>
    <row r="445" spans="1:10" x14ac:dyDescent="0.3">
      <c r="A445">
        <v>443</v>
      </c>
      <c r="B445">
        <v>7044</v>
      </c>
      <c r="C445" t="b">
        <v>1</v>
      </c>
      <c r="D445">
        <v>8048</v>
      </c>
      <c r="E445">
        <v>8117</v>
      </c>
      <c r="F445">
        <v>5.2</v>
      </c>
      <c r="G445">
        <v>6.4</v>
      </c>
      <c r="H445">
        <v>0.81249994000000003</v>
      </c>
      <c r="I445">
        <v>0.18750004000000001</v>
      </c>
      <c r="J445">
        <v>0.55172414000000003</v>
      </c>
    </row>
    <row r="446" spans="1:10" x14ac:dyDescent="0.3">
      <c r="A446">
        <v>444</v>
      </c>
      <c r="B446">
        <v>7060</v>
      </c>
      <c r="C446" t="b">
        <v>1</v>
      </c>
      <c r="D446">
        <v>8048</v>
      </c>
      <c r="E446">
        <v>8123</v>
      </c>
      <c r="F446">
        <v>5.6</v>
      </c>
      <c r="G446">
        <v>6</v>
      </c>
      <c r="H446">
        <v>0.93333334000000001</v>
      </c>
      <c r="I446">
        <v>6.6666685000000003E-2</v>
      </c>
      <c r="J446">
        <v>0.51724135999999998</v>
      </c>
    </row>
    <row r="447" spans="1:10" x14ac:dyDescent="0.3">
      <c r="A447">
        <v>445</v>
      </c>
      <c r="B447">
        <v>7076</v>
      </c>
      <c r="C447" t="b">
        <v>1</v>
      </c>
      <c r="D447">
        <v>8042</v>
      </c>
      <c r="E447">
        <v>8123</v>
      </c>
      <c r="F447">
        <v>6</v>
      </c>
      <c r="G447">
        <v>5.6</v>
      </c>
      <c r="H447">
        <v>1.0714284999999999</v>
      </c>
      <c r="I447">
        <v>-7.142859E-2</v>
      </c>
      <c r="J447">
        <v>0.48275859999999998</v>
      </c>
    </row>
    <row r="448" spans="1:10" x14ac:dyDescent="0.3">
      <c r="A448">
        <v>446</v>
      </c>
      <c r="B448">
        <v>7092</v>
      </c>
      <c r="C448" t="b">
        <v>1</v>
      </c>
      <c r="D448">
        <v>8048</v>
      </c>
      <c r="E448">
        <v>8123</v>
      </c>
      <c r="F448">
        <v>6.4</v>
      </c>
      <c r="G448">
        <v>5.6</v>
      </c>
      <c r="H448">
        <v>1.1428571999999999</v>
      </c>
      <c r="I448">
        <v>-0.14285718</v>
      </c>
      <c r="J448">
        <v>0.46666667000000001</v>
      </c>
    </row>
    <row r="449" spans="1:10" x14ac:dyDescent="0.3">
      <c r="A449">
        <v>447</v>
      </c>
      <c r="B449">
        <v>7108</v>
      </c>
      <c r="C449" t="b">
        <v>1</v>
      </c>
      <c r="D449">
        <v>8048</v>
      </c>
      <c r="E449">
        <v>8117</v>
      </c>
      <c r="F449">
        <v>6.8</v>
      </c>
      <c r="G449">
        <v>5.6</v>
      </c>
      <c r="H449">
        <v>1.2142857</v>
      </c>
      <c r="I449">
        <v>-0.21428578000000001</v>
      </c>
      <c r="J449">
        <v>0.45161291999999997</v>
      </c>
    </row>
    <row r="450" spans="1:10" x14ac:dyDescent="0.3">
      <c r="A450">
        <v>448</v>
      </c>
      <c r="B450">
        <v>7124</v>
      </c>
      <c r="C450" t="b">
        <v>1</v>
      </c>
      <c r="D450">
        <v>8048</v>
      </c>
      <c r="E450">
        <v>8117</v>
      </c>
      <c r="F450">
        <v>7.2</v>
      </c>
      <c r="G450">
        <v>5.6</v>
      </c>
      <c r="H450">
        <v>1.2857143</v>
      </c>
      <c r="I450">
        <v>-0.28571426999999999</v>
      </c>
      <c r="J450">
        <v>0.43750002999999998</v>
      </c>
    </row>
    <row r="451" spans="1:10" x14ac:dyDescent="0.3">
      <c r="A451">
        <v>449</v>
      </c>
      <c r="B451">
        <v>7140</v>
      </c>
      <c r="C451" t="b">
        <v>1</v>
      </c>
      <c r="D451">
        <v>8048</v>
      </c>
      <c r="E451">
        <v>8117</v>
      </c>
      <c r="F451">
        <v>7.6</v>
      </c>
      <c r="G451">
        <v>5.2</v>
      </c>
      <c r="H451">
        <v>1.4615385999999999</v>
      </c>
      <c r="I451">
        <v>-0.46153850000000002</v>
      </c>
      <c r="J451">
        <v>0.40625</v>
      </c>
    </row>
    <row r="452" spans="1:10" x14ac:dyDescent="0.3">
      <c r="A452">
        <v>450</v>
      </c>
      <c r="B452">
        <v>7155</v>
      </c>
      <c r="C452" t="b">
        <v>1</v>
      </c>
      <c r="D452">
        <v>8048</v>
      </c>
      <c r="E452">
        <v>8123</v>
      </c>
      <c r="F452">
        <v>8</v>
      </c>
      <c r="G452">
        <v>4.4000000000000004</v>
      </c>
      <c r="H452">
        <v>1.8181818000000001</v>
      </c>
      <c r="I452">
        <v>-0.81818175000000004</v>
      </c>
      <c r="J452">
        <v>0.35483872999999999</v>
      </c>
    </row>
    <row r="453" spans="1:10" x14ac:dyDescent="0.3">
      <c r="A453">
        <v>451</v>
      </c>
      <c r="B453">
        <v>7171</v>
      </c>
      <c r="C453" t="b">
        <v>1</v>
      </c>
      <c r="D453">
        <v>8042</v>
      </c>
      <c r="E453">
        <v>8117</v>
      </c>
      <c r="F453">
        <v>8</v>
      </c>
      <c r="G453">
        <v>3.6</v>
      </c>
      <c r="H453">
        <v>2.2222222999999999</v>
      </c>
      <c r="I453">
        <v>-1.2222223000000001</v>
      </c>
      <c r="J453">
        <v>0.31034482000000002</v>
      </c>
    </row>
    <row r="454" spans="1:10" x14ac:dyDescent="0.3">
      <c r="A454">
        <v>452</v>
      </c>
      <c r="B454">
        <v>7187</v>
      </c>
      <c r="C454" t="b">
        <v>1</v>
      </c>
      <c r="D454">
        <v>8037</v>
      </c>
      <c r="E454">
        <v>8123</v>
      </c>
      <c r="F454">
        <v>8</v>
      </c>
      <c r="G454">
        <v>3.2</v>
      </c>
      <c r="H454">
        <v>2.5</v>
      </c>
      <c r="I454">
        <v>-1.5</v>
      </c>
      <c r="J454">
        <v>0.28571429999999998</v>
      </c>
    </row>
    <row r="455" spans="1:10" x14ac:dyDescent="0.3">
      <c r="A455">
        <v>453</v>
      </c>
      <c r="B455">
        <v>7204</v>
      </c>
      <c r="C455" t="b">
        <v>1</v>
      </c>
      <c r="D455">
        <v>8042</v>
      </c>
      <c r="E455">
        <v>8129</v>
      </c>
      <c r="F455">
        <v>7.6</v>
      </c>
      <c r="G455">
        <v>3.6</v>
      </c>
      <c r="H455">
        <v>2.1111111999999999</v>
      </c>
      <c r="I455">
        <v>-1.1111112000000001</v>
      </c>
      <c r="J455">
        <v>0.32142857000000002</v>
      </c>
    </row>
    <row r="456" spans="1:10" x14ac:dyDescent="0.3">
      <c r="A456">
        <v>454</v>
      </c>
      <c r="B456">
        <v>7219</v>
      </c>
      <c r="C456" t="b">
        <v>1</v>
      </c>
      <c r="D456">
        <v>8037</v>
      </c>
      <c r="E456">
        <v>8123</v>
      </c>
      <c r="F456">
        <v>7.2</v>
      </c>
      <c r="G456">
        <v>4</v>
      </c>
      <c r="H456">
        <v>1.8</v>
      </c>
      <c r="I456">
        <v>-0.79999995000000002</v>
      </c>
      <c r="J456">
        <v>0.35714287</v>
      </c>
    </row>
    <row r="457" spans="1:10" x14ac:dyDescent="0.3">
      <c r="A457">
        <v>455</v>
      </c>
      <c r="B457">
        <v>7235</v>
      </c>
      <c r="C457" t="b">
        <v>1</v>
      </c>
      <c r="D457">
        <v>8042</v>
      </c>
      <c r="E457">
        <v>8129</v>
      </c>
      <c r="F457">
        <v>6.8</v>
      </c>
      <c r="G457">
        <v>4.4000000000000004</v>
      </c>
      <c r="H457">
        <v>1.5454545</v>
      </c>
      <c r="I457">
        <v>-0.54545456000000003</v>
      </c>
      <c r="J457">
        <v>0.39285713</v>
      </c>
    </row>
    <row r="458" spans="1:10" x14ac:dyDescent="0.3">
      <c r="A458">
        <v>456</v>
      </c>
      <c r="B458">
        <v>7251</v>
      </c>
      <c r="C458" t="b">
        <v>1</v>
      </c>
      <c r="D458">
        <v>8037</v>
      </c>
      <c r="E458">
        <v>8123</v>
      </c>
      <c r="F458">
        <v>6.0666665999999996</v>
      </c>
      <c r="G458">
        <v>4.8</v>
      </c>
      <c r="H458">
        <v>1.2638887999999999</v>
      </c>
      <c r="I458">
        <v>-0.26388884000000001</v>
      </c>
      <c r="J458">
        <v>0.44171779999999999</v>
      </c>
    </row>
    <row r="459" spans="1:10" x14ac:dyDescent="0.3">
      <c r="A459">
        <v>457</v>
      </c>
      <c r="B459">
        <v>7267</v>
      </c>
      <c r="C459" t="b">
        <v>1</v>
      </c>
      <c r="D459">
        <v>8042</v>
      </c>
      <c r="E459">
        <v>8123</v>
      </c>
      <c r="F459">
        <v>5.6666664999999998</v>
      </c>
      <c r="G459">
        <v>5.2</v>
      </c>
      <c r="H459">
        <v>1.0897436</v>
      </c>
      <c r="I459">
        <v>-8.9743600000000007E-2</v>
      </c>
      <c r="J459">
        <v>0.47852758000000001</v>
      </c>
    </row>
    <row r="460" spans="1:10" x14ac:dyDescent="0.3">
      <c r="A460">
        <v>458</v>
      </c>
      <c r="B460">
        <v>7282</v>
      </c>
      <c r="C460" t="b">
        <v>1</v>
      </c>
      <c r="D460">
        <v>8037</v>
      </c>
      <c r="E460">
        <v>8123</v>
      </c>
      <c r="F460">
        <v>4.9333334000000004</v>
      </c>
      <c r="G460">
        <v>5.6</v>
      </c>
      <c r="H460">
        <v>0.88095239999999997</v>
      </c>
      <c r="I460">
        <v>0.11904758999999999</v>
      </c>
      <c r="J460">
        <v>0.53164560000000005</v>
      </c>
    </row>
    <row r="461" spans="1:10" x14ac:dyDescent="0.3">
      <c r="A461">
        <v>459</v>
      </c>
      <c r="B461">
        <v>7298</v>
      </c>
      <c r="C461" t="b">
        <v>1</v>
      </c>
      <c r="D461">
        <v>8054</v>
      </c>
      <c r="E461">
        <v>8129</v>
      </c>
      <c r="F461">
        <v>4.5333332999999998</v>
      </c>
      <c r="G461">
        <v>6</v>
      </c>
      <c r="H461">
        <v>0.75555556999999995</v>
      </c>
      <c r="I461">
        <v>0.24444444000000001</v>
      </c>
      <c r="J461">
        <v>0.56962025000000005</v>
      </c>
    </row>
    <row r="462" spans="1:10" x14ac:dyDescent="0.3">
      <c r="A462">
        <v>460</v>
      </c>
      <c r="B462">
        <v>7314</v>
      </c>
      <c r="C462" t="b">
        <v>1</v>
      </c>
      <c r="D462">
        <v>8048</v>
      </c>
      <c r="E462">
        <v>8134</v>
      </c>
      <c r="F462">
        <v>4.1333330000000004</v>
      </c>
      <c r="G462">
        <v>6.4</v>
      </c>
      <c r="H462">
        <v>0.64583330000000005</v>
      </c>
      <c r="I462">
        <v>0.3541667</v>
      </c>
      <c r="J462">
        <v>0.60759496999999996</v>
      </c>
    </row>
    <row r="463" spans="1:10" x14ac:dyDescent="0.3">
      <c r="A463">
        <v>461</v>
      </c>
      <c r="B463">
        <v>7330</v>
      </c>
      <c r="C463" t="b">
        <v>1</v>
      </c>
      <c r="D463">
        <v>8054</v>
      </c>
      <c r="E463">
        <v>8134</v>
      </c>
      <c r="F463">
        <v>4.1333330000000004</v>
      </c>
      <c r="G463">
        <v>6.8</v>
      </c>
      <c r="H463">
        <v>0.60784309999999997</v>
      </c>
      <c r="I463">
        <v>0.39215689999999997</v>
      </c>
      <c r="J463">
        <v>0.62195120000000004</v>
      </c>
    </row>
    <row r="464" spans="1:10" x14ac:dyDescent="0.3">
      <c r="A464">
        <v>462</v>
      </c>
      <c r="B464">
        <v>7346</v>
      </c>
      <c r="C464" t="b">
        <v>1</v>
      </c>
      <c r="D464">
        <v>8054</v>
      </c>
      <c r="E464">
        <v>8129</v>
      </c>
      <c r="F464">
        <v>4.5333332999999998</v>
      </c>
      <c r="G464">
        <v>7.2</v>
      </c>
      <c r="H464">
        <v>0.62962969999999996</v>
      </c>
      <c r="I464">
        <v>0.37037036000000001</v>
      </c>
      <c r="J464">
        <v>0.61363630000000002</v>
      </c>
    </row>
    <row r="465" spans="1:10" x14ac:dyDescent="0.3">
      <c r="A465">
        <v>463</v>
      </c>
      <c r="B465">
        <v>7362</v>
      </c>
      <c r="C465" t="b">
        <v>1</v>
      </c>
      <c r="D465">
        <v>8054</v>
      </c>
      <c r="E465">
        <v>8134</v>
      </c>
      <c r="F465">
        <v>4.9333334000000004</v>
      </c>
      <c r="G465">
        <v>7.9333334000000004</v>
      </c>
      <c r="H465">
        <v>0.62184876</v>
      </c>
      <c r="I465">
        <v>0.37815126999999998</v>
      </c>
      <c r="J465">
        <v>0.61658029999999997</v>
      </c>
    </row>
    <row r="466" spans="1:10" x14ac:dyDescent="0.3">
      <c r="A466">
        <v>464</v>
      </c>
      <c r="B466">
        <v>7378</v>
      </c>
      <c r="C466" t="b">
        <v>1</v>
      </c>
      <c r="D466">
        <v>8054</v>
      </c>
      <c r="E466">
        <v>8134</v>
      </c>
      <c r="F466">
        <v>5.3333335000000002</v>
      </c>
      <c r="G466">
        <v>9.0666670000000007</v>
      </c>
      <c r="H466">
        <v>0.58823530000000002</v>
      </c>
      <c r="I466">
        <v>0.41176467999999999</v>
      </c>
      <c r="J466">
        <v>0.62962969999999996</v>
      </c>
    </row>
    <row r="467" spans="1:10" x14ac:dyDescent="0.3">
      <c r="A467">
        <v>465</v>
      </c>
      <c r="B467">
        <v>7394</v>
      </c>
      <c r="C467" t="b">
        <v>1</v>
      </c>
      <c r="D467">
        <v>8048</v>
      </c>
      <c r="E467">
        <v>8123</v>
      </c>
      <c r="F467">
        <v>5.733333</v>
      </c>
      <c r="G467">
        <v>10.199999999999999</v>
      </c>
      <c r="H467">
        <v>0.56209147000000004</v>
      </c>
      <c r="I467">
        <v>0.43790849999999998</v>
      </c>
      <c r="J467">
        <v>0.64016740000000005</v>
      </c>
    </row>
    <row r="468" spans="1:10" x14ac:dyDescent="0.3">
      <c r="A468">
        <v>466</v>
      </c>
      <c r="B468">
        <v>7410</v>
      </c>
      <c r="C468" t="b">
        <v>1</v>
      </c>
      <c r="D468">
        <v>8048</v>
      </c>
      <c r="E468">
        <v>8129</v>
      </c>
      <c r="F468">
        <v>6.1333330000000004</v>
      </c>
      <c r="G468">
        <v>11</v>
      </c>
      <c r="H468">
        <v>0.55757575999999998</v>
      </c>
      <c r="I468">
        <v>0.44242427000000001</v>
      </c>
      <c r="J468">
        <v>0.64202329999999996</v>
      </c>
    </row>
    <row r="469" spans="1:10" x14ac:dyDescent="0.3">
      <c r="A469">
        <v>467</v>
      </c>
      <c r="B469">
        <v>7426</v>
      </c>
      <c r="C469" t="b">
        <v>1</v>
      </c>
      <c r="D469">
        <v>8048</v>
      </c>
      <c r="E469">
        <v>8129</v>
      </c>
      <c r="F469">
        <v>6.1333330000000004</v>
      </c>
      <c r="G469">
        <v>11.8</v>
      </c>
      <c r="H469">
        <v>0.51977399999999996</v>
      </c>
      <c r="I469">
        <v>0.48022599999999999</v>
      </c>
      <c r="J469">
        <v>0.65799253999999996</v>
      </c>
    </row>
    <row r="470" spans="1:10" x14ac:dyDescent="0.3">
      <c r="A470">
        <v>468</v>
      </c>
      <c r="B470">
        <v>7442</v>
      </c>
      <c r="C470" t="b">
        <v>1</v>
      </c>
      <c r="D470">
        <v>8048</v>
      </c>
      <c r="E470">
        <v>8123</v>
      </c>
      <c r="F470">
        <v>6.5333332999999998</v>
      </c>
      <c r="G470">
        <v>12.2</v>
      </c>
      <c r="H470">
        <v>0.53551910000000003</v>
      </c>
      <c r="I470">
        <v>0.46448087999999998</v>
      </c>
      <c r="J470">
        <v>0.65124552999999996</v>
      </c>
    </row>
    <row r="471" spans="1:10" x14ac:dyDescent="0.3">
      <c r="A471">
        <v>469</v>
      </c>
      <c r="B471">
        <v>7457</v>
      </c>
      <c r="C471" t="b">
        <v>1</v>
      </c>
      <c r="D471">
        <v>8048</v>
      </c>
      <c r="E471">
        <v>8123</v>
      </c>
      <c r="F471">
        <v>6.9333334000000004</v>
      </c>
      <c r="G471">
        <v>12.2</v>
      </c>
      <c r="H471">
        <v>0.56830599999999998</v>
      </c>
      <c r="I471">
        <v>0.43169396999999998</v>
      </c>
      <c r="J471">
        <v>0.63763064000000003</v>
      </c>
    </row>
    <row r="472" spans="1:10" x14ac:dyDescent="0.3">
      <c r="A472">
        <v>470</v>
      </c>
      <c r="B472">
        <v>7473</v>
      </c>
      <c r="C472" t="b">
        <v>1</v>
      </c>
      <c r="D472">
        <v>8048</v>
      </c>
      <c r="E472">
        <v>8123</v>
      </c>
      <c r="F472">
        <v>7.3333335000000002</v>
      </c>
      <c r="G472">
        <v>12.2</v>
      </c>
      <c r="H472">
        <v>0.60109292999999997</v>
      </c>
      <c r="I472">
        <v>0.39890710000000001</v>
      </c>
      <c r="J472">
        <v>0.62457339999999995</v>
      </c>
    </row>
    <row r="473" spans="1:10" x14ac:dyDescent="0.3">
      <c r="A473">
        <v>471</v>
      </c>
      <c r="B473">
        <v>7490</v>
      </c>
      <c r="C473" t="b">
        <v>1</v>
      </c>
      <c r="D473">
        <v>8048</v>
      </c>
      <c r="E473">
        <v>8134</v>
      </c>
      <c r="F473">
        <v>8.0666670000000007</v>
      </c>
      <c r="G473">
        <v>12.2</v>
      </c>
      <c r="H473">
        <v>0.66120219999999996</v>
      </c>
      <c r="I473">
        <v>0.33879779999999998</v>
      </c>
      <c r="J473">
        <v>0.60197365000000003</v>
      </c>
    </row>
    <row r="474" spans="1:10" x14ac:dyDescent="0.3">
      <c r="A474">
        <v>472</v>
      </c>
      <c r="B474">
        <v>7505</v>
      </c>
      <c r="C474" t="b">
        <v>1</v>
      </c>
      <c r="D474">
        <v>8048</v>
      </c>
      <c r="E474">
        <v>8123</v>
      </c>
      <c r="F474">
        <v>8.466666</v>
      </c>
      <c r="G474">
        <v>12.2</v>
      </c>
      <c r="H474">
        <v>0.69398903999999995</v>
      </c>
      <c r="I474">
        <v>0.30601096</v>
      </c>
      <c r="J474">
        <v>0.59032260000000003</v>
      </c>
    </row>
    <row r="475" spans="1:10" x14ac:dyDescent="0.3">
      <c r="A475">
        <v>473</v>
      </c>
      <c r="B475">
        <v>7521</v>
      </c>
      <c r="C475" t="b">
        <v>1</v>
      </c>
      <c r="D475">
        <v>8054</v>
      </c>
      <c r="E475">
        <v>8129</v>
      </c>
      <c r="F475">
        <v>9.1999999999999993</v>
      </c>
      <c r="G475">
        <v>12.2</v>
      </c>
      <c r="H475">
        <v>0.75409835999999997</v>
      </c>
      <c r="I475">
        <v>0.24590164</v>
      </c>
      <c r="J475">
        <v>0.57009345</v>
      </c>
    </row>
    <row r="476" spans="1:10" x14ac:dyDescent="0.3">
      <c r="A476">
        <v>474</v>
      </c>
      <c r="B476">
        <v>7537</v>
      </c>
      <c r="C476" t="b">
        <v>1</v>
      </c>
      <c r="D476">
        <v>8048</v>
      </c>
      <c r="E476">
        <v>8123</v>
      </c>
      <c r="F476">
        <v>9.6</v>
      </c>
      <c r="G476">
        <v>12.2</v>
      </c>
      <c r="H476">
        <v>0.78688526000000003</v>
      </c>
      <c r="I476">
        <v>0.21311471000000001</v>
      </c>
      <c r="J476">
        <v>0.55963300000000005</v>
      </c>
    </row>
    <row r="477" spans="1:10" x14ac:dyDescent="0.3">
      <c r="A477">
        <v>475</v>
      </c>
      <c r="B477">
        <v>7553</v>
      </c>
      <c r="C477" t="b">
        <v>1</v>
      </c>
      <c r="D477">
        <v>8048</v>
      </c>
      <c r="E477">
        <v>8123</v>
      </c>
      <c r="F477">
        <v>10</v>
      </c>
      <c r="G477">
        <v>12.2</v>
      </c>
      <c r="H477">
        <v>0.81967217000000003</v>
      </c>
      <c r="I477">
        <v>0.18032786000000001</v>
      </c>
      <c r="J477">
        <v>0.54954950000000002</v>
      </c>
    </row>
    <row r="478" spans="1:10" x14ac:dyDescent="0.3">
      <c r="A478">
        <v>476</v>
      </c>
      <c r="B478">
        <v>7568</v>
      </c>
      <c r="C478" t="b">
        <v>1</v>
      </c>
      <c r="D478">
        <v>8048</v>
      </c>
      <c r="E478">
        <v>8123</v>
      </c>
      <c r="F478">
        <v>10</v>
      </c>
      <c r="G478">
        <v>11.8</v>
      </c>
      <c r="H478">
        <v>0.84745760000000003</v>
      </c>
      <c r="I478">
        <v>0.15254238000000001</v>
      </c>
      <c r="J478">
        <v>0.54128443999999998</v>
      </c>
    </row>
    <row r="479" spans="1:10" x14ac:dyDescent="0.3">
      <c r="A479">
        <v>477</v>
      </c>
      <c r="B479">
        <v>7584</v>
      </c>
      <c r="C479" t="b">
        <v>1</v>
      </c>
      <c r="D479">
        <v>8048</v>
      </c>
      <c r="E479">
        <v>8129</v>
      </c>
      <c r="F479">
        <v>9.6</v>
      </c>
      <c r="G479">
        <v>11.4</v>
      </c>
      <c r="H479">
        <v>0.84210529999999995</v>
      </c>
      <c r="I479">
        <v>0.15789466999999999</v>
      </c>
      <c r="J479">
        <v>0.54285709999999998</v>
      </c>
    </row>
    <row r="480" spans="1:10" x14ac:dyDescent="0.3">
      <c r="A480">
        <v>478</v>
      </c>
      <c r="B480">
        <v>7600</v>
      </c>
      <c r="C480" t="b">
        <v>1</v>
      </c>
      <c r="D480">
        <v>8048</v>
      </c>
      <c r="E480">
        <v>8129</v>
      </c>
      <c r="F480">
        <v>9.1999999999999993</v>
      </c>
      <c r="G480">
        <v>10.666667</v>
      </c>
      <c r="H480">
        <v>0.86249995000000002</v>
      </c>
      <c r="I480">
        <v>0.13750005000000001</v>
      </c>
      <c r="J480">
        <v>0.53691274</v>
      </c>
    </row>
    <row r="481" spans="1:10" x14ac:dyDescent="0.3">
      <c r="A481">
        <v>479</v>
      </c>
      <c r="B481">
        <v>7616</v>
      </c>
      <c r="C481" t="b">
        <v>1</v>
      </c>
      <c r="D481">
        <v>8048</v>
      </c>
      <c r="E481">
        <v>8123</v>
      </c>
      <c r="F481">
        <v>8.8000000000000007</v>
      </c>
      <c r="G481">
        <v>9.9333329999999993</v>
      </c>
      <c r="H481">
        <v>0.88590603999999995</v>
      </c>
      <c r="I481">
        <v>0.114093944</v>
      </c>
      <c r="J481">
        <v>0.53024910000000003</v>
      </c>
    </row>
    <row r="482" spans="1:10" x14ac:dyDescent="0.3">
      <c r="A482">
        <v>480</v>
      </c>
      <c r="B482">
        <v>7632</v>
      </c>
      <c r="C482" t="b">
        <v>1</v>
      </c>
      <c r="D482">
        <v>8048</v>
      </c>
      <c r="E482">
        <v>8123</v>
      </c>
      <c r="F482">
        <v>8.4</v>
      </c>
      <c r="G482">
        <v>9.1999999999999993</v>
      </c>
      <c r="H482">
        <v>0.91304344000000004</v>
      </c>
      <c r="I482">
        <v>8.6956545999999996E-2</v>
      </c>
      <c r="J482">
        <v>0.52272730000000001</v>
      </c>
    </row>
    <row r="483" spans="1:10" x14ac:dyDescent="0.3">
      <c r="A483">
        <v>481</v>
      </c>
      <c r="B483">
        <v>7647</v>
      </c>
      <c r="C483" t="b">
        <v>1</v>
      </c>
      <c r="D483">
        <v>8048</v>
      </c>
      <c r="E483">
        <v>8129</v>
      </c>
      <c r="F483">
        <v>8</v>
      </c>
      <c r="G483">
        <v>9.1999999999999993</v>
      </c>
      <c r="H483">
        <v>0.86956524999999996</v>
      </c>
      <c r="I483">
        <v>0.13043477000000001</v>
      </c>
      <c r="J483">
        <v>0.53488369999999996</v>
      </c>
    </row>
    <row r="484" spans="1:10" x14ac:dyDescent="0.3">
      <c r="A484">
        <v>482</v>
      </c>
      <c r="B484">
        <v>7663</v>
      </c>
      <c r="C484" t="b">
        <v>1</v>
      </c>
      <c r="D484">
        <v>8048</v>
      </c>
      <c r="E484">
        <v>8129</v>
      </c>
      <c r="F484">
        <v>8</v>
      </c>
      <c r="G484">
        <v>9.1999999999999993</v>
      </c>
      <c r="H484">
        <v>0.86956524999999996</v>
      </c>
      <c r="I484">
        <v>0.13043477000000001</v>
      </c>
      <c r="J484">
        <v>0.53488369999999996</v>
      </c>
    </row>
    <row r="485" spans="1:10" x14ac:dyDescent="0.3">
      <c r="A485">
        <v>483</v>
      </c>
      <c r="B485">
        <v>7679</v>
      </c>
      <c r="C485" t="b">
        <v>1</v>
      </c>
      <c r="D485">
        <v>8042</v>
      </c>
      <c r="E485">
        <v>8129</v>
      </c>
      <c r="F485">
        <v>8</v>
      </c>
      <c r="G485">
        <v>9.1999999999999993</v>
      </c>
      <c r="H485">
        <v>0.86956524999999996</v>
      </c>
      <c r="I485">
        <v>0.13043477000000001</v>
      </c>
      <c r="J485">
        <v>0.53488369999999996</v>
      </c>
    </row>
    <row r="486" spans="1:10" x14ac:dyDescent="0.3">
      <c r="A486">
        <v>484</v>
      </c>
      <c r="B486">
        <v>7695</v>
      </c>
      <c r="C486" t="b">
        <v>1</v>
      </c>
      <c r="D486">
        <v>8048</v>
      </c>
      <c r="E486">
        <v>8134</v>
      </c>
      <c r="F486">
        <v>8</v>
      </c>
      <c r="G486">
        <v>9.6</v>
      </c>
      <c r="H486">
        <v>0.83333330000000005</v>
      </c>
      <c r="I486">
        <v>0.1666667</v>
      </c>
      <c r="J486">
        <v>0.54545456000000003</v>
      </c>
    </row>
    <row r="487" spans="1:10" x14ac:dyDescent="0.3">
      <c r="A487">
        <v>485</v>
      </c>
      <c r="B487">
        <v>7711</v>
      </c>
      <c r="C487" t="b">
        <v>1</v>
      </c>
      <c r="D487">
        <v>8048</v>
      </c>
      <c r="E487">
        <v>8123</v>
      </c>
      <c r="F487">
        <v>8</v>
      </c>
      <c r="G487">
        <v>10</v>
      </c>
      <c r="H487">
        <v>0.8</v>
      </c>
      <c r="I487">
        <v>0.2</v>
      </c>
      <c r="J487">
        <v>0.55555560000000004</v>
      </c>
    </row>
    <row r="488" spans="1:10" x14ac:dyDescent="0.3">
      <c r="A488">
        <v>486</v>
      </c>
      <c r="B488">
        <v>7727</v>
      </c>
      <c r="C488" t="b">
        <v>1</v>
      </c>
      <c r="D488">
        <v>8048</v>
      </c>
      <c r="E488">
        <v>8134</v>
      </c>
      <c r="F488">
        <v>8</v>
      </c>
      <c r="G488">
        <v>10.4</v>
      </c>
      <c r="H488">
        <v>0.76923079999999999</v>
      </c>
      <c r="I488">
        <v>0.23076920000000001</v>
      </c>
      <c r="J488">
        <v>0.56521739999999998</v>
      </c>
    </row>
    <row r="489" spans="1:10" x14ac:dyDescent="0.3">
      <c r="A489">
        <v>487</v>
      </c>
      <c r="B489">
        <v>7743</v>
      </c>
      <c r="C489" t="b">
        <v>1</v>
      </c>
      <c r="D489">
        <v>8048</v>
      </c>
      <c r="E489">
        <v>8123</v>
      </c>
      <c r="F489">
        <v>8</v>
      </c>
      <c r="G489">
        <v>10.8</v>
      </c>
      <c r="H489">
        <v>0.74074070000000003</v>
      </c>
      <c r="I489">
        <v>0.25925927999999998</v>
      </c>
      <c r="J489">
        <v>0.57446814000000002</v>
      </c>
    </row>
    <row r="490" spans="1:10" x14ac:dyDescent="0.3">
      <c r="A490">
        <v>488</v>
      </c>
      <c r="B490">
        <v>7758</v>
      </c>
      <c r="C490" t="b">
        <v>1</v>
      </c>
      <c r="D490">
        <v>8042</v>
      </c>
      <c r="E490">
        <v>8123</v>
      </c>
      <c r="F490">
        <v>8</v>
      </c>
      <c r="G490">
        <v>10.8</v>
      </c>
      <c r="H490">
        <v>0.74074070000000003</v>
      </c>
      <c r="I490">
        <v>0.25925927999999998</v>
      </c>
      <c r="J490">
        <v>0.57446814000000002</v>
      </c>
    </row>
    <row r="491" spans="1:10" x14ac:dyDescent="0.3">
      <c r="A491">
        <v>489</v>
      </c>
      <c r="B491">
        <v>7774</v>
      </c>
      <c r="C491" t="b">
        <v>1</v>
      </c>
      <c r="D491">
        <v>8048</v>
      </c>
      <c r="E491">
        <v>8123</v>
      </c>
      <c r="F491">
        <v>8</v>
      </c>
      <c r="G491">
        <v>10.8</v>
      </c>
      <c r="H491">
        <v>0.74074070000000003</v>
      </c>
      <c r="I491">
        <v>0.25925927999999998</v>
      </c>
      <c r="J491">
        <v>0.57446814000000002</v>
      </c>
    </row>
    <row r="492" spans="1:10" x14ac:dyDescent="0.3">
      <c r="A492">
        <v>490</v>
      </c>
      <c r="B492">
        <v>7790</v>
      </c>
      <c r="C492" t="b">
        <v>1</v>
      </c>
      <c r="D492">
        <v>8048</v>
      </c>
      <c r="E492">
        <v>8129</v>
      </c>
      <c r="F492">
        <v>8</v>
      </c>
      <c r="G492">
        <v>10.8</v>
      </c>
      <c r="H492">
        <v>0.74074070000000003</v>
      </c>
      <c r="I492">
        <v>0.25925927999999998</v>
      </c>
      <c r="J492">
        <v>0.57446814000000002</v>
      </c>
    </row>
    <row r="493" spans="1:10" x14ac:dyDescent="0.3">
      <c r="A493">
        <v>491</v>
      </c>
      <c r="B493">
        <v>7806</v>
      </c>
      <c r="C493" t="b">
        <v>1</v>
      </c>
      <c r="D493">
        <v>8048</v>
      </c>
      <c r="E493">
        <v>8123</v>
      </c>
      <c r="F493">
        <v>8</v>
      </c>
      <c r="G493">
        <v>10.8</v>
      </c>
      <c r="H493">
        <v>0.74074070000000003</v>
      </c>
      <c r="I493">
        <v>0.25925927999999998</v>
      </c>
      <c r="J493">
        <v>0.57446814000000002</v>
      </c>
    </row>
    <row r="494" spans="1:10" x14ac:dyDescent="0.3">
      <c r="A494">
        <v>492</v>
      </c>
      <c r="B494">
        <v>7822</v>
      </c>
      <c r="C494" t="b">
        <v>1</v>
      </c>
      <c r="D494">
        <v>8048</v>
      </c>
      <c r="E494">
        <v>8129</v>
      </c>
      <c r="F494">
        <v>8</v>
      </c>
      <c r="G494">
        <v>10.8</v>
      </c>
      <c r="H494">
        <v>0.74074070000000003</v>
      </c>
      <c r="I494">
        <v>0.25925927999999998</v>
      </c>
      <c r="J494">
        <v>0.57446814000000002</v>
      </c>
    </row>
    <row r="495" spans="1:10" x14ac:dyDescent="0.3">
      <c r="A495">
        <v>493</v>
      </c>
      <c r="B495">
        <v>7838</v>
      </c>
      <c r="C495" t="b">
        <v>1</v>
      </c>
      <c r="D495">
        <v>8042</v>
      </c>
      <c r="E495">
        <v>8134</v>
      </c>
      <c r="F495">
        <v>8</v>
      </c>
      <c r="G495">
        <v>11.2</v>
      </c>
      <c r="H495">
        <v>0.71428572999999995</v>
      </c>
      <c r="I495">
        <v>0.28571426999999999</v>
      </c>
      <c r="J495">
        <v>0.58333330000000005</v>
      </c>
    </row>
    <row r="496" spans="1:10" x14ac:dyDescent="0.3">
      <c r="A496">
        <v>494</v>
      </c>
      <c r="B496">
        <v>7854</v>
      </c>
      <c r="C496" t="b">
        <v>1</v>
      </c>
      <c r="D496">
        <v>8048</v>
      </c>
      <c r="E496">
        <v>8123</v>
      </c>
      <c r="F496">
        <v>8</v>
      </c>
      <c r="G496">
        <v>11.6</v>
      </c>
      <c r="H496">
        <v>0.68965509999999997</v>
      </c>
      <c r="I496">
        <v>0.31034485000000001</v>
      </c>
      <c r="J496">
        <v>0.59183675000000002</v>
      </c>
    </row>
    <row r="497" spans="1:10" x14ac:dyDescent="0.3">
      <c r="A497">
        <v>495</v>
      </c>
      <c r="B497">
        <v>7869</v>
      </c>
      <c r="C497" t="b">
        <v>1</v>
      </c>
      <c r="D497">
        <v>8048</v>
      </c>
      <c r="E497">
        <v>8134</v>
      </c>
      <c r="F497">
        <v>8</v>
      </c>
      <c r="G497">
        <v>12</v>
      </c>
      <c r="H497">
        <v>0.66666669999999995</v>
      </c>
      <c r="I497">
        <v>0.33333333999999998</v>
      </c>
      <c r="J497">
        <v>0.6</v>
      </c>
    </row>
    <row r="498" spans="1:10" x14ac:dyDescent="0.3">
      <c r="A498">
        <v>496</v>
      </c>
      <c r="B498">
        <v>7885</v>
      </c>
      <c r="C498" t="b">
        <v>1</v>
      </c>
      <c r="D498">
        <v>8048</v>
      </c>
      <c r="E498">
        <v>8123</v>
      </c>
      <c r="F498">
        <v>8</v>
      </c>
      <c r="G498">
        <v>12</v>
      </c>
      <c r="H498">
        <v>0.66666669999999995</v>
      </c>
      <c r="I498">
        <v>0.33333333999999998</v>
      </c>
      <c r="J498">
        <v>0.6</v>
      </c>
    </row>
    <row r="499" spans="1:10" x14ac:dyDescent="0.3">
      <c r="A499">
        <v>497</v>
      </c>
      <c r="B499">
        <v>7901</v>
      </c>
      <c r="C499" t="b">
        <v>1</v>
      </c>
      <c r="D499">
        <v>8048</v>
      </c>
      <c r="E499">
        <v>8129</v>
      </c>
      <c r="F499">
        <v>8</v>
      </c>
      <c r="G499">
        <v>12</v>
      </c>
      <c r="H499">
        <v>0.66666669999999995</v>
      </c>
      <c r="I499">
        <v>0.33333333999999998</v>
      </c>
      <c r="J499">
        <v>0.6</v>
      </c>
    </row>
    <row r="500" spans="1:10" x14ac:dyDescent="0.3">
      <c r="A500">
        <v>498</v>
      </c>
      <c r="B500">
        <v>7917</v>
      </c>
      <c r="C500" t="b">
        <v>1</v>
      </c>
      <c r="D500">
        <v>8042</v>
      </c>
      <c r="E500">
        <v>8129</v>
      </c>
      <c r="F500">
        <v>8</v>
      </c>
      <c r="G500">
        <v>12</v>
      </c>
      <c r="H500">
        <v>0.66666669999999995</v>
      </c>
      <c r="I500">
        <v>0.33333333999999998</v>
      </c>
      <c r="J500">
        <v>0.6</v>
      </c>
    </row>
    <row r="501" spans="1:10" x14ac:dyDescent="0.3">
      <c r="A501">
        <v>499</v>
      </c>
      <c r="B501">
        <v>7933</v>
      </c>
      <c r="C501" t="b">
        <v>1</v>
      </c>
      <c r="D501">
        <v>8048</v>
      </c>
      <c r="E501">
        <v>8129</v>
      </c>
      <c r="F501">
        <v>8</v>
      </c>
      <c r="G501">
        <v>12</v>
      </c>
      <c r="H501">
        <v>0.66666669999999995</v>
      </c>
      <c r="I501">
        <v>0.33333333999999998</v>
      </c>
      <c r="J501">
        <v>0.6</v>
      </c>
    </row>
    <row r="502" spans="1:10" x14ac:dyDescent="0.3">
      <c r="A502">
        <v>500</v>
      </c>
      <c r="B502">
        <v>7949</v>
      </c>
      <c r="C502" t="b">
        <v>1</v>
      </c>
      <c r="D502">
        <v>8048</v>
      </c>
      <c r="E502">
        <v>8123</v>
      </c>
      <c r="F502">
        <v>8</v>
      </c>
      <c r="G502">
        <v>12</v>
      </c>
      <c r="H502">
        <v>0.66666669999999995</v>
      </c>
      <c r="I502">
        <v>0.33333333999999998</v>
      </c>
      <c r="J502">
        <v>0.6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82EE-20E2-4416-8BD3-4F0116E347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CDDC8E-4AFF-4FE7-8CB8-7459B7673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2026-04-17_16-41-07_-19_high</vt:lpstr>
      <vt:lpstr>2026-04-17_16-43-51_-14_high</vt:lpstr>
      <vt:lpstr>2026-04-17_16-40-13_-12_high</vt:lpstr>
      <vt:lpstr>2026-04-17_16-38-14_-7_high</vt:lpstr>
      <vt:lpstr>2026-04-17_16-36-46_-5_high</vt:lpstr>
      <vt:lpstr>2026-04-17_16-35-28_-2_high</vt:lpstr>
      <vt:lpstr>2026-04-17_16-32-27_0_high</vt:lpstr>
      <vt:lpstr>2026-04-17_16-31-51_5_high</vt:lpstr>
      <vt:lpstr>2026-04-17_16-31-16_7_high</vt:lpstr>
      <vt:lpstr>2026-04-17_16-30-28_9_high</vt:lpstr>
      <vt:lpstr>2026-04-17_16-29-45_13_high</vt:lpstr>
      <vt:lpstr>2026-04-17_16-29-05_14_high</vt:lpstr>
      <vt:lpstr>2026-04-17_16-28-20_16_high</vt:lpstr>
      <vt:lpstr>2026-04-17_16-26-30_19_high</vt:lpstr>
      <vt:lpstr>2026-04-17_16-25-21_23_high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Darii Vereshchak</dc:creator>
  <cp:lastModifiedBy>Darii Vereshchak</cp:lastModifiedBy>
  <dcterms:created xsi:type="dcterms:W3CDTF">2026-04-17T23:48:42Z</dcterms:created>
  <dcterms:modified xsi:type="dcterms:W3CDTF">2026-04-27T19:50:15Z</dcterms:modified>
</cp:coreProperties>
</file>